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191" documentId="8_{FD189103-E0E6-4752-9ABD-3E76130CAC56}" xr6:coauthVersionLast="47" xr6:coauthVersionMax="47" xr10:uidLastSave="{AF3D7021-8E39-4295-B3FD-3B69E94630CA}"/>
  <bookViews>
    <workbookView xWindow="-110" yWindow="-110" windowWidth="19420" windowHeight="11500" xr2:uid="{DBCAA8D1-5ACE-457A-BD47-7029334B9B87}"/>
  </bookViews>
  <sheets>
    <sheet name="Apr-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2" i="1"/>
  <c r="G11" i="1"/>
  <c r="H9" i="1"/>
  <c r="G16" i="1" l="1"/>
</calcChain>
</file>

<file path=xl/sharedStrings.xml><?xml version="1.0" encoding="utf-8"?>
<sst xmlns="http://schemas.openxmlformats.org/spreadsheetml/2006/main" count="64" uniqueCount="45">
  <si>
    <t>Owner</t>
  </si>
  <si>
    <t>Type</t>
  </si>
  <si>
    <t>Bank</t>
  </si>
  <si>
    <t>EMI Date</t>
  </si>
  <si>
    <t>Arun</t>
  </si>
  <si>
    <t>EMI</t>
  </si>
  <si>
    <t>SBI HL</t>
  </si>
  <si>
    <t>Credit card Repayment</t>
  </si>
  <si>
    <t>ALL CC</t>
  </si>
  <si>
    <t>Narottam</t>
  </si>
  <si>
    <t>Chetan HDFC</t>
  </si>
  <si>
    <t>HDFC</t>
  </si>
  <si>
    <t>Chetan SIP</t>
  </si>
  <si>
    <t>IDFC</t>
  </si>
  <si>
    <t>Dharmesh</t>
  </si>
  <si>
    <t>Bajaj</t>
  </si>
  <si>
    <t>HDFC PL</t>
  </si>
  <si>
    <t>Vinod</t>
  </si>
  <si>
    <t>CC</t>
  </si>
  <si>
    <t>All CC</t>
  </si>
  <si>
    <t>Rahul</t>
  </si>
  <si>
    <t>PL</t>
  </si>
  <si>
    <t>Sadhana CC</t>
  </si>
  <si>
    <t>EMI Amount</t>
  </si>
  <si>
    <t>ICICI</t>
  </si>
  <si>
    <t>Current Outstanding May 2026</t>
  </si>
  <si>
    <t>End Date</t>
  </si>
  <si>
    <t>Loan Number</t>
  </si>
  <si>
    <t>ROI</t>
  </si>
  <si>
    <t>TBMUM00007728785</t>
  </si>
  <si>
    <t>TBMUM00006576394</t>
  </si>
  <si>
    <t>LBMUM00005201641</t>
  </si>
  <si>
    <t>Sanction Amount</t>
  </si>
  <si>
    <t>Arun Repay for CC</t>
  </si>
  <si>
    <t>Mira road HL</t>
  </si>
  <si>
    <t xml:space="preserve">Chetan </t>
  </si>
  <si>
    <t>No of EMI</t>
  </si>
  <si>
    <t>Dhamresh</t>
  </si>
  <si>
    <t>SBI Credit Card</t>
  </si>
  <si>
    <t>SBI CC</t>
  </si>
  <si>
    <t>Arun Repay for CC and EMI</t>
  </si>
  <si>
    <t>Sadhana BOB CC</t>
  </si>
  <si>
    <t>only Interest Deducted</t>
  </si>
  <si>
    <t>Rahu; Loan</t>
  </si>
  <si>
    <t>EMI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</si>
</sst>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/mmm/yyyy"/>
    <numFmt numFmtId="165" formatCode="_ &quot;₹&quot;\ * #,##0_ ;_ &quot;₹&quot;\ * \-#,##0_ ;_ &quot;₹&quot;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949B-ED34-4400-B39B-5CDF939F21CD}">
  <dimension ref="A1:L16"/>
  <sheetViews>
    <sheetView tabSelected="1" workbookViewId="0">
      <selection activeCell="H18" sqref="H18"/>
    </sheetView>
  </sheetViews>
  <sheetFormatPr defaultRowHeight="14.5" x14ac:dyDescent="0.35"/>
  <cols>
    <col min="1" max="1" width="11.90625" bestFit="1" customWidth="1"/>
    <col min="2" max="2" width="20.1796875" bestFit="1" customWidth="1"/>
    <col min="3" max="3" width="8" bestFit="1" customWidth="1"/>
    <col min="4" max="4" width="22.1796875" bestFit="1" customWidth="1"/>
    <col min="5" max="5" width="12.453125" bestFit="1" customWidth="1"/>
    <col min="6" max="6" width="11.36328125" bestFit="1" customWidth="1"/>
    <col min="7" max="7" width="10.7265625" bestFit="1" customWidth="1"/>
    <col min="8" max="8" width="26.26953125" bestFit="1" customWidth="1"/>
    <col min="9" max="9" width="15.26953125" bestFit="1" customWidth="1"/>
    <col min="10" max="10" width="11.36328125" bestFit="1" customWidth="1"/>
    <col min="11" max="11" width="6.90625" bestFit="1" customWidth="1"/>
    <col min="12" max="12" width="19.1796875" bestFit="1" customWidth="1"/>
  </cols>
  <sheetData>
    <row r="1" spans="1:12" x14ac:dyDescent="0.35">
      <c r="A1" s="5" t="s">
        <v>0</v>
      </c>
      <c r="B1" s="5" t="s">
        <v>1</v>
      </c>
      <c r="C1" s="5" t="s">
        <v>2</v>
      </c>
      <c r="D1" s="5" t="s">
        <v>27</v>
      </c>
      <c r="E1" s="5" t="s">
        <v>44</v>
      </c>
      <c r="F1" s="5" t="s">
        <v>3</v>
      </c>
      <c r="G1" s="5" t="s">
        <v>23</v>
      </c>
      <c r="H1" s="5" t="s">
        <v>25</v>
      </c>
      <c r="I1" s="5" t="s">
        <v>32</v>
      </c>
      <c r="J1" s="5" t="s">
        <v>26</v>
      </c>
      <c r="K1" s="5" t="s">
        <v>28</v>
      </c>
      <c r="L1" s="5" t="s">
        <v>36</v>
      </c>
    </row>
    <row r="2" spans="1:12" x14ac:dyDescent="0.35">
      <c r="A2" s="1" t="s">
        <v>4</v>
      </c>
      <c r="B2" s="1" t="s">
        <v>5</v>
      </c>
      <c r="C2" s="1" t="s">
        <v>24</v>
      </c>
      <c r="D2" s="1" t="s">
        <v>29</v>
      </c>
      <c r="E2" s="2">
        <v>46125</v>
      </c>
      <c r="F2" s="2">
        <v>46122</v>
      </c>
      <c r="G2" s="3">
        <v>16605</v>
      </c>
      <c r="H2" s="3">
        <v>1996563</v>
      </c>
      <c r="I2" s="3">
        <v>2000000</v>
      </c>
      <c r="J2" s="2">
        <v>53427</v>
      </c>
      <c r="K2" s="7">
        <v>7.9000000000000001E-2</v>
      </c>
      <c r="L2" s="1">
        <v>239</v>
      </c>
    </row>
    <row r="3" spans="1:12" x14ac:dyDescent="0.35">
      <c r="A3" s="1" t="s">
        <v>4</v>
      </c>
      <c r="B3" s="1" t="s">
        <v>5</v>
      </c>
      <c r="C3" s="1" t="s">
        <v>24</v>
      </c>
      <c r="D3" s="1" t="s">
        <v>30</v>
      </c>
      <c r="E3" s="2">
        <v>45051</v>
      </c>
      <c r="F3" s="2">
        <v>46117</v>
      </c>
      <c r="G3" s="3">
        <v>13490</v>
      </c>
      <c r="H3" s="3">
        <v>1169410</v>
      </c>
      <c r="I3" s="3">
        <v>1330000</v>
      </c>
      <c r="J3" s="2">
        <v>50045</v>
      </c>
      <c r="K3" s="7">
        <v>7.7499999999999999E-2</v>
      </c>
      <c r="L3" s="1">
        <v>165</v>
      </c>
    </row>
    <row r="4" spans="1:12" x14ac:dyDescent="0.35">
      <c r="A4" s="1" t="s">
        <v>4</v>
      </c>
      <c r="B4" s="1" t="s">
        <v>5</v>
      </c>
      <c r="C4" s="1" t="s">
        <v>24</v>
      </c>
      <c r="D4" s="1" t="s">
        <v>31</v>
      </c>
      <c r="E4" s="2">
        <v>43891</v>
      </c>
      <c r="F4" s="2">
        <v>46117</v>
      </c>
      <c r="G4" s="3">
        <v>23583</v>
      </c>
      <c r="H4" s="3">
        <v>1012869</v>
      </c>
      <c r="I4" s="3">
        <v>1857658</v>
      </c>
      <c r="J4" s="2">
        <v>47669</v>
      </c>
      <c r="K4" s="7">
        <v>9.4E-2</v>
      </c>
      <c r="L4" s="1">
        <v>126</v>
      </c>
    </row>
    <row r="5" spans="1:12" x14ac:dyDescent="0.35">
      <c r="A5" s="1" t="s">
        <v>4</v>
      </c>
      <c r="B5" s="3" t="s">
        <v>7</v>
      </c>
      <c r="C5" s="1" t="s">
        <v>8</v>
      </c>
      <c r="D5" s="1" t="s">
        <v>33</v>
      </c>
      <c r="E5" s="2">
        <v>45879</v>
      </c>
      <c r="F5" s="2">
        <v>46122</v>
      </c>
      <c r="G5" s="3">
        <v>70000</v>
      </c>
      <c r="H5" s="6">
        <v>70000</v>
      </c>
      <c r="I5" s="6">
        <v>700000</v>
      </c>
      <c r="J5" s="2">
        <v>46152</v>
      </c>
      <c r="K5" s="7">
        <v>0</v>
      </c>
      <c r="L5" s="1">
        <v>0</v>
      </c>
    </row>
    <row r="6" spans="1:12" x14ac:dyDescent="0.35">
      <c r="A6" s="1" t="s">
        <v>9</v>
      </c>
      <c r="B6" s="1" t="s">
        <v>5</v>
      </c>
      <c r="C6" s="1" t="s">
        <v>6</v>
      </c>
      <c r="D6" s="1" t="s">
        <v>34</v>
      </c>
      <c r="E6" s="2">
        <v>43969</v>
      </c>
      <c r="F6" s="2">
        <v>46122</v>
      </c>
      <c r="G6" s="3">
        <v>37000</v>
      </c>
      <c r="H6" s="3">
        <v>3300000</v>
      </c>
      <c r="I6" s="3">
        <v>3750000</v>
      </c>
      <c r="J6" s="2">
        <v>51236</v>
      </c>
      <c r="K6" s="7">
        <v>0.104</v>
      </c>
      <c r="L6" s="1">
        <v>168</v>
      </c>
    </row>
    <row r="7" spans="1:12" x14ac:dyDescent="0.35">
      <c r="A7" s="1" t="s">
        <v>10</v>
      </c>
      <c r="B7" s="1" t="s">
        <v>5</v>
      </c>
      <c r="C7" s="1" t="s">
        <v>11</v>
      </c>
      <c r="D7" s="1" t="s">
        <v>35</v>
      </c>
      <c r="E7" s="2">
        <v>44610</v>
      </c>
      <c r="F7" s="2">
        <v>46313</v>
      </c>
      <c r="G7" s="3">
        <v>12383</v>
      </c>
      <c r="H7" s="3">
        <v>678601</v>
      </c>
      <c r="I7" s="3">
        <v>1097799</v>
      </c>
      <c r="J7" s="2">
        <v>47075</v>
      </c>
      <c r="K7" s="7">
        <v>0.1211</v>
      </c>
      <c r="L7" s="1">
        <v>81</v>
      </c>
    </row>
    <row r="8" spans="1:12" x14ac:dyDescent="0.35">
      <c r="A8" s="1" t="s">
        <v>12</v>
      </c>
      <c r="B8" s="1" t="s">
        <v>5</v>
      </c>
      <c r="C8" s="1" t="s">
        <v>13</v>
      </c>
      <c r="D8" s="1" t="s">
        <v>12</v>
      </c>
      <c r="E8" s="2">
        <v>45910</v>
      </c>
      <c r="F8" s="2">
        <v>46116</v>
      </c>
      <c r="G8" s="3">
        <v>20000</v>
      </c>
      <c r="H8" s="3">
        <v>400000</v>
      </c>
      <c r="I8" s="3">
        <v>240000</v>
      </c>
      <c r="J8" s="2">
        <v>46487</v>
      </c>
      <c r="K8" s="7">
        <v>0</v>
      </c>
      <c r="L8" s="1">
        <v>20</v>
      </c>
    </row>
    <row r="9" spans="1:12" x14ac:dyDescent="0.35">
      <c r="A9" s="1" t="s">
        <v>14</v>
      </c>
      <c r="B9" s="1" t="s">
        <v>5</v>
      </c>
      <c r="C9" s="1" t="s">
        <v>15</v>
      </c>
      <c r="D9" s="1" t="s">
        <v>37</v>
      </c>
      <c r="E9" s="2">
        <v>44655</v>
      </c>
      <c r="F9" s="2">
        <v>46116</v>
      </c>
      <c r="G9" s="3">
        <v>24600</v>
      </c>
      <c r="H9" s="3">
        <f>983000+347000</f>
        <v>1330000</v>
      </c>
      <c r="I9" s="3">
        <v>1800000</v>
      </c>
      <c r="J9" s="2">
        <v>47212</v>
      </c>
      <c r="K9" s="7">
        <v>0.14000000000000001</v>
      </c>
      <c r="L9" s="1">
        <v>84</v>
      </c>
    </row>
    <row r="10" spans="1:12" x14ac:dyDescent="0.35">
      <c r="A10" s="1" t="s">
        <v>14</v>
      </c>
      <c r="B10" s="1" t="s">
        <v>5</v>
      </c>
      <c r="C10" s="1" t="s">
        <v>16</v>
      </c>
      <c r="D10" s="1">
        <v>156900713</v>
      </c>
      <c r="E10" s="2">
        <v>45632</v>
      </c>
      <c r="F10" s="2">
        <v>46118</v>
      </c>
      <c r="G10" s="3">
        <v>59663</v>
      </c>
      <c r="H10" s="3">
        <v>2642836</v>
      </c>
      <c r="I10" s="3">
        <v>3151468</v>
      </c>
      <c r="J10" s="2">
        <v>47793</v>
      </c>
      <c r="K10" s="7">
        <v>0.108</v>
      </c>
      <c r="L10" s="1">
        <v>72</v>
      </c>
    </row>
    <row r="11" spans="1:12" x14ac:dyDescent="0.35">
      <c r="A11" s="1" t="s">
        <v>17</v>
      </c>
      <c r="B11" s="1" t="s">
        <v>18</v>
      </c>
      <c r="C11" s="1" t="s">
        <v>39</v>
      </c>
      <c r="D11" s="1" t="s">
        <v>38</v>
      </c>
      <c r="E11" s="2">
        <v>43891</v>
      </c>
      <c r="F11" s="2">
        <v>46118</v>
      </c>
      <c r="G11" s="3">
        <f>H11*0.022</f>
        <v>8800</v>
      </c>
      <c r="H11" s="3">
        <v>400000</v>
      </c>
      <c r="I11" s="3">
        <v>700000</v>
      </c>
      <c r="J11" s="2">
        <v>46271</v>
      </c>
      <c r="K11" s="7">
        <v>0.24</v>
      </c>
      <c r="L11" s="1">
        <v>3</v>
      </c>
    </row>
    <row r="12" spans="1:12" x14ac:dyDescent="0.35">
      <c r="A12" s="1" t="s">
        <v>4</v>
      </c>
      <c r="B12" s="1" t="s">
        <v>18</v>
      </c>
      <c r="C12" s="1" t="s">
        <v>19</v>
      </c>
      <c r="D12" s="1" t="s">
        <v>40</v>
      </c>
      <c r="E12" s="2">
        <v>46148</v>
      </c>
      <c r="F12" s="2">
        <v>46118</v>
      </c>
      <c r="G12" s="3">
        <f>H12*0.05</f>
        <v>150000</v>
      </c>
      <c r="H12" s="3">
        <v>3000000</v>
      </c>
      <c r="I12" s="3">
        <v>3000000</v>
      </c>
      <c r="J12" s="2"/>
      <c r="K12" s="7">
        <v>0</v>
      </c>
      <c r="L12" s="1">
        <v>0</v>
      </c>
    </row>
    <row r="13" spans="1:12" x14ac:dyDescent="0.35">
      <c r="A13" s="1" t="s">
        <v>20</v>
      </c>
      <c r="B13" s="1" t="s">
        <v>5</v>
      </c>
      <c r="C13" s="1" t="s">
        <v>21</v>
      </c>
      <c r="D13" s="1" t="s">
        <v>43</v>
      </c>
      <c r="E13" s="2">
        <v>43891</v>
      </c>
      <c r="F13" s="2">
        <v>46164</v>
      </c>
      <c r="G13" s="3">
        <f>H13*0.05</f>
        <v>2500</v>
      </c>
      <c r="H13" s="3">
        <v>50000</v>
      </c>
      <c r="I13" s="3">
        <v>2800000</v>
      </c>
      <c r="J13" s="2"/>
      <c r="K13" s="7">
        <v>0.24</v>
      </c>
      <c r="L13" s="1">
        <v>72</v>
      </c>
    </row>
    <row r="14" spans="1:12" x14ac:dyDescent="0.35">
      <c r="A14" s="1" t="s">
        <v>22</v>
      </c>
      <c r="B14" s="1" t="s">
        <v>18</v>
      </c>
      <c r="C14" s="1" t="s">
        <v>18</v>
      </c>
      <c r="D14" s="1" t="s">
        <v>41</v>
      </c>
      <c r="E14" s="2">
        <v>43900</v>
      </c>
      <c r="F14" s="2">
        <v>46111</v>
      </c>
      <c r="G14" s="3">
        <f>H14*0.01</f>
        <v>30000</v>
      </c>
      <c r="H14" s="3">
        <v>3000000</v>
      </c>
      <c r="I14" s="3">
        <v>3000000</v>
      </c>
      <c r="J14" s="2"/>
      <c r="K14" s="7">
        <v>0.12</v>
      </c>
      <c r="L14" s="1" t="s">
        <v>42</v>
      </c>
    </row>
    <row r="16" spans="1:12" x14ac:dyDescent="0.35">
      <c r="G16" s="4">
        <f>SUM(G2:G15)</f>
        <v>468624</v>
      </c>
    </row>
  </sheetData>
  <conditionalFormatting sqref="F1:F14">
    <cfRule type="cellIs" dxfId="5" priority="5" operator="equal">
      <formula>#REF!</formula>
    </cfRule>
    <cfRule type="cellIs" dxfId="4" priority="6" operator="equal">
      <formula>TODAY()</formula>
    </cfRule>
  </conditionalFormatting>
  <conditionalFormatting sqref="E2:E14">
    <cfRule type="cellIs" dxfId="3" priority="3" operator="equal">
      <formula>#REF!</formula>
    </cfRule>
    <cfRule type="cellIs" dxfId="2" priority="4" operator="equal">
      <formula>TODAY()</formula>
    </cfRule>
  </conditionalFormatting>
  <conditionalFormatting sqref="J2:J14">
    <cfRule type="cellIs" dxfId="1" priority="1" operator="equal">
      <formula>#REF!</formula>
    </cfRule>
    <cfRule type="cellIs" dxfId="0" priority="2" operator="equal">
      <formula>TODAY()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Apr- 2026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2026-05-21T05:11:34Z</dcterms:created>
  <dcterms:modified xsi:type="dcterms:W3CDTF">2026-05-21T17:35:00Z</dcterms:modified>
</cp:coreProperties>
</file>