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Loan Details/"/>
    </mc:Choice>
  </mc:AlternateContent>
  <xr:revisionPtr revIDLastSave="480" documentId="8_{01525CA7-2863-4C3D-A4AB-10A79D4BC612}" xr6:coauthVersionLast="47" xr6:coauthVersionMax="47" xr10:uidLastSave="{411C0C8D-62E7-4706-AA9A-961A2193888E}"/>
  <bookViews>
    <workbookView xWindow="-110" yWindow="-110" windowWidth="19420" windowHeight="11500" activeTab="3" xr2:uid="{B86DCE04-88E0-4E61-9ED3-631BB33EF1A5}"/>
  </bookViews>
  <sheets>
    <sheet name="September Expense" sheetId="1" r:id="rId1"/>
    <sheet name="Credit card and EMI" sheetId="2" r:id="rId2"/>
    <sheet name="Vendor Payment" sheetId="3" r:id="rId3"/>
    <sheet name="Diwali 2024" sheetId="6" r:id="rId4"/>
    <sheet name="Khurja Order" sheetId="4" r:id="rId5"/>
    <sheet name="Sheet1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A23" i="3" s="1"/>
  <c r="F3" i="3"/>
  <c r="F22" i="3" s="1"/>
  <c r="F19" i="5"/>
  <c r="F20" i="5" s="1"/>
  <c r="F4" i="5"/>
  <c r="E19" i="5"/>
  <c r="G19" i="5"/>
  <c r="H31" i="4"/>
  <c r="L31" i="4"/>
  <c r="I23" i="4"/>
  <c r="I24" i="4"/>
  <c r="I25" i="4"/>
  <c r="I26" i="4"/>
  <c r="I27" i="4"/>
  <c r="I28" i="4"/>
  <c r="I29" i="4"/>
  <c r="D24" i="4"/>
  <c r="C24" i="4" s="1"/>
  <c r="D25" i="4"/>
  <c r="H25" i="4" s="1"/>
  <c r="D26" i="4"/>
  <c r="H26" i="4" s="1"/>
  <c r="D27" i="4"/>
  <c r="H27" i="4" s="1"/>
  <c r="D28" i="4"/>
  <c r="H28" i="4" s="1"/>
  <c r="D29" i="4"/>
  <c r="H29" i="4" s="1"/>
  <c r="D30" i="4"/>
  <c r="H30" i="4" s="1"/>
  <c r="D34" i="4"/>
  <c r="H34" i="4" s="1"/>
  <c r="D35" i="4"/>
  <c r="H35" i="4" s="1"/>
  <c r="D36" i="4"/>
  <c r="C36" i="4" s="1"/>
  <c r="D23" i="4"/>
  <c r="H23" i="4" s="1"/>
  <c r="I30" i="4"/>
  <c r="I34" i="4"/>
  <c r="K23" i="4"/>
  <c r="K24" i="4"/>
  <c r="K25" i="4"/>
  <c r="K26" i="4"/>
  <c r="K27" i="4"/>
  <c r="K28" i="4"/>
  <c r="K29" i="4"/>
  <c r="K30" i="4"/>
  <c r="J23" i="4"/>
  <c r="J24" i="4"/>
  <c r="J25" i="4"/>
  <c r="J26" i="4"/>
  <c r="J27" i="4"/>
  <c r="J28" i="4"/>
  <c r="J29" i="4"/>
  <c r="J30" i="4"/>
  <c r="C22" i="4"/>
  <c r="C21" i="4"/>
  <c r="G21" i="4" s="1"/>
  <c r="G2" i="4"/>
  <c r="K2" i="4" s="1"/>
  <c r="G3" i="4"/>
  <c r="D3" i="4" s="1"/>
  <c r="H3" i="4" s="1"/>
  <c r="G4" i="4"/>
  <c r="J4" i="4" s="1"/>
  <c r="G6" i="4"/>
  <c r="J6" i="4" s="1"/>
  <c r="G7" i="4"/>
  <c r="D7" i="4" s="1"/>
  <c r="H7" i="4" s="1"/>
  <c r="G8" i="4"/>
  <c r="D8" i="4" s="1"/>
  <c r="H8" i="4" s="1"/>
  <c r="G9" i="4"/>
  <c r="D9" i="4" s="1"/>
  <c r="H9" i="4" s="1"/>
  <c r="G10" i="4"/>
  <c r="D10" i="4" s="1"/>
  <c r="H10" i="4" s="1"/>
  <c r="G11" i="4"/>
  <c r="I11" i="4" s="1"/>
  <c r="G12" i="4"/>
  <c r="I12" i="4" s="1"/>
  <c r="G13" i="4"/>
  <c r="I13" i="4" s="1"/>
  <c r="G14" i="4"/>
  <c r="K14" i="4" s="1"/>
  <c r="G15" i="4"/>
  <c r="I15" i="4" s="1"/>
  <c r="G16" i="4"/>
  <c r="K16" i="4" s="1"/>
  <c r="G17" i="4"/>
  <c r="J17" i="4" s="1"/>
  <c r="G22" i="4"/>
  <c r="I22" i="4" s="1"/>
  <c r="G5" i="4"/>
  <c r="D5" i="4" s="1"/>
  <c r="H5" i="4" s="1"/>
  <c r="J34" i="4"/>
  <c r="K34" i="4"/>
  <c r="I35" i="4"/>
  <c r="J35" i="4"/>
  <c r="K35" i="4"/>
  <c r="I36" i="4"/>
  <c r="J36" i="4"/>
  <c r="K36" i="4"/>
  <c r="H37" i="4"/>
  <c r="I37" i="4"/>
  <c r="J37" i="4"/>
  <c r="K37" i="4"/>
  <c r="H24" i="4" l="1"/>
  <c r="K21" i="4"/>
  <c r="J21" i="4"/>
  <c r="I21" i="4"/>
  <c r="C23" i="4"/>
  <c r="C25" i="4"/>
  <c r="K22" i="4"/>
  <c r="C35" i="4"/>
  <c r="C34" i="4"/>
  <c r="J22" i="4"/>
  <c r="H36" i="4"/>
  <c r="L36" i="4" s="1"/>
  <c r="J2" i="4"/>
  <c r="I3" i="4"/>
  <c r="C30" i="4"/>
  <c r="C29" i="4"/>
  <c r="C26" i="4"/>
  <c r="C28" i="4"/>
  <c r="C27" i="4"/>
  <c r="D22" i="4"/>
  <c r="H22" i="4" s="1"/>
  <c r="D21" i="4"/>
  <c r="H21" i="4" s="1"/>
  <c r="L28" i="4"/>
  <c r="M28" i="4" s="1"/>
  <c r="K5" i="4"/>
  <c r="D6" i="4"/>
  <c r="H6" i="4" s="1"/>
  <c r="D2" i="4"/>
  <c r="H2" i="4" s="1"/>
  <c r="I6" i="4"/>
  <c r="L34" i="4"/>
  <c r="M34" i="4" s="1"/>
  <c r="I4" i="4"/>
  <c r="K4" i="4"/>
  <c r="L26" i="4"/>
  <c r="M26" i="4" s="1"/>
  <c r="H4" i="4"/>
  <c r="H18" i="4" s="1"/>
  <c r="I2" i="4"/>
  <c r="D17" i="4"/>
  <c r="H17" i="4" s="1"/>
  <c r="D16" i="4"/>
  <c r="H16" i="4" s="1"/>
  <c r="D15" i="4"/>
  <c r="H15" i="4" s="1"/>
  <c r="I14" i="4"/>
  <c r="J14" i="4"/>
  <c r="D14" i="4"/>
  <c r="H14" i="4" s="1"/>
  <c r="D13" i="4"/>
  <c r="H13" i="4" s="1"/>
  <c r="D12" i="4"/>
  <c r="H12" i="4" s="1"/>
  <c r="D11" i="4"/>
  <c r="H11" i="4" s="1"/>
  <c r="K11" i="4"/>
  <c r="J11" i="4"/>
  <c r="I10" i="4"/>
  <c r="J10" i="4"/>
  <c r="K10" i="4"/>
  <c r="I9" i="4"/>
  <c r="I8" i="4"/>
  <c r="I17" i="4"/>
  <c r="I7" i="4"/>
  <c r="K17" i="4"/>
  <c r="K8" i="4"/>
  <c r="J8" i="4"/>
  <c r="K7" i="4"/>
  <c r="J7" i="4"/>
  <c r="K6" i="4"/>
  <c r="I5" i="4"/>
  <c r="J5" i="4"/>
  <c r="K13" i="4"/>
  <c r="J16" i="4"/>
  <c r="I16" i="4"/>
  <c r="K15" i="4"/>
  <c r="K12" i="4"/>
  <c r="K9" i="4"/>
  <c r="J15" i="4"/>
  <c r="J12" i="4"/>
  <c r="J9" i="4"/>
  <c r="J13" i="4"/>
  <c r="L24" i="4"/>
  <c r="M24" i="4" s="1"/>
  <c r="L30" i="4"/>
  <c r="M30" i="4" s="1"/>
  <c r="K3" i="4"/>
  <c r="J3" i="4"/>
  <c r="L27" i="4"/>
  <c r="M27" i="4" s="1"/>
  <c r="L35" i="4"/>
  <c r="M35" i="4" s="1"/>
  <c r="L37" i="4"/>
  <c r="L23" i="4"/>
  <c r="M23" i="4" s="1"/>
  <c r="L29" i="4"/>
  <c r="M29" i="4" s="1"/>
  <c r="L25" i="4"/>
  <c r="M25" i="4" s="1"/>
  <c r="L21" i="4" l="1"/>
  <c r="M21" i="4" s="1"/>
  <c r="L10" i="4"/>
  <c r="M10" i="4" s="1"/>
  <c r="L11" i="4"/>
  <c r="M11" i="4" s="1"/>
  <c r="L22" i="4"/>
  <c r="M22" i="4" s="1"/>
  <c r="L4" i="4"/>
  <c r="M4" i="4" s="1"/>
  <c r="L6" i="4"/>
  <c r="M6" i="4" s="1"/>
  <c r="L7" i="4"/>
  <c r="M7" i="4" s="1"/>
  <c r="L2" i="4"/>
  <c r="L9" i="4"/>
  <c r="M9" i="4" s="1"/>
  <c r="L8" i="4"/>
  <c r="M8" i="4" s="1"/>
  <c r="L16" i="4"/>
  <c r="M16" i="4" s="1"/>
  <c r="L17" i="4"/>
  <c r="M17" i="4" s="1"/>
  <c r="L14" i="4"/>
  <c r="M14" i="4" s="1"/>
  <c r="L3" i="4"/>
  <c r="M3" i="4" s="1"/>
  <c r="L15" i="4"/>
  <c r="M15" i="4" s="1"/>
  <c r="L13" i="4"/>
  <c r="M13" i="4" s="1"/>
  <c r="L12" i="4"/>
  <c r="M12" i="4" s="1"/>
  <c r="L5" i="4"/>
  <c r="M5" i="4" s="1"/>
  <c r="M2" i="4" l="1"/>
  <c r="L18" i="4"/>
  <c r="H14" i="2"/>
  <c r="C13" i="2"/>
  <c r="C22" i="2" s="1"/>
  <c r="D38" i="1" l="1"/>
  <c r="D27" i="1"/>
  <c r="I11" i="1"/>
  <c r="I9" i="1"/>
  <c r="I8" i="1"/>
  <c r="I14" i="1" s="1"/>
  <c r="D40" i="1" s="1"/>
</calcChain>
</file>

<file path=xl/sharedStrings.xml><?xml version="1.0" encoding="utf-8"?>
<sst xmlns="http://schemas.openxmlformats.org/spreadsheetml/2006/main" count="314" uniqueCount="182">
  <si>
    <t>Expense</t>
  </si>
  <si>
    <t>Income</t>
  </si>
  <si>
    <t>Date</t>
  </si>
  <si>
    <t>Vendor name</t>
  </si>
  <si>
    <t>Item</t>
  </si>
  <si>
    <t>Amount</t>
  </si>
  <si>
    <t>Remarks</t>
  </si>
  <si>
    <t>Salim bhai</t>
  </si>
  <si>
    <t>Ceramic pot</t>
  </si>
  <si>
    <t>Planter Advance</t>
  </si>
  <si>
    <t>Daily Sales</t>
  </si>
  <si>
    <t>Cash</t>
  </si>
  <si>
    <t>Iqbal bhai Website</t>
  </si>
  <si>
    <t>Garba</t>
  </si>
  <si>
    <t>Garba Ads</t>
  </si>
  <si>
    <t>online</t>
  </si>
  <si>
    <t xml:space="preserve">Rajukaka </t>
  </si>
  <si>
    <t>Matala</t>
  </si>
  <si>
    <t>Matala nu bill</t>
  </si>
  <si>
    <t>ibrahim</t>
  </si>
  <si>
    <t>Salary</t>
  </si>
  <si>
    <t>salary</t>
  </si>
  <si>
    <t xml:space="preserve">Vicky </t>
  </si>
  <si>
    <t>KULHAD</t>
  </si>
  <si>
    <t>T9 glass</t>
  </si>
  <si>
    <t>Malaysia Payment</t>
  </si>
  <si>
    <t>Sajid bhai</t>
  </si>
  <si>
    <t>shakti pot and agarbatti stand</t>
  </si>
  <si>
    <t>Vapi Payment</t>
  </si>
  <si>
    <t>Dhyaneswhara</t>
  </si>
  <si>
    <t>DIYA</t>
  </si>
  <si>
    <t>Last year bill</t>
  </si>
  <si>
    <t>Cash/Online</t>
  </si>
  <si>
    <t>Ramilaben</t>
  </si>
  <si>
    <t>Vinod Jogeshwari</t>
  </si>
  <si>
    <t>Diya</t>
  </si>
  <si>
    <t>Kolkata diya Advance</t>
  </si>
  <si>
    <t>18-09-2024 to 23-09-2024</t>
  </si>
  <si>
    <t>Hukumpal</t>
  </si>
  <si>
    <t>TRANSPORT</t>
  </si>
  <si>
    <t>Khurja Transport</t>
  </si>
  <si>
    <t>Australiya</t>
  </si>
  <si>
    <t>Mukka</t>
  </si>
  <si>
    <t>Rehan</t>
  </si>
  <si>
    <t>Rehman</t>
  </si>
  <si>
    <t>Vishjwajit tambe</t>
  </si>
  <si>
    <t>Customer return</t>
  </si>
  <si>
    <t>return for additnal amount</t>
  </si>
  <si>
    <t>Mansoor</t>
  </si>
  <si>
    <t>Taxi fare</t>
  </si>
  <si>
    <t>Rizwan</t>
  </si>
  <si>
    <t>Owais</t>
  </si>
  <si>
    <t>Handi</t>
  </si>
  <si>
    <t>Owais biryani pot advance</t>
  </si>
  <si>
    <t>Rajubhai Chauhan</t>
  </si>
  <si>
    <t xml:space="preserve">small kundi </t>
  </si>
  <si>
    <t>Nitin</t>
  </si>
  <si>
    <t>garba adavance</t>
  </si>
  <si>
    <t xml:space="preserve">Akshey Arora </t>
  </si>
  <si>
    <t>T0 glass new vendor</t>
  </si>
  <si>
    <t>China world</t>
  </si>
  <si>
    <t>Thailand candle</t>
  </si>
  <si>
    <t>Bhikha aata</t>
  </si>
  <si>
    <t>Mul Bhag</t>
  </si>
  <si>
    <t>till 08 -sept-2024</t>
  </si>
  <si>
    <t>till 15 -sept-2024</t>
  </si>
  <si>
    <t>Mukesh Dabbang</t>
  </si>
  <si>
    <t>Kamal and Hath diya</t>
  </si>
  <si>
    <t>Water</t>
  </si>
  <si>
    <t>Daan</t>
  </si>
  <si>
    <t>Water distribution</t>
  </si>
  <si>
    <t>Haresh Wagadiya</t>
  </si>
  <si>
    <t>Rent</t>
  </si>
  <si>
    <t>Sept 2024 Rent</t>
  </si>
  <si>
    <t xml:space="preserve">Rehan </t>
  </si>
  <si>
    <t>Rehan salary</t>
  </si>
  <si>
    <t>22-0-2024</t>
  </si>
  <si>
    <t>Customer</t>
  </si>
  <si>
    <t>Return</t>
  </si>
  <si>
    <t>Balance</t>
  </si>
  <si>
    <t>Credit cards</t>
  </si>
  <si>
    <t>Name</t>
  </si>
  <si>
    <t>Card</t>
  </si>
  <si>
    <t>Dharmesh</t>
  </si>
  <si>
    <t>HDFC</t>
  </si>
  <si>
    <t>Tata</t>
  </si>
  <si>
    <t>RBL</t>
  </si>
  <si>
    <t>SBI F</t>
  </si>
  <si>
    <t>Citi</t>
  </si>
  <si>
    <t>Axis Previledge</t>
  </si>
  <si>
    <t>SBI Simple</t>
  </si>
  <si>
    <t>Axis MM</t>
  </si>
  <si>
    <t xml:space="preserve">Dharmesh </t>
  </si>
  <si>
    <t>Axis Vistara</t>
  </si>
  <si>
    <t>Paid</t>
  </si>
  <si>
    <t>Total</t>
  </si>
  <si>
    <t>Vinod</t>
  </si>
  <si>
    <t>SBI</t>
  </si>
  <si>
    <t>Yagneshbhai</t>
  </si>
  <si>
    <t>HSBC</t>
  </si>
  <si>
    <t>ICICI</t>
  </si>
  <si>
    <t>EMI CHART(Mar 2024)</t>
  </si>
  <si>
    <t>Particular</t>
  </si>
  <si>
    <t>Dharmesh EMI</t>
  </si>
  <si>
    <t>Arun Home Loan</t>
  </si>
  <si>
    <t>Arun Mortgage Loan</t>
  </si>
  <si>
    <t>Rajubhai Loan</t>
  </si>
  <si>
    <t>Arun ML</t>
  </si>
  <si>
    <t>Naru HL</t>
  </si>
  <si>
    <t>Vinod CC PL</t>
  </si>
  <si>
    <t>cc interest</t>
  </si>
  <si>
    <t>Dilip Interest</t>
  </si>
  <si>
    <t>Cred Loan</t>
  </si>
  <si>
    <t>Yagnesh bhai ICICI</t>
  </si>
  <si>
    <t>Due blocking of cards</t>
  </si>
  <si>
    <t>5 lakh</t>
  </si>
  <si>
    <t>Ambalal</t>
  </si>
  <si>
    <t>dhayneshwar</t>
  </si>
  <si>
    <t>jameel bhai</t>
  </si>
  <si>
    <t>hukumpal</t>
  </si>
  <si>
    <t>Saleem bhai</t>
  </si>
  <si>
    <t>Vendor</t>
  </si>
  <si>
    <t>Payment</t>
  </si>
  <si>
    <t>0 Number handi</t>
  </si>
  <si>
    <t>Vendor Name</t>
  </si>
  <si>
    <t>Quantity</t>
  </si>
  <si>
    <t>Total amount</t>
  </si>
  <si>
    <t>Transport charges</t>
  </si>
  <si>
    <t>Hamali</t>
  </si>
  <si>
    <t>Packing charges</t>
  </si>
  <si>
    <t>00 Number handi</t>
  </si>
  <si>
    <t>1 Number Handi</t>
  </si>
  <si>
    <t>2 Number Handi</t>
  </si>
  <si>
    <t>3 Number Handi</t>
  </si>
  <si>
    <t>4 Number Handi</t>
  </si>
  <si>
    <t>5 Number Handi</t>
  </si>
  <si>
    <t>Biryani Handi 01</t>
  </si>
  <si>
    <t>Biryani Handi 02</t>
  </si>
  <si>
    <t>Hotpot Big</t>
  </si>
  <si>
    <t>Hotpot small</t>
  </si>
  <si>
    <t>bottle</t>
  </si>
  <si>
    <t>Small Plate</t>
  </si>
  <si>
    <t>Big Plate</t>
  </si>
  <si>
    <t>Animal Planter</t>
  </si>
  <si>
    <t>400ml katora</t>
  </si>
  <si>
    <t>Vakeel saab</t>
  </si>
  <si>
    <t>T0 Glass</t>
  </si>
  <si>
    <t>Chai Kulhad small</t>
  </si>
  <si>
    <t>T3 Glass</t>
  </si>
  <si>
    <t>Per Piece</t>
  </si>
  <si>
    <t>T9 Glass</t>
  </si>
  <si>
    <t>T1 Glass</t>
  </si>
  <si>
    <t>T5 Glass</t>
  </si>
  <si>
    <t>500ml Handi</t>
  </si>
  <si>
    <t>1kg Handi</t>
  </si>
  <si>
    <t>1.5kg handi</t>
  </si>
  <si>
    <t>5" Plate</t>
  </si>
  <si>
    <t>Box packing</t>
  </si>
  <si>
    <t>Rate</t>
  </si>
  <si>
    <t>No of box</t>
  </si>
  <si>
    <t>Saluja</t>
  </si>
  <si>
    <t>Udhar</t>
  </si>
  <si>
    <t>Ramanik Bhai</t>
  </si>
  <si>
    <t>Jitu bhai Bhayander</t>
  </si>
  <si>
    <t>Panvel</t>
  </si>
  <si>
    <t>Vasram bhai Vashi</t>
  </si>
  <si>
    <t>Jitubhai Thana wala</t>
  </si>
  <si>
    <t>Raddisons</t>
  </si>
  <si>
    <t>Laxmi Purohit</t>
  </si>
  <si>
    <t>Jitubhai Bhayander</t>
  </si>
  <si>
    <t>Aurangabad</t>
  </si>
  <si>
    <t>Gautam Patidar</t>
  </si>
  <si>
    <t>Dongri Kukhad</t>
  </si>
  <si>
    <t>Powai Kulhad</t>
  </si>
  <si>
    <t>Girish Gohil</t>
  </si>
  <si>
    <t xml:space="preserve">Manoj </t>
  </si>
  <si>
    <t>Nitin Chai vai</t>
  </si>
  <si>
    <t>Manoj bhai Matala</t>
  </si>
  <si>
    <t>Rajubhai Matala</t>
  </si>
  <si>
    <t>Profit</t>
  </si>
  <si>
    <t>Actual</t>
  </si>
  <si>
    <t>Account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</si>
</sst>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F800]dddd\,\ mmmm\ dd\,\ yyyy"/>
    <numFmt numFmtId="165" formatCode="_ &quot;₹&quot;\ * #,##0_ ;_ &quot;₹&quot;\ * \-#,##0_ ;_ &quot;₹&quot;\ * &quot;-&quot;??_ ;_ @_ "/>
    <numFmt numFmtId="166" formatCode="_ * #,##0_ ;_ * \-#,##0_ ;_ * &quot;-&quot;??_ ;_ @_ "/>
    <numFmt numFmtId="167" formatCode="_ [$₹-4009]\ * #,##0_ ;_ [$₹-4009]\ * \-#,##0_ ;_ [$₹-4009]\ * &quot;-&quot;??_ ;_ @_ "/>
    <numFmt numFmtId="171" formatCode="[$-14009]dddd\,\ d\ mmmm\,\ yy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">
    <xf numFmtId="0" fontId="0" fillId="0" borderId="0" xfId="0"/>
    <xf numFmtId="16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2" fillId="3" borderId="2" xfId="2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2" xfId="2" applyNumberFormat="1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2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5" fontId="0" fillId="0" borderId="0" xfId="2" applyNumberFormat="1" applyFont="1"/>
    <xf numFmtId="166" fontId="0" fillId="0" borderId="2" xfId="1" applyNumberFormat="1" applyFont="1" applyBorder="1" applyAlignment="1">
      <alignment horizontal="center" vertical="center"/>
    </xf>
    <xf numFmtId="166" fontId="3" fillId="0" borderId="2" xfId="1" applyNumberFormat="1" applyFont="1" applyBorder="1" applyAlignment="1">
      <alignment horizontal="center" vertical="center"/>
    </xf>
    <xf numFmtId="167" fontId="0" fillId="4" borderId="2" xfId="1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7" fontId="2" fillId="4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2" fillId="5" borderId="2" xfId="1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66" fontId="2" fillId="7" borderId="2" xfId="1" applyNumberFormat="1" applyFont="1" applyFill="1" applyBorder="1" applyAlignment="1">
      <alignment horizontal="center" vertical="center"/>
    </xf>
    <xf numFmtId="166" fontId="0" fillId="0" borderId="2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6" fontId="2" fillId="0" borderId="2" xfId="1" applyNumberFormat="1" applyFont="1" applyBorder="1" applyAlignment="1">
      <alignment horizontal="center" vertical="center"/>
    </xf>
    <xf numFmtId="0" fontId="2" fillId="0" borderId="0" xfId="0" applyFont="1"/>
    <xf numFmtId="165" fontId="2" fillId="0" borderId="0" xfId="2" applyNumberFormat="1" applyFont="1"/>
    <xf numFmtId="0" fontId="2" fillId="8" borderId="2" xfId="0" applyFont="1" applyFill="1" applyBorder="1" applyAlignment="1">
      <alignment horizontal="center" vertical="center"/>
    </xf>
    <xf numFmtId="165" fontId="2" fillId="8" borderId="2" xfId="2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65" fontId="2" fillId="0" borderId="2" xfId="2" applyNumberFormat="1" applyFont="1" applyBorder="1" applyAlignment="1">
      <alignment horizontal="center" vertical="center"/>
    </xf>
    <xf numFmtId="15" fontId="0" fillId="0" borderId="0" xfId="0" applyNumberFormat="1"/>
    <xf numFmtId="14" fontId="0" fillId="0" borderId="0" xfId="0" applyNumberFormat="1"/>
    <xf numFmtId="166" fontId="0" fillId="10" borderId="2" xfId="1" applyNumberFormat="1" applyFont="1" applyFill="1" applyBorder="1" applyAlignment="1">
      <alignment horizontal="center" vertical="center"/>
    </xf>
    <xf numFmtId="166" fontId="0" fillId="11" borderId="2" xfId="1" applyNumberFormat="1" applyFont="1" applyFill="1" applyBorder="1" applyAlignment="1">
      <alignment horizontal="center" vertical="center"/>
    </xf>
    <xf numFmtId="1" fontId="4" fillId="9" borderId="4" xfId="0" applyNumberFormat="1" applyFont="1" applyFill="1" applyBorder="1" applyAlignment="1">
      <alignment horizontal="center" vertical="center" wrapText="1"/>
    </xf>
    <xf numFmtId="166" fontId="4" fillId="9" borderId="5" xfId="1" applyNumberFormat="1" applyFont="1" applyFill="1" applyBorder="1" applyAlignment="1">
      <alignment horizontal="center" vertical="center" wrapText="1"/>
    </xf>
    <xf numFmtId="166" fontId="4" fillId="9" borderId="6" xfId="1" applyNumberFormat="1" applyFont="1" applyFill="1" applyBorder="1" applyAlignment="1">
      <alignment horizontal="center" vertical="center" wrapText="1"/>
    </xf>
    <xf numFmtId="171" fontId="0" fillId="10" borderId="3" xfId="0" applyNumberFormat="1" applyFill="1" applyBorder="1" applyAlignment="1">
      <alignment horizontal="center" vertical="center"/>
    </xf>
    <xf numFmtId="171" fontId="0" fillId="11" borderId="3" xfId="0" applyNumberForma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9ABC-8952-4474-8175-5D9CD50E7EB6}">
  <dimension ref="A1:I40"/>
  <sheetViews>
    <sheetView topLeftCell="A24" workbookViewId="0">
      <selection activeCell="A24" sqref="A24"/>
    </sheetView>
  </sheetViews>
  <sheetFormatPr defaultRowHeight="14.5" x14ac:dyDescent="0.35"/>
  <cols>
    <col min="1" max="1" width="17" style="11" bestFit="1" customWidth="1"/>
    <col min="2" max="2" width="16.453125" bestFit="1" customWidth="1"/>
    <col min="3" max="3" width="19.54296875" bestFit="1" customWidth="1"/>
    <col min="4" max="4" width="14.7265625" style="12" bestFit="1" customWidth="1"/>
    <col min="5" max="5" width="26" bestFit="1" customWidth="1"/>
    <col min="6" max="6" width="20.90625" bestFit="1" customWidth="1"/>
    <col min="7" max="7" width="14" bestFit="1" customWidth="1"/>
    <col min="8" max="8" width="14.7265625" bestFit="1" customWidth="1"/>
    <col min="9" max="9" width="10.08984375" bestFit="1" customWidth="1"/>
  </cols>
  <sheetData>
    <row r="1" spans="1:9" x14ac:dyDescent="0.35">
      <c r="A1" s="29" t="s">
        <v>0</v>
      </c>
      <c r="B1" s="29"/>
      <c r="C1" s="29"/>
      <c r="D1" s="29"/>
      <c r="F1" s="29" t="s">
        <v>1</v>
      </c>
      <c r="G1" s="29"/>
      <c r="H1" s="29"/>
      <c r="I1" s="29"/>
    </row>
    <row r="2" spans="1:9" x14ac:dyDescent="0.35">
      <c r="A2" s="1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1" t="s">
        <v>2</v>
      </c>
      <c r="G2" s="2" t="s">
        <v>3</v>
      </c>
      <c r="H2" s="2" t="s">
        <v>4</v>
      </c>
      <c r="I2" s="3" t="s">
        <v>5</v>
      </c>
    </row>
    <row r="3" spans="1:9" x14ac:dyDescent="0.35">
      <c r="A3" s="4">
        <v>45537</v>
      </c>
      <c r="B3" s="5" t="s">
        <v>7</v>
      </c>
      <c r="C3" s="5" t="s">
        <v>8</v>
      </c>
      <c r="D3" s="6">
        <v>10000</v>
      </c>
      <c r="E3" t="s">
        <v>9</v>
      </c>
      <c r="F3" s="4">
        <v>45536</v>
      </c>
      <c r="G3" s="5" t="s">
        <v>10</v>
      </c>
      <c r="H3" s="5" t="s">
        <v>11</v>
      </c>
      <c r="I3" s="6">
        <v>69610</v>
      </c>
    </row>
    <row r="4" spans="1:9" x14ac:dyDescent="0.35">
      <c r="A4" s="4">
        <v>45538</v>
      </c>
      <c r="B4" s="5" t="s">
        <v>12</v>
      </c>
      <c r="C4" s="5" t="s">
        <v>13</v>
      </c>
      <c r="D4" s="6">
        <v>1000</v>
      </c>
      <c r="E4" t="s">
        <v>14</v>
      </c>
      <c r="F4" s="4">
        <v>45543</v>
      </c>
      <c r="G4" s="5" t="s">
        <v>10</v>
      </c>
      <c r="H4" s="5" t="s">
        <v>15</v>
      </c>
      <c r="I4" s="6">
        <v>94611</v>
      </c>
    </row>
    <row r="5" spans="1:9" x14ac:dyDescent="0.35">
      <c r="A5" s="4">
        <v>45538</v>
      </c>
      <c r="B5" s="5" t="s">
        <v>16</v>
      </c>
      <c r="C5" s="5" t="s">
        <v>17</v>
      </c>
      <c r="D5" s="6">
        <v>4200</v>
      </c>
      <c r="E5" t="s">
        <v>18</v>
      </c>
      <c r="F5" s="4">
        <v>45544</v>
      </c>
      <c r="G5" s="5" t="s">
        <v>10</v>
      </c>
      <c r="H5" s="5" t="s">
        <v>11</v>
      </c>
      <c r="I5" s="6">
        <v>86880</v>
      </c>
    </row>
    <row r="6" spans="1:9" x14ac:dyDescent="0.35">
      <c r="A6" s="4">
        <v>45538</v>
      </c>
      <c r="B6" s="5" t="s">
        <v>19</v>
      </c>
      <c r="C6" s="5" t="s">
        <v>20</v>
      </c>
      <c r="D6" s="6">
        <v>1000</v>
      </c>
      <c r="E6" t="s">
        <v>21</v>
      </c>
      <c r="F6" s="4">
        <v>45550</v>
      </c>
      <c r="G6" s="5" t="s">
        <v>10</v>
      </c>
      <c r="H6" s="5" t="s">
        <v>15</v>
      </c>
      <c r="I6" s="6">
        <v>91621</v>
      </c>
    </row>
    <row r="7" spans="1:9" x14ac:dyDescent="0.35">
      <c r="A7" s="4">
        <v>45538</v>
      </c>
      <c r="B7" s="5" t="s">
        <v>22</v>
      </c>
      <c r="C7" s="5" t="s">
        <v>23</v>
      </c>
      <c r="D7" s="6">
        <v>4612</v>
      </c>
      <c r="E7" t="s">
        <v>24</v>
      </c>
      <c r="F7" s="4">
        <v>45551</v>
      </c>
      <c r="G7" s="5" t="s">
        <v>25</v>
      </c>
      <c r="H7" s="5" t="s">
        <v>15</v>
      </c>
      <c r="I7" s="6">
        <v>99500</v>
      </c>
    </row>
    <row r="8" spans="1:9" x14ac:dyDescent="0.35">
      <c r="A8" s="4">
        <v>45539</v>
      </c>
      <c r="B8" s="5" t="s">
        <v>26</v>
      </c>
      <c r="C8" s="5" t="s">
        <v>8</v>
      </c>
      <c r="D8" s="6">
        <v>34000</v>
      </c>
      <c r="E8" t="s">
        <v>27</v>
      </c>
      <c r="F8" s="4">
        <v>45551</v>
      </c>
      <c r="G8" s="5" t="s">
        <v>28</v>
      </c>
      <c r="H8" s="5" t="s">
        <v>15</v>
      </c>
      <c r="I8" s="6">
        <f>84000-14500</f>
        <v>69500</v>
      </c>
    </row>
    <row r="9" spans="1:9" x14ac:dyDescent="0.35">
      <c r="A9" s="4">
        <v>45539</v>
      </c>
      <c r="B9" s="5" t="s">
        <v>29</v>
      </c>
      <c r="C9" s="5" t="s">
        <v>30</v>
      </c>
      <c r="D9" s="6">
        <v>50000</v>
      </c>
      <c r="E9" t="s">
        <v>31</v>
      </c>
      <c r="F9" s="4">
        <v>45551</v>
      </c>
      <c r="G9" s="5" t="s">
        <v>10</v>
      </c>
      <c r="H9" s="5" t="s">
        <v>32</v>
      </c>
      <c r="I9" s="6">
        <f>20020+4830</f>
        <v>24850</v>
      </c>
    </row>
    <row r="10" spans="1:9" x14ac:dyDescent="0.35">
      <c r="A10" s="4">
        <v>45539</v>
      </c>
      <c r="B10" s="5" t="s">
        <v>33</v>
      </c>
      <c r="C10" s="5" t="s">
        <v>20</v>
      </c>
      <c r="D10" s="6">
        <v>4000</v>
      </c>
      <c r="E10" t="s">
        <v>21</v>
      </c>
      <c r="F10" s="4">
        <v>45552</v>
      </c>
      <c r="G10" s="5" t="s">
        <v>10</v>
      </c>
      <c r="H10" s="5" t="s">
        <v>32</v>
      </c>
      <c r="I10" s="6">
        <v>8720</v>
      </c>
    </row>
    <row r="11" spans="1:9" x14ac:dyDescent="0.35">
      <c r="A11" s="4">
        <v>45541</v>
      </c>
      <c r="B11" s="5" t="s">
        <v>34</v>
      </c>
      <c r="C11" s="5" t="s">
        <v>35</v>
      </c>
      <c r="D11" s="6">
        <v>40000</v>
      </c>
      <c r="E11" t="s">
        <v>36</v>
      </c>
      <c r="F11" s="4" t="s">
        <v>37</v>
      </c>
      <c r="G11" s="5" t="s">
        <v>10</v>
      </c>
      <c r="H11" s="5" t="s">
        <v>32</v>
      </c>
      <c r="I11" s="6">
        <f>172070-69110</f>
        <v>102960</v>
      </c>
    </row>
    <row r="12" spans="1:9" x14ac:dyDescent="0.35">
      <c r="A12" s="4">
        <v>45542</v>
      </c>
      <c r="B12" s="5" t="s">
        <v>38</v>
      </c>
      <c r="C12" s="5" t="s">
        <v>39</v>
      </c>
      <c r="D12" s="6">
        <v>26000</v>
      </c>
      <c r="E12" t="s">
        <v>40</v>
      </c>
      <c r="F12" s="4">
        <v>45554</v>
      </c>
      <c r="G12" s="5" t="s">
        <v>41</v>
      </c>
      <c r="H12" s="5" t="s">
        <v>15</v>
      </c>
      <c r="I12" s="6">
        <v>52051</v>
      </c>
    </row>
    <row r="13" spans="1:9" x14ac:dyDescent="0.35">
      <c r="A13" s="4">
        <v>45542</v>
      </c>
      <c r="B13" s="5" t="s">
        <v>42</v>
      </c>
      <c r="C13" s="5" t="s">
        <v>20</v>
      </c>
      <c r="D13" s="6">
        <v>1000</v>
      </c>
      <c r="E13" t="s">
        <v>21</v>
      </c>
      <c r="F13" s="4"/>
      <c r="G13" s="5"/>
      <c r="H13" s="5"/>
      <c r="I13" s="6"/>
    </row>
    <row r="14" spans="1:9" x14ac:dyDescent="0.35">
      <c r="A14" s="4">
        <v>45542</v>
      </c>
      <c r="B14" s="5" t="s">
        <v>19</v>
      </c>
      <c r="C14" s="5" t="s">
        <v>20</v>
      </c>
      <c r="D14" s="6">
        <v>9800</v>
      </c>
      <c r="E14" t="s">
        <v>21</v>
      </c>
      <c r="I14" s="7">
        <f>SUM(I3:I13)</f>
        <v>700303</v>
      </c>
    </row>
    <row r="15" spans="1:9" x14ac:dyDescent="0.35">
      <c r="A15" s="4">
        <v>45542</v>
      </c>
      <c r="B15" s="5" t="s">
        <v>43</v>
      </c>
      <c r="C15" s="5" t="s">
        <v>20</v>
      </c>
      <c r="D15" s="6">
        <v>5480</v>
      </c>
      <c r="E15" t="s">
        <v>21</v>
      </c>
    </row>
    <row r="16" spans="1:9" x14ac:dyDescent="0.35">
      <c r="A16" s="4">
        <v>45542</v>
      </c>
      <c r="B16" s="5" t="s">
        <v>33</v>
      </c>
      <c r="C16" s="5" t="s">
        <v>20</v>
      </c>
      <c r="D16" s="6">
        <v>5000</v>
      </c>
      <c r="E16" t="s">
        <v>21</v>
      </c>
    </row>
    <row r="17" spans="1:5" x14ac:dyDescent="0.35">
      <c r="A17" s="4">
        <v>45542</v>
      </c>
      <c r="B17" s="5" t="s">
        <v>44</v>
      </c>
      <c r="C17" s="5" t="s">
        <v>20</v>
      </c>
      <c r="D17" s="6">
        <v>3200</v>
      </c>
      <c r="E17" t="s">
        <v>21</v>
      </c>
    </row>
    <row r="18" spans="1:5" x14ac:dyDescent="0.35">
      <c r="A18" s="4">
        <v>45543</v>
      </c>
      <c r="B18" s="5" t="s">
        <v>45</v>
      </c>
      <c r="C18" s="5" t="s">
        <v>46</v>
      </c>
      <c r="D18" s="6">
        <v>2520</v>
      </c>
      <c r="E18" t="s">
        <v>47</v>
      </c>
    </row>
    <row r="19" spans="1:5" x14ac:dyDescent="0.35">
      <c r="A19" s="4">
        <v>45544</v>
      </c>
      <c r="B19" s="5" t="s">
        <v>48</v>
      </c>
      <c r="C19" s="5" t="s">
        <v>39</v>
      </c>
      <c r="D19" s="6">
        <v>1200</v>
      </c>
      <c r="E19" t="s">
        <v>49</v>
      </c>
    </row>
    <row r="20" spans="1:5" x14ac:dyDescent="0.35">
      <c r="A20" s="4">
        <v>45545</v>
      </c>
      <c r="B20" s="5" t="s">
        <v>50</v>
      </c>
      <c r="C20" s="5" t="s">
        <v>20</v>
      </c>
      <c r="D20" s="6">
        <v>10900</v>
      </c>
      <c r="E20" t="s">
        <v>21</v>
      </c>
    </row>
    <row r="21" spans="1:5" x14ac:dyDescent="0.35">
      <c r="A21" s="4">
        <v>45546</v>
      </c>
      <c r="B21" s="5" t="s">
        <v>51</v>
      </c>
      <c r="C21" s="5" t="s">
        <v>52</v>
      </c>
      <c r="D21" s="6">
        <v>25000</v>
      </c>
      <c r="E21" t="s">
        <v>53</v>
      </c>
    </row>
    <row r="22" spans="1:5" x14ac:dyDescent="0.35">
      <c r="A22" s="4">
        <v>45548</v>
      </c>
      <c r="B22" s="5" t="s">
        <v>54</v>
      </c>
      <c r="C22" s="5" t="s">
        <v>52</v>
      </c>
      <c r="D22" s="6">
        <v>5700</v>
      </c>
      <c r="E22" t="s">
        <v>55</v>
      </c>
    </row>
    <row r="23" spans="1:5" x14ac:dyDescent="0.35">
      <c r="A23" s="4">
        <v>45549</v>
      </c>
      <c r="B23" s="5" t="s">
        <v>56</v>
      </c>
      <c r="C23" s="5" t="s">
        <v>13</v>
      </c>
      <c r="D23" s="6">
        <v>1000</v>
      </c>
      <c r="E23" t="s">
        <v>57</v>
      </c>
    </row>
    <row r="24" spans="1:5" x14ac:dyDescent="0.35">
      <c r="A24" s="4">
        <v>45549</v>
      </c>
      <c r="B24" s="5" t="s">
        <v>58</v>
      </c>
      <c r="C24" s="5" t="s">
        <v>23</v>
      </c>
      <c r="D24" s="6">
        <v>38000</v>
      </c>
      <c r="E24" t="s">
        <v>59</v>
      </c>
    </row>
    <row r="25" spans="1:5" x14ac:dyDescent="0.35">
      <c r="A25" s="4">
        <v>45551</v>
      </c>
      <c r="B25" s="5" t="s">
        <v>38</v>
      </c>
      <c r="C25" s="5" t="s">
        <v>39</v>
      </c>
      <c r="D25" s="6">
        <v>10000</v>
      </c>
      <c r="E25" t="s">
        <v>40</v>
      </c>
    </row>
    <row r="26" spans="1:5" x14ac:dyDescent="0.35">
      <c r="A26" s="4">
        <v>45551</v>
      </c>
      <c r="B26" s="5" t="s">
        <v>60</v>
      </c>
      <c r="C26" s="5" t="s">
        <v>35</v>
      </c>
      <c r="D26" s="6">
        <v>61200</v>
      </c>
      <c r="E26" t="s">
        <v>61</v>
      </c>
    </row>
    <row r="27" spans="1:5" x14ac:dyDescent="0.35">
      <c r="A27" s="4">
        <v>45551</v>
      </c>
      <c r="B27" s="5" t="s">
        <v>62</v>
      </c>
      <c r="C27" s="5" t="s">
        <v>63</v>
      </c>
      <c r="D27" s="6">
        <f>16422+9558</f>
        <v>25980</v>
      </c>
      <c r="E27" t="s">
        <v>64</v>
      </c>
    </row>
    <row r="28" spans="1:5" x14ac:dyDescent="0.35">
      <c r="A28" s="4">
        <v>45559</v>
      </c>
      <c r="B28" s="5" t="s">
        <v>62</v>
      </c>
      <c r="C28" s="5" t="s">
        <v>63</v>
      </c>
      <c r="D28" s="6">
        <v>17850</v>
      </c>
      <c r="E28" t="s">
        <v>65</v>
      </c>
    </row>
    <row r="29" spans="1:5" x14ac:dyDescent="0.35">
      <c r="A29" s="4">
        <v>45559</v>
      </c>
      <c r="B29" s="8" t="s">
        <v>66</v>
      </c>
      <c r="C29" s="8" t="s">
        <v>30</v>
      </c>
      <c r="D29" s="9">
        <v>15389</v>
      </c>
      <c r="E29" t="s">
        <v>67</v>
      </c>
    </row>
    <row r="30" spans="1:5" x14ac:dyDescent="0.35">
      <c r="A30" s="10">
        <v>45552</v>
      </c>
      <c r="B30" s="8" t="s">
        <v>68</v>
      </c>
      <c r="C30" s="8" t="s">
        <v>69</v>
      </c>
      <c r="D30" s="9">
        <v>2100</v>
      </c>
      <c r="E30" t="s">
        <v>70</v>
      </c>
    </row>
    <row r="31" spans="1:5" x14ac:dyDescent="0.35">
      <c r="A31" s="10">
        <v>45555</v>
      </c>
      <c r="B31" s="8" t="s">
        <v>71</v>
      </c>
      <c r="C31" s="8" t="s">
        <v>72</v>
      </c>
      <c r="D31" s="9">
        <v>105000</v>
      </c>
      <c r="E31" t="s">
        <v>73</v>
      </c>
    </row>
    <row r="32" spans="1:5" x14ac:dyDescent="0.35">
      <c r="A32" s="10">
        <v>45556</v>
      </c>
      <c r="B32" s="8" t="s">
        <v>51</v>
      </c>
      <c r="C32" s="8" t="s">
        <v>52</v>
      </c>
      <c r="D32" s="9">
        <v>23000</v>
      </c>
      <c r="E32" t="s">
        <v>53</v>
      </c>
    </row>
    <row r="33" spans="1:5" x14ac:dyDescent="0.35">
      <c r="A33" s="10">
        <v>45558</v>
      </c>
      <c r="B33" s="8" t="s">
        <v>74</v>
      </c>
      <c r="C33" s="8" t="s">
        <v>20</v>
      </c>
      <c r="D33" s="9">
        <v>3780</v>
      </c>
      <c r="E33" t="s">
        <v>75</v>
      </c>
    </row>
    <row r="34" spans="1:5" x14ac:dyDescent="0.35">
      <c r="A34" s="10" t="s">
        <v>76</v>
      </c>
      <c r="B34" s="8" t="s">
        <v>77</v>
      </c>
      <c r="C34" s="8" t="s">
        <v>78</v>
      </c>
      <c r="D34" s="9">
        <v>1200</v>
      </c>
    </row>
    <row r="35" spans="1:5" x14ac:dyDescent="0.35">
      <c r="A35" s="10"/>
      <c r="B35" s="8"/>
      <c r="C35" s="8"/>
      <c r="D35" s="9"/>
    </row>
    <row r="36" spans="1:5" x14ac:dyDescent="0.35">
      <c r="A36" s="10"/>
      <c r="B36" s="8"/>
      <c r="C36" s="8"/>
      <c r="D36" s="9"/>
    </row>
    <row r="37" spans="1:5" x14ac:dyDescent="0.35">
      <c r="A37" s="10"/>
      <c r="B37" s="8"/>
      <c r="C37" s="8"/>
      <c r="D37" s="9"/>
    </row>
    <row r="38" spans="1:5" x14ac:dyDescent="0.35">
      <c r="D38" s="12">
        <f>SUM(D3:D37)</f>
        <v>549111</v>
      </c>
    </row>
    <row r="40" spans="1:5" x14ac:dyDescent="0.35">
      <c r="A40" s="11" t="s">
        <v>79</v>
      </c>
      <c r="D40" s="12">
        <f>I14-D38</f>
        <v>151192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F15E-DFCC-401D-A09F-B2630D3820FA}">
  <dimension ref="A1:I22"/>
  <sheetViews>
    <sheetView workbookViewId="0">
      <selection activeCell="I14" sqref="I14"/>
    </sheetView>
  </sheetViews>
  <sheetFormatPr defaultRowHeight="14.5" x14ac:dyDescent="0.35"/>
  <cols>
    <col min="1" max="1" width="11.08984375" bestFit="1" customWidth="1"/>
    <col min="2" max="2" width="12.90625" bestFit="1" customWidth="1"/>
    <col min="3" max="3" width="11" bestFit="1" customWidth="1"/>
    <col min="4" max="4" width="8.90625" bestFit="1" customWidth="1"/>
    <col min="7" max="7" width="16.81640625" bestFit="1" customWidth="1"/>
    <col min="8" max="8" width="8.6328125" bestFit="1" customWidth="1"/>
    <col min="9" max="9" width="18.1796875" bestFit="1" customWidth="1"/>
  </cols>
  <sheetData>
    <row r="1" spans="1:9" x14ac:dyDescent="0.35">
      <c r="A1" s="30" t="s">
        <v>80</v>
      </c>
      <c r="B1" s="30"/>
      <c r="C1" s="30"/>
      <c r="D1" s="30"/>
      <c r="G1" s="32" t="s">
        <v>101</v>
      </c>
      <c r="H1" s="32"/>
    </row>
    <row r="2" spans="1:9" x14ac:dyDescent="0.35">
      <c r="A2" s="18" t="s">
        <v>81</v>
      </c>
      <c r="B2" s="18" t="s">
        <v>82</v>
      </c>
      <c r="C2" s="19" t="s">
        <v>5</v>
      </c>
      <c r="D2" s="19" t="s">
        <v>6</v>
      </c>
      <c r="G2" s="20" t="s">
        <v>102</v>
      </c>
      <c r="H2" s="21" t="s">
        <v>5</v>
      </c>
    </row>
    <row r="3" spans="1:9" x14ac:dyDescent="0.35">
      <c r="A3" s="5" t="s">
        <v>83</v>
      </c>
      <c r="B3" s="5" t="s">
        <v>84</v>
      </c>
      <c r="C3" s="13">
        <v>273000</v>
      </c>
      <c r="D3" s="5"/>
      <c r="G3" s="5" t="s">
        <v>103</v>
      </c>
      <c r="H3" s="13">
        <v>224000</v>
      </c>
    </row>
    <row r="4" spans="1:9" x14ac:dyDescent="0.35">
      <c r="A4" s="5" t="s">
        <v>83</v>
      </c>
      <c r="B4" s="5" t="s">
        <v>85</v>
      </c>
      <c r="C4" s="13">
        <v>25000</v>
      </c>
      <c r="D4" s="5"/>
      <c r="G4" s="5" t="s">
        <v>104</v>
      </c>
      <c r="H4" s="22">
        <v>35000</v>
      </c>
    </row>
    <row r="5" spans="1:9" x14ac:dyDescent="0.35">
      <c r="A5" s="5" t="s">
        <v>83</v>
      </c>
      <c r="B5" s="5" t="s">
        <v>86</v>
      </c>
      <c r="C5" s="13">
        <v>20000</v>
      </c>
      <c r="D5" s="5"/>
      <c r="G5" s="5" t="s">
        <v>105</v>
      </c>
      <c r="H5" s="22">
        <v>24000</v>
      </c>
    </row>
    <row r="6" spans="1:9" x14ac:dyDescent="0.35">
      <c r="A6" s="5" t="s">
        <v>83</v>
      </c>
      <c r="B6" s="5" t="s">
        <v>87</v>
      </c>
      <c r="C6" s="13">
        <v>69000</v>
      </c>
      <c r="D6" s="5"/>
      <c r="G6" s="5" t="s">
        <v>106</v>
      </c>
      <c r="H6" s="22">
        <v>32500</v>
      </c>
    </row>
    <row r="7" spans="1:9" x14ac:dyDescent="0.35">
      <c r="A7" s="5" t="s">
        <v>83</v>
      </c>
      <c r="B7" s="5" t="s">
        <v>88</v>
      </c>
      <c r="C7" s="13">
        <v>78000</v>
      </c>
      <c r="D7" s="5"/>
      <c r="G7" s="5" t="s">
        <v>107</v>
      </c>
      <c r="H7" s="22">
        <v>16500</v>
      </c>
    </row>
    <row r="8" spans="1:9" x14ac:dyDescent="0.35">
      <c r="A8" s="5" t="s">
        <v>83</v>
      </c>
      <c r="B8" s="5" t="s">
        <v>89</v>
      </c>
      <c r="C8" s="13">
        <v>164000</v>
      </c>
      <c r="D8" s="5"/>
      <c r="G8" s="5" t="s">
        <v>108</v>
      </c>
      <c r="H8" s="22">
        <v>37000</v>
      </c>
    </row>
    <row r="9" spans="1:9" x14ac:dyDescent="0.35">
      <c r="A9" s="5" t="s">
        <v>83</v>
      </c>
      <c r="B9" s="5" t="s">
        <v>90</v>
      </c>
      <c r="C9" s="13">
        <v>75000</v>
      </c>
      <c r="D9" s="5"/>
      <c r="G9" s="5" t="s">
        <v>109</v>
      </c>
      <c r="H9" s="22">
        <v>24000</v>
      </c>
    </row>
    <row r="10" spans="1:9" x14ac:dyDescent="0.35">
      <c r="A10" s="5" t="s">
        <v>83</v>
      </c>
      <c r="B10" s="5" t="s">
        <v>91</v>
      </c>
      <c r="C10" s="13">
        <v>154000</v>
      </c>
      <c r="D10" s="5"/>
      <c r="G10" s="5" t="s">
        <v>110</v>
      </c>
      <c r="H10" s="13">
        <v>59000</v>
      </c>
    </row>
    <row r="11" spans="1:9" x14ac:dyDescent="0.35">
      <c r="A11" s="5" t="s">
        <v>92</v>
      </c>
      <c r="B11" s="5" t="s">
        <v>93</v>
      </c>
      <c r="C11" s="14">
        <v>154000</v>
      </c>
      <c r="D11" s="5" t="s">
        <v>94</v>
      </c>
      <c r="G11" s="5" t="s">
        <v>111</v>
      </c>
      <c r="H11" s="13">
        <v>22500</v>
      </c>
    </row>
    <row r="12" spans="1:9" x14ac:dyDescent="0.35">
      <c r="A12" s="5" t="s">
        <v>83</v>
      </c>
      <c r="B12" s="5" t="s">
        <v>90</v>
      </c>
      <c r="C12" s="14">
        <v>75000</v>
      </c>
      <c r="D12" s="5" t="s">
        <v>94</v>
      </c>
      <c r="G12" s="5" t="s">
        <v>113</v>
      </c>
      <c r="H12" s="13">
        <v>18200</v>
      </c>
      <c r="I12" t="s">
        <v>114</v>
      </c>
    </row>
    <row r="13" spans="1:9" x14ac:dyDescent="0.35">
      <c r="A13" s="31" t="s">
        <v>95</v>
      </c>
      <c r="B13" s="31"/>
      <c r="C13" s="15">
        <f>SUM(C3:C10)</f>
        <v>858000</v>
      </c>
      <c r="D13" s="5"/>
      <c r="G13" s="5" t="s">
        <v>112</v>
      </c>
      <c r="H13" s="13">
        <v>17500</v>
      </c>
      <c r="I13" t="s">
        <v>115</v>
      </c>
    </row>
    <row r="14" spans="1:9" x14ac:dyDescent="0.35">
      <c r="A14" s="5"/>
      <c r="B14" s="5"/>
      <c r="C14" s="13"/>
      <c r="D14" s="5"/>
      <c r="G14" s="23" t="s">
        <v>95</v>
      </c>
      <c r="H14" s="24">
        <f>SUM(H3:H13)</f>
        <v>510200</v>
      </c>
    </row>
    <row r="15" spans="1:9" x14ac:dyDescent="0.35">
      <c r="A15" s="5" t="s">
        <v>96</v>
      </c>
      <c r="B15" s="5" t="s">
        <v>97</v>
      </c>
      <c r="C15" s="13">
        <v>375000</v>
      </c>
      <c r="D15" s="5"/>
    </row>
    <row r="16" spans="1:9" x14ac:dyDescent="0.35">
      <c r="A16" s="5" t="s">
        <v>96</v>
      </c>
      <c r="B16" s="5" t="s">
        <v>84</v>
      </c>
      <c r="C16" s="13">
        <v>582000</v>
      </c>
      <c r="D16" s="5"/>
    </row>
    <row r="17" spans="1:4" x14ac:dyDescent="0.35">
      <c r="A17" s="5" t="s">
        <v>98</v>
      </c>
      <c r="B17" s="5" t="s">
        <v>86</v>
      </c>
      <c r="C17" s="13">
        <v>128000</v>
      </c>
      <c r="D17" s="5"/>
    </row>
    <row r="18" spans="1:4" x14ac:dyDescent="0.35">
      <c r="A18" s="5" t="s">
        <v>98</v>
      </c>
      <c r="B18" s="5" t="s">
        <v>99</v>
      </c>
      <c r="C18" s="13">
        <v>273000</v>
      </c>
      <c r="D18" s="5"/>
    </row>
    <row r="19" spans="1:4" x14ac:dyDescent="0.35">
      <c r="A19" s="5" t="s">
        <v>98</v>
      </c>
      <c r="B19" s="5" t="s">
        <v>88</v>
      </c>
      <c r="C19" s="13">
        <v>121000</v>
      </c>
      <c r="D19" s="5"/>
    </row>
    <row r="20" spans="1:4" x14ac:dyDescent="0.35">
      <c r="A20" s="5" t="s">
        <v>98</v>
      </c>
      <c r="B20" s="5" t="s">
        <v>84</v>
      </c>
      <c r="C20" s="13">
        <v>289000</v>
      </c>
      <c r="D20" s="5">
        <v>-60000</v>
      </c>
    </row>
    <row r="21" spans="1:4" x14ac:dyDescent="0.35">
      <c r="A21" s="5" t="s">
        <v>98</v>
      </c>
      <c r="B21" s="5" t="s">
        <v>100</v>
      </c>
      <c r="C21" s="13">
        <v>90000</v>
      </c>
      <c r="D21" s="5"/>
    </row>
    <row r="22" spans="1:4" x14ac:dyDescent="0.35">
      <c r="A22" s="16" t="s">
        <v>95</v>
      </c>
      <c r="B22" s="16"/>
      <c r="C22" s="17">
        <f>SUM(C13:C21)</f>
        <v>2716000</v>
      </c>
      <c r="D22" s="5"/>
    </row>
  </sheetData>
  <mergeCells count="3">
    <mergeCell ref="A1:D1"/>
    <mergeCell ref="A13:B13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D914-37C4-4E0B-9CCD-FC74DAADA860}">
  <dimension ref="A1:G23"/>
  <sheetViews>
    <sheetView workbookViewId="0">
      <selection activeCell="A13" sqref="A13"/>
    </sheetView>
  </sheetViews>
  <sheetFormatPr defaultRowHeight="14.5" x14ac:dyDescent="0.35"/>
  <cols>
    <col min="1" max="1" width="15.54296875" bestFit="1" customWidth="1"/>
    <col min="2" max="2" width="15.6328125" style="12" bestFit="1" customWidth="1"/>
    <col min="5" max="5" width="16.36328125" bestFit="1" customWidth="1"/>
    <col min="6" max="6" width="12.54296875" style="12" bestFit="1" customWidth="1"/>
    <col min="7" max="7" width="10.08984375" bestFit="1" customWidth="1"/>
  </cols>
  <sheetData>
    <row r="1" spans="1:7" x14ac:dyDescent="0.35">
      <c r="A1" t="s">
        <v>121</v>
      </c>
      <c r="B1" s="12" t="s">
        <v>122</v>
      </c>
      <c r="E1" t="s">
        <v>161</v>
      </c>
    </row>
    <row r="2" spans="1:7" x14ac:dyDescent="0.35">
      <c r="A2" t="s">
        <v>116</v>
      </c>
      <c r="B2" s="12">
        <v>0</v>
      </c>
      <c r="E2" t="s">
        <v>162</v>
      </c>
      <c r="F2" s="12">
        <v>2505</v>
      </c>
      <c r="G2" s="35">
        <v>45592</v>
      </c>
    </row>
    <row r="3" spans="1:7" x14ac:dyDescent="0.35">
      <c r="A3" t="s">
        <v>117</v>
      </c>
      <c r="B3" s="12">
        <v>11000</v>
      </c>
      <c r="F3" s="12">
        <f>19*150</f>
        <v>2850</v>
      </c>
      <c r="G3" s="35">
        <v>45590</v>
      </c>
    </row>
    <row r="4" spans="1:7" x14ac:dyDescent="0.35">
      <c r="A4" t="s">
        <v>118</v>
      </c>
      <c r="B4" s="12">
        <v>249940</v>
      </c>
      <c r="F4" s="12">
        <v>27975</v>
      </c>
      <c r="G4" s="35">
        <v>45579</v>
      </c>
    </row>
    <row r="5" spans="1:7" x14ac:dyDescent="0.35">
      <c r="A5" t="s">
        <v>118</v>
      </c>
      <c r="B5" s="12">
        <v>152725</v>
      </c>
      <c r="E5" t="s">
        <v>163</v>
      </c>
      <c r="F5" s="12">
        <v>40170</v>
      </c>
      <c r="G5" s="35">
        <v>45583</v>
      </c>
    </row>
    <row r="6" spans="1:7" x14ac:dyDescent="0.35">
      <c r="A6" t="s">
        <v>119</v>
      </c>
      <c r="B6" s="12">
        <v>55000</v>
      </c>
      <c r="E6" t="s">
        <v>164</v>
      </c>
      <c r="F6" s="12">
        <v>25040</v>
      </c>
      <c r="G6" s="35">
        <v>45572</v>
      </c>
    </row>
    <row r="7" spans="1:7" x14ac:dyDescent="0.35">
      <c r="A7" t="s">
        <v>120</v>
      </c>
      <c r="B7" s="12">
        <v>50000</v>
      </c>
      <c r="F7" s="12">
        <v>4500</v>
      </c>
      <c r="G7" s="36">
        <v>45580</v>
      </c>
    </row>
    <row r="8" spans="1:7" x14ac:dyDescent="0.35">
      <c r="A8" t="s">
        <v>26</v>
      </c>
      <c r="B8" s="12">
        <v>252764</v>
      </c>
      <c r="E8" t="s">
        <v>165</v>
      </c>
      <c r="F8" s="12">
        <v>42000</v>
      </c>
    </row>
    <row r="9" spans="1:7" x14ac:dyDescent="0.35">
      <c r="A9" t="s">
        <v>34</v>
      </c>
      <c r="B9" s="12">
        <v>40000</v>
      </c>
      <c r="F9" s="12">
        <v>7200</v>
      </c>
      <c r="G9" s="36">
        <v>45588</v>
      </c>
    </row>
    <row r="10" spans="1:7" x14ac:dyDescent="0.35">
      <c r="A10" t="s">
        <v>177</v>
      </c>
      <c r="B10" s="12">
        <v>10200</v>
      </c>
      <c r="E10" t="s">
        <v>166</v>
      </c>
      <c r="F10" s="12">
        <v>11760</v>
      </c>
      <c r="G10" s="35">
        <v>45586</v>
      </c>
    </row>
    <row r="11" spans="1:7" x14ac:dyDescent="0.35">
      <c r="A11" t="s">
        <v>178</v>
      </c>
      <c r="B11" s="12">
        <v>19600</v>
      </c>
      <c r="E11" t="s">
        <v>167</v>
      </c>
      <c r="F11" s="12">
        <v>16500</v>
      </c>
      <c r="G11" s="35">
        <v>45587</v>
      </c>
    </row>
    <row r="12" spans="1:7" x14ac:dyDescent="0.35">
      <c r="A12" t="s">
        <v>51</v>
      </c>
      <c r="B12" s="12">
        <v>100000</v>
      </c>
      <c r="E12" t="s">
        <v>168</v>
      </c>
      <c r="F12" s="12">
        <v>6000</v>
      </c>
      <c r="G12" s="35">
        <v>45578</v>
      </c>
    </row>
    <row r="13" spans="1:7" x14ac:dyDescent="0.35">
      <c r="E13" t="s">
        <v>169</v>
      </c>
      <c r="F13" s="12">
        <v>17300</v>
      </c>
      <c r="G13" s="35">
        <v>45590</v>
      </c>
    </row>
    <row r="14" spans="1:7" x14ac:dyDescent="0.35">
      <c r="E14" t="s">
        <v>170</v>
      </c>
      <c r="F14" s="12">
        <v>39000</v>
      </c>
      <c r="G14" s="35">
        <v>45590</v>
      </c>
    </row>
    <row r="15" spans="1:7" x14ac:dyDescent="0.35">
      <c r="E15" t="s">
        <v>171</v>
      </c>
      <c r="F15" s="12">
        <v>3800</v>
      </c>
      <c r="G15" s="35">
        <v>45588</v>
      </c>
    </row>
    <row r="16" spans="1:7" x14ac:dyDescent="0.35">
      <c r="B16" s="12">
        <f>SUM(B2:B15)</f>
        <v>941229</v>
      </c>
      <c r="E16" t="s">
        <v>172</v>
      </c>
      <c r="F16" s="12">
        <v>9880</v>
      </c>
      <c r="G16" s="35">
        <v>45588</v>
      </c>
    </row>
    <row r="17" spans="1:7" x14ac:dyDescent="0.35">
      <c r="E17" t="s">
        <v>173</v>
      </c>
      <c r="F17" s="12">
        <v>6125</v>
      </c>
      <c r="G17" s="35">
        <v>45578</v>
      </c>
    </row>
    <row r="18" spans="1:7" x14ac:dyDescent="0.35">
      <c r="E18" t="s">
        <v>174</v>
      </c>
      <c r="F18" s="12">
        <v>9910</v>
      </c>
      <c r="G18" s="35">
        <v>45578</v>
      </c>
    </row>
    <row r="19" spans="1:7" x14ac:dyDescent="0.35">
      <c r="E19" t="s">
        <v>175</v>
      </c>
      <c r="F19" s="12">
        <v>2000</v>
      </c>
      <c r="G19" s="35">
        <v>45590</v>
      </c>
    </row>
    <row r="20" spans="1:7" x14ac:dyDescent="0.35">
      <c r="E20" t="s">
        <v>176</v>
      </c>
      <c r="F20" s="12">
        <v>2500</v>
      </c>
      <c r="G20" s="35">
        <v>45590</v>
      </c>
    </row>
    <row r="22" spans="1:7" x14ac:dyDescent="0.35">
      <c r="F22" s="12">
        <f>SUM(F2:F20)</f>
        <v>277015</v>
      </c>
    </row>
    <row r="23" spans="1:7" x14ac:dyDescent="0.35">
      <c r="A23" s="7">
        <f>B16-F22</f>
        <v>664214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2377-F87C-4048-8F86-3D8F4D83D390}">
  <dimension ref="A1:G18"/>
  <sheetViews>
    <sheetView tabSelected="1" workbookViewId="0">
      <selection activeCell="A2" sqref="A2:G18"/>
    </sheetView>
  </sheetViews>
  <sheetFormatPr defaultRowHeight="14.5" x14ac:dyDescent="0.35"/>
  <cols>
    <col min="1" max="1" width="24.36328125" bestFit="1" customWidth="1"/>
    <col min="2" max="5" width="7.08984375" bestFit="1" customWidth="1"/>
    <col min="6" max="7" width="7.90625" bestFit="1" customWidth="1"/>
  </cols>
  <sheetData>
    <row r="1" spans="1:7" ht="29" x14ac:dyDescent="0.35">
      <c r="A1" s="39" t="s">
        <v>2</v>
      </c>
      <c r="B1" s="40" t="s">
        <v>179</v>
      </c>
      <c r="C1" s="40" t="s">
        <v>180</v>
      </c>
      <c r="D1" s="40" t="s">
        <v>95</v>
      </c>
      <c r="E1" s="41" t="s">
        <v>11</v>
      </c>
      <c r="F1" s="41" t="s">
        <v>181</v>
      </c>
      <c r="G1" s="40" t="s">
        <v>0</v>
      </c>
    </row>
    <row r="2" spans="1:7" x14ac:dyDescent="0.35">
      <c r="A2" s="42"/>
      <c r="B2" s="37"/>
      <c r="C2" s="37"/>
      <c r="D2" s="37"/>
      <c r="E2" s="37"/>
      <c r="F2" s="37"/>
      <c r="G2" s="37"/>
    </row>
    <row r="3" spans="1:7" x14ac:dyDescent="0.35">
      <c r="A3" s="43"/>
      <c r="B3" s="38"/>
      <c r="C3" s="38"/>
      <c r="D3" s="38"/>
      <c r="E3" s="38"/>
      <c r="F3" s="38"/>
      <c r="G3" s="38"/>
    </row>
    <row r="4" spans="1:7" x14ac:dyDescent="0.35">
      <c r="A4" s="42"/>
      <c r="B4" s="37"/>
      <c r="C4" s="37"/>
      <c r="D4" s="37"/>
      <c r="E4" s="37"/>
      <c r="F4" s="37"/>
      <c r="G4" s="37"/>
    </row>
    <row r="5" spans="1:7" x14ac:dyDescent="0.35">
      <c r="A5" s="43"/>
      <c r="B5" s="38"/>
      <c r="C5" s="38"/>
      <c r="D5" s="38"/>
      <c r="E5" s="38"/>
      <c r="F5" s="38"/>
      <c r="G5" s="38"/>
    </row>
    <row r="6" spans="1:7" x14ac:dyDescent="0.35">
      <c r="A6" s="42"/>
      <c r="B6" s="37"/>
      <c r="C6" s="37"/>
      <c r="D6" s="37"/>
      <c r="E6" s="37"/>
      <c r="F6" s="37"/>
      <c r="G6" s="37"/>
    </row>
    <row r="7" spans="1:7" x14ac:dyDescent="0.35">
      <c r="A7" s="43"/>
      <c r="B7" s="38"/>
      <c r="C7" s="38"/>
      <c r="D7" s="38"/>
      <c r="E7" s="38"/>
      <c r="F7" s="38"/>
      <c r="G7" s="38"/>
    </row>
    <row r="8" spans="1:7" x14ac:dyDescent="0.35">
      <c r="A8" s="42"/>
      <c r="B8" s="37"/>
      <c r="C8" s="37"/>
      <c r="D8" s="37"/>
      <c r="E8" s="37"/>
      <c r="F8" s="37"/>
      <c r="G8" s="37"/>
    </row>
    <row r="9" spans="1:7" x14ac:dyDescent="0.35">
      <c r="A9" s="43"/>
      <c r="B9" s="38"/>
      <c r="C9" s="38"/>
      <c r="D9" s="38"/>
      <c r="E9" s="38"/>
      <c r="F9" s="38"/>
      <c r="G9" s="38"/>
    </row>
    <row r="10" spans="1:7" x14ac:dyDescent="0.35">
      <c r="A10" s="42"/>
      <c r="B10" s="37"/>
      <c r="C10" s="37"/>
      <c r="D10" s="37"/>
      <c r="E10" s="37"/>
      <c r="F10" s="37"/>
      <c r="G10" s="37"/>
    </row>
    <row r="11" spans="1:7" x14ac:dyDescent="0.35">
      <c r="A11" s="43"/>
      <c r="B11" s="38"/>
      <c r="C11" s="38"/>
      <c r="D11" s="38"/>
      <c r="E11" s="38"/>
      <c r="F11" s="38"/>
      <c r="G11" s="38"/>
    </row>
    <row r="12" spans="1:7" x14ac:dyDescent="0.35">
      <c r="A12" s="42"/>
      <c r="B12" s="37"/>
      <c r="C12" s="37"/>
      <c r="D12" s="37"/>
      <c r="E12" s="37"/>
      <c r="F12" s="37"/>
      <c r="G12" s="37"/>
    </row>
    <row r="13" spans="1:7" x14ac:dyDescent="0.35">
      <c r="A13" s="43"/>
      <c r="B13" s="38"/>
      <c r="C13" s="38"/>
      <c r="D13" s="38"/>
      <c r="E13" s="38"/>
      <c r="F13" s="38"/>
      <c r="G13" s="38"/>
    </row>
    <row r="14" spans="1:7" x14ac:dyDescent="0.35">
      <c r="A14" s="42"/>
      <c r="B14" s="37"/>
      <c r="C14" s="37"/>
      <c r="D14" s="37"/>
      <c r="E14" s="37"/>
      <c r="F14" s="37"/>
      <c r="G14" s="37"/>
    </row>
    <row r="15" spans="1:7" x14ac:dyDescent="0.35">
      <c r="A15" s="43"/>
      <c r="B15" s="38"/>
      <c r="C15" s="38"/>
      <c r="D15" s="38"/>
      <c r="E15" s="38"/>
      <c r="F15" s="38"/>
      <c r="G15" s="38"/>
    </row>
    <row r="16" spans="1:7" x14ac:dyDescent="0.35">
      <c r="A16" s="42"/>
      <c r="B16" s="37"/>
      <c r="C16" s="37"/>
      <c r="D16" s="37"/>
      <c r="E16" s="37"/>
      <c r="F16" s="37"/>
      <c r="G16" s="37"/>
    </row>
    <row r="17" spans="1:7" x14ac:dyDescent="0.35">
      <c r="A17" s="43"/>
      <c r="B17" s="38"/>
      <c r="C17" s="38"/>
      <c r="D17" s="38"/>
      <c r="E17" s="38"/>
      <c r="F17" s="38"/>
      <c r="G17" s="38"/>
    </row>
    <row r="18" spans="1:7" x14ac:dyDescent="0.35">
      <c r="A18" s="42"/>
      <c r="B18" s="37"/>
      <c r="C18" s="37"/>
      <c r="D18" s="37"/>
      <c r="E18" s="37"/>
      <c r="F18" s="37"/>
      <c r="G18" s="37"/>
    </row>
  </sheetData>
  <conditionalFormatting sqref="A1:G1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EB16-DE97-4B96-BAB4-D8717EAFA979}">
  <dimension ref="A1:M37"/>
  <sheetViews>
    <sheetView workbookViewId="0">
      <pane ySplit="1" topLeftCell="A2" activePane="bottomLeft" state="frozen"/>
      <selection pane="bottomLeft" activeCell="D11" sqref="D11"/>
    </sheetView>
  </sheetViews>
  <sheetFormatPr defaultRowHeight="14.5" x14ac:dyDescent="0.35"/>
  <cols>
    <col min="1" max="1" width="12" bestFit="1" customWidth="1"/>
    <col min="2" max="2" width="15.1796875" bestFit="1" customWidth="1"/>
    <col min="3" max="3" width="6.81640625" bestFit="1" customWidth="1"/>
    <col min="4" max="4" width="8" bestFit="1" customWidth="1"/>
    <col min="5" max="5" width="10.81640625" bestFit="1" customWidth="1"/>
    <col min="6" max="6" width="4.08984375" bestFit="1" customWidth="1"/>
    <col min="7" max="7" width="8.26953125" bestFit="1" customWidth="1"/>
    <col min="8" max="8" width="11.7265625" bestFit="1" customWidth="1"/>
    <col min="9" max="9" width="14.453125" bestFit="1" customWidth="1"/>
    <col min="10" max="10" width="15.7265625" bestFit="1" customWidth="1"/>
    <col min="11" max="11" width="6.81640625" bestFit="1" customWidth="1"/>
    <col min="12" max="12" width="10" style="12" bestFit="1" customWidth="1"/>
    <col min="13" max="13" width="8.54296875" bestFit="1" customWidth="1"/>
  </cols>
  <sheetData>
    <row r="1" spans="1:13" s="25" customFormat="1" x14ac:dyDescent="0.35">
      <c r="A1" s="25" t="s">
        <v>124</v>
      </c>
      <c r="B1" s="25" t="s">
        <v>81</v>
      </c>
      <c r="D1" s="25" t="s">
        <v>125</v>
      </c>
      <c r="E1" s="25" t="s">
        <v>157</v>
      </c>
      <c r="F1" s="25" t="s">
        <v>158</v>
      </c>
      <c r="G1" s="25" t="s">
        <v>159</v>
      </c>
      <c r="H1" s="25" t="s">
        <v>126</v>
      </c>
      <c r="I1" s="25" t="s">
        <v>129</v>
      </c>
      <c r="J1" s="25" t="s">
        <v>127</v>
      </c>
      <c r="K1" s="25" t="s">
        <v>128</v>
      </c>
      <c r="L1" s="26" t="s">
        <v>95</v>
      </c>
      <c r="M1" s="25" t="s">
        <v>149</v>
      </c>
    </row>
    <row r="2" spans="1:13" x14ac:dyDescent="0.35">
      <c r="A2" t="s">
        <v>51</v>
      </c>
      <c r="B2" t="s">
        <v>123</v>
      </c>
      <c r="C2">
        <v>500</v>
      </c>
      <c r="D2">
        <f t="shared" ref="D2:D6" si="0">G2*E2</f>
        <v>520</v>
      </c>
      <c r="E2">
        <v>40</v>
      </c>
      <c r="F2">
        <v>30</v>
      </c>
      <c r="G2">
        <f t="shared" ref="G2:G4" si="1">ROUNDUP(C2/E2,0)</f>
        <v>13</v>
      </c>
      <c r="H2">
        <f>D2*F2</f>
        <v>15600</v>
      </c>
      <c r="I2">
        <f>G2*80</f>
        <v>1040</v>
      </c>
      <c r="J2">
        <f>190*G2</f>
        <v>2470</v>
      </c>
      <c r="K2">
        <f>G2*10</f>
        <v>130</v>
      </c>
      <c r="L2" s="12">
        <f>H2+I2+J2+K2</f>
        <v>19240</v>
      </c>
      <c r="M2">
        <f>ROUNDUP(L2/D2,0)</f>
        <v>37</v>
      </c>
    </row>
    <row r="3" spans="1:13" x14ac:dyDescent="0.35">
      <c r="A3" t="s">
        <v>51</v>
      </c>
      <c r="B3" t="s">
        <v>130</v>
      </c>
      <c r="C3">
        <v>500</v>
      </c>
      <c r="D3">
        <f t="shared" si="0"/>
        <v>510</v>
      </c>
      <c r="E3">
        <v>30</v>
      </c>
      <c r="F3">
        <v>40</v>
      </c>
      <c r="G3">
        <f t="shared" si="1"/>
        <v>17</v>
      </c>
      <c r="H3">
        <f t="shared" ref="H3:H36" si="2">D3*F3</f>
        <v>20400</v>
      </c>
      <c r="I3">
        <f t="shared" ref="I3:I37" si="3">G3*80</f>
        <v>1360</v>
      </c>
      <c r="J3">
        <f t="shared" ref="J3:J37" si="4">190*G3</f>
        <v>3230</v>
      </c>
      <c r="K3">
        <f t="shared" ref="K3:K37" si="5">G3*10</f>
        <v>170</v>
      </c>
      <c r="L3" s="12">
        <f t="shared" ref="L3:L37" si="6">H3+I3+J3+K3</f>
        <v>25160</v>
      </c>
      <c r="M3">
        <f t="shared" ref="M3:M17" si="7">ROUNDUP(L3/D3,0)</f>
        <v>50</v>
      </c>
    </row>
    <row r="4" spans="1:13" x14ac:dyDescent="0.35">
      <c r="A4" t="s">
        <v>51</v>
      </c>
      <c r="B4" t="s">
        <v>131</v>
      </c>
      <c r="C4">
        <v>500</v>
      </c>
      <c r="D4">
        <v>700</v>
      </c>
      <c r="E4">
        <v>20</v>
      </c>
      <c r="F4">
        <v>50</v>
      </c>
      <c r="G4">
        <f t="shared" si="1"/>
        <v>25</v>
      </c>
      <c r="H4">
        <f t="shared" si="2"/>
        <v>35000</v>
      </c>
      <c r="I4">
        <f t="shared" si="3"/>
        <v>2000</v>
      </c>
      <c r="J4">
        <f t="shared" si="4"/>
        <v>4750</v>
      </c>
      <c r="K4">
        <f t="shared" si="5"/>
        <v>250</v>
      </c>
      <c r="L4" s="12">
        <f t="shared" si="6"/>
        <v>42000</v>
      </c>
      <c r="M4">
        <f t="shared" si="7"/>
        <v>60</v>
      </c>
    </row>
    <row r="5" spans="1:13" x14ac:dyDescent="0.35">
      <c r="A5" t="s">
        <v>51</v>
      </c>
      <c r="B5" t="s">
        <v>132</v>
      </c>
      <c r="C5">
        <v>100</v>
      </c>
      <c r="D5">
        <f t="shared" si="0"/>
        <v>105</v>
      </c>
      <c r="E5">
        <v>15</v>
      </c>
      <c r="F5">
        <v>60</v>
      </c>
      <c r="G5">
        <f>ROUNDUP(C5/E5,0)</f>
        <v>7</v>
      </c>
      <c r="H5">
        <f t="shared" si="2"/>
        <v>6300</v>
      </c>
      <c r="I5">
        <f t="shared" si="3"/>
        <v>560</v>
      </c>
      <c r="J5">
        <f t="shared" si="4"/>
        <v>1330</v>
      </c>
      <c r="K5">
        <f t="shared" si="5"/>
        <v>70</v>
      </c>
      <c r="L5" s="12">
        <f t="shared" si="6"/>
        <v>8260</v>
      </c>
      <c r="M5">
        <f t="shared" si="7"/>
        <v>79</v>
      </c>
    </row>
    <row r="6" spans="1:13" x14ac:dyDescent="0.35">
      <c r="A6" t="s">
        <v>51</v>
      </c>
      <c r="B6" t="s">
        <v>133</v>
      </c>
      <c r="C6">
        <v>300</v>
      </c>
      <c r="D6">
        <f t="shared" si="0"/>
        <v>300</v>
      </c>
      <c r="E6">
        <v>10</v>
      </c>
      <c r="F6">
        <v>70</v>
      </c>
      <c r="G6">
        <f t="shared" ref="G6:G22" si="8">ROUNDUP(C6/E6,0)</f>
        <v>30</v>
      </c>
      <c r="H6">
        <f t="shared" si="2"/>
        <v>21000</v>
      </c>
      <c r="I6">
        <f t="shared" si="3"/>
        <v>2400</v>
      </c>
      <c r="J6">
        <f t="shared" si="4"/>
        <v>5700</v>
      </c>
      <c r="K6">
        <f t="shared" si="5"/>
        <v>300</v>
      </c>
      <c r="L6" s="12">
        <f t="shared" si="6"/>
        <v>29400</v>
      </c>
      <c r="M6">
        <f t="shared" si="7"/>
        <v>98</v>
      </c>
    </row>
    <row r="7" spans="1:13" x14ac:dyDescent="0.35">
      <c r="A7" t="s">
        <v>51</v>
      </c>
      <c r="B7" t="s">
        <v>134</v>
      </c>
      <c r="C7">
        <v>100</v>
      </c>
      <c r="D7">
        <f t="shared" ref="D7:D17" si="9">G7*E7</f>
        <v>102</v>
      </c>
      <c r="E7">
        <v>6</v>
      </c>
      <c r="F7">
        <v>130</v>
      </c>
      <c r="G7">
        <f t="shared" si="8"/>
        <v>17</v>
      </c>
      <c r="H7">
        <f t="shared" si="2"/>
        <v>13260</v>
      </c>
      <c r="I7">
        <f t="shared" si="3"/>
        <v>1360</v>
      </c>
      <c r="J7">
        <f t="shared" si="4"/>
        <v>3230</v>
      </c>
      <c r="K7">
        <f t="shared" si="5"/>
        <v>170</v>
      </c>
      <c r="L7" s="12">
        <f t="shared" si="6"/>
        <v>18020</v>
      </c>
      <c r="M7">
        <f t="shared" si="7"/>
        <v>177</v>
      </c>
    </row>
    <row r="8" spans="1:13" x14ac:dyDescent="0.35">
      <c r="A8" t="s">
        <v>51</v>
      </c>
      <c r="B8" t="s">
        <v>135</v>
      </c>
      <c r="C8">
        <v>50</v>
      </c>
      <c r="D8">
        <f t="shared" si="9"/>
        <v>50</v>
      </c>
      <c r="E8">
        <v>5</v>
      </c>
      <c r="F8">
        <v>180</v>
      </c>
      <c r="G8">
        <f t="shared" si="8"/>
        <v>10</v>
      </c>
      <c r="H8">
        <f t="shared" si="2"/>
        <v>9000</v>
      </c>
      <c r="I8">
        <f t="shared" si="3"/>
        <v>800</v>
      </c>
      <c r="J8">
        <f t="shared" si="4"/>
        <v>1900</v>
      </c>
      <c r="K8">
        <f t="shared" si="5"/>
        <v>100</v>
      </c>
      <c r="L8" s="12">
        <f t="shared" si="6"/>
        <v>11800</v>
      </c>
      <c r="M8">
        <f t="shared" si="7"/>
        <v>236</v>
      </c>
    </row>
    <row r="9" spans="1:13" x14ac:dyDescent="0.35">
      <c r="A9" t="s">
        <v>51</v>
      </c>
      <c r="B9" t="s">
        <v>136</v>
      </c>
      <c r="C9">
        <v>50</v>
      </c>
      <c r="D9">
        <f t="shared" si="9"/>
        <v>60</v>
      </c>
      <c r="E9">
        <v>12</v>
      </c>
      <c r="F9">
        <v>60</v>
      </c>
      <c r="G9">
        <f t="shared" si="8"/>
        <v>5</v>
      </c>
      <c r="H9">
        <f t="shared" si="2"/>
        <v>3600</v>
      </c>
      <c r="I9">
        <f t="shared" si="3"/>
        <v>400</v>
      </c>
      <c r="J9">
        <f t="shared" si="4"/>
        <v>950</v>
      </c>
      <c r="K9">
        <f t="shared" si="5"/>
        <v>50</v>
      </c>
      <c r="L9" s="12">
        <f t="shared" si="6"/>
        <v>5000</v>
      </c>
      <c r="M9">
        <f t="shared" si="7"/>
        <v>84</v>
      </c>
    </row>
    <row r="10" spans="1:13" x14ac:dyDescent="0.35">
      <c r="A10" t="s">
        <v>51</v>
      </c>
      <c r="B10" t="s">
        <v>137</v>
      </c>
      <c r="C10">
        <v>50</v>
      </c>
      <c r="D10">
        <f t="shared" si="9"/>
        <v>56</v>
      </c>
      <c r="E10">
        <v>8</v>
      </c>
      <c r="F10">
        <v>80</v>
      </c>
      <c r="G10">
        <f t="shared" si="8"/>
        <v>7</v>
      </c>
      <c r="H10">
        <f t="shared" si="2"/>
        <v>4480</v>
      </c>
      <c r="I10">
        <f t="shared" si="3"/>
        <v>560</v>
      </c>
      <c r="J10">
        <f t="shared" si="4"/>
        <v>1330</v>
      </c>
      <c r="K10">
        <f t="shared" si="5"/>
        <v>70</v>
      </c>
      <c r="L10" s="12">
        <f t="shared" si="6"/>
        <v>6440</v>
      </c>
      <c r="M10">
        <f t="shared" si="7"/>
        <v>115</v>
      </c>
    </row>
    <row r="11" spans="1:13" x14ac:dyDescent="0.35">
      <c r="A11" t="s">
        <v>51</v>
      </c>
      <c r="B11" t="s">
        <v>138</v>
      </c>
      <c r="C11">
        <v>50</v>
      </c>
      <c r="D11">
        <f t="shared" si="9"/>
        <v>50</v>
      </c>
      <c r="E11">
        <v>10</v>
      </c>
      <c r="F11">
        <v>100</v>
      </c>
      <c r="G11">
        <f t="shared" si="8"/>
        <v>5</v>
      </c>
      <c r="H11">
        <f t="shared" si="2"/>
        <v>5000</v>
      </c>
      <c r="I11">
        <f t="shared" si="3"/>
        <v>400</v>
      </c>
      <c r="J11">
        <f t="shared" si="4"/>
        <v>950</v>
      </c>
      <c r="K11">
        <f t="shared" si="5"/>
        <v>50</v>
      </c>
      <c r="L11" s="12">
        <f t="shared" si="6"/>
        <v>6400</v>
      </c>
      <c r="M11">
        <f t="shared" si="7"/>
        <v>128</v>
      </c>
    </row>
    <row r="12" spans="1:13" x14ac:dyDescent="0.35">
      <c r="A12" t="s">
        <v>51</v>
      </c>
      <c r="B12" t="s">
        <v>139</v>
      </c>
      <c r="C12">
        <v>50</v>
      </c>
      <c r="D12">
        <f t="shared" si="9"/>
        <v>60</v>
      </c>
      <c r="E12">
        <v>15</v>
      </c>
      <c r="F12">
        <v>80</v>
      </c>
      <c r="G12">
        <f t="shared" si="8"/>
        <v>4</v>
      </c>
      <c r="H12">
        <f t="shared" si="2"/>
        <v>4800</v>
      </c>
      <c r="I12">
        <f t="shared" si="3"/>
        <v>320</v>
      </c>
      <c r="J12">
        <f t="shared" si="4"/>
        <v>760</v>
      </c>
      <c r="K12">
        <f t="shared" si="5"/>
        <v>40</v>
      </c>
      <c r="L12" s="12">
        <f t="shared" si="6"/>
        <v>5920</v>
      </c>
      <c r="M12">
        <f t="shared" si="7"/>
        <v>99</v>
      </c>
    </row>
    <row r="13" spans="1:13" x14ac:dyDescent="0.35">
      <c r="A13" t="s">
        <v>51</v>
      </c>
      <c r="B13" t="s">
        <v>140</v>
      </c>
      <c r="C13">
        <v>100</v>
      </c>
      <c r="D13">
        <f t="shared" si="9"/>
        <v>100</v>
      </c>
      <c r="E13">
        <v>20</v>
      </c>
      <c r="F13">
        <v>60</v>
      </c>
      <c r="G13">
        <f t="shared" si="8"/>
        <v>5</v>
      </c>
      <c r="H13">
        <f t="shared" si="2"/>
        <v>6000</v>
      </c>
      <c r="I13">
        <f t="shared" si="3"/>
        <v>400</v>
      </c>
      <c r="J13">
        <f t="shared" si="4"/>
        <v>950</v>
      </c>
      <c r="K13">
        <f t="shared" si="5"/>
        <v>50</v>
      </c>
      <c r="L13" s="12">
        <f t="shared" si="6"/>
        <v>7400</v>
      </c>
      <c r="M13">
        <f t="shared" si="7"/>
        <v>74</v>
      </c>
    </row>
    <row r="14" spans="1:13" x14ac:dyDescent="0.35">
      <c r="A14" t="s">
        <v>51</v>
      </c>
      <c r="B14" t="s">
        <v>141</v>
      </c>
      <c r="C14">
        <v>300</v>
      </c>
      <c r="D14">
        <f t="shared" si="9"/>
        <v>312</v>
      </c>
      <c r="E14">
        <v>24</v>
      </c>
      <c r="F14">
        <v>30</v>
      </c>
      <c r="G14">
        <f t="shared" si="8"/>
        <v>13</v>
      </c>
      <c r="H14">
        <f t="shared" si="2"/>
        <v>9360</v>
      </c>
      <c r="I14">
        <f>G14*20</f>
        <v>260</v>
      </c>
      <c r="J14">
        <f>50*G14</f>
        <v>650</v>
      </c>
      <c r="K14">
        <f>G14*18</f>
        <v>234</v>
      </c>
      <c r="L14" s="12">
        <f t="shared" si="6"/>
        <v>10504</v>
      </c>
      <c r="M14">
        <f t="shared" si="7"/>
        <v>34</v>
      </c>
    </row>
    <row r="15" spans="1:13" x14ac:dyDescent="0.35">
      <c r="A15" t="s">
        <v>51</v>
      </c>
      <c r="B15" t="s">
        <v>142</v>
      </c>
      <c r="C15">
        <v>100</v>
      </c>
      <c r="D15">
        <f t="shared" si="9"/>
        <v>100</v>
      </c>
      <c r="E15">
        <v>20</v>
      </c>
      <c r="F15">
        <v>50</v>
      </c>
      <c r="G15">
        <f t="shared" si="8"/>
        <v>5</v>
      </c>
      <c r="H15">
        <f t="shared" si="2"/>
        <v>5000</v>
      </c>
      <c r="I15">
        <f t="shared" si="3"/>
        <v>400</v>
      </c>
      <c r="J15">
        <f t="shared" si="4"/>
        <v>950</v>
      </c>
      <c r="K15">
        <f t="shared" si="5"/>
        <v>50</v>
      </c>
      <c r="L15" s="12">
        <f t="shared" si="6"/>
        <v>6400</v>
      </c>
      <c r="M15">
        <f t="shared" si="7"/>
        <v>64</v>
      </c>
    </row>
    <row r="16" spans="1:13" x14ac:dyDescent="0.35">
      <c r="A16" t="s">
        <v>51</v>
      </c>
      <c r="B16" t="s">
        <v>143</v>
      </c>
      <c r="C16">
        <v>500</v>
      </c>
      <c r="D16">
        <f t="shared" si="9"/>
        <v>540</v>
      </c>
      <c r="E16">
        <v>60</v>
      </c>
      <c r="F16">
        <v>30</v>
      </c>
      <c r="G16">
        <f t="shared" si="8"/>
        <v>9</v>
      </c>
      <c r="H16">
        <f t="shared" si="2"/>
        <v>16200</v>
      </c>
      <c r="I16">
        <f t="shared" si="3"/>
        <v>720</v>
      </c>
      <c r="J16">
        <f t="shared" si="4"/>
        <v>1710</v>
      </c>
      <c r="K16">
        <f t="shared" si="5"/>
        <v>90</v>
      </c>
      <c r="L16" s="12">
        <f t="shared" si="6"/>
        <v>18720</v>
      </c>
      <c r="M16">
        <f t="shared" si="7"/>
        <v>35</v>
      </c>
    </row>
    <row r="17" spans="1:13" x14ac:dyDescent="0.35">
      <c r="A17" t="s">
        <v>51</v>
      </c>
      <c r="B17" t="s">
        <v>144</v>
      </c>
      <c r="C17">
        <v>100</v>
      </c>
      <c r="D17">
        <f t="shared" si="9"/>
        <v>100</v>
      </c>
      <c r="E17">
        <v>20</v>
      </c>
      <c r="F17">
        <v>35</v>
      </c>
      <c r="G17">
        <f t="shared" si="8"/>
        <v>5</v>
      </c>
      <c r="H17">
        <f t="shared" si="2"/>
        <v>3500</v>
      </c>
      <c r="I17">
        <f t="shared" si="3"/>
        <v>400</v>
      </c>
      <c r="J17">
        <f t="shared" si="4"/>
        <v>950</v>
      </c>
      <c r="K17">
        <f t="shared" si="5"/>
        <v>50</v>
      </c>
      <c r="L17" s="12">
        <f t="shared" si="6"/>
        <v>4900</v>
      </c>
      <c r="M17">
        <f t="shared" si="7"/>
        <v>49</v>
      </c>
    </row>
    <row r="18" spans="1:13" x14ac:dyDescent="0.35">
      <c r="H18">
        <f>SUM(H2:H17)</f>
        <v>178500</v>
      </c>
      <c r="L18" s="12">
        <f>SUM(L2:L17)</f>
        <v>225564</v>
      </c>
    </row>
    <row r="21" spans="1:13" x14ac:dyDescent="0.35">
      <c r="A21" t="s">
        <v>145</v>
      </c>
      <c r="B21" t="s">
        <v>146</v>
      </c>
      <c r="C21">
        <f>500*200</f>
        <v>100000</v>
      </c>
      <c r="D21">
        <f t="shared" ref="D21:D22" si="10">G21*E21</f>
        <v>100000</v>
      </c>
      <c r="E21">
        <v>200</v>
      </c>
      <c r="F21">
        <v>1.1000000000000001</v>
      </c>
      <c r="G21">
        <f t="shared" ref="G21" si="11">ROUNDUP(C21/E21,0)</f>
        <v>500</v>
      </c>
      <c r="H21">
        <f t="shared" ref="H21" si="12">D21*F21</f>
        <v>110000.00000000001</v>
      </c>
      <c r="I21">
        <f>G21*12</f>
        <v>6000</v>
      </c>
      <c r="J21">
        <f>55*G21</f>
        <v>27500</v>
      </c>
      <c r="K21">
        <f>G21*6</f>
        <v>3000</v>
      </c>
      <c r="L21" s="12">
        <f t="shared" ref="L21" si="13">H21+I21+J21+K21</f>
        <v>146500</v>
      </c>
      <c r="M21">
        <f>ROUND(L21/D21,2)</f>
        <v>1.47</v>
      </c>
    </row>
    <row r="22" spans="1:13" x14ac:dyDescent="0.35">
      <c r="A22" t="s">
        <v>145</v>
      </c>
      <c r="B22" t="s">
        <v>147</v>
      </c>
      <c r="C22">
        <f>180*100</f>
        <v>18000</v>
      </c>
      <c r="D22">
        <f t="shared" si="10"/>
        <v>18000</v>
      </c>
      <c r="E22">
        <v>180</v>
      </c>
      <c r="F22">
        <v>1.3</v>
      </c>
      <c r="G22">
        <f t="shared" si="8"/>
        <v>100</v>
      </c>
      <c r="H22">
        <f t="shared" si="2"/>
        <v>23400</v>
      </c>
      <c r="I22">
        <f>G22*0</f>
        <v>0</v>
      </c>
      <c r="J22">
        <f t="shared" ref="J22:J30" si="14">55*G22</f>
        <v>5500</v>
      </c>
      <c r="K22">
        <f t="shared" ref="K22:K30" si="15">G22*6</f>
        <v>600</v>
      </c>
      <c r="L22" s="12">
        <f t="shared" si="6"/>
        <v>29500</v>
      </c>
      <c r="M22">
        <f t="shared" ref="M22:M35" si="16">ROUND(L22/D22,2)</f>
        <v>1.64</v>
      </c>
    </row>
    <row r="23" spans="1:13" x14ac:dyDescent="0.35">
      <c r="A23" t="s">
        <v>145</v>
      </c>
      <c r="B23" t="s">
        <v>148</v>
      </c>
      <c r="C23">
        <f>D23</f>
        <v>5000</v>
      </c>
      <c r="D23">
        <f>E23*G23</f>
        <v>5000</v>
      </c>
      <c r="E23">
        <v>100</v>
      </c>
      <c r="F23">
        <v>1.5</v>
      </c>
      <c r="G23">
        <v>50</v>
      </c>
      <c r="H23">
        <f t="shared" si="2"/>
        <v>7500</v>
      </c>
      <c r="I23">
        <f t="shared" ref="I23:I29" si="17">G23*0</f>
        <v>0</v>
      </c>
      <c r="J23">
        <f t="shared" si="14"/>
        <v>2750</v>
      </c>
      <c r="K23">
        <f t="shared" si="15"/>
        <v>300</v>
      </c>
      <c r="L23" s="12">
        <f t="shared" si="6"/>
        <v>10550</v>
      </c>
      <c r="M23">
        <f t="shared" si="16"/>
        <v>2.11</v>
      </c>
    </row>
    <row r="24" spans="1:13" x14ac:dyDescent="0.35">
      <c r="A24" t="s">
        <v>145</v>
      </c>
      <c r="B24" t="s">
        <v>152</v>
      </c>
      <c r="C24">
        <f t="shared" ref="C24:C36" si="18">D24</f>
        <v>4500</v>
      </c>
      <c r="D24">
        <f t="shared" ref="D24:D36" si="19">E24*G24</f>
        <v>4500</v>
      </c>
      <c r="E24">
        <v>90</v>
      </c>
      <c r="F24">
        <v>1.9</v>
      </c>
      <c r="G24">
        <v>50</v>
      </c>
      <c r="H24">
        <f t="shared" si="2"/>
        <v>8550</v>
      </c>
      <c r="I24">
        <f t="shared" si="17"/>
        <v>0</v>
      </c>
      <c r="J24">
        <f t="shared" si="14"/>
        <v>2750</v>
      </c>
      <c r="K24">
        <f t="shared" si="15"/>
        <v>300</v>
      </c>
      <c r="L24" s="12">
        <f t="shared" si="6"/>
        <v>11600</v>
      </c>
      <c r="M24">
        <f t="shared" si="16"/>
        <v>2.58</v>
      </c>
    </row>
    <row r="25" spans="1:13" x14ac:dyDescent="0.35">
      <c r="A25" t="s">
        <v>145</v>
      </c>
      <c r="B25" t="s">
        <v>150</v>
      </c>
      <c r="C25">
        <f t="shared" si="18"/>
        <v>3150</v>
      </c>
      <c r="D25">
        <f t="shared" si="19"/>
        <v>3150</v>
      </c>
      <c r="E25">
        <v>63</v>
      </c>
      <c r="F25">
        <v>2.5</v>
      </c>
      <c r="G25">
        <v>50</v>
      </c>
      <c r="H25">
        <f t="shared" si="2"/>
        <v>7875</v>
      </c>
      <c r="I25">
        <f t="shared" si="17"/>
        <v>0</v>
      </c>
      <c r="J25">
        <f t="shared" si="14"/>
        <v>2750</v>
      </c>
      <c r="K25">
        <f t="shared" si="15"/>
        <v>300</v>
      </c>
      <c r="L25" s="12">
        <f t="shared" si="6"/>
        <v>10925</v>
      </c>
      <c r="M25">
        <f t="shared" si="16"/>
        <v>3.47</v>
      </c>
    </row>
    <row r="26" spans="1:13" x14ac:dyDescent="0.35">
      <c r="A26" t="s">
        <v>145</v>
      </c>
      <c r="B26" t="s">
        <v>151</v>
      </c>
      <c r="C26">
        <f t="shared" si="18"/>
        <v>3200</v>
      </c>
      <c r="D26">
        <f t="shared" si="19"/>
        <v>3200</v>
      </c>
      <c r="E26">
        <v>160</v>
      </c>
      <c r="F26">
        <v>1.2</v>
      </c>
      <c r="G26">
        <v>20</v>
      </c>
      <c r="H26">
        <f t="shared" si="2"/>
        <v>3840</v>
      </c>
      <c r="I26">
        <f t="shared" si="17"/>
        <v>0</v>
      </c>
      <c r="J26">
        <f t="shared" si="14"/>
        <v>1100</v>
      </c>
      <c r="K26">
        <f t="shared" si="15"/>
        <v>120</v>
      </c>
      <c r="L26" s="12">
        <f t="shared" si="6"/>
        <v>5060</v>
      </c>
      <c r="M26">
        <f t="shared" si="16"/>
        <v>1.58</v>
      </c>
    </row>
    <row r="27" spans="1:13" x14ac:dyDescent="0.35">
      <c r="A27" t="s">
        <v>145</v>
      </c>
      <c r="B27" t="s">
        <v>153</v>
      </c>
      <c r="C27">
        <f t="shared" si="18"/>
        <v>180</v>
      </c>
      <c r="D27">
        <f t="shared" si="19"/>
        <v>180</v>
      </c>
      <c r="E27">
        <v>18</v>
      </c>
      <c r="F27">
        <v>12</v>
      </c>
      <c r="G27">
        <v>10</v>
      </c>
      <c r="H27">
        <f t="shared" si="2"/>
        <v>2160</v>
      </c>
      <c r="I27">
        <f t="shared" si="17"/>
        <v>0</v>
      </c>
      <c r="J27">
        <f t="shared" si="14"/>
        <v>550</v>
      </c>
      <c r="K27">
        <f t="shared" si="15"/>
        <v>60</v>
      </c>
      <c r="L27" s="12">
        <f t="shared" si="6"/>
        <v>2770</v>
      </c>
      <c r="M27">
        <f t="shared" si="16"/>
        <v>15.39</v>
      </c>
    </row>
    <row r="28" spans="1:13" x14ac:dyDescent="0.35">
      <c r="A28" t="s">
        <v>145</v>
      </c>
      <c r="B28" t="s">
        <v>154</v>
      </c>
      <c r="C28">
        <f t="shared" si="18"/>
        <v>120</v>
      </c>
      <c r="D28">
        <f t="shared" si="19"/>
        <v>120</v>
      </c>
      <c r="E28">
        <v>12</v>
      </c>
      <c r="F28">
        <v>17</v>
      </c>
      <c r="G28">
        <v>10</v>
      </c>
      <c r="H28">
        <f t="shared" si="2"/>
        <v>2040</v>
      </c>
      <c r="I28">
        <f t="shared" si="17"/>
        <v>0</v>
      </c>
      <c r="J28">
        <f t="shared" si="14"/>
        <v>550</v>
      </c>
      <c r="K28">
        <f t="shared" si="15"/>
        <v>60</v>
      </c>
      <c r="L28" s="12">
        <f t="shared" si="6"/>
        <v>2650</v>
      </c>
      <c r="M28">
        <f t="shared" si="16"/>
        <v>22.08</v>
      </c>
    </row>
    <row r="29" spans="1:13" x14ac:dyDescent="0.35">
      <c r="A29" t="s">
        <v>145</v>
      </c>
      <c r="B29" t="s">
        <v>155</v>
      </c>
      <c r="C29">
        <f t="shared" si="18"/>
        <v>50</v>
      </c>
      <c r="D29">
        <f t="shared" si="19"/>
        <v>50</v>
      </c>
      <c r="E29">
        <v>5</v>
      </c>
      <c r="F29">
        <v>27</v>
      </c>
      <c r="G29">
        <v>10</v>
      </c>
      <c r="H29">
        <f t="shared" si="2"/>
        <v>1350</v>
      </c>
      <c r="I29">
        <f t="shared" si="17"/>
        <v>0</v>
      </c>
      <c r="J29">
        <f t="shared" si="14"/>
        <v>550</v>
      </c>
      <c r="K29">
        <f t="shared" si="15"/>
        <v>60</v>
      </c>
      <c r="L29" s="12">
        <f t="shared" si="6"/>
        <v>1960</v>
      </c>
      <c r="M29">
        <f t="shared" si="16"/>
        <v>39.200000000000003</v>
      </c>
    </row>
    <row r="30" spans="1:13" x14ac:dyDescent="0.35">
      <c r="A30" t="s">
        <v>145</v>
      </c>
      <c r="B30" t="s">
        <v>156</v>
      </c>
      <c r="C30">
        <f t="shared" si="18"/>
        <v>960</v>
      </c>
      <c r="D30">
        <f t="shared" si="19"/>
        <v>960</v>
      </c>
      <c r="E30">
        <v>80</v>
      </c>
      <c r="F30">
        <v>2.5</v>
      </c>
      <c r="G30">
        <v>12</v>
      </c>
      <c r="H30">
        <f t="shared" si="2"/>
        <v>2400</v>
      </c>
      <c r="I30">
        <f t="shared" ref="I30:I34" si="20">G30*12</f>
        <v>144</v>
      </c>
      <c r="J30">
        <f t="shared" si="14"/>
        <v>660</v>
      </c>
      <c r="K30">
        <f t="shared" si="15"/>
        <v>72</v>
      </c>
      <c r="L30" s="12">
        <f t="shared" si="6"/>
        <v>3276</v>
      </c>
      <c r="M30">
        <f t="shared" si="16"/>
        <v>3.41</v>
      </c>
    </row>
    <row r="31" spans="1:13" x14ac:dyDescent="0.35">
      <c r="H31">
        <f>SUM(H21:H30)</f>
        <v>169115</v>
      </c>
      <c r="L31" s="12">
        <f>SUM(L21:L30)</f>
        <v>224791</v>
      </c>
    </row>
    <row r="33" spans="1:13" x14ac:dyDescent="0.35">
      <c r="A33" t="s">
        <v>160</v>
      </c>
    </row>
    <row r="34" spans="1:13" x14ac:dyDescent="0.35">
      <c r="C34">
        <f t="shared" si="18"/>
        <v>0</v>
      </c>
      <c r="D34">
        <f t="shared" si="19"/>
        <v>0</v>
      </c>
      <c r="H34">
        <f t="shared" si="2"/>
        <v>0</v>
      </c>
      <c r="I34">
        <f t="shared" si="20"/>
        <v>0</v>
      </c>
      <c r="J34">
        <f t="shared" si="4"/>
        <v>0</v>
      </c>
      <c r="K34">
        <f t="shared" si="5"/>
        <v>0</v>
      </c>
      <c r="L34" s="12">
        <f t="shared" si="6"/>
        <v>0</v>
      </c>
      <c r="M34" t="e">
        <f t="shared" si="16"/>
        <v>#DIV/0!</v>
      </c>
    </row>
    <row r="35" spans="1:13" x14ac:dyDescent="0.35">
      <c r="C35">
        <f t="shared" si="18"/>
        <v>0</v>
      </c>
      <c r="D35">
        <f t="shared" si="19"/>
        <v>0</v>
      </c>
      <c r="H35">
        <f t="shared" si="2"/>
        <v>0</v>
      </c>
      <c r="I35">
        <f t="shared" si="3"/>
        <v>0</v>
      </c>
      <c r="J35">
        <f t="shared" si="4"/>
        <v>0</v>
      </c>
      <c r="K35">
        <f t="shared" si="5"/>
        <v>0</v>
      </c>
      <c r="L35" s="12">
        <f t="shared" si="6"/>
        <v>0</v>
      </c>
      <c r="M35" t="e">
        <f t="shared" si="16"/>
        <v>#DIV/0!</v>
      </c>
    </row>
    <row r="36" spans="1:13" x14ac:dyDescent="0.35">
      <c r="C36">
        <f t="shared" si="18"/>
        <v>0</v>
      </c>
      <c r="D36">
        <f t="shared" si="19"/>
        <v>0</v>
      </c>
      <c r="H36">
        <f t="shared" si="2"/>
        <v>0</v>
      </c>
      <c r="I36">
        <f t="shared" si="3"/>
        <v>0</v>
      </c>
      <c r="J36">
        <f t="shared" si="4"/>
        <v>0</v>
      </c>
      <c r="K36">
        <f t="shared" si="5"/>
        <v>0</v>
      </c>
      <c r="L36" s="12">
        <f t="shared" si="6"/>
        <v>0</v>
      </c>
    </row>
    <row r="37" spans="1:13" x14ac:dyDescent="0.35">
      <c r="H37">
        <f t="shared" ref="H37" si="21">D37*E37</f>
        <v>0</v>
      </c>
      <c r="I37">
        <f t="shared" si="3"/>
        <v>0</v>
      </c>
      <c r="J37">
        <f t="shared" si="4"/>
        <v>0</v>
      </c>
      <c r="K37">
        <f t="shared" si="5"/>
        <v>0</v>
      </c>
      <c r="L37" s="12">
        <f t="shared" si="6"/>
        <v>0</v>
      </c>
    </row>
  </sheetData>
  <dataConsolidate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27D0-A359-464A-9900-1379BC91BB59}">
  <dimension ref="A2:G20"/>
  <sheetViews>
    <sheetView workbookViewId="0">
      <selection activeCell="H8" sqref="H8"/>
    </sheetView>
  </sheetViews>
  <sheetFormatPr defaultRowHeight="14.5" x14ac:dyDescent="0.35"/>
  <cols>
    <col min="1" max="1" width="14.54296875" bestFit="1" customWidth="1"/>
    <col min="2" max="2" width="8" bestFit="1" customWidth="1"/>
    <col min="3" max="3" width="10.81640625" bestFit="1" customWidth="1"/>
    <col min="4" max="4" width="4.6328125" bestFit="1" customWidth="1"/>
    <col min="5" max="5" width="8.453125" bestFit="1" customWidth="1"/>
    <col min="6" max="6" width="12.54296875" style="12" bestFit="1" customWidth="1"/>
    <col min="7" max="7" width="14.54296875" style="12" bestFit="1" customWidth="1"/>
  </cols>
  <sheetData>
    <row r="2" spans="1:7" x14ac:dyDescent="0.35">
      <c r="A2" s="27" t="s">
        <v>81</v>
      </c>
      <c r="B2" s="27" t="s">
        <v>125</v>
      </c>
      <c r="C2" s="27" t="s">
        <v>157</v>
      </c>
      <c r="D2" s="27" t="s">
        <v>158</v>
      </c>
      <c r="E2" s="27" t="s">
        <v>159</v>
      </c>
      <c r="F2" s="28" t="s">
        <v>126</v>
      </c>
      <c r="G2" s="28" t="s">
        <v>129</v>
      </c>
    </row>
    <row r="3" spans="1:7" x14ac:dyDescent="0.35">
      <c r="A3" s="5" t="s">
        <v>123</v>
      </c>
      <c r="B3" s="5">
        <v>520</v>
      </c>
      <c r="C3" s="5">
        <v>40</v>
      </c>
      <c r="D3" s="5">
        <v>30</v>
      </c>
      <c r="E3" s="5">
        <v>13</v>
      </c>
      <c r="F3" s="6">
        <v>15600</v>
      </c>
      <c r="G3" s="6">
        <v>1040</v>
      </c>
    </row>
    <row r="4" spans="1:7" x14ac:dyDescent="0.35">
      <c r="A4" s="5" t="s">
        <v>130</v>
      </c>
      <c r="B4" s="5">
        <v>510</v>
      </c>
      <c r="C4" s="5">
        <v>30</v>
      </c>
      <c r="D4" s="5">
        <v>35</v>
      </c>
      <c r="E4" s="5">
        <v>17</v>
      </c>
      <c r="F4" s="6">
        <f>B4*D4</f>
        <v>17850</v>
      </c>
      <c r="G4" s="6">
        <v>1360</v>
      </c>
    </row>
    <row r="5" spans="1:7" x14ac:dyDescent="0.35">
      <c r="A5" s="5" t="s">
        <v>131</v>
      </c>
      <c r="B5" s="5">
        <v>700</v>
      </c>
      <c r="C5" s="5">
        <v>20</v>
      </c>
      <c r="D5" s="5">
        <v>50</v>
      </c>
      <c r="E5" s="5">
        <v>25</v>
      </c>
      <c r="F5" s="6">
        <v>35000</v>
      </c>
      <c r="G5" s="6">
        <v>2000</v>
      </c>
    </row>
    <row r="6" spans="1:7" x14ac:dyDescent="0.35">
      <c r="A6" s="5" t="s">
        <v>132</v>
      </c>
      <c r="B6" s="5">
        <v>105</v>
      </c>
      <c r="C6" s="5">
        <v>15</v>
      </c>
      <c r="D6" s="5">
        <v>60</v>
      </c>
      <c r="E6" s="5">
        <v>7</v>
      </c>
      <c r="F6" s="6">
        <v>6300</v>
      </c>
      <c r="G6" s="6">
        <v>560</v>
      </c>
    </row>
    <row r="7" spans="1:7" x14ac:dyDescent="0.35">
      <c r="A7" s="5" t="s">
        <v>133</v>
      </c>
      <c r="B7" s="5">
        <v>300</v>
      </c>
      <c r="C7" s="5">
        <v>10</v>
      </c>
      <c r="D7" s="5">
        <v>70</v>
      </c>
      <c r="E7" s="5">
        <v>30</v>
      </c>
      <c r="F7" s="6">
        <v>21000</v>
      </c>
      <c r="G7" s="6">
        <v>2400</v>
      </c>
    </row>
    <row r="8" spans="1:7" x14ac:dyDescent="0.35">
      <c r="A8" s="5" t="s">
        <v>134</v>
      </c>
      <c r="B8" s="5">
        <v>102</v>
      </c>
      <c r="C8" s="5">
        <v>6</v>
      </c>
      <c r="D8" s="5">
        <v>130</v>
      </c>
      <c r="E8" s="5">
        <v>17</v>
      </c>
      <c r="F8" s="6">
        <v>13260</v>
      </c>
      <c r="G8" s="6">
        <v>1360</v>
      </c>
    </row>
    <row r="9" spans="1:7" x14ac:dyDescent="0.35">
      <c r="A9" s="5" t="s">
        <v>135</v>
      </c>
      <c r="B9" s="5">
        <v>50</v>
      </c>
      <c r="C9" s="5">
        <v>5</v>
      </c>
      <c r="D9" s="5">
        <v>180</v>
      </c>
      <c r="E9" s="5">
        <v>10</v>
      </c>
      <c r="F9" s="6">
        <v>9000</v>
      </c>
      <c r="G9" s="6">
        <v>800</v>
      </c>
    </row>
    <row r="10" spans="1:7" x14ac:dyDescent="0.35">
      <c r="A10" s="5" t="s">
        <v>136</v>
      </c>
      <c r="B10" s="5">
        <v>60</v>
      </c>
      <c r="C10" s="5">
        <v>12</v>
      </c>
      <c r="D10" s="5">
        <v>60</v>
      </c>
      <c r="E10" s="5">
        <v>5</v>
      </c>
      <c r="F10" s="6">
        <v>3600</v>
      </c>
      <c r="G10" s="6">
        <v>400</v>
      </c>
    </row>
    <row r="11" spans="1:7" x14ac:dyDescent="0.35">
      <c r="A11" s="5" t="s">
        <v>137</v>
      </c>
      <c r="B11" s="5">
        <v>56</v>
      </c>
      <c r="C11" s="5">
        <v>8</v>
      </c>
      <c r="D11" s="5">
        <v>80</v>
      </c>
      <c r="E11" s="5">
        <v>7</v>
      </c>
      <c r="F11" s="6">
        <v>4480</v>
      </c>
      <c r="G11" s="6">
        <v>560</v>
      </c>
    </row>
    <row r="12" spans="1:7" x14ac:dyDescent="0.35">
      <c r="A12" s="5" t="s">
        <v>138</v>
      </c>
      <c r="B12" s="5">
        <v>50</v>
      </c>
      <c r="C12" s="5">
        <v>10</v>
      </c>
      <c r="D12" s="5">
        <v>100</v>
      </c>
      <c r="E12" s="5">
        <v>5</v>
      </c>
      <c r="F12" s="6">
        <v>5000</v>
      </c>
      <c r="G12" s="6">
        <v>400</v>
      </c>
    </row>
    <row r="13" spans="1:7" x14ac:dyDescent="0.35">
      <c r="A13" s="5" t="s">
        <v>139</v>
      </c>
      <c r="B13" s="5">
        <v>60</v>
      </c>
      <c r="C13" s="5">
        <v>15</v>
      </c>
      <c r="D13" s="5">
        <v>80</v>
      </c>
      <c r="E13" s="5">
        <v>4</v>
      </c>
      <c r="F13" s="6">
        <v>4800</v>
      </c>
      <c r="G13" s="6">
        <v>320</v>
      </c>
    </row>
    <row r="14" spans="1:7" x14ac:dyDescent="0.35">
      <c r="A14" s="5" t="s">
        <v>140</v>
      </c>
      <c r="B14" s="5">
        <v>100</v>
      </c>
      <c r="C14" s="5">
        <v>20</v>
      </c>
      <c r="D14" s="5">
        <v>60</v>
      </c>
      <c r="E14" s="5">
        <v>5</v>
      </c>
      <c r="F14" s="6">
        <v>6000</v>
      </c>
      <c r="G14" s="6">
        <v>400</v>
      </c>
    </row>
    <row r="15" spans="1:7" x14ac:dyDescent="0.35">
      <c r="A15" s="5" t="s">
        <v>141</v>
      </c>
      <c r="B15" s="5">
        <v>312</v>
      </c>
      <c r="C15" s="5">
        <v>24</v>
      </c>
      <c r="D15" s="5">
        <v>30</v>
      </c>
      <c r="E15" s="5">
        <v>13</v>
      </c>
      <c r="F15" s="6">
        <v>9360</v>
      </c>
      <c r="G15" s="6">
        <v>260</v>
      </c>
    </row>
    <row r="16" spans="1:7" x14ac:dyDescent="0.35">
      <c r="A16" s="5" t="s">
        <v>142</v>
      </c>
      <c r="B16" s="5">
        <v>100</v>
      </c>
      <c r="C16" s="5">
        <v>20</v>
      </c>
      <c r="D16" s="5">
        <v>50</v>
      </c>
      <c r="E16" s="5">
        <v>5</v>
      </c>
      <c r="F16" s="6">
        <v>5000</v>
      </c>
      <c r="G16" s="6">
        <v>400</v>
      </c>
    </row>
    <row r="17" spans="1:7" x14ac:dyDescent="0.35">
      <c r="A17" s="5" t="s">
        <v>143</v>
      </c>
      <c r="B17" s="5">
        <v>540</v>
      </c>
      <c r="C17" s="5">
        <v>60</v>
      </c>
      <c r="D17" s="5">
        <v>30</v>
      </c>
      <c r="E17" s="5">
        <v>9</v>
      </c>
      <c r="F17" s="6">
        <v>16200</v>
      </c>
      <c r="G17" s="6">
        <v>720</v>
      </c>
    </row>
    <row r="18" spans="1:7" x14ac:dyDescent="0.35">
      <c r="A18" s="5" t="s">
        <v>144</v>
      </c>
      <c r="B18" s="5">
        <v>100</v>
      </c>
      <c r="C18" s="5">
        <v>20</v>
      </c>
      <c r="D18" s="5">
        <v>35</v>
      </c>
      <c r="E18" s="5">
        <v>5</v>
      </c>
      <c r="F18" s="6">
        <v>3500</v>
      </c>
      <c r="G18" s="6">
        <v>400</v>
      </c>
    </row>
    <row r="19" spans="1:7" x14ac:dyDescent="0.35">
      <c r="A19" s="5"/>
      <c r="B19" s="5"/>
      <c r="C19" s="5"/>
      <c r="D19" s="5"/>
      <c r="E19" s="5">
        <f>SUM(E3:E18)</f>
        <v>177</v>
      </c>
      <c r="F19" s="6">
        <f>SUM(F3:F18)</f>
        <v>175950</v>
      </c>
      <c r="G19" s="6">
        <f>SUM(G3:G18)</f>
        <v>13380</v>
      </c>
    </row>
    <row r="20" spans="1:7" x14ac:dyDescent="0.35">
      <c r="A20" s="33" t="s">
        <v>95</v>
      </c>
      <c r="B20" s="33"/>
      <c r="C20" s="33"/>
      <c r="D20" s="33"/>
      <c r="E20" s="33"/>
      <c r="F20" s="34">
        <f>F19+G19</f>
        <v>189330</v>
      </c>
      <c r="G20" s="34"/>
    </row>
  </sheetData>
  <mergeCells count="2">
    <mergeCell ref="A20:E20"/>
    <mergeCell ref="F20:G2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September Expense</vt:lpstr>
      <vt:lpstr>Credit card and EMI</vt:lpstr>
      <vt:lpstr>Vendor Payment</vt:lpstr>
      <vt:lpstr>Diwali 2024</vt:lpstr>
      <vt:lpstr>Khurja Order</vt:lpstr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2024-09-25T05:31:47Z</dcterms:created>
  <dcterms:modified xsi:type="dcterms:W3CDTF">2024-10-30T14:07:09Z</dcterms:modified>
</cp:coreProperties>
</file>