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hamaru\Dropbox\Camera Uploads\Dharmesh\"/>
    </mc:Choice>
  </mc:AlternateContent>
  <xr:revisionPtr revIDLastSave="0" documentId="13_ncr:1_{3ED4D91C-2AD2-4D92-B0C2-D4A42317448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-21 Performance" sheetId="1" r:id="rId1"/>
    <sheet name="21-22 Budget" sheetId="4" r:id="rId2"/>
    <sheet name="TARGET CLIEN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4" l="1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I7" i="4"/>
  <c r="J7" i="4" s="1"/>
  <c r="I8" i="4"/>
  <c r="I11" i="4"/>
  <c r="I12" i="4"/>
  <c r="I15" i="4"/>
  <c r="J15" i="4" s="1"/>
  <c r="I16" i="4"/>
  <c r="J16" i="4" s="1"/>
  <c r="I19" i="4"/>
  <c r="I20" i="4"/>
  <c r="I23" i="4"/>
  <c r="J23" i="4" s="1"/>
  <c r="J8" i="4"/>
  <c r="J19" i="4"/>
  <c r="H6" i="4"/>
  <c r="H7" i="4"/>
  <c r="H8" i="4"/>
  <c r="H9" i="4"/>
  <c r="H10" i="4"/>
  <c r="H11" i="4"/>
  <c r="J11" i="4" s="1"/>
  <c r="H12" i="4"/>
  <c r="J12" i="4" s="1"/>
  <c r="H13" i="4"/>
  <c r="H14" i="4"/>
  <c r="H15" i="4"/>
  <c r="H16" i="4"/>
  <c r="H17" i="4"/>
  <c r="H18" i="4"/>
  <c r="J18" i="4" s="1"/>
  <c r="H19" i="4"/>
  <c r="H20" i="4"/>
  <c r="J20" i="4" s="1"/>
  <c r="H21" i="4"/>
  <c r="H22" i="4"/>
  <c r="J22" i="4" s="1"/>
  <c r="H23" i="4"/>
  <c r="F23" i="4"/>
  <c r="F22" i="4"/>
  <c r="I22" i="4" s="1"/>
  <c r="F21" i="4"/>
  <c r="I21" i="4" s="1"/>
  <c r="J21" i="4" s="1"/>
  <c r="F20" i="4"/>
  <c r="F19" i="4"/>
  <c r="F18" i="4"/>
  <c r="I18" i="4" s="1"/>
  <c r="F17" i="4"/>
  <c r="I17" i="4" s="1"/>
  <c r="F16" i="4"/>
  <c r="F15" i="4"/>
  <c r="F14" i="4"/>
  <c r="I14" i="4" s="1"/>
  <c r="J14" i="4" s="1"/>
  <c r="F13" i="4"/>
  <c r="I13" i="4" s="1"/>
  <c r="J13" i="4" s="1"/>
  <c r="F12" i="4"/>
  <c r="F11" i="4"/>
  <c r="F10" i="4"/>
  <c r="I10" i="4" s="1"/>
  <c r="J10" i="4" s="1"/>
  <c r="F9" i="4"/>
  <c r="I9" i="4" s="1"/>
  <c r="F8" i="4"/>
  <c r="F7" i="4"/>
  <c r="F6" i="4"/>
  <c r="I6" i="4" s="1"/>
  <c r="E2" i="1"/>
  <c r="E3" i="1"/>
  <c r="E4" i="1"/>
  <c r="E5" i="1"/>
  <c r="E6" i="1"/>
  <c r="E7" i="1"/>
  <c r="E8" i="1"/>
  <c r="E9" i="1"/>
  <c r="E10" i="1"/>
  <c r="E11" i="1"/>
  <c r="E12" i="1"/>
  <c r="E13" i="1"/>
  <c r="J17" i="4" l="1"/>
  <c r="J9" i="4"/>
  <c r="J6" i="4"/>
  <c r="K6" i="4" s="1"/>
  <c r="F27" i="4"/>
</calcChain>
</file>

<file path=xl/sharedStrings.xml><?xml version="1.0" encoding="utf-8"?>
<sst xmlns="http://schemas.openxmlformats.org/spreadsheetml/2006/main" count="53" uniqueCount="45">
  <si>
    <t>Actual Purchase</t>
  </si>
  <si>
    <t>Actual Expenses</t>
  </si>
  <si>
    <t>Actual Profit</t>
  </si>
  <si>
    <t>Month</t>
  </si>
  <si>
    <t>Actual Revenue( Cash + Bank )</t>
  </si>
  <si>
    <t>Item Wise</t>
  </si>
  <si>
    <t>COOKING POT</t>
  </si>
  <si>
    <t>AMT</t>
  </si>
  <si>
    <t>QTY</t>
  </si>
  <si>
    <t>No.</t>
  </si>
  <si>
    <t>TOP-10 SELLING ITEM ONLY</t>
  </si>
  <si>
    <t>SIZE</t>
  </si>
  <si>
    <t>LARGE</t>
  </si>
  <si>
    <t>MEDIUM</t>
  </si>
  <si>
    <t>SMALL</t>
  </si>
  <si>
    <t>COOKING POT WITH HANDLE</t>
  </si>
  <si>
    <t>KULHAD</t>
  </si>
  <si>
    <t>COST</t>
  </si>
  <si>
    <t>AVG SALE RATE</t>
  </si>
  <si>
    <t>EXPENSES</t>
  </si>
  <si>
    <t>GROSS PROFIT</t>
  </si>
  <si>
    <t>NET PROFIT</t>
  </si>
  <si>
    <t>NET PROFIT %</t>
  </si>
  <si>
    <t>IMPROVEMENT</t>
  </si>
  <si>
    <t xml:space="preserve">MARKETING </t>
  </si>
  <si>
    <t>SOCIAL ( FB &amp; INSTAGRAM &amp; GOOGLE ADS)</t>
  </si>
  <si>
    <t>WEBSITE - SHOW ONLY BEST SELLING PRODUCT ( REMOVE EXTRA ONE )</t>
  </si>
  <si>
    <t>BUDGET-COST</t>
  </si>
  <si>
    <t>DELIVERY SERVICES</t>
  </si>
  <si>
    <t xml:space="preserve">PROPER PACKING BAG FOR WHOLESALE CLIENT </t>
  </si>
  <si>
    <t>AUDIENCE</t>
  </si>
  <si>
    <t>WALK IN CUSTOMER -RETAILER</t>
  </si>
  <si>
    <t xml:space="preserve">WHOLESALE CLIENT - PRAJAPATI ( NOS OF SHOP ) - CALLING </t>
  </si>
  <si>
    <t>DIYA</t>
  </si>
  <si>
    <t>CURD POT</t>
  </si>
  <si>
    <t>WHOLESALE CLIENT - OUTSIDE</t>
  </si>
  <si>
    <t xml:space="preserve">PREPARE NEW PORTFOLIO -FOR 21-22 </t>
  </si>
  <si>
    <t>PREPARE PRICE LIST WITH PACKING - 21-22 ( WHOLESALE &amp; RETAIL )</t>
  </si>
  <si>
    <t>LIST OF AVAIBILITY OF PRODUCTS ( STOCK REPORT)</t>
  </si>
  <si>
    <t xml:space="preserve">HIRE - 1 PERSON FOR MANAGING </t>
  </si>
  <si>
    <t>PACKING MATERIAL ( BOX )</t>
  </si>
  <si>
    <t>MARKETING MATERIAL ( BROCHURE / NEWS PAPER)</t>
  </si>
  <si>
    <t>BIRYANI POT -HOTELS</t>
  </si>
  <si>
    <t>TEA-STALL ( YEWLE AND ALL)</t>
  </si>
  <si>
    <t>YEARLY TARGET -21-22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</si>
</sst>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7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left" indent="2"/>
    </xf>
    <xf numFmtId="0" fontId="3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6">
    <dxf>
      <numFmt numFmtId="0" formatCode="General"/>
      <alignment horizontal="center" vertical="center" textRotation="0" wrapText="0" indent="0" justifyLastLine="0" shrinkToFit="0" readingOrder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22" formatCode="mmm/yy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D852F-6666-4019-A8EF-77CC91411995}" name="Table1" displayName="Table1" ref="A1:E13" totalsRowShown="0" headerRowDxfId="15">
  <autoFilter ref="A1:E13" xr:uid="{B81045FF-1347-4119-B9C6-07FBC4C39A3D}"/>
  <tableColumns count="5">
    <tableColumn id="1" xr3:uid="{C674E5EA-B082-4BC8-8FB1-D81A250DF289}" name="Month" dataDxfId="14"/>
    <tableColumn id="2" xr3:uid="{DAB58504-6BEC-4FE5-A91C-B9BD779B94C1}" name="Actual Revenue( Cash + Bank )" dataDxfId="13"/>
    <tableColumn id="3" xr3:uid="{BB06ABD1-CC1E-4547-A641-C5F4FED0051D}" name="Actual Purchase"/>
    <tableColumn id="4" xr3:uid="{634BF6B9-CF16-42A4-A634-315B567CA636}" name="Actual Expenses"/>
    <tableColumn id="5" xr3:uid="{44EF88BE-F69C-4FDD-9555-7DD910776FB4}" name="Actual Profit" dataDxfId="12">
      <calculatedColumnFormula>Table1[[#This Row],[Actual Revenue( Cash + Bank )]]-Table1[[#This Row],[Actual Purchase]]-Table1[[#This Row],[Actual Expenses]]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479DC7-546E-485A-8906-E5ABA3B9B1C8}" name="Table3" displayName="Table3" ref="A5:K23" totalsRowShown="0" headerRowDxfId="11" dataDxfId="10">
  <autoFilter ref="A5:K23" xr:uid="{BC68E7FA-7E27-4E7A-A9F8-6B63639B112D}"/>
  <tableColumns count="11">
    <tableColumn id="1" xr3:uid="{52D93CA5-4172-432E-B192-BB5C505886B7}" name="No."/>
    <tableColumn id="2" xr3:uid="{923488EC-C462-4DEC-A743-2CAD7084AF3B}" name="Item Wise" dataDxfId="9"/>
    <tableColumn id="3" xr3:uid="{CDF4566B-9669-4DC9-A1A7-0B7CE40B5B0F}" name="SIZE" dataDxfId="8"/>
    <tableColumn id="4" xr3:uid="{ED2C57CB-3D8F-4F2A-B60D-57EC040593A7}" name="QTY" dataDxfId="7"/>
    <tableColumn id="5" xr3:uid="{F6594871-074A-48E3-92DA-16796C92A549}" name="AVG SALE RATE" dataDxfId="6"/>
    <tableColumn id="6" xr3:uid="{3AC749B9-EC18-470B-B08F-DC1E9054DC34}" name="AMT" dataDxfId="5" dataCellStyle="Comma">
      <calculatedColumnFormula>D6*E6</calculatedColumnFormula>
    </tableColumn>
    <tableColumn id="7" xr3:uid="{F19FB551-12FC-4C68-9818-F56BEFC44BB0}" name="COST" dataDxfId="4"/>
    <tableColumn id="8" xr3:uid="{58D2222F-0284-43CD-B349-A7F0DEA42245}" name="GROSS PROFIT" dataDxfId="3">
      <calculatedColumnFormula>(Table3[[#This Row],[AVG SALE RATE]]-Table3[[#This Row],[COST]])*Table3[[#This Row],[QTY]]</calculatedColumnFormula>
    </tableColumn>
    <tableColumn id="10" xr3:uid="{B12CDD63-82AA-4159-AC96-BDA831EC1C26}" name="EXPENSES" dataDxfId="2">
      <calculatedColumnFormula>Table3[[#This Row],[AMT]]*20%</calculatedColumnFormula>
    </tableColumn>
    <tableColumn id="11" xr3:uid="{B25DF8C8-21CC-49D3-8041-A2A3A80BA673}" name="NET PROFIT" dataDxfId="1">
      <calculatedColumnFormula>Table3[[#This Row],[GROSS PROFIT]]-Table3[[#This Row],[EXPENSES]]</calculatedColumnFormula>
    </tableColumn>
    <tableColumn id="12" xr3:uid="{52A8E503-57A9-4B7E-9FFF-BD6C142ED542}" name="NET PROFIT %" dataDxfId="0">
      <calculatedColumnFormula>Table3[[#This Row],[NET PROFIT]]/Table3[[#This Row],[AMT]]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G2" sqref="G2"/>
    </sheetView>
  </sheetViews>
  <sheetFormatPr defaultRowHeight="14.5" x14ac:dyDescent="0.35"/>
  <cols>
    <col min="2" max="2" width="12" style="3" customWidth="1"/>
    <col min="3" max="3" width="16.1796875" customWidth="1"/>
    <col min="4" max="4" width="16.26953125" customWidth="1"/>
    <col min="5" max="5" width="13.26953125" customWidth="1"/>
  </cols>
  <sheetData>
    <row r="1" spans="1:5" s="5" customFormat="1" ht="43.5" x14ac:dyDescent="0.35">
      <c r="A1" s="5" t="s">
        <v>3</v>
      </c>
      <c r="B1" s="6" t="s">
        <v>4</v>
      </c>
      <c r="C1" s="5" t="s">
        <v>0</v>
      </c>
      <c r="D1" s="5" t="s">
        <v>1</v>
      </c>
      <c r="E1" s="5" t="s">
        <v>2</v>
      </c>
    </row>
    <row r="2" spans="1:5" x14ac:dyDescent="0.35">
      <c r="A2" s="1">
        <v>43922</v>
      </c>
      <c r="E2">
        <f>Table1[[#This Row],[Actual Revenue( Cash + Bank )]]-Table1[[#This Row],[Actual Purchase]]-Table1[[#This Row],[Actual Expenses]]</f>
        <v>0</v>
      </c>
    </row>
    <row r="3" spans="1:5" x14ac:dyDescent="0.35">
      <c r="A3" s="1">
        <v>43952</v>
      </c>
      <c r="E3">
        <f>Table1[[#This Row],[Actual Revenue( Cash + Bank )]]-Table1[[#This Row],[Actual Purchase]]-Table1[[#This Row],[Actual Expenses]]</f>
        <v>0</v>
      </c>
    </row>
    <row r="4" spans="1:5" x14ac:dyDescent="0.35">
      <c r="A4" s="1">
        <v>43983</v>
      </c>
      <c r="E4">
        <f>Table1[[#This Row],[Actual Revenue( Cash + Bank )]]-Table1[[#This Row],[Actual Purchase]]-Table1[[#This Row],[Actual Expenses]]</f>
        <v>0</v>
      </c>
    </row>
    <row r="5" spans="1:5" x14ac:dyDescent="0.35">
      <c r="A5" s="1">
        <v>44013</v>
      </c>
      <c r="E5">
        <f>Table1[[#This Row],[Actual Revenue( Cash + Bank )]]-Table1[[#This Row],[Actual Purchase]]-Table1[[#This Row],[Actual Expenses]]</f>
        <v>0</v>
      </c>
    </row>
    <row r="6" spans="1:5" x14ac:dyDescent="0.35">
      <c r="A6" s="1">
        <v>44044</v>
      </c>
      <c r="E6">
        <f>Table1[[#This Row],[Actual Revenue( Cash + Bank )]]-Table1[[#This Row],[Actual Purchase]]-Table1[[#This Row],[Actual Expenses]]</f>
        <v>0</v>
      </c>
    </row>
    <row r="7" spans="1:5" x14ac:dyDescent="0.35">
      <c r="A7" s="1">
        <v>44075</v>
      </c>
      <c r="E7">
        <f>Table1[[#This Row],[Actual Revenue( Cash + Bank )]]-Table1[[#This Row],[Actual Purchase]]-Table1[[#This Row],[Actual Expenses]]</f>
        <v>0</v>
      </c>
    </row>
    <row r="8" spans="1:5" x14ac:dyDescent="0.35">
      <c r="A8" s="1">
        <v>44105</v>
      </c>
      <c r="E8">
        <f>Table1[[#This Row],[Actual Revenue( Cash + Bank )]]-Table1[[#This Row],[Actual Purchase]]-Table1[[#This Row],[Actual Expenses]]</f>
        <v>0</v>
      </c>
    </row>
    <row r="9" spans="1:5" x14ac:dyDescent="0.35">
      <c r="A9" s="1">
        <v>44136</v>
      </c>
      <c r="E9">
        <f>Table1[[#This Row],[Actual Revenue( Cash + Bank )]]-Table1[[#This Row],[Actual Purchase]]-Table1[[#This Row],[Actual Expenses]]</f>
        <v>0</v>
      </c>
    </row>
    <row r="10" spans="1:5" x14ac:dyDescent="0.35">
      <c r="A10" s="1">
        <v>44166</v>
      </c>
      <c r="E10">
        <f>Table1[[#This Row],[Actual Revenue( Cash + Bank )]]-Table1[[#This Row],[Actual Purchase]]-Table1[[#This Row],[Actual Expenses]]</f>
        <v>0</v>
      </c>
    </row>
    <row r="11" spans="1:5" x14ac:dyDescent="0.35">
      <c r="A11" s="1">
        <v>44197</v>
      </c>
      <c r="E11">
        <f>Table1[[#This Row],[Actual Revenue( Cash + Bank )]]-Table1[[#This Row],[Actual Purchase]]-Table1[[#This Row],[Actual Expenses]]</f>
        <v>0</v>
      </c>
    </row>
    <row r="12" spans="1:5" x14ac:dyDescent="0.35">
      <c r="A12" s="1">
        <v>44228</v>
      </c>
      <c r="E12">
        <f>Table1[[#This Row],[Actual Revenue( Cash + Bank )]]-Table1[[#This Row],[Actual Purchase]]-Table1[[#This Row],[Actual Expenses]]</f>
        <v>0</v>
      </c>
    </row>
    <row r="13" spans="1:5" x14ac:dyDescent="0.35">
      <c r="A13" s="1">
        <v>44256</v>
      </c>
      <c r="E13">
        <f>Table1[[#This Row],[Actual Revenue( Cash + Bank )]]-Table1[[#This Row],[Actual Purchase]]-Table1[[#This Row],[Actual Expenses]]</f>
        <v>0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70C2-2A79-42FB-A5EE-A8DE92097B65}">
  <dimension ref="A1:K27"/>
  <sheetViews>
    <sheetView topLeftCell="A2" zoomScale="97" workbookViewId="0">
      <selection activeCell="D19" sqref="D19"/>
    </sheetView>
  </sheetViews>
  <sheetFormatPr defaultRowHeight="14.5" x14ac:dyDescent="0.35"/>
  <cols>
    <col min="1" max="1" width="8" customWidth="1"/>
    <col min="2" max="2" width="25.26953125" bestFit="1" customWidth="1"/>
    <col min="3" max="3" width="11.81640625" style="7" customWidth="1"/>
    <col min="4" max="4" width="11.54296875" customWidth="1"/>
    <col min="5" max="5" width="11.1796875" style="3" customWidth="1"/>
    <col min="6" max="6" width="9.90625" bestFit="1" customWidth="1"/>
    <col min="8" max="8" width="17.453125" bestFit="1" customWidth="1"/>
    <col min="10" max="10" width="10.81640625" customWidth="1"/>
    <col min="11" max="11" width="17" bestFit="1" customWidth="1"/>
  </cols>
  <sheetData>
    <row r="1" spans="1:11" x14ac:dyDescent="0.35">
      <c r="D1" s="18" t="s">
        <v>44</v>
      </c>
      <c r="E1" s="18"/>
      <c r="F1" s="18"/>
      <c r="G1" s="18"/>
    </row>
    <row r="2" spans="1:11" x14ac:dyDescent="0.35">
      <c r="A2" s="2"/>
    </row>
    <row r="3" spans="1:11" x14ac:dyDescent="0.35">
      <c r="A3" s="2"/>
      <c r="B3" s="2" t="s">
        <v>10</v>
      </c>
      <c r="C3" s="4"/>
    </row>
    <row r="5" spans="1:11" s="4" customFormat="1" ht="29" x14ac:dyDescent="0.35">
      <c r="A5" s="4" t="s">
        <v>9</v>
      </c>
      <c r="B5" s="5" t="s">
        <v>5</v>
      </c>
      <c r="C5" s="5" t="s">
        <v>11</v>
      </c>
      <c r="D5" s="5" t="s">
        <v>8</v>
      </c>
      <c r="E5" s="6" t="s">
        <v>18</v>
      </c>
      <c r="F5" s="5" t="s">
        <v>7</v>
      </c>
      <c r="G5" s="5" t="s">
        <v>17</v>
      </c>
      <c r="H5" s="5" t="s">
        <v>20</v>
      </c>
      <c r="I5" s="5" t="s">
        <v>19</v>
      </c>
      <c r="J5" s="5" t="s">
        <v>21</v>
      </c>
      <c r="K5" s="5" t="s">
        <v>22</v>
      </c>
    </row>
    <row r="6" spans="1:11" x14ac:dyDescent="0.35">
      <c r="A6" s="8">
        <v>1</v>
      </c>
      <c r="B6" s="10" t="s">
        <v>6</v>
      </c>
      <c r="C6" s="7" t="s">
        <v>12</v>
      </c>
      <c r="D6" s="8">
        <v>10000</v>
      </c>
      <c r="E6" s="13">
        <v>300</v>
      </c>
      <c r="F6" s="9">
        <f>D6*E6</f>
        <v>3000000</v>
      </c>
      <c r="G6" s="8">
        <v>150</v>
      </c>
      <c r="H6" s="8">
        <f>(Table3[[#This Row],[AVG SALE RATE]]-Table3[[#This Row],[COST]])*Table3[[#This Row],[QTY]]</f>
        <v>1500000</v>
      </c>
      <c r="I6" s="15">
        <f>Table3[[#This Row],[AMT]]*20%</f>
        <v>600000</v>
      </c>
      <c r="J6" s="15">
        <f>Table3[[#This Row],[GROSS PROFIT]]-Table3[[#This Row],[EXPENSES]]</f>
        <v>900000</v>
      </c>
      <c r="K6" s="16">
        <f>Table3[[#This Row],[NET PROFIT]]/Table3[[#This Row],[AMT]]</f>
        <v>0.3</v>
      </c>
    </row>
    <row r="7" spans="1:11" x14ac:dyDescent="0.35">
      <c r="A7" s="8">
        <v>2</v>
      </c>
      <c r="B7" s="10" t="s">
        <v>6</v>
      </c>
      <c r="C7" s="7" t="s">
        <v>13</v>
      </c>
      <c r="D7" s="8"/>
      <c r="E7" s="13"/>
      <c r="F7" s="9">
        <f t="shared" ref="F7:F23" si="0">D7*E7</f>
        <v>0</v>
      </c>
      <c r="G7" s="8"/>
      <c r="H7" s="8">
        <f>(Table3[[#This Row],[AVG SALE RATE]]-Table3[[#This Row],[COST]])*Table3[[#This Row],[QTY]]</f>
        <v>0</v>
      </c>
      <c r="I7" s="15">
        <f>Table3[[#This Row],[AMT]]*20%</f>
        <v>0</v>
      </c>
      <c r="J7" s="15">
        <f>Table3[[#This Row],[GROSS PROFIT]]-Table3[[#This Row],[EXPENSES]]</f>
        <v>0</v>
      </c>
      <c r="K7" s="16" t="e">
        <f>Table3[[#This Row],[NET PROFIT]]/Table3[[#This Row],[AMT]]</f>
        <v>#DIV/0!</v>
      </c>
    </row>
    <row r="8" spans="1:11" x14ac:dyDescent="0.35">
      <c r="A8" s="8">
        <v>3</v>
      </c>
      <c r="B8" s="10" t="s">
        <v>6</v>
      </c>
      <c r="C8" s="7" t="s">
        <v>14</v>
      </c>
      <c r="D8" s="8"/>
      <c r="E8" s="13"/>
      <c r="F8" s="9">
        <f t="shared" si="0"/>
        <v>0</v>
      </c>
      <c r="G8" s="8"/>
      <c r="H8" s="8">
        <f>(Table3[[#This Row],[AVG SALE RATE]]-Table3[[#This Row],[COST]])*Table3[[#This Row],[QTY]]</f>
        <v>0</v>
      </c>
      <c r="I8" s="15">
        <f>Table3[[#This Row],[AMT]]*20%</f>
        <v>0</v>
      </c>
      <c r="J8" s="15">
        <f>Table3[[#This Row],[GROSS PROFIT]]-Table3[[#This Row],[EXPENSES]]</f>
        <v>0</v>
      </c>
      <c r="K8" s="16" t="e">
        <f>Table3[[#This Row],[NET PROFIT]]/Table3[[#This Row],[AMT]]</f>
        <v>#DIV/0!</v>
      </c>
    </row>
    <row r="9" spans="1:11" x14ac:dyDescent="0.35">
      <c r="A9" s="8">
        <v>4</v>
      </c>
      <c r="B9" s="10" t="s">
        <v>15</v>
      </c>
      <c r="C9" s="7" t="s">
        <v>12</v>
      </c>
      <c r="D9" s="8"/>
      <c r="E9" s="13"/>
      <c r="F9" s="9">
        <f t="shared" si="0"/>
        <v>0</v>
      </c>
      <c r="G9" s="8"/>
      <c r="H9" s="8">
        <f>(Table3[[#This Row],[AVG SALE RATE]]-Table3[[#This Row],[COST]])*Table3[[#This Row],[QTY]]</f>
        <v>0</v>
      </c>
      <c r="I9" s="15">
        <f>Table3[[#This Row],[AMT]]*20%</f>
        <v>0</v>
      </c>
      <c r="J9" s="15">
        <f>Table3[[#This Row],[GROSS PROFIT]]-Table3[[#This Row],[EXPENSES]]</f>
        <v>0</v>
      </c>
      <c r="K9" s="16" t="e">
        <f>Table3[[#This Row],[NET PROFIT]]/Table3[[#This Row],[AMT]]</f>
        <v>#DIV/0!</v>
      </c>
    </row>
    <row r="10" spans="1:11" x14ac:dyDescent="0.35">
      <c r="A10" s="8">
        <v>5</v>
      </c>
      <c r="B10" s="10" t="s">
        <v>15</v>
      </c>
      <c r="C10" s="7" t="s">
        <v>13</v>
      </c>
      <c r="D10" s="8"/>
      <c r="E10" s="13"/>
      <c r="F10" s="9">
        <f t="shared" si="0"/>
        <v>0</v>
      </c>
      <c r="G10" s="8"/>
      <c r="H10" s="8">
        <f>(Table3[[#This Row],[AVG SALE RATE]]-Table3[[#This Row],[COST]])*Table3[[#This Row],[QTY]]</f>
        <v>0</v>
      </c>
      <c r="I10" s="15">
        <f>Table3[[#This Row],[AMT]]*20%</f>
        <v>0</v>
      </c>
      <c r="J10" s="15">
        <f>Table3[[#This Row],[GROSS PROFIT]]-Table3[[#This Row],[EXPENSES]]</f>
        <v>0</v>
      </c>
      <c r="K10" s="16" t="e">
        <f>Table3[[#This Row],[NET PROFIT]]/Table3[[#This Row],[AMT]]</f>
        <v>#DIV/0!</v>
      </c>
    </row>
    <row r="11" spans="1:11" x14ac:dyDescent="0.35">
      <c r="A11" s="8">
        <v>6</v>
      </c>
      <c r="B11" s="10" t="s">
        <v>15</v>
      </c>
      <c r="C11" s="7" t="s">
        <v>14</v>
      </c>
      <c r="D11" s="8"/>
      <c r="E11" s="13"/>
      <c r="F11" s="9">
        <f t="shared" si="0"/>
        <v>0</v>
      </c>
      <c r="G11" s="8"/>
      <c r="H11" s="8">
        <f>(Table3[[#This Row],[AVG SALE RATE]]-Table3[[#This Row],[COST]])*Table3[[#This Row],[QTY]]</f>
        <v>0</v>
      </c>
      <c r="I11" s="15">
        <f>Table3[[#This Row],[AMT]]*20%</f>
        <v>0</v>
      </c>
      <c r="J11" s="15">
        <f>Table3[[#This Row],[GROSS PROFIT]]-Table3[[#This Row],[EXPENSES]]</f>
        <v>0</v>
      </c>
      <c r="K11" s="16" t="e">
        <f>Table3[[#This Row],[NET PROFIT]]/Table3[[#This Row],[AMT]]</f>
        <v>#DIV/0!</v>
      </c>
    </row>
    <row r="12" spans="1:11" x14ac:dyDescent="0.35">
      <c r="A12" s="8">
        <v>7</v>
      </c>
      <c r="B12" s="11" t="s">
        <v>16</v>
      </c>
      <c r="C12" s="8" t="s">
        <v>14</v>
      </c>
      <c r="D12" s="8">
        <v>5000</v>
      </c>
      <c r="E12" s="14">
        <v>150</v>
      </c>
      <c r="F12" s="9">
        <f t="shared" si="0"/>
        <v>750000</v>
      </c>
      <c r="G12" s="8"/>
      <c r="H12" s="8">
        <f>(Table3[[#This Row],[AVG SALE RATE]]-Table3[[#This Row],[COST]])*Table3[[#This Row],[QTY]]</f>
        <v>750000</v>
      </c>
      <c r="I12" s="15">
        <f>Table3[[#This Row],[AMT]]*20%</f>
        <v>150000</v>
      </c>
      <c r="J12" s="15">
        <f>Table3[[#This Row],[GROSS PROFIT]]-Table3[[#This Row],[EXPENSES]]</f>
        <v>600000</v>
      </c>
      <c r="K12" s="16">
        <f>Table3[[#This Row],[NET PROFIT]]/Table3[[#This Row],[AMT]]</f>
        <v>0.8</v>
      </c>
    </row>
    <row r="13" spans="1:11" x14ac:dyDescent="0.35">
      <c r="A13" s="8">
        <v>8</v>
      </c>
      <c r="B13" s="11" t="s">
        <v>33</v>
      </c>
      <c r="C13" s="8"/>
      <c r="D13" s="8"/>
      <c r="E13" s="14"/>
      <c r="F13" s="9">
        <f t="shared" si="0"/>
        <v>0</v>
      </c>
      <c r="G13" s="8"/>
      <c r="H13" s="8">
        <f>(Table3[[#This Row],[AVG SALE RATE]]-Table3[[#This Row],[COST]])*Table3[[#This Row],[QTY]]</f>
        <v>0</v>
      </c>
      <c r="I13" s="15">
        <f>Table3[[#This Row],[AMT]]*20%</f>
        <v>0</v>
      </c>
      <c r="J13" s="15">
        <f>Table3[[#This Row],[GROSS PROFIT]]-Table3[[#This Row],[EXPENSES]]</f>
        <v>0</v>
      </c>
      <c r="K13" s="16" t="e">
        <f>Table3[[#This Row],[NET PROFIT]]/Table3[[#This Row],[AMT]]</f>
        <v>#DIV/0!</v>
      </c>
    </row>
    <row r="14" spans="1:11" x14ac:dyDescent="0.35">
      <c r="A14" s="8">
        <v>9</v>
      </c>
      <c r="B14" s="11" t="s">
        <v>34</v>
      </c>
      <c r="C14" s="8"/>
      <c r="D14" s="8"/>
      <c r="E14" s="14"/>
      <c r="F14" s="9">
        <f t="shared" si="0"/>
        <v>0</v>
      </c>
      <c r="G14" s="8"/>
      <c r="H14" s="8">
        <f>(Table3[[#This Row],[AVG SALE RATE]]-Table3[[#This Row],[COST]])*Table3[[#This Row],[QTY]]</f>
        <v>0</v>
      </c>
      <c r="I14" s="15">
        <f>Table3[[#This Row],[AMT]]*20%</f>
        <v>0</v>
      </c>
      <c r="J14" s="15">
        <f>Table3[[#This Row],[GROSS PROFIT]]-Table3[[#This Row],[EXPENSES]]</f>
        <v>0</v>
      </c>
      <c r="K14" s="16" t="e">
        <f>Table3[[#This Row],[NET PROFIT]]/Table3[[#This Row],[AMT]]</f>
        <v>#DIV/0!</v>
      </c>
    </row>
    <row r="15" spans="1:11" x14ac:dyDescent="0.35">
      <c r="A15" s="8">
        <v>10</v>
      </c>
      <c r="B15" s="11"/>
      <c r="C15" s="8"/>
      <c r="D15" s="8"/>
      <c r="E15" s="14"/>
      <c r="F15" s="9">
        <f t="shared" si="0"/>
        <v>0</v>
      </c>
      <c r="G15" s="8"/>
      <c r="H15" s="8">
        <f>(Table3[[#This Row],[AVG SALE RATE]]-Table3[[#This Row],[COST]])*Table3[[#This Row],[QTY]]</f>
        <v>0</v>
      </c>
      <c r="I15" s="15">
        <f>Table3[[#This Row],[AMT]]*20%</f>
        <v>0</v>
      </c>
      <c r="J15" s="15">
        <f>Table3[[#This Row],[GROSS PROFIT]]-Table3[[#This Row],[EXPENSES]]</f>
        <v>0</v>
      </c>
      <c r="K15" s="16" t="e">
        <f>Table3[[#This Row],[NET PROFIT]]/Table3[[#This Row],[AMT]]</f>
        <v>#DIV/0!</v>
      </c>
    </row>
    <row r="16" spans="1:11" x14ac:dyDescent="0.35">
      <c r="A16" s="8">
        <v>11</v>
      </c>
      <c r="B16" s="11"/>
      <c r="C16" s="8"/>
      <c r="D16" s="8"/>
      <c r="E16" s="14"/>
      <c r="F16" s="9">
        <f t="shared" si="0"/>
        <v>0</v>
      </c>
      <c r="G16" s="8"/>
      <c r="H16" s="8">
        <f>(Table3[[#This Row],[AVG SALE RATE]]-Table3[[#This Row],[COST]])*Table3[[#This Row],[QTY]]</f>
        <v>0</v>
      </c>
      <c r="I16" s="15">
        <f>Table3[[#This Row],[AMT]]*20%</f>
        <v>0</v>
      </c>
      <c r="J16" s="15">
        <f>Table3[[#This Row],[GROSS PROFIT]]-Table3[[#This Row],[EXPENSES]]</f>
        <v>0</v>
      </c>
      <c r="K16" s="16" t="e">
        <f>Table3[[#This Row],[NET PROFIT]]/Table3[[#This Row],[AMT]]</f>
        <v>#DIV/0!</v>
      </c>
    </row>
    <row r="17" spans="1:11" x14ac:dyDescent="0.35">
      <c r="A17" s="8">
        <v>12</v>
      </c>
      <c r="B17" s="11"/>
      <c r="C17" s="8"/>
      <c r="D17" s="8"/>
      <c r="E17" s="14"/>
      <c r="F17" s="9">
        <f t="shared" si="0"/>
        <v>0</v>
      </c>
      <c r="G17" s="8"/>
      <c r="H17" s="8">
        <f>(Table3[[#This Row],[AVG SALE RATE]]-Table3[[#This Row],[COST]])*Table3[[#This Row],[QTY]]</f>
        <v>0</v>
      </c>
      <c r="I17" s="15">
        <f>Table3[[#This Row],[AMT]]*20%</f>
        <v>0</v>
      </c>
      <c r="J17" s="15">
        <f>Table3[[#This Row],[GROSS PROFIT]]-Table3[[#This Row],[EXPENSES]]</f>
        <v>0</v>
      </c>
      <c r="K17" s="16" t="e">
        <f>Table3[[#This Row],[NET PROFIT]]/Table3[[#This Row],[AMT]]</f>
        <v>#DIV/0!</v>
      </c>
    </row>
    <row r="18" spans="1:11" x14ac:dyDescent="0.35">
      <c r="A18" s="8">
        <v>13</v>
      </c>
      <c r="B18" s="11"/>
      <c r="C18" s="8"/>
      <c r="D18" s="8"/>
      <c r="E18" s="14"/>
      <c r="F18" s="9">
        <f t="shared" si="0"/>
        <v>0</v>
      </c>
      <c r="G18" s="8"/>
      <c r="H18" s="8">
        <f>(Table3[[#This Row],[AVG SALE RATE]]-Table3[[#This Row],[COST]])*Table3[[#This Row],[QTY]]</f>
        <v>0</v>
      </c>
      <c r="I18" s="15">
        <f>Table3[[#This Row],[AMT]]*20%</f>
        <v>0</v>
      </c>
      <c r="J18" s="15">
        <f>Table3[[#This Row],[GROSS PROFIT]]-Table3[[#This Row],[EXPENSES]]</f>
        <v>0</v>
      </c>
      <c r="K18" s="16" t="e">
        <f>Table3[[#This Row],[NET PROFIT]]/Table3[[#This Row],[AMT]]</f>
        <v>#DIV/0!</v>
      </c>
    </row>
    <row r="19" spans="1:11" x14ac:dyDescent="0.35">
      <c r="B19" s="11"/>
      <c r="C19" s="8"/>
      <c r="D19" s="8"/>
      <c r="E19" s="14"/>
      <c r="F19" s="9">
        <f t="shared" si="0"/>
        <v>0</v>
      </c>
      <c r="G19" s="8"/>
      <c r="H19" s="8">
        <f>(Table3[[#This Row],[AVG SALE RATE]]-Table3[[#This Row],[COST]])*Table3[[#This Row],[QTY]]</f>
        <v>0</v>
      </c>
      <c r="I19" s="15">
        <f>Table3[[#This Row],[AMT]]*20%</f>
        <v>0</v>
      </c>
      <c r="J19" s="15">
        <f>Table3[[#This Row],[GROSS PROFIT]]-Table3[[#This Row],[EXPENSES]]</f>
        <v>0</v>
      </c>
      <c r="K19" s="16" t="e">
        <f>Table3[[#This Row],[NET PROFIT]]/Table3[[#This Row],[AMT]]</f>
        <v>#DIV/0!</v>
      </c>
    </row>
    <row r="20" spans="1:11" x14ac:dyDescent="0.35">
      <c r="B20" s="11"/>
      <c r="C20" s="8"/>
      <c r="D20" s="8"/>
      <c r="E20" s="13"/>
      <c r="F20" s="9">
        <f t="shared" si="0"/>
        <v>0</v>
      </c>
      <c r="G20" s="8"/>
      <c r="H20" s="8">
        <f>(Table3[[#This Row],[AVG SALE RATE]]-Table3[[#This Row],[COST]])*Table3[[#This Row],[QTY]]</f>
        <v>0</v>
      </c>
      <c r="I20" s="15">
        <f>Table3[[#This Row],[AMT]]*20%</f>
        <v>0</v>
      </c>
      <c r="J20" s="15">
        <f>Table3[[#This Row],[GROSS PROFIT]]-Table3[[#This Row],[EXPENSES]]</f>
        <v>0</v>
      </c>
      <c r="K20" s="16" t="e">
        <f>Table3[[#This Row],[NET PROFIT]]/Table3[[#This Row],[AMT]]</f>
        <v>#DIV/0!</v>
      </c>
    </row>
    <row r="21" spans="1:11" x14ac:dyDescent="0.35">
      <c r="B21" s="11"/>
      <c r="C21" s="8"/>
      <c r="D21" s="8"/>
      <c r="E21" s="13"/>
      <c r="F21" s="9">
        <f t="shared" si="0"/>
        <v>0</v>
      </c>
      <c r="G21" s="8"/>
      <c r="H21" s="8">
        <f>(Table3[[#This Row],[AVG SALE RATE]]-Table3[[#This Row],[COST]])*Table3[[#This Row],[QTY]]</f>
        <v>0</v>
      </c>
      <c r="I21" s="15">
        <f>Table3[[#This Row],[AMT]]*20%</f>
        <v>0</v>
      </c>
      <c r="J21" s="15">
        <f>Table3[[#This Row],[GROSS PROFIT]]-Table3[[#This Row],[EXPENSES]]</f>
        <v>0</v>
      </c>
      <c r="K21" s="16" t="e">
        <f>Table3[[#This Row],[NET PROFIT]]/Table3[[#This Row],[AMT]]</f>
        <v>#DIV/0!</v>
      </c>
    </row>
    <row r="22" spans="1:11" x14ac:dyDescent="0.35">
      <c r="B22" s="8"/>
      <c r="C22" s="8"/>
      <c r="D22" s="8"/>
      <c r="E22" s="13"/>
      <c r="F22" s="9">
        <f t="shared" si="0"/>
        <v>0</v>
      </c>
      <c r="G22" s="8"/>
      <c r="H22" s="8">
        <f>(Table3[[#This Row],[AVG SALE RATE]]-Table3[[#This Row],[COST]])*Table3[[#This Row],[QTY]]</f>
        <v>0</v>
      </c>
      <c r="I22" s="15">
        <f>Table3[[#This Row],[AMT]]*20%</f>
        <v>0</v>
      </c>
      <c r="J22" s="15">
        <f>Table3[[#This Row],[GROSS PROFIT]]-Table3[[#This Row],[EXPENSES]]</f>
        <v>0</v>
      </c>
      <c r="K22" s="16" t="e">
        <f>Table3[[#This Row],[NET PROFIT]]/Table3[[#This Row],[AMT]]</f>
        <v>#DIV/0!</v>
      </c>
    </row>
    <row r="23" spans="1:11" x14ac:dyDescent="0.35">
      <c r="B23" s="8"/>
      <c r="C23" s="8"/>
      <c r="D23" s="8"/>
      <c r="E23" s="13"/>
      <c r="F23" s="9">
        <f t="shared" si="0"/>
        <v>0</v>
      </c>
      <c r="G23" s="8"/>
      <c r="H23" s="8">
        <f>(Table3[[#This Row],[AVG SALE RATE]]-Table3[[#This Row],[COST]])*Table3[[#This Row],[QTY]]</f>
        <v>0</v>
      </c>
      <c r="I23" s="15">
        <f>Table3[[#This Row],[AMT]]*20%</f>
        <v>0</v>
      </c>
      <c r="J23" s="15">
        <f>Table3[[#This Row],[GROSS PROFIT]]-Table3[[#This Row],[EXPENSES]]</f>
        <v>0</v>
      </c>
      <c r="K23" s="16" t="e">
        <f>Table3[[#This Row],[NET PROFIT]]/Table3[[#This Row],[AMT]]</f>
        <v>#DIV/0!</v>
      </c>
    </row>
    <row r="24" spans="1:11" x14ac:dyDescent="0.35">
      <c r="B24" s="8"/>
      <c r="C24" s="8"/>
      <c r="D24" s="8"/>
      <c r="E24" s="13"/>
      <c r="F24" s="8"/>
    </row>
    <row r="27" spans="1:11" x14ac:dyDescent="0.35">
      <c r="F27" s="12">
        <f>SUM(Table3[AMT])</f>
        <v>3750000</v>
      </c>
    </row>
  </sheetData>
  <mergeCells count="1">
    <mergeCell ref="D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7AE7-3419-4662-9D92-BA64CC7D719F}">
  <dimension ref="A1:C26"/>
  <sheetViews>
    <sheetView tabSelected="1" topLeftCell="A15" workbookViewId="0">
      <selection activeCell="B32" sqref="B32"/>
    </sheetView>
  </sheetViews>
  <sheetFormatPr defaultRowHeight="14.5" x14ac:dyDescent="0.35"/>
  <cols>
    <col min="2" max="2" width="60.90625" bestFit="1" customWidth="1"/>
    <col min="3" max="3" width="12.7265625" bestFit="1" customWidth="1"/>
  </cols>
  <sheetData>
    <row r="1" spans="1:3" x14ac:dyDescent="0.35">
      <c r="A1" s="2" t="s">
        <v>23</v>
      </c>
      <c r="C1" s="2" t="s">
        <v>27</v>
      </c>
    </row>
    <row r="2" spans="1:3" x14ac:dyDescent="0.35">
      <c r="A2" s="7">
        <v>1</v>
      </c>
      <c r="B2" t="s">
        <v>40</v>
      </c>
    </row>
    <row r="3" spans="1:3" x14ac:dyDescent="0.35">
      <c r="A3" s="7">
        <v>2</v>
      </c>
      <c r="B3" t="s">
        <v>28</v>
      </c>
    </row>
    <row r="4" spans="1:3" x14ac:dyDescent="0.35">
      <c r="A4" s="7">
        <v>3</v>
      </c>
      <c r="B4" s="2" t="s">
        <v>24</v>
      </c>
    </row>
    <row r="5" spans="1:3" x14ac:dyDescent="0.35">
      <c r="A5" s="7"/>
      <c r="B5" s="17" t="s">
        <v>25</v>
      </c>
    </row>
    <row r="6" spans="1:3" x14ac:dyDescent="0.35">
      <c r="A6" s="7"/>
      <c r="B6" s="17" t="s">
        <v>26</v>
      </c>
    </row>
    <row r="7" spans="1:3" x14ac:dyDescent="0.35">
      <c r="B7" s="17" t="s">
        <v>41</v>
      </c>
    </row>
    <row r="8" spans="1:3" x14ac:dyDescent="0.35">
      <c r="B8" s="17" t="s">
        <v>29</v>
      </c>
    </row>
    <row r="9" spans="1:3" x14ac:dyDescent="0.35">
      <c r="A9" s="7">
        <v>4</v>
      </c>
      <c r="B9" s="10" t="s">
        <v>38</v>
      </c>
    </row>
    <row r="10" spans="1:3" x14ac:dyDescent="0.35">
      <c r="A10" s="7">
        <v>5</v>
      </c>
      <c r="B10" s="10" t="s">
        <v>36</v>
      </c>
    </row>
    <row r="11" spans="1:3" x14ac:dyDescent="0.35">
      <c r="A11" s="7">
        <v>6</v>
      </c>
      <c r="B11" s="10" t="s">
        <v>37</v>
      </c>
    </row>
    <row r="12" spans="1:3" x14ac:dyDescent="0.35">
      <c r="A12" s="7">
        <v>7</v>
      </c>
      <c r="B12" s="10" t="s">
        <v>39</v>
      </c>
    </row>
    <row r="13" spans="1:3" x14ac:dyDescent="0.35">
      <c r="A13" s="7">
        <v>8</v>
      </c>
    </row>
    <row r="14" spans="1:3" x14ac:dyDescent="0.35">
      <c r="A14" s="7">
        <v>9</v>
      </c>
    </row>
    <row r="15" spans="1:3" x14ac:dyDescent="0.35">
      <c r="A15" s="7"/>
    </row>
    <row r="16" spans="1:3" x14ac:dyDescent="0.35">
      <c r="A16" s="7"/>
    </row>
    <row r="18" spans="1:2" x14ac:dyDescent="0.35">
      <c r="A18" s="2" t="s">
        <v>30</v>
      </c>
    </row>
    <row r="19" spans="1:2" x14ac:dyDescent="0.35">
      <c r="A19" s="7">
        <v>1</v>
      </c>
      <c r="B19" t="s">
        <v>31</v>
      </c>
    </row>
    <row r="20" spans="1:2" x14ac:dyDescent="0.35">
      <c r="A20" s="7">
        <v>2</v>
      </c>
      <c r="B20" t="s">
        <v>32</v>
      </c>
    </row>
    <row r="21" spans="1:2" x14ac:dyDescent="0.35">
      <c r="A21" s="7">
        <v>3</v>
      </c>
      <c r="B21" t="s">
        <v>35</v>
      </c>
    </row>
    <row r="22" spans="1:2" x14ac:dyDescent="0.35">
      <c r="A22" s="7">
        <v>4</v>
      </c>
      <c r="B22" t="s">
        <v>43</v>
      </c>
    </row>
    <row r="23" spans="1:2" x14ac:dyDescent="0.35">
      <c r="A23" s="7">
        <v>5</v>
      </c>
      <c r="B23" t="s">
        <v>42</v>
      </c>
    </row>
    <row r="24" spans="1:2" x14ac:dyDescent="0.35">
      <c r="A24" s="7">
        <v>6</v>
      </c>
    </row>
    <row r="25" spans="1:2" x14ac:dyDescent="0.35">
      <c r="A25" s="7">
        <v>7</v>
      </c>
    </row>
    <row r="26" spans="1:2" x14ac:dyDescent="0.35">
      <c r="A26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20-21 Performance</vt:lpstr>
      <vt:lpstr>21-22 Budget</vt:lpstr>
      <vt:lpstr>TARGET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91996</dc:creator>
  <cp:lastModifiedBy>Maru, Dharmesh</cp:lastModifiedBy>
  <dcterms:created xsi:type="dcterms:W3CDTF">2015-06-05T18:17:20Z</dcterms:created>
  <dcterms:modified xsi:type="dcterms:W3CDTF">2023-02-27T05:11:03Z</dcterms:modified>
</cp:coreProperties>
</file>