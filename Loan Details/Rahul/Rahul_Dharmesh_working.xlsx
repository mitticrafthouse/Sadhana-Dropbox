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Rahul/"/>
    </mc:Choice>
  </mc:AlternateContent>
  <xr:revisionPtr revIDLastSave="239" documentId="11_F25DC773A252ABDACC1048B9A99943D25BDE58ED" xr6:coauthVersionLast="47" xr6:coauthVersionMax="47" xr10:uidLastSave="{F436F5E2-1B22-413D-945C-BC14660C6417}"/>
  <bookViews>
    <workbookView xWindow="-110" yWindow="-110" windowWidth="19420" windowHeight="11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8" i="3" s="1"/>
  <c r="G9" i="3" s="1"/>
  <c r="G6" i="3"/>
  <c r="D20" i="2"/>
  <c r="N26" i="2"/>
  <c r="A13" i="3" l="1"/>
  <c r="G14" i="3" s="1"/>
  <c r="G15" i="3" s="1"/>
  <c r="G10" i="3"/>
  <c r="G11" i="3" s="1"/>
  <c r="G12" i="3" s="1"/>
  <c r="J36" i="1"/>
  <c r="F43" i="1"/>
  <c r="F45" i="1" s="1"/>
  <c r="I26" i="2"/>
  <c r="A15" i="3" l="1"/>
</calcChain>
</file>

<file path=xl/sharedStrings.xml><?xml version="1.0" encoding="utf-8"?>
<sst xmlns="http://schemas.openxmlformats.org/spreadsheetml/2006/main" count="291" uniqueCount="121">
  <si>
    <t>Dr</t>
  </si>
  <si>
    <r>
      <rPr>
        <sz val="10"/>
        <rFont val="Arial MT"/>
        <family val="2"/>
      </rPr>
      <t>Date</t>
    </r>
  </si>
  <si>
    <r>
      <rPr>
        <b/>
        <sz val="10"/>
        <rFont val="Arial"/>
        <family val="2"/>
      </rPr>
      <t>Particulars</t>
    </r>
  </si>
  <si>
    <r>
      <rPr>
        <sz val="10"/>
        <rFont val="Arial MT"/>
        <family val="2"/>
      </rPr>
      <t>Vch Type                                  Vch No.</t>
    </r>
  </si>
  <si>
    <r>
      <rPr>
        <b/>
        <sz val="10"/>
        <rFont val="Arial"/>
        <family val="2"/>
      </rPr>
      <t>Debit</t>
    </r>
  </si>
  <si>
    <r>
      <rPr>
        <b/>
        <sz val="10"/>
        <rFont val="Arial"/>
        <family val="2"/>
      </rPr>
      <t>Credit</t>
    </r>
  </si>
  <si>
    <r>
      <rPr>
        <sz val="10"/>
        <rFont val="Arial MT"/>
        <family val="2"/>
      </rPr>
      <t>Cr</t>
    </r>
  </si>
  <si>
    <r>
      <rPr>
        <b/>
        <sz val="10"/>
        <rFont val="Arial"/>
        <family val="2"/>
      </rPr>
      <t>Icici Bank</t>
    </r>
  </si>
  <si>
    <r>
      <rPr>
        <b/>
        <sz val="9"/>
        <rFont val="Arial"/>
        <family val="2"/>
      </rPr>
      <t xml:space="preserve">Payment                                                  </t>
    </r>
    <r>
      <rPr>
        <vertAlign val="subscript"/>
        <sz val="9"/>
        <rFont val="Arial MT"/>
        <family val="2"/>
      </rPr>
      <t>28</t>
    </r>
  </si>
  <si>
    <r>
      <rPr>
        <sz val="10"/>
        <rFont val="Arial MT"/>
        <family val="2"/>
      </rPr>
      <t>10,00,000.00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</si>
  <si>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200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</si>
  <si>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202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</si>
  <si>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208</t>
    </r>
  </si>
  <si>
    <r>
      <rPr>
        <b/>
        <sz val="10"/>
        <rFont val="Arial"/>
        <family val="2"/>
      </rPr>
      <t>Hdfc Bank-Saving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</si>
  <si>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214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</si>
  <si>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215</t>
    </r>
  </si>
  <si>
    <r>
      <rPr>
        <sz val="10"/>
        <rFont val="Arial MT"/>
        <family val="2"/>
      </rPr>
      <t>1,00,000.00</t>
    </r>
  </si>
  <si>
    <r>
      <rPr>
        <sz val="10"/>
        <rFont val="Arial MT"/>
        <family val="2"/>
      </rPr>
      <t>Dr</t>
    </r>
  </si>
  <si>
    <r>
      <rPr>
        <b/>
        <sz val="10"/>
        <rFont val="Arial"/>
        <family val="2"/>
      </rPr>
      <t>Closing Balance</t>
    </r>
  </si>
  <si>
    <r>
      <rPr>
        <vertAlign val="subscript"/>
        <sz val="10"/>
        <rFont val="Arial MT"/>
        <family val="2"/>
      </rPr>
      <t xml:space="preserve">Dr   </t>
    </r>
    <r>
      <rPr>
        <b/>
        <sz val="10"/>
        <rFont val="Arial"/>
        <family val="2"/>
      </rPr>
      <t>Icici Bank</t>
    </r>
  </si>
  <si>
    <r>
      <rPr>
        <b/>
        <sz val="9"/>
        <rFont val="Arial"/>
        <family val="2"/>
      </rPr>
      <t>Receipt</t>
    </r>
  </si>
  <si>
    <r>
      <rPr>
        <vertAlign val="subscript"/>
        <sz val="10"/>
        <rFont val="Arial MT"/>
        <family val="2"/>
      </rPr>
      <t xml:space="preserve">Cr   </t>
    </r>
    <r>
      <rPr>
        <b/>
        <sz val="10"/>
        <rFont val="Arial"/>
        <family val="2"/>
      </rPr>
      <t>Interest From Advance</t>
    </r>
  </si>
  <si>
    <r>
      <rPr>
        <b/>
        <sz val="9"/>
        <rFont val="Arial"/>
        <family val="2"/>
      </rPr>
      <t>Journal</t>
    </r>
  </si>
  <si>
    <r>
      <rPr>
        <sz val="10"/>
        <rFont val="Arial MT"/>
        <family val="2"/>
      </rPr>
      <t>4,70,490.00</t>
    </r>
  </si>
  <si>
    <r>
      <rPr>
        <sz val="10"/>
        <rFont val="Arial MT"/>
        <family val="2"/>
      </rPr>
      <t>4,67,903.00</t>
    </r>
  </si>
  <si>
    <r>
      <rPr>
        <sz val="10"/>
        <rFont val="Arial MT"/>
        <family val="2"/>
      </rPr>
      <t>2,00,000.00</t>
    </r>
  </si>
  <si>
    <r>
      <rPr>
        <sz val="10"/>
        <rFont val="Arial MT"/>
        <family val="2"/>
      </rPr>
      <t>7,00,000.00</t>
    </r>
  </si>
  <si>
    <t>Dharmesh to Rahul</t>
  </si>
  <si>
    <t>Cr</t>
  </si>
  <si>
    <t>Interest From Advance</t>
  </si>
  <si>
    <t>Journal</t>
  </si>
  <si>
    <t xml:space="preserve">Icici Bank
</t>
  </si>
  <si>
    <t>Receipt</t>
  </si>
  <si>
    <r>
      <rPr>
        <b/>
        <sz val="9"/>
        <rFont val="Arial"/>
        <family val="2"/>
      </rPr>
      <t>Payment</t>
    </r>
  </si>
  <si>
    <r>
      <rPr>
        <sz val="10"/>
        <rFont val="Arial MT"/>
        <family val="2"/>
      </rPr>
      <t>1,50,000.00</t>
    </r>
  </si>
  <si>
    <r>
      <rPr>
        <b/>
        <sz val="10"/>
        <rFont val="Arial"/>
        <family val="2"/>
      </rPr>
      <t>Interest From Advance</t>
    </r>
  </si>
  <si>
    <r>
      <rPr>
        <sz val="10"/>
        <rFont val="Arial MT"/>
        <family val="2"/>
      </rPr>
      <t>4,45,048.00</t>
    </r>
  </si>
  <si>
    <r>
      <rPr>
        <vertAlign val="subscript"/>
        <sz val="10"/>
        <rFont val="Arial MT"/>
        <family val="2"/>
      </rPr>
      <t xml:space="preserve">Cr   </t>
    </r>
    <r>
      <rPr>
        <b/>
        <sz val="10"/>
        <rFont val="Arial"/>
        <family val="2"/>
      </rPr>
      <t>Icici Bank</t>
    </r>
  </si>
  <si>
    <r>
      <rPr>
        <sz val="10"/>
        <rFont val="Arial MT"/>
        <family val="2"/>
      </rPr>
      <t>1,73,323.00</t>
    </r>
  </si>
  <si>
    <r>
      <rPr>
        <sz val="10"/>
        <rFont val="Arial MT"/>
        <family val="2"/>
      </rPr>
      <t>16,23,681.00</t>
    </r>
  </si>
  <si>
    <r>
      <rPr>
        <b/>
        <sz val="10"/>
        <rFont val="Arial"/>
        <family val="2"/>
      </rPr>
      <t>16,23,681.00</t>
    </r>
  </si>
  <si>
    <t>Dr   Icici Bank</t>
  </si>
  <si>
    <t>Icici Bank</t>
  </si>
  <si>
    <t>Hdfc Bank-Saving</t>
  </si>
  <si>
    <t>Payment</t>
  </si>
  <si>
    <t>Date</t>
  </si>
  <si>
    <t>Particular</t>
  </si>
  <si>
    <t>Type</t>
  </si>
  <si>
    <t>Amount</t>
  </si>
  <si>
    <t>S No.</t>
  </si>
  <si>
    <t>Value Date</t>
  </si>
  <si>
    <t>Transaction Remarks</t>
  </si>
  <si>
    <t>Withdrawal Amount (INR )</t>
  </si>
  <si>
    <t>70</t>
  </si>
  <si>
    <t xml:space="preserve">BIL/INFT/001934547748/Rahul/                      </t>
  </si>
  <si>
    <t>249</t>
  </si>
  <si>
    <t xml:space="preserve">BIL/INFT/002065718878/Rahul Jethwa/               </t>
  </si>
  <si>
    <t>266</t>
  </si>
  <si>
    <t xml:space="preserve">BIL/INFT/002090705847/RAHUL emi oct 2/            </t>
  </si>
  <si>
    <t>271</t>
  </si>
  <si>
    <t xml:space="preserve">BIL/INFT/002091694688/Rahul/                      </t>
  </si>
  <si>
    <t>292</t>
  </si>
  <si>
    <t xml:space="preserve">BIL/INFT/002109006116/Rahul emi/                  </t>
  </si>
  <si>
    <t>336</t>
  </si>
  <si>
    <t xml:space="preserve">BIL/INFT/002136652303/Rahul emi/                  </t>
  </si>
  <si>
    <t>403</t>
  </si>
  <si>
    <t xml:space="preserve">BIL/INFT/000010788111/Rahul emi/                  </t>
  </si>
  <si>
    <t>474</t>
  </si>
  <si>
    <t xml:space="preserve">BIL/INFT/000036528529/Rahul icici/                </t>
  </si>
  <si>
    <t>765</t>
  </si>
  <si>
    <t xml:space="preserve">BIL/INFT/000224846032/Rahul/                      </t>
  </si>
  <si>
    <t>779</t>
  </si>
  <si>
    <t xml:space="preserve">BIL/INFT/000250925208/Rahul emi/                  </t>
  </si>
  <si>
    <t>1023</t>
  </si>
  <si>
    <t xml:space="preserve">BIL/INFT/000438006277/Rahul/                      </t>
  </si>
  <si>
    <t>1034</t>
  </si>
  <si>
    <t xml:space="preserve">BIL/INFT/000440358920/Rahul jj/                   </t>
  </si>
  <si>
    <t>1076</t>
  </si>
  <si>
    <t xml:space="preserve">BIL/INFT/000463349518/Rahul icici/                </t>
  </si>
  <si>
    <t>1162</t>
  </si>
  <si>
    <t xml:space="preserve">BIL/INFT/000514817713/Rahul eemmii/               </t>
  </si>
  <si>
    <t>1181</t>
  </si>
  <si>
    <t xml:space="preserve">BIL/INFT/000534394642/Rahul e/                    </t>
  </si>
  <si>
    <t>1206</t>
  </si>
  <si>
    <t xml:space="preserve">BIL/INFT/000556119317/Rahul ICICI/                </t>
  </si>
  <si>
    <t>1247</t>
  </si>
  <si>
    <t xml:space="preserve">BIL/INFT/000585598595/Rahul/                      </t>
  </si>
  <si>
    <t>1263</t>
  </si>
  <si>
    <t xml:space="preserve">BIL/INFT/000605996311/Rahul ICICI/                </t>
  </si>
  <si>
    <t>1272</t>
  </si>
  <si>
    <t xml:space="preserve">BIL/INFT/000608657090/Rahul jethwa/               </t>
  </si>
  <si>
    <t>1277</t>
  </si>
  <si>
    <t xml:space="preserve">BIL/INFT/000609080079/Rahul/                      </t>
  </si>
  <si>
    <t>1279</t>
  </si>
  <si>
    <t xml:space="preserve">BIL/INFT/000609091081/Rahul/                      </t>
  </si>
  <si>
    <t>1326</t>
  </si>
  <si>
    <t xml:space="preserve">BIL/INFT/000636755599/Rahul return/               </t>
  </si>
  <si>
    <t>balance</t>
  </si>
  <si>
    <t>4,70,490.00</t>
  </si>
  <si>
    <t>4,67,903.00</t>
  </si>
  <si>
    <t>4,45,048.00</t>
  </si>
  <si>
    <t>1,73,323.00</t>
  </si>
  <si>
    <t>Bhimjibhai Payment</t>
  </si>
  <si>
    <t>Gaushala Payment</t>
  </si>
  <si>
    <t>Preeti Devaliya</t>
  </si>
  <si>
    <t>Loan to Sadhana Craft LLP</t>
  </si>
  <si>
    <t>Ledger Account</t>
  </si>
  <si>
    <t>1-Mar-20 to 30-Nov-21</t>
  </si>
  <si>
    <t>Particulars</t>
  </si>
  <si>
    <t>Vch Type</t>
  </si>
  <si>
    <t>Vch No.</t>
  </si>
  <si>
    <t>Debit</t>
  </si>
  <si>
    <t>Credit</t>
  </si>
  <si>
    <t>To</t>
  </si>
  <si>
    <t>Hdfc Bank</t>
  </si>
  <si>
    <t>226</t>
  </si>
  <si>
    <t>Int From Parties</t>
  </si>
  <si>
    <t>1</t>
  </si>
  <si>
    <t/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</si>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</sst>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\-mmm\-yy;@"/>
    <numFmt numFmtId="165" formatCode="_ * #,##0_ ;_ * \-#,##0_ ;_ * &quot;-&quot;??_ ;_ @_ "/>
    <numFmt numFmtId="166" formatCode="&quot;&quot;0.00"/>
    <numFmt numFmtId="167" formatCode="&quot;&quot;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MT"/>
    </font>
    <font>
      <sz val="10"/>
      <name val="Arial MT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color rgb="FF000000"/>
      <name val="Arial MT"/>
      <family val="2"/>
    </font>
    <font>
      <b/>
      <sz val="9"/>
      <name val="Arial"/>
      <family val="2"/>
    </font>
    <font>
      <vertAlign val="subscript"/>
      <sz val="9"/>
      <name val="Arial MT"/>
      <family val="2"/>
    </font>
    <font>
      <sz val="10"/>
      <color rgb="FF000000"/>
      <name val="Arial MT"/>
      <family val="2"/>
    </font>
    <font>
      <vertAlign val="subscript"/>
      <sz val="10"/>
      <name val="Arial MT"/>
      <family val="2"/>
    </font>
    <font>
      <b/>
      <sz val="9"/>
      <name val="Arial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7"/>
    </xf>
    <xf numFmtId="0" fontId="4" fillId="0" borderId="2" xfId="0" applyFont="1" applyBorder="1" applyAlignment="1">
      <alignment horizontal="right" vertical="top" wrapText="1"/>
    </xf>
    <xf numFmtId="164" fontId="6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 indent="3"/>
    </xf>
    <xf numFmtId="0" fontId="11" fillId="0" borderId="0" xfId="0" applyFont="1" applyAlignment="1">
      <alignment horizontal="left" vertical="top" wrapText="1" indent="1"/>
    </xf>
    <xf numFmtId="1" fontId="6" fillId="0" borderId="0" xfId="0" applyNumberFormat="1" applyFont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 indent="3"/>
    </xf>
    <xf numFmtId="164" fontId="6" fillId="0" borderId="0" xfId="0" applyNumberFormat="1" applyFont="1" applyAlignment="1">
      <alignment horizontal="left" vertical="top" indent="3" shrinkToFit="1"/>
    </xf>
    <xf numFmtId="4" fontId="9" fillId="0" borderId="0" xfId="0" applyNumberFormat="1" applyFont="1" applyAlignment="1">
      <alignment horizontal="right" vertical="top" shrinkToFit="1"/>
    </xf>
    <xf numFmtId="164" fontId="6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righ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2"/>
    </xf>
    <xf numFmtId="4" fontId="9" fillId="0" borderId="0" xfId="0" applyNumberFormat="1" applyFont="1" applyAlignment="1">
      <alignment horizontal="right" vertical="top" indent="2" shrinkToFit="1"/>
    </xf>
    <xf numFmtId="0" fontId="2" fillId="0" borderId="1" xfId="0" applyFont="1" applyBorder="1" applyAlignment="1">
      <alignment horizontal="right" vertical="top" wrapText="1" indent="2"/>
    </xf>
    <xf numFmtId="0" fontId="2" fillId="0" borderId="3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right" vertical="top" wrapText="1" indent="1"/>
    </xf>
    <xf numFmtId="0" fontId="5" fillId="0" borderId="2" xfId="0" applyFont="1" applyBorder="1" applyAlignment="1">
      <alignment horizontal="right" vertical="top" wrapText="1" indent="2"/>
    </xf>
    <xf numFmtId="0" fontId="5" fillId="0" borderId="2" xfId="0" applyFont="1" applyBorder="1" applyAlignment="1">
      <alignment horizontal="right" vertical="top" wrapText="1" indent="1"/>
    </xf>
    <xf numFmtId="164" fontId="13" fillId="0" borderId="0" xfId="0" applyNumberFormat="1" applyFont="1" applyAlignment="1">
      <alignment horizontal="right" vertical="top" shrinkToFit="1"/>
    </xf>
    <xf numFmtId="165" fontId="0" fillId="0" borderId="0" xfId="1" applyNumberFormat="1" applyFont="1"/>
    <xf numFmtId="164" fontId="6" fillId="2" borderId="0" xfId="0" applyNumberFormat="1" applyFont="1" applyFill="1" applyAlignment="1">
      <alignment horizontal="right" vertical="top" shrinkToFit="1"/>
    </xf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164" fontId="6" fillId="3" borderId="0" xfId="0" applyNumberFormat="1" applyFont="1" applyFill="1" applyAlignment="1">
      <alignment horizontal="right" vertical="top" shrinkToFit="1"/>
    </xf>
    <xf numFmtId="3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2" fillId="0" borderId="1" xfId="0" applyNumberFormat="1" applyFont="1" applyBorder="1" applyAlignment="1">
      <alignment horizontal="left" vertical="top" wrapText="1" indent="3"/>
    </xf>
    <xf numFmtId="1" fontId="2" fillId="0" borderId="0" xfId="0" applyNumberFormat="1" applyFont="1" applyAlignment="1">
      <alignment horizontal="right" vertical="top" wrapText="1" indent="2"/>
    </xf>
    <xf numFmtId="1" fontId="2" fillId="0" borderId="1" xfId="0" applyNumberFormat="1" applyFont="1" applyBorder="1" applyAlignment="1">
      <alignment horizontal="right" vertical="top" wrapText="1" indent="2"/>
    </xf>
    <xf numFmtId="4" fontId="2" fillId="0" borderId="0" xfId="0" applyNumberFormat="1" applyFont="1" applyAlignment="1">
      <alignment horizontal="left" vertical="top" wrapText="1" indent="3"/>
    </xf>
    <xf numFmtId="165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 indent="4"/>
    </xf>
    <xf numFmtId="0" fontId="12" fillId="0" borderId="1" xfId="0" applyFont="1" applyBorder="1" applyAlignment="1">
      <alignment horizontal="center" vertical="top"/>
    </xf>
    <xf numFmtId="15" fontId="14" fillId="0" borderId="0" xfId="0" applyNumberFormat="1" applyFont="1" applyAlignment="1">
      <alignment horizontal="right" vertical="top"/>
    </xf>
    <xf numFmtId="4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49" fontId="17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right" vertical="top"/>
    </xf>
    <xf numFmtId="166" fontId="16" fillId="0" borderId="0" xfId="0" applyNumberFormat="1" applyFont="1" applyAlignment="1">
      <alignment horizontal="right" vertical="top"/>
    </xf>
    <xf numFmtId="49" fontId="18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49" fontId="15" fillId="0" borderId="0" xfId="0" applyNumberFormat="1" applyFont="1" applyAlignment="1">
      <alignment vertical="top"/>
    </xf>
    <xf numFmtId="49" fontId="14" fillId="0" borderId="4" xfId="0" applyNumberFormat="1" applyFont="1" applyBorder="1" applyAlignment="1">
      <alignment horizontal="right" vertical="top"/>
    </xf>
    <xf numFmtId="49" fontId="17" fillId="0" borderId="4" xfId="0" applyNumberFormat="1" applyFont="1" applyBorder="1" applyAlignment="1">
      <alignment horizontal="left" vertical="top" indent="8"/>
    </xf>
    <xf numFmtId="49" fontId="14" fillId="0" borderId="4" xfId="0" applyNumberFormat="1" applyFont="1" applyBorder="1" applyAlignment="1">
      <alignment vertical="top"/>
    </xf>
    <xf numFmtId="49" fontId="17" fillId="0" borderId="4" xfId="0" applyNumberFormat="1" applyFont="1" applyBorder="1" applyAlignment="1">
      <alignment horizontal="right" vertical="top"/>
    </xf>
    <xf numFmtId="167" fontId="16" fillId="0" borderId="0" xfId="0" applyNumberFormat="1" applyFont="1" applyAlignment="1">
      <alignment horizontal="right" vertical="top"/>
    </xf>
    <xf numFmtId="166" fontId="15" fillId="0" borderId="5" xfId="0" applyNumberFormat="1" applyFont="1" applyBorder="1" applyAlignment="1">
      <alignment horizontal="right" vertical="top"/>
    </xf>
    <xf numFmtId="167" fontId="15" fillId="0" borderId="5" xfId="0" applyNumberFormat="1" applyFont="1" applyBorder="1" applyAlignment="1">
      <alignment horizontal="right" vertical="top"/>
    </xf>
    <xf numFmtId="49" fontId="15" fillId="0" borderId="0" xfId="0" applyNumberFormat="1" applyFont="1" applyAlignment="1">
      <alignment horizontal="right" vertical="top"/>
    </xf>
    <xf numFmtId="49" fontId="16" fillId="0" borderId="0" xfId="0" applyNumberFormat="1" applyFont="1" applyAlignment="1">
      <alignment horizontal="left" vertical="top" indent="8"/>
    </xf>
    <xf numFmtId="167" fontId="15" fillId="0" borderId="0" xfId="0" applyNumberFormat="1" applyFont="1" applyAlignment="1">
      <alignment horizontal="right" vertical="top"/>
    </xf>
    <xf numFmtId="166" fontId="19" fillId="4" borderId="0" xfId="0" applyNumberFormat="1" applyFont="1" applyFill="1" applyAlignment="1">
      <alignment horizontal="right" vertical="top"/>
    </xf>
    <xf numFmtId="166" fontId="16" fillId="0" borderId="4" xfId="0" applyNumberFormat="1" applyFont="1" applyBorder="1" applyAlignment="1">
      <alignment horizontal="right" vertical="top"/>
    </xf>
    <xf numFmtId="166" fontId="16" fillId="0" borderId="4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35</xdr:row>
      <xdr:rowOff>0</xdr:rowOff>
    </xdr:from>
    <xdr:ext cx="2133600" cy="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E691390E-7A13-4A58-B9C8-68B3C69831F0}"/>
            </a:ext>
          </a:extLst>
        </xdr:cNvPr>
        <xdr:cNvSpPr/>
      </xdr:nvSpPr>
      <xdr:spPr>
        <a:xfrm>
          <a:off x="5492750" y="946150"/>
          <a:ext cx="2133600" cy="0"/>
        </a:xfrm>
        <a:custGeom>
          <a:avLst/>
          <a:gdLst/>
          <a:ahLst/>
          <a:cxnLst/>
          <a:rect l="0" t="0" r="0" b="0"/>
          <a:pathLst>
            <a:path w="2133600">
              <a:moveTo>
                <a:pt x="1066800" y="0"/>
              </a:moveTo>
              <a:lnTo>
                <a:pt x="2133600" y="0"/>
              </a:lnTo>
            </a:path>
            <a:path w="2133600">
              <a:moveTo>
                <a:pt x="0" y="0"/>
              </a:moveTo>
              <a:lnTo>
                <a:pt x="1066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0</xdr:colOff>
      <xdr:row>35</xdr:row>
      <xdr:rowOff>0</xdr:rowOff>
    </xdr:from>
    <xdr:ext cx="2133600" cy="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9338CF69-69E0-478E-A3B8-3780A80C048A}"/>
            </a:ext>
          </a:extLst>
        </xdr:cNvPr>
        <xdr:cNvSpPr/>
      </xdr:nvSpPr>
      <xdr:spPr>
        <a:xfrm>
          <a:off x="5492750" y="1288628"/>
          <a:ext cx="2133600" cy="0"/>
        </a:xfrm>
        <a:custGeom>
          <a:avLst/>
          <a:gdLst/>
          <a:ahLst/>
          <a:cxnLst/>
          <a:rect l="0" t="0" r="0" b="0"/>
          <a:pathLst>
            <a:path w="2133600">
              <a:moveTo>
                <a:pt x="1066800" y="0"/>
              </a:moveTo>
              <a:lnTo>
                <a:pt x="2133600" y="0"/>
              </a:lnTo>
            </a:path>
            <a:path w="2133600">
              <a:moveTo>
                <a:pt x="0" y="0"/>
              </a:moveTo>
              <a:lnTo>
                <a:pt x="1066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5"/>
  <sheetViews>
    <sheetView topLeftCell="A10" workbookViewId="0">
      <selection activeCell="C54" sqref="C54"/>
    </sheetView>
  </sheetViews>
  <sheetFormatPr defaultRowHeight="14.5"/>
  <cols>
    <col min="1" max="1" width="13.7265625" style="1" bestFit="1" customWidth="1"/>
    <col min="2" max="2" width="2.7265625" style="1" bestFit="1" customWidth="1"/>
    <col min="3" max="3" width="24.453125" style="1" customWidth="1"/>
    <col min="4" max="4" width="33.7265625" style="1" bestFit="1" customWidth="1"/>
    <col min="5" max="5" width="16.36328125" style="1" customWidth="1"/>
    <col min="6" max="6" width="19.1796875" style="1" customWidth="1"/>
    <col min="7" max="7" width="15.1796875" style="1" customWidth="1"/>
    <col min="8" max="9" width="8.7265625" style="1"/>
    <col min="10" max="10" width="13.54296875" style="1" bestFit="1" customWidth="1"/>
    <col min="11" max="16384" width="8.7265625" style="1"/>
  </cols>
  <sheetData>
    <row r="1" spans="1:10" ht="23.5">
      <c r="A1" s="52" t="s">
        <v>27</v>
      </c>
      <c r="B1" s="52"/>
      <c r="C1" s="52"/>
      <c r="D1" s="52"/>
      <c r="E1" s="52"/>
      <c r="F1" s="52"/>
      <c r="G1" s="52"/>
    </row>
    <row r="2" spans="1:10">
      <c r="A2" s="3" t="s">
        <v>1</v>
      </c>
      <c r="B2" s="4"/>
      <c r="C2" s="5" t="s">
        <v>2</v>
      </c>
      <c r="D2" s="24" t="s">
        <v>3</v>
      </c>
      <c r="E2" s="24"/>
      <c r="F2" s="6" t="s">
        <v>4</v>
      </c>
      <c r="G2" s="7" t="s">
        <v>5</v>
      </c>
    </row>
    <row r="3" spans="1:10">
      <c r="A3" s="8">
        <v>43585</v>
      </c>
      <c r="B3" s="9" t="s">
        <v>6</v>
      </c>
      <c r="C3" s="10" t="s">
        <v>7</v>
      </c>
      <c r="D3" s="23" t="s">
        <v>8</v>
      </c>
      <c r="E3" s="23"/>
      <c r="F3" s="47">
        <v>1000000</v>
      </c>
      <c r="G3" s="11"/>
    </row>
    <row r="4" spans="1:10">
      <c r="A4" s="8">
        <v>43832</v>
      </c>
      <c r="B4" s="9" t="s">
        <v>6</v>
      </c>
      <c r="C4" s="10" t="s">
        <v>7</v>
      </c>
      <c r="D4" s="23" t="s">
        <v>10</v>
      </c>
      <c r="E4" s="23"/>
      <c r="F4" s="47">
        <v>1500000</v>
      </c>
      <c r="G4" s="11"/>
    </row>
    <row r="5" spans="1:10">
      <c r="A5" s="8">
        <v>43833</v>
      </c>
      <c r="B5" s="9" t="s">
        <v>6</v>
      </c>
      <c r="C5" s="10" t="s">
        <v>7</v>
      </c>
      <c r="D5" s="23" t="s">
        <v>11</v>
      </c>
      <c r="E5" s="23"/>
      <c r="F5" s="47">
        <v>500000</v>
      </c>
      <c r="G5" s="11"/>
    </row>
    <row r="6" spans="1:10">
      <c r="A6" s="8">
        <v>43843</v>
      </c>
      <c r="B6" s="9" t="s">
        <v>6</v>
      </c>
      <c r="C6" s="10" t="s">
        <v>7</v>
      </c>
      <c r="D6" s="23" t="s">
        <v>12</v>
      </c>
      <c r="E6" s="23"/>
      <c r="F6" s="47">
        <v>400000</v>
      </c>
      <c r="G6" s="11"/>
    </row>
    <row r="7" spans="1:10">
      <c r="A7" s="8">
        <v>43844</v>
      </c>
      <c r="B7" s="9" t="s">
        <v>6</v>
      </c>
      <c r="C7" s="10" t="s">
        <v>13</v>
      </c>
      <c r="D7" s="23" t="s">
        <v>14</v>
      </c>
      <c r="E7" s="23"/>
      <c r="F7" s="47">
        <v>500000</v>
      </c>
      <c r="G7" s="11"/>
    </row>
    <row r="8" spans="1:10">
      <c r="A8" s="8">
        <v>43847</v>
      </c>
      <c r="B8" s="9" t="s">
        <v>6</v>
      </c>
      <c r="C8" s="10" t="s">
        <v>7</v>
      </c>
      <c r="D8" s="23" t="s">
        <v>15</v>
      </c>
      <c r="E8" s="23"/>
      <c r="F8" s="47">
        <v>100000</v>
      </c>
      <c r="G8" s="11"/>
    </row>
    <row r="9" spans="1:10" ht="26" hidden="1">
      <c r="A9" s="8">
        <v>43892</v>
      </c>
      <c r="B9" s="9" t="s">
        <v>0</v>
      </c>
      <c r="C9" s="10" t="s">
        <v>31</v>
      </c>
      <c r="D9" s="23" t="s">
        <v>32</v>
      </c>
      <c r="E9" s="23"/>
      <c r="F9" s="12"/>
      <c r="G9" s="11">
        <v>77800</v>
      </c>
    </row>
    <row r="10" spans="1:10">
      <c r="A10" s="8">
        <v>43921</v>
      </c>
      <c r="B10" s="9" t="s">
        <v>28</v>
      </c>
      <c r="C10" s="10" t="s">
        <v>29</v>
      </c>
      <c r="D10" s="23" t="s">
        <v>30</v>
      </c>
      <c r="E10" s="23"/>
      <c r="F10" s="12">
        <v>194717</v>
      </c>
      <c r="G10" s="11"/>
      <c r="J10" s="43">
        <v>194717</v>
      </c>
    </row>
    <row r="11" spans="1:10" hidden="1">
      <c r="A11" s="8">
        <v>44076</v>
      </c>
      <c r="B11" s="49" t="s">
        <v>19</v>
      </c>
      <c r="C11" s="49"/>
      <c r="D11" s="13" t="s">
        <v>20</v>
      </c>
      <c r="E11" s="14">
        <v>67</v>
      </c>
      <c r="F11" s="11"/>
      <c r="G11" s="9" t="s">
        <v>16</v>
      </c>
      <c r="J11" s="1" t="s">
        <v>98</v>
      </c>
    </row>
    <row r="12" spans="1:10" hidden="1">
      <c r="A12" s="8">
        <v>44109</v>
      </c>
      <c r="B12" s="49" t="s">
        <v>19</v>
      </c>
      <c r="C12" s="49"/>
      <c r="D12" s="13" t="s">
        <v>20</v>
      </c>
      <c r="E12" s="14">
        <v>83</v>
      </c>
      <c r="F12" s="11"/>
      <c r="G12" s="9" t="s">
        <v>16</v>
      </c>
      <c r="J12" s="1" t="s">
        <v>99</v>
      </c>
    </row>
    <row r="13" spans="1:10" hidden="1">
      <c r="A13" s="8">
        <v>44134</v>
      </c>
      <c r="B13" s="49" t="s">
        <v>19</v>
      </c>
      <c r="C13" s="49"/>
      <c r="D13" s="13" t="s">
        <v>20</v>
      </c>
      <c r="E13" s="14">
        <v>96</v>
      </c>
      <c r="F13" s="11"/>
      <c r="G13" s="9" t="s">
        <v>16</v>
      </c>
      <c r="J13" s="1" t="s">
        <v>100</v>
      </c>
    </row>
    <row r="14" spans="1:10" hidden="1">
      <c r="A14" s="8">
        <v>44198</v>
      </c>
      <c r="B14" s="49" t="s">
        <v>19</v>
      </c>
      <c r="C14" s="49"/>
      <c r="D14" s="13" t="s">
        <v>20</v>
      </c>
      <c r="E14" s="14">
        <v>125</v>
      </c>
      <c r="F14" s="11"/>
      <c r="G14" s="9" t="s">
        <v>16</v>
      </c>
      <c r="J14" s="1" t="s">
        <v>101</v>
      </c>
    </row>
    <row r="15" spans="1:10" hidden="1">
      <c r="A15" s="8">
        <v>44231</v>
      </c>
      <c r="B15" s="49" t="s">
        <v>19</v>
      </c>
      <c r="C15" s="49"/>
      <c r="D15" s="13" t="s">
        <v>20</v>
      </c>
      <c r="E15" s="14">
        <v>140</v>
      </c>
      <c r="F15" s="11"/>
      <c r="G15" s="9" t="s">
        <v>16</v>
      </c>
    </row>
    <row r="16" spans="1:10" hidden="1">
      <c r="A16" s="8">
        <v>44258</v>
      </c>
      <c r="B16" s="49" t="s">
        <v>19</v>
      </c>
      <c r="C16" s="49"/>
      <c r="D16" s="13" t="s">
        <v>20</v>
      </c>
      <c r="E16" s="14">
        <v>153</v>
      </c>
      <c r="F16" s="11"/>
      <c r="G16" s="9" t="s">
        <v>16</v>
      </c>
    </row>
    <row r="17" spans="1:10">
      <c r="A17" s="8">
        <v>44286</v>
      </c>
      <c r="B17" s="49" t="s">
        <v>21</v>
      </c>
      <c r="C17" s="49"/>
      <c r="D17" s="13" t="s">
        <v>22</v>
      </c>
      <c r="E17" s="14">
        <v>65</v>
      </c>
      <c r="F17" s="15" t="s">
        <v>23</v>
      </c>
      <c r="G17" s="2"/>
      <c r="J17" s="44">
        <v>470490</v>
      </c>
    </row>
    <row r="18" spans="1:10" hidden="1">
      <c r="A18" s="8">
        <v>44474</v>
      </c>
      <c r="B18" s="49" t="s">
        <v>19</v>
      </c>
      <c r="C18" s="49"/>
      <c r="D18" s="13" t="s">
        <v>20</v>
      </c>
      <c r="E18" s="14">
        <v>94</v>
      </c>
      <c r="F18" s="11"/>
      <c r="G18" s="9" t="s">
        <v>16</v>
      </c>
    </row>
    <row r="19" spans="1:10" hidden="1">
      <c r="A19" s="16">
        <v>44508</v>
      </c>
      <c r="B19" s="49" t="s">
        <v>19</v>
      </c>
      <c r="C19" s="49"/>
      <c r="D19" s="13" t="s">
        <v>20</v>
      </c>
      <c r="E19" s="14">
        <v>106</v>
      </c>
      <c r="F19" s="11"/>
      <c r="G19" s="9" t="s">
        <v>16</v>
      </c>
    </row>
    <row r="20" spans="1:10">
      <c r="A20" s="8">
        <v>44651</v>
      </c>
      <c r="B20" s="49" t="s">
        <v>21</v>
      </c>
      <c r="C20" s="49"/>
      <c r="D20" s="13" t="s">
        <v>22</v>
      </c>
      <c r="E20" s="14">
        <v>35</v>
      </c>
      <c r="F20" s="15" t="s">
        <v>24</v>
      </c>
      <c r="G20" s="2"/>
      <c r="J20" s="44">
        <v>467903</v>
      </c>
    </row>
    <row r="21" spans="1:10" hidden="1">
      <c r="A21" s="8">
        <v>44747</v>
      </c>
      <c r="B21" s="49" t="s">
        <v>19</v>
      </c>
      <c r="C21" s="49"/>
      <c r="D21" s="13" t="s">
        <v>20</v>
      </c>
      <c r="E21" s="14">
        <v>41</v>
      </c>
      <c r="F21" s="11"/>
      <c r="G21" s="17">
        <v>50000</v>
      </c>
    </row>
    <row r="22" spans="1:10" hidden="1">
      <c r="A22" s="8">
        <v>44750</v>
      </c>
      <c r="B22" s="49" t="s">
        <v>19</v>
      </c>
      <c r="C22" s="49"/>
      <c r="D22" s="13" t="s">
        <v>20</v>
      </c>
      <c r="E22" s="14">
        <v>44</v>
      </c>
      <c r="F22" s="11"/>
      <c r="G22" s="17">
        <v>50000</v>
      </c>
    </row>
    <row r="23" spans="1:10" hidden="1">
      <c r="A23" s="8">
        <v>44779</v>
      </c>
      <c r="B23" s="49" t="s">
        <v>19</v>
      </c>
      <c r="C23" s="49"/>
      <c r="D23" s="13" t="s">
        <v>20</v>
      </c>
      <c r="E23" s="14">
        <v>66</v>
      </c>
      <c r="F23" s="11"/>
      <c r="G23" s="17">
        <v>50000</v>
      </c>
    </row>
    <row r="24" spans="1:10" hidden="1">
      <c r="A24" s="8">
        <v>44781</v>
      </c>
      <c r="B24" s="49" t="s">
        <v>19</v>
      </c>
      <c r="C24" s="49"/>
      <c r="D24" s="13" t="s">
        <v>20</v>
      </c>
      <c r="E24" s="14">
        <v>67</v>
      </c>
      <c r="F24" s="11"/>
      <c r="G24" s="17">
        <v>50000</v>
      </c>
    </row>
    <row r="25" spans="1:10" hidden="1">
      <c r="A25" s="8">
        <v>44849</v>
      </c>
      <c r="B25" s="49" t="s">
        <v>19</v>
      </c>
      <c r="C25" s="49"/>
      <c r="D25" s="13" t="s">
        <v>20</v>
      </c>
      <c r="E25" s="14">
        <v>100</v>
      </c>
      <c r="F25" s="11"/>
      <c r="G25" s="9" t="s">
        <v>16</v>
      </c>
    </row>
    <row r="26" spans="1:10" hidden="1">
      <c r="A26" s="18">
        <v>44875</v>
      </c>
      <c r="B26" s="49" t="s">
        <v>19</v>
      </c>
      <c r="C26" s="49"/>
      <c r="D26" s="13" t="s">
        <v>20</v>
      </c>
      <c r="E26" s="14">
        <v>113</v>
      </c>
      <c r="F26" s="11"/>
      <c r="G26" s="17">
        <v>50000</v>
      </c>
    </row>
    <row r="27" spans="1:10" hidden="1">
      <c r="A27" s="8">
        <v>44905</v>
      </c>
      <c r="B27" s="49" t="s">
        <v>19</v>
      </c>
      <c r="C27" s="49"/>
      <c r="D27" s="13" t="s">
        <v>20</v>
      </c>
      <c r="E27" s="14">
        <v>130</v>
      </c>
      <c r="F27" s="11"/>
      <c r="G27" s="17">
        <v>50000</v>
      </c>
    </row>
    <row r="28" spans="1:10" hidden="1">
      <c r="A28" s="8">
        <v>44946</v>
      </c>
      <c r="B28" s="49" t="s">
        <v>19</v>
      </c>
      <c r="C28" s="49"/>
      <c r="D28" s="13" t="s">
        <v>20</v>
      </c>
      <c r="E28" s="14">
        <v>162</v>
      </c>
      <c r="F28" s="11"/>
      <c r="G28" s="17">
        <v>50000</v>
      </c>
    </row>
    <row r="29" spans="1:10" hidden="1">
      <c r="A29" s="8">
        <v>44974</v>
      </c>
      <c r="B29" s="49" t="s">
        <v>19</v>
      </c>
      <c r="C29" s="49"/>
      <c r="D29" s="13" t="s">
        <v>20</v>
      </c>
      <c r="E29" s="14">
        <v>185</v>
      </c>
      <c r="F29" s="11"/>
      <c r="G29" s="19" t="s">
        <v>9</v>
      </c>
    </row>
    <row r="30" spans="1:10" hidden="1">
      <c r="A30" s="8">
        <v>44978</v>
      </c>
      <c r="B30" s="49" t="s">
        <v>19</v>
      </c>
      <c r="C30" s="49"/>
      <c r="D30" s="26" t="s">
        <v>32</v>
      </c>
      <c r="E30" s="14">
        <v>186</v>
      </c>
      <c r="F30" s="20"/>
      <c r="G30" s="21" t="s">
        <v>26</v>
      </c>
    </row>
    <row r="31" spans="1:10" hidden="1">
      <c r="A31" s="8">
        <v>44979</v>
      </c>
      <c r="B31" s="9" t="s">
        <v>17</v>
      </c>
      <c r="C31" s="25" t="s">
        <v>7</v>
      </c>
      <c r="D31" s="26" t="s">
        <v>20</v>
      </c>
      <c r="E31" s="14">
        <v>187</v>
      </c>
      <c r="F31" s="11"/>
      <c r="G31" s="27" t="s">
        <v>9</v>
      </c>
    </row>
    <row r="32" spans="1:10" hidden="1">
      <c r="A32" s="11"/>
      <c r="B32" s="9" t="s">
        <v>17</v>
      </c>
      <c r="C32" s="25" t="s">
        <v>7</v>
      </c>
      <c r="D32" s="26" t="s">
        <v>20</v>
      </c>
      <c r="E32" s="14">
        <v>188</v>
      </c>
      <c r="F32" s="11"/>
      <c r="G32" s="27" t="s">
        <v>25</v>
      </c>
    </row>
    <row r="33" spans="1:10">
      <c r="A33" s="8">
        <v>44991</v>
      </c>
      <c r="B33" s="9" t="s">
        <v>6</v>
      </c>
      <c r="C33" s="25" t="s">
        <v>7</v>
      </c>
      <c r="D33" s="26" t="s">
        <v>33</v>
      </c>
      <c r="E33" s="14">
        <v>480</v>
      </c>
      <c r="F33" s="28" t="s">
        <v>34</v>
      </c>
      <c r="G33" s="11"/>
      <c r="J33" s="45">
        <v>445048</v>
      </c>
    </row>
    <row r="34" spans="1:10">
      <c r="A34" s="8">
        <v>45016</v>
      </c>
      <c r="B34" s="9" t="s">
        <v>6</v>
      </c>
      <c r="C34" s="25" t="s">
        <v>35</v>
      </c>
      <c r="D34" s="26" t="s">
        <v>30</v>
      </c>
      <c r="E34" s="14">
        <v>24</v>
      </c>
      <c r="F34" s="28" t="s">
        <v>36</v>
      </c>
      <c r="G34" s="11"/>
      <c r="J34" s="46">
        <v>173323</v>
      </c>
    </row>
    <row r="35" spans="1:10" hidden="1">
      <c r="A35" s="11"/>
      <c r="B35" s="9" t="s">
        <v>17</v>
      </c>
      <c r="C35" s="25" t="s">
        <v>7</v>
      </c>
      <c r="D35" s="26" t="s">
        <v>20</v>
      </c>
      <c r="E35" s="14">
        <v>207</v>
      </c>
      <c r="F35" s="11"/>
      <c r="G35" s="27" t="s">
        <v>34</v>
      </c>
    </row>
    <row r="36" spans="1:10">
      <c r="A36" s="8">
        <v>45055</v>
      </c>
      <c r="B36" s="49" t="s">
        <v>37</v>
      </c>
      <c r="C36" s="49"/>
      <c r="D36" s="26" t="s">
        <v>33</v>
      </c>
      <c r="E36" s="14">
        <v>1</v>
      </c>
      <c r="F36" s="29">
        <v>50000</v>
      </c>
      <c r="G36" s="11"/>
      <c r="J36" s="43">
        <f>SUM(J10:J34)</f>
        <v>1751481</v>
      </c>
    </row>
    <row r="37" spans="1:10">
      <c r="A37" s="11"/>
      <c r="B37" s="49" t="s">
        <v>37</v>
      </c>
      <c r="C37" s="49"/>
      <c r="D37" s="26" t="s">
        <v>33</v>
      </c>
      <c r="E37" s="14">
        <v>2</v>
      </c>
      <c r="F37" s="29">
        <v>50000</v>
      </c>
      <c r="G37" s="11"/>
    </row>
    <row r="38" spans="1:10">
      <c r="A38" s="8">
        <v>45382</v>
      </c>
      <c r="B38" s="49" t="s">
        <v>21</v>
      </c>
      <c r="C38" s="49"/>
      <c r="D38" s="26" t="s">
        <v>22</v>
      </c>
      <c r="E38" s="14">
        <v>1</v>
      </c>
      <c r="F38" s="30" t="s">
        <v>38</v>
      </c>
      <c r="G38" s="2"/>
    </row>
    <row r="39" spans="1:10" hidden="1">
      <c r="A39" s="11"/>
      <c r="B39" s="50"/>
      <c r="C39" s="50"/>
      <c r="D39" s="11"/>
      <c r="E39" s="11"/>
      <c r="F39" s="31" t="s">
        <v>39</v>
      </c>
      <c r="G39" s="22"/>
    </row>
    <row r="40" spans="1:10" hidden="1">
      <c r="A40" s="9" t="s">
        <v>17</v>
      </c>
      <c r="B40" s="51" t="s">
        <v>18</v>
      </c>
      <c r="C40" s="51"/>
      <c r="D40" s="11"/>
      <c r="E40" s="11"/>
      <c r="F40" s="2"/>
      <c r="G40" s="32" t="s">
        <v>39</v>
      </c>
    </row>
    <row r="41" spans="1:10" hidden="1">
      <c r="A41" s="11"/>
      <c r="B41" s="50"/>
      <c r="C41" s="50"/>
      <c r="D41" s="11"/>
      <c r="E41" s="11"/>
      <c r="F41" s="33" t="s">
        <v>40</v>
      </c>
      <c r="G41" s="34" t="s">
        <v>40</v>
      </c>
    </row>
    <row r="42" spans="1:10">
      <c r="G42" s="1">
        <v>82270</v>
      </c>
    </row>
    <row r="43" spans="1:10">
      <c r="C43" s="1" t="s">
        <v>97</v>
      </c>
      <c r="F43" s="1">
        <f>F41-G42</f>
        <v>1541411</v>
      </c>
    </row>
    <row r="44" spans="1:10">
      <c r="F44" s="42">
        <v>770000</v>
      </c>
    </row>
    <row r="45" spans="1:10">
      <c r="F45" s="1">
        <f>SUBTOTAL(9,F43:F44)</f>
        <v>2311411</v>
      </c>
    </row>
  </sheetData>
  <autoFilter ref="A2:G41" xr:uid="{00000000-0001-0000-0000-000000000000}">
    <filterColumn colId="3">
      <filters>
        <filter val="Journal"/>
        <filter val="Payment"/>
        <filter val="Payment                                                  28"/>
        <filter val="Payment                                                200"/>
        <filter val="Payment                                                202"/>
        <filter val="Payment                                                208"/>
        <filter val="Payment                                                214"/>
        <filter val="Payment                                                215"/>
      </filters>
    </filterColumn>
  </autoFilter>
  <mergeCells count="27">
    <mergeCell ref="B38:C38"/>
    <mergeCell ref="B39:C39"/>
    <mergeCell ref="B40:C40"/>
    <mergeCell ref="B41:C41"/>
    <mergeCell ref="A1:G1"/>
    <mergeCell ref="B36:C36"/>
    <mergeCell ref="B37:C37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26:C26"/>
    <mergeCell ref="B19:C19"/>
    <mergeCell ref="B20:C20"/>
    <mergeCell ref="B17:C17"/>
    <mergeCell ref="B18:C18"/>
    <mergeCell ref="B16:C16"/>
    <mergeCell ref="B11:C11"/>
    <mergeCell ref="B12:C12"/>
    <mergeCell ref="B13:C13"/>
    <mergeCell ref="B14:C14"/>
    <mergeCell ref="B15:C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C1C9-7027-4B17-B44B-BF5B65DFC8D5}">
  <dimension ref="A1:O26"/>
  <sheetViews>
    <sheetView topLeftCell="C16" workbookViewId="0">
      <selection activeCell="H32" sqref="E32:H37"/>
    </sheetView>
  </sheetViews>
  <sheetFormatPr defaultRowHeight="14.5"/>
  <cols>
    <col min="1" max="1" width="9.54296875" style="35" bestFit="1" customWidth="1"/>
    <col min="2" max="2" width="19.81640625" bestFit="1" customWidth="1"/>
    <col min="3" max="3" width="9.6328125" bestFit="1" customWidth="1"/>
    <col min="4" max="4" width="12.1796875" style="36" bestFit="1" customWidth="1"/>
    <col min="5" max="5" width="19" style="36" bestFit="1" customWidth="1"/>
    <col min="6" max="6" width="8.453125" style="8" bestFit="1" customWidth="1"/>
    <col min="7" max="7" width="11.81640625" bestFit="1" customWidth="1"/>
    <col min="8" max="8" width="6.90625" bestFit="1" customWidth="1"/>
    <col min="9" max="9" width="12.1796875" style="36" bestFit="1" customWidth="1"/>
    <col min="11" max="11" width="5.08984375" bestFit="1" customWidth="1"/>
    <col min="12" max="12" width="8.81640625" style="8" bestFit="1" customWidth="1"/>
    <col min="13" max="13" width="42.08984375" bestFit="1" customWidth="1"/>
  </cols>
  <sheetData>
    <row r="1" spans="1:15">
      <c r="A1" s="35" t="s">
        <v>45</v>
      </c>
      <c r="B1" t="s">
        <v>46</v>
      </c>
      <c r="C1" t="s">
        <v>47</v>
      </c>
      <c r="D1" s="36" t="s">
        <v>48</v>
      </c>
      <c r="F1" s="35" t="s">
        <v>45</v>
      </c>
      <c r="G1" t="s">
        <v>46</v>
      </c>
      <c r="H1" s="36" t="s">
        <v>47</v>
      </c>
      <c r="I1" s="36" t="s">
        <v>48</v>
      </c>
      <c r="K1" t="s">
        <v>49</v>
      </c>
      <c r="L1" s="8" t="s">
        <v>50</v>
      </c>
      <c r="M1" t="s">
        <v>51</v>
      </c>
      <c r="N1" t="s">
        <v>52</v>
      </c>
    </row>
    <row r="2" spans="1:15">
      <c r="A2" s="35">
        <v>43585</v>
      </c>
      <c r="B2" t="s">
        <v>42</v>
      </c>
      <c r="C2" t="s">
        <v>44</v>
      </c>
      <c r="D2" s="36">
        <v>1000000</v>
      </c>
      <c r="F2" s="8">
        <v>43892</v>
      </c>
      <c r="G2" t="s">
        <v>31</v>
      </c>
      <c r="H2" t="s">
        <v>32</v>
      </c>
      <c r="I2" s="36">
        <v>77800</v>
      </c>
      <c r="K2" t="s">
        <v>53</v>
      </c>
      <c r="L2" s="8">
        <v>43892</v>
      </c>
      <c r="M2" t="s">
        <v>54</v>
      </c>
      <c r="N2">
        <v>77800</v>
      </c>
    </row>
    <row r="3" spans="1:15">
      <c r="A3" s="35">
        <v>43832</v>
      </c>
      <c r="B3" t="s">
        <v>42</v>
      </c>
      <c r="C3" t="s">
        <v>44</v>
      </c>
      <c r="D3" s="36">
        <v>1500000</v>
      </c>
      <c r="E3" s="36" t="s">
        <v>102</v>
      </c>
      <c r="F3" s="8">
        <v>44076</v>
      </c>
      <c r="G3" t="s">
        <v>41</v>
      </c>
      <c r="H3" t="s">
        <v>32</v>
      </c>
      <c r="I3" s="36">
        <v>100000</v>
      </c>
      <c r="K3" t="s">
        <v>55</v>
      </c>
      <c r="L3" s="8">
        <v>44076</v>
      </c>
      <c r="M3" t="s">
        <v>56</v>
      </c>
      <c r="N3">
        <v>100000</v>
      </c>
    </row>
    <row r="4" spans="1:15">
      <c r="A4" s="35">
        <v>43833</v>
      </c>
      <c r="B4" t="s">
        <v>42</v>
      </c>
      <c r="C4" t="s">
        <v>44</v>
      </c>
      <c r="D4" s="36">
        <v>500000</v>
      </c>
      <c r="E4" s="36" t="s">
        <v>102</v>
      </c>
      <c r="F4" s="8">
        <v>44109</v>
      </c>
      <c r="G4" t="s">
        <v>41</v>
      </c>
      <c r="H4" t="s">
        <v>32</v>
      </c>
      <c r="I4" s="36">
        <v>100000</v>
      </c>
      <c r="K4" t="s">
        <v>57</v>
      </c>
      <c r="L4" s="8">
        <v>44109</v>
      </c>
      <c r="M4" t="s">
        <v>58</v>
      </c>
      <c r="N4">
        <v>100000</v>
      </c>
    </row>
    <row r="5" spans="1:15">
      <c r="A5" s="35">
        <v>43843</v>
      </c>
      <c r="B5" t="s">
        <v>42</v>
      </c>
      <c r="C5" t="s">
        <v>44</v>
      </c>
      <c r="D5" s="36">
        <v>400000</v>
      </c>
      <c r="E5" s="36" t="s">
        <v>103</v>
      </c>
      <c r="K5" s="40" t="s">
        <v>59</v>
      </c>
      <c r="L5" s="41">
        <v>44110</v>
      </c>
      <c r="M5" s="40" t="s">
        <v>60</v>
      </c>
      <c r="N5" s="40">
        <v>22470</v>
      </c>
    </row>
    <row r="6" spans="1:15">
      <c r="A6" s="35">
        <v>43844</v>
      </c>
      <c r="B6" t="s">
        <v>43</v>
      </c>
      <c r="C6" t="s">
        <v>44</v>
      </c>
      <c r="D6" s="36">
        <v>500000</v>
      </c>
      <c r="F6" s="8">
        <v>44134</v>
      </c>
      <c r="G6" t="s">
        <v>41</v>
      </c>
      <c r="H6" t="s">
        <v>32</v>
      </c>
      <c r="I6" s="36">
        <v>100000</v>
      </c>
      <c r="K6" t="s">
        <v>61</v>
      </c>
      <c r="L6" s="8">
        <v>44134</v>
      </c>
      <c r="M6" t="s">
        <v>62</v>
      </c>
      <c r="N6">
        <v>100000</v>
      </c>
    </row>
    <row r="7" spans="1:15">
      <c r="A7" s="35">
        <v>43847</v>
      </c>
      <c r="B7" t="s">
        <v>42</v>
      </c>
      <c r="C7" t="s">
        <v>44</v>
      </c>
      <c r="D7" s="36">
        <v>100000</v>
      </c>
      <c r="K7" s="40" t="s">
        <v>63</v>
      </c>
      <c r="L7" s="41">
        <v>44169</v>
      </c>
      <c r="M7" s="40" t="s">
        <v>64</v>
      </c>
      <c r="N7" s="40">
        <v>59800</v>
      </c>
    </row>
    <row r="8" spans="1:15">
      <c r="A8" s="35">
        <v>43921</v>
      </c>
      <c r="B8" t="s">
        <v>29</v>
      </c>
      <c r="C8" t="s">
        <v>30</v>
      </c>
      <c r="D8" s="36">
        <v>194717</v>
      </c>
      <c r="F8" s="8">
        <v>44198</v>
      </c>
      <c r="G8" t="s">
        <v>41</v>
      </c>
      <c r="H8" t="s">
        <v>32</v>
      </c>
      <c r="I8" s="36">
        <v>100000</v>
      </c>
      <c r="K8" t="s">
        <v>65</v>
      </c>
      <c r="L8" s="8">
        <v>44198</v>
      </c>
      <c r="M8" t="s">
        <v>66</v>
      </c>
      <c r="N8">
        <v>100000</v>
      </c>
    </row>
    <row r="9" spans="1:15">
      <c r="A9" s="35">
        <v>44286</v>
      </c>
      <c r="B9" t="s">
        <v>29</v>
      </c>
      <c r="C9" t="s">
        <v>30</v>
      </c>
      <c r="D9" s="36">
        <v>470490</v>
      </c>
      <c r="F9" s="8">
        <v>44231</v>
      </c>
      <c r="G9" t="s">
        <v>41</v>
      </c>
      <c r="H9" t="s">
        <v>32</v>
      </c>
      <c r="I9" s="36">
        <v>100000</v>
      </c>
      <c r="K9" t="s">
        <v>67</v>
      </c>
      <c r="L9" s="8">
        <v>44231</v>
      </c>
      <c r="M9" t="s">
        <v>68</v>
      </c>
      <c r="N9">
        <v>100000</v>
      </c>
    </row>
    <row r="10" spans="1:15">
      <c r="A10" s="35">
        <v>44651</v>
      </c>
      <c r="B10" t="s">
        <v>29</v>
      </c>
      <c r="C10" t="s">
        <v>30</v>
      </c>
      <c r="D10" s="36">
        <v>467903</v>
      </c>
      <c r="F10" s="8">
        <v>44258</v>
      </c>
      <c r="G10" t="s">
        <v>41</v>
      </c>
      <c r="H10" t="s">
        <v>32</v>
      </c>
      <c r="I10" s="36">
        <v>100000</v>
      </c>
      <c r="L10" s="37">
        <v>44258</v>
      </c>
      <c r="M10" s="38" t="s">
        <v>41</v>
      </c>
      <c r="N10" s="39">
        <v>100000</v>
      </c>
      <c r="O10" s="36"/>
    </row>
    <row r="11" spans="1:15">
      <c r="A11" s="35">
        <v>44991</v>
      </c>
      <c r="B11" t="s">
        <v>42</v>
      </c>
      <c r="C11" t="s">
        <v>44</v>
      </c>
      <c r="D11" s="36">
        <v>150000</v>
      </c>
      <c r="F11" s="8">
        <v>44474</v>
      </c>
      <c r="G11" t="s">
        <v>41</v>
      </c>
      <c r="H11" t="s">
        <v>32</v>
      </c>
      <c r="I11" s="36">
        <v>100000</v>
      </c>
      <c r="K11" t="s">
        <v>69</v>
      </c>
      <c r="L11" s="8">
        <v>44474</v>
      </c>
      <c r="M11" t="s">
        <v>70</v>
      </c>
      <c r="N11">
        <v>100000</v>
      </c>
    </row>
    <row r="12" spans="1:15">
      <c r="A12" s="35">
        <v>45016</v>
      </c>
      <c r="B12" t="s">
        <v>29</v>
      </c>
      <c r="C12" t="s">
        <v>30</v>
      </c>
      <c r="D12" s="36">
        <v>445048</v>
      </c>
      <c r="F12" s="8">
        <v>44508</v>
      </c>
      <c r="G12" t="s">
        <v>41</v>
      </c>
      <c r="H12" t="s">
        <v>32</v>
      </c>
      <c r="I12" s="36">
        <v>100000</v>
      </c>
      <c r="K12" t="s">
        <v>71</v>
      </c>
      <c r="L12" s="8">
        <v>44507</v>
      </c>
      <c r="M12" t="s">
        <v>72</v>
      </c>
      <c r="N12">
        <v>100000</v>
      </c>
    </row>
    <row r="13" spans="1:15">
      <c r="A13" s="35">
        <v>45055</v>
      </c>
      <c r="B13" t="s">
        <v>42</v>
      </c>
      <c r="C13" t="s">
        <v>44</v>
      </c>
      <c r="D13" s="36">
        <v>50000</v>
      </c>
      <c r="F13" s="8">
        <v>44747</v>
      </c>
      <c r="G13" t="s">
        <v>41</v>
      </c>
      <c r="H13" t="s">
        <v>32</v>
      </c>
      <c r="I13" s="36">
        <v>50000</v>
      </c>
      <c r="K13" t="s">
        <v>73</v>
      </c>
      <c r="L13" s="8">
        <v>44747</v>
      </c>
      <c r="M13" t="s">
        <v>74</v>
      </c>
      <c r="N13">
        <v>50000</v>
      </c>
    </row>
    <row r="14" spans="1:15">
      <c r="A14" s="35">
        <v>45055</v>
      </c>
      <c r="B14" t="s">
        <v>42</v>
      </c>
      <c r="C14" t="s">
        <v>44</v>
      </c>
      <c r="D14" s="36">
        <v>50000</v>
      </c>
      <c r="F14" s="8">
        <v>44750</v>
      </c>
      <c r="G14" t="s">
        <v>41</v>
      </c>
      <c r="H14" t="s">
        <v>32</v>
      </c>
      <c r="I14" s="36">
        <v>50000</v>
      </c>
      <c r="K14" t="s">
        <v>75</v>
      </c>
      <c r="L14" s="8">
        <v>44750</v>
      </c>
      <c r="M14" t="s">
        <v>76</v>
      </c>
      <c r="N14">
        <v>50000</v>
      </c>
    </row>
    <row r="15" spans="1:15">
      <c r="A15" s="35">
        <v>45382</v>
      </c>
      <c r="B15" t="s">
        <v>29</v>
      </c>
      <c r="C15" t="s">
        <v>30</v>
      </c>
      <c r="D15" s="36">
        <v>173323</v>
      </c>
      <c r="F15" s="8">
        <v>44779</v>
      </c>
      <c r="G15" t="s">
        <v>41</v>
      </c>
      <c r="H15" t="s">
        <v>32</v>
      </c>
      <c r="I15" s="36">
        <v>50000</v>
      </c>
      <c r="K15" t="s">
        <v>77</v>
      </c>
      <c r="L15" s="37">
        <v>44779</v>
      </c>
      <c r="M15" s="38" t="s">
        <v>41</v>
      </c>
      <c r="N15" s="39">
        <v>50000</v>
      </c>
      <c r="O15" s="36"/>
    </row>
    <row r="16" spans="1:15">
      <c r="A16" s="53">
        <v>45747</v>
      </c>
      <c r="B16" s="55" t="s">
        <v>29</v>
      </c>
      <c r="C16" t="s">
        <v>30</v>
      </c>
      <c r="D16" s="58">
        <v>194835</v>
      </c>
      <c r="F16" s="8">
        <v>44781</v>
      </c>
      <c r="G16" t="s">
        <v>41</v>
      </c>
      <c r="H16" t="s">
        <v>32</v>
      </c>
      <c r="I16" s="36">
        <v>50000</v>
      </c>
      <c r="K16" t="s">
        <v>79</v>
      </c>
      <c r="L16" s="8">
        <v>44781</v>
      </c>
      <c r="M16" t="s">
        <v>78</v>
      </c>
      <c r="N16">
        <v>50000</v>
      </c>
    </row>
    <row r="17" spans="1:14">
      <c r="A17" s="53">
        <v>46022</v>
      </c>
      <c r="B17" s="55" t="s">
        <v>29</v>
      </c>
      <c r="C17" t="s">
        <v>30</v>
      </c>
      <c r="D17" s="58">
        <v>163662</v>
      </c>
      <c r="F17" s="8">
        <v>44849</v>
      </c>
      <c r="G17" t="s">
        <v>41</v>
      </c>
      <c r="H17" t="s">
        <v>32</v>
      </c>
      <c r="I17" s="36">
        <v>100000</v>
      </c>
      <c r="K17" t="s">
        <v>81</v>
      </c>
      <c r="L17" s="8">
        <v>44849</v>
      </c>
      <c r="M17" t="s">
        <v>80</v>
      </c>
      <c r="N17">
        <v>100000</v>
      </c>
    </row>
    <row r="18" spans="1:14">
      <c r="F18" s="8">
        <v>44875</v>
      </c>
      <c r="G18" t="s">
        <v>41</v>
      </c>
      <c r="H18" t="s">
        <v>32</v>
      </c>
      <c r="I18" s="36">
        <v>50000</v>
      </c>
      <c r="K18" t="s">
        <v>83</v>
      </c>
      <c r="L18" s="8">
        <v>44875</v>
      </c>
      <c r="M18" t="s">
        <v>82</v>
      </c>
      <c r="N18">
        <v>50000</v>
      </c>
    </row>
    <row r="19" spans="1:14">
      <c r="F19" s="8">
        <v>44905</v>
      </c>
      <c r="G19" t="s">
        <v>41</v>
      </c>
      <c r="H19" t="s">
        <v>32</v>
      </c>
      <c r="I19" s="36">
        <v>50000</v>
      </c>
      <c r="K19" t="s">
        <v>85</v>
      </c>
      <c r="L19" s="8">
        <v>44905</v>
      </c>
      <c r="M19" t="s">
        <v>84</v>
      </c>
      <c r="N19">
        <v>50000</v>
      </c>
    </row>
    <row r="20" spans="1:14">
      <c r="D20" s="36">
        <f>SUM(D2:D19)</f>
        <v>6359978</v>
      </c>
      <c r="F20" s="8">
        <v>44946</v>
      </c>
      <c r="G20" t="s">
        <v>41</v>
      </c>
      <c r="H20" t="s">
        <v>32</v>
      </c>
      <c r="I20" s="36">
        <v>50000</v>
      </c>
      <c r="K20" t="s">
        <v>87</v>
      </c>
      <c r="L20" s="8">
        <v>44946</v>
      </c>
      <c r="M20" t="s">
        <v>86</v>
      </c>
      <c r="N20">
        <v>50000</v>
      </c>
    </row>
    <row r="21" spans="1:14">
      <c r="C21" s="48"/>
      <c r="F21" s="8">
        <v>44974</v>
      </c>
      <c r="G21" t="s">
        <v>41</v>
      </c>
      <c r="H21" t="s">
        <v>32</v>
      </c>
      <c r="I21" s="36">
        <v>1000000</v>
      </c>
      <c r="K21" t="s">
        <v>89</v>
      </c>
      <c r="L21" s="8">
        <v>44974</v>
      </c>
      <c r="M21" t="s">
        <v>88</v>
      </c>
      <c r="N21">
        <v>1000000</v>
      </c>
    </row>
    <row r="22" spans="1:14">
      <c r="F22" s="8">
        <v>44978</v>
      </c>
      <c r="G22" t="s">
        <v>41</v>
      </c>
      <c r="H22" t="s">
        <v>32</v>
      </c>
      <c r="I22" s="36">
        <v>700000</v>
      </c>
      <c r="K22" t="s">
        <v>91</v>
      </c>
      <c r="L22" s="8">
        <v>44978</v>
      </c>
      <c r="M22" t="s">
        <v>90</v>
      </c>
      <c r="N22">
        <v>700000</v>
      </c>
    </row>
    <row r="23" spans="1:14">
      <c r="F23" s="8">
        <v>44979</v>
      </c>
      <c r="G23" t="s">
        <v>42</v>
      </c>
      <c r="H23" t="s">
        <v>32</v>
      </c>
      <c r="I23" s="36">
        <v>1000000</v>
      </c>
      <c r="K23" t="s">
        <v>93</v>
      </c>
      <c r="L23" s="8">
        <v>44979</v>
      </c>
      <c r="M23" t="s">
        <v>92</v>
      </c>
      <c r="N23">
        <v>1000000</v>
      </c>
    </row>
    <row r="24" spans="1:14">
      <c r="F24" s="8">
        <v>44979</v>
      </c>
      <c r="G24" t="s">
        <v>42</v>
      </c>
      <c r="H24" t="s">
        <v>32</v>
      </c>
      <c r="I24" s="36">
        <v>200000.00200000001</v>
      </c>
      <c r="K24" t="s">
        <v>95</v>
      </c>
      <c r="L24" s="8">
        <v>44979</v>
      </c>
      <c r="M24" t="s">
        <v>94</v>
      </c>
      <c r="N24">
        <v>200000</v>
      </c>
    </row>
    <row r="25" spans="1:14">
      <c r="F25" s="8">
        <v>45016</v>
      </c>
      <c r="G25" t="s">
        <v>42</v>
      </c>
      <c r="H25" t="s">
        <v>32</v>
      </c>
      <c r="I25" s="36">
        <v>150000</v>
      </c>
      <c r="L25" s="8">
        <v>45016</v>
      </c>
      <c r="M25" t="s">
        <v>96</v>
      </c>
      <c r="N25">
        <v>150000</v>
      </c>
    </row>
    <row r="26" spans="1:14">
      <c r="I26" s="36">
        <f>SUM(I2:I25)</f>
        <v>4377800.0020000003</v>
      </c>
      <c r="N26">
        <f>SUM(N2:N25)</f>
        <v>4460070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3285-3259-45B0-A3F0-88006AFFB1BA}">
  <dimension ref="A1:G15"/>
  <sheetViews>
    <sheetView tabSelected="1" workbookViewId="0">
      <selection activeCell="C17" sqref="C17"/>
    </sheetView>
  </sheetViews>
  <sheetFormatPr defaultRowHeight="14.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9.36328125" bestFit="1" customWidth="1"/>
  </cols>
  <sheetData>
    <row r="1" spans="1:7" ht="15.5">
      <c r="A1" s="59" t="s">
        <v>104</v>
      </c>
      <c r="B1" s="59"/>
      <c r="C1" s="59"/>
      <c r="D1" s="60"/>
      <c r="E1" s="60"/>
      <c r="F1" s="60"/>
      <c r="G1" s="60"/>
    </row>
    <row r="2" spans="1:7" ht="15.5">
      <c r="A2" s="59" t="s">
        <v>105</v>
      </c>
      <c r="B2" s="59"/>
      <c r="C2" s="59"/>
      <c r="D2" s="60"/>
      <c r="E2" s="60"/>
      <c r="F2" s="60"/>
      <c r="G2" s="60"/>
    </row>
    <row r="3" spans="1:7">
      <c r="A3" s="61" t="s">
        <v>106</v>
      </c>
      <c r="B3" s="61"/>
      <c r="C3" s="61"/>
      <c r="D3" s="60"/>
      <c r="E3" s="60"/>
      <c r="F3" s="60"/>
      <c r="G3" s="60"/>
    </row>
    <row r="4" spans="1:7">
      <c r="A4" s="61" t="s">
        <v>107</v>
      </c>
      <c r="B4" s="61"/>
      <c r="C4" s="61"/>
      <c r="D4" s="60"/>
      <c r="E4" s="60"/>
      <c r="F4" s="60"/>
      <c r="G4" s="60"/>
    </row>
    <row r="5" spans="1:7">
      <c r="A5" s="62" t="s">
        <v>45</v>
      </c>
      <c r="B5" s="63" t="s">
        <v>108</v>
      </c>
      <c r="C5" s="63"/>
      <c r="D5" s="64" t="s">
        <v>109</v>
      </c>
      <c r="E5" s="62" t="s">
        <v>110</v>
      </c>
      <c r="F5" s="65" t="s">
        <v>111</v>
      </c>
      <c r="G5" s="65" t="s">
        <v>112</v>
      </c>
    </row>
    <row r="6" spans="1:7">
      <c r="A6" s="53">
        <v>43920</v>
      </c>
      <c r="B6" s="54" t="s">
        <v>113</v>
      </c>
      <c r="C6" s="55" t="s">
        <v>114</v>
      </c>
      <c r="D6" s="56" t="s">
        <v>44</v>
      </c>
      <c r="E6" s="57" t="s">
        <v>115</v>
      </c>
      <c r="F6" s="58">
        <v>500000</v>
      </c>
      <c r="G6" s="66">
        <f>+F6</f>
        <v>500000</v>
      </c>
    </row>
    <row r="7" spans="1:7">
      <c r="A7" s="53">
        <v>44285</v>
      </c>
      <c r="B7" s="54" t="s">
        <v>113</v>
      </c>
      <c r="C7" s="55" t="s">
        <v>116</v>
      </c>
      <c r="D7" s="56" t="s">
        <v>30</v>
      </c>
      <c r="E7" s="57" t="s">
        <v>117</v>
      </c>
      <c r="F7" s="58">
        <v>60000</v>
      </c>
      <c r="G7" s="66">
        <f t="shared" ref="G7:G12" si="0">+G6+F7</f>
        <v>560000</v>
      </c>
    </row>
    <row r="8" spans="1:7">
      <c r="A8" s="53">
        <v>44650</v>
      </c>
      <c r="B8" s="54" t="s">
        <v>113</v>
      </c>
      <c r="C8" s="55" t="s">
        <v>116</v>
      </c>
      <c r="D8" s="56" t="s">
        <v>30</v>
      </c>
      <c r="E8" s="57" t="s">
        <v>117</v>
      </c>
      <c r="F8" s="58">
        <v>60000</v>
      </c>
      <c r="G8" s="66">
        <f t="shared" si="0"/>
        <v>620000</v>
      </c>
    </row>
    <row r="9" spans="1:7">
      <c r="A9" s="53">
        <v>45015</v>
      </c>
      <c r="B9" s="54"/>
      <c r="C9" s="55" t="s">
        <v>116</v>
      </c>
      <c r="D9" s="56" t="s">
        <v>30</v>
      </c>
      <c r="E9" s="57"/>
      <c r="F9" s="58">
        <v>60000</v>
      </c>
      <c r="G9" s="66">
        <f t="shared" si="0"/>
        <v>680000</v>
      </c>
    </row>
    <row r="10" spans="1:7">
      <c r="A10" s="53">
        <v>45381</v>
      </c>
      <c r="B10" s="54"/>
      <c r="C10" s="55" t="s">
        <v>116</v>
      </c>
      <c r="D10" s="56" t="s">
        <v>30</v>
      </c>
      <c r="E10" s="57"/>
      <c r="F10" s="58">
        <v>60000</v>
      </c>
      <c r="G10" s="66">
        <f t="shared" si="0"/>
        <v>740000</v>
      </c>
    </row>
    <row r="11" spans="1:7">
      <c r="A11" s="53">
        <v>45746</v>
      </c>
      <c r="B11" s="54"/>
      <c r="C11" s="55" t="s">
        <v>116</v>
      </c>
      <c r="D11" s="56" t="s">
        <v>30</v>
      </c>
      <c r="E11" s="57"/>
      <c r="F11" s="58">
        <v>60000</v>
      </c>
      <c r="G11" s="66">
        <f t="shared" si="0"/>
        <v>800000</v>
      </c>
    </row>
    <row r="12" spans="1:7">
      <c r="A12" s="53">
        <v>46022</v>
      </c>
      <c r="B12" s="54"/>
      <c r="C12" s="55" t="s">
        <v>116</v>
      </c>
      <c r="D12" s="56" t="s">
        <v>30</v>
      </c>
      <c r="E12" s="57"/>
      <c r="F12" s="58">
        <v>60000</v>
      </c>
      <c r="G12" s="66">
        <f t="shared" si="0"/>
        <v>860000</v>
      </c>
    </row>
    <row r="13" spans="1:7">
      <c r="A13" s="67">
        <f>SUM(F6:F12)</f>
        <v>860000</v>
      </c>
      <c r="B13" s="67"/>
      <c r="C13" s="67"/>
      <c r="D13" s="67"/>
      <c r="E13" s="67"/>
      <c r="F13" s="67"/>
      <c r="G13" s="68"/>
    </row>
    <row r="14" spans="1:7">
      <c r="A14" s="69" t="s">
        <v>118</v>
      </c>
      <c r="B14" s="54" t="s">
        <v>119</v>
      </c>
      <c r="C14" s="70" t="s">
        <v>120</v>
      </c>
      <c r="D14" s="71"/>
      <c r="E14" s="71"/>
      <c r="F14" s="71"/>
      <c r="G14" s="72">
        <f>A13-G13</f>
        <v>860000</v>
      </c>
    </row>
    <row r="15" spans="1:7">
      <c r="A15" s="73">
        <f>G14</f>
        <v>860000</v>
      </c>
      <c r="B15" s="73"/>
      <c r="C15" s="73"/>
      <c r="D15" s="73"/>
      <c r="E15" s="73"/>
      <c r="F15" s="73"/>
      <c r="G15" s="74">
        <f>G14</f>
        <v>860000</v>
      </c>
    </row>
  </sheetData>
  <mergeCells count="8">
    <mergeCell ref="D14:F14"/>
    <mergeCell ref="A15:F15"/>
    <mergeCell ref="A1:C1"/>
    <mergeCell ref="A2:C2"/>
    <mergeCell ref="A3:C3"/>
    <mergeCell ref="A4:C4"/>
    <mergeCell ref="B5:C5"/>
    <mergeCell ref="A13:F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2015-06-05T18:17:20Z</dcterms:created>
  <dcterms:modified xsi:type="dcterms:W3CDTF">2025-12-25T12:57:59Z</dcterms:modified>
</cp:coreProperties>
</file>