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132" documentId="13_ncr:1_{AF6BE05C-0022-48BE-AA25-A1F9C16D5DCA}" xr6:coauthVersionLast="47" xr6:coauthVersionMax="47" xr10:uidLastSave="{09958859-178E-41B3-BE2B-ED96CD2993DD}"/>
  <bookViews>
    <workbookView xWindow="-110" yWindow="-110" windowWidth="19420" windowHeight="11500" activeTab="2" xr2:uid="{EFB0DD2C-D1EA-4447-8EF5-A40D848B6EB2}"/>
  </bookViews>
  <sheets>
    <sheet name="PREETI TO SADHANA" sheetId="1" r:id="rId1"/>
    <sheet name="RAHUL FRIEND" sheetId="3" r:id="rId2"/>
    <sheet name="RAHUL TO DHARMESHBHAI" sheetId="2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2" l="1"/>
  <c r="G53" i="2"/>
  <c r="G50" i="2"/>
  <c r="G48" i="2"/>
  <c r="J44" i="2"/>
  <c r="K43" i="2"/>
  <c r="J43" i="2"/>
  <c r="K42" i="2"/>
  <c r="J42" i="2"/>
  <c r="K41" i="2"/>
  <c r="J41" i="2"/>
  <c r="J40" i="2"/>
  <c r="J39" i="2"/>
  <c r="J38" i="2"/>
  <c r="K37" i="2"/>
  <c r="J37" i="2"/>
  <c r="J35" i="2"/>
  <c r="K34" i="2"/>
  <c r="J34" i="2"/>
  <c r="I34" i="2"/>
  <c r="H14" i="2" l="1"/>
  <c r="H15" i="2"/>
  <c r="H16" i="2" s="1"/>
  <c r="H22" i="2" s="1"/>
  <c r="O39" i="2"/>
  <c r="F50" i="2" s="1"/>
  <c r="I22" i="2" l="1"/>
  <c r="H23" i="2"/>
  <c r="H25" i="2" s="1"/>
  <c r="G6" i="1"/>
  <c r="G7" i="1" s="1"/>
  <c r="G8" i="1" s="1"/>
  <c r="G9" i="1" s="1"/>
  <c r="H6" i="1"/>
  <c r="H7" i="1" s="1"/>
  <c r="H8" i="1" s="1"/>
  <c r="H9" i="1" s="1"/>
  <c r="H10" i="1" s="1"/>
  <c r="B4" i="4"/>
  <c r="F3" i="3"/>
  <c r="F5" i="3" s="1"/>
  <c r="D2" i="4" s="1"/>
  <c r="G45" i="2"/>
  <c r="A45" i="2"/>
  <c r="F78" i="1"/>
  <c r="I25" i="2" l="1"/>
  <c r="H26" i="2"/>
  <c r="H38" i="2" s="1"/>
  <c r="D4" i="4"/>
  <c r="E2" i="4"/>
  <c r="G46" i="2"/>
  <c r="F10" i="1"/>
  <c r="G10" i="1" s="1"/>
  <c r="H67" i="1"/>
  <c r="D76" i="1"/>
  <c r="G69" i="1"/>
  <c r="A69" i="1" s="1"/>
  <c r="I38" i="2" l="1"/>
  <c r="H11" i="1"/>
  <c r="D78" i="1"/>
  <c r="G76" i="1"/>
  <c r="H12" i="1" l="1"/>
  <c r="F11" i="1"/>
  <c r="A13" i="1" l="1"/>
  <c r="G14" i="1" s="1"/>
  <c r="C3" i="4" s="1"/>
  <c r="G11" i="1"/>
  <c r="G12" i="1" s="1"/>
  <c r="A15" i="1" l="1"/>
  <c r="E77" i="1"/>
  <c r="G15" i="1"/>
  <c r="E3" i="4"/>
  <c r="E4" i="4" s="1"/>
  <c r="C4" i="4"/>
  <c r="E78" i="1"/>
  <c r="G77" i="1"/>
  <c r="G78" i="1" s="1"/>
  <c r="G83" i="1" s="1"/>
  <c r="G84" i="1" s="1"/>
</calcChain>
</file>

<file path=xl/sharedStrings.xml><?xml version="1.0" encoding="utf-8"?>
<sst xmlns="http://schemas.openxmlformats.org/spreadsheetml/2006/main" count="240" uniqueCount="105">
  <si>
    <t>Preeti Devaliya</t>
  </si>
  <si>
    <t>Loan to Sadhana Craft LLP</t>
  </si>
  <si>
    <t>Ledger Account</t>
  </si>
  <si>
    <t>1-Mar-20 to 30-Nov-21</t>
  </si>
  <si>
    <t>Date</t>
  </si>
  <si>
    <t>Particulars</t>
  </si>
  <si>
    <t>Vch Type</t>
  </si>
  <si>
    <t>Vch No.</t>
  </si>
  <si>
    <t>Debit</t>
  </si>
  <si>
    <t>Credit</t>
  </si>
  <si>
    <t>To</t>
  </si>
  <si>
    <t>Hdfc Bank</t>
  </si>
  <si>
    <t>Payment</t>
  </si>
  <si>
    <t>226</t>
  </si>
  <si>
    <t>Int From Parties</t>
  </si>
  <si>
    <t>Journal</t>
  </si>
  <si>
    <t>1</t>
  </si>
  <si>
    <t>Receipt</t>
  </si>
  <si>
    <t/>
  </si>
  <si>
    <t>By</t>
  </si>
  <si>
    <t>Closing Balance</t>
  </si>
  <si>
    <t>RAHUL FRIEND</t>
  </si>
  <si>
    <t>RECD</t>
  </si>
  <si>
    <t>NET</t>
  </si>
  <si>
    <t>R R JETHWA &amp; CO</t>
  </si>
  <si>
    <t>11TH FLOOR,Remi Commercio</t>
  </si>
  <si>
    <t>Shah Industrial Estate,</t>
  </si>
  <si>
    <t>Andheri West.</t>
  </si>
  <si>
    <t>Dharmeshbhai</t>
  </si>
  <si>
    <t>1-Apr-19 to 30-Nov-21</t>
  </si>
  <si>
    <t>ICICI BANK</t>
  </si>
  <si>
    <t>28</t>
  </si>
  <si>
    <t>200</t>
  </si>
  <si>
    <t>202</t>
  </si>
  <si>
    <t>208</t>
  </si>
  <si>
    <t>Hdfc Bank-Saving</t>
  </si>
  <si>
    <t>214</t>
  </si>
  <si>
    <t>215</t>
  </si>
  <si>
    <t>132</t>
  </si>
  <si>
    <t>Interest From Advance</t>
  </si>
  <si>
    <t>107</t>
  </si>
  <si>
    <t>67</t>
  </si>
  <si>
    <t>83</t>
  </si>
  <si>
    <t>96</t>
  </si>
  <si>
    <t>125</t>
  </si>
  <si>
    <t>140</t>
  </si>
  <si>
    <t>153</t>
  </si>
  <si>
    <t>65</t>
  </si>
  <si>
    <t>36</t>
  </si>
  <si>
    <t>41</t>
  </si>
  <si>
    <t>Dr</t>
  </si>
  <si>
    <t>44</t>
  </si>
  <si>
    <t>66</t>
  </si>
  <si>
    <t>100</t>
  </si>
  <si>
    <t>113</t>
  </si>
  <si>
    <t>130</t>
  </si>
  <si>
    <t>162</t>
  </si>
  <si>
    <t>185</t>
  </si>
  <si>
    <t>186</t>
  </si>
  <si>
    <t>187</t>
  </si>
  <si>
    <t>188</t>
  </si>
  <si>
    <t>Cr</t>
  </si>
  <si>
    <t>24</t>
  </si>
  <si>
    <t>DHARMESH BHAI</t>
  </si>
  <si>
    <t>SADHANA  CRAFT</t>
  </si>
  <si>
    <t xml:space="preserve">TOTAL </t>
  </si>
  <si>
    <t xml:space="preserve">RAHUL </t>
  </si>
  <si>
    <t>PREETI</t>
  </si>
  <si>
    <t>TOTAL</t>
  </si>
  <si>
    <t>ICICI BANK LOAN</t>
  </si>
  <si>
    <t>HDFC BANK LOAN</t>
  </si>
  <si>
    <t>RAHUL FUND - BORROWED FROM SISTER</t>
  </si>
  <si>
    <t>RAHUL OWN FUND</t>
  </si>
  <si>
    <t>ADD:</t>
  </si>
  <si>
    <t>INT ( 05/02/24 TO 17/11/24)</t>
  </si>
  <si>
    <t xml:space="preserve">NET 3.80 GIVEN </t>
  </si>
  <si>
    <t xml:space="preserve">REPAYMENT </t>
  </si>
  <si>
    <t>RAHUL TO DHARMESH BHAI</t>
  </si>
  <si>
    <t xml:space="preserve">Friend </t>
  </si>
  <si>
    <t>Value Date</t>
  </si>
  <si>
    <t>Transaction Remarks</t>
  </si>
  <si>
    <t>Withdrawal Amount (INR )</t>
  </si>
  <si>
    <t xml:space="preserve">BIL/INFT/001934547748/Rahul/                      </t>
  </si>
  <si>
    <t xml:space="preserve">BIL/INFT/002065718878/Rahul Jethwa/               </t>
  </si>
  <si>
    <t xml:space="preserve">BIL/INFT/002090705847/RAHUL emi oct 2/            </t>
  </si>
  <si>
    <t xml:space="preserve">BIL/INFT/002091694688/Rahul/                      </t>
  </si>
  <si>
    <t xml:space="preserve">BIL/INFT/002109006116/Rahul emi/                  </t>
  </si>
  <si>
    <t xml:space="preserve">BIL/INFT/002136652303/Rahul emi/                  </t>
  </si>
  <si>
    <t xml:space="preserve">BIL/INFT/000010788111/Rahul emi/                  </t>
  </si>
  <si>
    <t xml:space="preserve">BIL/INFT/000036528529/Rahul icici/                </t>
  </si>
  <si>
    <t>Dr   Icici Bank</t>
  </si>
  <si>
    <t xml:space="preserve">BIL/INFT/000224846032/Rahul/                      </t>
  </si>
  <si>
    <t xml:space="preserve">BIL/INFT/000250925208/Rahul emi/                  </t>
  </si>
  <si>
    <t xml:space="preserve">BIL/INFT/000438006277/Rahul/                      </t>
  </si>
  <si>
    <t xml:space="preserve">BIL/INFT/000440358920/Rahul jj/                   </t>
  </si>
  <si>
    <t xml:space="preserve">BIL/INFT/000463349518/Rahul icici/                </t>
  </si>
  <si>
    <t xml:space="preserve">BIL/INFT/000514817713/Rahul eemmii/               </t>
  </si>
  <si>
    <t xml:space="preserve">BIL/INFT/000534394642/Rahul e/                    </t>
  </si>
  <si>
    <t xml:space="preserve">BIL/INFT/000556119317/Rahul ICICI/                </t>
  </si>
  <si>
    <t xml:space="preserve">BIL/INFT/000585598595/Rahul/                      </t>
  </si>
  <si>
    <t xml:space="preserve">BIL/INFT/000605996311/Rahul ICICI/                </t>
  </si>
  <si>
    <t xml:space="preserve">BIL/INFT/000608657090/Rahul jethwa/               </t>
  </si>
  <si>
    <t xml:space="preserve">BIL/INFT/000609080079/Rahul/                      </t>
  </si>
  <si>
    <t xml:space="preserve">BIL/INFT/000609091081/Rahul/                      </t>
  </si>
  <si>
    <t xml:space="preserve">BIL/INFT/000636755599/Rahul return/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</si>
</sst>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&quot;0.00"/>
    <numFmt numFmtId="165" formatCode="&quot;&quot;0"/>
    <numFmt numFmtId="166" formatCode="_ * #,##0_ ;_ * \-#,##0_ ;_ * &quot;-&quot;??_ ;_ @_ "/>
    <numFmt numFmtId="167" formatCode="_ [$₹-4009]\ * #,##0_ ;_ [$₹-4009]\ * \-#,##0_ ;_ [$₹-4009]\ * &quot;-&quot;??_ ;_ @_ "/>
    <numFmt numFmtId="168" formatCode="d\-mmm\-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6" fillId="0" borderId="0" xfId="0" applyFont="1" applyAlignment="1">
      <alignment vertical="top"/>
    </xf>
    <xf numFmtId="49" fontId="7" fillId="0" borderId="1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vertical="top"/>
    </xf>
    <xf numFmtId="49" fontId="8" fillId="0" borderId="1" xfId="0" applyNumberFormat="1" applyFont="1" applyBorder="1" applyAlignment="1">
      <alignment horizontal="right" vertical="top"/>
    </xf>
    <xf numFmtId="15" fontId="7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  <xf numFmtId="49" fontId="7" fillId="0" borderId="0" xfId="0" applyNumberFormat="1" applyFont="1" applyAlignment="1">
      <alignment horizontal="right" vertical="top"/>
    </xf>
    <xf numFmtId="164" fontId="9" fillId="0" borderId="0" xfId="0" applyNumberFormat="1" applyFont="1" applyAlignment="1">
      <alignment horizontal="right" vertical="top"/>
    </xf>
    <xf numFmtId="165" fontId="9" fillId="0" borderId="0" xfId="0" applyNumberFormat="1" applyFont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right" vertical="top"/>
    </xf>
    <xf numFmtId="49" fontId="9" fillId="0" borderId="0" xfId="0" applyNumberFormat="1" applyFont="1" applyAlignment="1">
      <alignment horizontal="left" vertical="top" indent="8"/>
    </xf>
    <xf numFmtId="164" fontId="9" fillId="0" borderId="1" xfId="0" applyNumberFormat="1" applyFont="1" applyBorder="1" applyAlignment="1">
      <alignment horizontal="right" vertical="top"/>
    </xf>
    <xf numFmtId="0" fontId="3" fillId="0" borderId="3" xfId="0" applyFont="1" applyBorder="1"/>
    <xf numFmtId="0" fontId="3" fillId="0" borderId="2" xfId="0" applyFont="1" applyBorder="1"/>
    <xf numFmtId="166" fontId="3" fillId="0" borderId="2" xfId="1" applyNumberFormat="1" applyFont="1" applyBorder="1"/>
    <xf numFmtId="0" fontId="0" fillId="0" borderId="4" xfId="0" applyBorder="1"/>
    <xf numFmtId="0" fontId="3" fillId="0" borderId="5" xfId="0" applyFont="1" applyBorder="1"/>
    <xf numFmtId="0" fontId="3" fillId="0" borderId="0" xfId="0" applyFont="1"/>
    <xf numFmtId="166" fontId="3" fillId="0" borderId="0" xfId="0" applyNumberFormat="1" applyFont="1"/>
    <xf numFmtId="0" fontId="0" fillId="0" borderId="6" xfId="0" applyBorder="1"/>
    <xf numFmtId="0" fontId="3" fillId="0" borderId="7" xfId="0" applyFont="1" applyBorder="1"/>
    <xf numFmtId="0" fontId="3" fillId="0" borderId="8" xfId="0" applyFont="1" applyBorder="1"/>
    <xf numFmtId="0" fontId="0" fillId="0" borderId="10" xfId="0" applyBorder="1"/>
    <xf numFmtId="166" fontId="0" fillId="0" borderId="0" xfId="1" applyNumberFormat="1" applyFont="1"/>
    <xf numFmtId="164" fontId="9" fillId="2" borderId="0" xfId="0" applyNumberFormat="1" applyFont="1" applyFill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2" fontId="3" fillId="0" borderId="0" xfId="0" applyNumberFormat="1" applyFont="1"/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9" xfId="0" applyBorder="1"/>
    <xf numFmtId="167" fontId="0" fillId="0" borderId="9" xfId="1" applyNumberFormat="1" applyFont="1" applyBorder="1"/>
    <xf numFmtId="167" fontId="3" fillId="0" borderId="9" xfId="1" applyNumberFormat="1" applyFont="1" applyBorder="1"/>
    <xf numFmtId="0" fontId="3" fillId="2" borderId="0" xfId="0" applyFont="1" applyFill="1"/>
    <xf numFmtId="167" fontId="3" fillId="2" borderId="0" xfId="0" applyNumberFormat="1" applyFont="1" applyFill="1"/>
    <xf numFmtId="167" fontId="3" fillId="0" borderId="0" xfId="0" applyNumberFormat="1" applyFont="1"/>
    <xf numFmtId="166" fontId="3" fillId="0" borderId="0" xfId="1" applyNumberFormat="1" applyFont="1"/>
    <xf numFmtId="14" fontId="3" fillId="0" borderId="2" xfId="0" applyNumberFormat="1" applyFont="1" applyBorder="1"/>
    <xf numFmtId="14" fontId="0" fillId="0" borderId="0" xfId="0" applyNumberFormat="1"/>
    <xf numFmtId="0" fontId="11" fillId="0" borderId="0" xfId="0" applyFont="1"/>
    <xf numFmtId="0" fontId="11" fillId="0" borderId="9" xfId="0" applyFont="1" applyBorder="1"/>
    <xf numFmtId="166" fontId="3" fillId="0" borderId="9" xfId="1" applyNumberFormat="1" applyFont="1" applyBorder="1"/>
    <xf numFmtId="166" fontId="3" fillId="2" borderId="9" xfId="1" applyNumberFormat="1" applyFont="1" applyFill="1" applyBorder="1"/>
    <xf numFmtId="166" fontId="3" fillId="0" borderId="9" xfId="0" applyNumberFormat="1" applyFont="1" applyBorder="1"/>
    <xf numFmtId="166" fontId="3" fillId="2" borderId="0" xfId="1" applyNumberFormat="1" applyFont="1" applyFill="1"/>
    <xf numFmtId="164" fontId="10" fillId="2" borderId="0" xfId="0" applyNumberFormat="1" applyFont="1" applyFill="1" applyAlignment="1">
      <alignment horizontal="right" vertical="top"/>
    </xf>
    <xf numFmtId="0" fontId="4" fillId="3" borderId="0" xfId="0" applyFont="1" applyFill="1"/>
    <xf numFmtId="2" fontId="4" fillId="3" borderId="0" xfId="0" applyNumberFormat="1" applyFont="1" applyFill="1"/>
    <xf numFmtId="0" fontId="12" fillId="3" borderId="0" xfId="0" applyFont="1" applyFill="1" applyAlignment="1">
      <alignment horizontal="center"/>
    </xf>
    <xf numFmtId="0" fontId="2" fillId="3" borderId="0" xfId="0" applyFont="1" applyFill="1"/>
    <xf numFmtId="164" fontId="9" fillId="0" borderId="1" xfId="0" applyNumberFormat="1" applyFont="1" applyBorder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8" fillId="0" borderId="1" xfId="0" applyNumberFormat="1" applyFont="1" applyBorder="1" applyAlignment="1">
      <alignment horizontal="left" vertical="top" indent="8"/>
    </xf>
    <xf numFmtId="164" fontId="6" fillId="0" borderId="2" xfId="0" applyNumberFormat="1" applyFont="1" applyBorder="1" applyAlignment="1">
      <alignment horizontal="right" vertical="top"/>
    </xf>
    <xf numFmtId="49" fontId="6" fillId="0" borderId="8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2" fontId="0" fillId="0" borderId="0" xfId="0" applyNumberFormat="1"/>
    <xf numFmtId="168" fontId="14" fillId="0" borderId="0" xfId="0" applyNumberFormat="1" applyFont="1" applyAlignment="1">
      <alignment horizontal="right" vertical="top" shrinkToFit="1"/>
    </xf>
    <xf numFmtId="168" fontId="14" fillId="4" borderId="0" xfId="0" applyNumberFormat="1" applyFont="1" applyFill="1" applyAlignment="1">
      <alignment horizontal="right" vertical="top" shrinkToFit="1"/>
    </xf>
    <xf numFmtId="0" fontId="0" fillId="4" borderId="0" xfId="0" applyFill="1"/>
    <xf numFmtId="49" fontId="8" fillId="0" borderId="0" xfId="0" applyNumberFormat="1" applyFont="1" applyBorder="1" applyAlignment="1">
      <alignment horizontal="right" vertical="top"/>
    </xf>
    <xf numFmtId="164" fontId="6" fillId="0" borderId="0" xfId="0" applyNumberFormat="1" applyFont="1" applyBorder="1" applyAlignment="1">
      <alignment horizontal="right" vertical="top"/>
    </xf>
    <xf numFmtId="9" fontId="9" fillId="0" borderId="0" xfId="3" applyFont="1" applyAlignment="1">
      <alignment horizontal="right" vertical="top"/>
    </xf>
    <xf numFmtId="44" fontId="6" fillId="0" borderId="0" xfId="2" applyFont="1" applyAlignment="1">
      <alignment vertical="top"/>
    </xf>
    <xf numFmtId="44" fontId="8" fillId="0" borderId="1" xfId="2" applyFont="1" applyBorder="1" applyAlignment="1">
      <alignment horizontal="right" vertical="top"/>
    </xf>
    <xf numFmtId="44" fontId="8" fillId="0" borderId="0" xfId="2" applyFont="1" applyBorder="1" applyAlignment="1">
      <alignment horizontal="right" vertical="top"/>
    </xf>
    <xf numFmtId="44" fontId="9" fillId="0" borderId="0" xfId="2" applyFont="1" applyAlignment="1">
      <alignment horizontal="right" vertical="top"/>
    </xf>
    <xf numFmtId="44" fontId="6" fillId="0" borderId="2" xfId="2" applyFont="1" applyBorder="1" applyAlignment="1">
      <alignment horizontal="right" vertical="top"/>
    </xf>
    <xf numFmtId="44" fontId="6" fillId="0" borderId="0" xfId="2" applyFont="1" applyBorder="1" applyAlignment="1">
      <alignment horizontal="right" vertical="top"/>
    </xf>
    <xf numFmtId="44" fontId="9" fillId="2" borderId="0" xfId="2" applyFont="1" applyFill="1" applyAlignment="1">
      <alignment horizontal="right" vertical="top"/>
    </xf>
    <xf numFmtId="44" fontId="0" fillId="0" borderId="0" xfId="2" applyFont="1"/>
    <xf numFmtId="44" fontId="0" fillId="0" borderId="0" xfId="0" applyNumberFormat="1"/>
    <xf numFmtId="44" fontId="3" fillId="0" borderId="0" xfId="0" applyNumberFormat="1" applyFont="1"/>
    <xf numFmtId="0" fontId="0" fillId="2" borderId="0" xfId="0" applyFill="1"/>
    <xf numFmtId="166" fontId="0" fillId="2" borderId="0" xfId="1" applyNumberFormat="1" applyFont="1" applyFill="1"/>
    <xf numFmtId="168" fontId="14" fillId="0" borderId="0" xfId="0" applyNumberFormat="1" applyFont="1" applyFill="1" applyAlignment="1">
      <alignment horizontal="right" vertical="top" shrinkToFit="1"/>
    </xf>
    <xf numFmtId="0" fontId="0" fillId="0" borderId="0" xfId="0" applyFill="1"/>
    <xf numFmtId="44" fontId="13" fillId="0" borderId="0" xfId="2" applyFont="1"/>
    <xf numFmtId="44" fontId="13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DC0-2322-46E9-B282-69933C0E16B4}">
  <dimension ref="A1:I84"/>
  <sheetViews>
    <sheetView workbookViewId="0">
      <selection activeCell="G15" sqref="G15"/>
    </sheetView>
  </sheetViews>
  <sheetFormatPr defaultRowHeight="14.5"/>
  <cols>
    <col min="3" max="3" width="21.1796875" customWidth="1"/>
    <col min="4" max="4" width="15.1796875" bestFit="1" customWidth="1"/>
    <col min="5" max="5" width="16.453125" customWidth="1"/>
    <col min="6" max="6" width="11.1796875" bestFit="1" customWidth="1"/>
    <col min="7" max="7" width="13.7265625" bestFit="1" customWidth="1"/>
    <col min="8" max="8" width="9.54296875" style="50" bestFit="1" customWidth="1"/>
    <col min="9" max="9" width="9.36328125" bestFit="1" customWidth="1"/>
  </cols>
  <sheetData>
    <row r="1" spans="1:9" ht="15.5">
      <c r="A1" s="56" t="s">
        <v>0</v>
      </c>
      <c r="B1" s="56"/>
      <c r="C1" s="56"/>
      <c r="D1" s="1"/>
      <c r="E1" s="1"/>
      <c r="F1" s="1"/>
      <c r="G1" s="1"/>
    </row>
    <row r="2" spans="1:9" ht="15.5">
      <c r="A2" s="56" t="s">
        <v>1</v>
      </c>
      <c r="B2" s="56"/>
      <c r="C2" s="56"/>
      <c r="D2" s="1"/>
      <c r="E2" s="1"/>
      <c r="F2" s="1"/>
      <c r="G2" s="1"/>
    </row>
    <row r="3" spans="1:9">
      <c r="A3" s="57" t="s">
        <v>2</v>
      </c>
      <c r="B3" s="57"/>
      <c r="C3" s="57"/>
      <c r="D3" s="1"/>
      <c r="E3" s="1"/>
      <c r="F3" s="1"/>
      <c r="G3" s="1"/>
    </row>
    <row r="4" spans="1:9">
      <c r="A4" s="57" t="s">
        <v>3</v>
      </c>
      <c r="B4" s="57"/>
      <c r="C4" s="57"/>
      <c r="D4" s="1"/>
      <c r="E4" s="1"/>
      <c r="F4" s="1"/>
      <c r="G4" s="1"/>
    </row>
    <row r="5" spans="1:9">
      <c r="A5" s="2" t="s">
        <v>4</v>
      </c>
      <c r="B5" s="58" t="s">
        <v>5</v>
      </c>
      <c r="C5" s="58"/>
      <c r="D5" s="3" t="s">
        <v>6</v>
      </c>
      <c r="E5" s="2" t="s">
        <v>7</v>
      </c>
      <c r="F5" s="4" t="s">
        <v>8</v>
      </c>
      <c r="G5" s="4" t="s">
        <v>9</v>
      </c>
    </row>
    <row r="6" spans="1:9">
      <c r="A6" s="5">
        <v>43920</v>
      </c>
      <c r="B6" s="6" t="s">
        <v>10</v>
      </c>
      <c r="C6" s="7" t="s">
        <v>11</v>
      </c>
      <c r="D6" s="8" t="s">
        <v>12</v>
      </c>
      <c r="E6" s="9" t="s">
        <v>13</v>
      </c>
      <c r="F6" s="10">
        <v>500000</v>
      </c>
      <c r="G6" s="11">
        <f>+F6</f>
        <v>500000</v>
      </c>
      <c r="H6" s="51">
        <f>+F6+F7</f>
        <v>560000</v>
      </c>
    </row>
    <row r="7" spans="1:9">
      <c r="A7" s="5">
        <v>44285</v>
      </c>
      <c r="B7" s="6" t="s">
        <v>10</v>
      </c>
      <c r="C7" s="7" t="s">
        <v>14</v>
      </c>
      <c r="D7" s="8" t="s">
        <v>15</v>
      </c>
      <c r="E7" s="9" t="s">
        <v>16</v>
      </c>
      <c r="F7" s="10">
        <v>60000</v>
      </c>
      <c r="G7" s="11">
        <f t="shared" ref="G7:G12" si="0">+G6+F7</f>
        <v>560000</v>
      </c>
      <c r="H7" s="50">
        <f>+H6*12%</f>
        <v>67200</v>
      </c>
      <c r="I7" s="62"/>
    </row>
    <row r="8" spans="1:9">
      <c r="A8" s="5">
        <v>44650</v>
      </c>
      <c r="B8" s="6" t="s">
        <v>10</v>
      </c>
      <c r="C8" s="7" t="s">
        <v>14</v>
      </c>
      <c r="D8" s="8" t="s">
        <v>15</v>
      </c>
      <c r="E8" s="9" t="s">
        <v>16</v>
      </c>
      <c r="F8" s="10">
        <v>67200</v>
      </c>
      <c r="G8" s="11">
        <f t="shared" si="0"/>
        <v>627200</v>
      </c>
      <c r="H8" s="51">
        <f>+H7+H6</f>
        <v>627200</v>
      </c>
    </row>
    <row r="9" spans="1:9">
      <c r="A9" s="5">
        <v>45015</v>
      </c>
      <c r="B9" s="6"/>
      <c r="C9" s="7" t="s">
        <v>14</v>
      </c>
      <c r="D9" s="8" t="s">
        <v>15</v>
      </c>
      <c r="E9" s="9"/>
      <c r="F9" s="10">
        <v>75264</v>
      </c>
      <c r="G9" s="11">
        <f t="shared" si="0"/>
        <v>702464</v>
      </c>
      <c r="H9" s="50">
        <f>+H8*12%</f>
        <v>75264</v>
      </c>
    </row>
    <row r="10" spans="1:9">
      <c r="A10" s="5">
        <v>45381</v>
      </c>
      <c r="B10" s="6"/>
      <c r="C10" s="7" t="s">
        <v>14</v>
      </c>
      <c r="D10" s="8" t="s">
        <v>15</v>
      </c>
      <c r="E10" s="9"/>
      <c r="F10" s="10">
        <f>+H10*12%</f>
        <v>84295.679999999993</v>
      </c>
      <c r="G10" s="11">
        <f t="shared" si="0"/>
        <v>786759.67999999993</v>
      </c>
      <c r="H10" s="51">
        <f>+H9+H8</f>
        <v>702464</v>
      </c>
    </row>
    <row r="11" spans="1:9">
      <c r="A11" s="5">
        <v>45746</v>
      </c>
      <c r="B11" s="6"/>
      <c r="C11" s="7" t="s">
        <v>14</v>
      </c>
      <c r="D11" s="8" t="s">
        <v>15</v>
      </c>
      <c r="E11" s="9"/>
      <c r="F11" s="10">
        <f>+H11*12%</f>
        <v>94411.161599999992</v>
      </c>
      <c r="G11" s="11">
        <f t="shared" si="0"/>
        <v>881170.84159999993</v>
      </c>
      <c r="H11" s="51">
        <f>+H10+F10</f>
        <v>786759.67999999993</v>
      </c>
    </row>
    <row r="12" spans="1:9">
      <c r="A12" s="5">
        <v>46022</v>
      </c>
      <c r="B12" s="6"/>
      <c r="C12" s="7" t="s">
        <v>14</v>
      </c>
      <c r="D12" s="8" t="s">
        <v>15</v>
      </c>
      <c r="E12" s="9"/>
      <c r="F12" s="10">
        <v>70808</v>
      </c>
      <c r="G12" s="11">
        <f t="shared" si="0"/>
        <v>951978.84159999993</v>
      </c>
      <c r="H12" s="50">
        <f>+H11*9%</f>
        <v>70808.371199999994</v>
      </c>
    </row>
    <row r="13" spans="1:9">
      <c r="A13" s="59">
        <f>SUM(F6:F12)</f>
        <v>951978.84159999993</v>
      </c>
      <c r="B13" s="59"/>
      <c r="C13" s="59"/>
      <c r="D13" s="59"/>
      <c r="E13" s="59"/>
      <c r="F13" s="59"/>
      <c r="G13" s="12"/>
    </row>
    <row r="14" spans="1:9">
      <c r="A14" s="13" t="s">
        <v>18</v>
      </c>
      <c r="B14" s="6" t="s">
        <v>19</v>
      </c>
      <c r="C14" s="14" t="s">
        <v>20</v>
      </c>
      <c r="D14" s="55"/>
      <c r="E14" s="55"/>
      <c r="F14" s="55"/>
      <c r="G14" s="49">
        <f>A13-G13</f>
        <v>951978.84159999993</v>
      </c>
    </row>
    <row r="15" spans="1:9">
      <c r="A15" s="54">
        <f>G14</f>
        <v>951978.84159999993</v>
      </c>
      <c r="B15" s="54"/>
      <c r="C15" s="54"/>
      <c r="D15" s="54"/>
      <c r="E15" s="54"/>
      <c r="F15" s="54"/>
      <c r="G15" s="15">
        <f>G14</f>
        <v>951978.84159999993</v>
      </c>
    </row>
    <row r="67" spans="1:8">
      <c r="H67" s="50">
        <f>'RAHUL TO DHARMESHBHAI'!G46*9%</f>
        <v>178391.25</v>
      </c>
    </row>
    <row r="68" spans="1:8">
      <c r="A68" s="13"/>
      <c r="B68" s="6"/>
      <c r="C68" s="14"/>
      <c r="D68" s="29"/>
      <c r="E68" s="29"/>
      <c r="F68" s="29"/>
      <c r="G68" s="30"/>
    </row>
    <row r="69" spans="1:8">
      <c r="A69" s="54">
        <f>G69</f>
        <v>6209925</v>
      </c>
      <c r="B69" s="54"/>
      <c r="C69" s="54"/>
      <c r="D69" s="54"/>
      <c r="E69" s="54"/>
      <c r="F69" s="54"/>
      <c r="G69" s="15">
        <f>'RAHUL TO DHARMESHBHAI'!G46+'RAHUL TO DHARMESHBHAI'!G45</f>
        <v>6209925</v>
      </c>
    </row>
    <row r="71" spans="1:8">
      <c r="G71" s="31"/>
    </row>
    <row r="75" spans="1:8" s="32" customFormat="1">
      <c r="C75" s="33"/>
      <c r="D75" s="33" t="s">
        <v>63</v>
      </c>
      <c r="E75" s="33" t="s">
        <v>64</v>
      </c>
      <c r="F75" s="33"/>
      <c r="G75" s="33" t="s">
        <v>65</v>
      </c>
      <c r="H75" s="52"/>
    </row>
    <row r="76" spans="1:8">
      <c r="C76" s="34" t="s">
        <v>66</v>
      </c>
      <c r="D76" s="35">
        <f>'RAHUL TO DHARMESHBHAI'!G46</f>
        <v>1982125</v>
      </c>
      <c r="E76" s="35"/>
      <c r="F76" s="35"/>
      <c r="G76" s="36">
        <f>SUM(D76:F76)</f>
        <v>1982125</v>
      </c>
    </row>
    <row r="77" spans="1:8">
      <c r="C77" s="34" t="s">
        <v>67</v>
      </c>
      <c r="D77" s="34"/>
      <c r="E77" s="35">
        <f>G14</f>
        <v>951978.84159999993</v>
      </c>
      <c r="F77" s="35"/>
      <c r="G77" s="36">
        <f>SUM(E77:F77)</f>
        <v>951978.84159999993</v>
      </c>
    </row>
    <row r="78" spans="1:8" s="21" customFormat="1">
      <c r="C78" s="37" t="s">
        <v>68</v>
      </c>
      <c r="D78" s="38">
        <f t="shared" ref="D78:F78" si="1">SUM(D76:D77)</f>
        <v>1982125</v>
      </c>
      <c r="E78" s="38">
        <f t="shared" si="1"/>
        <v>951978.84159999993</v>
      </c>
      <c r="F78" s="38">
        <f t="shared" si="1"/>
        <v>0</v>
      </c>
      <c r="G78" s="38">
        <f>SUM(G76:G77)</f>
        <v>2934103.8415999999</v>
      </c>
      <c r="H78" s="53"/>
    </row>
    <row r="80" spans="1:8">
      <c r="C80" s="34" t="s">
        <v>69</v>
      </c>
      <c r="D80" s="34"/>
      <c r="E80" s="34"/>
      <c r="F80" s="34"/>
      <c r="G80" s="35">
        <v>3000000</v>
      </c>
    </row>
    <row r="81" spans="3:7">
      <c r="C81" s="34" t="s">
        <v>70</v>
      </c>
      <c r="D81" s="34"/>
      <c r="E81" s="34"/>
      <c r="F81" s="34"/>
      <c r="G81" s="35">
        <v>572300</v>
      </c>
    </row>
    <row r="82" spans="3:7">
      <c r="C82" s="34" t="s">
        <v>71</v>
      </c>
      <c r="D82" s="34"/>
      <c r="E82" s="34"/>
      <c r="F82" s="34"/>
      <c r="G82" s="35">
        <v>800000</v>
      </c>
    </row>
    <row r="83" spans="3:7">
      <c r="C83" s="34" t="s">
        <v>72</v>
      </c>
      <c r="D83" s="34"/>
      <c r="E83" s="34"/>
      <c r="F83" s="34"/>
      <c r="G83" s="35">
        <f>G78-G80-G81-G82</f>
        <v>-1438196.1584000001</v>
      </c>
    </row>
    <row r="84" spans="3:7">
      <c r="G84" s="39">
        <f>SUM(G80:G83)</f>
        <v>2934103.8415999999</v>
      </c>
    </row>
  </sheetData>
  <mergeCells count="9">
    <mergeCell ref="A69:F69"/>
    <mergeCell ref="D14:F14"/>
    <mergeCell ref="A15:F15"/>
    <mergeCell ref="A1:C1"/>
    <mergeCell ref="A2:C2"/>
    <mergeCell ref="A3:C3"/>
    <mergeCell ref="A4:C4"/>
    <mergeCell ref="B5:C5"/>
    <mergeCell ref="A13:F1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F285-6811-4E93-99F2-C794BB0E2F5D}">
  <dimension ref="A1:G5"/>
  <sheetViews>
    <sheetView workbookViewId="0">
      <selection activeCell="F5" sqref="F5"/>
    </sheetView>
  </sheetViews>
  <sheetFormatPr defaultRowHeight="14.5"/>
  <cols>
    <col min="1" max="1" width="25.7265625" bestFit="1" customWidth="1"/>
    <col min="3" max="3" width="10.453125" bestFit="1" customWidth="1"/>
    <col min="4" max="4" width="22.1796875" bestFit="1" customWidth="1"/>
  </cols>
  <sheetData>
    <row r="1" spans="1:7">
      <c r="A1" s="16" t="s">
        <v>21</v>
      </c>
      <c r="B1" s="17"/>
      <c r="C1" s="41">
        <v>44962</v>
      </c>
      <c r="D1" s="17" t="s">
        <v>75</v>
      </c>
      <c r="E1" s="17"/>
      <c r="F1" s="18">
        <v>500000</v>
      </c>
      <c r="G1" s="19"/>
    </row>
    <row r="2" spans="1:7">
      <c r="A2" s="20" t="s">
        <v>77</v>
      </c>
      <c r="B2" s="21"/>
      <c r="C2" s="21" t="s">
        <v>73</v>
      </c>
      <c r="D2" s="21" t="s">
        <v>74</v>
      </c>
      <c r="E2" s="21"/>
      <c r="F2" s="22">
        <v>90000</v>
      </c>
      <c r="G2" s="23"/>
    </row>
    <row r="3" spans="1:7">
      <c r="A3" s="24"/>
      <c r="B3" s="25"/>
      <c r="C3" s="25"/>
      <c r="D3" s="25"/>
      <c r="E3" s="25"/>
      <c r="F3" s="47">
        <f>F1+F2</f>
        <v>590000</v>
      </c>
      <c r="G3" s="26"/>
    </row>
    <row r="4" spans="1:7">
      <c r="C4" s="42">
        <v>45613</v>
      </c>
      <c r="D4" t="s">
        <v>76</v>
      </c>
      <c r="E4" t="s">
        <v>22</v>
      </c>
      <c r="F4" s="27">
        <v>500000</v>
      </c>
    </row>
    <row r="5" spans="1:7">
      <c r="E5" t="s">
        <v>23</v>
      </c>
      <c r="F5" s="48">
        <f>F3-F4</f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FE85-68D1-40A4-86EC-09E423BB4723}">
  <dimension ref="A1:O58"/>
  <sheetViews>
    <sheetView tabSelected="1" topLeftCell="E46" zoomScale="80" zoomScaleNormal="80" workbookViewId="0">
      <selection activeCell="H60" sqref="H60"/>
    </sheetView>
  </sheetViews>
  <sheetFormatPr defaultRowHeight="14.5"/>
  <cols>
    <col min="1" max="1" width="8.6328125" bestFit="1" customWidth="1"/>
    <col min="2" max="2" width="3.08984375" bestFit="1" customWidth="1"/>
    <col min="3" max="3" width="26.54296875" bestFit="1" customWidth="1"/>
    <col min="4" max="4" width="7.90625" customWidth="1"/>
    <col min="5" max="5" width="6.54296875" bestFit="1" customWidth="1"/>
    <col min="6" max="6" width="40.08984375" bestFit="1" customWidth="1"/>
    <col min="7" max="8" width="14.1796875" style="76" bestFit="1" customWidth="1"/>
    <col min="9" max="9" width="9.6328125" bestFit="1" customWidth="1"/>
    <col min="10" max="10" width="14.1796875" style="77" bestFit="1" customWidth="1"/>
    <col min="11" max="11" width="13.08984375" style="77" bestFit="1" customWidth="1"/>
    <col min="12" max="12" width="3.90625" style="77" customWidth="1"/>
    <col min="13" max="13" width="8.81640625" bestFit="1" customWidth="1"/>
    <col min="14" max="14" width="43.26953125" bestFit="1" customWidth="1"/>
    <col min="15" max="15" width="23.1796875" bestFit="1" customWidth="1"/>
  </cols>
  <sheetData>
    <row r="1" spans="1:15" ht="15.5">
      <c r="A1" s="56" t="s">
        <v>24</v>
      </c>
      <c r="B1" s="56"/>
      <c r="C1" s="56"/>
      <c r="D1" s="1"/>
      <c r="E1" s="1"/>
      <c r="F1" s="1"/>
      <c r="G1" s="69"/>
      <c r="H1" s="69"/>
      <c r="I1" s="1"/>
    </row>
    <row r="2" spans="1:15">
      <c r="A2" s="57" t="s">
        <v>25</v>
      </c>
      <c r="B2" s="57"/>
      <c r="C2" s="57"/>
      <c r="D2" s="1"/>
      <c r="E2" s="1"/>
      <c r="F2" s="1"/>
      <c r="G2" s="69"/>
      <c r="H2" s="69"/>
      <c r="I2" s="1"/>
    </row>
    <row r="3" spans="1:15">
      <c r="A3" s="57" t="s">
        <v>26</v>
      </c>
      <c r="B3" s="57"/>
      <c r="C3" s="57"/>
      <c r="D3" s="1"/>
      <c r="E3" s="1"/>
      <c r="F3" s="1"/>
      <c r="G3" s="69"/>
      <c r="H3" s="69"/>
      <c r="I3" s="1"/>
    </row>
    <row r="4" spans="1:15">
      <c r="A4" s="60" t="s">
        <v>27</v>
      </c>
      <c r="B4" s="60"/>
      <c r="C4" s="60"/>
      <c r="D4" s="1"/>
      <c r="E4" s="1"/>
      <c r="F4" s="1"/>
      <c r="G4" s="69"/>
      <c r="H4" s="69"/>
      <c r="I4" s="1"/>
    </row>
    <row r="5" spans="1:15" ht="15.5">
      <c r="A5" s="61" t="s">
        <v>28</v>
      </c>
      <c r="B5" s="61"/>
      <c r="C5" s="61"/>
      <c r="D5" s="1"/>
      <c r="E5" s="1"/>
      <c r="F5" s="1"/>
      <c r="G5" s="69"/>
      <c r="H5" s="69"/>
      <c r="I5" s="1"/>
    </row>
    <row r="6" spans="1:15">
      <c r="A6" s="57" t="s">
        <v>2</v>
      </c>
      <c r="B6" s="57"/>
      <c r="C6" s="57"/>
      <c r="D6" s="1"/>
      <c r="E6" s="1"/>
      <c r="F6" s="1"/>
      <c r="G6" s="69"/>
      <c r="H6" s="69"/>
      <c r="I6" s="1"/>
    </row>
    <row r="7" spans="1:15">
      <c r="A7" s="57" t="s">
        <v>29</v>
      </c>
      <c r="B7" s="57"/>
      <c r="C7" s="57"/>
      <c r="D7" s="1"/>
      <c r="E7" s="1"/>
      <c r="F7" s="1"/>
      <c r="G7" s="69"/>
      <c r="H7" s="69"/>
      <c r="I7" s="1"/>
    </row>
    <row r="8" spans="1:15">
      <c r="A8" s="2" t="s">
        <v>4</v>
      </c>
      <c r="B8" s="58" t="s">
        <v>5</v>
      </c>
      <c r="C8" s="58"/>
      <c r="D8" s="3" t="s">
        <v>6</v>
      </c>
      <c r="E8" s="2" t="s">
        <v>7</v>
      </c>
      <c r="F8" s="4" t="s">
        <v>8</v>
      </c>
      <c r="G8" s="70" t="s">
        <v>9</v>
      </c>
      <c r="H8" s="71"/>
      <c r="I8" s="66"/>
    </row>
    <row r="9" spans="1:15">
      <c r="A9" s="5">
        <v>43585</v>
      </c>
      <c r="B9" s="6" t="s">
        <v>10</v>
      </c>
      <c r="C9" s="7" t="s">
        <v>30</v>
      </c>
      <c r="D9" s="8" t="s">
        <v>12</v>
      </c>
      <c r="E9" s="9" t="s">
        <v>31</v>
      </c>
      <c r="F9" s="10">
        <v>1000000</v>
      </c>
      <c r="G9" s="72"/>
      <c r="H9" s="72"/>
      <c r="I9" s="11"/>
      <c r="M9" s="63" t="s">
        <v>79</v>
      </c>
      <c r="N9" t="s">
        <v>80</v>
      </c>
      <c r="O9" t="s">
        <v>81</v>
      </c>
    </row>
    <row r="10" spans="1:15">
      <c r="A10" s="5">
        <v>43832</v>
      </c>
      <c r="B10" s="6" t="s">
        <v>10</v>
      </c>
      <c r="C10" s="7" t="s">
        <v>30</v>
      </c>
      <c r="D10" s="8" t="s">
        <v>12</v>
      </c>
      <c r="E10" s="9" t="s">
        <v>32</v>
      </c>
      <c r="F10" s="10">
        <v>1500000</v>
      </c>
      <c r="G10" s="72"/>
      <c r="H10" s="72"/>
      <c r="I10" s="11"/>
      <c r="M10" s="63">
        <v>43892</v>
      </c>
      <c r="N10" t="s">
        <v>82</v>
      </c>
      <c r="O10" s="79">
        <v>77800</v>
      </c>
    </row>
    <row r="11" spans="1:15">
      <c r="A11" s="5">
        <v>43833</v>
      </c>
      <c r="B11" s="6" t="s">
        <v>10</v>
      </c>
      <c r="C11" s="7" t="s">
        <v>30</v>
      </c>
      <c r="D11" s="8" t="s">
        <v>12</v>
      </c>
      <c r="E11" s="9" t="s">
        <v>33</v>
      </c>
      <c r="F11" s="10">
        <v>500000</v>
      </c>
      <c r="G11" s="72"/>
      <c r="H11" s="72"/>
      <c r="I11" s="11"/>
      <c r="M11" s="63">
        <v>44076</v>
      </c>
      <c r="N11" t="s">
        <v>83</v>
      </c>
      <c r="O11" s="79">
        <v>100000</v>
      </c>
    </row>
    <row r="12" spans="1:15">
      <c r="A12" s="5">
        <v>43843</v>
      </c>
      <c r="B12" s="6" t="s">
        <v>10</v>
      </c>
      <c r="C12" s="7" t="s">
        <v>30</v>
      </c>
      <c r="D12" s="8" t="s">
        <v>12</v>
      </c>
      <c r="E12" s="9" t="s">
        <v>34</v>
      </c>
      <c r="F12" s="10">
        <v>400000</v>
      </c>
      <c r="G12" s="72"/>
      <c r="H12" s="72"/>
      <c r="I12" s="11"/>
      <c r="M12" s="63">
        <v>44109</v>
      </c>
      <c r="N12" t="s">
        <v>84</v>
      </c>
      <c r="O12" s="79">
        <v>100000</v>
      </c>
    </row>
    <row r="13" spans="1:15">
      <c r="A13" s="5">
        <v>43844</v>
      </c>
      <c r="B13" s="6" t="s">
        <v>10</v>
      </c>
      <c r="C13" s="7" t="s">
        <v>35</v>
      </c>
      <c r="D13" s="8" t="s">
        <v>12</v>
      </c>
      <c r="E13" s="9" t="s">
        <v>36</v>
      </c>
      <c r="F13" s="10">
        <v>500000</v>
      </c>
      <c r="G13" s="72"/>
      <c r="H13" s="72"/>
      <c r="I13" s="11"/>
      <c r="M13" s="64">
        <v>44110</v>
      </c>
      <c r="N13" s="65" t="s">
        <v>85</v>
      </c>
      <c r="O13" s="65">
        <v>22470</v>
      </c>
    </row>
    <row r="14" spans="1:15">
      <c r="A14" s="5">
        <v>43847</v>
      </c>
      <c r="B14" s="6" t="s">
        <v>10</v>
      </c>
      <c r="C14" s="7" t="s">
        <v>30</v>
      </c>
      <c r="D14" s="8" t="s">
        <v>12</v>
      </c>
      <c r="E14" s="9" t="s">
        <v>37</v>
      </c>
      <c r="F14" s="10">
        <v>100000</v>
      </c>
      <c r="G14" s="72"/>
      <c r="H14" s="72">
        <f>SUM(F9:F14)</f>
        <v>4000000</v>
      </c>
      <c r="I14" s="11"/>
      <c r="M14" s="63">
        <v>44134</v>
      </c>
      <c r="N14" t="s">
        <v>86</v>
      </c>
      <c r="O14" s="79">
        <v>100000</v>
      </c>
    </row>
    <row r="15" spans="1:15">
      <c r="A15" s="5">
        <v>43892</v>
      </c>
      <c r="B15" s="6" t="s">
        <v>19</v>
      </c>
      <c r="C15" s="7" t="s">
        <v>30</v>
      </c>
      <c r="D15" s="8" t="s">
        <v>17</v>
      </c>
      <c r="E15" s="9" t="s">
        <v>38</v>
      </c>
      <c r="F15" s="11"/>
      <c r="G15" s="75">
        <v>77800</v>
      </c>
      <c r="H15" s="72">
        <f>SUM(F9:F14)-G15</f>
        <v>3922200</v>
      </c>
      <c r="I15" s="68"/>
      <c r="M15" s="64">
        <v>44169</v>
      </c>
      <c r="N15" s="65" t="s">
        <v>87</v>
      </c>
      <c r="O15" s="65">
        <v>59800</v>
      </c>
    </row>
    <row r="16" spans="1:15">
      <c r="A16" s="5">
        <v>43921</v>
      </c>
      <c r="B16" s="6" t="s">
        <v>10</v>
      </c>
      <c r="C16" s="7" t="s">
        <v>39</v>
      </c>
      <c r="D16" s="8" t="s">
        <v>15</v>
      </c>
      <c r="E16" s="9" t="s">
        <v>40</v>
      </c>
      <c r="F16" s="10">
        <v>194717</v>
      </c>
      <c r="G16" s="72"/>
      <c r="H16" s="72">
        <f>H15+F16</f>
        <v>4116917</v>
      </c>
      <c r="I16" s="11"/>
      <c r="M16" s="63">
        <v>44198</v>
      </c>
      <c r="N16" t="s">
        <v>88</v>
      </c>
      <c r="O16" s="79">
        <v>100000</v>
      </c>
    </row>
    <row r="17" spans="1:15">
      <c r="A17" s="5">
        <v>44076</v>
      </c>
      <c r="B17" s="6" t="s">
        <v>19</v>
      </c>
      <c r="C17" s="7" t="s">
        <v>30</v>
      </c>
      <c r="D17" s="8" t="s">
        <v>17</v>
      </c>
      <c r="E17" s="9" t="s">
        <v>41</v>
      </c>
      <c r="F17" s="11"/>
      <c r="G17" s="75">
        <v>100000</v>
      </c>
      <c r="H17" s="72"/>
      <c r="I17" s="10"/>
      <c r="M17" s="63">
        <v>44231</v>
      </c>
      <c r="N17" t="s">
        <v>89</v>
      </c>
      <c r="O17" s="79">
        <v>100000</v>
      </c>
    </row>
    <row r="18" spans="1:15">
      <c r="A18" s="5">
        <v>44109</v>
      </c>
      <c r="B18" s="6" t="s">
        <v>19</v>
      </c>
      <c r="C18" s="7" t="s">
        <v>30</v>
      </c>
      <c r="D18" s="8" t="s">
        <v>17</v>
      </c>
      <c r="E18" s="9" t="s">
        <v>42</v>
      </c>
      <c r="F18" s="11"/>
      <c r="G18" s="75">
        <v>100000</v>
      </c>
      <c r="H18" s="72"/>
      <c r="I18" s="10"/>
      <c r="M18" s="81">
        <v>44258</v>
      </c>
      <c r="N18" s="82" t="s">
        <v>90</v>
      </c>
      <c r="O18" s="80">
        <v>100000</v>
      </c>
    </row>
    <row r="19" spans="1:15">
      <c r="A19" s="5">
        <v>44134</v>
      </c>
      <c r="B19" s="6" t="s">
        <v>19</v>
      </c>
      <c r="C19" s="7" t="s">
        <v>30</v>
      </c>
      <c r="D19" s="8" t="s">
        <v>17</v>
      </c>
      <c r="E19" s="9" t="s">
        <v>43</v>
      </c>
      <c r="F19" s="11"/>
      <c r="G19" s="75">
        <v>100000</v>
      </c>
      <c r="H19" s="72"/>
      <c r="I19" s="10"/>
      <c r="M19" s="63">
        <v>44474</v>
      </c>
      <c r="N19" t="s">
        <v>91</v>
      </c>
      <c r="O19" s="79">
        <v>100000</v>
      </c>
    </row>
    <row r="20" spans="1:15">
      <c r="A20" s="5">
        <v>44198</v>
      </c>
      <c r="B20" s="6" t="s">
        <v>19</v>
      </c>
      <c r="C20" s="7" t="s">
        <v>30</v>
      </c>
      <c r="D20" s="8" t="s">
        <v>17</v>
      </c>
      <c r="E20" s="9" t="s">
        <v>44</v>
      </c>
      <c r="F20" s="11"/>
      <c r="G20" s="75">
        <v>100000</v>
      </c>
      <c r="H20" s="72"/>
      <c r="I20" s="10"/>
      <c r="M20" s="63">
        <v>44507</v>
      </c>
      <c r="N20" t="s">
        <v>92</v>
      </c>
      <c r="O20" s="79">
        <v>100000</v>
      </c>
    </row>
    <row r="21" spans="1:15">
      <c r="A21" s="5">
        <v>44231</v>
      </c>
      <c r="B21" s="6" t="s">
        <v>19</v>
      </c>
      <c r="C21" s="7" t="s">
        <v>30</v>
      </c>
      <c r="D21" s="8" t="s">
        <v>17</v>
      </c>
      <c r="E21" s="9" t="s">
        <v>45</v>
      </c>
      <c r="F21" s="11"/>
      <c r="G21" s="75">
        <v>100000</v>
      </c>
      <c r="H21" s="72"/>
      <c r="I21" s="10"/>
      <c r="M21" s="63">
        <v>44747</v>
      </c>
      <c r="N21" t="s">
        <v>93</v>
      </c>
      <c r="O21" s="79">
        <v>50000</v>
      </c>
    </row>
    <row r="22" spans="1:15">
      <c r="A22" s="5">
        <v>44258</v>
      </c>
      <c r="B22" s="6" t="s">
        <v>19</v>
      </c>
      <c r="C22" s="7" t="s">
        <v>30</v>
      </c>
      <c r="D22" s="8" t="s">
        <v>17</v>
      </c>
      <c r="E22" s="9" t="s">
        <v>46</v>
      </c>
      <c r="F22" s="11"/>
      <c r="G22" s="75">
        <v>100000</v>
      </c>
      <c r="H22" s="72">
        <f>H16-(SUM(G17:G22))</f>
        <v>3516917</v>
      </c>
      <c r="I22" s="68">
        <f>F23/H22</f>
        <v>0.13377910254919295</v>
      </c>
      <c r="M22" s="63">
        <v>44750</v>
      </c>
      <c r="N22" t="s">
        <v>94</v>
      </c>
      <c r="O22" s="79">
        <v>50000</v>
      </c>
    </row>
    <row r="23" spans="1:15">
      <c r="A23" s="5">
        <v>44286</v>
      </c>
      <c r="B23" s="6" t="s">
        <v>10</v>
      </c>
      <c r="C23" s="7" t="s">
        <v>39</v>
      </c>
      <c r="D23" s="8" t="s">
        <v>15</v>
      </c>
      <c r="E23" s="9" t="s">
        <v>47</v>
      </c>
      <c r="F23" s="10">
        <v>470490</v>
      </c>
      <c r="G23" s="72"/>
      <c r="H23" s="72">
        <f>H22+F23</f>
        <v>3987407</v>
      </c>
      <c r="I23" s="11"/>
      <c r="M23" s="81">
        <v>44779</v>
      </c>
      <c r="N23" s="82" t="s">
        <v>90</v>
      </c>
      <c r="O23" s="80">
        <v>50000</v>
      </c>
    </row>
    <row r="24" spans="1:15">
      <c r="A24" s="5">
        <v>44474</v>
      </c>
      <c r="B24" s="6" t="s">
        <v>19</v>
      </c>
      <c r="C24" s="7" t="s">
        <v>30</v>
      </c>
      <c r="D24" s="8" t="s">
        <v>17</v>
      </c>
      <c r="E24" s="9" t="s">
        <v>48</v>
      </c>
      <c r="F24" s="11"/>
      <c r="G24" s="75">
        <v>100000</v>
      </c>
      <c r="H24" s="72"/>
      <c r="I24" s="10"/>
      <c r="M24" s="63">
        <v>44781</v>
      </c>
      <c r="N24" t="s">
        <v>95</v>
      </c>
      <c r="O24" s="79">
        <v>50000</v>
      </c>
    </row>
    <row r="25" spans="1:15">
      <c r="A25" s="5">
        <v>44508</v>
      </c>
      <c r="B25" s="6" t="s">
        <v>19</v>
      </c>
      <c r="C25" s="7" t="s">
        <v>30</v>
      </c>
      <c r="D25" s="8" t="s">
        <v>17</v>
      </c>
      <c r="E25" s="9" t="s">
        <v>49</v>
      </c>
      <c r="F25" t="s">
        <v>100</v>
      </c>
      <c r="G25" s="75">
        <v>100000</v>
      </c>
      <c r="H25" s="72">
        <f>H23-(SUM(G24:G25))</f>
        <v>3787407</v>
      </c>
      <c r="I25" s="68">
        <f>F26/H25</f>
        <v>0.1235417793757048</v>
      </c>
      <c r="M25" s="63">
        <v>44849</v>
      </c>
      <c r="N25" t="s">
        <v>96</v>
      </c>
      <c r="O25" s="79">
        <v>100000</v>
      </c>
    </row>
    <row r="26" spans="1:15">
      <c r="A26" s="5">
        <v>44651</v>
      </c>
      <c r="B26" s="6" t="s">
        <v>10</v>
      </c>
      <c r="C26" s="7" t="s">
        <v>39</v>
      </c>
      <c r="D26" s="8" t="s">
        <v>15</v>
      </c>
      <c r="E26" s="9" t="s">
        <v>47</v>
      </c>
      <c r="F26" s="10">
        <v>467903</v>
      </c>
      <c r="G26" s="72"/>
      <c r="H26" s="72">
        <f>H25+F26</f>
        <v>4255310</v>
      </c>
      <c r="I26" s="11"/>
      <c r="M26" s="63">
        <v>44875</v>
      </c>
      <c r="N26" t="s">
        <v>97</v>
      </c>
      <c r="O26" s="79">
        <v>50000</v>
      </c>
    </row>
    <row r="27" spans="1:15">
      <c r="A27" s="5">
        <v>44747</v>
      </c>
      <c r="B27" s="6" t="s">
        <v>50</v>
      </c>
      <c r="C27" s="7" t="s">
        <v>30</v>
      </c>
      <c r="D27" s="8" t="s">
        <v>17</v>
      </c>
      <c r="E27" s="9" t="s">
        <v>49</v>
      </c>
      <c r="F27" s="11"/>
      <c r="G27" s="75">
        <v>50000</v>
      </c>
      <c r="H27" s="72"/>
      <c r="I27" s="10"/>
      <c r="M27" s="63">
        <v>44905</v>
      </c>
      <c r="N27" t="s">
        <v>98</v>
      </c>
      <c r="O27" s="79">
        <v>50000</v>
      </c>
    </row>
    <row r="28" spans="1:15">
      <c r="A28" s="5">
        <v>44750</v>
      </c>
      <c r="B28" s="6" t="s">
        <v>50</v>
      </c>
      <c r="C28" s="7" t="s">
        <v>30</v>
      </c>
      <c r="D28" s="8" t="s">
        <v>17</v>
      </c>
      <c r="E28" s="9" t="s">
        <v>51</v>
      </c>
      <c r="F28" s="11"/>
      <c r="G28" s="75">
        <v>50000</v>
      </c>
      <c r="H28" s="72"/>
      <c r="I28" s="10"/>
      <c r="M28" s="63">
        <v>44946</v>
      </c>
      <c r="N28" t="s">
        <v>99</v>
      </c>
      <c r="O28" s="79">
        <v>50000</v>
      </c>
    </row>
    <row r="29" spans="1:15">
      <c r="A29" s="5">
        <v>44779</v>
      </c>
      <c r="B29" s="6" t="s">
        <v>50</v>
      </c>
      <c r="C29" s="7" t="s">
        <v>30</v>
      </c>
      <c r="D29" s="8" t="s">
        <v>17</v>
      </c>
      <c r="E29" s="9" t="s">
        <v>52</v>
      </c>
      <c r="F29" s="11"/>
      <c r="G29" s="75">
        <v>50000</v>
      </c>
      <c r="H29" s="72"/>
      <c r="I29" s="10"/>
      <c r="M29" s="63">
        <v>44974</v>
      </c>
      <c r="O29" s="79">
        <v>1000000</v>
      </c>
    </row>
    <row r="30" spans="1:15">
      <c r="A30" s="5">
        <v>44781</v>
      </c>
      <c r="B30" s="6" t="s">
        <v>50</v>
      </c>
      <c r="C30" s="7" t="s">
        <v>30</v>
      </c>
      <c r="D30" s="8" t="s">
        <v>17</v>
      </c>
      <c r="E30" s="9" t="s">
        <v>41</v>
      </c>
      <c r="F30" s="11"/>
      <c r="G30" s="75">
        <v>50000</v>
      </c>
      <c r="H30" s="72"/>
      <c r="I30" s="10"/>
      <c r="M30" s="63">
        <v>44978</v>
      </c>
      <c r="N30" t="s">
        <v>101</v>
      </c>
      <c r="O30" s="79">
        <v>700000</v>
      </c>
    </row>
    <row r="31" spans="1:15">
      <c r="A31" s="5">
        <v>44849</v>
      </c>
      <c r="B31" s="6" t="s">
        <v>50</v>
      </c>
      <c r="C31" s="7" t="s">
        <v>30</v>
      </c>
      <c r="D31" s="8" t="s">
        <v>17</v>
      </c>
      <c r="E31" s="9" t="s">
        <v>53</v>
      </c>
      <c r="F31" s="11"/>
      <c r="G31" s="75">
        <v>100000</v>
      </c>
      <c r="H31" s="72"/>
      <c r="I31" s="10"/>
      <c r="M31" s="63">
        <v>44979</v>
      </c>
      <c r="N31" t="s">
        <v>102</v>
      </c>
      <c r="O31" s="79">
        <v>1000000</v>
      </c>
    </row>
    <row r="32" spans="1:15">
      <c r="A32" s="5">
        <v>44875</v>
      </c>
      <c r="B32" s="6" t="s">
        <v>50</v>
      </c>
      <c r="C32" s="7" t="s">
        <v>30</v>
      </c>
      <c r="D32" s="8" t="s">
        <v>17</v>
      </c>
      <c r="E32" s="9" t="s">
        <v>54</v>
      </c>
      <c r="F32" s="11"/>
      <c r="G32" s="75">
        <v>50000</v>
      </c>
      <c r="H32" s="72"/>
      <c r="I32" s="10"/>
      <c r="M32" s="63">
        <v>44979</v>
      </c>
      <c r="N32" t="s">
        <v>103</v>
      </c>
      <c r="O32" s="79">
        <v>200000</v>
      </c>
    </row>
    <row r="33" spans="1:15">
      <c r="A33" s="5">
        <v>44905</v>
      </c>
      <c r="B33" s="6" t="s">
        <v>50</v>
      </c>
      <c r="C33" s="7" t="s">
        <v>30</v>
      </c>
      <c r="D33" s="8" t="s">
        <v>17</v>
      </c>
      <c r="E33" s="9" t="s">
        <v>55</v>
      </c>
      <c r="F33" s="11"/>
      <c r="G33" s="75">
        <v>50000</v>
      </c>
      <c r="H33" s="72"/>
      <c r="I33" s="10"/>
      <c r="M33" s="64">
        <v>45016</v>
      </c>
      <c r="N33" s="65" t="s">
        <v>104</v>
      </c>
      <c r="O33" s="65">
        <v>150000</v>
      </c>
    </row>
    <row r="34" spans="1:15">
      <c r="A34" s="5">
        <v>44946</v>
      </c>
      <c r="B34" s="6" t="s">
        <v>50</v>
      </c>
      <c r="C34" s="7" t="s">
        <v>30</v>
      </c>
      <c r="D34" s="8" t="s">
        <v>17</v>
      </c>
      <c r="E34" s="9" t="s">
        <v>56</v>
      </c>
      <c r="F34" s="11"/>
      <c r="G34" s="75">
        <v>50000</v>
      </c>
      <c r="H34" s="72"/>
      <c r="I34" s="10">
        <f>SUM(G27:G34)</f>
        <v>450000</v>
      </c>
      <c r="J34" s="77">
        <f>H26-I34</f>
        <v>3805310</v>
      </c>
      <c r="K34" s="77">
        <f>J34*9%</f>
        <v>342477.89999999997</v>
      </c>
    </row>
    <row r="35" spans="1:15">
      <c r="A35" s="5">
        <v>44974</v>
      </c>
      <c r="B35" s="6" t="s">
        <v>50</v>
      </c>
      <c r="C35" s="7" t="s">
        <v>30</v>
      </c>
      <c r="D35" s="8" t="s">
        <v>17</v>
      </c>
      <c r="E35" s="9" t="s">
        <v>57</v>
      </c>
      <c r="F35" s="11"/>
      <c r="G35" s="75">
        <v>1000000</v>
      </c>
      <c r="H35" s="72"/>
      <c r="I35" s="10"/>
      <c r="J35" s="77">
        <f>J34+K34</f>
        <v>4147787.9</v>
      </c>
    </row>
    <row r="36" spans="1:15">
      <c r="A36" s="5">
        <v>44978</v>
      </c>
      <c r="B36" s="6" t="s">
        <v>50</v>
      </c>
      <c r="C36" s="7" t="s">
        <v>30</v>
      </c>
      <c r="D36" s="8" t="s">
        <v>17</v>
      </c>
      <c r="E36" s="9" t="s">
        <v>58</v>
      </c>
      <c r="F36" s="11"/>
      <c r="G36" s="75">
        <v>700000</v>
      </c>
      <c r="H36" s="72"/>
      <c r="I36" s="10"/>
    </row>
    <row r="37" spans="1:15">
      <c r="A37" s="5">
        <v>44979</v>
      </c>
      <c r="B37" s="6" t="s">
        <v>50</v>
      </c>
      <c r="C37" s="7" t="s">
        <v>30</v>
      </c>
      <c r="D37" s="8" t="s">
        <v>17</v>
      </c>
      <c r="E37" s="9" t="s">
        <v>59</v>
      </c>
      <c r="F37" s="11"/>
      <c r="G37" s="75">
        <v>1000000</v>
      </c>
      <c r="H37" s="72"/>
      <c r="I37" s="10"/>
      <c r="J37" s="77">
        <f>J35-(SUM(G35:G38))</f>
        <v>1247787.8999999999</v>
      </c>
      <c r="K37" s="77">
        <f>J37*3%</f>
        <v>37433.636999999995</v>
      </c>
    </row>
    <row r="38" spans="1:15">
      <c r="A38" s="5">
        <v>44979</v>
      </c>
      <c r="B38" s="6" t="s">
        <v>50</v>
      </c>
      <c r="C38" s="7" t="s">
        <v>30</v>
      </c>
      <c r="D38" s="8" t="s">
        <v>17</v>
      </c>
      <c r="E38" s="9" t="s">
        <v>60</v>
      </c>
      <c r="F38" s="11"/>
      <c r="G38" s="75">
        <v>200000</v>
      </c>
      <c r="H38" s="72">
        <f>H26-(SUM(G27:G38))</f>
        <v>905310</v>
      </c>
      <c r="I38" s="68">
        <f>F39/H38</f>
        <v>0.49159735339276051</v>
      </c>
      <c r="J38" s="77">
        <f>J37+K37</f>
        <v>1285221.537</v>
      </c>
      <c r="M38" s="77"/>
      <c r="N38" s="77"/>
    </row>
    <row r="39" spans="1:15">
      <c r="A39" s="5">
        <v>45016</v>
      </c>
      <c r="B39" s="6" t="s">
        <v>61</v>
      </c>
      <c r="C39" s="7" t="s">
        <v>39</v>
      </c>
      <c r="D39" s="8" t="s">
        <v>15</v>
      </c>
      <c r="E39" s="9" t="s">
        <v>62</v>
      </c>
      <c r="F39" s="10">
        <v>445048</v>
      </c>
      <c r="G39" s="72"/>
      <c r="H39" s="72"/>
      <c r="I39" s="11"/>
      <c r="J39" s="77">
        <f>J38+K38</f>
        <v>1285221.537</v>
      </c>
      <c r="M39" s="77"/>
      <c r="N39" s="77"/>
      <c r="O39">
        <f>SUM(O10:O38)</f>
        <v>4460070</v>
      </c>
    </row>
    <row r="40" spans="1:15">
      <c r="A40" s="5">
        <v>45055</v>
      </c>
      <c r="B40" s="6" t="s">
        <v>50</v>
      </c>
      <c r="C40" s="7" t="s">
        <v>30</v>
      </c>
      <c r="D40" s="8" t="s">
        <v>12</v>
      </c>
      <c r="E40" s="9"/>
      <c r="F40" s="10">
        <v>50000</v>
      </c>
      <c r="G40" s="72"/>
      <c r="H40" s="72"/>
      <c r="I40" s="11"/>
      <c r="J40" s="77">
        <f>J39+F40</f>
        <v>1335221.537</v>
      </c>
    </row>
    <row r="41" spans="1:15">
      <c r="A41" s="5">
        <v>45055</v>
      </c>
      <c r="B41" s="6" t="s">
        <v>50</v>
      </c>
      <c r="C41" s="7" t="s">
        <v>30</v>
      </c>
      <c r="D41" s="8" t="s">
        <v>12</v>
      </c>
      <c r="E41" s="9"/>
      <c r="F41" s="10">
        <v>50000</v>
      </c>
      <c r="G41" s="72"/>
      <c r="H41" s="72"/>
      <c r="I41" s="11"/>
      <c r="J41" s="77">
        <f>J40+F41</f>
        <v>1385221.537</v>
      </c>
      <c r="K41" s="77">
        <f>J41*12%</f>
        <v>166226.58444000001</v>
      </c>
    </row>
    <row r="42" spans="1:15">
      <c r="A42" s="5">
        <v>45382</v>
      </c>
      <c r="B42" s="6" t="s">
        <v>61</v>
      </c>
      <c r="C42" s="7" t="s">
        <v>39</v>
      </c>
      <c r="D42" s="8" t="s">
        <v>15</v>
      </c>
      <c r="E42" s="9"/>
      <c r="F42" s="10">
        <v>173270</v>
      </c>
      <c r="G42" s="72"/>
      <c r="H42" s="72"/>
      <c r="I42" s="11"/>
      <c r="J42" s="77">
        <f>J41+K41</f>
        <v>1551448.1214399999</v>
      </c>
      <c r="K42" s="77">
        <f>J42*12%</f>
        <v>186173.77457279997</v>
      </c>
    </row>
    <row r="43" spans="1:15">
      <c r="A43" s="5">
        <v>45747</v>
      </c>
      <c r="B43" s="6" t="s">
        <v>61</v>
      </c>
      <c r="C43" s="7" t="s">
        <v>39</v>
      </c>
      <c r="D43" s="8" t="s">
        <v>15</v>
      </c>
      <c r="E43" s="9"/>
      <c r="F43" s="10">
        <v>194835</v>
      </c>
      <c r="G43" s="72"/>
      <c r="H43" s="72"/>
      <c r="I43" s="11"/>
      <c r="J43" s="77">
        <f>J42+K42</f>
        <v>1737621.8960127998</v>
      </c>
      <c r="K43" s="77">
        <f>J43*9%</f>
        <v>156385.97064115197</v>
      </c>
    </row>
    <row r="44" spans="1:15">
      <c r="A44" s="5">
        <v>46022</v>
      </c>
      <c r="B44" s="6" t="s">
        <v>61</v>
      </c>
      <c r="C44" s="7" t="s">
        <v>39</v>
      </c>
      <c r="D44" s="8" t="s">
        <v>15</v>
      </c>
      <c r="E44" s="9"/>
      <c r="F44" s="10">
        <v>163662</v>
      </c>
      <c r="G44" s="72"/>
      <c r="H44" s="72"/>
      <c r="I44" s="11"/>
      <c r="J44" s="77">
        <f>J43+K43</f>
        <v>1894007.8666539518</v>
      </c>
      <c r="K44" s="78"/>
    </row>
    <row r="45" spans="1:15">
      <c r="A45" s="59">
        <f>SUM(F9:F44)</f>
        <v>6209925</v>
      </c>
      <c r="B45" s="59"/>
      <c r="C45" s="59"/>
      <c r="D45" s="59"/>
      <c r="E45" s="59"/>
      <c r="F45" s="59"/>
      <c r="G45" s="73">
        <f>SUM(G9:G44)</f>
        <v>4227800</v>
      </c>
      <c r="H45" s="74"/>
      <c r="I45" s="67"/>
    </row>
    <row r="46" spans="1:15">
      <c r="A46" s="13" t="s">
        <v>18</v>
      </c>
      <c r="B46" s="6" t="s">
        <v>50</v>
      </c>
      <c r="C46" s="14" t="s">
        <v>20</v>
      </c>
      <c r="D46" s="55"/>
      <c r="E46" s="55"/>
      <c r="F46" s="55"/>
      <c r="G46" s="75">
        <f>A45-G45</f>
        <v>1982125</v>
      </c>
      <c r="H46" s="75"/>
      <c r="I46" s="28"/>
    </row>
    <row r="48" spans="1:15">
      <c r="G48" s="83">
        <f>G46-J44</f>
        <v>88117.133346048184</v>
      </c>
    </row>
    <row r="50" spans="6:7">
      <c r="F50" s="84">
        <f>O39-G45</f>
        <v>232270</v>
      </c>
      <c r="G50" s="76">
        <f>F50+G48</f>
        <v>320387.13334604818</v>
      </c>
    </row>
    <row r="53" spans="6:7">
      <c r="G53" s="76">
        <f>G46-G50</f>
        <v>1661737.8666539518</v>
      </c>
    </row>
    <row r="54" spans="6:7">
      <c r="G54" s="48">
        <v>90000</v>
      </c>
    </row>
    <row r="55" spans="6:7">
      <c r="G55" s="76">
        <v>951978.84159999993</v>
      </c>
    </row>
    <row r="58" spans="6:7">
      <c r="G58" s="76">
        <f>SUM(G53:G57)</f>
        <v>2703716.7082539517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B8:C8"/>
    <mergeCell ref="A45:F45"/>
    <mergeCell ref="D46:F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D449-600B-4340-A21E-665DB58A00F1}">
  <dimension ref="A1:F7"/>
  <sheetViews>
    <sheetView workbookViewId="0">
      <selection activeCell="G1" sqref="G1"/>
    </sheetView>
  </sheetViews>
  <sheetFormatPr defaultRowHeight="14.5"/>
  <cols>
    <col min="2" max="2" width="15.81640625" bestFit="1" customWidth="1"/>
    <col min="3" max="3" width="16.453125" bestFit="1" customWidth="1"/>
    <col min="4" max="5" width="12.54296875" customWidth="1"/>
  </cols>
  <sheetData>
    <row r="1" spans="1:6" s="43" customFormat="1">
      <c r="A1" s="44"/>
      <c r="B1" s="44" t="s">
        <v>63</v>
      </c>
      <c r="C1" s="44" t="s">
        <v>64</v>
      </c>
      <c r="D1" s="44" t="s">
        <v>78</v>
      </c>
      <c r="E1" s="44" t="s">
        <v>65</v>
      </c>
    </row>
    <row r="2" spans="1:6">
      <c r="A2" s="34" t="s">
        <v>66</v>
      </c>
      <c r="B2" s="45">
        <v>1982125</v>
      </c>
      <c r="C2" s="45"/>
      <c r="D2" s="45">
        <f>+'RAHUL FRIEND'!F5</f>
        <v>90000</v>
      </c>
      <c r="E2" s="45">
        <f>SUM(B2:D2)</f>
        <v>2072125</v>
      </c>
      <c r="F2" s="21"/>
    </row>
    <row r="3" spans="1:6">
      <c r="A3" s="34" t="s">
        <v>67</v>
      </c>
      <c r="B3" s="45"/>
      <c r="C3" s="45">
        <f>+'PREETI TO SADHANA'!G14</f>
        <v>951978.84159999993</v>
      </c>
      <c r="D3" s="45"/>
      <c r="E3" s="45">
        <f>SUM(B3:D3)</f>
        <v>951978.84159999993</v>
      </c>
      <c r="F3" s="21"/>
    </row>
    <row r="4" spans="1:6">
      <c r="A4" s="34" t="s">
        <v>68</v>
      </c>
      <c r="B4" s="45">
        <f>SUM(B2:B3)</f>
        <v>1982125</v>
      </c>
      <c r="C4" s="45">
        <f>SUM(C2:C3)</f>
        <v>951978.84159999993</v>
      </c>
      <c r="D4" s="45">
        <f>SUM(D2:D3)</f>
        <v>90000</v>
      </c>
      <c r="E4" s="46">
        <f>SUM(E2:E3)</f>
        <v>3024103.8415999999</v>
      </c>
      <c r="F4" s="21"/>
    </row>
    <row r="5" spans="1:6">
      <c r="B5" s="40"/>
      <c r="C5" s="40"/>
      <c r="D5" s="40"/>
      <c r="E5" s="40"/>
      <c r="F5" s="21"/>
    </row>
    <row r="6" spans="1:6">
      <c r="B6" s="21"/>
      <c r="C6" s="21"/>
      <c r="D6" s="21"/>
      <c r="E6" s="21"/>
      <c r="F6" s="21"/>
    </row>
    <row r="7" spans="1:6">
      <c r="B7" s="21"/>
      <c r="C7" s="21"/>
      <c r="D7" s="21"/>
      <c r="E7" s="21"/>
      <c r="F7" s="2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PREETI TO SADHANA</vt:lpstr>
      <vt:lpstr>RAHUL FRIEND</vt:lpstr>
      <vt:lpstr>RAHUL TO DHARMESHBHAI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Jethwa</dc:creator>
  <cp:lastModifiedBy>Maru, Dharmesh</cp:lastModifiedBy>
  <dcterms:created xsi:type="dcterms:W3CDTF">2025-10-30T08:12:31Z</dcterms:created>
  <dcterms:modified xsi:type="dcterms:W3CDTF">2025-12-26T12:00:29Z</dcterms:modified>
</cp:coreProperties>
</file>