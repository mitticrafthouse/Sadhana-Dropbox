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75" documentId="8_{AD35CA93-AD13-496D-A3A3-4DF208104E46}" xr6:coauthVersionLast="47" xr6:coauthVersionMax="47" xr10:uidLastSave="{46905EF4-8513-49DB-AAB0-3885ACC1F25A}"/>
  <bookViews>
    <workbookView xWindow="-110" yWindow="-110" windowWidth="19420" windowHeight="11500" firstSheet="1" activeTab="1" xr2:uid="{C3AA3C3A-4389-4774-BF1F-0F51736CFF33}"/>
  </bookViews>
  <sheets>
    <sheet name="ACT" sheetId="1" state="hidden" r:id="rId1"/>
    <sheet name="Sheet1 (2)" sheetId="2" r:id="rId2"/>
  </sheets>
  <calcPr calcId="191029"/>
  <pivotCaches>
    <pivotCache cacheId="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13" i="2"/>
  <c r="D14" i="2"/>
  <c r="D20" i="2"/>
  <c r="D16" i="2"/>
  <c r="E3" i="2"/>
  <c r="E22" i="2" s="1"/>
  <c r="D8" i="2"/>
  <c r="D7" i="2"/>
  <c r="D12" i="2"/>
  <c r="D6" i="2"/>
  <c r="D11" i="2"/>
  <c r="E14" i="1"/>
  <c r="E7" i="1"/>
  <c r="E4" i="1"/>
  <c r="E22" i="1"/>
  <c r="E24" i="1"/>
  <c r="E8" i="1"/>
  <c r="E2" i="1"/>
  <c r="E23" i="1"/>
  <c r="E17" i="1"/>
  <c r="F13" i="1"/>
  <c r="E9" i="1"/>
  <c r="F24" i="1"/>
</calcChain>
</file>

<file path=xl/sharedStrings.xml><?xml version="1.0" encoding="utf-8"?>
<sst xmlns="http://schemas.openxmlformats.org/spreadsheetml/2006/main" count="158" uniqueCount="38">
  <si>
    <t>Owner</t>
  </si>
  <si>
    <t>Type</t>
  </si>
  <si>
    <t>Bank</t>
  </si>
  <si>
    <t>EMI Date</t>
  </si>
  <si>
    <t>Amount</t>
  </si>
  <si>
    <t>Outstanding</t>
  </si>
  <si>
    <t>Dharmesh</t>
  </si>
  <si>
    <t>CC</t>
  </si>
  <si>
    <t>HDFC CC</t>
  </si>
  <si>
    <t>Tata Card CC</t>
  </si>
  <si>
    <t>Vinod</t>
  </si>
  <si>
    <t>SBI CC</t>
  </si>
  <si>
    <t>Yagnesh</t>
  </si>
  <si>
    <t>RBL</t>
  </si>
  <si>
    <t>EMI</t>
  </si>
  <si>
    <t>Bajaj</t>
  </si>
  <si>
    <t>HDFC Jumbo</t>
  </si>
  <si>
    <t>Arun</t>
  </si>
  <si>
    <t>ICICI ML</t>
  </si>
  <si>
    <t>HDFC PL</t>
  </si>
  <si>
    <t>Rajubhai</t>
  </si>
  <si>
    <t>Bharat bank</t>
  </si>
  <si>
    <t>HSBC CC</t>
  </si>
  <si>
    <t>Axis Priveldege</t>
  </si>
  <si>
    <t>RBL CC</t>
  </si>
  <si>
    <t>AXIS Citi</t>
  </si>
  <si>
    <t xml:space="preserve">Arun </t>
  </si>
  <si>
    <t>ICICI</t>
  </si>
  <si>
    <t>Narottam</t>
  </si>
  <si>
    <t>Citi -Axis</t>
  </si>
  <si>
    <t>Axis MM</t>
  </si>
  <si>
    <t>Credit card Repayment</t>
  </si>
  <si>
    <t>ALL CC</t>
  </si>
  <si>
    <t>Total</t>
  </si>
  <si>
    <t>Row Labels</t>
  </si>
  <si>
    <t>Grand Total</t>
  </si>
  <si>
    <t>Total Outstanding</t>
  </si>
  <si>
    <t>Total 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</si>
</sst>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dd/mmm/yyyy"/>
    <numFmt numFmtId="165" formatCode="_ &quot;₹&quot;\ * #,##0_ ;_ &quot;₹&quot;\ * \-#,##0_ ;_ &quot;₹&quot;\ * &quot;-&quot;??_ ;_ @_ "/>
    <numFmt numFmtId="166" formatCode="_ &quot;₹&quot;\ * #,##0.0_ ;_ &quot;₹&quot;\ * \-#,##0.0_ ;_ &quot;₹&quot;\ * &quot;-&quot;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0" xfId="1" applyNumberFormat="1" applyFont="1"/>
    <xf numFmtId="166" fontId="0" fillId="0" borderId="0" xfId="0" applyNumberFormat="1"/>
    <xf numFmtId="165" fontId="0" fillId="0" borderId="6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5" fontId="2" fillId="0" borderId="8" xfId="1" applyNumberFormat="1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169" formatCode="_ &quot;₹&quot;\ * #,##0.0_ ;_ &quot;₹&quot;\ * \-#,##0.0_ ;_ &quot;₹&quot;\ * &quot;-&quot;??_ ;_ @_ "/>
    </dxf>
    <dxf>
      <numFmt numFmtId="169" formatCode="_ &quot;₹&quot;\ * #,##0.0_ ;_ &quot;₹&quot;\ * \-#,##0.0_ ;_ &quot;₹&quot;\ * &quot;-&quot;??_ ;_ @_ "/>
    </dxf>
    <dxf>
      <numFmt numFmtId="165" formatCode="_ &quot;₹&quot;\ * #,##0_ ;_ &quot;₹&quot;\ * \-#,##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889.944821990743" createdVersion="8" refreshedVersion="8" minRefreshableVersion="3" recordCount="20" xr:uid="{9048924F-098D-4C6C-9E47-FD713532076C}">
  <cacheSource type="worksheet">
    <worksheetSource ref="A1:F21" sheet="Sheet1 (2)"/>
  </cacheSource>
  <cacheFields count="6">
    <cacheField name="Owner" numFmtId="0">
      <sharedItems count="6">
        <s v="Yagnesh"/>
        <s v="Vinod"/>
        <s v="Rajubhai"/>
        <s v="Narottam"/>
        <s v="Dharmesh"/>
        <s v="Arun "/>
      </sharedItems>
    </cacheField>
    <cacheField name="Type" numFmtId="0">
      <sharedItems count="2">
        <s v="CC"/>
        <s v="EMI"/>
      </sharedItems>
    </cacheField>
    <cacheField name="Bank" numFmtId="0">
      <sharedItems/>
    </cacheField>
    <cacheField name="Amount" numFmtId="165">
      <sharedItems containsSemiMixedTypes="0" containsString="0" containsNumber="1" minValue="1504.2" maxValue="70000"/>
    </cacheField>
    <cacheField name="Outstanding" numFmtId="165">
      <sharedItems containsSemiMixedTypes="0" containsString="0" containsNumber="1" containsInteger="1" minValue="31800" maxValue="3500000"/>
    </cacheField>
    <cacheField name="EMI Date" numFmtId="164">
      <sharedItems containsSemiMixedTypes="0" containsNonDate="0" containsDate="1" containsString="0" minDate="2025-06-26T00:00:00" maxDate="2025-07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RBL"/>
    <n v="9823"/>
    <n v="150000"/>
    <d v="2025-07-02T00:00:00"/>
  </r>
  <r>
    <x v="0"/>
    <x v="0"/>
    <s v="HSBC CC"/>
    <n v="11482"/>
    <n v="222825"/>
    <d v="2025-07-09T00:00:00"/>
  </r>
  <r>
    <x v="0"/>
    <x v="0"/>
    <s v="HDFC CC"/>
    <n v="11532"/>
    <n v="263000"/>
    <d v="2025-07-09T00:00:00"/>
  </r>
  <r>
    <x v="0"/>
    <x v="0"/>
    <s v="AXIS Citi"/>
    <n v="6500"/>
    <n v="110000"/>
    <d v="2025-07-10T00:00:00"/>
  </r>
  <r>
    <x v="1"/>
    <x v="0"/>
    <s v="SBI CC"/>
    <n v="8175"/>
    <n v="375000"/>
    <d v="2025-07-01T00:00:00"/>
  </r>
  <r>
    <x v="1"/>
    <x v="0"/>
    <s v="HDFC CC"/>
    <n v="13200"/>
    <n v="600000"/>
    <d v="2025-07-06T00:00:00"/>
  </r>
  <r>
    <x v="1"/>
    <x v="0"/>
    <s v="HDFC Jumbo"/>
    <n v="15068"/>
    <n v="200000"/>
    <d v="2025-07-05T00:00:00"/>
  </r>
  <r>
    <x v="2"/>
    <x v="1"/>
    <s v="Bharat bank"/>
    <n v="32500"/>
    <n v="750000"/>
    <d v="2025-07-06T00:00:00"/>
  </r>
  <r>
    <x v="3"/>
    <x v="1"/>
    <s v="Bharat bank"/>
    <n v="35000"/>
    <n v="3500000"/>
    <d v="2025-07-10T00:00:00"/>
  </r>
  <r>
    <x v="4"/>
    <x v="0"/>
    <s v="HDFC CC"/>
    <n v="6006"/>
    <n v="273000"/>
    <d v="2025-06-26T00:00:00"/>
  </r>
  <r>
    <x v="4"/>
    <x v="0"/>
    <s v="SBI CC"/>
    <n v="1504.2"/>
    <n v="69000"/>
    <d v="2025-07-04T00:00:00"/>
  </r>
  <r>
    <x v="4"/>
    <x v="0"/>
    <s v="Axis Priveldege"/>
    <n v="5624.4"/>
    <n v="258000"/>
    <d v="2025-07-07T00:00:00"/>
  </r>
  <r>
    <x v="4"/>
    <x v="0"/>
    <s v="SBI CC"/>
    <n v="1635"/>
    <n v="75000"/>
    <d v="2025-07-10T00:00:00"/>
  </r>
  <r>
    <x v="4"/>
    <x v="0"/>
    <s v="Citi -Axis"/>
    <n v="3891"/>
    <n v="31800"/>
    <d v="2025-07-10T00:00:00"/>
  </r>
  <r>
    <x v="4"/>
    <x v="0"/>
    <s v="Axis MM"/>
    <n v="5962"/>
    <n v="271000"/>
    <d v="2025-07-10T00:00:00"/>
  </r>
  <r>
    <x v="4"/>
    <x v="1"/>
    <s v="Bajaj"/>
    <n v="32392"/>
    <n v="380000"/>
    <d v="2025-07-02T00:00:00"/>
  </r>
  <r>
    <x v="4"/>
    <x v="1"/>
    <s v="HDFC PL"/>
    <n v="59663"/>
    <n v="3100000"/>
    <d v="2025-07-06T00:00:00"/>
  </r>
  <r>
    <x v="5"/>
    <x v="1"/>
    <s v="ICICI"/>
    <n v="35000"/>
    <n v="1200000"/>
    <d v="2025-07-10T00:00:00"/>
  </r>
  <r>
    <x v="5"/>
    <x v="0"/>
    <s v="ALL CC"/>
    <n v="70000"/>
    <n v="700000"/>
    <d v="2025-07-10T00:00:00"/>
  </r>
  <r>
    <x v="5"/>
    <x v="1"/>
    <s v="ICICI ML"/>
    <n v="37000"/>
    <n v="560000"/>
    <d v="2025-07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42437-9878-4D0A-9B25-C64FFC1E98FC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18" firstHeaderRow="0" firstDataRow="1" firstDataCol="1"/>
  <pivotFields count="6">
    <pivotField axis="axisRow" showAll="0">
      <items count="7">
        <item x="5"/>
        <item x="4"/>
        <item x="3"/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numFmtId="165" showAll="0"/>
    <pivotField dataField="1" numFmtId="165" showAll="0"/>
    <pivotField numFmtId="164" showAll="0"/>
  </pivotFields>
  <rowFields count="2">
    <field x="0"/>
    <field x="1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 v="1"/>
    </i>
    <i>
      <x v="3"/>
    </i>
    <i r="1">
      <x v="1"/>
    </i>
    <i>
      <x v="4"/>
    </i>
    <i r="1">
      <x/>
    </i>
    <i>
      <x v="5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utstanding" fld="4" baseField="0" baseItem="0" numFmtId="165"/>
    <dataField name="Total EMI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0A09-720A-41BB-A815-F03795C0317D}">
  <dimension ref="A1:F24"/>
  <sheetViews>
    <sheetView workbookViewId="0"/>
  </sheetViews>
  <sheetFormatPr defaultRowHeight="14.5" x14ac:dyDescent="0.35"/>
  <cols>
    <col min="1" max="1" width="17.54296875" bestFit="1" customWidth="1"/>
    <col min="2" max="2" width="20.1796875" bestFit="1" customWidth="1"/>
    <col min="3" max="3" width="12.90625" bestFit="1" customWidth="1"/>
    <col min="4" max="4" width="10.7265625" bestFit="1" customWidth="1"/>
    <col min="5" max="5" width="10" bestFit="1" customWidth="1"/>
    <col min="6" max="6" width="12.5429687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4" t="s">
        <v>7</v>
      </c>
      <c r="C2" s="4" t="s">
        <v>8</v>
      </c>
      <c r="D2" s="5">
        <v>45834</v>
      </c>
      <c r="E2" s="6">
        <f>F2*0.022</f>
        <v>6006</v>
      </c>
      <c r="F2" s="6">
        <v>273000</v>
      </c>
    </row>
    <row r="3" spans="1:6" x14ac:dyDescent="0.35">
      <c r="A3" s="3" t="s">
        <v>6</v>
      </c>
      <c r="B3" s="4" t="s">
        <v>7</v>
      </c>
      <c r="C3" s="4" t="s">
        <v>9</v>
      </c>
      <c r="D3" s="5">
        <v>45838</v>
      </c>
      <c r="E3" s="6">
        <v>2022</v>
      </c>
      <c r="F3" s="6">
        <v>25000</v>
      </c>
    </row>
    <row r="4" spans="1:6" x14ac:dyDescent="0.35">
      <c r="A4" s="3" t="s">
        <v>10</v>
      </c>
      <c r="B4" s="4" t="s">
        <v>7</v>
      </c>
      <c r="C4" s="4" t="s">
        <v>11</v>
      </c>
      <c r="D4" s="5">
        <v>45839</v>
      </c>
      <c r="E4" s="6">
        <f>F4*0.0218</f>
        <v>8175</v>
      </c>
      <c r="F4" s="6">
        <v>375000</v>
      </c>
    </row>
    <row r="5" spans="1:6" x14ac:dyDescent="0.35">
      <c r="A5" s="3" t="s">
        <v>12</v>
      </c>
      <c r="B5" s="4" t="s">
        <v>7</v>
      </c>
      <c r="C5" s="4" t="s">
        <v>13</v>
      </c>
      <c r="D5" s="5">
        <v>45840</v>
      </c>
      <c r="E5" s="6">
        <v>9823</v>
      </c>
      <c r="F5" s="6">
        <v>150000</v>
      </c>
    </row>
    <row r="6" spans="1:6" x14ac:dyDescent="0.35">
      <c r="A6" s="3" t="s">
        <v>6</v>
      </c>
      <c r="B6" s="4" t="s">
        <v>14</v>
      </c>
      <c r="C6" s="4" t="s">
        <v>15</v>
      </c>
      <c r="D6" s="5">
        <v>45840</v>
      </c>
      <c r="E6" s="6">
        <v>32392</v>
      </c>
      <c r="F6" s="6">
        <v>380000</v>
      </c>
    </row>
    <row r="7" spans="1:6" x14ac:dyDescent="0.35">
      <c r="A7" s="3" t="s">
        <v>6</v>
      </c>
      <c r="B7" s="4" t="s">
        <v>7</v>
      </c>
      <c r="C7" s="4" t="s">
        <v>11</v>
      </c>
      <c r="D7" s="5">
        <v>45842</v>
      </c>
      <c r="E7" s="6">
        <f>F7*0.0218</f>
        <v>1504.2</v>
      </c>
      <c r="F7" s="6">
        <v>69000</v>
      </c>
    </row>
    <row r="8" spans="1:6" x14ac:dyDescent="0.35">
      <c r="A8" s="3" t="s">
        <v>10</v>
      </c>
      <c r="B8" s="4" t="s">
        <v>7</v>
      </c>
      <c r="C8" s="4" t="s">
        <v>8</v>
      </c>
      <c r="D8" s="5">
        <v>45844</v>
      </c>
      <c r="E8" s="6">
        <f>F8*0.022</f>
        <v>13200</v>
      </c>
      <c r="F8" s="6">
        <v>600000</v>
      </c>
    </row>
    <row r="9" spans="1:6" x14ac:dyDescent="0.35">
      <c r="A9" s="3" t="s">
        <v>10</v>
      </c>
      <c r="B9" s="4" t="s">
        <v>7</v>
      </c>
      <c r="C9" s="4" t="s">
        <v>16</v>
      </c>
      <c r="D9" s="5">
        <v>45843</v>
      </c>
      <c r="E9" s="6">
        <f>6538+8530</f>
        <v>15068</v>
      </c>
      <c r="F9" s="6">
        <v>200000</v>
      </c>
    </row>
    <row r="10" spans="1:6" x14ac:dyDescent="0.35">
      <c r="A10" s="3" t="s">
        <v>17</v>
      </c>
      <c r="B10" s="4" t="s">
        <v>14</v>
      </c>
      <c r="C10" s="4" t="s">
        <v>18</v>
      </c>
      <c r="D10" s="5">
        <v>45843</v>
      </c>
      <c r="E10" s="6">
        <v>37000</v>
      </c>
      <c r="F10" s="6">
        <v>560000</v>
      </c>
    </row>
    <row r="11" spans="1:6" x14ac:dyDescent="0.35">
      <c r="A11" s="3" t="s">
        <v>6</v>
      </c>
      <c r="B11" s="4" t="s">
        <v>14</v>
      </c>
      <c r="C11" s="4" t="s">
        <v>19</v>
      </c>
      <c r="D11" s="5">
        <v>45844</v>
      </c>
      <c r="E11" s="6">
        <v>59663</v>
      </c>
      <c r="F11" s="6">
        <v>3100000</v>
      </c>
    </row>
    <row r="12" spans="1:6" x14ac:dyDescent="0.35">
      <c r="A12" s="3" t="s">
        <v>20</v>
      </c>
      <c r="B12" s="4" t="s">
        <v>14</v>
      </c>
      <c r="C12" s="4" t="s">
        <v>21</v>
      </c>
      <c r="D12" s="5">
        <v>45844</v>
      </c>
      <c r="E12" s="6">
        <v>32500</v>
      </c>
      <c r="F12" s="6">
        <v>750000</v>
      </c>
    </row>
    <row r="13" spans="1:6" x14ac:dyDescent="0.35">
      <c r="A13" s="3" t="s">
        <v>12</v>
      </c>
      <c r="B13" s="4" t="s">
        <v>7</v>
      </c>
      <c r="C13" s="4" t="s">
        <v>22</v>
      </c>
      <c r="D13" s="5">
        <v>45847</v>
      </c>
      <c r="E13" s="6">
        <v>11482</v>
      </c>
      <c r="F13" s="6">
        <f>389000-166175</f>
        <v>222825</v>
      </c>
    </row>
    <row r="14" spans="1:6" x14ac:dyDescent="0.35">
      <c r="A14" s="3" t="s">
        <v>6</v>
      </c>
      <c r="B14" s="4" t="s">
        <v>7</v>
      </c>
      <c r="C14" s="4" t="s">
        <v>23</v>
      </c>
      <c r="D14" s="5">
        <v>45845</v>
      </c>
      <c r="E14" s="6">
        <f>F14*0.0218</f>
        <v>5624.4</v>
      </c>
      <c r="F14" s="6">
        <v>258000</v>
      </c>
    </row>
    <row r="15" spans="1:6" x14ac:dyDescent="0.35">
      <c r="A15" s="3" t="s">
        <v>6</v>
      </c>
      <c r="B15" s="4" t="s">
        <v>7</v>
      </c>
      <c r="C15" s="4" t="s">
        <v>24</v>
      </c>
      <c r="D15" s="5">
        <v>45845</v>
      </c>
      <c r="E15" s="6">
        <v>1100</v>
      </c>
      <c r="F15" s="6">
        <v>20000</v>
      </c>
    </row>
    <row r="16" spans="1:6" x14ac:dyDescent="0.35">
      <c r="A16" s="3" t="s">
        <v>12</v>
      </c>
      <c r="B16" s="4" t="s">
        <v>7</v>
      </c>
      <c r="C16" s="4" t="s">
        <v>8</v>
      </c>
      <c r="D16" s="5">
        <v>45847</v>
      </c>
      <c r="E16" s="6">
        <v>11532</v>
      </c>
      <c r="F16" s="6">
        <v>263000</v>
      </c>
    </row>
    <row r="17" spans="1:6" x14ac:dyDescent="0.35">
      <c r="A17" s="3" t="s">
        <v>6</v>
      </c>
      <c r="B17" s="4" t="s">
        <v>7</v>
      </c>
      <c r="C17" s="4" t="s">
        <v>11</v>
      </c>
      <c r="D17" s="5">
        <v>45848</v>
      </c>
      <c r="E17" s="6">
        <f>F17*0.0218</f>
        <v>1635</v>
      </c>
      <c r="F17" s="6">
        <v>75000</v>
      </c>
    </row>
    <row r="18" spans="1:6" x14ac:dyDescent="0.35">
      <c r="A18" s="3" t="s">
        <v>12</v>
      </c>
      <c r="B18" s="4" t="s">
        <v>7</v>
      </c>
      <c r="C18" s="4" t="s">
        <v>25</v>
      </c>
      <c r="D18" s="5">
        <v>45848</v>
      </c>
      <c r="E18" s="6">
        <v>6500</v>
      </c>
      <c r="F18" s="6">
        <v>110000</v>
      </c>
    </row>
    <row r="19" spans="1:6" x14ac:dyDescent="0.35">
      <c r="A19" s="3" t="s">
        <v>26</v>
      </c>
      <c r="B19" s="4" t="s">
        <v>14</v>
      </c>
      <c r="C19" s="4" t="s">
        <v>27</v>
      </c>
      <c r="D19" s="5">
        <v>45848</v>
      </c>
      <c r="E19" s="6">
        <v>35000</v>
      </c>
      <c r="F19" s="6">
        <v>1200000</v>
      </c>
    </row>
    <row r="20" spans="1:6" x14ac:dyDescent="0.35">
      <c r="A20" s="3" t="s">
        <v>28</v>
      </c>
      <c r="B20" s="4" t="s">
        <v>14</v>
      </c>
      <c r="C20" s="4" t="s">
        <v>21</v>
      </c>
      <c r="D20" s="5">
        <v>45848</v>
      </c>
      <c r="E20" s="6">
        <v>35000</v>
      </c>
      <c r="F20" s="6">
        <v>3500000</v>
      </c>
    </row>
    <row r="21" spans="1:6" x14ac:dyDescent="0.35">
      <c r="A21" s="3" t="s">
        <v>6</v>
      </c>
      <c r="B21" s="4" t="s">
        <v>7</v>
      </c>
      <c r="C21" s="4" t="s">
        <v>29</v>
      </c>
      <c r="D21" s="5">
        <v>45848</v>
      </c>
      <c r="E21" s="6">
        <v>3891</v>
      </c>
      <c r="F21" s="6">
        <v>31800</v>
      </c>
    </row>
    <row r="22" spans="1:6" x14ac:dyDescent="0.35">
      <c r="A22" s="3" t="s">
        <v>6</v>
      </c>
      <c r="B22" s="4" t="s">
        <v>7</v>
      </c>
      <c r="C22" s="4" t="s">
        <v>30</v>
      </c>
      <c r="D22" s="5">
        <v>45848</v>
      </c>
      <c r="E22" s="6">
        <f>F22*0.022</f>
        <v>5962</v>
      </c>
      <c r="F22" s="6">
        <v>271000</v>
      </c>
    </row>
    <row r="23" spans="1:6" x14ac:dyDescent="0.35">
      <c r="A23" s="7" t="s">
        <v>17</v>
      </c>
      <c r="B23" s="9" t="s">
        <v>31</v>
      </c>
      <c r="C23" s="8" t="s">
        <v>32</v>
      </c>
      <c r="D23" s="5">
        <v>45848</v>
      </c>
      <c r="E23" s="10">
        <f>F23*0.1</f>
        <v>70000</v>
      </c>
      <c r="F23" s="11">
        <v>700000</v>
      </c>
    </row>
    <row r="24" spans="1:6" ht="15" thickBot="1" x14ac:dyDescent="0.4">
      <c r="A24" s="12" t="s">
        <v>33</v>
      </c>
      <c r="B24" s="13"/>
      <c r="C24" s="13"/>
      <c r="D24" s="14"/>
      <c r="E24" s="15">
        <f>SUM(E2:E23)</f>
        <v>405079.6</v>
      </c>
      <c r="F24" s="15">
        <f>SUM(F2:F23)</f>
        <v>13133625</v>
      </c>
    </row>
  </sheetData>
  <mergeCells count="1">
    <mergeCell ref="A24:C24"/>
  </mergeCells>
  <conditionalFormatting sqref="D1:D24">
    <cfRule type="cellIs" dxfId="3" priority="3" operator="equal">
      <formula>$N$10</formula>
    </cfRule>
    <cfRule type="cellIs" dxfId="2" priority="4" operator="equal">
      <formula>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96EF-2C95-4C75-A855-393D4DE1F4BE}">
  <dimension ref="A1:J22"/>
  <sheetViews>
    <sheetView tabSelected="1" topLeftCell="A3" workbookViewId="0">
      <selection activeCell="G21" sqref="G21"/>
    </sheetView>
  </sheetViews>
  <sheetFormatPr defaultRowHeight="14.5" x14ac:dyDescent="0.35"/>
  <cols>
    <col min="1" max="1" width="17.54296875" bestFit="1" customWidth="1"/>
    <col min="2" max="2" width="20.1796875" bestFit="1" customWidth="1"/>
    <col min="3" max="3" width="12.90625" bestFit="1" customWidth="1"/>
    <col min="4" max="4" width="10" bestFit="1" customWidth="1"/>
    <col min="5" max="5" width="12.54296875" bestFit="1" customWidth="1"/>
    <col min="6" max="6" width="10.7265625" bestFit="1" customWidth="1"/>
    <col min="8" max="8" width="12.453125" bestFit="1" customWidth="1"/>
    <col min="9" max="9" width="15.6328125" bestFit="1" customWidth="1"/>
    <col min="10" max="10" width="10" bestFit="1" customWidth="1"/>
  </cols>
  <sheetData>
    <row r="1" spans="1:10" x14ac:dyDescent="0.35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 spans="1:10" x14ac:dyDescent="0.35">
      <c r="A2" s="3" t="s">
        <v>12</v>
      </c>
      <c r="B2" s="4" t="s">
        <v>7</v>
      </c>
      <c r="C2" s="4" t="s">
        <v>13</v>
      </c>
      <c r="D2" s="6">
        <v>9823</v>
      </c>
      <c r="E2" s="6">
        <v>150000</v>
      </c>
      <c r="F2" s="5">
        <v>45840</v>
      </c>
    </row>
    <row r="3" spans="1:10" x14ac:dyDescent="0.35">
      <c r="A3" s="3" t="s">
        <v>12</v>
      </c>
      <c r="B3" s="4" t="s">
        <v>7</v>
      </c>
      <c r="C3" s="4" t="s">
        <v>22</v>
      </c>
      <c r="D3" s="6">
        <v>11482</v>
      </c>
      <c r="E3" s="6">
        <f>389000-166175</f>
        <v>222825</v>
      </c>
      <c r="F3" s="5">
        <v>45847</v>
      </c>
      <c r="H3" s="16" t="s">
        <v>34</v>
      </c>
      <c r="I3" t="s">
        <v>36</v>
      </c>
      <c r="J3" t="s">
        <v>37</v>
      </c>
    </row>
    <row r="4" spans="1:10" x14ac:dyDescent="0.35">
      <c r="A4" s="3" t="s">
        <v>12</v>
      </c>
      <c r="B4" s="4" t="s">
        <v>7</v>
      </c>
      <c r="C4" s="4" t="s">
        <v>8</v>
      </c>
      <c r="D4" s="6">
        <v>11532</v>
      </c>
      <c r="E4" s="6">
        <v>263000</v>
      </c>
      <c r="F4" s="5">
        <v>45847</v>
      </c>
      <c r="H4" s="17" t="s">
        <v>26</v>
      </c>
      <c r="I4" s="19">
        <v>2460000</v>
      </c>
      <c r="J4" s="19">
        <v>142000</v>
      </c>
    </row>
    <row r="5" spans="1:10" x14ac:dyDescent="0.35">
      <c r="A5" s="3" t="s">
        <v>12</v>
      </c>
      <c r="B5" s="4" t="s">
        <v>7</v>
      </c>
      <c r="C5" s="4" t="s">
        <v>25</v>
      </c>
      <c r="D5" s="6">
        <v>6500</v>
      </c>
      <c r="E5" s="6">
        <v>110000</v>
      </c>
      <c r="F5" s="5">
        <v>45848</v>
      </c>
      <c r="H5" s="18" t="s">
        <v>7</v>
      </c>
      <c r="I5" s="19">
        <v>700000</v>
      </c>
      <c r="J5" s="19">
        <v>70000</v>
      </c>
    </row>
    <row r="6" spans="1:10" x14ac:dyDescent="0.35">
      <c r="A6" s="3" t="s">
        <v>10</v>
      </c>
      <c r="B6" s="4" t="s">
        <v>7</v>
      </c>
      <c r="C6" s="4" t="s">
        <v>11</v>
      </c>
      <c r="D6" s="6">
        <f>E6*0.0218</f>
        <v>8175</v>
      </c>
      <c r="E6" s="6">
        <v>375000</v>
      </c>
      <c r="F6" s="5">
        <v>45839</v>
      </c>
      <c r="H6" s="18" t="s">
        <v>14</v>
      </c>
      <c r="I6" s="19">
        <v>1760000</v>
      </c>
      <c r="J6" s="19">
        <v>72000</v>
      </c>
    </row>
    <row r="7" spans="1:10" x14ac:dyDescent="0.35">
      <c r="A7" s="3" t="s">
        <v>10</v>
      </c>
      <c r="B7" s="4" t="s">
        <v>7</v>
      </c>
      <c r="C7" s="4" t="s">
        <v>8</v>
      </c>
      <c r="D7" s="6">
        <f>E7*0.022</f>
        <v>13200</v>
      </c>
      <c r="E7" s="6">
        <v>600000</v>
      </c>
      <c r="F7" s="5">
        <v>45844</v>
      </c>
      <c r="H7" s="17" t="s">
        <v>6</v>
      </c>
      <c r="I7" s="19">
        <v>4457800</v>
      </c>
      <c r="J7" s="19">
        <v>116677.6</v>
      </c>
    </row>
    <row r="8" spans="1:10" x14ac:dyDescent="0.35">
      <c r="A8" s="3" t="s">
        <v>10</v>
      </c>
      <c r="B8" s="4" t="s">
        <v>7</v>
      </c>
      <c r="C8" s="4" t="s">
        <v>16</v>
      </c>
      <c r="D8" s="6">
        <f>6538+8530</f>
        <v>15068</v>
      </c>
      <c r="E8" s="6">
        <v>200000</v>
      </c>
      <c r="F8" s="5">
        <v>45843</v>
      </c>
      <c r="H8" s="18" t="s">
        <v>7</v>
      </c>
      <c r="I8" s="19">
        <v>977800</v>
      </c>
      <c r="J8" s="19">
        <v>24622.6</v>
      </c>
    </row>
    <row r="9" spans="1:10" x14ac:dyDescent="0.35">
      <c r="A9" s="3" t="s">
        <v>20</v>
      </c>
      <c r="B9" s="4" t="s">
        <v>14</v>
      </c>
      <c r="C9" s="4" t="s">
        <v>21</v>
      </c>
      <c r="D9" s="6">
        <v>32500</v>
      </c>
      <c r="E9" s="6">
        <v>750000</v>
      </c>
      <c r="F9" s="5">
        <v>45844</v>
      </c>
      <c r="H9" s="18" t="s">
        <v>14</v>
      </c>
      <c r="I9" s="19">
        <v>3480000</v>
      </c>
      <c r="J9" s="19">
        <v>92055</v>
      </c>
    </row>
    <row r="10" spans="1:10" x14ac:dyDescent="0.35">
      <c r="A10" s="3" t="s">
        <v>28</v>
      </c>
      <c r="B10" s="4" t="s">
        <v>14</v>
      </c>
      <c r="C10" s="4" t="s">
        <v>21</v>
      </c>
      <c r="D10" s="6">
        <v>35000</v>
      </c>
      <c r="E10" s="6">
        <v>3500000</v>
      </c>
      <c r="F10" s="5">
        <v>45848</v>
      </c>
      <c r="H10" s="17" t="s">
        <v>28</v>
      </c>
      <c r="I10" s="19">
        <v>3500000</v>
      </c>
      <c r="J10" s="19">
        <v>35000</v>
      </c>
    </row>
    <row r="11" spans="1:10" x14ac:dyDescent="0.35">
      <c r="A11" s="3" t="s">
        <v>6</v>
      </c>
      <c r="B11" s="4" t="s">
        <v>7</v>
      </c>
      <c r="C11" s="4" t="s">
        <v>8</v>
      </c>
      <c r="D11" s="6">
        <f>E11*0.022</f>
        <v>6006</v>
      </c>
      <c r="E11" s="6">
        <v>273000</v>
      </c>
      <c r="F11" s="5">
        <v>45834</v>
      </c>
      <c r="H11" s="18" t="s">
        <v>14</v>
      </c>
      <c r="I11" s="19">
        <v>3500000</v>
      </c>
      <c r="J11" s="19">
        <v>35000</v>
      </c>
    </row>
    <row r="12" spans="1:10" x14ac:dyDescent="0.35">
      <c r="A12" s="3" t="s">
        <v>6</v>
      </c>
      <c r="B12" s="4" t="s">
        <v>7</v>
      </c>
      <c r="C12" s="4" t="s">
        <v>11</v>
      </c>
      <c r="D12" s="6">
        <f>E12*0.0218</f>
        <v>1504.2</v>
      </c>
      <c r="E12" s="6">
        <v>69000</v>
      </c>
      <c r="F12" s="5">
        <v>45842</v>
      </c>
      <c r="H12" s="17" t="s">
        <v>20</v>
      </c>
      <c r="I12" s="19">
        <v>750000</v>
      </c>
      <c r="J12" s="19">
        <v>32500</v>
      </c>
    </row>
    <row r="13" spans="1:10" x14ac:dyDescent="0.35">
      <c r="A13" s="3" t="s">
        <v>6</v>
      </c>
      <c r="B13" s="4" t="s">
        <v>7</v>
      </c>
      <c r="C13" s="4" t="s">
        <v>23</v>
      </c>
      <c r="D13" s="6">
        <f>E13*0.0218</f>
        <v>5624.4</v>
      </c>
      <c r="E13" s="6">
        <v>258000</v>
      </c>
      <c r="F13" s="5">
        <v>45845</v>
      </c>
      <c r="H13" s="18" t="s">
        <v>14</v>
      </c>
      <c r="I13" s="19">
        <v>750000</v>
      </c>
      <c r="J13" s="19">
        <v>32500</v>
      </c>
    </row>
    <row r="14" spans="1:10" x14ac:dyDescent="0.35">
      <c r="A14" s="3" t="s">
        <v>6</v>
      </c>
      <c r="B14" s="4" t="s">
        <v>7</v>
      </c>
      <c r="C14" s="4" t="s">
        <v>11</v>
      </c>
      <c r="D14" s="6">
        <f>E14*0.0218</f>
        <v>1635</v>
      </c>
      <c r="E14" s="6">
        <v>75000</v>
      </c>
      <c r="F14" s="5">
        <v>45848</v>
      </c>
      <c r="H14" s="17" t="s">
        <v>10</v>
      </c>
      <c r="I14" s="19">
        <v>1175000</v>
      </c>
      <c r="J14" s="19">
        <v>36443</v>
      </c>
    </row>
    <row r="15" spans="1:10" x14ac:dyDescent="0.35">
      <c r="A15" s="3" t="s">
        <v>6</v>
      </c>
      <c r="B15" s="4" t="s">
        <v>7</v>
      </c>
      <c r="C15" s="4" t="s">
        <v>29</v>
      </c>
      <c r="D15" s="6">
        <v>3891</v>
      </c>
      <c r="E15" s="6">
        <v>31800</v>
      </c>
      <c r="F15" s="5">
        <v>45848</v>
      </c>
      <c r="H15" s="18" t="s">
        <v>7</v>
      </c>
      <c r="I15" s="19">
        <v>1175000</v>
      </c>
      <c r="J15" s="19">
        <v>36443</v>
      </c>
    </row>
    <row r="16" spans="1:10" x14ac:dyDescent="0.35">
      <c r="A16" s="3" t="s">
        <v>6</v>
      </c>
      <c r="B16" s="4" t="s">
        <v>7</v>
      </c>
      <c r="C16" s="4" t="s">
        <v>30</v>
      </c>
      <c r="D16" s="6">
        <f>E16*0.022</f>
        <v>5962</v>
      </c>
      <c r="E16" s="6">
        <v>271000</v>
      </c>
      <c r="F16" s="5">
        <v>45848</v>
      </c>
      <c r="H16" s="17" t="s">
        <v>12</v>
      </c>
      <c r="I16" s="19">
        <v>745825</v>
      </c>
      <c r="J16" s="19">
        <v>39337</v>
      </c>
    </row>
    <row r="17" spans="1:10" x14ac:dyDescent="0.35">
      <c r="A17" s="3" t="s">
        <v>6</v>
      </c>
      <c r="B17" s="4" t="s">
        <v>14</v>
      </c>
      <c r="C17" s="4" t="s">
        <v>15</v>
      </c>
      <c r="D17" s="6">
        <v>32392</v>
      </c>
      <c r="E17" s="6">
        <v>380000</v>
      </c>
      <c r="F17" s="5">
        <v>45840</v>
      </c>
      <c r="H17" s="18" t="s">
        <v>7</v>
      </c>
      <c r="I17" s="19">
        <v>745825</v>
      </c>
      <c r="J17" s="19">
        <v>39337</v>
      </c>
    </row>
    <row r="18" spans="1:10" x14ac:dyDescent="0.35">
      <c r="A18" s="3" t="s">
        <v>6</v>
      </c>
      <c r="B18" s="4" t="s">
        <v>14</v>
      </c>
      <c r="C18" s="4" t="s">
        <v>19</v>
      </c>
      <c r="D18" s="6">
        <v>59663</v>
      </c>
      <c r="E18" s="6">
        <v>3100000</v>
      </c>
      <c r="F18" s="5">
        <v>45844</v>
      </c>
      <c r="H18" s="17" t="s">
        <v>35</v>
      </c>
      <c r="I18" s="19">
        <v>13088625</v>
      </c>
      <c r="J18" s="19">
        <v>401957.6</v>
      </c>
    </row>
    <row r="19" spans="1:10" x14ac:dyDescent="0.35">
      <c r="A19" s="3" t="s">
        <v>26</v>
      </c>
      <c r="B19" s="4" t="s">
        <v>14</v>
      </c>
      <c r="C19" s="4" t="s">
        <v>27</v>
      </c>
      <c r="D19" s="6">
        <v>35000</v>
      </c>
      <c r="E19" s="6">
        <v>1200000</v>
      </c>
      <c r="F19" s="5">
        <v>45848</v>
      </c>
    </row>
    <row r="20" spans="1:10" x14ac:dyDescent="0.35">
      <c r="A20" s="3" t="s">
        <v>26</v>
      </c>
      <c r="B20" s="4" t="s">
        <v>7</v>
      </c>
      <c r="C20" s="4" t="s">
        <v>32</v>
      </c>
      <c r="D20" s="6">
        <f>E20*0.1</f>
        <v>70000</v>
      </c>
      <c r="E20" s="6">
        <v>700000</v>
      </c>
      <c r="F20" s="5">
        <v>45848</v>
      </c>
    </row>
    <row r="21" spans="1:10" x14ac:dyDescent="0.35">
      <c r="A21" s="3" t="s">
        <v>26</v>
      </c>
      <c r="B21" s="4" t="s">
        <v>14</v>
      </c>
      <c r="C21" s="4" t="s">
        <v>18</v>
      </c>
      <c r="D21" s="6">
        <v>37000</v>
      </c>
      <c r="E21" s="6">
        <v>560000</v>
      </c>
      <c r="F21" s="5">
        <v>45843</v>
      </c>
    </row>
    <row r="22" spans="1:10" ht="15" thickBot="1" x14ac:dyDescent="0.4">
      <c r="A22" s="12" t="s">
        <v>33</v>
      </c>
      <c r="B22" s="13"/>
      <c r="C22" s="13"/>
      <c r="D22" s="15">
        <f>SUM(D2:D21)</f>
        <v>401957.6</v>
      </c>
      <c r="E22" s="15">
        <f>SUM(E3:E21)</f>
        <v>12938625</v>
      </c>
      <c r="F22" s="14"/>
    </row>
  </sheetData>
  <sortState xmlns:xlrd2="http://schemas.microsoft.com/office/spreadsheetml/2017/richdata2" ref="A2:F21">
    <sortCondition descending="1" ref="A2:A21"/>
    <sortCondition ref="B2:B21"/>
  </sortState>
  <mergeCells count="1">
    <mergeCell ref="A22:C22"/>
  </mergeCells>
  <conditionalFormatting sqref="F1:F22">
    <cfRule type="cellIs" dxfId="1" priority="5" operator="equal">
      <formula>$I$9</formula>
    </cfRule>
    <cfRule type="cellIs" dxfId="0" priority="6" operator="equal">
      <formula>TODAY()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</vt:lpstr>
      <vt:lpstr>Sheet1 (2)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2025-08-20T16:48:59Z</dcterms:created>
  <dcterms:modified xsi:type="dcterms:W3CDTF">2025-08-20T17:18:01Z</dcterms:modified>
</cp:coreProperties>
</file>