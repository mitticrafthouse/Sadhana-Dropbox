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dharmesh_maru_capgemini_com/Documents/Desktop/Dharmesh Personal Doc/Sadhana Dropbox/Loan Details/"/>
    </mc:Choice>
  </mc:AlternateContent>
  <xr:revisionPtr revIDLastSave="1442" documentId="13_ncr:1_{F1A787FB-96D4-4964-B25D-76B0CBC0AE79}" xr6:coauthVersionLast="47" xr6:coauthVersionMax="47" xr10:uidLastSave="{EA470273-BE30-4D34-A74C-1D710127A740}"/>
  <bookViews>
    <workbookView xWindow="-110" yWindow="-110" windowWidth="19420" windowHeight="11500" tabRatio="857" activeTab="11" xr2:uid="{00000000-000D-0000-FFFF-FFFF00000000}"/>
  </bookViews>
  <sheets>
    <sheet name="Income" sheetId="1" r:id="rId1"/>
    <sheet name="EMI Chart" sheetId="4" state="hidden" r:id="rId2"/>
    <sheet name="Expense Distribution" sheetId="5" state="hidden" r:id="rId3"/>
    <sheet name="Outwards" sheetId="2" state="hidden" r:id="rId4"/>
    <sheet name="Amount" sheetId="3" state="hidden" r:id="rId5"/>
    <sheet name="Chetan Account 2020 -2021" sheetId="10" state="hidden" r:id="rId6"/>
    <sheet name="Arun Account Jan 2020" sheetId="6" state="hidden" r:id="rId7"/>
    <sheet name="Arun Account 2021" sheetId="9" state="hidden" r:id="rId8"/>
    <sheet name="Arun Sal 2022" sheetId="12" state="hidden" r:id="rId9"/>
    <sheet name="Monthly EMI List" sheetId="11" r:id="rId10"/>
    <sheet name="EMI Chart 2022" sheetId="14" state="hidden" r:id="rId11"/>
    <sheet name="Rahul- Sadhana" sheetId="18" r:id="rId12"/>
    <sheet name="Loan 2020" sheetId="19" r:id="rId13"/>
    <sheet name="EMI Chart 2024" sheetId="15" r:id="rId14"/>
    <sheet name="CC calc" sheetId="16" r:id="rId15"/>
    <sheet name="Monthly EMI List 2024" sheetId="20" r:id="rId16"/>
    <sheet name="Chetan 2023" sheetId="21" state="hidden" r:id="rId17"/>
    <sheet name="Sheet1" sheetId="23" r:id="rId18"/>
    <sheet name="Monthly" sheetId="24" r:id="rId19"/>
  </sheets>
  <definedNames>
    <definedName name="_xlnm._FilterDatabase" localSheetId="7" hidden="1">'Arun Account 2021'!$E$2:$H$16</definedName>
    <definedName name="_xlnm._FilterDatabase" localSheetId="16" hidden="1">'Chetan 2023'!$B$1:$G$49</definedName>
    <definedName name="_xlnm._FilterDatabase" localSheetId="1" hidden="1">'EMI Chart'!$A$2:$D$21</definedName>
    <definedName name="_xlnm._FilterDatabase" localSheetId="10" hidden="1">'EMI Chart 2022'!$A$2:$D$21</definedName>
    <definedName name="_xlnm._FilterDatabase" localSheetId="13" hidden="1">'EMI Chart 2024'!#REF!</definedName>
    <definedName name="_xlnm._FilterDatabase" localSheetId="3" hidden="1">Outwards!$A$1:$E$44</definedName>
  </definedNames>
  <calcPr calcId="191028"/>
  <pivotCaches>
    <pivotCache cacheId="0" r:id="rId20"/>
    <pivotCache cacheId="1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5" l="1"/>
  <c r="D42" i="15"/>
  <c r="D44" i="15"/>
  <c r="D45" i="15" s="1"/>
  <c r="D36" i="15"/>
  <c r="D38" i="15" s="1"/>
  <c r="D46" i="15" l="1"/>
  <c r="G37" i="15" s="1"/>
  <c r="E14" i="15" l="1"/>
  <c r="D14" i="15"/>
  <c r="C22" i="24"/>
  <c r="G20" i="11"/>
  <c r="G17" i="11"/>
  <c r="G12" i="11"/>
  <c r="G14" i="11"/>
  <c r="G15" i="11"/>
  <c r="G16" i="11"/>
  <c r="C10" i="16"/>
  <c r="J11" i="1"/>
  <c r="G11" i="1"/>
  <c r="S27" i="24"/>
  <c r="S21" i="24"/>
  <c r="S28" i="24" s="1"/>
  <c r="P27" i="24"/>
  <c r="P21" i="24"/>
  <c r="P28" i="24" s="1"/>
  <c r="I12" i="24"/>
  <c r="E19" i="24"/>
  <c r="F13" i="24"/>
  <c r="I8" i="24"/>
  <c r="M7" i="24"/>
  <c r="B22" i="24"/>
  <c r="M15" i="23"/>
  <c r="P14" i="23"/>
  <c r="M14" i="23"/>
  <c r="P3" i="23"/>
  <c r="H15" i="23"/>
  <c r="E6" i="23"/>
  <c r="B22" i="23"/>
  <c r="B18" i="23"/>
  <c r="B11" i="23"/>
  <c r="M14" i="20"/>
  <c r="M12" i="20"/>
  <c r="O9" i="20"/>
  <c r="M7" i="20"/>
  <c r="E18" i="20"/>
  <c r="H14" i="20"/>
  <c r="B4" i="20" s="1"/>
  <c r="B18" i="20" s="1"/>
  <c r="B20" i="20" s="1"/>
  <c r="B23" i="21"/>
  <c r="H18" i="21"/>
  <c r="B10" i="20"/>
  <c r="J13" i="20"/>
  <c r="J11" i="20"/>
  <c r="J9" i="20"/>
  <c r="J8" i="20"/>
  <c r="J6" i="20"/>
  <c r="J5" i="20"/>
  <c r="F20" i="16"/>
  <c r="G21" i="21"/>
  <c r="C11" i="21"/>
  <c r="B16" i="19"/>
  <c r="K12" i="19"/>
  <c r="K11" i="19"/>
  <c r="K13" i="19" s="1"/>
  <c r="N13" i="19" s="1"/>
  <c r="E11" i="19"/>
  <c r="D11" i="19"/>
  <c r="N10" i="19"/>
  <c r="M10" i="19"/>
  <c r="J10" i="19" s="1"/>
  <c r="M9" i="19"/>
  <c r="H9" i="19"/>
  <c r="N9" i="19" s="1"/>
  <c r="N8" i="19"/>
  <c r="M8" i="19"/>
  <c r="J8" i="19" s="1"/>
  <c r="N7" i="19"/>
  <c r="M7" i="19"/>
  <c r="J7" i="19"/>
  <c r="N6" i="19"/>
  <c r="M6" i="19"/>
  <c r="J6" i="19" s="1"/>
  <c r="N5" i="19"/>
  <c r="M5" i="19"/>
  <c r="G5" i="19"/>
  <c r="N4" i="19"/>
  <c r="M4" i="19"/>
  <c r="J4" i="19"/>
  <c r="N3" i="19"/>
  <c r="M3" i="19"/>
  <c r="B16" i="18"/>
  <c r="B9" i="18"/>
  <c r="I5" i="18"/>
  <c r="F7" i="18"/>
  <c r="G2" i="16"/>
  <c r="G3" i="16"/>
  <c r="G13" i="16"/>
  <c r="G4" i="16"/>
  <c r="G15" i="16"/>
  <c r="G5" i="16"/>
  <c r="G14" i="16"/>
  <c r="G16" i="16"/>
  <c r="G17" i="16"/>
  <c r="G18" i="16"/>
  <c r="G6" i="16"/>
  <c r="G7" i="16"/>
  <c r="G8" i="16"/>
  <c r="G9" i="16"/>
  <c r="G19" i="16"/>
  <c r="J4" i="16"/>
  <c r="J5" i="16" s="1"/>
  <c r="E24" i="11"/>
  <c r="M15" i="11"/>
  <c r="L7" i="11"/>
  <c r="J5" i="11"/>
  <c r="J13" i="11"/>
  <c r="J16" i="11"/>
  <c r="E17" i="11"/>
  <c r="C20" i="16"/>
  <c r="C14" i="15"/>
  <c r="E30" i="12"/>
  <c r="B31" i="12"/>
  <c r="B22" i="12"/>
  <c r="L24" i="12"/>
  <c r="M24" i="12"/>
  <c r="I24" i="12"/>
  <c r="T4" i="14"/>
  <c r="T5" i="14"/>
  <c r="T6" i="14"/>
  <c r="T7" i="14"/>
  <c r="L17" i="14"/>
  <c r="F21" i="14"/>
  <c r="B17" i="14"/>
  <c r="L15" i="14"/>
  <c r="I15" i="14"/>
  <c r="B13" i="12"/>
  <c r="E13" i="12"/>
  <c r="B18" i="11"/>
  <c r="B13" i="11"/>
  <c r="B19" i="11"/>
  <c r="V22" i="4"/>
  <c r="F21" i="4"/>
  <c r="D11" i="1"/>
  <c r="V7" i="4"/>
  <c r="N18" i="4"/>
  <c r="V6" i="4"/>
  <c r="N16" i="4"/>
  <c r="B15" i="9"/>
  <c r="F18" i="9"/>
  <c r="K25" i="9"/>
  <c r="B37" i="10"/>
  <c r="E37" i="10"/>
  <c r="T8" i="14"/>
  <c r="L16" i="14"/>
  <c r="L18" i="14"/>
  <c r="B20" i="11"/>
  <c r="V8" i="4"/>
  <c r="N17" i="4"/>
  <c r="N19" i="4"/>
  <c r="B40" i="10"/>
  <c r="B43" i="10"/>
  <c r="B38" i="10"/>
  <c r="I15" i="4"/>
  <c r="B20" i="4"/>
  <c r="K44" i="9"/>
  <c r="B10" i="9"/>
  <c r="F17" i="9"/>
  <c r="O33" i="6"/>
  <c r="F20" i="9"/>
  <c r="E40" i="6"/>
  <c r="D42" i="6"/>
  <c r="B42" i="6"/>
  <c r="B35" i="6"/>
  <c r="D4" i="6"/>
  <c r="D35" i="6"/>
  <c r="B36" i="6"/>
  <c r="L8" i="6"/>
  <c r="I4" i="6"/>
  <c r="I8" i="6"/>
  <c r="I10" i="6"/>
  <c r="I13" i="6"/>
  <c r="C100" i="2"/>
  <c r="L12" i="1"/>
  <c r="H10" i="3"/>
  <c r="G10" i="3"/>
  <c r="C8" i="3"/>
  <c r="E11" i="1"/>
  <c r="P4" i="1"/>
  <c r="P5" i="1"/>
  <c r="P6" i="1"/>
  <c r="P7" i="1"/>
  <c r="P8" i="1"/>
  <c r="P10" i="1"/>
  <c r="P3" i="1"/>
  <c r="O4" i="1"/>
  <c r="L4" i="1"/>
  <c r="O5" i="1"/>
  <c r="H5" i="1" s="1"/>
  <c r="O6" i="1"/>
  <c r="L6" i="1" s="1"/>
  <c r="O7" i="1"/>
  <c r="L7" i="1" s="1"/>
  <c r="O8" i="1"/>
  <c r="L8" i="1"/>
  <c r="O9" i="1"/>
  <c r="I9" i="1" s="1"/>
  <c r="P9" i="1" s="1"/>
  <c r="O10" i="1"/>
  <c r="L10" i="1" s="1"/>
  <c r="O3" i="1"/>
  <c r="L3" i="1" s="1"/>
  <c r="M11" i="1"/>
  <c r="B14" i="3"/>
  <c r="B38" i="6"/>
  <c r="C42" i="6"/>
  <c r="O36" i="6"/>
  <c r="Q16" i="4"/>
  <c r="O12" i="14"/>
  <c r="H7" i="16" l="1"/>
  <c r="H3" i="16"/>
  <c r="H2" i="16"/>
  <c r="H15" i="16"/>
  <c r="H4" i="16"/>
  <c r="H13" i="16"/>
  <c r="B22" i="16"/>
  <c r="C22" i="16" s="1"/>
  <c r="O11" i="1"/>
  <c r="L13" i="1"/>
  <c r="O13" i="1" s="1"/>
  <c r="H19" i="16"/>
  <c r="I19" i="16" s="1"/>
  <c r="M11" i="19"/>
  <c r="J3" i="19"/>
  <c r="G20" i="16"/>
  <c r="H18" i="16"/>
  <c r="I18" i="16" s="1"/>
  <c r="H16" i="16"/>
  <c r="H5" i="16"/>
  <c r="I2" i="16"/>
  <c r="H8" i="16"/>
  <c r="H6" i="16"/>
  <c r="I15" i="16" s="1"/>
  <c r="H17" i="16"/>
  <c r="I13" i="16" s="1"/>
  <c r="H14" i="16"/>
  <c r="I4" i="16"/>
  <c r="I3" i="16"/>
  <c r="H9" i="16"/>
  <c r="I7" i="16" l="1"/>
  <c r="I9" i="16"/>
  <c r="I16" i="16"/>
  <c r="I6" i="16"/>
  <c r="I14" i="16"/>
  <c r="I17" i="16"/>
  <c r="I5" i="16"/>
  <c r="I8" i="16"/>
  <c r="H20" i="16"/>
  <c r="I20" i="16" l="1"/>
</calcChain>
</file>

<file path=xl/sharedStrings.xml><?xml version="1.0" encoding="utf-8"?>
<sst xmlns="http://schemas.openxmlformats.org/spreadsheetml/2006/main" count="1430" uniqueCount="566">
  <si>
    <t>Bank</t>
  </si>
  <si>
    <t>Amount</t>
  </si>
  <si>
    <t>EMI</t>
  </si>
  <si>
    <t>EMI Date</t>
  </si>
  <si>
    <t>Insurance</t>
  </si>
  <si>
    <t>PF</t>
  </si>
  <si>
    <t>Net Amount</t>
  </si>
  <si>
    <t>Disbursment Status</t>
  </si>
  <si>
    <t>Srno</t>
  </si>
  <si>
    <t>HDFC</t>
  </si>
  <si>
    <t>Fullerton</t>
  </si>
  <si>
    <t>Edelwise</t>
  </si>
  <si>
    <t>Bajaj</t>
  </si>
  <si>
    <t>IndusInd</t>
  </si>
  <si>
    <t>Axis</t>
  </si>
  <si>
    <t>CLIX</t>
  </si>
  <si>
    <t>Citi</t>
  </si>
  <si>
    <t>Done</t>
  </si>
  <si>
    <t>Total</t>
  </si>
  <si>
    <t>Customer_ID</t>
  </si>
  <si>
    <t>ROI</t>
  </si>
  <si>
    <t>PF%</t>
  </si>
  <si>
    <t>Diif Amount</t>
  </si>
  <si>
    <t>PreEMI</t>
  </si>
  <si>
    <t>MISC</t>
  </si>
  <si>
    <t>LMUMECA0000079482</t>
  </si>
  <si>
    <t xml:space="preserve">AC2020012725426 </t>
  </si>
  <si>
    <t>Tenure</t>
  </si>
  <si>
    <t>LBN-FW1-9234496</t>
  </si>
  <si>
    <t>31/01/20</t>
  </si>
  <si>
    <t>MAHESH BALU TANK-EMI</t>
  </si>
  <si>
    <t>ARUN MARU ICICI Home Loan EMI</t>
  </si>
  <si>
    <t>Rajubhai EMI</t>
  </si>
  <si>
    <t>Vinod SBI Card</t>
  </si>
  <si>
    <t>CC</t>
  </si>
  <si>
    <t>02/02/20</t>
  </si>
  <si>
    <t>VINOD RAMESH DEO EMI</t>
  </si>
  <si>
    <t>ARUN MARU ICICI-Mortgage Loan EMI</t>
  </si>
  <si>
    <t>VINOD DEO SBI-Card</t>
  </si>
  <si>
    <t>ATW-512967XXXXXX2420-S1ANMH28-MUMBAI</t>
  </si>
  <si>
    <t>03/02/20</t>
  </si>
  <si>
    <t>ATW-512967XXXXXX2420-S1AWMI51-MUMBAI</t>
  </si>
  <si>
    <t>POS 512967XXXXXX2420 MATUNGA AUTO SER</t>
  </si>
  <si>
    <t>04/02/20</t>
  </si>
  <si>
    <t>UPI-XXXXXX0074-CNRB0004271-003506500526-ALTAF AZAMBHAI</t>
  </si>
  <si>
    <t>UPI-SUJEESH VELAYUDHAN T-Q59389658@YBL-IDIB000D049-003511313346-NA</t>
  </si>
  <si>
    <t>05/02/20</t>
  </si>
  <si>
    <t>Cash Withdrwal</t>
  </si>
  <si>
    <t>Mustakin</t>
  </si>
  <si>
    <t>Dharmesh</t>
  </si>
  <si>
    <t>YAGNESH NARANBHAI PATEL-EMI</t>
  </si>
  <si>
    <t>TPT-KHURJA-SONAL DHARMESH MARU</t>
  </si>
  <si>
    <t>Vendor Payment</t>
  </si>
  <si>
    <t>Azambhai</t>
  </si>
  <si>
    <t>Altaf Red Clay</t>
  </si>
  <si>
    <t>Unknown</t>
  </si>
  <si>
    <t>Bank Transfer</t>
  </si>
  <si>
    <t>HP Account Deposite</t>
  </si>
  <si>
    <t>TPT-DILIP-SADHANA CRAFT LLP</t>
  </si>
  <si>
    <t>Narottam</t>
  </si>
  <si>
    <t>ACH D- ADITY BIRLA FINANCE-ABFLMUMPL0000</t>
  </si>
  <si>
    <t>NEFT DR-BCBM0000079-PRAVIN M SOLANKI-NETBANK, MUM-N036201055908519-HARESH TANK  RETUR</t>
  </si>
  <si>
    <t>06/02/20</t>
  </si>
  <si>
    <t>04241530002076-TPT-SBC-SURESH BALU CHAUHAN</t>
  </si>
  <si>
    <t>NEFT DR-HSBC0400002-YAGNESH HSBC CARD-NETBANK, MUM-N037201056846228-YAGP HSBC</t>
  </si>
  <si>
    <t>50100009659065-TPT-YAG P HDFC-YAGNESH NARANBHAI PATEL</t>
  </si>
  <si>
    <t>NEFT DR-BCBM0000028-MANSI LADIES WEAR-NETBANK, MUM-N037201056877436-HARESH RAMJI TANK</t>
  </si>
  <si>
    <t>NEFT DR-ANDB0000364-SHANTA RAMJI TANK-NETBANK, MUM-N037201056878059-HARESH R TANK</t>
  </si>
  <si>
    <t>UPI-XXXXXX8644-PYTM0123456-003735341006-NA</t>
  </si>
  <si>
    <t>07/02/20</t>
  </si>
  <si>
    <t>CHQ PAID-MICR CTS-MU-ECL FINANCE LTD</t>
  </si>
  <si>
    <t>UPI-XXXXXX5533-IDFB0040108-003846192305-KISHORBHAI FRANKIN</t>
  </si>
  <si>
    <t>VINOD HDFC</t>
  </si>
  <si>
    <t>Vinod HDFC Payment</t>
  </si>
  <si>
    <t>Dharmesh EMI</t>
  </si>
  <si>
    <t>Udhar Return</t>
  </si>
  <si>
    <t>Haresh Ramji Tank</t>
  </si>
  <si>
    <t>Suresh Bhai</t>
  </si>
  <si>
    <t>Yagnesh Bhai</t>
  </si>
  <si>
    <t>Edelwise Pre EMI</t>
  </si>
  <si>
    <t>Kishor bhai Frankin Charges</t>
  </si>
  <si>
    <t>Rahul</t>
  </si>
  <si>
    <t>Arun</t>
  </si>
  <si>
    <t>Vinod</t>
  </si>
  <si>
    <t>Haresh</t>
  </si>
  <si>
    <t>Dilip</t>
  </si>
  <si>
    <t>Chetan</t>
  </si>
  <si>
    <t>Return</t>
  </si>
  <si>
    <t>Bhimjibhai</t>
  </si>
  <si>
    <t>Actual</t>
  </si>
  <si>
    <t>Repay</t>
  </si>
  <si>
    <t>Paresh Soni</t>
  </si>
  <si>
    <t>Jitubhai</t>
  </si>
  <si>
    <t>Ranchhodbhai</t>
  </si>
  <si>
    <t>Jagdishbhai</t>
  </si>
  <si>
    <t>Jerambhai</t>
  </si>
  <si>
    <t>Yagneshbhai</t>
  </si>
  <si>
    <t>Mahesh</t>
  </si>
  <si>
    <t>Amount Taken--1</t>
  </si>
  <si>
    <t>Loan Repayment--2</t>
  </si>
  <si>
    <t>Monthly EMI--3</t>
  </si>
  <si>
    <t>Particular</t>
  </si>
  <si>
    <t>Yagnesh bhai</t>
  </si>
  <si>
    <t>Arun Home Loan</t>
  </si>
  <si>
    <t>Rajubhai Loan</t>
  </si>
  <si>
    <t>Arun PL</t>
  </si>
  <si>
    <t>Yagneshbhai HSBC CC</t>
  </si>
  <si>
    <t>Vinod HDFC CC</t>
  </si>
  <si>
    <t>Vinod SBI CC</t>
  </si>
  <si>
    <t>Gold Loan</t>
  </si>
  <si>
    <t>Rahul PL</t>
  </si>
  <si>
    <t>Arun Mortgage Loan</t>
  </si>
  <si>
    <t>Naru HL</t>
  </si>
  <si>
    <t>Date</t>
  </si>
  <si>
    <t>Transaction</t>
  </si>
  <si>
    <t>Amout</t>
  </si>
  <si>
    <t>Type</t>
  </si>
  <si>
    <t>Mahesh PL</t>
  </si>
  <si>
    <t>Arun HL</t>
  </si>
  <si>
    <t>Arun ML</t>
  </si>
  <si>
    <t>Rajubhai ML</t>
  </si>
  <si>
    <t>Vinod SBI</t>
  </si>
  <si>
    <t>Vinod CC EMI</t>
  </si>
  <si>
    <t>Vinod CC PL</t>
  </si>
  <si>
    <t>Yagnesh Bhai PL</t>
  </si>
  <si>
    <t>Soughted Angel</t>
  </si>
  <si>
    <t>08/02/20</t>
  </si>
  <si>
    <t>POS 512967XXXXXX2420 IRCTC IPAY</t>
  </si>
  <si>
    <t>UPI-XXXXXX0416-SBIN0000564-003961454826-RENT FEB 2020</t>
  </si>
  <si>
    <t>Narotam(Bhavesh Mepabhai)</t>
  </si>
  <si>
    <t>10/02/20</t>
  </si>
  <si>
    <t>NWD-512967XXXXXX2420-SACWD802-MUMBAI</t>
  </si>
  <si>
    <t>11/02/20</t>
  </si>
  <si>
    <t>CHQ PAID-MICR CTS-MU-DHARMESH DEVJI MARU</t>
  </si>
  <si>
    <t>05011610123306-TPT-AIK-ANJUM KHAN</t>
  </si>
  <si>
    <t>12/02/20</t>
  </si>
  <si>
    <t>CHQ PAID-MICR CTS-MU-SHREE AMULAKH A B V</t>
  </si>
  <si>
    <t>50200043587575-TPT-ALUMINUM CHANNEL PAYMENT-SADHANA CRAFT LLP</t>
  </si>
  <si>
    <t>50200043587575-TPT-SADHANA-SADHANA CRAFT LLP</t>
  </si>
  <si>
    <t>SELF - CHQ PAID - MATUNGA EAST</t>
  </si>
  <si>
    <t>50200043587575-TPT-DHAR-SADHANA CRAFT LLP</t>
  </si>
  <si>
    <t>UPI-XXXXXX3951-ICIC0000973-004321692206-NA</t>
  </si>
  <si>
    <t>13/02/20</t>
  </si>
  <si>
    <t>UPI-XXXXXX3951-ICIC0000973-004428073466-NA</t>
  </si>
  <si>
    <t>ATW-512967XXXXXX2420-S1ANTH16-MUMBAI</t>
  </si>
  <si>
    <t>ATW-512967XXXXXX2420-S1ANTH15-MUMBAI</t>
  </si>
  <si>
    <t>14/02/20</t>
  </si>
  <si>
    <t>IMPS-004514304909-DHARMESH DEVJI MARU ICICI-ICIC-XXXXXXXX7507-NHPC</t>
  </si>
  <si>
    <t>50100029120690-TPT-CHETAN DEVALIYA NRO-CHETAN DINESHBHAI DEVALIYA</t>
  </si>
  <si>
    <t>50100009659065-TPT-YAG PATEL-YAGNESH NARANBHAI PATEL</t>
  </si>
  <si>
    <t>UPI-RAJENDRA OJHA-7873386070@YBL-BKID0005414-004523996004-PAYMENT FROM PHONE</t>
  </si>
  <si>
    <t>15/02/20</t>
  </si>
  <si>
    <t>POS 512967XXXXXX2420 KRSNA FOODTEK</t>
  </si>
  <si>
    <t>04241530002076-TPT-SURESHBHAI-SURESH BALU CHAUHAN</t>
  </si>
  <si>
    <t>RTGS DR-SBIN0020377-SHAKTI CLAY CREATION -MATUNGA EAST-HDFCR52020021569502860</t>
  </si>
  <si>
    <t>Salimbhai</t>
  </si>
  <si>
    <t>Axis bank 1st EMI</t>
  </si>
  <si>
    <t>Anjum Pending EMI</t>
  </si>
  <si>
    <t>Alluminum Channel Payment</t>
  </si>
  <si>
    <t>Paresh Soni Payment</t>
  </si>
  <si>
    <t>Azambhai Gadi Payment</t>
  </si>
  <si>
    <t>Loan Repayment</t>
  </si>
  <si>
    <t>Chetan Dinesh Devaliya</t>
  </si>
  <si>
    <t>Yagnesh Naranbhai Patel Patel</t>
  </si>
  <si>
    <t>Suresh Suresh</t>
  </si>
  <si>
    <t>Silu Fiber Murti</t>
  </si>
  <si>
    <t>Shakti</t>
  </si>
  <si>
    <t>Wax Payment</t>
  </si>
  <si>
    <t>Hotel Bill</t>
  </si>
  <si>
    <t>45000- Wax Payment,40000-Hitesh Suthar,200000-Narottam Cash,25000- Advance Suthar Work</t>
  </si>
  <si>
    <t>Row Labels</t>
  </si>
  <si>
    <t>Grand Total</t>
  </si>
  <si>
    <t>Sum of Amout</t>
  </si>
  <si>
    <t>TPT--Sadhana</t>
  </si>
  <si>
    <t>Arun Salary</t>
  </si>
  <si>
    <t>Expesnse</t>
  </si>
  <si>
    <t>Saptah Expense</t>
  </si>
  <si>
    <t>Pothi Payment for Saptah</t>
  </si>
  <si>
    <t>Balance</t>
  </si>
  <si>
    <t>Service Charge+ tax from HSBC</t>
  </si>
  <si>
    <t>Dilip Accounts</t>
  </si>
  <si>
    <t>Cash</t>
  </si>
  <si>
    <t>Card Payment</t>
  </si>
  <si>
    <t>Donation</t>
  </si>
  <si>
    <t>Kiran</t>
  </si>
  <si>
    <t xml:space="preserve">HDFC </t>
  </si>
  <si>
    <t>Yagnesh CC</t>
  </si>
  <si>
    <t>Mirch Masala</t>
  </si>
  <si>
    <t>Chetan Account</t>
  </si>
  <si>
    <t>Ashwin Jethawa</t>
  </si>
  <si>
    <t>Nro</t>
  </si>
  <si>
    <t>NRE</t>
  </si>
  <si>
    <t>Lilafui</t>
  </si>
  <si>
    <t>Hamukh Chawada</t>
  </si>
  <si>
    <t>Donation(Gausala)</t>
  </si>
  <si>
    <t>Moharambhai</t>
  </si>
  <si>
    <t>Sureshbhai</t>
  </si>
  <si>
    <t>March</t>
  </si>
  <si>
    <t>Saptah Donation</t>
  </si>
  <si>
    <t>Poonam Donation</t>
  </si>
  <si>
    <t>Haresh Treatment Advance</t>
  </si>
  <si>
    <t>Afzal Ganodwala</t>
  </si>
  <si>
    <t>Haresh Treatment Discharge</t>
  </si>
  <si>
    <t>Lilafui- Dineshfua Treatment</t>
  </si>
  <si>
    <t xml:space="preserve">Dharmesh </t>
  </si>
  <si>
    <t>Axis Vistare</t>
  </si>
  <si>
    <t>Dhara-Bhoomi Fees</t>
  </si>
  <si>
    <t>Arun Iphone Payment</t>
  </si>
  <si>
    <t>Arun Airport Expense</t>
  </si>
  <si>
    <t>Arun Friend (chandra sekhar wagh ) Transfer</t>
  </si>
  <si>
    <t>Arun Cash for Gold</t>
  </si>
  <si>
    <t>Arun Cash for Bapu-vapi</t>
  </si>
  <si>
    <t>Arun Cash from Sadhana</t>
  </si>
  <si>
    <t>Arun Account Transfer to 9797 ac</t>
  </si>
  <si>
    <t>Lilafui for Sheetal</t>
  </si>
  <si>
    <t>HSBC</t>
  </si>
  <si>
    <t>Cash for Gold</t>
  </si>
  <si>
    <t>Electric Bill</t>
  </si>
  <si>
    <t>Chetan Salary</t>
  </si>
  <si>
    <t>School Fees</t>
  </si>
  <si>
    <t>Course</t>
  </si>
  <si>
    <t>Cash for Matheran</t>
  </si>
  <si>
    <t>Course Fees</t>
  </si>
  <si>
    <t>Kadiya Kam</t>
  </si>
  <si>
    <t>Coc Renewal Fees</t>
  </si>
  <si>
    <t>Cash Withrawal from ATM</t>
  </si>
  <si>
    <t>Axis  Priviledge</t>
  </si>
  <si>
    <t>Axis MM</t>
  </si>
  <si>
    <t>citi bank</t>
  </si>
  <si>
    <t>Chetan Covid test</t>
  </si>
  <si>
    <t>Chetan Policy</t>
  </si>
  <si>
    <t>Chetan Shopping</t>
  </si>
  <si>
    <t>Sheetal Payment</t>
  </si>
  <si>
    <t>Sadhana Credit</t>
  </si>
  <si>
    <t>DC Fees</t>
  </si>
  <si>
    <t>Expense</t>
  </si>
  <si>
    <t>Dilip Cash</t>
  </si>
  <si>
    <t>Home Material</t>
  </si>
  <si>
    <t xml:space="preserve">Preeti Jenish </t>
  </si>
  <si>
    <t>Dhara Fees</t>
  </si>
  <si>
    <t>Mona Miss Fees</t>
  </si>
  <si>
    <t>Van Fees</t>
  </si>
  <si>
    <t>Ration Bill Bapu</t>
  </si>
  <si>
    <t>Khushi Phone</t>
  </si>
  <si>
    <t>Lilafui -Dineshfua na Dada mate</t>
  </si>
  <si>
    <t>Monthly EMI</t>
  </si>
  <si>
    <t>Sonographi</t>
  </si>
  <si>
    <t xml:space="preserve"> </t>
  </si>
  <si>
    <t>Ved Trusha Phonic Fees</t>
  </si>
  <si>
    <t>Arun Cash</t>
  </si>
  <si>
    <t>Arun Cash Ved Bday</t>
  </si>
  <si>
    <t>Ved Bike</t>
  </si>
  <si>
    <t>Bhikhaata Donation</t>
  </si>
  <si>
    <t>Arun Expense</t>
  </si>
  <si>
    <t>Fees</t>
  </si>
  <si>
    <t>Arun Personal</t>
  </si>
  <si>
    <t>Home Expanse</t>
  </si>
  <si>
    <t>Comment</t>
  </si>
  <si>
    <t>Expense Type</t>
  </si>
  <si>
    <t>Source</t>
  </si>
  <si>
    <t>Salary</t>
  </si>
  <si>
    <t>Interest</t>
  </si>
  <si>
    <t>Expense Detail</t>
  </si>
  <si>
    <t>Arun Personal Expense</t>
  </si>
  <si>
    <t>Total Amount</t>
  </si>
  <si>
    <t>Anjum CC</t>
  </si>
  <si>
    <t>Card Limit</t>
  </si>
  <si>
    <t>Account</t>
  </si>
  <si>
    <t>RBL</t>
  </si>
  <si>
    <t>VINOD</t>
  </si>
  <si>
    <t>SBI</t>
  </si>
  <si>
    <t>Axis mm</t>
  </si>
  <si>
    <t>Axis Priviledge</t>
  </si>
  <si>
    <t>CITI</t>
  </si>
  <si>
    <t>TOTAL</t>
  </si>
  <si>
    <t>EMI Payment</t>
  </si>
  <si>
    <t>Income Source</t>
  </si>
  <si>
    <t>Credit Card</t>
  </si>
  <si>
    <t>Anil</t>
  </si>
  <si>
    <t>Sadhana</t>
  </si>
  <si>
    <t>Narotam</t>
  </si>
  <si>
    <t>Credit Card Interest</t>
  </si>
  <si>
    <t>chetan</t>
  </si>
  <si>
    <t>Credit Card Swipe</t>
  </si>
  <si>
    <t>EMI CHART</t>
  </si>
  <si>
    <t>CREDIT CARD CHART</t>
  </si>
  <si>
    <t>DATE</t>
  </si>
  <si>
    <t>AMOUNT</t>
  </si>
  <si>
    <t>Khushi Lic</t>
  </si>
  <si>
    <t>Arun Sal</t>
  </si>
  <si>
    <t>Rahul Sal</t>
  </si>
  <si>
    <t>Dharmesh Sal</t>
  </si>
  <si>
    <t>chetan Sal</t>
  </si>
  <si>
    <t>Khushi Lic Fund</t>
  </si>
  <si>
    <t>Dinesh fua Dado</t>
  </si>
  <si>
    <t>Dinesh fua jamanvar</t>
  </si>
  <si>
    <t>Dinesh fua Navamu</t>
  </si>
  <si>
    <t>for Null Repair</t>
  </si>
  <si>
    <t>Bhoomi Bhakti Birthday</t>
  </si>
  <si>
    <t>From Sadhana</t>
  </si>
  <si>
    <t>Khushi Fees</t>
  </si>
  <si>
    <t xml:space="preserve">Gurupurnima </t>
  </si>
  <si>
    <t>Sharavan Pooja</t>
  </si>
  <si>
    <t>Raksha Bandhan</t>
  </si>
  <si>
    <t>Gpay</t>
  </si>
  <si>
    <t>Cash for Village</t>
  </si>
  <si>
    <t>Bhoomi Fees</t>
  </si>
  <si>
    <t>Bhakti Fees</t>
  </si>
  <si>
    <t>Surat cash</t>
  </si>
  <si>
    <t>Surat Hotel</t>
  </si>
  <si>
    <t>Surat Chaniya choli</t>
  </si>
  <si>
    <t>Train Ticket</t>
  </si>
  <si>
    <t>Rinkal Cloth</t>
  </si>
  <si>
    <t>Gold</t>
  </si>
  <si>
    <t>Bhuleshwar</t>
  </si>
  <si>
    <t>Saree</t>
  </si>
  <si>
    <t>Saree Payment</t>
  </si>
  <si>
    <t>Paresh Soni Gold</t>
  </si>
  <si>
    <t>Arun Goa Trip Transport</t>
  </si>
  <si>
    <t>Bharatbhai Jethwa</t>
  </si>
  <si>
    <t>Rahul Loan</t>
  </si>
  <si>
    <t>Paresh soni</t>
  </si>
  <si>
    <t>June</t>
  </si>
  <si>
    <t>July</t>
  </si>
  <si>
    <t>May</t>
  </si>
  <si>
    <t>Aug</t>
  </si>
  <si>
    <t>HP</t>
  </si>
  <si>
    <t>Santkrupa</t>
  </si>
  <si>
    <t>Payee</t>
  </si>
  <si>
    <t>Loan Amount</t>
  </si>
  <si>
    <t>End Date</t>
  </si>
  <si>
    <t>`</t>
  </si>
  <si>
    <t>Narottambhai</t>
  </si>
  <si>
    <t>ICICI</t>
  </si>
  <si>
    <t>hdfc</t>
  </si>
  <si>
    <t>Mode</t>
  </si>
  <si>
    <t>Chetan Electric Meter</t>
  </si>
  <si>
    <t>Arun bhai</t>
  </si>
  <si>
    <t>CC Interest</t>
  </si>
  <si>
    <t>Other Interest</t>
  </si>
  <si>
    <t xml:space="preserve">EMI </t>
  </si>
  <si>
    <t>Home Expense</t>
  </si>
  <si>
    <t>Marriage Expense</t>
  </si>
  <si>
    <t>Tution Fees</t>
  </si>
  <si>
    <t>School fees</t>
  </si>
  <si>
    <t>Difference</t>
  </si>
  <si>
    <t>Malaysia Payment</t>
  </si>
  <si>
    <t>Jun-July</t>
  </si>
  <si>
    <t>Narottam bhai</t>
  </si>
  <si>
    <t>Vendor Credit</t>
  </si>
  <si>
    <t>Kotak EMI</t>
  </si>
  <si>
    <t>HDFC EMI</t>
  </si>
  <si>
    <t>Pappa Shrad Expense</t>
  </si>
  <si>
    <t>Ved Trusha Bhoomi Dhara Fees</t>
  </si>
  <si>
    <t>Arun OnePlus Phone</t>
  </si>
  <si>
    <t>Ved Trusha Phonic fees</t>
  </si>
  <si>
    <t>Dharmesh Share market Investment</t>
  </si>
  <si>
    <t>Haresh Parmar</t>
  </si>
  <si>
    <t>Bhai</t>
  </si>
  <si>
    <t>Arun 2022-2023 Salary</t>
  </si>
  <si>
    <t>Remarks</t>
  </si>
  <si>
    <t>Jetpur Expense</t>
  </si>
  <si>
    <t>Arun Account ICICI</t>
  </si>
  <si>
    <t>Harshad Mandir Dan</t>
  </si>
  <si>
    <t>Jan EMI</t>
  </si>
  <si>
    <t>Feb EMI</t>
  </si>
  <si>
    <t>BHAI</t>
  </si>
  <si>
    <t>Tax in NRE</t>
  </si>
  <si>
    <t>Name</t>
  </si>
  <si>
    <t>Card</t>
  </si>
  <si>
    <t>Due date</t>
  </si>
  <si>
    <t>Status</t>
  </si>
  <si>
    <t>Paid</t>
  </si>
  <si>
    <t>Available Limit</t>
  </si>
  <si>
    <t>SBI F</t>
  </si>
  <si>
    <t>Axis Previledge</t>
  </si>
  <si>
    <t>SBI Simple</t>
  </si>
  <si>
    <t>Tata</t>
  </si>
  <si>
    <t>Fibe</t>
  </si>
  <si>
    <t>Bajaj Card</t>
  </si>
  <si>
    <t>Ration</t>
  </si>
  <si>
    <t>Rajubhai</t>
  </si>
  <si>
    <t>CC Charges</t>
  </si>
  <si>
    <t>Overlimit</t>
  </si>
  <si>
    <t>Dharmesh Salary</t>
  </si>
  <si>
    <t>cc interest</t>
  </si>
  <si>
    <t>Rahul Loan Detail</t>
  </si>
  <si>
    <t xml:space="preserve">Type </t>
  </si>
  <si>
    <t>Reason</t>
  </si>
  <si>
    <t>Personal Loan</t>
  </si>
  <si>
    <t>For Sadhana EMI</t>
  </si>
  <si>
    <t>Rahul Return</t>
  </si>
  <si>
    <t>Transfer</t>
  </si>
  <si>
    <t>Return 31-Mar-2023</t>
  </si>
  <si>
    <t>Mar-20 to Jan 23</t>
  </si>
  <si>
    <t>For Monthly EMI</t>
  </si>
  <si>
    <t>From BOB</t>
  </si>
  <si>
    <t>Personal Arrangement Retrun</t>
  </si>
  <si>
    <t>Interest 4year @12%</t>
  </si>
  <si>
    <t>Website and other misc</t>
  </si>
  <si>
    <t>PREETI S DEVALIYA</t>
  </si>
  <si>
    <t>for Paying EMI before Covid</t>
  </si>
  <si>
    <t>18 Lakh to Bhimji bhai
10 Lakh to Narotam bhai cash</t>
  </si>
  <si>
    <t>Ttoal Interest</t>
  </si>
  <si>
    <t>Paying Mahesh Loan</t>
  </si>
  <si>
    <t xml:space="preserve">Previous Loan </t>
  </si>
  <si>
    <t>Balance on hand</t>
  </si>
  <si>
    <t>Dilip Interest</t>
  </si>
  <si>
    <t>Cibil Correction</t>
  </si>
  <si>
    <t>Light bill</t>
  </si>
  <si>
    <t>04/03/23</t>
  </si>
  <si>
    <t>05011610165174-TPT-LILAFUI-DHARMESH DEVJI MARU</t>
  </si>
  <si>
    <t>08/03/23</t>
  </si>
  <si>
    <t>10/03/23</t>
  </si>
  <si>
    <t>05011610165174-TPT-NITIN PHOTOGRAPHER-DHARMESH DEVJI MARU</t>
  </si>
  <si>
    <t>15/03/23</t>
  </si>
  <si>
    <t>05011610165174-TPT-PARESH BHAI MARU-DHARMESH DEVJI MARU</t>
  </si>
  <si>
    <t>03/04/23</t>
  </si>
  <si>
    <t>05011610165174-TPT-CHETAN LILAFUI MILK-DHARMESH DEVJI MARU</t>
  </si>
  <si>
    <t>10/04/23</t>
  </si>
  <si>
    <t>NEFT CR-KKBK0000958-SIRIUS SHIP MANAGEMENT SRL DAMICO-DEVALIYA CHETAN DINESHBHAI-KKBKH23100191933</t>
  </si>
  <si>
    <t>18/04/23</t>
  </si>
  <si>
    <t>05011610165174-TPT-MOHRAM BHAI CHETAN-DHARMESH DEVJI MARU</t>
  </si>
  <si>
    <t>17/05/23</t>
  </si>
  <si>
    <t>05011610165174-TPT-CHETAN VISA FEES-DHARMESH DEVJI MARU</t>
  </si>
  <si>
    <t>25/05/23</t>
  </si>
  <si>
    <t>05011610165174-TPT-CHETAN LILAFUI CASH-DHARMESH DEVJI MARU</t>
  </si>
  <si>
    <t>22/06/23</t>
  </si>
  <si>
    <t>06/07/23</t>
  </si>
  <si>
    <t>IMPS-318712128505-SONAL MARU HDFC-HDFC-XXXXXXXXXX9797-LILA FUILIGHT BILL</t>
  </si>
  <si>
    <t>NEFT CR-KKBK0000958-SIRIUS SHIP MANAGEMENT SRL DAMICO-DEVALIYA CHETAN DINESHBHAI-KKBKH23187476518</t>
  </si>
  <si>
    <t>25/07/23</t>
  </si>
  <si>
    <t>50100135989797-TPT-LILA FUI 10K-SONAL DHARMESH MARU</t>
  </si>
  <si>
    <t>03/08/23</t>
  </si>
  <si>
    <t>NEFT CR-KKBK0000958-SIRIUS SHIP MANAGEMENT SRL DAMICO-DEVALIYA CHETAN DINESHBHAI-KKBKH23215339143</t>
  </si>
  <si>
    <t>05011610165174-TPT-LILA FUI-DHARMESH DEVJI MARU</t>
  </si>
  <si>
    <t>08/08/23</t>
  </si>
  <si>
    <t>50100135989797-TPT-LILA FUI FOR MEDICIN-SONAL DHARMESH MARU</t>
  </si>
  <si>
    <t>10/08/23</t>
  </si>
  <si>
    <t>50100135989797-TPT-CHETAN SON MEDICAL-SONAL DHARMESH MARU</t>
  </si>
  <si>
    <t>10/11/23</t>
  </si>
  <si>
    <t>NEFT CR-KKBK0000958-SIRIUS SHIP MANAGEMENT SRL DAMICO-DEVALIYA CHETAN DINESHBHAI-KKBKH23314585070</t>
  </si>
  <si>
    <t>05/12/23</t>
  </si>
  <si>
    <t>NEFT CR-KKBK0000958-SIRIUS SHIP MANAGEMENT SRL DAMICO-DEVALIYA CHETAN DINESHBHAI-KKBKH23339161919</t>
  </si>
  <si>
    <t>11/12/23</t>
  </si>
  <si>
    <t>05011610165174-TPT-LILAFUI CASH-DHARMESH DEVJI MARU</t>
  </si>
  <si>
    <t>18/12/23</t>
  </si>
  <si>
    <t>50200000003402   16503776 HLIC INST</t>
  </si>
  <si>
    <t>03/01/24</t>
  </si>
  <si>
    <t>NEFT CR-KKBK0000958-SIRIUS SHIP MANAGEMENT SRL DAMICO-DEVALIYA CHETAN DINESHBHAI-KKBKH24003114538</t>
  </si>
  <si>
    <t>01/02/24</t>
  </si>
  <si>
    <t>50100135989797-TPT-LILA FUI CASH-SONAL DHARMESH MARU</t>
  </si>
  <si>
    <t>05/02/24</t>
  </si>
  <si>
    <t>NEFT CR-KKBK0000958-SIRIUS SHIP MANAGEMENT SRL DAMICO-DEVALIYA CHETAN DINESHBHAI-KKBKH24036181292</t>
  </si>
  <si>
    <t>balance</t>
  </si>
  <si>
    <t>50100135989797-TPT-CASH-SONAL DHARMESH MARU/Lilafui</t>
  </si>
  <si>
    <t>Income</t>
  </si>
  <si>
    <t>Policy</t>
  </si>
  <si>
    <t xml:space="preserve">Home Light bill </t>
  </si>
  <si>
    <t>Kharcho</t>
  </si>
  <si>
    <t>Balnace</t>
  </si>
  <si>
    <t>Early sal</t>
  </si>
  <si>
    <t>Yag ICICI</t>
  </si>
  <si>
    <t>Jar</t>
  </si>
  <si>
    <t>Paytm</t>
  </si>
  <si>
    <t>Sujeet</t>
  </si>
  <si>
    <t>Masala</t>
  </si>
  <si>
    <t>Gausala</t>
  </si>
  <si>
    <t>Arun Shares</t>
  </si>
  <si>
    <t>Clix</t>
  </si>
  <si>
    <t>Home</t>
  </si>
  <si>
    <t>Haresh bhai</t>
  </si>
  <si>
    <t>Jameel bhai</t>
  </si>
  <si>
    <t>Box wada</t>
  </si>
  <si>
    <t>Deepak bhai</t>
  </si>
  <si>
    <t>Sajeed bhai</t>
  </si>
  <si>
    <t>owais</t>
  </si>
  <si>
    <t>Rent</t>
  </si>
  <si>
    <t>Saalry</t>
  </si>
  <si>
    <t>Udhar</t>
  </si>
  <si>
    <t>Kala Matala</t>
  </si>
  <si>
    <t>Cash in hand</t>
  </si>
  <si>
    <t>week 06 Apr- 07-Apr</t>
  </si>
  <si>
    <t>Dasarth</t>
  </si>
  <si>
    <t>Hukampal</t>
  </si>
  <si>
    <t>week 08 Apr- 13-Apr</t>
  </si>
  <si>
    <t>week 13 Apr- 20-Apr</t>
  </si>
  <si>
    <t>Expense 2024</t>
  </si>
  <si>
    <t>Milk</t>
  </si>
  <si>
    <t>Vegetable</t>
  </si>
  <si>
    <t>Dryfruit</t>
  </si>
  <si>
    <t>Ghee</t>
  </si>
  <si>
    <t>nasto</t>
  </si>
  <si>
    <t>chaa bhuki</t>
  </si>
  <si>
    <t>Agarbati</t>
  </si>
  <si>
    <t>Gas</t>
  </si>
  <si>
    <t>Kamwadi bai</t>
  </si>
  <si>
    <t>wholesale</t>
  </si>
  <si>
    <t>Surf</t>
  </si>
  <si>
    <t>Telephone bill</t>
  </si>
  <si>
    <t>Electric bill</t>
  </si>
  <si>
    <t>Medical</t>
  </si>
  <si>
    <t>Petrol</t>
  </si>
  <si>
    <t xml:space="preserve">Sonal </t>
  </si>
  <si>
    <t>Kanchan</t>
  </si>
  <si>
    <t>Books</t>
  </si>
  <si>
    <t>Stationary</t>
  </si>
  <si>
    <t xml:space="preserve">April </t>
  </si>
  <si>
    <t>Chaitra month Jamanvar</t>
  </si>
  <si>
    <t>April -May</t>
  </si>
  <si>
    <t>Mango</t>
  </si>
  <si>
    <t xml:space="preserve">June </t>
  </si>
  <si>
    <t>Bheem Agayaras</t>
  </si>
  <si>
    <t>Birthday month</t>
  </si>
  <si>
    <t>satam atham</t>
  </si>
  <si>
    <t>Rakshabandhan</t>
  </si>
  <si>
    <t>Pooja</t>
  </si>
  <si>
    <t>babaji ni thithi</t>
  </si>
  <si>
    <t>October</t>
  </si>
  <si>
    <t>Diwali</t>
  </si>
  <si>
    <t>Ved</t>
  </si>
  <si>
    <t>Trusha</t>
  </si>
  <si>
    <t>Dhara</t>
  </si>
  <si>
    <t>Bhoomi</t>
  </si>
  <si>
    <t>Breakfast</t>
  </si>
  <si>
    <t>Robotices</t>
  </si>
  <si>
    <t xml:space="preserve">Computer fees </t>
  </si>
  <si>
    <t>Term Fess</t>
  </si>
  <si>
    <t>Bhoomi Robotic</t>
  </si>
  <si>
    <t>Bhakti Robotic</t>
  </si>
  <si>
    <t>Bhoomi Bhakti Class fees</t>
  </si>
  <si>
    <t>Khushi fees</t>
  </si>
  <si>
    <t>Bhakti</t>
  </si>
  <si>
    <t>Khushi Dhara Bharat natayam</t>
  </si>
  <si>
    <t xml:space="preserve">Total </t>
  </si>
  <si>
    <t>Monthwise fixed expanse</t>
  </si>
  <si>
    <t>Monthly Expanse 2024</t>
  </si>
  <si>
    <t>Fees Structure for July</t>
  </si>
  <si>
    <t>April Expanse 2024</t>
  </si>
  <si>
    <t>Bhoomi Bhakti Books</t>
  </si>
  <si>
    <t>Chunnari</t>
  </si>
  <si>
    <t>Bhakti ved chasma</t>
  </si>
  <si>
    <t>Extra Expense</t>
  </si>
  <si>
    <t>A</t>
  </si>
  <si>
    <t>outstanding
As of 14-05-2024</t>
  </si>
  <si>
    <t>LAN</t>
  </si>
  <si>
    <t>067902210667325</t>
  </si>
  <si>
    <t>AC2020012725426</t>
  </si>
  <si>
    <t>Outstanding</t>
  </si>
  <si>
    <t>0226834/6908/6821</t>
  </si>
  <si>
    <t>dhar1509</t>
  </si>
  <si>
    <t>LBNFW19234496</t>
  </si>
  <si>
    <t>App Loan</t>
  </si>
  <si>
    <t>dilip Interest</t>
  </si>
  <si>
    <t>Preeti</t>
  </si>
  <si>
    <t>Mahesh Loan closing</t>
  </si>
  <si>
    <t>Interest @ 12 p.a</t>
  </si>
  <si>
    <t xml:space="preserve">website </t>
  </si>
  <si>
    <t>Rahul Friend</t>
  </si>
  <si>
    <t>Interest @ 2% per month</t>
  </si>
  <si>
    <t>Rahul Grand total</t>
  </si>
  <si>
    <t>Preeti Grand total</t>
  </si>
  <si>
    <t>Rahul's Friends Total</t>
  </si>
  <si>
    <t>Paresh soni loan closer</t>
  </si>
  <si>
    <t>Net Balance</t>
  </si>
  <si>
    <t>18 Lakh to Bhimji bhai
8 Lakh to Narotam bhai cash
4 lakh Gausahala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</si>
</sst>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* #,##0_ ;_ * \-#,##0_ ;_ * &quot;-&quot;??_ ;_ @_ "/>
    <numFmt numFmtId="165" formatCode="d\-mmm\-yy;@"/>
    <numFmt numFmtId="166" formatCode="_(* #,##0_);_(* \(#,##0\);_(* &quot;-&quot;??_);_(@_)"/>
    <numFmt numFmtId="167" formatCode="_ &quot;₹&quot;\ * #,##0_ ;_ &quot;₹&quot;\ * \-#,##0_ ;_ &quot;₹&quot;\ * &quot;-&quot;??_ ;_ @_ "/>
    <numFmt numFmtId="168" formatCode="[$-F800]dddd\,\ mmmm\ dd\,\ yyyy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&amp;quot"/>
    </font>
    <font>
      <sz val="12"/>
      <color rgb="FF222222"/>
      <name val="Arial"/>
      <family val="2"/>
    </font>
    <font>
      <i/>
      <sz val="12"/>
      <color rgb="FFAD275F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 MT"/>
      <family val="2"/>
    </font>
    <font>
      <sz val="10"/>
      <name val="Arial MT"/>
    </font>
    <font>
      <sz val="11"/>
      <color rgb="FF000000"/>
      <name val="Calibri"/>
      <family val="2"/>
      <scheme val="minor"/>
    </font>
    <font>
      <b/>
      <sz val="10"/>
      <name val="Arial MT"/>
    </font>
  </fonts>
  <fills count="2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213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" fontId="1" fillId="2" borderId="1" xfId="0" applyNumberFormat="1" applyFont="1" applyFill="1" applyBorder="1"/>
    <xf numFmtId="1" fontId="0" fillId="0" borderId="0" xfId="0" applyNumberFormat="1"/>
    <xf numFmtId="3" fontId="0" fillId="0" borderId="1" xfId="0" applyNumberFormat="1" applyBorder="1"/>
    <xf numFmtId="3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14" fontId="0" fillId="0" borderId="1" xfId="0" applyNumberFormat="1" applyBorder="1"/>
    <xf numFmtId="10" fontId="0" fillId="0" borderId="0" xfId="0" applyNumberFormat="1"/>
    <xf numFmtId="10" fontId="1" fillId="2" borderId="1" xfId="0" applyNumberFormat="1" applyFont="1" applyFill="1" applyBorder="1"/>
    <xf numFmtId="10" fontId="0" fillId="0" borderId="1" xfId="0" applyNumberFormat="1" applyBorder="1"/>
    <xf numFmtId="0" fontId="3" fillId="0" borderId="1" xfId="0" applyFont="1" applyBorder="1"/>
    <xf numFmtId="9" fontId="0" fillId="0" borderId="1" xfId="0" applyNumberFormat="1" applyBorder="1"/>
    <xf numFmtId="0" fontId="2" fillId="0" borderId="1" xfId="0" applyFont="1" applyBorder="1"/>
    <xf numFmtId="0" fontId="4" fillId="0" borderId="1" xfId="0" applyFont="1" applyBorder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5" fontId="0" fillId="0" borderId="0" xfId="0" applyNumberFormat="1"/>
    <xf numFmtId="15" fontId="0" fillId="0" borderId="7" xfId="0" applyNumberFormat="1" applyBorder="1" applyAlignment="1">
      <alignment vertical="center"/>
    </xf>
    <xf numFmtId="3" fontId="0" fillId="0" borderId="8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15" fontId="0" fillId="0" borderId="2" xfId="0" applyNumberFormat="1" applyBorder="1" applyAlignment="1">
      <alignment vertical="center"/>
    </xf>
    <xf numFmtId="3" fontId="0" fillId="0" borderId="3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0" fontId="1" fillId="4" borderId="2" xfId="0" applyFont="1" applyFill="1" applyBorder="1" applyAlignment="1">
      <alignment vertical="center"/>
    </xf>
    <xf numFmtId="3" fontId="1" fillId="4" borderId="3" xfId="0" applyNumberFormat="1" applyFont="1" applyFill="1" applyBorder="1" applyAlignment="1">
      <alignment vertical="center"/>
    </xf>
    <xf numFmtId="3" fontId="1" fillId="4" borderId="1" xfId="0" applyNumberFormat="1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3" fontId="1" fillId="5" borderId="5" xfId="0" applyNumberFormat="1" applyFont="1" applyFill="1" applyBorder="1" applyAlignment="1">
      <alignment vertical="center"/>
    </xf>
    <xf numFmtId="0" fontId="1" fillId="5" borderId="6" xfId="0" applyFont="1" applyFill="1" applyBorder="1" applyAlignment="1">
      <alignment horizontal="center" vertical="center"/>
    </xf>
    <xf numFmtId="3" fontId="1" fillId="5" borderId="5" xfId="0" applyNumberFormat="1" applyFont="1" applyFill="1" applyBorder="1" applyAlignment="1">
      <alignment horizontal="center" vertical="center"/>
    </xf>
    <xf numFmtId="0" fontId="1" fillId="0" borderId="1" xfId="0" applyFont="1" applyBorder="1"/>
    <xf numFmtId="3" fontId="0" fillId="0" borderId="0" xfId="0" applyNumberFormat="1"/>
    <xf numFmtId="3" fontId="0" fillId="0" borderId="12" xfId="0" applyNumberFormat="1" applyBorder="1" applyAlignment="1">
      <alignment vertical="center"/>
    </xf>
    <xf numFmtId="164" fontId="0" fillId="0" borderId="0" xfId="1" applyNumberFormat="1" applyFont="1"/>
    <xf numFmtId="164" fontId="0" fillId="0" borderId="0" xfId="0" applyNumberFormat="1"/>
    <xf numFmtId="15" fontId="1" fillId="0" borderId="0" xfId="0" applyNumberFormat="1" applyFont="1"/>
    <xf numFmtId="164" fontId="0" fillId="0" borderId="1" xfId="0" applyNumberFormat="1" applyBorder="1"/>
    <xf numFmtId="15" fontId="0" fillId="0" borderId="1" xfId="0" applyNumberFormat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15" fontId="0" fillId="7" borderId="1" xfId="0" applyNumberForma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/>
    </xf>
    <xf numFmtId="43" fontId="0" fillId="0" borderId="0" xfId="1" applyFont="1"/>
    <xf numFmtId="164" fontId="1" fillId="0" borderId="1" xfId="1" applyNumberFormat="1" applyFont="1" applyBorder="1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1" applyNumberFormat="1" applyFont="1" applyFill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17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5" fontId="0" fillId="0" borderId="14" xfId="0" applyNumberFormat="1" applyBorder="1" applyAlignment="1">
      <alignment vertical="center"/>
    </xf>
    <xf numFmtId="0" fontId="1" fillId="3" borderId="17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43" fontId="1" fillId="5" borderId="1" xfId="1" applyFont="1" applyFill="1" applyBorder="1" applyAlignment="1">
      <alignment vertical="center"/>
    </xf>
    <xf numFmtId="3" fontId="1" fillId="5" borderId="1" xfId="0" applyNumberFormat="1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3" fontId="1" fillId="5" borderId="1" xfId="0" applyNumberFormat="1" applyFont="1" applyFill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3" fontId="1" fillId="4" borderId="1" xfId="1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164" fontId="0" fillId="0" borderId="1" xfId="1" applyNumberFormat="1" applyFont="1" applyBorder="1" applyAlignment="1"/>
    <xf numFmtId="15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5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" fontId="0" fillId="0" borderId="0" xfId="0" applyNumberFormat="1"/>
    <xf numFmtId="15" fontId="0" fillId="0" borderId="1" xfId="0" applyNumberFormat="1" applyBorder="1"/>
    <xf numFmtId="164" fontId="0" fillId="0" borderId="1" xfId="1" applyNumberFormat="1" applyFont="1" applyBorder="1"/>
    <xf numFmtId="164" fontId="0" fillId="0" borderId="0" xfId="1" applyNumberFormat="1" applyFont="1" applyBorder="1" applyAlignment="1">
      <alignment horizontal="center" vertical="center"/>
    </xf>
    <xf numFmtId="43" fontId="0" fillId="0" borderId="0" xfId="0" applyNumberFormat="1"/>
    <xf numFmtId="0" fontId="1" fillId="7" borderId="0" xfId="0" applyFont="1" applyFill="1" applyAlignment="1">
      <alignment horizontal="center"/>
    </xf>
    <xf numFmtId="164" fontId="1" fillId="2" borderId="0" xfId="1" applyNumberFormat="1" applyFont="1" applyFill="1" applyBorder="1" applyAlignment="1">
      <alignment horizontal="center" vertical="center"/>
    </xf>
    <xf numFmtId="164" fontId="1" fillId="0" borderId="0" xfId="1" applyNumberFormat="1" applyFont="1" applyBorder="1" applyAlignment="1">
      <alignment horizontal="center" vertical="center"/>
    </xf>
    <xf numFmtId="17" fontId="0" fillId="0" borderId="0" xfId="0" applyNumberFormat="1"/>
    <xf numFmtId="3" fontId="1" fillId="6" borderId="1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3" fontId="1" fillId="10" borderId="22" xfId="0" applyNumberFormat="1" applyFon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164" fontId="0" fillId="8" borderId="1" xfId="1" applyNumberFormat="1" applyFont="1" applyFill="1" applyBorder="1" applyAlignment="1"/>
    <xf numFmtId="0" fontId="0" fillId="0" borderId="23" xfId="0" applyBorder="1" applyAlignment="1">
      <alignment horizontal="center" vertical="center"/>
    </xf>
    <xf numFmtId="164" fontId="0" fillId="0" borderId="23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0" xfId="1" applyNumberFormat="1" applyFont="1"/>
    <xf numFmtId="15" fontId="1" fillId="11" borderId="1" xfId="0" applyNumberFormat="1" applyFont="1" applyFill="1" applyBorder="1" applyAlignment="1">
      <alignment horizontal="center" vertical="center"/>
    </xf>
    <xf numFmtId="164" fontId="1" fillId="11" borderId="1" xfId="1" applyNumberFormat="1" applyFont="1" applyFill="1" applyBorder="1" applyAlignment="1">
      <alignment horizontal="center" vertical="center"/>
    </xf>
    <xf numFmtId="15" fontId="0" fillId="12" borderId="1" xfId="0" applyNumberFormat="1" applyFill="1" applyBorder="1" applyAlignment="1">
      <alignment horizontal="center" vertical="center"/>
    </xf>
    <xf numFmtId="164" fontId="0" fillId="12" borderId="1" xfId="1" applyNumberFormat="1" applyFont="1" applyFill="1" applyBorder="1" applyAlignment="1">
      <alignment horizontal="center" vertical="center"/>
    </xf>
    <xf numFmtId="15" fontId="0" fillId="0" borderId="1" xfId="0" applyNumberFormat="1" applyBorder="1" applyAlignment="1">
      <alignment horizontal="center"/>
    </xf>
    <xf numFmtId="0" fontId="0" fillId="12" borderId="1" xfId="0" applyFill="1" applyBorder="1" applyAlignment="1">
      <alignment horizontal="center"/>
    </xf>
    <xf numFmtId="15" fontId="1" fillId="2" borderId="1" xfId="0" applyNumberFormat="1" applyFont="1" applyFill="1" applyBorder="1" applyAlignment="1">
      <alignment horizontal="center"/>
    </xf>
    <xf numFmtId="164" fontId="1" fillId="2" borderId="1" xfId="1" applyNumberFormat="1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1" applyNumberFormat="1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 vertical="center"/>
    </xf>
    <xf numFmtId="164" fontId="1" fillId="15" borderId="1" xfId="1" applyNumberFormat="1" applyFont="1" applyFill="1" applyBorder="1" applyAlignment="1">
      <alignment horizontal="center" vertical="center"/>
    </xf>
    <xf numFmtId="15" fontId="1" fillId="15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1" fillId="2" borderId="0" xfId="0" applyFont="1" applyFill="1"/>
    <xf numFmtId="0" fontId="1" fillId="0" borderId="0" xfId="0" applyFont="1"/>
    <xf numFmtId="164" fontId="0" fillId="0" borderId="1" xfId="1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horizontal="right" vertical="top" shrinkToFit="1"/>
    </xf>
    <xf numFmtId="165" fontId="8" fillId="0" borderId="0" xfId="0" applyNumberFormat="1" applyFont="1" applyAlignment="1">
      <alignment horizontal="right" vertical="top" shrinkToFit="1"/>
    </xf>
    <xf numFmtId="3" fontId="7" fillId="0" borderId="0" xfId="0" applyNumberFormat="1" applyFont="1" applyAlignment="1">
      <alignment horizontal="left" vertical="top" wrapText="1"/>
    </xf>
    <xf numFmtId="166" fontId="0" fillId="0" borderId="0" xfId="1" applyNumberFormat="1" applyFont="1"/>
    <xf numFmtId="3" fontId="1" fillId="0" borderId="0" xfId="0" applyNumberFormat="1" applyFont="1"/>
    <xf numFmtId="3" fontId="9" fillId="0" borderId="0" xfId="0" applyNumberFormat="1" applyFont="1" applyAlignment="1">
      <alignment horizontal="left" vertical="top" wrapText="1"/>
    </xf>
    <xf numFmtId="164" fontId="0" fillId="0" borderId="0" xfId="1" applyNumberFormat="1" applyFont="1" applyFill="1" applyBorder="1" applyAlignment="1">
      <alignment horizontal="center" vertical="center"/>
    </xf>
    <xf numFmtId="164" fontId="0" fillId="0" borderId="1" xfId="1" applyNumberFormat="1" applyFont="1" applyFill="1" applyBorder="1"/>
    <xf numFmtId="0" fontId="0" fillId="0" borderId="26" xfId="0" applyBorder="1" applyAlignment="1">
      <alignment horizontal="center" vertical="center"/>
    </xf>
    <xf numFmtId="164" fontId="0" fillId="0" borderId="23" xfId="1" applyNumberFormat="1" applyFont="1" applyFill="1" applyBorder="1"/>
    <xf numFmtId="164" fontId="1" fillId="11" borderId="1" xfId="1" applyNumberFormat="1" applyFont="1" applyFill="1" applyBorder="1"/>
    <xf numFmtId="0" fontId="1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164" fontId="1" fillId="11" borderId="1" xfId="0" applyNumberFormat="1" applyFont="1" applyFill="1" applyBorder="1" applyAlignment="1">
      <alignment horizontal="center" vertical="center"/>
    </xf>
    <xf numFmtId="0" fontId="0" fillId="11" borderId="1" xfId="0" applyFill="1" applyBorder="1"/>
    <xf numFmtId="164" fontId="5" fillId="0" borderId="1" xfId="1" applyNumberFormat="1" applyFont="1" applyBorder="1"/>
    <xf numFmtId="0" fontId="1" fillId="18" borderId="1" xfId="0" applyFont="1" applyFill="1" applyBorder="1"/>
    <xf numFmtId="164" fontId="1" fillId="18" borderId="1" xfId="0" applyNumberFormat="1" applyFont="1" applyFill="1" applyBorder="1"/>
    <xf numFmtId="0" fontId="1" fillId="2" borderId="1" xfId="0" applyFont="1" applyFill="1" applyBorder="1" applyAlignment="1">
      <alignment wrapText="1"/>
    </xf>
    <xf numFmtId="49" fontId="0" fillId="0" borderId="1" xfId="0" applyNumberFormat="1" applyBorder="1"/>
    <xf numFmtId="49" fontId="0" fillId="0" borderId="1" xfId="1" applyNumberFormat="1" applyFont="1" applyBorder="1"/>
    <xf numFmtId="4" fontId="0" fillId="0" borderId="1" xfId="0" applyNumberFormat="1" applyBorder="1"/>
    <xf numFmtId="3" fontId="0" fillId="8" borderId="1" xfId="0" applyNumberFormat="1" applyFill="1" applyBorder="1"/>
    <xf numFmtId="164" fontId="1" fillId="0" borderId="1" xfId="1" applyNumberFormat="1" applyFont="1" applyBorder="1" applyAlignment="1">
      <alignment horizontal="center"/>
    </xf>
    <xf numFmtId="167" fontId="0" fillId="0" borderId="0" xfId="2" applyNumberFormat="1" applyFont="1"/>
    <xf numFmtId="164" fontId="0" fillId="0" borderId="1" xfId="1" applyNumberFormat="1" applyFont="1" applyFill="1" applyBorder="1" applyAlignment="1">
      <alignment horizontal="center"/>
    </xf>
    <xf numFmtId="167" fontId="0" fillId="0" borderId="1" xfId="2" applyNumberFormat="1" applyFont="1" applyFill="1" applyBorder="1" applyAlignment="1"/>
    <xf numFmtId="3" fontId="9" fillId="0" borderId="1" xfId="0" applyNumberFormat="1" applyFont="1" applyBorder="1" applyAlignment="1">
      <alignment horizontal="center" vertical="center" wrapText="1"/>
    </xf>
    <xf numFmtId="167" fontId="0" fillId="0" borderId="1" xfId="2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 shrinkToFit="1"/>
    </xf>
    <xf numFmtId="167" fontId="7" fillId="0" borderId="1" xfId="2" applyNumberFormat="1" applyFont="1" applyBorder="1" applyAlignment="1">
      <alignment horizontal="center" vertical="center" wrapText="1"/>
    </xf>
    <xf numFmtId="167" fontId="1" fillId="0" borderId="1" xfId="2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7" fontId="9" fillId="0" borderId="1" xfId="2" applyNumberFormat="1" applyFont="1" applyBorder="1" applyAlignment="1">
      <alignment horizontal="center" vertical="center" wrapText="1"/>
    </xf>
    <xf numFmtId="164" fontId="1" fillId="6" borderId="1" xfId="0" applyNumberFormat="1" applyFont="1" applyFill="1" applyBorder="1" applyAlignment="1">
      <alignment horizontal="center" vertical="center"/>
    </xf>
    <xf numFmtId="167" fontId="1" fillId="6" borderId="1" xfId="2" applyNumberFormat="1" applyFont="1" applyFill="1" applyBorder="1" applyAlignment="1">
      <alignment horizontal="center" vertical="center"/>
    </xf>
    <xf numFmtId="168" fontId="1" fillId="0" borderId="0" xfId="0" applyNumberFormat="1" applyFont="1"/>
    <xf numFmtId="0" fontId="1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7" fontId="0" fillId="0" borderId="1" xfId="2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67" fontId="1" fillId="3" borderId="1" xfId="2" applyNumberFormat="1" applyFont="1" applyFill="1" applyBorder="1" applyAlignment="1">
      <alignment horizontal="center" vertical="center"/>
    </xf>
    <xf numFmtId="168" fontId="1" fillId="3" borderId="1" xfId="2" applyNumberFormat="1" applyFont="1" applyFill="1" applyBorder="1" applyAlignment="1">
      <alignment horizontal="center" vertical="center"/>
    </xf>
    <xf numFmtId="168" fontId="0" fillId="0" borderId="1" xfId="2" applyNumberFormat="1" applyFont="1" applyBorder="1" applyAlignment="1">
      <alignment horizontal="center" vertical="center"/>
    </xf>
    <xf numFmtId="167" fontId="0" fillId="0" borderId="0" xfId="2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1" fillId="0" borderId="0" xfId="2" applyNumberFormat="1" applyFont="1" applyAlignment="1">
      <alignment horizontal="center" vertical="center"/>
    </xf>
    <xf numFmtId="0" fontId="1" fillId="7" borderId="13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1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4" fontId="1" fillId="0" borderId="1" xfId="1" applyNumberFormat="1" applyFont="1" applyBorder="1" applyAlignment="1">
      <alignment horizontal="left" vertical="center"/>
    </xf>
    <xf numFmtId="0" fontId="1" fillId="2" borderId="13" xfId="0" applyFont="1" applyFill="1" applyBorder="1" applyAlignment="1">
      <alignment horizontal="center"/>
    </xf>
    <xf numFmtId="15" fontId="1" fillId="14" borderId="0" xfId="0" applyNumberFormat="1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164" fontId="1" fillId="12" borderId="24" xfId="1" applyNumberFormat="1" applyFont="1" applyFill="1" applyBorder="1" applyAlignment="1">
      <alignment vertical="center"/>
    </xf>
    <xf numFmtId="164" fontId="1" fillId="12" borderId="14" xfId="1" applyNumberFormat="1" applyFont="1" applyFill="1" applyBorder="1" applyAlignment="1">
      <alignment vertical="center"/>
    </xf>
    <xf numFmtId="164" fontId="0" fillId="0" borderId="25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28" xfId="0" applyFont="1" applyBorder="1" applyAlignment="1">
      <alignment horizontal="center" vertical="center"/>
    </xf>
    <xf numFmtId="168" fontId="1" fillId="19" borderId="12" xfId="0" applyNumberFormat="1" applyFont="1" applyFill="1" applyBorder="1" applyAlignment="1">
      <alignment horizontal="center" vertical="center"/>
    </xf>
    <xf numFmtId="168" fontId="1" fillId="19" borderId="13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 wrapText="1"/>
    </xf>
    <xf numFmtId="0" fontId="1" fillId="7" borderId="24" xfId="0" applyFont="1" applyFill="1" applyBorder="1" applyAlignment="1">
      <alignment horizontal="center"/>
    </xf>
    <xf numFmtId="0" fontId="1" fillId="7" borderId="27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17" fontId="1" fillId="2" borderId="0" xfId="0" applyNumberFormat="1" applyFont="1" applyFill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5" borderId="13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0" fillId="16" borderId="0" xfId="0" applyFill="1" applyAlignment="1">
      <alignment horizontal="center"/>
    </xf>
    <xf numFmtId="0" fontId="1" fillId="17" borderId="13" xfId="0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u, Dharmesh" refreshedDate="43877.51455" createdVersion="6" refreshedVersion="6" minRefreshableVersion="3" recordCount="64" xr:uid="{00000000-000A-0000-FFFF-FFFF00000000}">
  <cacheSource type="worksheet">
    <worksheetSource ref="A1:E65" sheet="Outwards"/>
  </cacheSource>
  <cacheFields count="5">
    <cacheField name="Date" numFmtId="0">
      <sharedItems/>
    </cacheField>
    <cacheField name="Transaction" numFmtId="0">
      <sharedItems/>
    </cacheField>
    <cacheField name="Amout" numFmtId="0">
      <sharedItems containsSemiMixedTypes="0" containsString="0" containsNumber="1" minValue="100" maxValue="1225000"/>
    </cacheField>
    <cacheField name="Type" numFmtId="0">
      <sharedItems containsBlank="1" count="8">
        <s v="EMI"/>
        <s v="CC"/>
        <s v="Cash Withdrwal"/>
        <s v="Vendor Payment"/>
        <s v="Bank Transfer"/>
        <s v="Udhar Return"/>
        <s v="Loan Repayment"/>
        <m u="1"/>
      </sharedItems>
    </cacheField>
    <cacheField name="Particular" numFmtId="0">
      <sharedItems containsBlank="1" count="35">
        <s v="Mahesh PL"/>
        <s v="Arun HL"/>
        <s v="Rajubhai ML"/>
        <s v="Vinod SBI"/>
        <s v="Vinod CC EMI"/>
        <s v="Arun ML"/>
        <s v="Mustakin"/>
        <s v="Dharmesh"/>
        <s v="Yagnesh Bhai PL"/>
        <s v="Azambhai"/>
        <s v="Altaf Red Clay"/>
        <s v="Unknown"/>
        <s v="HP Account Deposite"/>
        <s v="Narottam"/>
        <s v="Vinod HDFC Payment"/>
        <s v="Dharmesh EMI"/>
        <s v="Haresh Ramji Tank"/>
        <s v="Suresh Bhai"/>
        <s v="Yagnesh Bhai"/>
        <s v="Edelwise Pre EMI"/>
        <s v="Kishor bhai Frankin Charges"/>
        <s v="Narotam(Bhavesh Mepabhai)"/>
        <s v="Salimbhai"/>
        <s v="Azambhai Gadi Payment"/>
        <s v="Axis bank 1st EMI"/>
        <s v="Anjum Pending EMI"/>
        <s v="Alluminum Channel Payment"/>
        <s v="Paresh Soni Payment"/>
        <s v="Chetan Dinesh Devaliya"/>
        <s v="Yagnesh Naranbhai Patel Patel"/>
        <s v="Silu Fiber Murti"/>
        <s v="Suresh Suresh"/>
        <m u="1"/>
        <s v="SantKrupa Mothly Profit" u="1"/>
        <s v="Santkrup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u, Dharmesh" refreshedDate="44413.788731134257" createdVersion="6" refreshedVersion="6" minRefreshableVersion="3" recordCount="26" xr:uid="{553F8F7F-B59C-4B60-A614-EEC6CC3CCF21}">
  <cacheSource type="worksheet">
    <worksheetSource ref="E2:H19" sheet="Arun Account 2021"/>
  </cacheSource>
  <cacheFields count="5">
    <cacheField name="Date" numFmtId="15">
      <sharedItems containsNonDate="0" containsDate="1" containsString="0" containsBlank="1" minDate="2021-01-01T00:00:00" maxDate="2021-08-02T00:00:00" count="19">
        <d v="2021-01-01T00:00:00"/>
        <d v="2021-02-01T00:00:00"/>
        <d v="2021-02-10T00:00:00"/>
        <d v="2021-03-01T00:00:00"/>
        <d v="2021-03-03T00:00:00"/>
        <d v="2021-03-10T00:00:00"/>
        <d v="2021-03-15T00:00:00"/>
        <d v="2021-03-20T00:00:00"/>
        <d v="2021-04-01T00:00:00"/>
        <d v="2021-04-10T00:00:00"/>
        <d v="2021-04-17T00:00:00"/>
        <d v="2021-05-01T00:00:00"/>
        <d v="2021-05-10T00:00:00"/>
        <d v="2021-06-01T00:00:00"/>
        <d v="2021-07-01T00:00:00"/>
        <d v="2021-07-19T00:00:00"/>
        <d v="2021-08-01T00:00:00"/>
        <d v="2021-07-15T00:00:00"/>
        <m/>
      </sharedItems>
      <fieldGroup par="4" base="0">
        <rangePr groupBy="days" startDate="2021-01-01T00:00:00" endDate="2021-08-02T00:00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08-2021"/>
        </groupItems>
      </fieldGroup>
    </cacheField>
    <cacheField name="Amount" numFmtId="164">
      <sharedItems containsString="0" containsBlank="1" containsNumber="1" containsInteger="1" minValue="2000" maxValue="415000"/>
    </cacheField>
    <cacheField name="Expense Detail" numFmtId="0">
      <sharedItems containsBlank="1"/>
    </cacheField>
    <cacheField name="Expense Type" numFmtId="0">
      <sharedItems containsBlank="1" count="6">
        <s v="EMI"/>
        <s v="Arun Personal"/>
        <s v="Fees"/>
        <s v="Home Expanse"/>
        <s v="Donation"/>
        <m/>
      </sharedItems>
    </cacheField>
    <cacheField name="Months" numFmtId="0" databaseField="0">
      <fieldGroup base="0">
        <rangePr groupBy="months" startDate="2021-01-01T00:00:00" endDate="2021-08-02T00:00:00"/>
        <groupItems count="14">
          <s v="&lt;01-01-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8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s v="31/01/20"/>
    <s v="MAHESH BALU TANK-EMI"/>
    <n v="37500"/>
    <x v="0"/>
    <x v="0"/>
  </r>
  <r>
    <s v="31/01/20"/>
    <s v="ARUN MARU ICICI Home Loan EMI"/>
    <n v="35000"/>
    <x v="0"/>
    <x v="1"/>
  </r>
  <r>
    <s v="31/01/20"/>
    <s v="Rajubhai EMI"/>
    <n v="35000"/>
    <x v="0"/>
    <x v="2"/>
  </r>
  <r>
    <s v="31/01/20"/>
    <s v="Vinod SBI Card"/>
    <n v="82000"/>
    <x v="1"/>
    <x v="3"/>
  </r>
  <r>
    <s v="02/02/20"/>
    <s v="VINOD RAMESH DEO EMI"/>
    <n v="23500"/>
    <x v="0"/>
    <x v="4"/>
  </r>
  <r>
    <s v="02/02/20"/>
    <s v="ARUN MARU ICICI-Mortgage Loan EMI"/>
    <n v="25000"/>
    <x v="0"/>
    <x v="5"/>
  </r>
  <r>
    <s v="02/02/20"/>
    <s v="VINOD DEO SBI-Card"/>
    <n v="9800"/>
    <x v="1"/>
    <x v="3"/>
  </r>
  <r>
    <s v="02/02/20"/>
    <s v="ATW-512967XXXXXX2420-S1ANMH28-MUMBAI"/>
    <n v="25000"/>
    <x v="2"/>
    <x v="6"/>
  </r>
  <r>
    <s v="03/02/20"/>
    <s v="ATW-512967XXXXXX2420-S1AWMI51-MUMBAI"/>
    <n v="25000"/>
    <x v="2"/>
    <x v="6"/>
  </r>
  <r>
    <s v="03/02/20"/>
    <s v="ATW-512967XXXXXX2420-S1AWMI51-MUMBAI"/>
    <n v="8000"/>
    <x v="2"/>
    <x v="7"/>
  </r>
  <r>
    <s v="03/02/20"/>
    <s v="POS 512967XXXXXX2420 MATUNGA AUTO SER"/>
    <n v="500"/>
    <x v="2"/>
    <x v="7"/>
  </r>
  <r>
    <s v="03/02/20"/>
    <s v="YAGNESH NARANBHAI PATEL-EMI"/>
    <n v="168000"/>
    <x v="0"/>
    <x v="8"/>
  </r>
  <r>
    <s v="04/02/20"/>
    <s v="TPT-KHURJA-SONAL DHARMESH MARU"/>
    <n v="400000"/>
    <x v="3"/>
    <x v="9"/>
  </r>
  <r>
    <s v="04/02/20"/>
    <s v="UPI-XXXXXX0074-CNRB0004271-003506500526-ALTAF AZAMBHAI"/>
    <n v="100000"/>
    <x v="3"/>
    <x v="10"/>
  </r>
  <r>
    <s v="04/02/20"/>
    <s v="UPI-SUJEESH VELAYUDHAN T-Q59389658@YBL-IDIB000D049-003511313346-NA"/>
    <n v="100"/>
    <x v="2"/>
    <x v="11"/>
  </r>
  <r>
    <s v="05/02/20"/>
    <s v="TPT-DILIP-SADHANA CRAFT LLP"/>
    <n v="250000"/>
    <x v="4"/>
    <x v="12"/>
  </r>
  <r>
    <s v="05/02/20"/>
    <s v="ATW-512967XXXXXX2420-S1AWMI51-MUMBAI"/>
    <n v="10000"/>
    <x v="2"/>
    <x v="13"/>
  </r>
  <r>
    <s v="05/02/20"/>
    <s v="ATW-512967XXXXXX2420-S1AWMI51-MUMBAI"/>
    <n v="20000"/>
    <x v="2"/>
    <x v="13"/>
  </r>
  <r>
    <s v="05/02/20"/>
    <s v="ATW-512967XXXXXX2420-S1AWMI51-MUMBAI"/>
    <n v="20000"/>
    <x v="2"/>
    <x v="13"/>
  </r>
  <r>
    <s v="05/02/20"/>
    <s v="ATW-512967XXXXXX2420-S1AWMI51-MUMBAI"/>
    <n v="20000"/>
    <x v="2"/>
    <x v="13"/>
  </r>
  <r>
    <s v="05/02/20"/>
    <s v="ATW-512967XXXXXX2420-S1AWMI51-MUMBAI"/>
    <n v="20000"/>
    <x v="2"/>
    <x v="13"/>
  </r>
  <r>
    <s v="05/02/20"/>
    <s v="ATW-512967XXXXXX2420-S1AWMI51-MUMBAI"/>
    <n v="10000"/>
    <x v="2"/>
    <x v="13"/>
  </r>
  <r>
    <s v="05/02/20"/>
    <s v="VINOD HDFC"/>
    <n v="200000"/>
    <x v="1"/>
    <x v="14"/>
  </r>
  <r>
    <s v="05/02/20"/>
    <s v="VINOD HDFC"/>
    <n v="111057"/>
    <x v="1"/>
    <x v="14"/>
  </r>
  <r>
    <s v="05/02/20"/>
    <s v="ACH D- ADITY BIRLA FINANCE-ABFLMUMPL0000"/>
    <n v="25987"/>
    <x v="0"/>
    <x v="15"/>
  </r>
  <r>
    <s v="05/02/20"/>
    <s v="NEFT DR-BCBM0000079-PRAVIN M SOLANKI-NETBANK, MUM-N036201055908519-HARESH TANK  RETUR"/>
    <n v="400000"/>
    <x v="5"/>
    <x v="16"/>
  </r>
  <r>
    <s v="06/02/20"/>
    <s v="04241530002076-TPT-SBC-SURESH BALU CHAUHAN"/>
    <n v="6300"/>
    <x v="0"/>
    <x v="17"/>
  </r>
  <r>
    <s v="06/02/20"/>
    <s v="NEFT DR-HSBC0400002-YAGNESH HSBC CARD-NETBANK, MUM-N037201056846228-YAGP HSBC"/>
    <n v="12662"/>
    <x v="0"/>
    <x v="18"/>
  </r>
  <r>
    <s v="06/02/20"/>
    <s v="50100009659065-TPT-YAG P HDFC-YAGNESH NARANBHAI PATEL"/>
    <n v="300000"/>
    <x v="1"/>
    <x v="18"/>
  </r>
  <r>
    <s v="06/02/20"/>
    <s v="NEFT DR-BCBM0000028-MANSI LADIES WEAR-NETBANK, MUM-N037201056877436-HARESH RAMJI TANK"/>
    <n v="100000"/>
    <x v="5"/>
    <x v="16"/>
  </r>
  <r>
    <s v="06/02/20"/>
    <s v="NEFT DR-ANDB0000364-SHANTA RAMJI TANK-NETBANK, MUM-N037201056878059-HARESH R TANK"/>
    <n v="100000"/>
    <x v="5"/>
    <x v="16"/>
  </r>
  <r>
    <s v="06/02/20"/>
    <s v="UPI-XXXXXX8644-PYTM0123456-003735341006-NA"/>
    <n v="500"/>
    <x v="2"/>
    <x v="7"/>
  </r>
  <r>
    <s v="07/02/20"/>
    <s v="CHQ PAID-MICR CTS-MU-ECL FINANCE LTD"/>
    <n v="2397"/>
    <x v="0"/>
    <x v="19"/>
  </r>
  <r>
    <s v="07/02/20"/>
    <s v="UPI-XXXXXX5533-IDFB0040108-003846192305-KISHORBHAI FRANKIN"/>
    <n v="28000"/>
    <x v="2"/>
    <x v="20"/>
  </r>
  <r>
    <s v="07/02/20"/>
    <s v="ATW-512967XXXXXX2420-S1AWMI51-MUMBAI"/>
    <n v="20000"/>
    <x v="2"/>
    <x v="21"/>
  </r>
  <r>
    <s v="07/02/20"/>
    <s v="ATW-512967XXXXXX2420-S1ANMH28-MUMBAI"/>
    <n v="25000"/>
    <x v="2"/>
    <x v="21"/>
  </r>
  <r>
    <s v="07/02/20"/>
    <s v="ATW-512967XXXXXX2420-S1ANMH28-MUMBAI"/>
    <n v="25000"/>
    <x v="2"/>
    <x v="21"/>
  </r>
  <r>
    <s v="07/02/20"/>
    <s v="ATW-512967XXXXXX2420-S1ANMH28-MUMBAI"/>
    <n v="5000"/>
    <x v="2"/>
    <x v="13"/>
  </r>
  <r>
    <s v="08/02/20"/>
    <s v="POS 512967XXXXXX2420 IRCTC IPAY"/>
    <n v="1987.03"/>
    <x v="2"/>
    <x v="7"/>
  </r>
  <r>
    <s v="08/02/20"/>
    <s v="UPI-XXXXXX0416-SBIN0000564-003961454826-RENT FEB 2020"/>
    <n v="25000"/>
    <x v="3"/>
    <x v="22"/>
  </r>
  <r>
    <s v="10/02/20"/>
    <s v="NWD-512967XXXXXX2420-SACWD802-MUMBAI"/>
    <n v="10000"/>
    <x v="3"/>
    <x v="23"/>
  </r>
  <r>
    <s v="11/02/20"/>
    <s v="CHQ PAID-MICR CTS-MU-DHARMESH DEVJI MARU"/>
    <n v="32427"/>
    <x v="0"/>
    <x v="24"/>
  </r>
  <r>
    <s v="11/02/20"/>
    <s v="05011610123306-TPT-AIK-ANJUM KHAN"/>
    <n v="39000"/>
    <x v="0"/>
    <x v="25"/>
  </r>
  <r>
    <s v="12/02/20"/>
    <s v="CHQ PAID-MICR CTS-MU-SHREE AMULAKH A B V"/>
    <n v="10600"/>
    <x v="2"/>
    <x v="7"/>
  </r>
  <r>
    <s v="12/02/20"/>
    <s v="50200043587575-TPT-ALUMINUM CHANNEL PAYMENT-SADHANA CRAFT LLP"/>
    <n v="10000"/>
    <x v="2"/>
    <x v="26"/>
  </r>
  <r>
    <s v="12/02/20"/>
    <s v="50200043587575-TPT-SADHANA-SADHANA CRAFT LLP"/>
    <n v="500000"/>
    <x v="2"/>
    <x v="27"/>
  </r>
  <r>
    <s v="12/02/20"/>
    <s v="SELF - CHQ PAID - MATUNGA EAST"/>
    <n v="500000"/>
    <x v="2"/>
    <x v="27"/>
  </r>
  <r>
    <s v="12/02/20"/>
    <s v="50200043587575-TPT-DHAR-SADHANA CRAFT LLP"/>
    <n v="100000"/>
    <x v="2"/>
    <x v="27"/>
  </r>
  <r>
    <s v="12/02/20"/>
    <s v="UPI-XXXXXX3951-ICIC0000973-004321692206-NA"/>
    <n v="10000"/>
    <x v="3"/>
    <x v="23"/>
  </r>
  <r>
    <s v="12/02/20"/>
    <s v="ATW-512967XXXXXX2420-S1ANMH28-MUMBAI"/>
    <n v="29000"/>
    <x v="2"/>
    <x v="13"/>
  </r>
  <r>
    <s v="13/02/20"/>
    <s v="UPI-XXXXXX3951-ICIC0000973-004428073466-NA"/>
    <n v="10000"/>
    <x v="3"/>
    <x v="23"/>
  </r>
  <r>
    <s v="13/02/20"/>
    <s v="ATW-512967XXXXXX2420-S1ANTH16-MUMBAI"/>
    <n v="20000"/>
    <x v="2"/>
    <x v="13"/>
  </r>
  <r>
    <s v="13/02/20"/>
    <s v="ATW-512967XXXXXX2420-S1ANTH16-MUMBAI"/>
    <n v="20000"/>
    <x v="2"/>
    <x v="13"/>
  </r>
  <r>
    <s v="13/02/20"/>
    <s v="ATW-512967XXXXXX2420-S1ANTH16-MUMBAI"/>
    <n v="20000"/>
    <x v="2"/>
    <x v="13"/>
  </r>
  <r>
    <s v="13/02/20"/>
    <s v="ATW-512967XXXXXX2420-S1ANTH15-MUMBAI"/>
    <n v="20000"/>
    <x v="2"/>
    <x v="13"/>
  </r>
  <r>
    <s v="13/02/20"/>
    <s v="ATW-512967XXXXXX2420-S1ANTH16-MUMBAI"/>
    <n v="20000"/>
    <x v="2"/>
    <x v="13"/>
  </r>
  <r>
    <s v="14/02/20"/>
    <s v="IMPS-004514304909-DHARMESH DEVJI MARU ICICI-ICIC-XXXXXXXX7507-NHPC"/>
    <n v="20000"/>
    <x v="2"/>
    <x v="13"/>
  </r>
  <r>
    <s v="14/02/20"/>
    <s v="50100029120690-TPT-CHETAN DEVALIYA NRO-CHETAN DINESHBHAI DEVALIYA"/>
    <n v="210000"/>
    <x v="6"/>
    <x v="28"/>
  </r>
  <r>
    <s v="14/02/20"/>
    <s v="50100009659065-TPT-YAG PATEL-YAGNESH NARANBHAI PATEL"/>
    <n v="300000"/>
    <x v="6"/>
    <x v="29"/>
  </r>
  <r>
    <s v="14/02/20"/>
    <s v="UPI-RAJENDRA OJHA-7873386070@YBL-BKID0005414-004523996004-PAYMENT FROM PHONE"/>
    <n v="10000"/>
    <x v="3"/>
    <x v="30"/>
  </r>
  <r>
    <s v="15/02/20"/>
    <s v="POS 512967XXXXXX2420 KRSNA FOODTEK"/>
    <n v="1019.55"/>
    <x v="2"/>
    <x v="13"/>
  </r>
  <r>
    <s v="15/02/20"/>
    <s v="SELF - CHQ PAID - MATUNGA EAST"/>
    <n v="310000"/>
    <x v="2"/>
    <x v="13"/>
  </r>
  <r>
    <s v="15/02/20"/>
    <s v="04241530002076-TPT-SURESHBHAI-SURESH BALU CHAUHAN"/>
    <n v="73530"/>
    <x v="0"/>
    <x v="31"/>
  </r>
  <r>
    <s v="15/02/20"/>
    <s v="RTGS DR-SBIN0020377-SHAKTI CLAY CREATION -MATUNGA EAST-HDFCR52020021569502860"/>
    <n v="1225000"/>
    <x v="2"/>
    <x v="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n v="32971"/>
    <s v="Monthly EMI"/>
    <x v="0"/>
  </r>
  <r>
    <x v="1"/>
    <n v="105000"/>
    <s v="Monthly EMI"/>
    <x v="0"/>
  </r>
  <r>
    <x v="2"/>
    <n v="30000"/>
    <s v="Khushi Phone"/>
    <x v="1"/>
  </r>
  <r>
    <x v="3"/>
    <n v="100000"/>
    <s v="Khushi Fees"/>
    <x v="2"/>
  </r>
  <r>
    <x v="4"/>
    <n v="415000"/>
    <s v="Dilip Cash"/>
    <x v="1"/>
  </r>
  <r>
    <x v="5"/>
    <n v="10000"/>
    <s v="Home Material"/>
    <x v="3"/>
  </r>
  <r>
    <x v="6"/>
    <n v="5000"/>
    <s v="Preeti Jenish "/>
    <x v="4"/>
  </r>
  <r>
    <x v="7"/>
    <n v="10000"/>
    <s v="Lilafui -Dineshfua na Dada mate"/>
    <x v="4"/>
  </r>
  <r>
    <x v="8"/>
    <n v="23000"/>
    <s v="Dhara Fees"/>
    <x v="2"/>
  </r>
  <r>
    <x v="8"/>
    <n v="105000"/>
    <s v="Monthly EMI"/>
    <x v="0"/>
  </r>
  <r>
    <x v="8"/>
    <n v="105000"/>
    <s v="Monthly EMI"/>
    <x v="0"/>
  </r>
  <r>
    <x v="9"/>
    <n v="15000"/>
    <s v="Mirch Masala"/>
    <x v="0"/>
  </r>
  <r>
    <x v="10"/>
    <n v="43000"/>
    <s v="Dilip Cash"/>
    <x v="1"/>
  </r>
  <r>
    <x v="10"/>
    <n v="9000"/>
    <s v="Mona Miss Fees"/>
    <x v="2"/>
  </r>
  <r>
    <x v="10"/>
    <n v="2000"/>
    <s v="Van Fees"/>
    <x v="2"/>
  </r>
  <r>
    <x v="10"/>
    <n v="8000"/>
    <s v="Ration Bill Bapu"/>
    <x v="4"/>
  </r>
  <r>
    <x v="11"/>
    <n v="105000"/>
    <s v="Monthly EMI"/>
    <x v="0"/>
  </r>
  <r>
    <x v="12"/>
    <n v="11000"/>
    <s v="Bhikhaata Donation"/>
    <x v="4"/>
  </r>
  <r>
    <x v="13"/>
    <n v="105000"/>
    <s v="Monthly EMI"/>
    <x v="0"/>
  </r>
  <r>
    <x v="14"/>
    <n v="105000"/>
    <s v="Monthly EMI"/>
    <x v="0"/>
  </r>
  <r>
    <x v="15"/>
    <n v="110400"/>
    <s v="Arun Expense"/>
    <x v="1"/>
  </r>
  <r>
    <x v="16"/>
    <n v="69053"/>
    <s v="Monthly EMI"/>
    <x v="0"/>
  </r>
  <r>
    <x v="17"/>
    <n v="5000"/>
    <s v="Gurupurnima "/>
    <x v="1"/>
  </r>
  <r>
    <x v="18"/>
    <m/>
    <m/>
    <x v="5"/>
  </r>
  <r>
    <x v="18"/>
    <m/>
    <m/>
    <x v="5"/>
  </r>
  <r>
    <x v="18"/>
    <m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44" firstHeaderRow="1" firstDataRow="1" firstDataCol="1"/>
  <pivotFields count="5">
    <pivotField showAll="0"/>
    <pivotField showAll="0"/>
    <pivotField dataField="1" showAll="0"/>
    <pivotField axis="axisRow" showAll="0">
      <items count="9">
        <item x="4"/>
        <item x="2"/>
        <item x="1"/>
        <item x="0"/>
        <item x="6"/>
        <item x="5"/>
        <item x="3"/>
        <item m="1" x="7"/>
        <item t="default"/>
      </items>
    </pivotField>
    <pivotField axis="axisRow" showAll="0">
      <items count="36">
        <item x="26"/>
        <item x="10"/>
        <item x="25"/>
        <item x="1"/>
        <item x="5"/>
        <item x="24"/>
        <item x="9"/>
        <item x="23"/>
        <item x="28"/>
        <item x="7"/>
        <item x="15"/>
        <item x="19"/>
        <item x="16"/>
        <item x="12"/>
        <item x="20"/>
        <item x="0"/>
        <item x="6"/>
        <item x="21"/>
        <item x="13"/>
        <item x="27"/>
        <item x="2"/>
        <item x="22"/>
        <item m="1" x="33"/>
        <item x="30"/>
        <item x="17"/>
        <item x="31"/>
        <item x="11"/>
        <item x="4"/>
        <item x="14"/>
        <item x="3"/>
        <item x="18"/>
        <item x="8"/>
        <item x="29"/>
        <item m="1" x="32"/>
        <item m="1" x="34"/>
        <item t="default"/>
      </items>
    </pivotField>
  </pivotFields>
  <rowFields count="2">
    <field x="3"/>
    <field x="4"/>
  </rowFields>
  <rowItems count="41">
    <i>
      <x/>
    </i>
    <i r="1">
      <x v="13"/>
    </i>
    <i>
      <x v="1"/>
    </i>
    <i r="1">
      <x/>
    </i>
    <i r="1">
      <x v="9"/>
    </i>
    <i r="1">
      <x v="14"/>
    </i>
    <i r="1">
      <x v="16"/>
    </i>
    <i r="1">
      <x v="17"/>
    </i>
    <i r="1">
      <x v="18"/>
    </i>
    <i r="1">
      <x v="19"/>
    </i>
    <i r="1">
      <x v="26"/>
    </i>
    <i>
      <x v="2"/>
    </i>
    <i r="1">
      <x v="28"/>
    </i>
    <i r="1">
      <x v="29"/>
    </i>
    <i r="1">
      <x v="30"/>
    </i>
    <i>
      <x v="3"/>
    </i>
    <i r="1">
      <x v="2"/>
    </i>
    <i r="1">
      <x v="3"/>
    </i>
    <i r="1">
      <x v="4"/>
    </i>
    <i r="1">
      <x v="5"/>
    </i>
    <i r="1">
      <x v="10"/>
    </i>
    <i r="1">
      <x v="11"/>
    </i>
    <i r="1">
      <x v="15"/>
    </i>
    <i r="1">
      <x v="20"/>
    </i>
    <i r="1">
      <x v="24"/>
    </i>
    <i r="1">
      <x v="25"/>
    </i>
    <i r="1">
      <x v="27"/>
    </i>
    <i r="1">
      <x v="30"/>
    </i>
    <i r="1">
      <x v="31"/>
    </i>
    <i>
      <x v="4"/>
    </i>
    <i r="1">
      <x v="8"/>
    </i>
    <i r="1">
      <x v="32"/>
    </i>
    <i>
      <x v="5"/>
    </i>
    <i r="1">
      <x v="12"/>
    </i>
    <i>
      <x v="6"/>
    </i>
    <i r="1">
      <x v="1"/>
    </i>
    <i r="1">
      <x v="6"/>
    </i>
    <i r="1">
      <x v="7"/>
    </i>
    <i r="1">
      <x v="21"/>
    </i>
    <i r="1">
      <x v="23"/>
    </i>
    <i t="grand">
      <x/>
    </i>
  </rowItems>
  <colItems count="1">
    <i/>
  </colItems>
  <dataFields count="1">
    <dataField name="Sum of Amou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ABA885-7DDE-4647-B6E2-B5E7B33FE393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Expense Type">
  <location ref="J53:K59" firstHeaderRow="1" firstDataRow="1" firstDataCol="1"/>
  <pivotFields count="5"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axis="axisRow" showAll="0">
      <items count="7">
        <item x="1"/>
        <item x="4"/>
        <item x="0"/>
        <item x="2"/>
        <item x="3"/>
        <item h="1" x="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29"/>
  <sheetViews>
    <sheetView workbookViewId="0">
      <selection activeCell="A2" sqref="A2:F12"/>
    </sheetView>
  </sheetViews>
  <sheetFormatPr defaultRowHeight="14.5"/>
  <cols>
    <col min="1" max="1" width="8.08984375" bestFit="1" customWidth="1"/>
    <col min="2" max="2" width="19.81640625" bestFit="1" customWidth="1"/>
    <col min="3" max="3" width="10.08984375" bestFit="1" customWidth="1"/>
    <col min="4" max="4" width="10.453125" style="4" bestFit="1" customWidth="1"/>
    <col min="5" max="5" width="9.1796875" bestFit="1" customWidth="1"/>
    <col min="6" max="6" width="13.1796875" bestFit="1" customWidth="1"/>
    <col min="7" max="7" width="10.90625" bestFit="1" customWidth="1"/>
    <col min="8" max="8" width="10.08984375" bestFit="1" customWidth="1"/>
    <col min="9" max="9" width="6.08984375" customWidth="1"/>
    <col min="10" max="10" width="11.1796875" bestFit="1" customWidth="1"/>
    <col min="11" max="11" width="7.36328125" bestFit="1" customWidth="1"/>
    <col min="12" max="12" width="11.81640625" bestFit="1" customWidth="1"/>
    <col min="13" max="13" width="18.453125" bestFit="1" customWidth="1"/>
    <col min="14" max="14" width="21.26953125" bestFit="1" customWidth="1"/>
    <col min="15" max="15" width="12.26953125" style="9" bestFit="1" customWidth="1"/>
  </cols>
  <sheetData>
    <row r="2" spans="1:18" ht="43.5">
      <c r="A2" s="2" t="s">
        <v>8</v>
      </c>
      <c r="B2" s="2" t="s">
        <v>19</v>
      </c>
      <c r="C2" s="2" t="s">
        <v>0</v>
      </c>
      <c r="D2" s="3" t="s">
        <v>1</v>
      </c>
      <c r="E2" s="2" t="s">
        <v>2</v>
      </c>
      <c r="F2" s="2" t="s">
        <v>3</v>
      </c>
      <c r="G2" s="141" t="s">
        <v>544</v>
      </c>
      <c r="H2" s="2" t="s">
        <v>4</v>
      </c>
      <c r="I2" s="2" t="s">
        <v>5</v>
      </c>
      <c r="J2" s="2" t="s">
        <v>548</v>
      </c>
      <c r="K2" s="2" t="s">
        <v>24</v>
      </c>
      <c r="L2" s="2" t="s">
        <v>23</v>
      </c>
      <c r="M2" s="2" t="s">
        <v>6</v>
      </c>
      <c r="N2" s="2" t="s">
        <v>545</v>
      </c>
      <c r="O2" s="2" t="s">
        <v>22</v>
      </c>
      <c r="P2" s="10" t="s">
        <v>21</v>
      </c>
      <c r="Q2" s="2" t="s">
        <v>20</v>
      </c>
      <c r="R2" s="2" t="s">
        <v>27</v>
      </c>
    </row>
    <row r="3" spans="1:18">
      <c r="A3" s="1">
        <v>1</v>
      </c>
      <c r="B3" s="1">
        <v>98827925</v>
      </c>
      <c r="C3" s="1" t="s">
        <v>9</v>
      </c>
      <c r="D3" s="5">
        <v>3016059</v>
      </c>
      <c r="E3" s="1">
        <v>65201</v>
      </c>
      <c r="F3" s="8">
        <v>44015</v>
      </c>
      <c r="G3" s="5">
        <v>1057163</v>
      </c>
      <c r="H3" s="1">
        <v>16059</v>
      </c>
      <c r="I3" s="1">
        <v>14609</v>
      </c>
      <c r="J3" s="1">
        <v>1010000</v>
      </c>
      <c r="K3" s="1">
        <v>0</v>
      </c>
      <c r="L3" s="5">
        <f>O3-H3-I3-K3</f>
        <v>0</v>
      </c>
      <c r="M3" s="1">
        <v>2985391</v>
      </c>
      <c r="N3" s="142"/>
      <c r="O3" s="5">
        <f t="shared" ref="O3:O10" si="0">D3-M3</f>
        <v>30668</v>
      </c>
      <c r="P3" s="11">
        <f t="shared" ref="P3:P10" si="1">I3/D3</f>
        <v>4.8437381364223979E-3</v>
      </c>
      <c r="Q3" s="11">
        <v>0.1075</v>
      </c>
      <c r="R3" s="1">
        <v>60</v>
      </c>
    </row>
    <row r="4" spans="1:18" ht="15.5">
      <c r="A4" s="1">
        <v>2</v>
      </c>
      <c r="B4" s="12">
        <v>16712554</v>
      </c>
      <c r="C4" s="1" t="s">
        <v>10</v>
      </c>
      <c r="D4" s="5">
        <v>1744000</v>
      </c>
      <c r="E4" s="1">
        <v>41951</v>
      </c>
      <c r="F4" s="8">
        <v>43954</v>
      </c>
      <c r="G4" s="5">
        <v>737191</v>
      </c>
      <c r="H4" s="1">
        <v>10399</v>
      </c>
      <c r="I4" s="1">
        <v>30480</v>
      </c>
      <c r="J4" s="1">
        <v>712000.85</v>
      </c>
      <c r="K4" s="1">
        <v>0</v>
      </c>
      <c r="L4" s="5">
        <f>O4-H4-I4-K4</f>
        <v>11621</v>
      </c>
      <c r="M4" s="1">
        <v>1691500</v>
      </c>
      <c r="N4" s="143" t="s">
        <v>546</v>
      </c>
      <c r="O4" s="5">
        <f t="shared" si="0"/>
        <v>52500</v>
      </c>
      <c r="P4" s="11">
        <f t="shared" si="1"/>
        <v>1.7477064220183487E-2</v>
      </c>
      <c r="Q4" s="11">
        <v>0.155</v>
      </c>
      <c r="R4" s="1">
        <v>60</v>
      </c>
    </row>
    <row r="5" spans="1:18">
      <c r="A5" s="1">
        <v>3</v>
      </c>
      <c r="B5" s="1" t="s">
        <v>25</v>
      </c>
      <c r="C5" s="1" t="s">
        <v>11</v>
      </c>
      <c r="D5" s="5">
        <v>1015080</v>
      </c>
      <c r="E5" s="1">
        <v>29291</v>
      </c>
      <c r="F5" s="8">
        <v>43954</v>
      </c>
      <c r="G5" s="5">
        <v>150000</v>
      </c>
      <c r="H5" s="5">
        <f>O5-I5-L5</f>
        <v>15080</v>
      </c>
      <c r="I5" s="1">
        <v>11978</v>
      </c>
      <c r="J5" s="145">
        <v>245869.27920389664</v>
      </c>
      <c r="K5" s="1"/>
      <c r="L5" s="5">
        <v>0</v>
      </c>
      <c r="M5" s="1">
        <v>988022</v>
      </c>
      <c r="N5" s="142"/>
      <c r="O5" s="5">
        <f t="shared" si="0"/>
        <v>27058</v>
      </c>
      <c r="P5" s="11">
        <f t="shared" si="1"/>
        <v>1.180005516806557E-2</v>
      </c>
      <c r="Q5" s="13">
        <v>0.17</v>
      </c>
      <c r="R5" s="1">
        <v>48</v>
      </c>
    </row>
    <row r="6" spans="1:18">
      <c r="A6" s="1">
        <v>4</v>
      </c>
      <c r="B6" s="14">
        <v>7877295</v>
      </c>
      <c r="C6" s="1" t="s">
        <v>12</v>
      </c>
      <c r="D6" s="5">
        <v>880000</v>
      </c>
      <c r="E6" s="1">
        <v>32049</v>
      </c>
      <c r="F6" s="8">
        <v>43864</v>
      </c>
      <c r="G6" s="5">
        <v>300000</v>
      </c>
      <c r="H6" s="1">
        <v>0</v>
      </c>
      <c r="I6" s="1">
        <v>14403</v>
      </c>
      <c r="J6" s="144">
        <v>358877</v>
      </c>
      <c r="K6" s="1">
        <v>0</v>
      </c>
      <c r="L6" s="5">
        <f>O6-H6-I6-K6</f>
        <v>4999</v>
      </c>
      <c r="M6" s="1">
        <v>860598</v>
      </c>
      <c r="N6" s="142"/>
      <c r="O6" s="5">
        <f t="shared" si="0"/>
        <v>19402</v>
      </c>
      <c r="P6" s="11">
        <f t="shared" si="1"/>
        <v>1.6367045454545454E-2</v>
      </c>
      <c r="Q6" s="11">
        <v>0.14990000000000001</v>
      </c>
      <c r="R6" s="1">
        <v>60</v>
      </c>
    </row>
    <row r="7" spans="1:18">
      <c r="A7" s="1">
        <v>5</v>
      </c>
      <c r="B7" s="14">
        <v>701000770530</v>
      </c>
      <c r="C7" s="1" t="s">
        <v>13</v>
      </c>
      <c r="D7" s="5">
        <v>2000000</v>
      </c>
      <c r="E7" s="1">
        <v>43485</v>
      </c>
      <c r="F7" s="8">
        <v>43924</v>
      </c>
      <c r="G7" s="5">
        <v>718537.5661114743</v>
      </c>
      <c r="H7" s="1">
        <v>0</v>
      </c>
      <c r="I7" s="1">
        <v>17700</v>
      </c>
      <c r="J7" s="1">
        <v>669000</v>
      </c>
      <c r="K7" s="13">
        <v>0.04</v>
      </c>
      <c r="L7" s="5">
        <f>O7-H7-I7-K7</f>
        <v>3999.96</v>
      </c>
      <c r="M7" s="1">
        <v>1978300</v>
      </c>
      <c r="N7" s="142"/>
      <c r="O7" s="5">
        <f t="shared" si="0"/>
        <v>21700</v>
      </c>
      <c r="P7" s="11">
        <f t="shared" si="1"/>
        <v>8.8500000000000002E-3</v>
      </c>
      <c r="Q7" s="11">
        <v>0.11</v>
      </c>
      <c r="R7" s="1">
        <v>60</v>
      </c>
    </row>
    <row r="8" spans="1:18" ht="15.5">
      <c r="A8" s="1">
        <v>6</v>
      </c>
      <c r="B8" s="15">
        <v>868057024</v>
      </c>
      <c r="C8" s="1" t="s">
        <v>14</v>
      </c>
      <c r="D8" s="5">
        <v>1500000</v>
      </c>
      <c r="E8" s="1">
        <v>32427</v>
      </c>
      <c r="F8" s="8">
        <v>44106</v>
      </c>
      <c r="G8" s="5">
        <v>479966</v>
      </c>
      <c r="H8" s="1">
        <v>0</v>
      </c>
      <c r="I8" s="1">
        <v>17523</v>
      </c>
      <c r="J8" s="1">
        <v>454133</v>
      </c>
      <c r="K8" s="1">
        <v>0</v>
      </c>
      <c r="L8" s="5">
        <f>O8-H8-I8-K8</f>
        <v>3010</v>
      </c>
      <c r="M8" s="1">
        <v>1479467</v>
      </c>
      <c r="N8" s="142"/>
      <c r="O8" s="5">
        <f t="shared" si="0"/>
        <v>20533</v>
      </c>
      <c r="P8" s="11">
        <f t="shared" si="1"/>
        <v>1.1682E-2</v>
      </c>
      <c r="Q8" s="11">
        <v>0.1075</v>
      </c>
      <c r="R8" s="1">
        <v>60</v>
      </c>
    </row>
    <row r="9" spans="1:18">
      <c r="A9" s="1">
        <v>7</v>
      </c>
      <c r="B9" s="1" t="s">
        <v>26</v>
      </c>
      <c r="C9" s="1" t="s">
        <v>15</v>
      </c>
      <c r="D9" s="5">
        <v>1018741</v>
      </c>
      <c r="E9" s="1">
        <v>24230</v>
      </c>
      <c r="F9" s="8">
        <v>44015</v>
      </c>
      <c r="G9" s="5">
        <v>475628</v>
      </c>
      <c r="H9" s="1">
        <v>18741</v>
      </c>
      <c r="I9" s="5">
        <f>O9-H9</f>
        <v>20620</v>
      </c>
      <c r="J9" s="5">
        <v>381249.58</v>
      </c>
      <c r="K9" s="13">
        <v>0.04</v>
      </c>
      <c r="L9" s="5">
        <v>2920</v>
      </c>
      <c r="M9" s="1">
        <v>979380</v>
      </c>
      <c r="N9" s="142" t="s">
        <v>547</v>
      </c>
      <c r="O9" s="5">
        <f t="shared" si="0"/>
        <v>39361</v>
      </c>
      <c r="P9" s="11">
        <f t="shared" si="1"/>
        <v>2.0240669610823554E-2</v>
      </c>
      <c r="Q9" s="11">
        <v>0.14990000000000001</v>
      </c>
      <c r="R9" s="1">
        <v>60</v>
      </c>
    </row>
    <row r="10" spans="1:18">
      <c r="A10" s="1">
        <v>8</v>
      </c>
      <c r="B10" s="1" t="s">
        <v>551</v>
      </c>
      <c r="C10" s="1" t="s">
        <v>16</v>
      </c>
      <c r="D10" s="5">
        <v>1000000</v>
      </c>
      <c r="E10" s="1">
        <v>21895</v>
      </c>
      <c r="F10" s="8">
        <v>43834</v>
      </c>
      <c r="G10" s="5">
        <v>336216</v>
      </c>
      <c r="H10" s="1">
        <v>0</v>
      </c>
      <c r="I10" s="1">
        <v>5688</v>
      </c>
      <c r="J10" s="5">
        <v>308575</v>
      </c>
      <c r="K10" s="13">
        <v>0.03</v>
      </c>
      <c r="L10" s="5">
        <f>O10-H10-I10-K10</f>
        <v>9099.9699999999993</v>
      </c>
      <c r="M10" s="1">
        <v>985212</v>
      </c>
      <c r="N10" s="142"/>
      <c r="O10" s="5">
        <f t="shared" si="0"/>
        <v>14788</v>
      </c>
      <c r="P10" s="11">
        <f t="shared" si="1"/>
        <v>5.6880000000000003E-3</v>
      </c>
      <c r="Q10" s="11">
        <v>0.1075</v>
      </c>
      <c r="R10" s="1">
        <v>60</v>
      </c>
    </row>
    <row r="11" spans="1:18">
      <c r="A11" s="7" t="s">
        <v>18</v>
      </c>
      <c r="B11" s="1"/>
      <c r="C11" s="7"/>
      <c r="D11" s="6">
        <f>SUM(D3:D10)</f>
        <v>12173880</v>
      </c>
      <c r="E11" s="1">
        <f>SUM(E3:E10)</f>
        <v>290529</v>
      </c>
      <c r="F11" s="1"/>
      <c r="G11" s="5">
        <f>SUM(G3:G10)</f>
        <v>4254701.5661114743</v>
      </c>
      <c r="H11" s="1"/>
      <c r="I11" s="1"/>
      <c r="J11" s="1">
        <f>SUM(J3:J10)</f>
        <v>4139704.709203897</v>
      </c>
      <c r="K11" s="1"/>
      <c r="L11" s="1"/>
      <c r="M11" s="1">
        <f>SUM(M3:M10)</f>
        <v>11947870</v>
      </c>
      <c r="N11" s="142"/>
      <c r="O11" s="5">
        <f>SUM(O3:O10)</f>
        <v>226010</v>
      </c>
      <c r="P11" s="11"/>
      <c r="Q11" s="1"/>
      <c r="R11" s="1"/>
    </row>
    <row r="12" spans="1:18">
      <c r="L12">
        <f>Outwards!C100</f>
        <v>6263866.5799999991</v>
      </c>
    </row>
    <row r="13" spans="1:18">
      <c r="L13">
        <f>M11-L12</f>
        <v>5684003.4200000009</v>
      </c>
      <c r="M13">
        <v>5676104.4400000004</v>
      </c>
      <c r="O13">
        <f>M13-L13</f>
        <v>-7898.980000000447</v>
      </c>
    </row>
    <row r="15" spans="1:18">
      <c r="A15" s="1" t="s">
        <v>11</v>
      </c>
      <c r="B15" s="48">
        <v>29291</v>
      </c>
      <c r="C15" s="83">
        <v>44201</v>
      </c>
      <c r="N15" t="s">
        <v>550</v>
      </c>
    </row>
    <row r="16" spans="1:18">
      <c r="A16" t="s">
        <v>12</v>
      </c>
      <c r="B16" s="48">
        <v>11674</v>
      </c>
      <c r="C16" s="83">
        <v>44198</v>
      </c>
      <c r="F16" t="s">
        <v>226</v>
      </c>
      <c r="G16">
        <v>40000</v>
      </c>
      <c r="H16" s="20">
        <v>44203</v>
      </c>
      <c r="K16" t="s">
        <v>549</v>
      </c>
    </row>
    <row r="17" spans="1:8">
      <c r="A17" t="s">
        <v>16</v>
      </c>
      <c r="B17" s="48">
        <v>21895</v>
      </c>
      <c r="C17" s="83">
        <v>44197</v>
      </c>
      <c r="F17" t="s">
        <v>227</v>
      </c>
      <c r="G17">
        <v>234000</v>
      </c>
      <c r="H17" s="20">
        <v>44210</v>
      </c>
    </row>
    <row r="18" spans="1:8">
      <c r="A18" t="s">
        <v>13</v>
      </c>
      <c r="B18" s="48">
        <v>43485</v>
      </c>
      <c r="C18" s="83">
        <v>44200</v>
      </c>
      <c r="F18" t="s">
        <v>228</v>
      </c>
      <c r="G18">
        <v>7347</v>
      </c>
      <c r="H18" s="20">
        <v>44204</v>
      </c>
    </row>
    <row r="19" spans="1:8">
      <c r="A19" t="s">
        <v>10</v>
      </c>
      <c r="B19" s="48">
        <v>41951</v>
      </c>
      <c r="C19" s="83">
        <v>44201</v>
      </c>
    </row>
    <row r="20" spans="1:8">
      <c r="A20" s="1" t="s">
        <v>15</v>
      </c>
      <c r="B20" s="48">
        <v>24230</v>
      </c>
      <c r="C20" s="83">
        <v>44203</v>
      </c>
    </row>
    <row r="21" spans="1:8">
      <c r="A21" s="1" t="s">
        <v>9</v>
      </c>
      <c r="B21" s="48">
        <v>65201</v>
      </c>
      <c r="C21" s="83">
        <v>44203</v>
      </c>
    </row>
    <row r="22" spans="1:8">
      <c r="A22" t="s">
        <v>14</v>
      </c>
      <c r="B22" s="48">
        <v>32427</v>
      </c>
      <c r="C22" s="83">
        <v>44206</v>
      </c>
    </row>
    <row r="23" spans="1:8">
      <c r="B23" s="1"/>
    </row>
    <row r="24" spans="1:8">
      <c r="B24" s="1"/>
    </row>
    <row r="25" spans="1:8">
      <c r="B25" s="1"/>
    </row>
    <row r="26" spans="1:8">
      <c r="B26" s="1"/>
    </row>
    <row r="27" spans="1:8">
      <c r="B27" s="1"/>
    </row>
    <row r="28" spans="1:8">
      <c r="B28" s="1"/>
    </row>
    <row r="29" spans="1:8">
      <c r="B2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2"/>
  <sheetViews>
    <sheetView topLeftCell="G1" zoomScaleNormal="100" workbookViewId="0">
      <selection activeCell="P1" sqref="P1:S1"/>
    </sheetView>
  </sheetViews>
  <sheetFormatPr defaultRowHeight="14.5"/>
  <cols>
    <col min="1" max="1" width="20.1796875" bestFit="1" customWidth="1"/>
    <col min="2" max="2" width="13" style="38" bestFit="1" customWidth="1"/>
    <col min="3" max="3" width="13.26953125" style="38" customWidth="1"/>
    <col min="4" max="4" width="9.26953125" bestFit="1" customWidth="1"/>
    <col min="5" max="5" width="9.26953125" customWidth="1"/>
    <col min="6" max="6" width="11" bestFit="1" customWidth="1"/>
    <col min="7" max="7" width="19.6328125" bestFit="1" customWidth="1"/>
    <col min="8" max="8" width="12.6328125" bestFit="1" customWidth="1"/>
    <col min="9" max="9" width="11.1796875" style="38" bestFit="1" customWidth="1"/>
    <col min="10" max="10" width="8.7265625" style="48"/>
    <col min="11" max="11" width="9.6328125" style="48" bestFit="1" customWidth="1"/>
    <col min="12" max="12" width="6.54296875" bestFit="1" customWidth="1"/>
    <col min="13" max="13" width="17.1796875" bestFit="1" customWidth="1"/>
    <col min="14" max="14" width="11.26953125" bestFit="1" customWidth="1"/>
    <col min="16" max="16" width="13" bestFit="1" customWidth="1"/>
    <col min="17" max="17" width="11.1796875" style="38" bestFit="1" customWidth="1"/>
    <col min="18" max="18" width="7.08984375" bestFit="1" customWidth="1"/>
    <col min="19" max="19" width="20.1796875" bestFit="1" customWidth="1"/>
    <col min="21" max="21" width="12.6328125" bestFit="1" customWidth="1"/>
    <col min="22" max="22" width="8.7265625" style="36" bestFit="1" customWidth="1"/>
  </cols>
  <sheetData>
    <row r="1" spans="1:23">
      <c r="A1" s="170" t="s">
        <v>284</v>
      </c>
      <c r="B1" s="170"/>
      <c r="C1" s="88"/>
      <c r="G1" s="170" t="s">
        <v>285</v>
      </c>
      <c r="H1" s="170"/>
      <c r="I1" s="170"/>
      <c r="M1" s="176" t="s">
        <v>275</v>
      </c>
      <c r="N1" s="176"/>
      <c r="P1" s="176" t="s">
        <v>276</v>
      </c>
      <c r="Q1" s="176"/>
      <c r="R1" s="176"/>
      <c r="S1" s="176"/>
    </row>
    <row r="2" spans="1:23">
      <c r="A2" s="58" t="s">
        <v>101</v>
      </c>
      <c r="B2" s="59" t="s">
        <v>1</v>
      </c>
      <c r="C2" s="89" t="s">
        <v>329</v>
      </c>
      <c r="D2" s="89" t="s">
        <v>328</v>
      </c>
      <c r="E2" s="89" t="s">
        <v>330</v>
      </c>
      <c r="F2" s="89"/>
      <c r="G2" s="58" t="s">
        <v>267</v>
      </c>
      <c r="H2" s="58" t="s">
        <v>0</v>
      </c>
      <c r="I2" s="59" t="s">
        <v>266</v>
      </c>
      <c r="M2" s="65" t="s">
        <v>286</v>
      </c>
      <c r="N2" s="65" t="s">
        <v>287</v>
      </c>
      <c r="P2" s="58" t="s">
        <v>259</v>
      </c>
      <c r="Q2" s="58" t="s">
        <v>1</v>
      </c>
      <c r="R2" s="58" t="s">
        <v>113</v>
      </c>
      <c r="S2" s="58" t="s">
        <v>257</v>
      </c>
    </row>
    <row r="3" spans="1:23">
      <c r="A3" s="49" t="s">
        <v>74</v>
      </c>
      <c r="B3" s="48">
        <v>279529</v>
      </c>
      <c r="C3" s="86">
        <v>12700000</v>
      </c>
      <c r="D3" t="s">
        <v>326</v>
      </c>
      <c r="E3" s="91">
        <v>45748</v>
      </c>
      <c r="F3" s="86">
        <v>10500000</v>
      </c>
      <c r="G3" s="49" t="s">
        <v>96</v>
      </c>
      <c r="H3" s="49" t="s">
        <v>9</v>
      </c>
      <c r="I3" s="48">
        <v>550000</v>
      </c>
      <c r="J3" s="48">
        <v>389000</v>
      </c>
      <c r="K3" s="48">
        <v>295318</v>
      </c>
      <c r="L3" s="83">
        <v>44538</v>
      </c>
      <c r="M3" s="60">
        <v>44136</v>
      </c>
      <c r="N3" s="61">
        <v>834129</v>
      </c>
      <c r="P3" s="54" t="s">
        <v>277</v>
      </c>
      <c r="Q3" s="55">
        <v>3085000</v>
      </c>
      <c r="R3" s="64">
        <v>44166</v>
      </c>
      <c r="S3" s="54" t="s">
        <v>283</v>
      </c>
    </row>
    <row r="4" spans="1:23">
      <c r="A4" s="49" t="s">
        <v>102</v>
      </c>
      <c r="B4" s="48">
        <v>174500</v>
      </c>
      <c r="C4" s="86">
        <v>6500000</v>
      </c>
      <c r="D4" t="s">
        <v>326</v>
      </c>
      <c r="E4" s="91">
        <v>44986</v>
      </c>
      <c r="F4" s="86">
        <v>2500000</v>
      </c>
      <c r="G4" s="49" t="s">
        <v>96</v>
      </c>
      <c r="H4" s="49" t="s">
        <v>16</v>
      </c>
      <c r="I4" s="48">
        <v>40000</v>
      </c>
      <c r="J4" s="48">
        <v>40000</v>
      </c>
      <c r="K4" s="48">
        <v>40000</v>
      </c>
      <c r="L4" s="83">
        <v>44538</v>
      </c>
      <c r="M4" s="60">
        <v>44166</v>
      </c>
      <c r="N4" s="61">
        <v>834129</v>
      </c>
      <c r="P4" s="54" t="s">
        <v>91</v>
      </c>
      <c r="Q4" s="55">
        <v>500000</v>
      </c>
      <c r="R4" s="64">
        <v>44287</v>
      </c>
      <c r="S4" s="54" t="s">
        <v>261</v>
      </c>
      <c r="U4" t="s">
        <v>320</v>
      </c>
      <c r="V4" s="36">
        <v>600000</v>
      </c>
      <c r="W4" t="s">
        <v>324</v>
      </c>
    </row>
    <row r="5" spans="1:23">
      <c r="A5" s="49" t="s">
        <v>103</v>
      </c>
      <c r="B5" s="48">
        <v>22000</v>
      </c>
      <c r="C5" s="86">
        <v>1700000</v>
      </c>
      <c r="D5" s="87" t="s">
        <v>82</v>
      </c>
      <c r="E5" s="87"/>
      <c r="F5" s="86"/>
      <c r="G5" s="49" t="s">
        <v>96</v>
      </c>
      <c r="H5" s="49" t="s">
        <v>215</v>
      </c>
      <c r="I5" s="48">
        <v>278000</v>
      </c>
      <c r="J5" s="48">
        <v>273000</v>
      </c>
      <c r="K5" s="48">
        <v>270000</v>
      </c>
      <c r="L5" s="83">
        <v>44537</v>
      </c>
      <c r="M5" s="60">
        <v>44197</v>
      </c>
      <c r="N5" s="61">
        <v>834129</v>
      </c>
      <c r="P5" s="54" t="s">
        <v>81</v>
      </c>
      <c r="Q5" s="55">
        <v>500000</v>
      </c>
      <c r="R5" s="64">
        <v>44317</v>
      </c>
      <c r="S5" s="54" t="s">
        <v>261</v>
      </c>
      <c r="U5" s="87" t="s">
        <v>85</v>
      </c>
      <c r="V5" s="36">
        <v>120000</v>
      </c>
      <c r="W5" t="s">
        <v>323</v>
      </c>
    </row>
    <row r="6" spans="1:23">
      <c r="A6" s="49" t="s">
        <v>103</v>
      </c>
      <c r="B6" s="48">
        <v>13000</v>
      </c>
      <c r="C6" s="86">
        <v>1000000</v>
      </c>
      <c r="D6" t="s">
        <v>326</v>
      </c>
      <c r="E6" s="91">
        <v>46113</v>
      </c>
      <c r="F6" s="86">
        <v>600000</v>
      </c>
      <c r="G6" s="49" t="s">
        <v>96</v>
      </c>
      <c r="H6" s="49" t="s">
        <v>268</v>
      </c>
      <c r="I6" s="48">
        <v>200000</v>
      </c>
      <c r="J6" s="48">
        <v>200000</v>
      </c>
      <c r="K6" s="48">
        <v>200000</v>
      </c>
      <c r="L6" s="83">
        <v>44531</v>
      </c>
      <c r="M6" s="60">
        <v>44228</v>
      </c>
      <c r="N6" s="61">
        <v>834129</v>
      </c>
      <c r="P6" s="54" t="s">
        <v>85</v>
      </c>
      <c r="Q6" s="55">
        <v>1000000</v>
      </c>
      <c r="R6" s="64">
        <v>44378</v>
      </c>
      <c r="S6" s="54" t="s">
        <v>261</v>
      </c>
      <c r="U6" t="s">
        <v>321</v>
      </c>
      <c r="V6" s="36">
        <f>12500*6</f>
        <v>75000</v>
      </c>
      <c r="W6" t="s">
        <v>322</v>
      </c>
    </row>
    <row r="7" spans="1:23">
      <c r="A7" s="49" t="s">
        <v>111</v>
      </c>
      <c r="B7" s="48">
        <v>23000</v>
      </c>
      <c r="C7" s="86">
        <v>1600000</v>
      </c>
      <c r="D7" t="s">
        <v>279</v>
      </c>
      <c r="F7" s="86"/>
      <c r="G7" s="49" t="s">
        <v>269</v>
      </c>
      <c r="H7" s="49" t="s">
        <v>9</v>
      </c>
      <c r="I7" s="48">
        <v>650000</v>
      </c>
      <c r="M7" s="60">
        <v>44256</v>
      </c>
      <c r="N7" s="61">
        <v>834129</v>
      </c>
      <c r="P7" s="54" t="s">
        <v>278</v>
      </c>
      <c r="Q7" s="55">
        <v>300000</v>
      </c>
      <c r="R7" s="64">
        <v>44348</v>
      </c>
      <c r="S7" s="54" t="s">
        <v>261</v>
      </c>
      <c r="U7" t="s">
        <v>278</v>
      </c>
      <c r="V7" s="36">
        <f>7500*4</f>
        <v>30000</v>
      </c>
      <c r="W7" t="s">
        <v>325</v>
      </c>
    </row>
    <row r="8" spans="1:23">
      <c r="A8" s="49" t="s">
        <v>105</v>
      </c>
      <c r="B8" s="48">
        <v>69000</v>
      </c>
      <c r="C8" s="86">
        <v>1500000</v>
      </c>
      <c r="D8" t="s">
        <v>326</v>
      </c>
      <c r="E8" s="91">
        <v>44986</v>
      </c>
      <c r="F8" s="86">
        <v>800000</v>
      </c>
      <c r="G8" s="49" t="s">
        <v>269</v>
      </c>
      <c r="H8" s="49" t="s">
        <v>270</v>
      </c>
      <c r="I8" s="48">
        <v>420000</v>
      </c>
      <c r="M8" s="60">
        <v>44287</v>
      </c>
      <c r="N8" s="61">
        <v>834129</v>
      </c>
      <c r="P8" s="54" t="s">
        <v>82</v>
      </c>
      <c r="Q8" s="55">
        <v>320000</v>
      </c>
      <c r="R8" s="64">
        <v>44228</v>
      </c>
      <c r="S8" s="54" t="s">
        <v>289</v>
      </c>
      <c r="V8" s="36">
        <f>SUM(V4:V7)</f>
        <v>825000</v>
      </c>
    </row>
    <row r="9" spans="1:23">
      <c r="A9" s="49" t="s">
        <v>104</v>
      </c>
      <c r="B9" s="48">
        <v>35000</v>
      </c>
      <c r="C9" s="86">
        <v>2200000</v>
      </c>
      <c r="D9" t="s">
        <v>326</v>
      </c>
      <c r="E9" s="91">
        <v>11018</v>
      </c>
      <c r="F9" s="86">
        <v>1875000</v>
      </c>
      <c r="G9" s="49" t="s">
        <v>204</v>
      </c>
      <c r="H9" s="49" t="s">
        <v>205</v>
      </c>
      <c r="I9" s="48">
        <v>121000</v>
      </c>
      <c r="M9" s="60">
        <v>44317</v>
      </c>
      <c r="N9" s="61">
        <v>834129</v>
      </c>
      <c r="P9" s="54" t="s">
        <v>81</v>
      </c>
      <c r="Q9" s="55">
        <v>600000</v>
      </c>
      <c r="R9" s="64">
        <v>44287</v>
      </c>
      <c r="S9" s="54" t="s">
        <v>290</v>
      </c>
    </row>
    <row r="10" spans="1:23">
      <c r="A10" s="49" t="s">
        <v>106</v>
      </c>
      <c r="B10" s="48">
        <v>12500</v>
      </c>
      <c r="C10" s="86">
        <v>300000</v>
      </c>
      <c r="D10" t="s">
        <v>326</v>
      </c>
      <c r="E10" s="91">
        <v>44713</v>
      </c>
      <c r="F10" s="86">
        <v>100000</v>
      </c>
      <c r="G10" s="49" t="s">
        <v>204</v>
      </c>
      <c r="H10" s="49" t="s">
        <v>271</v>
      </c>
      <c r="I10" s="48">
        <v>154000</v>
      </c>
      <c r="M10" s="60">
        <v>44348</v>
      </c>
      <c r="N10" s="61">
        <v>834129</v>
      </c>
      <c r="P10" s="54" t="s">
        <v>49</v>
      </c>
      <c r="Q10" s="55">
        <v>100000</v>
      </c>
      <c r="R10" s="64">
        <v>44287</v>
      </c>
      <c r="S10" s="54" t="s">
        <v>291</v>
      </c>
    </row>
    <row r="11" spans="1:23" ht="15" thickBot="1">
      <c r="A11" s="49" t="s">
        <v>107</v>
      </c>
      <c r="B11" s="48">
        <v>12000</v>
      </c>
      <c r="C11" s="86">
        <v>200000</v>
      </c>
      <c r="D11" t="s">
        <v>326</v>
      </c>
      <c r="E11" s="91">
        <v>44713</v>
      </c>
      <c r="F11" s="86">
        <v>100000</v>
      </c>
      <c r="G11" s="49" t="s">
        <v>204</v>
      </c>
      <c r="H11" s="49" t="s">
        <v>272</v>
      </c>
      <c r="I11" s="48">
        <v>121000</v>
      </c>
      <c r="M11" s="60">
        <v>44378</v>
      </c>
      <c r="N11" s="61">
        <v>834129</v>
      </c>
      <c r="P11" s="54" t="s">
        <v>280</v>
      </c>
      <c r="Q11" s="55">
        <v>700000</v>
      </c>
      <c r="R11" s="64">
        <v>44348</v>
      </c>
      <c r="S11" s="54" t="s">
        <v>261</v>
      </c>
    </row>
    <row r="12" spans="1:23">
      <c r="A12" s="49" t="s">
        <v>108</v>
      </c>
      <c r="B12" s="48">
        <v>12000</v>
      </c>
      <c r="C12" s="86">
        <v>200000</v>
      </c>
      <c r="D12" t="s">
        <v>326</v>
      </c>
      <c r="E12" s="91">
        <v>44713</v>
      </c>
      <c r="F12" s="86">
        <v>100000</v>
      </c>
      <c r="G12" s="49" t="s">
        <v>204</v>
      </c>
      <c r="H12" s="49" t="s">
        <v>270</v>
      </c>
      <c r="I12" s="48">
        <v>200000</v>
      </c>
      <c r="M12" s="60">
        <v>44409</v>
      </c>
      <c r="N12" s="61">
        <v>834129</v>
      </c>
      <c r="P12" s="54" t="s">
        <v>282</v>
      </c>
      <c r="Q12" s="55">
        <v>450000</v>
      </c>
      <c r="R12" s="64">
        <v>44378</v>
      </c>
      <c r="S12" s="54" t="s">
        <v>292</v>
      </c>
      <c r="U12" s="171" t="s">
        <v>332</v>
      </c>
      <c r="V12" s="172"/>
      <c r="W12" s="173"/>
    </row>
    <row r="13" spans="1:23">
      <c r="A13" s="49" t="s">
        <v>109</v>
      </c>
      <c r="B13" s="48">
        <v>6500</v>
      </c>
      <c r="C13" s="86">
        <v>650000</v>
      </c>
      <c r="D13" t="s">
        <v>327</v>
      </c>
      <c r="F13" s="86"/>
      <c r="G13" s="49" t="s">
        <v>204</v>
      </c>
      <c r="H13" s="49" t="s">
        <v>9</v>
      </c>
      <c r="I13" s="48">
        <v>273000</v>
      </c>
      <c r="M13" s="60">
        <v>44440</v>
      </c>
      <c r="N13" s="61">
        <v>834129</v>
      </c>
      <c r="P13" s="54" t="s">
        <v>279</v>
      </c>
      <c r="Q13" s="55">
        <v>379050</v>
      </c>
      <c r="R13" s="64">
        <v>44378</v>
      </c>
      <c r="S13" s="54" t="s">
        <v>279</v>
      </c>
      <c r="U13" s="93" t="s">
        <v>113</v>
      </c>
      <c r="V13" s="92" t="s">
        <v>1</v>
      </c>
      <c r="W13" s="94" t="s">
        <v>335</v>
      </c>
    </row>
    <row r="14" spans="1:23">
      <c r="A14" s="49" t="s">
        <v>109</v>
      </c>
      <c r="B14" s="48">
        <v>5200</v>
      </c>
      <c r="C14" s="86">
        <v>520000</v>
      </c>
      <c r="D14" t="s">
        <v>326</v>
      </c>
      <c r="E14" s="91"/>
      <c r="F14" s="86">
        <v>520000</v>
      </c>
      <c r="G14" s="49" t="s">
        <v>204</v>
      </c>
      <c r="H14" s="49" t="s">
        <v>273</v>
      </c>
      <c r="I14" s="48">
        <v>78000</v>
      </c>
      <c r="M14" s="60">
        <v>44470</v>
      </c>
      <c r="N14" s="61">
        <v>834129</v>
      </c>
      <c r="P14" s="54" t="s">
        <v>288</v>
      </c>
      <c r="Q14" s="55">
        <v>300000</v>
      </c>
      <c r="R14" s="64">
        <v>43862</v>
      </c>
      <c r="S14" s="54" t="s">
        <v>293</v>
      </c>
      <c r="U14" s="95">
        <v>44352</v>
      </c>
      <c r="V14" s="74">
        <v>500000</v>
      </c>
      <c r="W14" s="96" t="s">
        <v>181</v>
      </c>
    </row>
    <row r="15" spans="1:23">
      <c r="A15" s="49" t="s">
        <v>109</v>
      </c>
      <c r="B15" s="48">
        <v>4500</v>
      </c>
      <c r="C15" s="86">
        <v>450000</v>
      </c>
      <c r="D15" t="s">
        <v>82</v>
      </c>
      <c r="F15" s="86"/>
      <c r="G15" s="175" t="s">
        <v>274</v>
      </c>
      <c r="H15" s="175"/>
      <c r="I15" s="53">
        <f>SUM(I3:I14)</f>
        <v>3085000</v>
      </c>
      <c r="M15" s="60">
        <v>44501</v>
      </c>
      <c r="N15" s="61">
        <v>834129</v>
      </c>
      <c r="P15" s="54"/>
      <c r="Q15" s="55">
        <v>3200000</v>
      </c>
      <c r="R15" s="64"/>
      <c r="S15" s="54"/>
      <c r="U15" s="95">
        <v>44379</v>
      </c>
      <c r="V15" s="74">
        <v>200000</v>
      </c>
      <c r="W15" s="96" t="s">
        <v>333</v>
      </c>
    </row>
    <row r="16" spans="1:23">
      <c r="A16" s="49" t="s">
        <v>110</v>
      </c>
      <c r="B16" s="48">
        <v>100000</v>
      </c>
      <c r="C16" s="86">
        <v>5000000</v>
      </c>
      <c r="D16" t="s">
        <v>326</v>
      </c>
      <c r="E16" t="s">
        <v>331</v>
      </c>
      <c r="F16" s="86">
        <v>2400000</v>
      </c>
      <c r="M16" s="49" t="s">
        <v>18</v>
      </c>
      <c r="N16" s="62">
        <f>SUM(N3:N15)</f>
        <v>10843677</v>
      </c>
      <c r="P16" s="35" t="s">
        <v>171</v>
      </c>
      <c r="Q16" s="174">
        <f>SUM(Q3:Q15)</f>
        <v>11434050</v>
      </c>
      <c r="R16" s="174"/>
      <c r="S16" s="174"/>
      <c r="U16" s="95">
        <v>44427</v>
      </c>
      <c r="V16" s="74">
        <v>1000000</v>
      </c>
      <c r="W16" s="96" t="s">
        <v>334</v>
      </c>
    </row>
    <row r="17" spans="1:23">
      <c r="A17" s="49" t="s">
        <v>112</v>
      </c>
      <c r="B17" s="48">
        <v>37000</v>
      </c>
      <c r="C17" s="86">
        <v>3700000</v>
      </c>
      <c r="D17" t="s">
        <v>279</v>
      </c>
      <c r="F17" s="86"/>
      <c r="M17" s="49" t="s">
        <v>261</v>
      </c>
      <c r="N17" s="50">
        <f>V8</f>
        <v>825000</v>
      </c>
      <c r="U17" s="95">
        <v>44427</v>
      </c>
      <c r="V17" s="74">
        <v>300000</v>
      </c>
      <c r="W17" s="96" t="s">
        <v>334</v>
      </c>
    </row>
    <row r="18" spans="1:23">
      <c r="A18" s="49" t="s">
        <v>265</v>
      </c>
      <c r="B18" s="48">
        <v>5600</v>
      </c>
      <c r="C18" s="86">
        <v>120000</v>
      </c>
      <c r="D18" t="s">
        <v>326</v>
      </c>
      <c r="F18" s="86"/>
      <c r="M18" s="1" t="s">
        <v>281</v>
      </c>
      <c r="N18" s="63">
        <f>12*72000</f>
        <v>864000</v>
      </c>
      <c r="U18" s="95">
        <v>44442</v>
      </c>
      <c r="V18" s="74">
        <v>200000</v>
      </c>
      <c r="W18" s="96" t="s">
        <v>9</v>
      </c>
    </row>
    <row r="19" spans="1:23">
      <c r="A19" s="49" t="s">
        <v>123</v>
      </c>
      <c r="B19" s="48">
        <v>24000</v>
      </c>
      <c r="C19" s="86">
        <v>1000000</v>
      </c>
      <c r="D19" t="s">
        <v>279</v>
      </c>
      <c r="M19" s="35" t="s">
        <v>171</v>
      </c>
      <c r="N19" s="41">
        <f>N16+N18+N17</f>
        <v>12532677</v>
      </c>
      <c r="U19" s="95">
        <v>44453</v>
      </c>
      <c r="V19" s="74">
        <v>500000</v>
      </c>
      <c r="W19" s="96" t="s">
        <v>9</v>
      </c>
    </row>
    <row r="20" spans="1:23">
      <c r="A20" s="56" t="s">
        <v>18</v>
      </c>
      <c r="B20" s="57">
        <f>SUM(B3:B19)</f>
        <v>835329</v>
      </c>
      <c r="C20" s="90"/>
      <c r="U20" s="95">
        <v>44474</v>
      </c>
      <c r="V20" s="74">
        <v>500000</v>
      </c>
      <c r="W20" s="96" t="s">
        <v>9</v>
      </c>
    </row>
    <row r="21" spans="1:23">
      <c r="F21">
        <f>SUBTOTAL(9,F3:F16)</f>
        <v>19495000</v>
      </c>
      <c r="U21" s="95">
        <v>44474</v>
      </c>
      <c r="V21" s="74">
        <v>500000</v>
      </c>
      <c r="W21" s="96" t="s">
        <v>9</v>
      </c>
    </row>
    <row r="22" spans="1:23" ht="15" thickBot="1">
      <c r="U22" s="97" t="s">
        <v>18</v>
      </c>
      <c r="V22" s="98">
        <f>SUM(V14:V21)</f>
        <v>3700000</v>
      </c>
      <c r="W22" s="99"/>
    </row>
  </sheetData>
  <autoFilter ref="A2:D21" xr:uid="{A97880B8-763C-4E61-B103-17A8A7BFF742}"/>
  <sortState xmlns:xlrd2="http://schemas.microsoft.com/office/spreadsheetml/2017/richdata2" ref="U14:W21">
    <sortCondition ref="U14:U21"/>
  </sortState>
  <mergeCells count="7">
    <mergeCell ref="A1:B1"/>
    <mergeCell ref="G1:I1"/>
    <mergeCell ref="U12:W12"/>
    <mergeCell ref="Q16:S16"/>
    <mergeCell ref="G15:H15"/>
    <mergeCell ref="M1:N1"/>
    <mergeCell ref="P1:S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44"/>
  <sheetViews>
    <sheetView topLeftCell="A32" workbookViewId="0">
      <selection activeCell="A49" sqref="A49"/>
    </sheetView>
  </sheetViews>
  <sheetFormatPr defaultRowHeight="14.5"/>
  <cols>
    <col min="1" max="1" width="32.26953125" bestFit="1" customWidth="1"/>
    <col min="2" max="2" width="13.7265625" bestFit="1" customWidth="1"/>
  </cols>
  <sheetData>
    <row r="3" spans="1:2">
      <c r="A3" s="17" t="s">
        <v>170</v>
      </c>
      <c r="B3" t="s">
        <v>172</v>
      </c>
    </row>
    <row r="4" spans="1:2">
      <c r="A4" s="18" t="s">
        <v>56</v>
      </c>
      <c r="B4">
        <v>250000</v>
      </c>
    </row>
    <row r="5" spans="1:2">
      <c r="A5" s="19" t="s">
        <v>57</v>
      </c>
      <c r="B5">
        <v>250000</v>
      </c>
    </row>
    <row r="6" spans="1:2">
      <c r="A6" s="18" t="s">
        <v>47</v>
      </c>
      <c r="B6">
        <v>3069706.58</v>
      </c>
    </row>
    <row r="7" spans="1:2">
      <c r="A7" s="19" t="s">
        <v>158</v>
      </c>
      <c r="B7">
        <v>10000</v>
      </c>
    </row>
    <row r="8" spans="1:2">
      <c r="A8" s="19" t="s">
        <v>49</v>
      </c>
      <c r="B8">
        <v>21587.03</v>
      </c>
    </row>
    <row r="9" spans="1:2">
      <c r="A9" s="19" t="s">
        <v>80</v>
      </c>
      <c r="B9">
        <v>28000</v>
      </c>
    </row>
    <row r="10" spans="1:2">
      <c r="A10" s="19" t="s">
        <v>48</v>
      </c>
      <c r="B10">
        <v>50000</v>
      </c>
    </row>
    <row r="11" spans="1:2">
      <c r="A11" s="19" t="s">
        <v>129</v>
      </c>
      <c r="B11">
        <v>70000</v>
      </c>
    </row>
    <row r="12" spans="1:2">
      <c r="A12" s="19" t="s">
        <v>59</v>
      </c>
      <c r="B12">
        <v>1790019.55</v>
      </c>
    </row>
    <row r="13" spans="1:2">
      <c r="A13" s="19" t="s">
        <v>159</v>
      </c>
      <c r="B13">
        <v>1100000</v>
      </c>
    </row>
    <row r="14" spans="1:2">
      <c r="A14" s="19" t="s">
        <v>55</v>
      </c>
      <c r="B14">
        <v>100</v>
      </c>
    </row>
    <row r="15" spans="1:2">
      <c r="A15" s="18" t="s">
        <v>34</v>
      </c>
      <c r="B15">
        <v>702857</v>
      </c>
    </row>
    <row r="16" spans="1:2">
      <c r="A16" s="19" t="s">
        <v>73</v>
      </c>
      <c r="B16">
        <v>311057</v>
      </c>
    </row>
    <row r="17" spans="1:2">
      <c r="A17" s="19" t="s">
        <v>121</v>
      </c>
      <c r="B17">
        <v>91800</v>
      </c>
    </row>
    <row r="18" spans="1:2">
      <c r="A18" s="19" t="s">
        <v>78</v>
      </c>
      <c r="B18">
        <v>300000</v>
      </c>
    </row>
    <row r="19" spans="1:2">
      <c r="A19" s="18" t="s">
        <v>2</v>
      </c>
      <c r="B19">
        <v>516303</v>
      </c>
    </row>
    <row r="20" spans="1:2">
      <c r="A20" s="19" t="s">
        <v>157</v>
      </c>
      <c r="B20">
        <v>39000</v>
      </c>
    </row>
    <row r="21" spans="1:2">
      <c r="A21" s="19" t="s">
        <v>118</v>
      </c>
      <c r="B21">
        <v>35000</v>
      </c>
    </row>
    <row r="22" spans="1:2">
      <c r="A22" s="19" t="s">
        <v>119</v>
      </c>
      <c r="B22">
        <v>25000</v>
      </c>
    </row>
    <row r="23" spans="1:2">
      <c r="A23" s="19" t="s">
        <v>156</v>
      </c>
      <c r="B23">
        <v>32427</v>
      </c>
    </row>
    <row r="24" spans="1:2">
      <c r="A24" s="19" t="s">
        <v>74</v>
      </c>
      <c r="B24">
        <v>25987</v>
      </c>
    </row>
    <row r="25" spans="1:2">
      <c r="A25" s="19" t="s">
        <v>79</v>
      </c>
      <c r="B25">
        <v>2397</v>
      </c>
    </row>
    <row r="26" spans="1:2">
      <c r="A26" s="19" t="s">
        <v>117</v>
      </c>
      <c r="B26">
        <v>37500</v>
      </c>
    </row>
    <row r="27" spans="1:2">
      <c r="A27" s="19" t="s">
        <v>120</v>
      </c>
      <c r="B27">
        <v>35000</v>
      </c>
    </row>
    <row r="28" spans="1:2">
      <c r="A28" s="19" t="s">
        <v>77</v>
      </c>
      <c r="B28">
        <v>6300</v>
      </c>
    </row>
    <row r="29" spans="1:2">
      <c r="A29" s="19" t="s">
        <v>164</v>
      </c>
      <c r="B29">
        <v>73530</v>
      </c>
    </row>
    <row r="30" spans="1:2">
      <c r="A30" s="19" t="s">
        <v>122</v>
      </c>
      <c r="B30">
        <v>23500</v>
      </c>
    </row>
    <row r="31" spans="1:2">
      <c r="A31" s="19" t="s">
        <v>78</v>
      </c>
      <c r="B31">
        <v>12662</v>
      </c>
    </row>
    <row r="32" spans="1:2">
      <c r="A32" s="19" t="s">
        <v>124</v>
      </c>
      <c r="B32">
        <v>168000</v>
      </c>
    </row>
    <row r="33" spans="1:2">
      <c r="A33" s="18" t="s">
        <v>161</v>
      </c>
      <c r="B33">
        <v>510000</v>
      </c>
    </row>
    <row r="34" spans="1:2">
      <c r="A34" s="19" t="s">
        <v>162</v>
      </c>
      <c r="B34">
        <v>210000</v>
      </c>
    </row>
    <row r="35" spans="1:2">
      <c r="A35" s="19" t="s">
        <v>163</v>
      </c>
      <c r="B35">
        <v>300000</v>
      </c>
    </row>
    <row r="36" spans="1:2">
      <c r="A36" s="18" t="s">
        <v>75</v>
      </c>
      <c r="B36">
        <v>600000</v>
      </c>
    </row>
    <row r="37" spans="1:2">
      <c r="A37" s="19" t="s">
        <v>76</v>
      </c>
      <c r="B37">
        <v>600000</v>
      </c>
    </row>
    <row r="38" spans="1:2">
      <c r="A38" s="18" t="s">
        <v>52</v>
      </c>
      <c r="B38">
        <v>565000</v>
      </c>
    </row>
    <row r="39" spans="1:2">
      <c r="A39" s="19" t="s">
        <v>54</v>
      </c>
      <c r="B39">
        <v>100000</v>
      </c>
    </row>
    <row r="40" spans="1:2">
      <c r="A40" s="19" t="s">
        <v>53</v>
      </c>
      <c r="B40">
        <v>400000</v>
      </c>
    </row>
    <row r="41" spans="1:2">
      <c r="A41" s="19" t="s">
        <v>160</v>
      </c>
      <c r="B41">
        <v>30000</v>
      </c>
    </row>
    <row r="42" spans="1:2">
      <c r="A42" s="19" t="s">
        <v>155</v>
      </c>
      <c r="B42">
        <v>25000</v>
      </c>
    </row>
    <row r="43" spans="1:2">
      <c r="A43" s="19" t="s">
        <v>165</v>
      </c>
      <c r="B43">
        <v>10000</v>
      </c>
    </row>
    <row r="44" spans="1:2">
      <c r="A44" s="18" t="s">
        <v>171</v>
      </c>
      <c r="B44">
        <v>6213866.5800000001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"/>
  <sheetViews>
    <sheetView topLeftCell="A48" workbookViewId="0">
      <selection activeCell="E61" sqref="E61"/>
    </sheetView>
  </sheetViews>
  <sheetFormatPr defaultRowHeight="14.5"/>
  <cols>
    <col min="1" max="1" width="8.7265625" bestFit="1" customWidth="1"/>
    <col min="2" max="2" width="77.7265625" bestFit="1" customWidth="1"/>
    <col min="3" max="3" width="7.90625" bestFit="1" customWidth="1"/>
    <col min="4" max="4" width="16" bestFit="1" customWidth="1"/>
    <col min="5" max="5" width="28.54296875" bestFit="1" customWidth="1"/>
    <col min="6" max="6" width="85.81640625" bestFit="1" customWidth="1"/>
  </cols>
  <sheetData>
    <row r="1" spans="1:5">
      <c r="A1" t="s">
        <v>113</v>
      </c>
      <c r="B1" t="s">
        <v>114</v>
      </c>
      <c r="C1" t="s">
        <v>115</v>
      </c>
      <c r="D1" t="s">
        <v>116</v>
      </c>
      <c r="E1" t="s">
        <v>101</v>
      </c>
    </row>
    <row r="2" spans="1:5">
      <c r="A2" t="s">
        <v>29</v>
      </c>
      <c r="B2" t="s">
        <v>30</v>
      </c>
      <c r="C2">
        <v>37500</v>
      </c>
      <c r="D2" t="s">
        <v>2</v>
      </c>
      <c r="E2" t="s">
        <v>117</v>
      </c>
    </row>
    <row r="3" spans="1:5">
      <c r="A3" t="s">
        <v>29</v>
      </c>
      <c r="B3" t="s">
        <v>31</v>
      </c>
      <c r="C3">
        <v>35000</v>
      </c>
      <c r="D3" t="s">
        <v>2</v>
      </c>
      <c r="E3" t="s">
        <v>118</v>
      </c>
    </row>
    <row r="4" spans="1:5">
      <c r="A4" t="s">
        <v>29</v>
      </c>
      <c r="B4" t="s">
        <v>32</v>
      </c>
      <c r="C4">
        <v>35000</v>
      </c>
      <c r="D4" t="s">
        <v>2</v>
      </c>
      <c r="E4" t="s">
        <v>120</v>
      </c>
    </row>
    <row r="5" spans="1:5">
      <c r="A5" t="s">
        <v>29</v>
      </c>
      <c r="B5" t="s">
        <v>33</v>
      </c>
      <c r="C5">
        <v>82000</v>
      </c>
      <c r="D5" t="s">
        <v>34</v>
      </c>
      <c r="E5" t="s">
        <v>121</v>
      </c>
    </row>
    <row r="6" spans="1:5">
      <c r="A6" t="s">
        <v>35</v>
      </c>
      <c r="B6" t="s">
        <v>36</v>
      </c>
      <c r="C6">
        <v>23500</v>
      </c>
      <c r="D6" t="s">
        <v>2</v>
      </c>
      <c r="E6" t="s">
        <v>122</v>
      </c>
    </row>
    <row r="7" spans="1:5">
      <c r="A7" t="s">
        <v>35</v>
      </c>
      <c r="B7" t="s">
        <v>37</v>
      </c>
      <c r="C7">
        <v>25000</v>
      </c>
      <c r="D7" t="s">
        <v>2</v>
      </c>
      <c r="E7" t="s">
        <v>119</v>
      </c>
    </row>
    <row r="8" spans="1:5">
      <c r="A8" t="s">
        <v>35</v>
      </c>
      <c r="B8" t="s">
        <v>38</v>
      </c>
      <c r="C8">
        <v>9800</v>
      </c>
      <c r="D8" t="s">
        <v>34</v>
      </c>
      <c r="E8" t="s">
        <v>121</v>
      </c>
    </row>
    <row r="9" spans="1:5">
      <c r="A9" t="s">
        <v>35</v>
      </c>
      <c r="B9" t="s">
        <v>39</v>
      </c>
      <c r="C9">
        <v>25000</v>
      </c>
      <c r="D9" t="s">
        <v>47</v>
      </c>
      <c r="E9" t="s">
        <v>48</v>
      </c>
    </row>
    <row r="10" spans="1:5">
      <c r="A10" t="s">
        <v>40</v>
      </c>
      <c r="B10" t="s">
        <v>41</v>
      </c>
      <c r="C10">
        <v>25000</v>
      </c>
      <c r="D10" t="s">
        <v>47</v>
      </c>
      <c r="E10" t="s">
        <v>48</v>
      </c>
    </row>
    <row r="11" spans="1:5">
      <c r="A11" t="s">
        <v>40</v>
      </c>
      <c r="B11" t="s">
        <v>41</v>
      </c>
      <c r="C11">
        <v>8000</v>
      </c>
      <c r="D11" t="s">
        <v>47</v>
      </c>
      <c r="E11" t="s">
        <v>49</v>
      </c>
    </row>
    <row r="12" spans="1:5">
      <c r="A12" t="s">
        <v>40</v>
      </c>
      <c r="B12" t="s">
        <v>42</v>
      </c>
      <c r="C12">
        <v>500</v>
      </c>
      <c r="D12" t="s">
        <v>47</v>
      </c>
      <c r="E12" t="s">
        <v>49</v>
      </c>
    </row>
    <row r="13" spans="1:5">
      <c r="A13" t="s">
        <v>40</v>
      </c>
      <c r="B13" t="s">
        <v>50</v>
      </c>
      <c r="C13">
        <v>168000</v>
      </c>
      <c r="D13" t="s">
        <v>2</v>
      </c>
      <c r="E13" t="s">
        <v>124</v>
      </c>
    </row>
    <row r="14" spans="1:5">
      <c r="A14" t="s">
        <v>43</v>
      </c>
      <c r="B14" t="s">
        <v>51</v>
      </c>
      <c r="C14">
        <v>400000</v>
      </c>
      <c r="D14" t="s">
        <v>52</v>
      </c>
      <c r="E14" t="s">
        <v>53</v>
      </c>
    </row>
    <row r="15" spans="1:5">
      <c r="A15" t="s">
        <v>43</v>
      </c>
      <c r="B15" t="s">
        <v>44</v>
      </c>
      <c r="C15">
        <v>100000</v>
      </c>
      <c r="D15" t="s">
        <v>52</v>
      </c>
      <c r="E15" t="s">
        <v>54</v>
      </c>
    </row>
    <row r="16" spans="1:5">
      <c r="A16" t="s">
        <v>43</v>
      </c>
      <c r="B16" t="s">
        <v>45</v>
      </c>
      <c r="C16">
        <v>100</v>
      </c>
      <c r="D16" t="s">
        <v>47</v>
      </c>
      <c r="E16" t="s">
        <v>55</v>
      </c>
    </row>
    <row r="17" spans="1:5">
      <c r="A17" t="s">
        <v>46</v>
      </c>
      <c r="B17" t="s">
        <v>58</v>
      </c>
      <c r="C17">
        <v>250000</v>
      </c>
      <c r="D17" t="s">
        <v>56</v>
      </c>
      <c r="E17" t="s">
        <v>57</v>
      </c>
    </row>
    <row r="18" spans="1:5">
      <c r="A18" t="s">
        <v>46</v>
      </c>
      <c r="B18" t="s">
        <v>41</v>
      </c>
      <c r="C18">
        <v>10000</v>
      </c>
      <c r="D18" t="s">
        <v>47</v>
      </c>
      <c r="E18" t="s">
        <v>59</v>
      </c>
    </row>
    <row r="19" spans="1:5">
      <c r="A19" t="s">
        <v>46</v>
      </c>
      <c r="B19" t="s">
        <v>41</v>
      </c>
      <c r="C19">
        <v>20000</v>
      </c>
      <c r="D19" t="s">
        <v>47</v>
      </c>
      <c r="E19" t="s">
        <v>59</v>
      </c>
    </row>
    <row r="20" spans="1:5">
      <c r="A20" t="s">
        <v>46</v>
      </c>
      <c r="B20" t="s">
        <v>41</v>
      </c>
      <c r="C20">
        <v>20000</v>
      </c>
      <c r="D20" t="s">
        <v>47</v>
      </c>
      <c r="E20" t="s">
        <v>59</v>
      </c>
    </row>
    <row r="21" spans="1:5">
      <c r="A21" t="s">
        <v>46</v>
      </c>
      <c r="B21" t="s">
        <v>41</v>
      </c>
      <c r="C21">
        <v>20000</v>
      </c>
      <c r="D21" t="s">
        <v>47</v>
      </c>
      <c r="E21" t="s">
        <v>59</v>
      </c>
    </row>
    <row r="22" spans="1:5">
      <c r="A22" t="s">
        <v>46</v>
      </c>
      <c r="B22" t="s">
        <v>41</v>
      </c>
      <c r="C22">
        <v>20000</v>
      </c>
      <c r="D22" t="s">
        <v>47</v>
      </c>
      <c r="E22" t="s">
        <v>59</v>
      </c>
    </row>
    <row r="23" spans="1:5">
      <c r="A23" t="s">
        <v>46</v>
      </c>
      <c r="B23" t="s">
        <v>41</v>
      </c>
      <c r="C23">
        <v>10000</v>
      </c>
      <c r="D23" t="s">
        <v>47</v>
      </c>
      <c r="E23" t="s">
        <v>59</v>
      </c>
    </row>
    <row r="24" spans="1:5">
      <c r="A24" t="s">
        <v>46</v>
      </c>
      <c r="B24" t="s">
        <v>72</v>
      </c>
      <c r="C24">
        <v>200000</v>
      </c>
      <c r="D24" t="s">
        <v>34</v>
      </c>
      <c r="E24" t="s">
        <v>73</v>
      </c>
    </row>
    <row r="25" spans="1:5">
      <c r="A25" t="s">
        <v>46</v>
      </c>
      <c r="B25" t="s">
        <v>72</v>
      </c>
      <c r="C25">
        <v>111057</v>
      </c>
      <c r="D25" t="s">
        <v>34</v>
      </c>
      <c r="E25" t="s">
        <v>73</v>
      </c>
    </row>
    <row r="26" spans="1:5">
      <c r="A26" t="s">
        <v>46</v>
      </c>
      <c r="B26" t="s">
        <v>60</v>
      </c>
      <c r="C26">
        <v>25987</v>
      </c>
      <c r="D26" t="s">
        <v>2</v>
      </c>
      <c r="E26" t="s">
        <v>74</v>
      </c>
    </row>
    <row r="27" spans="1:5">
      <c r="A27" t="s">
        <v>46</v>
      </c>
      <c r="B27" t="s">
        <v>61</v>
      </c>
      <c r="C27">
        <v>400000</v>
      </c>
      <c r="D27" t="s">
        <v>75</v>
      </c>
      <c r="E27" t="s">
        <v>76</v>
      </c>
    </row>
    <row r="28" spans="1:5">
      <c r="A28" t="s">
        <v>62</v>
      </c>
      <c r="B28" t="s">
        <v>63</v>
      </c>
      <c r="C28">
        <v>6300</v>
      </c>
      <c r="D28" t="s">
        <v>2</v>
      </c>
      <c r="E28" t="s">
        <v>77</v>
      </c>
    </row>
    <row r="29" spans="1:5">
      <c r="A29" t="s">
        <v>62</v>
      </c>
      <c r="B29" t="s">
        <v>64</v>
      </c>
      <c r="C29">
        <v>12662</v>
      </c>
      <c r="D29" t="s">
        <v>2</v>
      </c>
      <c r="E29" t="s">
        <v>78</v>
      </c>
    </row>
    <row r="30" spans="1:5">
      <c r="A30" t="s">
        <v>62</v>
      </c>
      <c r="B30" t="s">
        <v>65</v>
      </c>
      <c r="C30">
        <v>300000</v>
      </c>
      <c r="D30" t="s">
        <v>34</v>
      </c>
      <c r="E30" t="s">
        <v>78</v>
      </c>
    </row>
    <row r="31" spans="1:5">
      <c r="A31" t="s">
        <v>62</v>
      </c>
      <c r="B31" t="s">
        <v>66</v>
      </c>
      <c r="C31">
        <v>100000</v>
      </c>
      <c r="D31" t="s">
        <v>75</v>
      </c>
      <c r="E31" t="s">
        <v>76</v>
      </c>
    </row>
    <row r="32" spans="1:5">
      <c r="A32" t="s">
        <v>62</v>
      </c>
      <c r="B32" t="s">
        <v>67</v>
      </c>
      <c r="C32">
        <v>100000</v>
      </c>
      <c r="D32" t="s">
        <v>75</v>
      </c>
      <c r="E32" t="s">
        <v>76</v>
      </c>
    </row>
    <row r="33" spans="1:5">
      <c r="A33" t="s">
        <v>62</v>
      </c>
      <c r="B33" t="s">
        <v>68</v>
      </c>
      <c r="C33">
        <v>500</v>
      </c>
      <c r="D33" t="s">
        <v>47</v>
      </c>
      <c r="E33" t="s">
        <v>49</v>
      </c>
    </row>
    <row r="34" spans="1:5">
      <c r="A34" t="s">
        <v>69</v>
      </c>
      <c r="B34" t="s">
        <v>70</v>
      </c>
      <c r="C34">
        <v>2397</v>
      </c>
      <c r="D34" t="s">
        <v>2</v>
      </c>
      <c r="E34" t="s">
        <v>79</v>
      </c>
    </row>
    <row r="35" spans="1:5">
      <c r="A35" t="s">
        <v>69</v>
      </c>
      <c r="B35" t="s">
        <v>71</v>
      </c>
      <c r="C35">
        <v>28000</v>
      </c>
      <c r="D35" t="s">
        <v>47</v>
      </c>
      <c r="E35" t="s">
        <v>80</v>
      </c>
    </row>
    <row r="36" spans="1:5">
      <c r="A36" t="s">
        <v>69</v>
      </c>
      <c r="B36" t="s">
        <v>41</v>
      </c>
      <c r="C36">
        <v>20000</v>
      </c>
      <c r="D36" t="s">
        <v>47</v>
      </c>
      <c r="E36" t="s">
        <v>129</v>
      </c>
    </row>
    <row r="37" spans="1:5">
      <c r="A37" t="s">
        <v>69</v>
      </c>
      <c r="B37" t="s">
        <v>39</v>
      </c>
      <c r="C37">
        <v>25000</v>
      </c>
      <c r="D37" t="s">
        <v>47</v>
      </c>
      <c r="E37" t="s">
        <v>129</v>
      </c>
    </row>
    <row r="38" spans="1:5">
      <c r="A38" t="s">
        <v>69</v>
      </c>
      <c r="B38" t="s">
        <v>39</v>
      </c>
      <c r="C38">
        <v>25000</v>
      </c>
      <c r="D38" t="s">
        <v>47</v>
      </c>
      <c r="E38" t="s">
        <v>129</v>
      </c>
    </row>
    <row r="39" spans="1:5">
      <c r="A39" t="s">
        <v>69</v>
      </c>
      <c r="B39" t="s">
        <v>39</v>
      </c>
      <c r="C39">
        <v>5000</v>
      </c>
      <c r="D39" t="s">
        <v>47</v>
      </c>
      <c r="E39" t="s">
        <v>59</v>
      </c>
    </row>
    <row r="40" spans="1:5">
      <c r="A40" t="s">
        <v>126</v>
      </c>
      <c r="B40" t="s">
        <v>127</v>
      </c>
      <c r="C40">
        <v>1987.03</v>
      </c>
      <c r="D40" t="s">
        <v>47</v>
      </c>
      <c r="E40" t="s">
        <v>49</v>
      </c>
    </row>
    <row r="41" spans="1:5">
      <c r="A41" t="s">
        <v>126</v>
      </c>
      <c r="B41" t="s">
        <v>128</v>
      </c>
      <c r="C41">
        <v>25000</v>
      </c>
      <c r="D41" t="s">
        <v>52</v>
      </c>
      <c r="E41" t="s">
        <v>155</v>
      </c>
    </row>
    <row r="42" spans="1:5">
      <c r="A42" t="s">
        <v>130</v>
      </c>
      <c r="B42" t="s">
        <v>131</v>
      </c>
      <c r="C42">
        <v>10000</v>
      </c>
      <c r="D42" t="s">
        <v>52</v>
      </c>
      <c r="E42" t="s">
        <v>160</v>
      </c>
    </row>
    <row r="43" spans="1:5">
      <c r="A43" t="s">
        <v>132</v>
      </c>
      <c r="B43" t="s">
        <v>133</v>
      </c>
      <c r="C43">
        <v>32427</v>
      </c>
      <c r="D43" t="s">
        <v>2</v>
      </c>
      <c r="E43" t="s">
        <v>156</v>
      </c>
    </row>
    <row r="44" spans="1:5">
      <c r="A44" t="s">
        <v>132</v>
      </c>
      <c r="B44" t="s">
        <v>134</v>
      </c>
      <c r="C44">
        <v>39000</v>
      </c>
      <c r="D44" t="s">
        <v>2</v>
      </c>
      <c r="E44" t="s">
        <v>157</v>
      </c>
    </row>
    <row r="45" spans="1:5">
      <c r="A45" t="s">
        <v>135</v>
      </c>
      <c r="B45" t="s">
        <v>136</v>
      </c>
      <c r="C45">
        <v>10600</v>
      </c>
      <c r="D45" t="s">
        <v>47</v>
      </c>
      <c r="E45" t="s">
        <v>49</v>
      </c>
    </row>
    <row r="46" spans="1:5">
      <c r="A46" t="s">
        <v>135</v>
      </c>
      <c r="B46" t="s">
        <v>137</v>
      </c>
      <c r="C46">
        <v>10000</v>
      </c>
      <c r="D46" t="s">
        <v>47</v>
      </c>
      <c r="E46" t="s">
        <v>158</v>
      </c>
    </row>
    <row r="47" spans="1:5">
      <c r="A47" t="s">
        <v>135</v>
      </c>
      <c r="B47" t="s">
        <v>138</v>
      </c>
      <c r="C47">
        <v>500000</v>
      </c>
      <c r="D47" t="s">
        <v>47</v>
      </c>
      <c r="E47" t="s">
        <v>159</v>
      </c>
    </row>
    <row r="48" spans="1:5">
      <c r="A48" t="s">
        <v>135</v>
      </c>
      <c r="B48" t="s">
        <v>139</v>
      </c>
      <c r="C48">
        <v>500000</v>
      </c>
      <c r="D48" t="s">
        <v>47</v>
      </c>
      <c r="E48" t="s">
        <v>159</v>
      </c>
    </row>
    <row r="49" spans="1:6">
      <c r="A49" t="s">
        <v>135</v>
      </c>
      <c r="B49" t="s">
        <v>140</v>
      </c>
      <c r="C49">
        <v>100000</v>
      </c>
      <c r="D49" t="s">
        <v>47</v>
      </c>
      <c r="E49" t="s">
        <v>159</v>
      </c>
    </row>
    <row r="50" spans="1:6">
      <c r="A50" t="s">
        <v>135</v>
      </c>
      <c r="B50" t="s">
        <v>141</v>
      </c>
      <c r="C50">
        <v>10000</v>
      </c>
      <c r="D50" t="s">
        <v>52</v>
      </c>
      <c r="E50" t="s">
        <v>160</v>
      </c>
    </row>
    <row r="51" spans="1:6">
      <c r="A51" t="s">
        <v>135</v>
      </c>
      <c r="B51" t="s">
        <v>39</v>
      </c>
      <c r="C51">
        <v>29000</v>
      </c>
      <c r="D51" t="s">
        <v>47</v>
      </c>
      <c r="E51" t="s">
        <v>59</v>
      </c>
    </row>
    <row r="52" spans="1:6">
      <c r="A52" t="s">
        <v>142</v>
      </c>
      <c r="B52" t="s">
        <v>143</v>
      </c>
      <c r="C52">
        <v>10000</v>
      </c>
      <c r="D52" t="s">
        <v>52</v>
      </c>
      <c r="E52" t="s">
        <v>160</v>
      </c>
    </row>
    <row r="53" spans="1:6">
      <c r="A53" t="s">
        <v>142</v>
      </c>
      <c r="B53" t="s">
        <v>144</v>
      </c>
      <c r="C53">
        <v>20000</v>
      </c>
      <c r="D53" t="s">
        <v>47</v>
      </c>
      <c r="E53" t="s">
        <v>59</v>
      </c>
      <c r="F53" t="s">
        <v>167</v>
      </c>
    </row>
    <row r="54" spans="1:6">
      <c r="A54" t="s">
        <v>142</v>
      </c>
      <c r="B54" t="s">
        <v>144</v>
      </c>
      <c r="C54">
        <v>20000</v>
      </c>
      <c r="D54" t="s">
        <v>47</v>
      </c>
      <c r="E54" t="s">
        <v>59</v>
      </c>
      <c r="F54" t="s">
        <v>167</v>
      </c>
    </row>
    <row r="55" spans="1:6">
      <c r="A55" t="s">
        <v>142</v>
      </c>
      <c r="B55" t="s">
        <v>144</v>
      </c>
      <c r="C55">
        <v>20000</v>
      </c>
      <c r="D55" t="s">
        <v>47</v>
      </c>
      <c r="E55" t="s">
        <v>59</v>
      </c>
      <c r="F55" t="s">
        <v>167</v>
      </c>
    </row>
    <row r="56" spans="1:6">
      <c r="A56" t="s">
        <v>142</v>
      </c>
      <c r="B56" t="s">
        <v>145</v>
      </c>
      <c r="C56">
        <v>20000</v>
      </c>
      <c r="D56" t="s">
        <v>47</v>
      </c>
      <c r="E56" t="s">
        <v>59</v>
      </c>
      <c r="F56" t="s">
        <v>167</v>
      </c>
    </row>
    <row r="57" spans="1:6">
      <c r="A57" t="s">
        <v>142</v>
      </c>
      <c r="B57" t="s">
        <v>144</v>
      </c>
      <c r="C57">
        <v>20000</v>
      </c>
      <c r="D57" t="s">
        <v>47</v>
      </c>
      <c r="E57" t="s">
        <v>59</v>
      </c>
      <c r="F57" t="s">
        <v>167</v>
      </c>
    </row>
    <row r="58" spans="1:6">
      <c r="A58" t="s">
        <v>146</v>
      </c>
      <c r="B58" t="s">
        <v>147</v>
      </c>
      <c r="C58">
        <v>20000</v>
      </c>
      <c r="D58" t="s">
        <v>47</v>
      </c>
      <c r="E58" t="s">
        <v>59</v>
      </c>
      <c r="F58" t="s">
        <v>167</v>
      </c>
    </row>
    <row r="59" spans="1:6">
      <c r="A59" t="s">
        <v>146</v>
      </c>
      <c r="B59" t="s">
        <v>148</v>
      </c>
      <c r="C59">
        <v>210000</v>
      </c>
      <c r="D59" t="s">
        <v>161</v>
      </c>
      <c r="E59" t="s">
        <v>162</v>
      </c>
    </row>
    <row r="60" spans="1:6">
      <c r="A60" t="s">
        <v>146</v>
      </c>
      <c r="B60" t="s">
        <v>149</v>
      </c>
      <c r="C60">
        <v>300000</v>
      </c>
      <c r="D60" t="s">
        <v>161</v>
      </c>
      <c r="E60" t="s">
        <v>163</v>
      </c>
    </row>
    <row r="61" spans="1:6">
      <c r="A61" t="s">
        <v>146</v>
      </c>
      <c r="B61" t="s">
        <v>150</v>
      </c>
      <c r="C61">
        <v>10000</v>
      </c>
      <c r="D61" t="s">
        <v>52</v>
      </c>
      <c r="E61" t="s">
        <v>165</v>
      </c>
    </row>
    <row r="62" spans="1:6">
      <c r="A62" t="s">
        <v>151</v>
      </c>
      <c r="B62" t="s">
        <v>152</v>
      </c>
      <c r="C62">
        <v>1019.55</v>
      </c>
      <c r="D62" t="s">
        <v>47</v>
      </c>
      <c r="E62" t="s">
        <v>59</v>
      </c>
      <c r="F62" t="s">
        <v>168</v>
      </c>
    </row>
    <row r="63" spans="1:6">
      <c r="A63" t="s">
        <v>151</v>
      </c>
      <c r="B63" t="s">
        <v>139</v>
      </c>
      <c r="C63">
        <v>310000</v>
      </c>
      <c r="D63" t="s">
        <v>47</v>
      </c>
      <c r="E63" t="s">
        <v>59</v>
      </c>
      <c r="F63" t="s">
        <v>169</v>
      </c>
    </row>
    <row r="64" spans="1:6">
      <c r="A64" t="s">
        <v>151</v>
      </c>
      <c r="B64" t="s">
        <v>153</v>
      </c>
      <c r="C64">
        <v>73530</v>
      </c>
      <c r="D64" t="s">
        <v>2</v>
      </c>
      <c r="E64" t="s">
        <v>164</v>
      </c>
    </row>
    <row r="65" spans="1:6">
      <c r="A65" t="s">
        <v>151</v>
      </c>
      <c r="B65" t="s">
        <v>154</v>
      </c>
      <c r="C65">
        <v>1225000</v>
      </c>
      <c r="D65" t="s">
        <v>47</v>
      </c>
      <c r="E65" t="s">
        <v>59</v>
      </c>
      <c r="F65" t="s">
        <v>166</v>
      </c>
    </row>
    <row r="66" spans="1:6">
      <c r="A66" s="16">
        <v>43953</v>
      </c>
      <c r="B66" t="s">
        <v>173</v>
      </c>
      <c r="C66">
        <v>50000</v>
      </c>
      <c r="D66" t="s">
        <v>47</v>
      </c>
      <c r="E66" t="s">
        <v>125</v>
      </c>
    </row>
    <row r="100" spans="3:3">
      <c r="C100">
        <f>SUM(C2:C99)</f>
        <v>6263866.5799999991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workbookViewId="0">
      <selection activeCell="F16" sqref="F16"/>
    </sheetView>
  </sheetViews>
  <sheetFormatPr defaultRowHeight="14.5"/>
  <cols>
    <col min="2" max="2" width="11" bestFit="1" customWidth="1"/>
    <col min="3" max="3" width="12.26953125" bestFit="1" customWidth="1"/>
    <col min="6" max="6" width="15.90625" bestFit="1" customWidth="1"/>
    <col min="7" max="7" width="11" bestFit="1" customWidth="1"/>
    <col min="8" max="8" width="9.6328125" bestFit="1" customWidth="1"/>
    <col min="10" max="10" width="13.81640625" bestFit="1" customWidth="1"/>
  </cols>
  <sheetData>
    <row r="1" spans="1:10">
      <c r="A1" t="s">
        <v>98</v>
      </c>
      <c r="F1" t="s">
        <v>99</v>
      </c>
      <c r="G1" t="s">
        <v>89</v>
      </c>
      <c r="H1" t="s">
        <v>90</v>
      </c>
      <c r="J1" t="s">
        <v>100</v>
      </c>
    </row>
    <row r="2" spans="1:10">
      <c r="A2">
        <v>1</v>
      </c>
      <c r="B2" t="s">
        <v>81</v>
      </c>
      <c r="C2" s="38">
        <v>3000000</v>
      </c>
      <c r="F2" t="s">
        <v>88</v>
      </c>
      <c r="G2" s="38">
        <v>3000000</v>
      </c>
      <c r="H2" s="38">
        <v>1600000</v>
      </c>
    </row>
    <row r="3" spans="1:10">
      <c r="A3">
        <v>2</v>
      </c>
      <c r="B3" t="s">
        <v>82</v>
      </c>
      <c r="C3" s="38">
        <v>1100000</v>
      </c>
      <c r="F3" t="s">
        <v>91</v>
      </c>
      <c r="G3" s="38">
        <v>1500000</v>
      </c>
      <c r="H3" s="38">
        <v>1500000</v>
      </c>
    </row>
    <row r="4" spans="1:10">
      <c r="A4">
        <v>3</v>
      </c>
      <c r="B4" t="s">
        <v>83</v>
      </c>
      <c r="C4" s="38">
        <v>1000000</v>
      </c>
      <c r="F4" t="s">
        <v>92</v>
      </c>
      <c r="G4" s="38">
        <v>500000</v>
      </c>
      <c r="H4" s="38">
        <v>500000</v>
      </c>
    </row>
    <row r="5" spans="1:10">
      <c r="A5">
        <v>4</v>
      </c>
      <c r="B5" t="s">
        <v>84</v>
      </c>
      <c r="C5" s="38">
        <v>600000</v>
      </c>
      <c r="D5" t="s">
        <v>87</v>
      </c>
      <c r="F5" t="s">
        <v>93</v>
      </c>
      <c r="G5" s="38">
        <v>200000</v>
      </c>
      <c r="H5" s="38">
        <v>200000</v>
      </c>
    </row>
    <row r="6" spans="1:10">
      <c r="A6">
        <v>5</v>
      </c>
      <c r="B6" t="s">
        <v>85</v>
      </c>
      <c r="C6" s="38">
        <v>575000</v>
      </c>
      <c r="F6" t="s">
        <v>94</v>
      </c>
      <c r="G6" s="38">
        <v>200000</v>
      </c>
      <c r="H6" s="38">
        <v>200000</v>
      </c>
    </row>
    <row r="7" spans="1:10">
      <c r="A7">
        <v>6</v>
      </c>
      <c r="B7" t="s">
        <v>86</v>
      </c>
      <c r="C7" s="38">
        <v>210000</v>
      </c>
      <c r="F7" t="s">
        <v>95</v>
      </c>
      <c r="G7" s="38">
        <v>200000</v>
      </c>
      <c r="H7" s="38">
        <v>200000</v>
      </c>
    </row>
    <row r="8" spans="1:10">
      <c r="C8" s="38">
        <f>SUM(C2:C7)</f>
        <v>6485000</v>
      </c>
      <c r="F8" t="s">
        <v>96</v>
      </c>
      <c r="G8" s="38">
        <v>5000000</v>
      </c>
      <c r="H8" s="38">
        <v>100000</v>
      </c>
    </row>
    <row r="9" spans="1:10">
      <c r="F9" t="s">
        <v>97</v>
      </c>
      <c r="G9" s="38">
        <v>900000</v>
      </c>
      <c r="H9" s="38">
        <v>900000</v>
      </c>
    </row>
    <row r="10" spans="1:10">
      <c r="G10" s="38">
        <f>SUM(G2:G9)</f>
        <v>11500000</v>
      </c>
      <c r="H10" s="38">
        <f>SUM(H2:H9)</f>
        <v>5200000</v>
      </c>
      <c r="J10" s="38">
        <v>6000000</v>
      </c>
    </row>
    <row r="14" spans="1:10">
      <c r="A14" t="s">
        <v>18</v>
      </c>
      <c r="B14" s="38">
        <f>C8+H10+J10</f>
        <v>17685000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B6343-CDFE-443E-95B9-A4FD0FC60528}">
  <dimension ref="A1:G43"/>
  <sheetViews>
    <sheetView workbookViewId="0">
      <selection activeCell="F43" sqref="A1:F43"/>
    </sheetView>
  </sheetViews>
  <sheetFormatPr defaultRowHeight="14.5"/>
  <cols>
    <col min="1" max="1" width="11" bestFit="1" customWidth="1"/>
    <col min="2" max="2" width="12.36328125" style="52" bestFit="1" customWidth="1"/>
    <col min="3" max="3" width="8.90625" customWidth="1"/>
    <col min="4" max="4" width="10.1796875" bestFit="1" customWidth="1"/>
    <col min="5" max="5" width="11.1796875" bestFit="1" customWidth="1"/>
    <col min="6" max="6" width="38.6328125" bestFit="1" customWidth="1"/>
    <col min="7" max="7" width="14.90625" bestFit="1" customWidth="1"/>
    <col min="9" max="9" width="24.7265625" bestFit="1" customWidth="1"/>
  </cols>
  <sheetData>
    <row r="1" spans="1:7">
      <c r="A1" s="177" t="s">
        <v>218</v>
      </c>
      <c r="B1" s="178"/>
      <c r="C1" s="67"/>
      <c r="D1" s="177" t="s">
        <v>175</v>
      </c>
      <c r="E1" s="179"/>
      <c r="F1" s="178"/>
    </row>
    <row r="2" spans="1:7">
      <c r="A2" s="47">
        <v>43873</v>
      </c>
      <c r="B2" s="73">
        <v>46546</v>
      </c>
      <c r="C2" s="74"/>
      <c r="D2" s="47">
        <v>43891</v>
      </c>
      <c r="E2" s="78">
        <v>20000</v>
      </c>
      <c r="F2" s="49" t="s">
        <v>192</v>
      </c>
      <c r="G2" s="20"/>
    </row>
    <row r="3" spans="1:7">
      <c r="A3" s="47">
        <v>43899</v>
      </c>
      <c r="B3" s="73">
        <v>83881</v>
      </c>
      <c r="C3" s="74"/>
      <c r="D3" s="47">
        <v>43891</v>
      </c>
      <c r="E3" s="78">
        <v>2000</v>
      </c>
      <c r="F3" s="49" t="s">
        <v>183</v>
      </c>
      <c r="G3" s="20"/>
    </row>
    <row r="4" spans="1:7">
      <c r="A4" s="47">
        <v>43930</v>
      </c>
      <c r="B4" s="73">
        <v>81320</v>
      </c>
      <c r="C4" s="74"/>
      <c r="D4" s="47">
        <v>43891</v>
      </c>
      <c r="E4" s="78">
        <v>50000</v>
      </c>
      <c r="F4" s="49" t="s">
        <v>195</v>
      </c>
      <c r="G4" s="20"/>
    </row>
    <row r="5" spans="1:7">
      <c r="A5" s="47">
        <v>43963</v>
      </c>
      <c r="B5" s="73">
        <v>73710</v>
      </c>
      <c r="C5" s="74"/>
      <c r="D5" s="47">
        <v>43899</v>
      </c>
      <c r="E5" s="78">
        <v>50000</v>
      </c>
      <c r="F5" s="49" t="s">
        <v>195</v>
      </c>
      <c r="G5" s="20"/>
    </row>
    <row r="6" spans="1:7">
      <c r="A6" s="47">
        <v>43992</v>
      </c>
      <c r="B6" s="73">
        <v>102114</v>
      </c>
      <c r="C6" s="74"/>
      <c r="D6" s="47">
        <v>43984</v>
      </c>
      <c r="E6" s="78">
        <v>10000</v>
      </c>
      <c r="F6" s="49" t="s">
        <v>193</v>
      </c>
    </row>
    <row r="7" spans="1:7">
      <c r="A7" s="47">
        <v>44025</v>
      </c>
      <c r="B7" s="73">
        <v>82049</v>
      </c>
      <c r="C7" s="74"/>
      <c r="D7" s="47">
        <v>44009</v>
      </c>
      <c r="E7" s="78">
        <v>45000</v>
      </c>
      <c r="F7" s="49" t="s">
        <v>195</v>
      </c>
    </row>
    <row r="8" spans="1:7">
      <c r="A8" s="47">
        <v>44053</v>
      </c>
      <c r="B8" s="73">
        <v>94330</v>
      </c>
      <c r="C8" s="74"/>
      <c r="D8" s="47">
        <v>44017</v>
      </c>
      <c r="E8" s="78">
        <v>25000</v>
      </c>
      <c r="F8" s="49" t="s">
        <v>203</v>
      </c>
      <c r="G8" s="20"/>
    </row>
    <row r="9" spans="1:7">
      <c r="A9" s="47">
        <v>44083</v>
      </c>
      <c r="B9" s="73">
        <v>33048</v>
      </c>
      <c r="C9" s="74"/>
      <c r="D9" s="47">
        <v>44053</v>
      </c>
      <c r="E9" s="78">
        <v>25000</v>
      </c>
      <c r="F9" s="49" t="s">
        <v>214</v>
      </c>
      <c r="G9" s="20"/>
    </row>
    <row r="10" spans="1:7">
      <c r="A10" s="47">
        <v>44118</v>
      </c>
      <c r="B10" s="73">
        <v>84622.32</v>
      </c>
      <c r="C10" s="74"/>
      <c r="D10" s="47">
        <v>44109</v>
      </c>
      <c r="E10" s="78">
        <v>22610</v>
      </c>
      <c r="F10" s="49" t="s">
        <v>217</v>
      </c>
      <c r="G10" s="20"/>
    </row>
    <row r="11" spans="1:7">
      <c r="A11" s="47">
        <v>44147</v>
      </c>
      <c r="B11" s="73">
        <v>92933.56</v>
      </c>
      <c r="C11" s="74"/>
      <c r="D11" s="79">
        <v>44107</v>
      </c>
      <c r="E11" s="100">
        <v>200000</v>
      </c>
      <c r="F11" s="80" t="s">
        <v>332</v>
      </c>
      <c r="G11" s="20"/>
    </row>
    <row r="12" spans="1:7">
      <c r="A12" s="47">
        <v>44176</v>
      </c>
      <c r="B12" s="73">
        <v>81488</v>
      </c>
      <c r="C12" s="74"/>
      <c r="D12" s="47">
        <v>44161</v>
      </c>
      <c r="E12" s="78">
        <v>6100</v>
      </c>
      <c r="F12" s="49" t="s">
        <v>217</v>
      </c>
      <c r="G12" s="20"/>
    </row>
    <row r="13" spans="1:7">
      <c r="A13" s="47">
        <v>44176</v>
      </c>
      <c r="B13" s="73">
        <v>78716</v>
      </c>
      <c r="C13" s="74"/>
      <c r="D13" s="47">
        <v>44168</v>
      </c>
      <c r="E13" s="78">
        <v>2500</v>
      </c>
      <c r="F13" s="49" t="s">
        <v>222</v>
      </c>
      <c r="G13" s="66"/>
    </row>
    <row r="14" spans="1:7">
      <c r="A14" s="47">
        <v>44292</v>
      </c>
      <c r="B14" s="73">
        <v>101410.82</v>
      </c>
      <c r="C14" s="74"/>
      <c r="D14" s="47">
        <v>44170</v>
      </c>
      <c r="E14" s="78">
        <v>5000</v>
      </c>
      <c r="F14" s="49" t="s">
        <v>229</v>
      </c>
      <c r="G14" s="20"/>
    </row>
    <row r="15" spans="1:7">
      <c r="A15" s="47">
        <v>44322</v>
      </c>
      <c r="B15" s="73">
        <v>104429.29</v>
      </c>
      <c r="C15" s="74"/>
      <c r="D15" s="47">
        <v>44189</v>
      </c>
      <c r="E15" s="78">
        <v>102251</v>
      </c>
      <c r="F15" s="49" t="s">
        <v>230</v>
      </c>
      <c r="G15" s="20"/>
    </row>
    <row r="16" spans="1:7">
      <c r="A16" s="47">
        <v>44355</v>
      </c>
      <c r="B16" s="73">
        <v>102866.19</v>
      </c>
      <c r="C16" s="74"/>
      <c r="D16" s="47">
        <v>44202</v>
      </c>
      <c r="E16" s="78">
        <v>6100</v>
      </c>
      <c r="F16" s="49" t="s">
        <v>234</v>
      </c>
      <c r="G16" s="20"/>
    </row>
    <row r="17" spans="1:7">
      <c r="A17" s="47">
        <v>44384</v>
      </c>
      <c r="B17" s="73">
        <v>88690</v>
      </c>
      <c r="C17" s="74"/>
      <c r="D17" s="47">
        <v>44231</v>
      </c>
      <c r="E17" s="78">
        <v>4340</v>
      </c>
      <c r="F17" s="49" t="s">
        <v>217</v>
      </c>
      <c r="G17" s="20"/>
    </row>
    <row r="18" spans="1:7">
      <c r="A18" s="47">
        <v>44414</v>
      </c>
      <c r="B18" s="73">
        <v>90073</v>
      </c>
      <c r="C18" s="74"/>
      <c r="D18" s="47">
        <v>44255</v>
      </c>
      <c r="E18" s="78">
        <v>10000</v>
      </c>
      <c r="F18" s="49" t="s">
        <v>231</v>
      </c>
      <c r="G18" s="20"/>
    </row>
    <row r="19" spans="1:7">
      <c r="A19" s="47">
        <v>44446</v>
      </c>
      <c r="B19" s="73">
        <v>88681</v>
      </c>
      <c r="C19" s="74"/>
      <c r="D19" s="47">
        <v>44255</v>
      </c>
      <c r="E19" s="78">
        <v>20000</v>
      </c>
      <c r="F19" s="49" t="s">
        <v>232</v>
      </c>
      <c r="G19" s="20"/>
    </row>
    <row r="20" spans="1:7">
      <c r="A20" s="47">
        <v>44475</v>
      </c>
      <c r="B20" s="73">
        <v>105324</v>
      </c>
      <c r="C20" s="74"/>
      <c r="D20" s="47">
        <v>44296</v>
      </c>
      <c r="E20" s="5">
        <v>3650</v>
      </c>
      <c r="F20" s="49" t="s">
        <v>217</v>
      </c>
      <c r="G20" s="20"/>
    </row>
    <row r="21" spans="1:7">
      <c r="A21" s="47">
        <v>44508</v>
      </c>
      <c r="B21" s="73">
        <v>36711</v>
      </c>
      <c r="C21" s="74"/>
      <c r="D21" s="47">
        <v>44302</v>
      </c>
      <c r="E21" s="5">
        <v>35000</v>
      </c>
      <c r="F21" s="49" t="s">
        <v>296</v>
      </c>
      <c r="G21" s="20"/>
    </row>
    <row r="22" spans="1:7">
      <c r="A22" s="47">
        <v>44536</v>
      </c>
      <c r="B22" s="73">
        <v>90804</v>
      </c>
      <c r="C22" s="74"/>
      <c r="D22" s="47">
        <v>44313</v>
      </c>
      <c r="E22" s="5">
        <v>25000</v>
      </c>
      <c r="F22" s="49" t="s">
        <v>294</v>
      </c>
      <c r="G22" s="20"/>
    </row>
    <row r="23" spans="1:7">
      <c r="A23" s="47">
        <v>44567</v>
      </c>
      <c r="B23" s="73">
        <v>28014</v>
      </c>
      <c r="C23" s="74"/>
      <c r="D23" s="47">
        <v>44320</v>
      </c>
      <c r="E23" s="5">
        <v>30000</v>
      </c>
      <c r="F23" s="49" t="s">
        <v>295</v>
      </c>
      <c r="G23" s="20"/>
    </row>
    <row r="24" spans="1:7">
      <c r="A24" s="47"/>
      <c r="B24" s="73"/>
      <c r="C24" s="74"/>
      <c r="D24" s="47">
        <v>44364</v>
      </c>
      <c r="E24" s="5">
        <v>9250</v>
      </c>
      <c r="F24" s="49" t="s">
        <v>217</v>
      </c>
      <c r="G24" s="20"/>
    </row>
    <row r="25" spans="1:7">
      <c r="A25" s="47"/>
      <c r="B25" s="73"/>
      <c r="C25" s="74"/>
      <c r="D25" s="47">
        <v>44364</v>
      </c>
      <c r="E25" s="5">
        <v>100000</v>
      </c>
      <c r="F25" s="49" t="s">
        <v>195</v>
      </c>
      <c r="G25" s="20"/>
    </row>
    <row r="26" spans="1:7">
      <c r="A26" s="47"/>
      <c r="B26" s="73"/>
      <c r="C26" s="74"/>
      <c r="D26" s="47">
        <v>44418</v>
      </c>
      <c r="E26" s="74">
        <v>20000</v>
      </c>
      <c r="F26" s="49" t="s">
        <v>336</v>
      </c>
      <c r="G26" s="20"/>
    </row>
    <row r="27" spans="1:7">
      <c r="A27" s="47"/>
      <c r="B27" s="73"/>
      <c r="C27" s="74"/>
      <c r="D27" s="47">
        <v>44578</v>
      </c>
      <c r="E27" s="74">
        <v>102251</v>
      </c>
      <c r="F27" s="49" t="s">
        <v>230</v>
      </c>
      <c r="G27" s="20"/>
    </row>
    <row r="28" spans="1:7">
      <c r="A28" s="47"/>
      <c r="B28" s="73"/>
      <c r="C28" s="74"/>
      <c r="D28" s="47">
        <v>44534</v>
      </c>
      <c r="E28" s="74">
        <v>35000</v>
      </c>
      <c r="F28" s="49" t="s">
        <v>337</v>
      </c>
      <c r="G28" s="20"/>
    </row>
    <row r="29" spans="1:7">
      <c r="A29" s="47"/>
      <c r="B29" s="73"/>
      <c r="C29" s="74"/>
      <c r="D29" s="47"/>
      <c r="E29" s="74"/>
      <c r="F29" s="49"/>
      <c r="G29" s="20"/>
    </row>
    <row r="30" spans="1:7">
      <c r="A30" s="47"/>
      <c r="B30" s="73"/>
      <c r="C30" s="74"/>
      <c r="D30" s="47"/>
      <c r="E30" s="74"/>
      <c r="F30" s="49"/>
      <c r="G30" s="20"/>
    </row>
    <row r="31" spans="1:7">
      <c r="A31" s="47"/>
      <c r="B31" s="73"/>
      <c r="C31" s="74"/>
      <c r="D31" s="47"/>
      <c r="E31" s="74"/>
      <c r="F31" s="49"/>
      <c r="G31" s="20"/>
    </row>
    <row r="32" spans="1:7">
      <c r="A32" s="47"/>
      <c r="B32" s="73"/>
      <c r="C32" s="74"/>
      <c r="D32" s="47"/>
      <c r="E32" s="74"/>
      <c r="F32" s="49"/>
    </row>
    <row r="33" spans="1:6">
      <c r="A33" s="47"/>
      <c r="B33" s="73"/>
      <c r="C33" s="74"/>
      <c r="D33" s="47"/>
      <c r="E33" s="74"/>
      <c r="F33" s="49"/>
    </row>
    <row r="34" spans="1:6">
      <c r="A34" s="47"/>
      <c r="B34" s="73"/>
      <c r="C34" s="74"/>
      <c r="D34" s="47"/>
      <c r="E34" s="74"/>
      <c r="F34" s="49"/>
    </row>
    <row r="35" spans="1:6">
      <c r="A35" s="47"/>
      <c r="B35" s="73"/>
      <c r="C35" s="74"/>
      <c r="D35" s="47"/>
      <c r="E35" s="74"/>
      <c r="F35" s="49"/>
    </row>
    <row r="36" spans="1:6">
      <c r="A36" s="47"/>
      <c r="B36" s="73"/>
      <c r="C36" s="74"/>
      <c r="D36" s="47"/>
      <c r="E36" s="74"/>
      <c r="F36" s="49"/>
    </row>
    <row r="37" spans="1:6">
      <c r="A37" s="75" t="s">
        <v>18</v>
      </c>
      <c r="B37" s="76">
        <f>SUM(B2:B36)</f>
        <v>1771761.1800000002</v>
      </c>
      <c r="C37" s="77"/>
      <c r="D37" s="75" t="s">
        <v>18</v>
      </c>
      <c r="E37" s="77">
        <f>SUM(E2:E36)</f>
        <v>966052</v>
      </c>
      <c r="F37" s="75"/>
    </row>
    <row r="38" spans="1:6">
      <c r="A38" s="68" t="s">
        <v>178</v>
      </c>
      <c r="B38" s="69">
        <f>B37-E37</f>
        <v>805709.18000000017</v>
      </c>
      <c r="C38" s="70"/>
      <c r="D38" s="71"/>
      <c r="E38" s="72"/>
      <c r="F38" s="1"/>
    </row>
    <row r="40" spans="1:6">
      <c r="A40" t="s">
        <v>18</v>
      </c>
      <c r="B40" s="52">
        <f>B37-E37</f>
        <v>805709.18000000017</v>
      </c>
      <c r="C40" s="36"/>
    </row>
    <row r="41" spans="1:6">
      <c r="A41" t="s">
        <v>190</v>
      </c>
      <c r="B41" s="52">
        <v>24778</v>
      </c>
    </row>
    <row r="42" spans="1:6">
      <c r="A42" t="s">
        <v>191</v>
      </c>
      <c r="B42" s="52">
        <v>198947</v>
      </c>
    </row>
    <row r="43" spans="1:6">
      <c r="A43" t="s">
        <v>178</v>
      </c>
      <c r="B43" s="52">
        <f>B40-B41-B42</f>
        <v>581984.18000000017</v>
      </c>
      <c r="D43" s="36"/>
    </row>
  </sheetData>
  <sortState xmlns:xlrd2="http://schemas.microsoft.com/office/spreadsheetml/2017/richdata2" ref="D2:F25">
    <sortCondition ref="D2"/>
  </sortState>
  <mergeCells count="2">
    <mergeCell ref="A1:B1"/>
    <mergeCell ref="D1:F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2"/>
  <sheetViews>
    <sheetView workbookViewId="0">
      <selection activeCell="D12" sqref="D12"/>
    </sheetView>
  </sheetViews>
  <sheetFormatPr defaultRowHeight="14.5"/>
  <cols>
    <col min="1" max="1" width="11" bestFit="1" customWidth="1"/>
    <col min="2" max="2" width="8.90625" bestFit="1" customWidth="1"/>
    <col min="3" max="3" width="10.1796875" bestFit="1" customWidth="1"/>
    <col min="4" max="4" width="8.90625" bestFit="1" customWidth="1"/>
    <col min="5" max="5" width="38.6328125" bestFit="1" customWidth="1"/>
    <col min="8" max="8" width="12.54296875" bestFit="1" customWidth="1"/>
    <col min="11" max="11" width="16.54296875" bestFit="1" customWidth="1"/>
    <col min="14" max="14" width="14.90625" bestFit="1" customWidth="1"/>
    <col min="16" max="16" width="24.7265625" bestFit="1" customWidth="1"/>
  </cols>
  <sheetData>
    <row r="1" spans="1:16" ht="15" thickBot="1">
      <c r="A1" s="180" t="s">
        <v>174</v>
      </c>
      <c r="B1" s="181"/>
      <c r="C1" s="180" t="s">
        <v>175</v>
      </c>
      <c r="D1" s="182"/>
      <c r="E1" s="181"/>
      <c r="H1" s="2" t="s">
        <v>180</v>
      </c>
      <c r="I1" s="2"/>
      <c r="J1" s="2"/>
      <c r="K1" s="2" t="s">
        <v>87</v>
      </c>
      <c r="L1" s="2"/>
      <c r="N1" t="s">
        <v>188</v>
      </c>
    </row>
    <row r="2" spans="1:16">
      <c r="A2" s="21">
        <v>43860</v>
      </c>
      <c r="B2" s="22">
        <v>142000</v>
      </c>
      <c r="C2" s="21">
        <v>43862</v>
      </c>
      <c r="D2" s="22">
        <v>67000</v>
      </c>
      <c r="E2" s="23" t="s">
        <v>176</v>
      </c>
      <c r="H2" s="1" t="s">
        <v>181</v>
      </c>
      <c r="I2" s="1">
        <v>500000</v>
      </c>
      <c r="J2" s="1"/>
      <c r="K2" s="1" t="s">
        <v>182</v>
      </c>
      <c r="L2" s="1">
        <v>25000</v>
      </c>
      <c r="N2" s="20">
        <v>43873</v>
      </c>
      <c r="O2">
        <v>46546</v>
      </c>
      <c r="P2" t="s">
        <v>218</v>
      </c>
    </row>
    <row r="3" spans="1:16">
      <c r="A3" s="24">
        <v>43887</v>
      </c>
      <c r="B3" s="25">
        <v>321390</v>
      </c>
      <c r="C3" s="24">
        <v>43906</v>
      </c>
      <c r="D3" s="22">
        <v>100000</v>
      </c>
      <c r="E3" s="26" t="s">
        <v>177</v>
      </c>
      <c r="H3" s="1" t="s">
        <v>181</v>
      </c>
      <c r="I3" s="1">
        <v>75000</v>
      </c>
      <c r="J3" s="1"/>
      <c r="K3" s="1" t="s">
        <v>182</v>
      </c>
      <c r="L3" s="1">
        <v>5000</v>
      </c>
      <c r="N3" s="20">
        <v>43899</v>
      </c>
      <c r="O3">
        <v>83881</v>
      </c>
      <c r="P3" t="s">
        <v>218</v>
      </c>
    </row>
    <row r="4" spans="1:16">
      <c r="A4" s="24">
        <v>43920</v>
      </c>
      <c r="B4" s="25">
        <v>312396</v>
      </c>
      <c r="C4" s="24">
        <v>43906</v>
      </c>
      <c r="D4" s="22">
        <f>413*8</f>
        <v>3304</v>
      </c>
      <c r="E4" s="26" t="s">
        <v>179</v>
      </c>
      <c r="H4" s="1" t="s">
        <v>18</v>
      </c>
      <c r="I4" s="1">
        <f>SUM(I2:I3)</f>
        <v>575000</v>
      </c>
      <c r="J4" s="1"/>
      <c r="K4" s="1" t="s">
        <v>183</v>
      </c>
      <c r="L4" s="1">
        <v>11000</v>
      </c>
      <c r="N4" s="20">
        <v>43930</v>
      </c>
      <c r="O4">
        <v>81320</v>
      </c>
      <c r="P4" t="s">
        <v>218</v>
      </c>
    </row>
    <row r="5" spans="1:16">
      <c r="A5" s="24">
        <v>43950</v>
      </c>
      <c r="B5" s="25">
        <v>319242</v>
      </c>
      <c r="C5" s="24">
        <v>43956</v>
      </c>
      <c r="D5" s="22">
        <v>125000</v>
      </c>
      <c r="E5" s="26" t="s">
        <v>183</v>
      </c>
      <c r="H5" s="1"/>
      <c r="I5" s="1"/>
      <c r="J5" s="1"/>
      <c r="K5" s="1" t="s">
        <v>184</v>
      </c>
      <c r="L5" s="1">
        <v>5000</v>
      </c>
      <c r="N5" s="20">
        <v>43963</v>
      </c>
      <c r="O5">
        <v>73710</v>
      </c>
      <c r="P5" t="s">
        <v>218</v>
      </c>
    </row>
    <row r="6" spans="1:16">
      <c r="A6" s="24">
        <v>43979</v>
      </c>
      <c r="B6" s="25">
        <v>316773</v>
      </c>
      <c r="C6" s="24">
        <v>43946</v>
      </c>
      <c r="D6" s="22">
        <v>21000</v>
      </c>
      <c r="E6" s="26" t="s">
        <v>183</v>
      </c>
      <c r="H6" s="1"/>
      <c r="I6" s="1"/>
      <c r="J6" s="1"/>
      <c r="K6" s="1" t="s">
        <v>183</v>
      </c>
      <c r="L6" s="1">
        <v>25000</v>
      </c>
      <c r="N6" t="s">
        <v>197</v>
      </c>
      <c r="O6">
        <v>-20000</v>
      </c>
      <c r="P6" t="s">
        <v>192</v>
      </c>
    </row>
    <row r="7" spans="1:16">
      <c r="A7" s="24">
        <v>44012</v>
      </c>
      <c r="B7" s="25">
        <v>316500</v>
      </c>
      <c r="C7" s="24">
        <v>43947</v>
      </c>
      <c r="D7" s="22">
        <v>20000</v>
      </c>
      <c r="E7" s="26" t="s">
        <v>187</v>
      </c>
      <c r="H7" s="1"/>
      <c r="I7" s="1"/>
      <c r="J7" s="1"/>
      <c r="K7" s="1" t="s">
        <v>194</v>
      </c>
      <c r="L7" s="1">
        <v>51000</v>
      </c>
      <c r="N7" t="s">
        <v>197</v>
      </c>
      <c r="O7">
        <v>-2000</v>
      </c>
      <c r="P7" t="s">
        <v>183</v>
      </c>
    </row>
    <row r="8" spans="1:16">
      <c r="A8" s="24">
        <v>44042</v>
      </c>
      <c r="B8" s="25">
        <v>309000</v>
      </c>
      <c r="C8" s="24">
        <v>43961</v>
      </c>
      <c r="D8" s="22">
        <v>25000</v>
      </c>
      <c r="E8" s="26" t="s">
        <v>183</v>
      </c>
      <c r="H8" s="35" t="s">
        <v>178</v>
      </c>
      <c r="I8" s="35">
        <f>I4-L8</f>
        <v>453000</v>
      </c>
      <c r="J8" s="35"/>
      <c r="K8" s="35" t="s">
        <v>18</v>
      </c>
      <c r="L8" s="35">
        <f>SUM(L2:L7)</f>
        <v>122000</v>
      </c>
      <c r="N8" s="20">
        <v>43984</v>
      </c>
      <c r="O8">
        <v>-10000</v>
      </c>
      <c r="P8" t="s">
        <v>193</v>
      </c>
    </row>
    <row r="9" spans="1:16">
      <c r="A9" s="24">
        <v>44083</v>
      </c>
      <c r="B9" s="25">
        <v>266458</v>
      </c>
      <c r="C9" s="24">
        <v>43964</v>
      </c>
      <c r="D9" s="22">
        <v>5000</v>
      </c>
      <c r="E9" s="26" t="s">
        <v>189</v>
      </c>
      <c r="N9" s="20">
        <v>43992</v>
      </c>
      <c r="O9">
        <v>102114</v>
      </c>
      <c r="P9" t="s">
        <v>218</v>
      </c>
    </row>
    <row r="10" spans="1:16">
      <c r="A10" s="24"/>
      <c r="B10" s="25"/>
      <c r="C10" s="24">
        <v>44004</v>
      </c>
      <c r="D10" s="22">
        <v>233000</v>
      </c>
      <c r="E10" s="26" t="s">
        <v>198</v>
      </c>
      <c r="H10" t="s">
        <v>178</v>
      </c>
      <c r="I10">
        <f>I4-L8</f>
        <v>453000</v>
      </c>
      <c r="N10" s="20">
        <v>44025</v>
      </c>
      <c r="O10">
        <v>82049</v>
      </c>
      <c r="P10" t="s">
        <v>218</v>
      </c>
    </row>
    <row r="11" spans="1:16">
      <c r="A11" s="24"/>
      <c r="B11" s="25"/>
      <c r="C11" s="24">
        <v>44005</v>
      </c>
      <c r="D11" s="22">
        <v>51000</v>
      </c>
      <c r="E11" s="26" t="s">
        <v>199</v>
      </c>
      <c r="H11" t="s">
        <v>185</v>
      </c>
      <c r="I11">
        <v>200000</v>
      </c>
      <c r="N11" s="20">
        <v>44017</v>
      </c>
      <c r="O11">
        <v>-25000</v>
      </c>
      <c r="P11" t="s">
        <v>203</v>
      </c>
    </row>
    <row r="12" spans="1:16">
      <c r="A12" s="24"/>
      <c r="B12" s="25"/>
      <c r="C12" s="24">
        <v>44008</v>
      </c>
      <c r="D12" s="22">
        <v>25000</v>
      </c>
      <c r="E12" s="26" t="s">
        <v>200</v>
      </c>
      <c r="H12" t="s">
        <v>186</v>
      </c>
      <c r="I12">
        <v>304000</v>
      </c>
      <c r="N12" s="20">
        <v>44053</v>
      </c>
      <c r="O12">
        <v>94330</v>
      </c>
      <c r="P12" t="s">
        <v>218</v>
      </c>
    </row>
    <row r="13" spans="1:16">
      <c r="A13" s="24"/>
      <c r="B13" s="25"/>
      <c r="C13" s="24">
        <v>44009</v>
      </c>
      <c r="D13" s="22">
        <v>65000</v>
      </c>
      <c r="E13" s="26" t="s">
        <v>195</v>
      </c>
      <c r="I13">
        <f>I10-I11-I12</f>
        <v>-51000</v>
      </c>
      <c r="N13" s="24">
        <v>44083</v>
      </c>
      <c r="O13">
        <v>33048</v>
      </c>
      <c r="P13" t="s">
        <v>218</v>
      </c>
    </row>
    <row r="14" spans="1:16">
      <c r="A14" s="24"/>
      <c r="B14" s="25"/>
      <c r="C14" s="24">
        <v>44009</v>
      </c>
      <c r="D14" s="22">
        <v>50000</v>
      </c>
      <c r="E14" s="26" t="s">
        <v>196</v>
      </c>
      <c r="N14" s="20">
        <v>44109</v>
      </c>
      <c r="O14">
        <v>-22610</v>
      </c>
      <c r="P14" t="s">
        <v>217</v>
      </c>
    </row>
    <row r="15" spans="1:16">
      <c r="A15" s="24"/>
      <c r="B15" s="25"/>
      <c r="C15" s="24">
        <v>44009</v>
      </c>
      <c r="D15" s="22">
        <v>50000</v>
      </c>
      <c r="E15" s="26" t="s">
        <v>92</v>
      </c>
      <c r="N15" s="20">
        <v>44053</v>
      </c>
      <c r="O15">
        <v>-25000</v>
      </c>
      <c r="P15" t="s">
        <v>214</v>
      </c>
    </row>
    <row r="16" spans="1:16">
      <c r="A16" s="24"/>
      <c r="B16" s="25"/>
      <c r="C16" s="24">
        <v>44018</v>
      </c>
      <c r="D16" s="22">
        <v>50000</v>
      </c>
      <c r="E16" s="26" t="s">
        <v>201</v>
      </c>
      <c r="N16" s="20">
        <v>44107</v>
      </c>
      <c r="O16">
        <v>-100000</v>
      </c>
      <c r="P16" t="s">
        <v>233</v>
      </c>
    </row>
    <row r="17" spans="1:16">
      <c r="A17" s="24"/>
      <c r="B17" s="25"/>
      <c r="C17" s="24">
        <v>44027</v>
      </c>
      <c r="D17" s="22">
        <v>125000</v>
      </c>
      <c r="E17" s="26" t="s">
        <v>202</v>
      </c>
      <c r="N17" s="20">
        <v>44118</v>
      </c>
      <c r="O17">
        <v>84622.32</v>
      </c>
      <c r="P17" t="s">
        <v>218</v>
      </c>
    </row>
    <row r="18" spans="1:16">
      <c r="A18" s="24"/>
      <c r="B18" s="25"/>
      <c r="C18" s="24">
        <v>44050</v>
      </c>
      <c r="D18" s="22">
        <v>350000</v>
      </c>
      <c r="E18" s="26" t="s">
        <v>76</v>
      </c>
      <c r="N18" s="20">
        <v>44147</v>
      </c>
      <c r="O18">
        <v>92933.56</v>
      </c>
      <c r="P18" t="s">
        <v>218</v>
      </c>
    </row>
    <row r="19" spans="1:16">
      <c r="A19" s="24"/>
      <c r="B19" s="25"/>
      <c r="C19" s="24">
        <v>44056</v>
      </c>
      <c r="D19" s="37">
        <v>30000</v>
      </c>
      <c r="E19" s="26" t="s">
        <v>206</v>
      </c>
      <c r="N19" s="20">
        <v>44161</v>
      </c>
      <c r="O19">
        <v>-6100</v>
      </c>
      <c r="P19" t="s">
        <v>217</v>
      </c>
    </row>
    <row r="20" spans="1:16">
      <c r="A20" s="24"/>
      <c r="B20" s="25"/>
      <c r="C20" s="24">
        <v>44087</v>
      </c>
      <c r="D20" s="37">
        <v>76800</v>
      </c>
      <c r="E20" s="26" t="s">
        <v>207</v>
      </c>
      <c r="N20" s="20">
        <v>44168</v>
      </c>
      <c r="O20">
        <v>-2500</v>
      </c>
      <c r="P20" t="s">
        <v>222</v>
      </c>
    </row>
    <row r="21" spans="1:16">
      <c r="A21" s="24"/>
      <c r="B21" s="25"/>
      <c r="C21" s="24">
        <v>44083</v>
      </c>
      <c r="D21" s="37">
        <v>10000</v>
      </c>
      <c r="E21" s="26" t="s">
        <v>208</v>
      </c>
      <c r="N21" s="20">
        <v>44170</v>
      </c>
      <c r="O21">
        <v>-5000</v>
      </c>
      <c r="P21" t="s">
        <v>229</v>
      </c>
    </row>
    <row r="22" spans="1:16">
      <c r="A22" s="24"/>
      <c r="B22" s="25"/>
      <c r="C22" s="24">
        <v>44097</v>
      </c>
      <c r="D22" s="37">
        <v>38250</v>
      </c>
      <c r="E22" s="26" t="s">
        <v>209</v>
      </c>
      <c r="N22" s="20">
        <v>44176</v>
      </c>
      <c r="O22">
        <v>81488</v>
      </c>
      <c r="P22" t="s">
        <v>218</v>
      </c>
    </row>
    <row r="23" spans="1:16">
      <c r="A23" s="24"/>
      <c r="B23" s="25"/>
      <c r="C23" s="24">
        <v>44112</v>
      </c>
      <c r="D23" s="37">
        <v>45000</v>
      </c>
      <c r="E23" s="26" t="s">
        <v>210</v>
      </c>
      <c r="N23" s="20">
        <v>44176</v>
      </c>
      <c r="O23">
        <v>78716</v>
      </c>
      <c r="P23" t="s">
        <v>218</v>
      </c>
    </row>
    <row r="24" spans="1:16">
      <c r="A24" s="24"/>
      <c r="B24" s="25"/>
      <c r="C24" s="24">
        <v>44112</v>
      </c>
      <c r="D24" s="37">
        <v>49000</v>
      </c>
      <c r="E24" s="26" t="s">
        <v>211</v>
      </c>
      <c r="N24" s="20">
        <v>44189</v>
      </c>
      <c r="O24">
        <v>-102251</v>
      </c>
      <c r="P24" t="s">
        <v>230</v>
      </c>
    </row>
    <row r="25" spans="1:16">
      <c r="A25" s="24"/>
      <c r="B25" s="25"/>
      <c r="C25" s="24">
        <v>44112</v>
      </c>
      <c r="D25" s="37">
        <v>70000</v>
      </c>
      <c r="E25" s="26" t="s">
        <v>212</v>
      </c>
      <c r="N25" s="20">
        <v>44255</v>
      </c>
      <c r="O25">
        <v>-10000</v>
      </c>
      <c r="P25" t="s">
        <v>231</v>
      </c>
    </row>
    <row r="26" spans="1:16">
      <c r="A26" s="24"/>
      <c r="B26" s="25"/>
      <c r="C26" s="24">
        <v>44112</v>
      </c>
      <c r="D26" s="37">
        <v>20000</v>
      </c>
      <c r="E26" s="26" t="s">
        <v>213</v>
      </c>
      <c r="N26" s="20">
        <v>44255</v>
      </c>
      <c r="O26">
        <v>-20000</v>
      </c>
      <c r="P26" t="s">
        <v>232</v>
      </c>
    </row>
    <row r="27" spans="1:16">
      <c r="A27" s="24"/>
      <c r="B27" s="25"/>
      <c r="C27" s="24">
        <v>44141</v>
      </c>
      <c r="D27" s="37">
        <v>119000</v>
      </c>
      <c r="E27" s="26" t="s">
        <v>216</v>
      </c>
      <c r="N27" s="20">
        <v>44231</v>
      </c>
      <c r="O27">
        <v>-4340</v>
      </c>
      <c r="P27" t="s">
        <v>217</v>
      </c>
    </row>
    <row r="28" spans="1:16">
      <c r="A28" s="24"/>
      <c r="B28" s="25"/>
      <c r="C28" s="24">
        <v>44163</v>
      </c>
      <c r="D28" s="37">
        <v>7700</v>
      </c>
      <c r="E28" s="26" t="s">
        <v>220</v>
      </c>
      <c r="N28" s="20">
        <v>44202</v>
      </c>
      <c r="O28">
        <v>-6100</v>
      </c>
      <c r="P28" t="s">
        <v>234</v>
      </c>
    </row>
    <row r="29" spans="1:16">
      <c r="A29" s="24"/>
      <c r="B29" s="25"/>
      <c r="C29" s="24">
        <v>44163</v>
      </c>
      <c r="D29" s="37">
        <v>15000</v>
      </c>
      <c r="E29" s="26" t="s">
        <v>221</v>
      </c>
      <c r="N29" s="20">
        <v>44256</v>
      </c>
      <c r="O29">
        <v>-50000</v>
      </c>
      <c r="P29" t="s">
        <v>195</v>
      </c>
    </row>
    <row r="30" spans="1:16">
      <c r="A30" s="24"/>
      <c r="B30" s="25"/>
      <c r="C30" s="24">
        <v>44175</v>
      </c>
      <c r="D30" s="37">
        <v>148400</v>
      </c>
      <c r="E30" s="26" t="s">
        <v>219</v>
      </c>
      <c r="N30" s="20">
        <v>44264</v>
      </c>
      <c r="O30">
        <v>-50000</v>
      </c>
      <c r="P30" t="s">
        <v>195</v>
      </c>
    </row>
    <row r="31" spans="1:16">
      <c r="A31" s="24"/>
      <c r="B31" s="25"/>
      <c r="C31" s="24">
        <v>44176</v>
      </c>
      <c r="D31" s="37">
        <v>20000</v>
      </c>
      <c r="E31" s="26" t="s">
        <v>223</v>
      </c>
      <c r="N31" s="20"/>
    </row>
    <row r="32" spans="1:16">
      <c r="A32" s="24"/>
      <c r="B32" s="25"/>
      <c r="C32" s="24">
        <v>44176</v>
      </c>
      <c r="D32" s="37">
        <v>20000</v>
      </c>
      <c r="E32" s="26" t="s">
        <v>223</v>
      </c>
    </row>
    <row r="33" spans="1:15">
      <c r="A33" s="24"/>
      <c r="B33" s="25"/>
      <c r="C33" s="24">
        <v>44176</v>
      </c>
      <c r="D33" s="37">
        <v>8500</v>
      </c>
      <c r="E33" s="26" t="s">
        <v>224</v>
      </c>
      <c r="N33" t="s">
        <v>18</v>
      </c>
      <c r="O33">
        <f>SUM(O2:O32)</f>
        <v>473856.88</v>
      </c>
    </row>
    <row r="34" spans="1:15">
      <c r="A34" s="24"/>
      <c r="B34" s="25"/>
      <c r="C34" s="24">
        <v>44177</v>
      </c>
      <c r="D34" s="37">
        <v>5000</v>
      </c>
      <c r="E34" s="26" t="s">
        <v>225</v>
      </c>
      <c r="N34" t="s">
        <v>190</v>
      </c>
      <c r="O34">
        <v>-10226.9</v>
      </c>
    </row>
    <row r="35" spans="1:15">
      <c r="A35" s="27" t="s">
        <v>18</v>
      </c>
      <c r="B35" s="28">
        <f>SUM(B2:B9)</f>
        <v>2303759</v>
      </c>
      <c r="C35" s="27" t="s">
        <v>18</v>
      </c>
      <c r="D35" s="29">
        <f>SUM(D2:D34)</f>
        <v>2047954</v>
      </c>
      <c r="E35" s="30"/>
      <c r="N35" t="s">
        <v>191</v>
      </c>
      <c r="O35">
        <v>-11555</v>
      </c>
    </row>
    <row r="36" spans="1:15" ht="15" thickBot="1">
      <c r="A36" s="31" t="s">
        <v>178</v>
      </c>
      <c r="B36" s="32">
        <f>B35-D35</f>
        <v>255805</v>
      </c>
      <c r="C36" s="33"/>
      <c r="D36" s="34"/>
      <c r="O36">
        <f>SUM(O33:O35)</f>
        <v>452074.98</v>
      </c>
    </row>
    <row r="38" spans="1:15">
      <c r="A38" t="s">
        <v>18</v>
      </c>
      <c r="B38" s="36">
        <f>B36+O33</f>
        <v>729661.88</v>
      </c>
    </row>
    <row r="39" spans="1:15">
      <c r="A39" t="s">
        <v>190</v>
      </c>
      <c r="B39">
        <v>461344</v>
      </c>
    </row>
    <row r="40" spans="1:15">
      <c r="A40" t="s">
        <v>191</v>
      </c>
      <c r="B40">
        <v>227981</v>
      </c>
      <c r="C40">
        <v>138981</v>
      </c>
      <c r="D40">
        <v>46500</v>
      </c>
      <c r="E40">
        <f>C40+D40</f>
        <v>185481</v>
      </c>
    </row>
    <row r="41" spans="1:15">
      <c r="A41" t="s">
        <v>215</v>
      </c>
      <c r="B41">
        <v>27824</v>
      </c>
    </row>
    <row r="42" spans="1:15">
      <c r="A42" t="s">
        <v>178</v>
      </c>
      <c r="B42">
        <f>B39+B40+B41</f>
        <v>717149</v>
      </c>
      <c r="C42" s="36">
        <f>B38-B42</f>
        <v>12512.880000000005</v>
      </c>
      <c r="D42">
        <f>B40-E40</f>
        <v>42500</v>
      </c>
    </row>
  </sheetData>
  <mergeCells count="2">
    <mergeCell ref="A1:B1"/>
    <mergeCell ref="C1:E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3A42D-53A0-4655-B2DD-E439CBF15FC7}">
  <dimension ref="A1:N59"/>
  <sheetViews>
    <sheetView zoomScale="90" zoomScaleNormal="90" workbookViewId="0">
      <selection activeCell="J1" sqref="J1:L1"/>
    </sheetView>
  </sheetViews>
  <sheetFormatPr defaultRowHeight="14.5"/>
  <cols>
    <col min="1" max="1" width="10.08984375" style="20" bestFit="1" customWidth="1"/>
    <col min="2" max="2" width="11.1796875" bestFit="1" customWidth="1"/>
    <col min="5" max="5" width="10.1796875" bestFit="1" customWidth="1"/>
    <col min="6" max="6" width="13.26953125" bestFit="1" customWidth="1"/>
    <col min="7" max="7" width="29.36328125" bestFit="1" customWidth="1"/>
    <col min="8" max="8" width="12.81640625" bestFit="1" customWidth="1"/>
    <col min="9" max="9" width="12.81640625" customWidth="1"/>
    <col min="10" max="10" width="14.90625" bestFit="1" customWidth="1"/>
    <col min="11" max="11" width="12.6328125" bestFit="1" customWidth="1"/>
    <col min="12" max="12" width="21.90625" bestFit="1" customWidth="1"/>
    <col min="13" max="13" width="13" bestFit="1" customWidth="1"/>
  </cols>
  <sheetData>
    <row r="1" spans="1:14">
      <c r="A1" s="183" t="s">
        <v>174</v>
      </c>
      <c r="B1" s="183"/>
      <c r="C1" s="183"/>
      <c r="E1" s="184" t="s">
        <v>235</v>
      </c>
      <c r="F1" s="184"/>
      <c r="G1" s="184"/>
      <c r="H1" s="184"/>
      <c r="J1" s="186" t="s">
        <v>263</v>
      </c>
      <c r="K1" s="186"/>
      <c r="L1" s="186"/>
    </row>
    <row r="2" spans="1:14">
      <c r="A2" s="45" t="s">
        <v>113</v>
      </c>
      <c r="B2" s="45" t="s">
        <v>1</v>
      </c>
      <c r="C2" s="45" t="s">
        <v>259</v>
      </c>
      <c r="E2" s="46" t="s">
        <v>113</v>
      </c>
      <c r="F2" s="46" t="s">
        <v>1</v>
      </c>
      <c r="G2" s="46" t="s">
        <v>262</v>
      </c>
      <c r="H2" s="46" t="s">
        <v>258</v>
      </c>
      <c r="J2" s="46" t="s">
        <v>113</v>
      </c>
      <c r="K2" s="46" t="s">
        <v>1</v>
      </c>
      <c r="L2" s="46" t="s">
        <v>262</v>
      </c>
    </row>
    <row r="3" spans="1:14">
      <c r="A3" s="42">
        <v>44229</v>
      </c>
      <c r="B3" s="43">
        <v>87396</v>
      </c>
      <c r="C3" s="44" t="s">
        <v>260</v>
      </c>
      <c r="E3" s="47">
        <v>44237</v>
      </c>
      <c r="F3" s="48">
        <v>30000</v>
      </c>
      <c r="G3" s="49" t="s">
        <v>243</v>
      </c>
      <c r="H3" s="49" t="s">
        <v>255</v>
      </c>
      <c r="J3" s="47">
        <v>44375</v>
      </c>
      <c r="K3" s="49">
        <v>5000</v>
      </c>
      <c r="L3" s="49" t="s">
        <v>249</v>
      </c>
    </row>
    <row r="4" spans="1:14">
      <c r="A4" s="42">
        <v>44255</v>
      </c>
      <c r="B4" s="43">
        <v>331706</v>
      </c>
      <c r="C4" s="44" t="s">
        <v>260</v>
      </c>
      <c r="E4" s="47">
        <v>44256</v>
      </c>
      <c r="F4" s="48">
        <v>100000</v>
      </c>
      <c r="G4" s="49" t="s">
        <v>300</v>
      </c>
      <c r="H4" s="49" t="s">
        <v>254</v>
      </c>
      <c r="J4" s="47">
        <v>44377</v>
      </c>
      <c r="K4" s="49">
        <v>10000</v>
      </c>
      <c r="L4" s="50" t="s">
        <v>249</v>
      </c>
    </row>
    <row r="5" spans="1:14">
      <c r="A5" s="42">
        <v>44285</v>
      </c>
      <c r="B5" s="43">
        <v>274246</v>
      </c>
      <c r="C5" s="44" t="s">
        <v>260</v>
      </c>
      <c r="E5" s="47">
        <v>44258</v>
      </c>
      <c r="F5" s="48">
        <v>415000</v>
      </c>
      <c r="G5" s="49" t="s">
        <v>236</v>
      </c>
      <c r="H5" s="49" t="s">
        <v>255</v>
      </c>
      <c r="J5" s="47">
        <v>44378</v>
      </c>
      <c r="K5" s="49">
        <v>2900</v>
      </c>
      <c r="L5" s="50" t="s">
        <v>251</v>
      </c>
    </row>
    <row r="6" spans="1:14">
      <c r="A6" s="42">
        <v>44315</v>
      </c>
      <c r="B6" s="43">
        <v>296800</v>
      </c>
      <c r="C6" s="44" t="s">
        <v>260</v>
      </c>
      <c r="E6" s="47">
        <v>44265</v>
      </c>
      <c r="F6" s="48">
        <v>10000</v>
      </c>
      <c r="G6" s="49" t="s">
        <v>237</v>
      </c>
      <c r="H6" s="49" t="s">
        <v>256</v>
      </c>
      <c r="J6" s="47">
        <v>44378</v>
      </c>
      <c r="K6" s="49">
        <v>10000</v>
      </c>
      <c r="L6" s="49" t="s">
        <v>249</v>
      </c>
    </row>
    <row r="7" spans="1:14">
      <c r="A7" s="42">
        <v>44344</v>
      </c>
      <c r="B7" s="43">
        <v>289760</v>
      </c>
      <c r="C7" s="44" t="s">
        <v>260</v>
      </c>
      <c r="E7" s="47">
        <v>44270</v>
      </c>
      <c r="F7" s="48">
        <v>5000</v>
      </c>
      <c r="G7" s="49" t="s">
        <v>238</v>
      </c>
      <c r="H7" s="49" t="s">
        <v>183</v>
      </c>
      <c r="J7" s="47">
        <v>44379</v>
      </c>
      <c r="K7" s="49">
        <v>15000</v>
      </c>
      <c r="L7" s="49" t="s">
        <v>250</v>
      </c>
    </row>
    <row r="8" spans="1:14">
      <c r="A8" s="42">
        <v>44372</v>
      </c>
      <c r="B8" s="43">
        <v>226263</v>
      </c>
      <c r="C8" s="44" t="s">
        <v>260</v>
      </c>
      <c r="E8" s="47">
        <v>44275</v>
      </c>
      <c r="F8" s="48">
        <v>10000</v>
      </c>
      <c r="G8" s="49" t="s">
        <v>244</v>
      </c>
      <c r="H8" s="49" t="s">
        <v>183</v>
      </c>
      <c r="J8" s="47">
        <v>44385</v>
      </c>
      <c r="K8" s="49">
        <v>5000</v>
      </c>
      <c r="L8" s="49" t="s">
        <v>249</v>
      </c>
    </row>
    <row r="9" spans="1:14">
      <c r="A9" s="42">
        <v>44402</v>
      </c>
      <c r="B9" s="43">
        <v>1400</v>
      </c>
      <c r="C9" s="44" t="s">
        <v>261</v>
      </c>
      <c r="E9" s="47">
        <v>44287</v>
      </c>
      <c r="F9" s="48">
        <v>23000</v>
      </c>
      <c r="G9" s="49" t="s">
        <v>239</v>
      </c>
      <c r="H9" s="49" t="s">
        <v>254</v>
      </c>
      <c r="J9" s="47">
        <v>44389</v>
      </c>
      <c r="K9" s="49">
        <v>15000</v>
      </c>
      <c r="L9" s="49" t="s">
        <v>248</v>
      </c>
      <c r="M9" t="s">
        <v>247</v>
      </c>
      <c r="N9" t="s">
        <v>247</v>
      </c>
    </row>
    <row r="10" spans="1:14">
      <c r="A10" s="51" t="s">
        <v>18</v>
      </c>
      <c r="B10" s="185">
        <f>SUM(B3:B9)</f>
        <v>1507571</v>
      </c>
      <c r="C10" s="185"/>
      <c r="E10" s="47">
        <v>44296</v>
      </c>
      <c r="F10" s="48">
        <v>15000</v>
      </c>
      <c r="G10" s="49" t="s">
        <v>187</v>
      </c>
      <c r="H10" s="49" t="s">
        <v>2</v>
      </c>
      <c r="J10" s="47">
        <v>44393</v>
      </c>
      <c r="K10" s="49">
        <v>5000</v>
      </c>
      <c r="L10" s="49" t="s">
        <v>246</v>
      </c>
    </row>
    <row r="11" spans="1:14">
      <c r="B11" s="38"/>
      <c r="E11" s="47">
        <v>44303</v>
      </c>
      <c r="F11" s="48">
        <v>43000</v>
      </c>
      <c r="G11" s="49" t="s">
        <v>236</v>
      </c>
      <c r="H11" s="49" t="s">
        <v>255</v>
      </c>
      <c r="J11" s="47">
        <v>44396</v>
      </c>
      <c r="K11" s="49">
        <v>5500</v>
      </c>
      <c r="L11" s="49" t="s">
        <v>246</v>
      </c>
    </row>
    <row r="12" spans="1:14">
      <c r="B12" s="38"/>
      <c r="E12" s="47">
        <v>44303</v>
      </c>
      <c r="F12" s="48">
        <v>8000</v>
      </c>
      <c r="G12" s="49" t="s">
        <v>242</v>
      </c>
      <c r="H12" s="49" t="s">
        <v>183</v>
      </c>
      <c r="J12" s="81">
        <v>44397</v>
      </c>
      <c r="K12" s="82">
        <v>22000</v>
      </c>
      <c r="L12" s="82" t="s">
        <v>297</v>
      </c>
      <c r="M12" t="s">
        <v>299</v>
      </c>
    </row>
    <row r="13" spans="1:14">
      <c r="B13" s="38"/>
      <c r="E13" s="47">
        <v>44303</v>
      </c>
      <c r="F13" s="48">
        <v>9000</v>
      </c>
      <c r="G13" s="49" t="s">
        <v>240</v>
      </c>
      <c r="H13" s="49" t="s">
        <v>254</v>
      </c>
      <c r="J13" s="81">
        <v>44411</v>
      </c>
      <c r="K13" s="82">
        <v>15000</v>
      </c>
      <c r="L13" s="82" t="s">
        <v>298</v>
      </c>
      <c r="M13" t="s">
        <v>299</v>
      </c>
    </row>
    <row r="14" spans="1:14">
      <c r="B14" s="38"/>
      <c r="E14" s="47">
        <v>44303</v>
      </c>
      <c r="F14" s="48">
        <v>2000</v>
      </c>
      <c r="G14" s="49" t="s">
        <v>241</v>
      </c>
      <c r="H14" s="49" t="s">
        <v>254</v>
      </c>
      <c r="J14" s="81">
        <v>44418</v>
      </c>
      <c r="K14" s="82">
        <v>10000</v>
      </c>
      <c r="L14" s="82" t="s">
        <v>304</v>
      </c>
    </row>
    <row r="15" spans="1:14">
      <c r="A15" s="40" t="s">
        <v>178</v>
      </c>
      <c r="B15" s="39">
        <f>B10-F20</f>
        <v>319574</v>
      </c>
      <c r="E15" s="47">
        <v>44326</v>
      </c>
      <c r="F15" s="48">
        <v>11000</v>
      </c>
      <c r="G15" s="49" t="s">
        <v>252</v>
      </c>
      <c r="H15" s="49" t="s">
        <v>183</v>
      </c>
      <c r="J15" s="81">
        <v>44435</v>
      </c>
      <c r="K15" s="82">
        <v>5000</v>
      </c>
      <c r="L15" s="82" t="s">
        <v>304</v>
      </c>
    </row>
    <row r="16" spans="1:14">
      <c r="E16" s="84">
        <v>44392</v>
      </c>
      <c r="F16" s="85">
        <v>5000</v>
      </c>
      <c r="G16" s="49" t="s">
        <v>301</v>
      </c>
      <c r="H16" s="49" t="s">
        <v>255</v>
      </c>
      <c r="J16" s="81">
        <v>44455</v>
      </c>
      <c r="K16" s="82">
        <v>21000</v>
      </c>
      <c r="L16" s="82" t="s">
        <v>302</v>
      </c>
    </row>
    <row r="17" spans="2:12">
      <c r="E17" s="47">
        <v>44396</v>
      </c>
      <c r="F17" s="48">
        <f>K38</f>
        <v>5000</v>
      </c>
      <c r="G17" s="49" t="s">
        <v>253</v>
      </c>
      <c r="H17" s="49" t="s">
        <v>255</v>
      </c>
      <c r="J17" s="81">
        <v>44462</v>
      </c>
      <c r="K17" s="82">
        <v>23000</v>
      </c>
      <c r="L17" s="82" t="s">
        <v>303</v>
      </c>
    </row>
    <row r="18" spans="2:12">
      <c r="B18" s="39"/>
      <c r="E18" s="84">
        <v>44516</v>
      </c>
      <c r="F18" s="85">
        <f>K44</f>
        <v>496997</v>
      </c>
      <c r="G18" s="49" t="s">
        <v>263</v>
      </c>
      <c r="H18" s="49" t="s">
        <v>255</v>
      </c>
      <c r="J18" s="47">
        <v>44455</v>
      </c>
      <c r="K18" s="49">
        <v>20000</v>
      </c>
      <c r="L18" s="82" t="s">
        <v>304</v>
      </c>
    </row>
    <row r="19" spans="2:12">
      <c r="B19" s="39"/>
      <c r="E19" s="20"/>
      <c r="F19" s="38"/>
      <c r="J19" s="47">
        <v>44458</v>
      </c>
      <c r="K19" s="49">
        <v>18000</v>
      </c>
      <c r="L19" s="49" t="s">
        <v>305</v>
      </c>
    </row>
    <row r="20" spans="2:12">
      <c r="B20" s="39"/>
      <c r="E20" t="s">
        <v>18</v>
      </c>
      <c r="F20" s="38">
        <f>SUM(F3:F19)</f>
        <v>1187997</v>
      </c>
      <c r="J20" s="47">
        <v>44427</v>
      </c>
      <c r="K20" s="49">
        <v>18200</v>
      </c>
      <c r="L20" s="49" t="s">
        <v>239</v>
      </c>
    </row>
    <row r="21" spans="2:12">
      <c r="B21" s="39"/>
      <c r="J21" s="47">
        <v>44427</v>
      </c>
      <c r="K21" s="49">
        <v>13250</v>
      </c>
      <c r="L21" s="49" t="s">
        <v>306</v>
      </c>
    </row>
    <row r="22" spans="2:12">
      <c r="B22" s="39"/>
      <c r="E22" s="47">
        <v>44197</v>
      </c>
      <c r="F22" s="48">
        <v>32971</v>
      </c>
      <c r="G22" s="49" t="s">
        <v>245</v>
      </c>
      <c r="H22" s="49" t="s">
        <v>2</v>
      </c>
      <c r="J22" s="47">
        <v>44427</v>
      </c>
      <c r="K22" s="49">
        <v>13250</v>
      </c>
      <c r="L22" s="49" t="s">
        <v>307</v>
      </c>
    </row>
    <row r="23" spans="2:12">
      <c r="B23" s="39"/>
      <c r="E23" s="47">
        <v>44228</v>
      </c>
      <c r="F23" s="48">
        <v>105000</v>
      </c>
      <c r="G23" s="49" t="s">
        <v>245</v>
      </c>
      <c r="H23" s="49" t="s">
        <v>2</v>
      </c>
      <c r="J23" s="47">
        <v>44435</v>
      </c>
      <c r="K23" s="49">
        <v>5000</v>
      </c>
      <c r="L23" s="49" t="s">
        <v>304</v>
      </c>
    </row>
    <row r="24" spans="2:12">
      <c r="B24" s="39"/>
      <c r="E24" s="47">
        <v>44287</v>
      </c>
      <c r="F24" s="48">
        <v>105000</v>
      </c>
      <c r="G24" s="49" t="s">
        <v>245</v>
      </c>
      <c r="H24" s="49" t="s">
        <v>2</v>
      </c>
      <c r="J24" s="47">
        <v>44455</v>
      </c>
      <c r="K24" s="49">
        <v>16300</v>
      </c>
      <c r="L24" s="49" t="s">
        <v>312</v>
      </c>
    </row>
    <row r="25" spans="2:12">
      <c r="B25" s="39"/>
      <c r="E25" s="47">
        <v>44287</v>
      </c>
      <c r="F25" s="48">
        <v>105000</v>
      </c>
      <c r="G25" s="49" t="s">
        <v>245</v>
      </c>
      <c r="H25" s="49" t="s">
        <v>2</v>
      </c>
      <c r="J25" s="47">
        <v>44455</v>
      </c>
      <c r="K25" s="49">
        <f>1230+800+800</f>
        <v>2830</v>
      </c>
      <c r="L25" s="49" t="s">
        <v>311</v>
      </c>
    </row>
    <row r="26" spans="2:12">
      <c r="B26" s="39"/>
      <c r="E26" s="47">
        <v>44317</v>
      </c>
      <c r="F26" s="48">
        <v>105000</v>
      </c>
      <c r="G26" s="49" t="s">
        <v>245</v>
      </c>
      <c r="H26" s="49" t="s">
        <v>2</v>
      </c>
      <c r="J26" s="47">
        <v>44456</v>
      </c>
      <c r="K26" s="49">
        <v>25000</v>
      </c>
      <c r="L26" s="49" t="s">
        <v>308</v>
      </c>
    </row>
    <row r="27" spans="2:12">
      <c r="B27" s="39"/>
      <c r="E27" s="47">
        <v>44348</v>
      </c>
      <c r="F27" s="48">
        <v>105000</v>
      </c>
      <c r="G27" s="49" t="s">
        <v>245</v>
      </c>
      <c r="H27" s="49" t="s">
        <v>2</v>
      </c>
      <c r="J27" s="47">
        <v>44457</v>
      </c>
      <c r="K27" s="49">
        <v>5817</v>
      </c>
      <c r="L27" s="49" t="s">
        <v>309</v>
      </c>
    </row>
    <row r="28" spans="2:12">
      <c r="E28" s="47">
        <v>44378</v>
      </c>
      <c r="F28" s="48">
        <v>105000</v>
      </c>
      <c r="G28" s="49" t="s">
        <v>245</v>
      </c>
      <c r="H28" s="49" t="s">
        <v>2</v>
      </c>
      <c r="J28" s="47">
        <v>44457</v>
      </c>
      <c r="K28" s="49">
        <v>7550</v>
      </c>
      <c r="L28" s="49" t="s">
        <v>310</v>
      </c>
    </row>
    <row r="29" spans="2:12">
      <c r="E29" s="47">
        <v>44409</v>
      </c>
      <c r="F29" s="48">
        <v>69053</v>
      </c>
      <c r="G29" s="49" t="s">
        <v>245</v>
      </c>
      <c r="H29" s="49" t="s">
        <v>2</v>
      </c>
      <c r="J29" s="47">
        <v>44461</v>
      </c>
      <c r="K29" s="49">
        <v>1000</v>
      </c>
      <c r="L29" s="49" t="s">
        <v>304</v>
      </c>
    </row>
    <row r="30" spans="2:12">
      <c r="J30" s="47">
        <v>44469</v>
      </c>
      <c r="K30" s="49">
        <v>2000</v>
      </c>
      <c r="L30" s="49" t="s">
        <v>249</v>
      </c>
    </row>
    <row r="31" spans="2:12">
      <c r="J31" s="47">
        <v>44470</v>
      </c>
      <c r="K31" s="49">
        <v>6000</v>
      </c>
      <c r="L31" s="49" t="s">
        <v>249</v>
      </c>
    </row>
    <row r="32" spans="2:12">
      <c r="J32" s="47">
        <v>44487</v>
      </c>
      <c r="K32" s="49">
        <v>50000</v>
      </c>
      <c r="L32" s="49" t="s">
        <v>313</v>
      </c>
    </row>
    <row r="33" spans="10:12">
      <c r="J33" s="47">
        <v>44487</v>
      </c>
      <c r="K33" s="49">
        <v>10000</v>
      </c>
      <c r="L33" s="49" t="s">
        <v>314</v>
      </c>
    </row>
    <row r="34" spans="10:12">
      <c r="J34" s="47">
        <v>44487</v>
      </c>
      <c r="K34" s="49">
        <v>4500</v>
      </c>
      <c r="L34" s="49" t="s">
        <v>315</v>
      </c>
    </row>
    <row r="35" spans="10:12">
      <c r="J35" s="47">
        <v>44487</v>
      </c>
      <c r="K35" s="49">
        <v>1700</v>
      </c>
      <c r="L35" s="49" t="s">
        <v>315</v>
      </c>
    </row>
    <row r="36" spans="10:12">
      <c r="J36" s="47">
        <v>44487</v>
      </c>
      <c r="K36" s="49">
        <v>2000</v>
      </c>
      <c r="L36" s="49" t="s">
        <v>249</v>
      </c>
    </row>
    <row r="37" spans="10:12">
      <c r="J37" s="47">
        <v>44492</v>
      </c>
      <c r="K37" s="49">
        <v>10000</v>
      </c>
      <c r="L37" s="49" t="s">
        <v>316</v>
      </c>
    </row>
    <row r="38" spans="10:12">
      <c r="J38" s="47">
        <v>44494</v>
      </c>
      <c r="K38" s="49">
        <v>5000</v>
      </c>
      <c r="L38" s="49" t="s">
        <v>304</v>
      </c>
    </row>
    <row r="39" spans="10:12">
      <c r="J39" s="47">
        <v>44498</v>
      </c>
      <c r="K39" s="49">
        <v>33000</v>
      </c>
      <c r="L39" s="49" t="s">
        <v>317</v>
      </c>
    </row>
    <row r="40" spans="10:12">
      <c r="J40" s="47">
        <v>44505</v>
      </c>
      <c r="K40" s="49">
        <v>5000</v>
      </c>
      <c r="L40" s="49" t="s">
        <v>249</v>
      </c>
    </row>
    <row r="41" spans="10:12">
      <c r="J41" s="47">
        <v>44509</v>
      </c>
      <c r="K41" s="49">
        <v>5000</v>
      </c>
      <c r="L41" s="49" t="s">
        <v>304</v>
      </c>
    </row>
    <row r="42" spans="10:12">
      <c r="J42" s="47">
        <v>44511</v>
      </c>
      <c r="K42" s="49">
        <v>22200</v>
      </c>
      <c r="L42" s="49" t="s">
        <v>318</v>
      </c>
    </row>
    <row r="43" spans="10:12">
      <c r="J43" s="47">
        <v>44514</v>
      </c>
      <c r="K43" s="49">
        <v>25000</v>
      </c>
      <c r="L43" s="49" t="s">
        <v>319</v>
      </c>
    </row>
    <row r="44" spans="10:12">
      <c r="J44" s="49" t="s">
        <v>18</v>
      </c>
      <c r="K44" s="175">
        <f>SUM(K3:K43)</f>
        <v>496997</v>
      </c>
      <c r="L44" s="175"/>
    </row>
    <row r="53" spans="10:11">
      <c r="J53" s="17" t="s">
        <v>258</v>
      </c>
      <c r="K53" t="s">
        <v>264</v>
      </c>
    </row>
    <row r="54" spans="10:11">
      <c r="J54" s="18" t="s">
        <v>255</v>
      </c>
      <c r="K54">
        <v>603400</v>
      </c>
    </row>
    <row r="55" spans="10:11">
      <c r="J55" s="18" t="s">
        <v>183</v>
      </c>
      <c r="K55">
        <v>34000</v>
      </c>
    </row>
    <row r="56" spans="10:11">
      <c r="J56" s="18" t="s">
        <v>2</v>
      </c>
      <c r="K56">
        <v>747024</v>
      </c>
    </row>
    <row r="57" spans="10:11">
      <c r="J57" s="18" t="s">
        <v>254</v>
      </c>
      <c r="K57">
        <v>134000</v>
      </c>
    </row>
    <row r="58" spans="10:11">
      <c r="J58" s="18" t="s">
        <v>256</v>
      </c>
      <c r="K58">
        <v>10000</v>
      </c>
    </row>
    <row r="59" spans="10:11">
      <c r="J59" s="18" t="s">
        <v>171</v>
      </c>
      <c r="K59">
        <v>1528424</v>
      </c>
    </row>
  </sheetData>
  <autoFilter ref="E2:H16" xr:uid="{8F800698-0D96-4808-8FD9-D9D20A1AEB97}">
    <sortState xmlns:xlrd2="http://schemas.microsoft.com/office/spreadsheetml/2017/richdata2" ref="E3:H18">
      <sortCondition ref="E2:E16"/>
    </sortState>
  </autoFilter>
  <sortState xmlns:xlrd2="http://schemas.microsoft.com/office/spreadsheetml/2017/richdata2" ref="E5:G16">
    <sortCondition ref="E5"/>
  </sortState>
  <mergeCells count="5">
    <mergeCell ref="K44:L44"/>
    <mergeCell ref="A1:C1"/>
    <mergeCell ref="E1:H1"/>
    <mergeCell ref="B10:C10"/>
    <mergeCell ref="J1:L1"/>
  </mergeCell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43807-2830-4652-9CDA-681218288C17}">
  <dimension ref="A2:M31"/>
  <sheetViews>
    <sheetView topLeftCell="A14" workbookViewId="0">
      <selection activeCell="F15" sqref="F15"/>
    </sheetView>
  </sheetViews>
  <sheetFormatPr defaultRowHeight="14.5"/>
  <cols>
    <col min="1" max="1" width="10.08984375" style="20" bestFit="1" customWidth="1"/>
    <col min="2" max="2" width="9.6328125" style="38" bestFit="1" customWidth="1"/>
    <col min="4" max="4" width="9.453125" bestFit="1" customWidth="1"/>
    <col min="5" max="5" width="11.1796875" style="38" bestFit="1" customWidth="1"/>
    <col min="6" max="6" width="31.1796875" bestFit="1" customWidth="1"/>
    <col min="8" max="8" width="10.08984375" bestFit="1" customWidth="1"/>
    <col min="9" max="9" width="9.6328125" bestFit="1" customWidth="1"/>
    <col min="11" max="11" width="10.08984375" style="20" bestFit="1" customWidth="1"/>
    <col min="12" max="12" width="11.1796875" bestFit="1" customWidth="1"/>
    <col min="13" max="13" width="27.1796875" bestFit="1" customWidth="1"/>
  </cols>
  <sheetData>
    <row r="2" spans="1:13">
      <c r="A2" s="20">
        <v>44546</v>
      </c>
      <c r="B2" s="38">
        <v>1842</v>
      </c>
      <c r="D2" t="s">
        <v>178</v>
      </c>
      <c r="E2" s="38">
        <v>74611</v>
      </c>
      <c r="H2" s="20">
        <v>44816</v>
      </c>
      <c r="I2" s="38">
        <v>450929</v>
      </c>
      <c r="K2" s="20">
        <v>44816</v>
      </c>
      <c r="L2" s="38">
        <v>36082</v>
      </c>
      <c r="M2" t="s">
        <v>350</v>
      </c>
    </row>
    <row r="3" spans="1:13">
      <c r="A3" s="20">
        <v>44557</v>
      </c>
      <c r="B3" s="38">
        <v>449580</v>
      </c>
      <c r="E3" s="38">
        <v>233000</v>
      </c>
      <c r="H3" s="20">
        <v>44840</v>
      </c>
      <c r="I3" s="38">
        <v>416487</v>
      </c>
      <c r="K3" s="20">
        <v>44823</v>
      </c>
      <c r="L3" s="38">
        <v>19627</v>
      </c>
      <c r="M3" t="s">
        <v>351</v>
      </c>
    </row>
    <row r="4" spans="1:13">
      <c r="A4" s="20">
        <v>44589</v>
      </c>
      <c r="B4" s="38">
        <v>374800</v>
      </c>
      <c r="H4" s="20">
        <v>44874</v>
      </c>
      <c r="I4" s="38">
        <v>494782</v>
      </c>
      <c r="K4" s="20">
        <v>44817</v>
      </c>
      <c r="L4" s="38">
        <v>57000</v>
      </c>
      <c r="M4" t="s">
        <v>352</v>
      </c>
    </row>
    <row r="5" spans="1:13">
      <c r="A5" s="20">
        <v>44650</v>
      </c>
      <c r="B5" s="38">
        <v>523335</v>
      </c>
      <c r="H5" s="20">
        <v>44907</v>
      </c>
      <c r="I5" s="38">
        <v>500103</v>
      </c>
      <c r="K5" s="20">
        <v>44824</v>
      </c>
      <c r="L5" s="38">
        <v>21400</v>
      </c>
      <c r="M5" t="s">
        <v>351</v>
      </c>
    </row>
    <row r="6" spans="1:13">
      <c r="A6" s="20">
        <v>44680</v>
      </c>
      <c r="B6" s="38">
        <v>321006</v>
      </c>
      <c r="H6" s="20">
        <v>44936</v>
      </c>
      <c r="I6" s="38">
        <v>258058</v>
      </c>
      <c r="K6" s="20">
        <v>44824</v>
      </c>
      <c r="L6" s="38">
        <v>12200</v>
      </c>
      <c r="M6" t="s">
        <v>351</v>
      </c>
    </row>
    <row r="7" spans="1:13">
      <c r="A7" s="20">
        <v>44708</v>
      </c>
      <c r="B7" s="38">
        <v>309716</v>
      </c>
      <c r="H7" s="20">
        <v>44944</v>
      </c>
      <c r="I7" s="38">
        <v>89989</v>
      </c>
      <c r="K7" s="20">
        <v>44844</v>
      </c>
      <c r="L7" s="38">
        <v>36082</v>
      </c>
      <c r="M7" t="s">
        <v>350</v>
      </c>
    </row>
    <row r="8" spans="1:13">
      <c r="A8" s="20">
        <v>44739</v>
      </c>
      <c r="B8" s="38">
        <v>234240</v>
      </c>
      <c r="H8" s="20"/>
      <c r="I8" s="38"/>
      <c r="K8" s="20">
        <v>44875</v>
      </c>
      <c r="L8" s="38">
        <v>36082</v>
      </c>
      <c r="M8" t="s">
        <v>350</v>
      </c>
    </row>
    <row r="9" spans="1:13">
      <c r="A9" s="20">
        <v>44755</v>
      </c>
      <c r="B9" s="38">
        <v>73427</v>
      </c>
      <c r="H9" s="20"/>
      <c r="I9" s="38"/>
      <c r="K9" s="20">
        <v>44876</v>
      </c>
      <c r="L9" s="38">
        <v>100000</v>
      </c>
      <c r="M9" t="s">
        <v>353</v>
      </c>
    </row>
    <row r="10" spans="1:13">
      <c r="H10" s="20"/>
      <c r="I10" s="38"/>
      <c r="K10" s="20">
        <v>44881</v>
      </c>
      <c r="L10" s="38">
        <v>52400</v>
      </c>
      <c r="M10" t="s">
        <v>354</v>
      </c>
    </row>
    <row r="11" spans="1:13">
      <c r="I11" s="38"/>
      <c r="K11" s="20">
        <v>44884</v>
      </c>
      <c r="L11" s="38">
        <v>15000</v>
      </c>
      <c r="M11" t="s">
        <v>355</v>
      </c>
    </row>
    <row r="12" spans="1:13">
      <c r="I12" s="38"/>
      <c r="K12" s="20">
        <v>44908</v>
      </c>
      <c r="L12" s="38">
        <v>25000</v>
      </c>
      <c r="M12" t="s">
        <v>356</v>
      </c>
    </row>
    <row r="13" spans="1:13">
      <c r="A13" s="20" t="s">
        <v>18</v>
      </c>
      <c r="B13" s="38">
        <f>SUM(B2:B12)</f>
        <v>2287946</v>
      </c>
      <c r="E13" s="38">
        <f>B13-E3-E2</f>
        <v>1980335</v>
      </c>
      <c r="I13" s="38"/>
      <c r="K13" s="20">
        <v>44926</v>
      </c>
      <c r="L13" s="38">
        <v>40000</v>
      </c>
      <c r="M13" t="s">
        <v>357</v>
      </c>
    </row>
    <row r="14" spans="1:13">
      <c r="A14" s="187" t="s">
        <v>359</v>
      </c>
      <c r="B14" s="187"/>
      <c r="D14" s="188" t="s">
        <v>235</v>
      </c>
      <c r="E14" s="188"/>
      <c r="F14" s="188"/>
      <c r="I14" s="38"/>
      <c r="K14" s="20">
        <v>44928</v>
      </c>
      <c r="L14" s="38">
        <v>60000</v>
      </c>
      <c r="M14" t="s">
        <v>2</v>
      </c>
    </row>
    <row r="15" spans="1:13">
      <c r="A15" s="105" t="s">
        <v>113</v>
      </c>
      <c r="B15" s="106" t="s">
        <v>1</v>
      </c>
      <c r="D15" s="111" t="s">
        <v>113</v>
      </c>
      <c r="E15" s="112" t="s">
        <v>1</v>
      </c>
      <c r="F15" s="65" t="s">
        <v>360</v>
      </c>
      <c r="I15" s="38"/>
      <c r="K15" s="20">
        <v>44931</v>
      </c>
      <c r="L15" s="38">
        <v>200000</v>
      </c>
      <c r="M15" t="s">
        <v>2</v>
      </c>
    </row>
    <row r="16" spans="1:13">
      <c r="A16" s="47">
        <v>44816</v>
      </c>
      <c r="B16" s="48">
        <v>450929</v>
      </c>
      <c r="D16" s="109">
        <v>44817</v>
      </c>
      <c r="E16" s="55">
        <v>57000</v>
      </c>
      <c r="F16" s="54" t="s">
        <v>352</v>
      </c>
      <c r="I16" s="38"/>
      <c r="K16" s="20">
        <v>44946</v>
      </c>
      <c r="L16" s="38">
        <v>500000</v>
      </c>
      <c r="M16" t="s">
        <v>358</v>
      </c>
    </row>
    <row r="17" spans="1:13">
      <c r="A17" s="47">
        <v>44840</v>
      </c>
      <c r="B17" s="48">
        <v>416487</v>
      </c>
      <c r="D17" s="109">
        <v>44876</v>
      </c>
      <c r="E17" s="55">
        <v>100000</v>
      </c>
      <c r="F17" s="54" t="s">
        <v>353</v>
      </c>
      <c r="I17" s="38"/>
      <c r="K17" s="20">
        <v>44947</v>
      </c>
      <c r="L17" s="38">
        <v>20000</v>
      </c>
      <c r="M17" t="s">
        <v>2</v>
      </c>
    </row>
    <row r="18" spans="1:13">
      <c r="A18" s="47">
        <v>44874</v>
      </c>
      <c r="B18" s="48">
        <v>494782</v>
      </c>
      <c r="D18" s="109">
        <v>44881</v>
      </c>
      <c r="E18" s="55">
        <v>52400</v>
      </c>
      <c r="F18" s="54" t="s">
        <v>354</v>
      </c>
      <c r="K18" s="20">
        <v>44949</v>
      </c>
      <c r="L18" s="38">
        <v>50000</v>
      </c>
      <c r="M18" t="s">
        <v>2</v>
      </c>
    </row>
    <row r="19" spans="1:13">
      <c r="A19" s="47">
        <v>44907</v>
      </c>
      <c r="B19" s="48">
        <v>500103</v>
      </c>
      <c r="D19" s="109">
        <v>44884</v>
      </c>
      <c r="E19" s="55">
        <v>15000</v>
      </c>
      <c r="F19" s="54" t="s">
        <v>355</v>
      </c>
      <c r="K19" s="20">
        <v>44950</v>
      </c>
      <c r="L19" s="38">
        <v>500000</v>
      </c>
      <c r="M19" t="s">
        <v>358</v>
      </c>
    </row>
    <row r="20" spans="1:13">
      <c r="A20" s="47">
        <v>44936</v>
      </c>
      <c r="B20" s="48">
        <v>258058</v>
      </c>
      <c r="D20" s="109">
        <v>44908</v>
      </c>
      <c r="E20" s="55">
        <v>25000</v>
      </c>
      <c r="F20" s="54" t="s">
        <v>356</v>
      </c>
      <c r="K20" s="20">
        <v>44963</v>
      </c>
      <c r="L20" s="38">
        <v>300000</v>
      </c>
      <c r="M20" t="s">
        <v>2</v>
      </c>
    </row>
    <row r="21" spans="1:13">
      <c r="A21" s="47">
        <v>44944</v>
      </c>
      <c r="B21" s="48">
        <v>89989</v>
      </c>
      <c r="D21" s="109">
        <v>44926</v>
      </c>
      <c r="E21" s="55">
        <v>40000</v>
      </c>
      <c r="F21" s="54" t="s">
        <v>357</v>
      </c>
    </row>
    <row r="22" spans="1:13">
      <c r="A22" s="107" t="s">
        <v>18</v>
      </c>
      <c r="B22" s="108">
        <f>SUM(B16:B21)</f>
        <v>2210348</v>
      </c>
      <c r="D22" s="109">
        <v>44949</v>
      </c>
      <c r="E22" s="55">
        <v>135000</v>
      </c>
      <c r="F22" s="54" t="s">
        <v>361</v>
      </c>
    </row>
    <row r="23" spans="1:13">
      <c r="D23" s="109">
        <v>44949</v>
      </c>
      <c r="E23" s="55">
        <v>17000</v>
      </c>
      <c r="F23" s="54" t="s">
        <v>363</v>
      </c>
    </row>
    <row r="24" spans="1:13">
      <c r="D24" s="109">
        <v>44949</v>
      </c>
      <c r="E24" s="55">
        <v>33000</v>
      </c>
      <c r="F24" s="54" t="s">
        <v>362</v>
      </c>
      <c r="I24" s="39">
        <f>SUM(I2:I23)</f>
        <v>2210348</v>
      </c>
      <c r="L24" s="39">
        <f>SUM(L2:L23)</f>
        <v>2080873</v>
      </c>
      <c r="M24" s="39">
        <f>L24-I24</f>
        <v>-129475</v>
      </c>
    </row>
    <row r="25" spans="1:13">
      <c r="D25" s="64">
        <v>44927</v>
      </c>
      <c r="E25" s="55">
        <v>250000</v>
      </c>
      <c r="F25" s="54" t="s">
        <v>364</v>
      </c>
    </row>
    <row r="26" spans="1:13">
      <c r="D26" s="64">
        <v>44958</v>
      </c>
      <c r="E26" s="55">
        <v>350000</v>
      </c>
      <c r="F26" s="54" t="s">
        <v>365</v>
      </c>
    </row>
    <row r="27" spans="1:13">
      <c r="D27" s="109">
        <v>44950</v>
      </c>
      <c r="E27" s="55">
        <v>1000000</v>
      </c>
      <c r="F27" s="54" t="s">
        <v>366</v>
      </c>
    </row>
    <row r="28" spans="1:13">
      <c r="D28" s="113"/>
      <c r="E28" s="114">
        <v>130000</v>
      </c>
      <c r="F28" s="113" t="s">
        <v>178</v>
      </c>
    </row>
    <row r="29" spans="1:13">
      <c r="D29" s="54"/>
      <c r="E29" s="55">
        <v>5948</v>
      </c>
      <c r="F29" s="54" t="s">
        <v>367</v>
      </c>
    </row>
    <row r="30" spans="1:13">
      <c r="D30" s="110" t="s">
        <v>18</v>
      </c>
      <c r="E30" s="189">
        <f>SUM(E16:E29)</f>
        <v>2210348</v>
      </c>
      <c r="F30" s="190"/>
    </row>
    <row r="31" spans="1:13">
      <c r="B31" s="38">
        <f>B22-E30</f>
        <v>0</v>
      </c>
    </row>
  </sheetData>
  <mergeCells count="3">
    <mergeCell ref="A14:B14"/>
    <mergeCell ref="D14:F14"/>
    <mergeCell ref="E30:F3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45AE2-978F-45C1-BEC5-CB652AF0722D}">
  <dimension ref="A2:P24"/>
  <sheetViews>
    <sheetView topLeftCell="A2" workbookViewId="0">
      <selection activeCell="E14" sqref="E14:E16"/>
    </sheetView>
  </sheetViews>
  <sheetFormatPr defaultRowHeight="14.5"/>
  <cols>
    <col min="1" max="1" width="19" bestFit="1" customWidth="1"/>
    <col min="2" max="2" width="11.1796875" style="38" bestFit="1" customWidth="1"/>
    <col min="4" max="4" width="11" bestFit="1" customWidth="1"/>
    <col min="5" max="5" width="11.1796875" style="38" bestFit="1" customWidth="1"/>
    <col min="6" max="6" width="8.453125" bestFit="1" customWidth="1"/>
    <col min="7" max="7" width="16.90625" bestFit="1" customWidth="1"/>
    <col min="9" max="9" width="11.26953125" bestFit="1" customWidth="1"/>
    <col min="10" max="10" width="9.6328125" bestFit="1" customWidth="1"/>
  </cols>
  <sheetData>
    <row r="2" spans="1:16">
      <c r="A2" t="s">
        <v>235</v>
      </c>
    </row>
    <row r="3" spans="1:16">
      <c r="A3" s="58" t="s">
        <v>101</v>
      </c>
      <c r="B3" s="59" t="s">
        <v>1</v>
      </c>
      <c r="D3" s="2" t="s">
        <v>0</v>
      </c>
      <c r="E3" s="2" t="s">
        <v>2</v>
      </c>
      <c r="F3" s="2" t="s">
        <v>3</v>
      </c>
      <c r="I3" s="119"/>
      <c r="O3" t="s">
        <v>92</v>
      </c>
      <c r="P3">
        <v>25000</v>
      </c>
    </row>
    <row r="4" spans="1:16">
      <c r="A4" s="49" t="s">
        <v>74</v>
      </c>
      <c r="B4" s="48">
        <v>323388</v>
      </c>
      <c r="D4" s="49" t="s">
        <v>16</v>
      </c>
      <c r="E4" s="48">
        <v>21895</v>
      </c>
      <c r="F4" s="118">
        <v>45108</v>
      </c>
      <c r="G4" s="39">
        <v>0</v>
      </c>
      <c r="I4" t="s">
        <v>49</v>
      </c>
      <c r="J4" s="48">
        <v>291029</v>
      </c>
      <c r="L4">
        <v>23583</v>
      </c>
      <c r="P4">
        <v>12500</v>
      </c>
    </row>
    <row r="5" spans="1:16">
      <c r="A5" s="49" t="s">
        <v>102</v>
      </c>
      <c r="B5" s="48">
        <v>140000</v>
      </c>
      <c r="D5" s="49" t="s">
        <v>12</v>
      </c>
      <c r="E5" s="48">
        <v>32392</v>
      </c>
      <c r="F5" s="118">
        <v>45109</v>
      </c>
      <c r="G5" s="191">
        <v>0</v>
      </c>
      <c r="I5" t="s">
        <v>82</v>
      </c>
      <c r="J5" s="48">
        <f>L7*2</f>
        <v>143672</v>
      </c>
      <c r="L5">
        <v>13490</v>
      </c>
      <c r="P5">
        <v>12500</v>
      </c>
    </row>
    <row r="6" spans="1:16">
      <c r="A6" s="49" t="s">
        <v>103</v>
      </c>
      <c r="B6">
        <v>71836</v>
      </c>
      <c r="D6" s="49" t="s">
        <v>378</v>
      </c>
      <c r="E6" s="48">
        <v>17858</v>
      </c>
      <c r="F6" s="118">
        <v>45109</v>
      </c>
      <c r="G6" s="192"/>
      <c r="I6" t="s">
        <v>254</v>
      </c>
      <c r="J6" s="48">
        <v>50000</v>
      </c>
      <c r="L6">
        <v>34763</v>
      </c>
    </row>
    <row r="7" spans="1:16">
      <c r="A7" s="49" t="s">
        <v>104</v>
      </c>
      <c r="B7" s="48">
        <v>35000</v>
      </c>
      <c r="D7" s="49" t="s">
        <v>379</v>
      </c>
      <c r="E7" s="48">
        <v>5691</v>
      </c>
      <c r="F7" s="118">
        <v>45109</v>
      </c>
      <c r="G7" s="192"/>
      <c r="I7" t="s">
        <v>380</v>
      </c>
      <c r="J7" s="48">
        <v>20000</v>
      </c>
      <c r="L7">
        <f>SUM(L4:L6)</f>
        <v>71836</v>
      </c>
    </row>
    <row r="8" spans="1:16">
      <c r="A8" s="49" t="s">
        <v>112</v>
      </c>
      <c r="B8" s="48">
        <v>37000</v>
      </c>
      <c r="D8" s="49" t="s">
        <v>379</v>
      </c>
      <c r="E8" s="48">
        <v>1793</v>
      </c>
      <c r="F8" s="118">
        <v>45109</v>
      </c>
      <c r="G8" s="192"/>
      <c r="I8" t="s">
        <v>381</v>
      </c>
      <c r="J8" s="48">
        <v>32000</v>
      </c>
    </row>
    <row r="9" spans="1:16">
      <c r="A9" s="49" t="s">
        <v>123</v>
      </c>
      <c r="B9" s="48">
        <v>24000</v>
      </c>
      <c r="D9" s="49" t="s">
        <v>379</v>
      </c>
      <c r="E9" s="48">
        <v>4184</v>
      </c>
      <c r="F9" s="118">
        <v>45109</v>
      </c>
      <c r="G9" s="192"/>
      <c r="I9" t="s">
        <v>96</v>
      </c>
      <c r="J9" s="48">
        <v>20000</v>
      </c>
    </row>
    <row r="10" spans="1:16">
      <c r="A10" s="101" t="s">
        <v>338</v>
      </c>
      <c r="B10" s="102">
        <v>58750</v>
      </c>
      <c r="D10" s="49" t="s">
        <v>379</v>
      </c>
      <c r="E10" s="48">
        <v>2990</v>
      </c>
      <c r="F10" s="118">
        <v>45109</v>
      </c>
      <c r="G10" s="192"/>
      <c r="J10" s="48">
        <v>3299</v>
      </c>
    </row>
    <row r="11" spans="1:16">
      <c r="A11" s="101" t="s">
        <v>339</v>
      </c>
      <c r="B11" s="38">
        <v>37500</v>
      </c>
      <c r="D11" s="49" t="s">
        <v>13</v>
      </c>
      <c r="E11" s="48">
        <v>43485</v>
      </c>
      <c r="F11" s="118">
        <v>45111</v>
      </c>
      <c r="G11" s="39">
        <v>0</v>
      </c>
    </row>
    <row r="12" spans="1:16">
      <c r="D12" s="49" t="s">
        <v>10</v>
      </c>
      <c r="E12" s="48">
        <v>41951</v>
      </c>
      <c r="F12" s="118">
        <v>45112</v>
      </c>
      <c r="G12" s="39">
        <f t="shared" ref="G12:G16" si="0">E12</f>
        <v>41951</v>
      </c>
    </row>
    <row r="13" spans="1:16">
      <c r="A13" s="103" t="s">
        <v>340</v>
      </c>
      <c r="B13" s="38">
        <f>SUM(B4:B12)</f>
        <v>727474</v>
      </c>
      <c r="D13" s="49" t="s">
        <v>11</v>
      </c>
      <c r="E13" s="48">
        <v>29291</v>
      </c>
      <c r="F13" s="118">
        <v>45112</v>
      </c>
      <c r="G13" s="39">
        <v>0</v>
      </c>
      <c r="J13" s="39">
        <f>SUM(J4:J12)</f>
        <v>560000</v>
      </c>
    </row>
    <row r="14" spans="1:16">
      <c r="A14" s="103" t="s">
        <v>341</v>
      </c>
      <c r="B14" s="38">
        <v>60000</v>
      </c>
      <c r="D14" s="49" t="s">
        <v>9</v>
      </c>
      <c r="E14" s="48">
        <v>65201</v>
      </c>
      <c r="F14" s="118">
        <v>45114</v>
      </c>
      <c r="G14" s="39">
        <f t="shared" si="0"/>
        <v>65201</v>
      </c>
      <c r="J14" s="39">
        <v>350000</v>
      </c>
    </row>
    <row r="15" spans="1:16">
      <c r="A15" s="103" t="s">
        <v>342</v>
      </c>
      <c r="B15" s="38">
        <v>26000</v>
      </c>
      <c r="D15" s="49" t="s">
        <v>15</v>
      </c>
      <c r="E15" s="48">
        <v>24230</v>
      </c>
      <c r="F15" s="118">
        <v>45114</v>
      </c>
      <c r="G15" s="39">
        <f t="shared" si="0"/>
        <v>24230</v>
      </c>
      <c r="M15">
        <f>11100*82</f>
        <v>910200</v>
      </c>
    </row>
    <row r="16" spans="1:16">
      <c r="A16" s="103" t="s">
        <v>343</v>
      </c>
      <c r="B16" s="38">
        <v>20400</v>
      </c>
      <c r="D16" s="49" t="s">
        <v>14</v>
      </c>
      <c r="E16" s="48">
        <v>32427</v>
      </c>
      <c r="F16" s="118">
        <v>45117</v>
      </c>
      <c r="G16" s="39">
        <f t="shared" si="0"/>
        <v>32427</v>
      </c>
      <c r="J16" s="39">
        <f>910000-SUM(J13:J14)</f>
        <v>0</v>
      </c>
    </row>
    <row r="17" spans="1:7">
      <c r="A17" s="103" t="s">
        <v>344</v>
      </c>
      <c r="B17" s="38">
        <v>70500</v>
      </c>
      <c r="E17" s="38">
        <f>SUM(E4:E16)</f>
        <v>323388</v>
      </c>
      <c r="G17" s="39">
        <f>SUM(G11:G16)</f>
        <v>163809</v>
      </c>
    </row>
    <row r="18" spans="1:7">
      <c r="A18" s="103" t="s">
        <v>18</v>
      </c>
      <c r="B18" s="104">
        <f>SUM(B14:B17)</f>
        <v>176900</v>
      </c>
    </row>
    <row r="19" spans="1:7">
      <c r="A19" s="103" t="s">
        <v>18</v>
      </c>
      <c r="B19" s="38">
        <f>SUM(B13:B17)</f>
        <v>904374</v>
      </c>
      <c r="G19">
        <v>148380</v>
      </c>
    </row>
    <row r="20" spans="1:7">
      <c r="A20" s="103" t="s">
        <v>345</v>
      </c>
      <c r="B20" s="38">
        <f>B19-E22</f>
        <v>862423</v>
      </c>
      <c r="D20" t="s">
        <v>102</v>
      </c>
      <c r="E20" s="38">
        <v>120000</v>
      </c>
      <c r="G20" s="39">
        <f>G17-G19</f>
        <v>15429</v>
      </c>
    </row>
    <row r="21" spans="1:7">
      <c r="E21" s="48">
        <v>43485</v>
      </c>
    </row>
    <row r="22" spans="1:7">
      <c r="E22" s="48">
        <v>41951</v>
      </c>
    </row>
    <row r="23" spans="1:7">
      <c r="E23" s="48">
        <v>32392</v>
      </c>
    </row>
    <row r="24" spans="1:7">
      <c r="E24" s="38">
        <f>SUM(E20:E23)</f>
        <v>237828</v>
      </c>
    </row>
  </sheetData>
  <sortState xmlns:xlrd2="http://schemas.microsoft.com/office/spreadsheetml/2017/richdata2" ref="D4:F16">
    <sortCondition ref="F3:F16"/>
  </sortState>
  <mergeCells count="1">
    <mergeCell ref="G5:G1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0A9FA-FA6D-47BE-A436-FFF4773492C7}">
  <dimension ref="A1:U22"/>
  <sheetViews>
    <sheetView zoomScaleNormal="100" workbookViewId="0">
      <selection activeCell="C10" sqref="C10"/>
    </sheetView>
  </sheetViews>
  <sheetFormatPr defaultRowHeight="14.5"/>
  <cols>
    <col min="1" max="1" width="20.1796875" bestFit="1" customWidth="1"/>
    <col min="2" max="2" width="13" style="38" bestFit="1" customWidth="1"/>
    <col min="3" max="3" width="13.26953125" style="38" customWidth="1"/>
    <col min="4" max="4" width="9.26953125" bestFit="1" customWidth="1"/>
    <col min="5" max="5" width="9.26953125" customWidth="1"/>
    <col min="6" max="6" width="11" bestFit="1" customWidth="1"/>
    <col min="7" max="7" width="19.6328125" bestFit="1" customWidth="1"/>
    <col min="8" max="8" width="12.6328125" bestFit="1" customWidth="1"/>
    <col min="9" max="9" width="11.1796875" style="38" bestFit="1" customWidth="1"/>
    <col min="10" max="10" width="6.54296875" bestFit="1" customWidth="1"/>
    <col min="11" max="11" width="17.1796875" bestFit="1" customWidth="1"/>
    <col min="12" max="12" width="11.26953125" bestFit="1" customWidth="1"/>
    <col min="14" max="14" width="13" bestFit="1" customWidth="1"/>
    <col min="15" max="15" width="11.1796875" style="38" bestFit="1" customWidth="1"/>
    <col min="16" max="16" width="7.08984375" bestFit="1" customWidth="1"/>
    <col min="17" max="17" width="20.1796875" bestFit="1" customWidth="1"/>
    <col min="19" max="19" width="12.6328125" bestFit="1" customWidth="1"/>
    <col min="20" max="20" width="8.7265625" style="36" bestFit="1" customWidth="1"/>
  </cols>
  <sheetData>
    <row r="1" spans="1:21">
      <c r="A1" s="170" t="s">
        <v>284</v>
      </c>
      <c r="B1" s="170"/>
      <c r="C1" s="88"/>
      <c r="G1" s="170" t="s">
        <v>285</v>
      </c>
      <c r="H1" s="170"/>
      <c r="I1" s="170"/>
      <c r="K1" s="176" t="s">
        <v>275</v>
      </c>
      <c r="L1" s="176"/>
      <c r="N1" s="176" t="s">
        <v>276</v>
      </c>
      <c r="O1" s="176"/>
      <c r="P1" s="176"/>
      <c r="Q1" s="176"/>
    </row>
    <row r="2" spans="1:21">
      <c r="A2" s="58" t="s">
        <v>101</v>
      </c>
      <c r="B2" s="59" t="s">
        <v>1</v>
      </c>
      <c r="C2" s="89" t="s">
        <v>329</v>
      </c>
      <c r="D2" s="89" t="s">
        <v>328</v>
      </c>
      <c r="E2" s="89" t="s">
        <v>330</v>
      </c>
      <c r="F2" s="89"/>
      <c r="G2" s="58" t="s">
        <v>267</v>
      </c>
      <c r="H2" s="58" t="s">
        <v>0</v>
      </c>
      <c r="I2" s="59" t="s">
        <v>266</v>
      </c>
      <c r="K2" s="65" t="s">
        <v>286</v>
      </c>
      <c r="L2" s="65" t="s">
        <v>287</v>
      </c>
      <c r="N2" s="58" t="s">
        <v>259</v>
      </c>
      <c r="O2" s="58" t="s">
        <v>1</v>
      </c>
      <c r="P2" s="58" t="s">
        <v>113</v>
      </c>
      <c r="Q2" s="58" t="s">
        <v>257</v>
      </c>
    </row>
    <row r="3" spans="1:21">
      <c r="A3" s="49" t="s">
        <v>74</v>
      </c>
      <c r="B3" s="48">
        <v>279529</v>
      </c>
      <c r="C3" s="86">
        <v>12700000</v>
      </c>
      <c r="D3" t="s">
        <v>326</v>
      </c>
      <c r="E3" s="91">
        <v>45748</v>
      </c>
      <c r="F3" s="86">
        <v>10500000</v>
      </c>
      <c r="G3" s="49" t="s">
        <v>96</v>
      </c>
      <c r="H3" s="49" t="s">
        <v>9</v>
      </c>
      <c r="I3" s="48">
        <v>550000</v>
      </c>
      <c r="J3" s="83"/>
      <c r="K3" s="60">
        <v>44531</v>
      </c>
      <c r="L3" s="61">
        <v>673829</v>
      </c>
      <c r="N3" s="54" t="s">
        <v>326</v>
      </c>
      <c r="O3" s="55">
        <v>1650000</v>
      </c>
      <c r="P3" s="64" t="s">
        <v>347</v>
      </c>
      <c r="Q3" s="54" t="s">
        <v>348</v>
      </c>
    </row>
    <row r="4" spans="1:21">
      <c r="A4" s="49" t="s">
        <v>102</v>
      </c>
      <c r="B4" s="48">
        <v>149500</v>
      </c>
      <c r="C4" s="86">
        <v>6500000</v>
      </c>
      <c r="D4" t="s">
        <v>326</v>
      </c>
      <c r="E4" s="91">
        <v>44986</v>
      </c>
      <c r="F4" s="86">
        <v>2500000</v>
      </c>
      <c r="G4" s="49" t="s">
        <v>96</v>
      </c>
      <c r="H4" s="49" t="s">
        <v>16</v>
      </c>
      <c r="I4" s="48">
        <v>40000</v>
      </c>
      <c r="J4" s="83"/>
      <c r="K4" s="60">
        <v>44562</v>
      </c>
      <c r="L4" s="61">
        <v>673829</v>
      </c>
      <c r="N4" s="54" t="s">
        <v>91</v>
      </c>
      <c r="O4" s="55">
        <v>500000</v>
      </c>
      <c r="P4" s="64">
        <v>44287</v>
      </c>
      <c r="Q4" s="54" t="s">
        <v>261</v>
      </c>
      <c r="S4" t="s">
        <v>320</v>
      </c>
      <c r="T4" s="36">
        <f>30000*9</f>
        <v>270000</v>
      </c>
      <c r="U4" t="s">
        <v>324</v>
      </c>
    </row>
    <row r="5" spans="1:21">
      <c r="A5" s="49" t="s">
        <v>103</v>
      </c>
      <c r="B5" s="48">
        <v>22000</v>
      </c>
      <c r="C5" s="86">
        <v>1700000</v>
      </c>
      <c r="D5" s="87" t="s">
        <v>82</v>
      </c>
      <c r="E5" s="87"/>
      <c r="F5" s="86"/>
      <c r="G5" s="49" t="s">
        <v>96</v>
      </c>
      <c r="H5" s="49" t="s">
        <v>215</v>
      </c>
      <c r="I5" s="48">
        <v>278000</v>
      </c>
      <c r="J5" s="83"/>
      <c r="K5" s="60">
        <v>44593</v>
      </c>
      <c r="L5" s="61">
        <v>673829</v>
      </c>
      <c r="N5" s="54" t="s">
        <v>174</v>
      </c>
      <c r="O5" s="55">
        <v>1980000</v>
      </c>
      <c r="P5" s="64">
        <v>44228</v>
      </c>
      <c r="Q5" s="54" t="s">
        <v>289</v>
      </c>
      <c r="S5" s="87" t="s">
        <v>85</v>
      </c>
      <c r="T5" s="36">
        <f>20000*9</f>
        <v>180000</v>
      </c>
      <c r="U5" t="s">
        <v>323</v>
      </c>
    </row>
    <row r="6" spans="1:21">
      <c r="A6" s="49" t="s">
        <v>103</v>
      </c>
      <c r="B6" s="48">
        <v>13000</v>
      </c>
      <c r="C6" s="86">
        <v>1000000</v>
      </c>
      <c r="D6" t="s">
        <v>326</v>
      </c>
      <c r="E6" s="91">
        <v>46113</v>
      </c>
      <c r="F6" s="86">
        <v>600000</v>
      </c>
      <c r="G6" s="49" t="s">
        <v>96</v>
      </c>
      <c r="H6" s="49" t="s">
        <v>268</v>
      </c>
      <c r="I6" s="48">
        <v>200000</v>
      </c>
      <c r="J6" s="83"/>
      <c r="K6" s="60">
        <v>44621</v>
      </c>
      <c r="L6" s="61">
        <v>673829</v>
      </c>
      <c r="N6" s="54" t="s">
        <v>49</v>
      </c>
      <c r="O6" s="55">
        <v>300000</v>
      </c>
      <c r="P6" s="64">
        <v>44287</v>
      </c>
      <c r="Q6" s="54" t="s">
        <v>291</v>
      </c>
      <c r="S6" t="s">
        <v>321</v>
      </c>
      <c r="T6" s="36">
        <f>(12500*8)+(12500*3)</f>
        <v>137500</v>
      </c>
      <c r="U6" t="s">
        <v>322</v>
      </c>
    </row>
    <row r="7" spans="1:21">
      <c r="A7" s="49" t="s">
        <v>111</v>
      </c>
      <c r="B7" s="48">
        <v>23000</v>
      </c>
      <c r="C7" s="86">
        <v>1600000</v>
      </c>
      <c r="D7" t="s">
        <v>279</v>
      </c>
      <c r="F7" s="86"/>
      <c r="G7" s="49" t="s">
        <v>269</v>
      </c>
      <c r="H7" s="49" t="s">
        <v>9</v>
      </c>
      <c r="I7" s="48">
        <v>650000</v>
      </c>
      <c r="K7" s="60">
        <v>44652</v>
      </c>
      <c r="L7" s="61">
        <v>673829</v>
      </c>
      <c r="N7" s="54" t="s">
        <v>280</v>
      </c>
      <c r="O7" s="55">
        <v>815000</v>
      </c>
      <c r="P7" s="64">
        <v>44348</v>
      </c>
      <c r="Q7" s="54" t="s">
        <v>346</v>
      </c>
      <c r="S7" t="s">
        <v>278</v>
      </c>
      <c r="T7" s="36">
        <f>14500*8</f>
        <v>116000</v>
      </c>
      <c r="U7" t="s">
        <v>325</v>
      </c>
    </row>
    <row r="8" spans="1:21">
      <c r="A8" s="49" t="s">
        <v>105</v>
      </c>
      <c r="B8" s="48">
        <v>69000</v>
      </c>
      <c r="C8" s="86">
        <v>1500000</v>
      </c>
      <c r="D8" t="s">
        <v>326</v>
      </c>
      <c r="E8" s="91">
        <v>44986</v>
      </c>
      <c r="F8" s="86">
        <v>800000</v>
      </c>
      <c r="G8" s="49" t="s">
        <v>269</v>
      </c>
      <c r="H8" s="49" t="s">
        <v>270</v>
      </c>
      <c r="I8" s="48">
        <v>420000</v>
      </c>
      <c r="K8" s="60">
        <v>44682</v>
      </c>
      <c r="L8" s="61">
        <v>673829</v>
      </c>
      <c r="N8" s="54" t="s">
        <v>282</v>
      </c>
      <c r="O8" s="55">
        <v>250000</v>
      </c>
      <c r="P8" s="64">
        <v>44378</v>
      </c>
      <c r="Q8" s="54" t="s">
        <v>292</v>
      </c>
      <c r="T8" s="36">
        <f>SUM(T4:T7)</f>
        <v>703500</v>
      </c>
    </row>
    <row r="9" spans="1:21">
      <c r="A9" s="49" t="s">
        <v>104</v>
      </c>
      <c r="B9" s="48">
        <v>35000</v>
      </c>
      <c r="C9" s="86">
        <v>2200000</v>
      </c>
      <c r="D9" t="s">
        <v>326</v>
      </c>
      <c r="E9" s="91">
        <v>11018</v>
      </c>
      <c r="F9" s="86">
        <v>1875000</v>
      </c>
      <c r="G9" s="49" t="s">
        <v>204</v>
      </c>
      <c r="H9" s="49" t="s">
        <v>205</v>
      </c>
      <c r="I9" s="48">
        <v>121000</v>
      </c>
      <c r="K9" s="60">
        <v>44713</v>
      </c>
      <c r="L9" s="61">
        <v>773829</v>
      </c>
      <c r="N9" s="54" t="s">
        <v>279</v>
      </c>
      <c r="O9" s="55">
        <v>1275132</v>
      </c>
      <c r="P9" s="64">
        <v>44378</v>
      </c>
      <c r="Q9" s="54" t="s">
        <v>279</v>
      </c>
    </row>
    <row r="10" spans="1:21">
      <c r="A10" s="49" t="s">
        <v>109</v>
      </c>
      <c r="B10" s="48">
        <v>6500</v>
      </c>
      <c r="C10" s="86">
        <v>300000</v>
      </c>
      <c r="D10" t="s">
        <v>326</v>
      </c>
      <c r="E10" s="91">
        <v>44713</v>
      </c>
      <c r="F10" s="86">
        <v>100000</v>
      </c>
      <c r="G10" s="49" t="s">
        <v>204</v>
      </c>
      <c r="H10" s="49" t="s">
        <v>271</v>
      </c>
      <c r="I10" s="48">
        <v>154000</v>
      </c>
      <c r="K10" s="60">
        <v>44743</v>
      </c>
      <c r="L10" s="61">
        <v>773829</v>
      </c>
      <c r="N10" s="54" t="s">
        <v>349</v>
      </c>
      <c r="O10" s="55">
        <v>100000</v>
      </c>
      <c r="P10" s="64"/>
      <c r="Q10" s="54"/>
    </row>
    <row r="11" spans="1:21">
      <c r="A11" s="49" t="s">
        <v>109</v>
      </c>
      <c r="B11" s="48">
        <v>5200</v>
      </c>
      <c r="C11" s="86">
        <v>200000</v>
      </c>
      <c r="D11" t="s">
        <v>326</v>
      </c>
      <c r="E11" s="91">
        <v>44713</v>
      </c>
      <c r="F11" s="86">
        <v>100000</v>
      </c>
      <c r="G11" s="49" t="s">
        <v>204</v>
      </c>
      <c r="H11" s="49" t="s">
        <v>272</v>
      </c>
      <c r="I11" s="48">
        <v>121000</v>
      </c>
      <c r="K11" s="60">
        <v>44774</v>
      </c>
      <c r="L11" s="61"/>
      <c r="N11" s="54"/>
      <c r="O11" s="55"/>
      <c r="P11" s="64"/>
      <c r="Q11" s="54"/>
    </row>
    <row r="12" spans="1:21">
      <c r="A12" s="49" t="s">
        <v>109</v>
      </c>
      <c r="B12" s="48">
        <v>4500</v>
      </c>
      <c r="C12" s="86">
        <v>200000</v>
      </c>
      <c r="D12" t="s">
        <v>326</v>
      </c>
      <c r="E12" s="91">
        <v>44713</v>
      </c>
      <c r="F12" s="86">
        <v>100000</v>
      </c>
      <c r="G12" s="49" t="s">
        <v>204</v>
      </c>
      <c r="H12" s="49" t="s">
        <v>270</v>
      </c>
      <c r="I12" s="48">
        <v>200000</v>
      </c>
      <c r="K12" s="60">
        <v>44805</v>
      </c>
      <c r="L12" s="61"/>
      <c r="N12" s="35" t="s">
        <v>171</v>
      </c>
      <c r="O12" s="174">
        <f>SUM(O3:O11)</f>
        <v>6870132</v>
      </c>
      <c r="P12" s="174"/>
      <c r="Q12" s="174"/>
      <c r="T12"/>
    </row>
    <row r="13" spans="1:21">
      <c r="A13" s="49" t="s">
        <v>110</v>
      </c>
      <c r="B13" s="48">
        <v>100000</v>
      </c>
      <c r="C13" s="86">
        <v>650000</v>
      </c>
      <c r="D13" t="s">
        <v>327</v>
      </c>
      <c r="F13" s="86"/>
      <c r="G13" s="49" t="s">
        <v>204</v>
      </c>
      <c r="H13" s="49" t="s">
        <v>9</v>
      </c>
      <c r="I13" s="48">
        <v>273000</v>
      </c>
      <c r="K13" s="60">
        <v>44835</v>
      </c>
      <c r="L13" s="61"/>
      <c r="T13"/>
    </row>
    <row r="14" spans="1:21">
      <c r="A14" s="49" t="s">
        <v>112</v>
      </c>
      <c r="B14" s="48">
        <v>37000</v>
      </c>
      <c r="C14" s="86">
        <v>520000</v>
      </c>
      <c r="D14" t="s">
        <v>326</v>
      </c>
      <c r="E14" s="91"/>
      <c r="F14" s="86">
        <v>520000</v>
      </c>
      <c r="G14" s="49" t="s">
        <v>204</v>
      </c>
      <c r="H14" s="49" t="s">
        <v>273</v>
      </c>
      <c r="I14" s="48">
        <v>78000</v>
      </c>
      <c r="K14" s="60">
        <v>44866</v>
      </c>
      <c r="L14" s="61"/>
      <c r="T14"/>
    </row>
    <row r="15" spans="1:21">
      <c r="A15" s="49" t="s">
        <v>265</v>
      </c>
      <c r="B15" s="48">
        <v>5600</v>
      </c>
      <c r="C15" s="86">
        <v>450000</v>
      </c>
      <c r="D15" t="s">
        <v>82</v>
      </c>
      <c r="F15" s="86"/>
      <c r="G15" s="175" t="s">
        <v>274</v>
      </c>
      <c r="H15" s="175"/>
      <c r="I15" s="53">
        <f>SUM(I3:I14)</f>
        <v>3085000</v>
      </c>
      <c r="K15" s="49" t="s">
        <v>18</v>
      </c>
      <c r="L15" s="62">
        <f>SUM(L3:L14)</f>
        <v>5590632</v>
      </c>
      <c r="N15" t="s">
        <v>178</v>
      </c>
      <c r="T15"/>
    </row>
    <row r="16" spans="1:21">
      <c r="A16" s="49" t="s">
        <v>123</v>
      </c>
      <c r="B16" s="48">
        <v>24000</v>
      </c>
      <c r="C16" s="86">
        <v>5000000</v>
      </c>
      <c r="D16" t="s">
        <v>279</v>
      </c>
      <c r="E16" t="s">
        <v>331</v>
      </c>
      <c r="F16" s="86">
        <v>2400000</v>
      </c>
      <c r="K16" s="49" t="s">
        <v>261</v>
      </c>
      <c r="L16" s="50">
        <f>T8</f>
        <v>703500</v>
      </c>
      <c r="T16"/>
    </row>
    <row r="17" spans="1:20">
      <c r="A17" s="56" t="s">
        <v>18</v>
      </c>
      <c r="B17" s="57">
        <f>SUM(B3:B16)</f>
        <v>773829</v>
      </c>
      <c r="C17" s="86">
        <v>3700000</v>
      </c>
      <c r="D17" t="s">
        <v>326</v>
      </c>
      <c r="F17" s="86"/>
      <c r="K17" s="1" t="s">
        <v>281</v>
      </c>
      <c r="L17" s="63">
        <f>8*72000</f>
        <v>576000</v>
      </c>
      <c r="T17"/>
    </row>
    <row r="18" spans="1:20">
      <c r="C18" s="86">
        <v>120000</v>
      </c>
      <c r="D18" t="s">
        <v>326</v>
      </c>
      <c r="F18" s="86"/>
      <c r="K18" s="35" t="s">
        <v>171</v>
      </c>
      <c r="L18" s="41">
        <f>L15+L17+L16</f>
        <v>6870132</v>
      </c>
      <c r="T18"/>
    </row>
    <row r="19" spans="1:20">
      <c r="C19" s="86">
        <v>1000000</v>
      </c>
      <c r="D19" t="s">
        <v>279</v>
      </c>
      <c r="T19"/>
    </row>
    <row r="20" spans="1:20">
      <c r="C20" s="90"/>
      <c r="T20"/>
    </row>
    <row r="21" spans="1:20">
      <c r="F21">
        <f>SUBTOTAL(9,F3:F16)</f>
        <v>19495000</v>
      </c>
      <c r="T21"/>
    </row>
    <row r="22" spans="1:20">
      <c r="T22"/>
    </row>
  </sheetData>
  <autoFilter ref="A2:D21" xr:uid="{A97880B8-763C-4E61-B103-17A8A7BFF742}"/>
  <mergeCells count="6">
    <mergeCell ref="G15:H15"/>
    <mergeCell ref="O12:Q12"/>
    <mergeCell ref="A1:B1"/>
    <mergeCell ref="G1:I1"/>
    <mergeCell ref="K1:L1"/>
    <mergeCell ref="N1:Q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EF6DC-AA08-4ECA-A790-F3EC2619AA28}">
  <dimension ref="A1:J20"/>
  <sheetViews>
    <sheetView tabSelected="1" workbookViewId="0">
      <selection activeCell="F18" sqref="F18"/>
    </sheetView>
  </sheetViews>
  <sheetFormatPr defaultRowHeight="14.5"/>
  <cols>
    <col min="1" max="1" width="12.1796875" bestFit="1" customWidth="1"/>
    <col min="2" max="2" width="17.7265625" bestFit="1" customWidth="1"/>
    <col min="3" max="3" width="12.453125" bestFit="1" customWidth="1"/>
    <col min="4" max="4" width="24.1796875" bestFit="1" customWidth="1"/>
    <col min="5" max="5" width="14.81640625" bestFit="1" customWidth="1"/>
    <col min="6" max="6" width="12.1796875" style="38" bestFit="1" customWidth="1"/>
    <col min="7" max="7" width="25.90625" bestFit="1" customWidth="1"/>
    <col min="8" max="8" width="42.81640625" bestFit="1" customWidth="1"/>
    <col min="9" max="9" width="9" bestFit="1" customWidth="1"/>
  </cols>
  <sheetData>
    <row r="1" spans="1:10">
      <c r="A1" s="193" t="s">
        <v>386</v>
      </c>
      <c r="B1" s="193"/>
      <c r="C1" s="193"/>
      <c r="D1" s="193"/>
      <c r="E1" s="193" t="s">
        <v>391</v>
      </c>
      <c r="F1" s="193"/>
      <c r="G1" s="193"/>
    </row>
    <row r="2" spans="1:10">
      <c r="A2" t="s">
        <v>113</v>
      </c>
      <c r="B2" t="s">
        <v>1</v>
      </c>
      <c r="C2" t="s">
        <v>387</v>
      </c>
      <c r="D2" t="s">
        <v>388</v>
      </c>
      <c r="H2" t="s">
        <v>400</v>
      </c>
      <c r="I2" s="125">
        <v>500000</v>
      </c>
      <c r="J2" t="s">
        <v>404</v>
      </c>
    </row>
    <row r="3" spans="1:10">
      <c r="A3" s="122">
        <v>43585</v>
      </c>
      <c r="B3" s="124">
        <v>1000000</v>
      </c>
      <c r="C3" t="s">
        <v>389</v>
      </c>
      <c r="D3" t="s">
        <v>401</v>
      </c>
      <c r="E3" t="s">
        <v>394</v>
      </c>
      <c r="F3" s="38">
        <v>1410070</v>
      </c>
      <c r="G3" t="s">
        <v>395</v>
      </c>
      <c r="H3" t="s">
        <v>398</v>
      </c>
      <c r="I3" s="125">
        <v>240000</v>
      </c>
    </row>
    <row r="4" spans="1:10">
      <c r="A4" s="122">
        <v>43832</v>
      </c>
      <c r="B4" s="124">
        <v>1500000</v>
      </c>
      <c r="C4" t="s">
        <v>389</v>
      </c>
      <c r="D4" s="194" t="s">
        <v>565</v>
      </c>
      <c r="E4" s="91">
        <v>44958</v>
      </c>
      <c r="F4" s="38">
        <v>2900000</v>
      </c>
      <c r="G4" t="s">
        <v>396</v>
      </c>
      <c r="H4" t="s">
        <v>399</v>
      </c>
      <c r="I4" s="125">
        <v>30000</v>
      </c>
    </row>
    <row r="5" spans="1:10">
      <c r="A5" s="122">
        <v>43833</v>
      </c>
      <c r="B5" s="124">
        <v>500000</v>
      </c>
      <c r="C5" t="s">
        <v>389</v>
      </c>
      <c r="D5" s="195"/>
      <c r="E5" s="20">
        <v>45016</v>
      </c>
      <c r="F5" s="38">
        <v>150000</v>
      </c>
      <c r="G5" t="s">
        <v>397</v>
      </c>
      <c r="H5" t="s">
        <v>18</v>
      </c>
      <c r="I5" s="125">
        <f>SUM(I2:I4)</f>
        <v>770000</v>
      </c>
    </row>
    <row r="6" spans="1:10">
      <c r="A6" s="122">
        <v>43843</v>
      </c>
      <c r="B6" s="124">
        <v>400000</v>
      </c>
      <c r="C6" t="s">
        <v>389</v>
      </c>
      <c r="D6" s="195"/>
    </row>
    <row r="7" spans="1:10">
      <c r="A7" s="122">
        <v>43844</v>
      </c>
      <c r="B7" s="124">
        <v>500000</v>
      </c>
      <c r="C7" t="s">
        <v>389</v>
      </c>
      <c r="D7" s="195"/>
      <c r="F7" s="38">
        <f>SUM(F3:F6)</f>
        <v>4460070</v>
      </c>
    </row>
    <row r="8" spans="1:10">
      <c r="A8" s="122">
        <v>43847</v>
      </c>
      <c r="B8" s="124">
        <v>100000</v>
      </c>
      <c r="C8" t="s">
        <v>389</v>
      </c>
      <c r="D8" s="195"/>
    </row>
    <row r="9" spans="1:10">
      <c r="A9" s="120" t="s">
        <v>18</v>
      </c>
      <c r="B9" s="126">
        <f>SUM(B3:B8)</f>
        <v>4000000</v>
      </c>
      <c r="C9" s="120"/>
      <c r="D9" s="120"/>
    </row>
    <row r="11" spans="1:10">
      <c r="A11" s="123">
        <v>43921</v>
      </c>
      <c r="B11" s="124">
        <v>194717</v>
      </c>
      <c r="C11" t="s">
        <v>261</v>
      </c>
    </row>
    <row r="12" spans="1:10">
      <c r="A12" s="123">
        <v>44286</v>
      </c>
      <c r="B12" s="124">
        <v>470490</v>
      </c>
      <c r="C12" t="s">
        <v>261</v>
      </c>
    </row>
    <row r="13" spans="1:10">
      <c r="A13" s="123">
        <v>44651</v>
      </c>
      <c r="B13" s="124">
        <v>467903</v>
      </c>
      <c r="C13" t="s">
        <v>261</v>
      </c>
    </row>
    <row r="14" spans="1:10">
      <c r="A14" s="123">
        <v>45016</v>
      </c>
      <c r="B14" s="124">
        <v>445048</v>
      </c>
      <c r="C14" t="s">
        <v>261</v>
      </c>
    </row>
    <row r="15" spans="1:10">
      <c r="A15" s="123">
        <v>45382</v>
      </c>
      <c r="B15" s="124">
        <v>173323</v>
      </c>
      <c r="C15" t="s">
        <v>261</v>
      </c>
    </row>
    <row r="16" spans="1:10">
      <c r="A16" s="120" t="s">
        <v>403</v>
      </c>
      <c r="B16" s="127">
        <f>SUM(B11:B15)</f>
        <v>1751481</v>
      </c>
      <c r="C16" s="120"/>
    </row>
    <row r="17" spans="1:4">
      <c r="A17" s="122">
        <v>44991</v>
      </c>
      <c r="B17" s="124">
        <v>150000</v>
      </c>
      <c r="C17" t="s">
        <v>392</v>
      </c>
      <c r="D17" t="s">
        <v>393</v>
      </c>
    </row>
    <row r="18" spans="1:4">
      <c r="A18" s="122">
        <v>45055</v>
      </c>
      <c r="B18" s="124">
        <v>100000</v>
      </c>
      <c r="C18" t="s">
        <v>392</v>
      </c>
      <c r="D18" t="s">
        <v>390</v>
      </c>
    </row>
    <row r="19" spans="1:4">
      <c r="B19" s="36"/>
    </row>
    <row r="20" spans="1:4">
      <c r="A20" t="s">
        <v>178</v>
      </c>
      <c r="B20" s="39"/>
    </row>
  </sheetData>
  <mergeCells count="3">
    <mergeCell ref="A1:D1"/>
    <mergeCell ref="E1:G1"/>
    <mergeCell ref="D4:D8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53B0A-94F7-4AFE-85F7-759001C22B32}">
  <dimension ref="A2:P16"/>
  <sheetViews>
    <sheetView workbookViewId="0">
      <selection activeCell="D15" sqref="D15"/>
    </sheetView>
  </sheetViews>
  <sheetFormatPr defaultRowHeight="14.5"/>
  <cols>
    <col min="1" max="1" width="15.7265625" bestFit="1" customWidth="1"/>
    <col min="2" max="2" width="20.26953125" bestFit="1" customWidth="1"/>
    <col min="3" max="3" width="10.08984375" bestFit="1" customWidth="1"/>
    <col min="4" max="4" width="10.453125" style="4" bestFit="1" customWidth="1"/>
    <col min="5" max="5" width="9.1796875" bestFit="1" customWidth="1"/>
    <col min="6" max="6" width="13.1796875" bestFit="1" customWidth="1"/>
    <col min="7" max="7" width="9.54296875" bestFit="1" customWidth="1"/>
    <col min="8" max="8" width="10.08984375" bestFit="1" customWidth="1"/>
    <col min="9" max="9" width="6.08984375" customWidth="1"/>
    <col min="10" max="10" width="7.36328125" bestFit="1" customWidth="1"/>
    <col min="11" max="11" width="11.81640625" bestFit="1" customWidth="1"/>
    <col min="12" max="12" width="18.453125" bestFit="1" customWidth="1"/>
    <col min="13" max="13" width="11.7265625" bestFit="1" customWidth="1"/>
    <col min="14" max="14" width="12.26953125" style="9" bestFit="1" customWidth="1"/>
  </cols>
  <sheetData>
    <row r="2" spans="1:16">
      <c r="A2" s="2"/>
      <c r="B2" s="2" t="s">
        <v>19</v>
      </c>
      <c r="C2" s="2" t="s">
        <v>0</v>
      </c>
      <c r="D2" s="3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24</v>
      </c>
      <c r="J2" s="2" t="s">
        <v>23</v>
      </c>
      <c r="K2" s="2" t="s">
        <v>6</v>
      </c>
      <c r="L2" s="2" t="s">
        <v>7</v>
      </c>
      <c r="M2" s="2" t="s">
        <v>22</v>
      </c>
      <c r="N2" s="10" t="s">
        <v>21</v>
      </c>
      <c r="O2" s="2" t="s">
        <v>20</v>
      </c>
      <c r="P2" s="2" t="s">
        <v>27</v>
      </c>
    </row>
    <row r="3" spans="1:16">
      <c r="A3" s="1">
        <v>1</v>
      </c>
      <c r="B3" s="1">
        <v>98827925</v>
      </c>
      <c r="C3" s="1" t="s">
        <v>9</v>
      </c>
      <c r="D3" s="5">
        <v>3016059</v>
      </c>
      <c r="E3" s="1">
        <v>65201</v>
      </c>
      <c r="F3" s="8">
        <v>44015</v>
      </c>
      <c r="G3" s="1">
        <v>16059</v>
      </c>
      <c r="H3" s="1">
        <v>14609</v>
      </c>
      <c r="I3" s="1">
        <v>0</v>
      </c>
      <c r="J3" s="5">
        <f t="shared" ref="J3" si="0">M3-G3-H3-I3</f>
        <v>0</v>
      </c>
      <c r="K3" s="1">
        <v>2985391</v>
      </c>
      <c r="L3" s="1" t="s">
        <v>17</v>
      </c>
      <c r="M3" s="5">
        <f t="shared" ref="M3:M10" si="1">D3-K3</f>
        <v>30668</v>
      </c>
      <c r="N3" s="11">
        <f>H3/D3</f>
        <v>4.8437381364223979E-3</v>
      </c>
      <c r="O3" s="11">
        <v>0.1075</v>
      </c>
      <c r="P3" s="1">
        <v>60</v>
      </c>
    </row>
    <row r="4" spans="1:16" ht="15.5">
      <c r="A4" s="1">
        <v>2</v>
      </c>
      <c r="B4" s="12">
        <v>7455360</v>
      </c>
      <c r="C4" s="1" t="s">
        <v>10</v>
      </c>
      <c r="D4" s="5">
        <v>1744000</v>
      </c>
      <c r="E4" s="1">
        <v>41951</v>
      </c>
      <c r="F4" s="8">
        <v>43954</v>
      </c>
      <c r="G4" s="1">
        <v>10399</v>
      </c>
      <c r="H4" s="1">
        <v>30480</v>
      </c>
      <c r="I4" s="1">
        <v>1770</v>
      </c>
      <c r="J4" s="5">
        <f>M4-G4-H4-I4</f>
        <v>9851</v>
      </c>
      <c r="K4" s="1">
        <v>1691500</v>
      </c>
      <c r="L4" s="1" t="s">
        <v>17</v>
      </c>
      <c r="M4" s="5">
        <f t="shared" si="1"/>
        <v>52500</v>
      </c>
      <c r="N4" s="11">
        <f t="shared" ref="N4:N9" si="2">H4/D4</f>
        <v>1.7477064220183487E-2</v>
      </c>
      <c r="O4" s="11">
        <v>0.155</v>
      </c>
      <c r="P4" s="1">
        <v>60</v>
      </c>
    </row>
    <row r="5" spans="1:16">
      <c r="A5" s="1">
        <v>3</v>
      </c>
      <c r="B5" s="1" t="s">
        <v>25</v>
      </c>
      <c r="C5" s="1" t="s">
        <v>11</v>
      </c>
      <c r="D5" s="5">
        <v>1015080</v>
      </c>
      <c r="E5" s="1">
        <v>29291</v>
      </c>
      <c r="F5" s="8">
        <v>43954</v>
      </c>
      <c r="G5" s="5">
        <f>M5-H5-J5</f>
        <v>15080</v>
      </c>
      <c r="H5" s="1">
        <v>11978</v>
      </c>
      <c r="I5" s="1">
        <v>0</v>
      </c>
      <c r="J5" s="5">
        <v>0</v>
      </c>
      <c r="K5" s="1">
        <v>988022</v>
      </c>
      <c r="L5" s="1" t="s">
        <v>17</v>
      </c>
      <c r="M5" s="5">
        <f t="shared" si="1"/>
        <v>27058</v>
      </c>
      <c r="N5" s="11">
        <f t="shared" si="2"/>
        <v>1.180005516806557E-2</v>
      </c>
      <c r="O5" s="13">
        <v>0.17</v>
      </c>
      <c r="P5" s="1">
        <v>48</v>
      </c>
    </row>
    <row r="6" spans="1:16">
      <c r="A6" s="1">
        <v>4</v>
      </c>
      <c r="B6" s="14">
        <v>7877295</v>
      </c>
      <c r="C6" s="1" t="s">
        <v>12</v>
      </c>
      <c r="D6" s="5">
        <v>880000</v>
      </c>
      <c r="E6" s="1">
        <v>21049</v>
      </c>
      <c r="F6" s="8">
        <v>43864</v>
      </c>
      <c r="G6" s="1">
        <v>0</v>
      </c>
      <c r="H6" s="1">
        <v>14403</v>
      </c>
      <c r="I6" s="1">
        <v>4999</v>
      </c>
      <c r="J6" s="5">
        <f t="shared" ref="J6:J8" si="3">M6-G6-H6-I6</f>
        <v>0</v>
      </c>
      <c r="K6" s="1">
        <v>860598</v>
      </c>
      <c r="L6" s="1" t="s">
        <v>17</v>
      </c>
      <c r="M6" s="5">
        <f t="shared" si="1"/>
        <v>19402</v>
      </c>
      <c r="N6" s="11">
        <f t="shared" si="2"/>
        <v>1.6367045454545454E-2</v>
      </c>
      <c r="O6" s="11">
        <v>0.14990000000000001</v>
      </c>
      <c r="P6" s="1">
        <v>60</v>
      </c>
    </row>
    <row r="7" spans="1:16">
      <c r="A7" s="1">
        <v>5</v>
      </c>
      <c r="B7" s="14">
        <v>701000770530</v>
      </c>
      <c r="C7" s="1" t="s">
        <v>13</v>
      </c>
      <c r="D7" s="5">
        <v>2000000</v>
      </c>
      <c r="E7" s="1">
        <v>43485</v>
      </c>
      <c r="F7" s="8">
        <v>43924</v>
      </c>
      <c r="G7" s="1">
        <v>0</v>
      </c>
      <c r="H7" s="1">
        <v>17700</v>
      </c>
      <c r="I7" s="1">
        <v>4000</v>
      </c>
      <c r="J7" s="5">
        <f t="shared" si="3"/>
        <v>0</v>
      </c>
      <c r="K7" s="1">
        <v>1978300</v>
      </c>
      <c r="L7" s="1" t="s">
        <v>17</v>
      </c>
      <c r="M7" s="5">
        <f t="shared" si="1"/>
        <v>21700</v>
      </c>
      <c r="N7" s="11">
        <f t="shared" si="2"/>
        <v>8.8500000000000002E-3</v>
      </c>
      <c r="O7" s="11">
        <v>0.11</v>
      </c>
      <c r="P7" s="1">
        <v>60</v>
      </c>
    </row>
    <row r="8" spans="1:16" ht="15.5">
      <c r="A8" s="1">
        <v>6</v>
      </c>
      <c r="B8" s="15">
        <v>868057024</v>
      </c>
      <c r="C8" s="1" t="s">
        <v>14</v>
      </c>
      <c r="D8" s="5">
        <v>1500000</v>
      </c>
      <c r="E8" s="1">
        <v>32427</v>
      </c>
      <c r="F8" s="8">
        <v>44106</v>
      </c>
      <c r="G8" s="1">
        <v>0</v>
      </c>
      <c r="H8" s="1">
        <v>17523</v>
      </c>
      <c r="I8" s="1">
        <v>3010</v>
      </c>
      <c r="J8" s="5">
        <f t="shared" si="3"/>
        <v>0</v>
      </c>
      <c r="K8" s="1">
        <v>1479467</v>
      </c>
      <c r="L8" s="1" t="s">
        <v>17</v>
      </c>
      <c r="M8" s="5">
        <f t="shared" si="1"/>
        <v>20533</v>
      </c>
      <c r="N8" s="11">
        <f t="shared" si="2"/>
        <v>1.1682E-2</v>
      </c>
      <c r="O8" s="11">
        <v>0.1075</v>
      </c>
      <c r="P8" s="1">
        <v>60</v>
      </c>
    </row>
    <row r="9" spans="1:16">
      <c r="A9" s="1">
        <v>7</v>
      </c>
      <c r="B9" s="1" t="s">
        <v>26</v>
      </c>
      <c r="C9" s="1" t="s">
        <v>15</v>
      </c>
      <c r="D9" s="5">
        <v>1018741</v>
      </c>
      <c r="E9" s="1">
        <v>24230</v>
      </c>
      <c r="F9" s="8">
        <v>44015</v>
      </c>
      <c r="G9" s="1">
        <v>18741</v>
      </c>
      <c r="H9" s="5">
        <f>M9-G9</f>
        <v>20620</v>
      </c>
      <c r="I9" s="1"/>
      <c r="J9" s="5">
        <v>2920</v>
      </c>
      <c r="K9" s="1">
        <v>979380</v>
      </c>
      <c r="L9" s="1" t="s">
        <v>17</v>
      </c>
      <c r="M9" s="5">
        <f t="shared" si="1"/>
        <v>39361</v>
      </c>
      <c r="N9" s="11">
        <f t="shared" si="2"/>
        <v>2.0240669610823554E-2</v>
      </c>
      <c r="O9" s="11">
        <v>0.14990000000000001</v>
      </c>
      <c r="P9" s="1">
        <v>60</v>
      </c>
    </row>
    <row r="10" spans="1:16">
      <c r="A10" s="1">
        <v>8</v>
      </c>
      <c r="B10" s="1" t="s">
        <v>28</v>
      </c>
      <c r="C10" s="1" t="s">
        <v>16</v>
      </c>
      <c r="D10" s="5">
        <v>1000000</v>
      </c>
      <c r="E10" s="1">
        <v>21895</v>
      </c>
      <c r="F10" s="8">
        <v>43834</v>
      </c>
      <c r="G10" s="1">
        <v>0</v>
      </c>
      <c r="H10" s="1">
        <v>5688</v>
      </c>
      <c r="I10" s="1">
        <v>9100</v>
      </c>
      <c r="J10" s="5">
        <f>M10-G10-H10-I10</f>
        <v>0</v>
      </c>
      <c r="K10" s="1">
        <v>985212</v>
      </c>
      <c r="L10" s="1" t="s">
        <v>17</v>
      </c>
      <c r="M10" s="5">
        <f t="shared" si="1"/>
        <v>14788</v>
      </c>
      <c r="N10" s="11">
        <f>H10/D10</f>
        <v>5.6880000000000003E-3</v>
      </c>
      <c r="O10" s="11">
        <v>0.1075</v>
      </c>
      <c r="P10" s="1">
        <v>60</v>
      </c>
    </row>
    <row r="11" spans="1:16">
      <c r="A11" s="7" t="s">
        <v>18</v>
      </c>
      <c r="B11" s="1"/>
      <c r="C11" s="7"/>
      <c r="D11" s="6">
        <f>SUM(D3:D10)</f>
        <v>12173880</v>
      </c>
      <c r="E11" s="1">
        <f>SUM(E3:E10)</f>
        <v>279529</v>
      </c>
      <c r="F11" s="1"/>
      <c r="G11" s="1"/>
      <c r="H11" s="1"/>
      <c r="I11" s="1"/>
      <c r="J11" s="1"/>
      <c r="K11" s="1">
        <f>SUM(K3:K10)</f>
        <v>11947870</v>
      </c>
      <c r="L11" s="1"/>
      <c r="M11" s="5">
        <f>SUM(M3:M10)</f>
        <v>226010</v>
      </c>
      <c r="N11" s="11"/>
      <c r="O11" s="1"/>
      <c r="P11" s="1"/>
    </row>
    <row r="12" spans="1:16">
      <c r="K12">
        <f>Outwards!C100</f>
        <v>6263866.5799999991</v>
      </c>
    </row>
    <row r="13" spans="1:16">
      <c r="K13">
        <f>K11-K12</f>
        <v>5684003.4200000009</v>
      </c>
      <c r="L13">
        <v>5676104.4400000004</v>
      </c>
      <c r="N13">
        <f>L13-K13</f>
        <v>-7898.980000000447</v>
      </c>
    </row>
    <row r="15" spans="1:16">
      <c r="A15" t="s">
        <v>405</v>
      </c>
      <c r="B15" s="6">
        <v>6700000</v>
      </c>
    </row>
    <row r="16" spans="1:16">
      <c r="A16" t="s">
        <v>406</v>
      </c>
      <c r="B16" s="36">
        <f>K11-B15</f>
        <v>5247870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3DBC5-B2ED-4D0A-BC42-60B948159524}">
  <sheetPr>
    <pageSetUpPr fitToPage="1"/>
  </sheetPr>
  <dimension ref="A1:I51"/>
  <sheetViews>
    <sheetView topLeftCell="A6" zoomScaleNormal="100" workbookViewId="0">
      <selection activeCell="G26" sqref="G26"/>
    </sheetView>
  </sheetViews>
  <sheetFormatPr defaultRowHeight="14.5"/>
  <cols>
    <col min="1" max="1" width="8.6328125" bestFit="1" customWidth="1"/>
    <col min="2" max="2" width="18" bestFit="1" customWidth="1"/>
    <col min="3" max="3" width="19.81640625" bestFit="1" customWidth="1"/>
    <col min="4" max="4" width="12.54296875" style="147" bestFit="1" customWidth="1"/>
    <col min="5" max="5" width="17.26953125" style="147" bestFit="1" customWidth="1"/>
    <col min="6" max="6" width="11.54296875" bestFit="1" customWidth="1"/>
    <col min="7" max="7" width="15.26953125" style="147" bestFit="1" customWidth="1"/>
    <col min="8" max="8" width="25.90625" bestFit="1" customWidth="1"/>
  </cols>
  <sheetData>
    <row r="1" spans="2:7">
      <c r="B1" s="202" t="s">
        <v>284</v>
      </c>
      <c r="C1" s="203"/>
      <c r="D1" s="203"/>
      <c r="E1" s="204"/>
    </row>
    <row r="2" spans="2:7">
      <c r="B2" s="65" t="s">
        <v>101</v>
      </c>
      <c r="C2" s="112" t="s">
        <v>2</v>
      </c>
      <c r="D2" s="112" t="s">
        <v>1</v>
      </c>
      <c r="E2" s="112" t="s">
        <v>548</v>
      </c>
    </row>
    <row r="3" spans="2:7">
      <c r="B3" s="54" t="s">
        <v>74</v>
      </c>
      <c r="C3" s="148">
        <v>290520</v>
      </c>
      <c r="D3" s="149">
        <v>12173880</v>
      </c>
      <c r="E3" s="149">
        <v>3000000</v>
      </c>
    </row>
    <row r="4" spans="2:7">
      <c r="B4" s="54" t="s">
        <v>103</v>
      </c>
      <c r="C4" s="148">
        <v>35000</v>
      </c>
      <c r="D4" s="148">
        <v>2700000</v>
      </c>
      <c r="E4" s="148">
        <v>1050000</v>
      </c>
    </row>
    <row r="5" spans="2:7">
      <c r="B5" s="54" t="s">
        <v>111</v>
      </c>
      <c r="C5" s="148">
        <v>24500</v>
      </c>
      <c r="D5" s="148">
        <v>1600000</v>
      </c>
      <c r="E5" s="148">
        <v>1200000</v>
      </c>
    </row>
    <row r="6" spans="2:7">
      <c r="B6" s="54" t="s">
        <v>104</v>
      </c>
      <c r="C6" s="148">
        <v>32500</v>
      </c>
      <c r="D6" s="148">
        <v>2300000</v>
      </c>
      <c r="E6" s="148">
        <v>900000</v>
      </c>
    </row>
    <row r="7" spans="2:7">
      <c r="B7" s="54" t="s">
        <v>119</v>
      </c>
      <c r="C7" s="148">
        <v>16500</v>
      </c>
      <c r="D7" s="148">
        <v>900000</v>
      </c>
      <c r="E7" s="148">
        <v>600000</v>
      </c>
    </row>
    <row r="8" spans="2:7">
      <c r="B8" s="54" t="s">
        <v>112</v>
      </c>
      <c r="C8" s="148">
        <v>37000</v>
      </c>
      <c r="D8" s="148">
        <v>3700000</v>
      </c>
      <c r="E8" s="148">
        <v>3500000</v>
      </c>
    </row>
    <row r="9" spans="2:7">
      <c r="B9" s="54" t="s">
        <v>123</v>
      </c>
      <c r="C9" s="148">
        <v>24500</v>
      </c>
      <c r="D9" s="148">
        <v>1000000</v>
      </c>
      <c r="E9" s="148">
        <v>100000</v>
      </c>
    </row>
    <row r="10" spans="2:7">
      <c r="B10" s="54" t="s">
        <v>553</v>
      </c>
      <c r="C10" s="148">
        <v>22500</v>
      </c>
      <c r="D10" s="148">
        <v>1000000</v>
      </c>
      <c r="E10" s="148">
        <v>1000000</v>
      </c>
    </row>
    <row r="11" spans="2:7">
      <c r="B11" s="54" t="s">
        <v>552</v>
      </c>
      <c r="C11" s="148">
        <v>17500</v>
      </c>
      <c r="D11" s="148">
        <v>500000</v>
      </c>
      <c r="E11" s="148">
        <v>390000</v>
      </c>
    </row>
    <row r="12" spans="2:7">
      <c r="B12" s="54" t="s">
        <v>385</v>
      </c>
      <c r="C12" s="148">
        <v>59500</v>
      </c>
      <c r="D12" s="148">
        <v>2700000</v>
      </c>
      <c r="E12" s="148">
        <v>2700000</v>
      </c>
    </row>
    <row r="13" spans="2:7">
      <c r="B13" s="54"/>
      <c r="C13" s="55"/>
      <c r="D13" s="55"/>
      <c r="E13" s="55"/>
    </row>
    <row r="14" spans="2:7">
      <c r="B14" s="7" t="s">
        <v>18</v>
      </c>
      <c r="C14" s="146">
        <f>SUM(C3:C13)</f>
        <v>560020</v>
      </c>
      <c r="D14" s="146">
        <f>SUM(D3:D13)</f>
        <v>28573880</v>
      </c>
      <c r="E14" s="146">
        <f>SUM(E3:E12)</f>
        <v>14440000</v>
      </c>
    </row>
    <row r="15" spans="2:7">
      <c r="B15" s="7"/>
      <c r="C15" s="146"/>
      <c r="D15" s="146"/>
      <c r="E15" s="146"/>
    </row>
    <row r="16" spans="2:7">
      <c r="B16" s="163" t="s">
        <v>8</v>
      </c>
      <c r="C16" s="163" t="s">
        <v>19</v>
      </c>
      <c r="D16" s="164" t="s">
        <v>0</v>
      </c>
      <c r="E16" s="164" t="s">
        <v>1</v>
      </c>
      <c r="F16" s="163" t="s">
        <v>2</v>
      </c>
      <c r="G16" s="165" t="s">
        <v>3</v>
      </c>
    </row>
    <row r="17" spans="1:9">
      <c r="B17" s="49">
        <v>1</v>
      </c>
      <c r="C17" s="49">
        <v>98827925</v>
      </c>
      <c r="D17" s="151" t="s">
        <v>9</v>
      </c>
      <c r="E17" s="151">
        <v>3016059</v>
      </c>
      <c r="F17" s="49">
        <v>65201</v>
      </c>
      <c r="G17" s="166">
        <v>44015</v>
      </c>
    </row>
    <row r="18" spans="1:9">
      <c r="A18" s="39"/>
      <c r="B18" s="49">
        <v>2</v>
      </c>
      <c r="C18" s="49">
        <v>16712554</v>
      </c>
      <c r="D18" s="151" t="s">
        <v>10</v>
      </c>
      <c r="E18" s="151">
        <v>1744000</v>
      </c>
      <c r="F18" s="49">
        <v>41951</v>
      </c>
      <c r="G18" s="166">
        <v>43954</v>
      </c>
    </row>
    <row r="19" spans="1:9">
      <c r="B19" s="49">
        <v>3</v>
      </c>
      <c r="C19" s="49" t="s">
        <v>25</v>
      </c>
      <c r="D19" s="151" t="s">
        <v>11</v>
      </c>
      <c r="E19" s="151">
        <v>1015080</v>
      </c>
      <c r="F19" s="49">
        <v>29291</v>
      </c>
      <c r="G19" s="166">
        <v>43954</v>
      </c>
    </row>
    <row r="20" spans="1:9">
      <c r="B20" s="49">
        <v>4</v>
      </c>
      <c r="C20" s="49">
        <v>7877295</v>
      </c>
      <c r="D20" s="151" t="s">
        <v>12</v>
      </c>
      <c r="E20" s="151">
        <v>880000</v>
      </c>
      <c r="F20" s="49">
        <v>32049</v>
      </c>
      <c r="G20" s="166">
        <v>43864</v>
      </c>
    </row>
    <row r="21" spans="1:9">
      <c r="B21" s="49">
        <v>5</v>
      </c>
      <c r="C21" s="49">
        <v>701000770530</v>
      </c>
      <c r="D21" s="151" t="s">
        <v>13</v>
      </c>
      <c r="E21" s="151">
        <v>2000000</v>
      </c>
      <c r="F21" s="49">
        <v>43485</v>
      </c>
      <c r="G21" s="166">
        <v>43924</v>
      </c>
    </row>
    <row r="22" spans="1:9">
      <c r="B22" s="49">
        <v>6</v>
      </c>
      <c r="C22" s="49">
        <v>868057024</v>
      </c>
      <c r="D22" s="151" t="s">
        <v>14</v>
      </c>
      <c r="E22" s="151">
        <v>1500000</v>
      </c>
      <c r="F22" s="49">
        <v>32427</v>
      </c>
      <c r="G22" s="166">
        <v>44106</v>
      </c>
    </row>
    <row r="23" spans="1:9">
      <c r="B23" s="49">
        <v>7</v>
      </c>
      <c r="C23" s="49" t="s">
        <v>26</v>
      </c>
      <c r="D23" s="151" t="s">
        <v>15</v>
      </c>
      <c r="E23" s="151">
        <v>1018741</v>
      </c>
      <c r="F23" s="49">
        <v>24230</v>
      </c>
      <c r="G23" s="166">
        <v>44015</v>
      </c>
    </row>
    <row r="24" spans="1:9">
      <c r="B24" s="49">
        <v>8</v>
      </c>
      <c r="C24" s="49" t="s">
        <v>551</v>
      </c>
      <c r="D24" s="151" t="s">
        <v>16</v>
      </c>
      <c r="E24" s="151">
        <v>1000000</v>
      </c>
      <c r="F24" s="49">
        <v>21895</v>
      </c>
      <c r="G24" s="166">
        <v>43834</v>
      </c>
    </row>
    <row r="25" spans="1:9">
      <c r="A25" s="39"/>
      <c r="B25" s="49" t="s">
        <v>18</v>
      </c>
      <c r="C25" s="49"/>
      <c r="D25" s="151"/>
      <c r="E25" s="151">
        <v>12173880</v>
      </c>
      <c r="F25" s="49">
        <v>290529</v>
      </c>
      <c r="G25" s="166"/>
    </row>
    <row r="26" spans="1:9">
      <c r="A26" s="39"/>
    </row>
    <row r="28" spans="1:9">
      <c r="B28" s="205" t="s">
        <v>386</v>
      </c>
      <c r="C28" s="205"/>
      <c r="D28" s="205"/>
      <c r="E28" s="205"/>
      <c r="F28" s="197" t="s">
        <v>391</v>
      </c>
      <c r="G28" s="198"/>
      <c r="H28" s="159"/>
      <c r="I28" s="159"/>
    </row>
    <row r="29" spans="1:9">
      <c r="A29" s="39"/>
      <c r="B29" s="157" t="s">
        <v>259</v>
      </c>
      <c r="C29" s="46" t="s">
        <v>113</v>
      </c>
      <c r="D29" s="158" t="s">
        <v>1</v>
      </c>
      <c r="E29" s="160" t="s">
        <v>388</v>
      </c>
      <c r="F29" s="158" t="s">
        <v>1</v>
      </c>
      <c r="G29" s="158" t="s">
        <v>388</v>
      </c>
    </row>
    <row r="30" spans="1:9" ht="29">
      <c r="B30" s="49" t="s">
        <v>81</v>
      </c>
      <c r="C30" s="152">
        <v>43585</v>
      </c>
      <c r="D30" s="153">
        <v>1000000</v>
      </c>
      <c r="E30" s="134" t="s">
        <v>401</v>
      </c>
      <c r="F30" s="151">
        <v>1410070</v>
      </c>
      <c r="G30" s="49" t="s">
        <v>395</v>
      </c>
    </row>
    <row r="31" spans="1:9">
      <c r="B31" s="49" t="s">
        <v>81</v>
      </c>
      <c r="C31" s="152">
        <v>43832</v>
      </c>
      <c r="D31" s="153">
        <v>1500000</v>
      </c>
      <c r="E31" s="199" t="s">
        <v>402</v>
      </c>
      <c r="F31" s="151">
        <v>2900000</v>
      </c>
      <c r="G31" s="49" t="s">
        <v>396</v>
      </c>
    </row>
    <row r="32" spans="1:9" ht="43.5">
      <c r="B32" s="49" t="s">
        <v>81</v>
      </c>
      <c r="C32" s="152">
        <v>43833</v>
      </c>
      <c r="D32" s="153">
        <v>500000</v>
      </c>
      <c r="E32" s="199"/>
      <c r="F32" s="151">
        <v>150000</v>
      </c>
      <c r="G32" s="134" t="s">
        <v>397</v>
      </c>
    </row>
    <row r="33" spans="2:7">
      <c r="B33" s="49" t="s">
        <v>81</v>
      </c>
      <c r="C33" s="152">
        <v>43843</v>
      </c>
      <c r="D33" s="153">
        <v>400000</v>
      </c>
      <c r="E33" s="199"/>
      <c r="F33" s="151"/>
      <c r="G33" s="49"/>
    </row>
    <row r="34" spans="2:7">
      <c r="B34" s="49" t="s">
        <v>81</v>
      </c>
      <c r="C34" s="152">
        <v>43844</v>
      </c>
      <c r="D34" s="153">
        <v>500000</v>
      </c>
      <c r="E34" s="199"/>
      <c r="F34" s="151">
        <f>SUM(F30:F33)</f>
        <v>4460070</v>
      </c>
      <c r="G34" s="49"/>
    </row>
    <row r="35" spans="2:7">
      <c r="B35" s="49" t="s">
        <v>81</v>
      </c>
      <c r="C35" s="152">
        <v>43847</v>
      </c>
      <c r="D35" s="153">
        <v>100000</v>
      </c>
      <c r="E35" s="199"/>
      <c r="F35" s="167"/>
      <c r="G35" s="103"/>
    </row>
    <row r="36" spans="2:7">
      <c r="B36" s="200"/>
      <c r="C36" s="200"/>
      <c r="D36" s="154">
        <f>SUM(D30:D35)</f>
        <v>4000000</v>
      </c>
      <c r="E36" s="161"/>
      <c r="F36" s="167"/>
      <c r="G36" s="103"/>
    </row>
    <row r="37" spans="2:7">
      <c r="B37" s="150" t="s">
        <v>261</v>
      </c>
      <c r="C37" s="155">
        <v>45382</v>
      </c>
      <c r="D37" s="156">
        <v>1751481</v>
      </c>
      <c r="E37" s="162" t="s">
        <v>556</v>
      </c>
      <c r="F37" s="167" t="s">
        <v>564</v>
      </c>
      <c r="G37" s="168">
        <f>D46-F34</f>
        <v>2611411</v>
      </c>
    </row>
    <row r="38" spans="2:7">
      <c r="B38" s="201" t="s">
        <v>560</v>
      </c>
      <c r="C38" s="201"/>
      <c r="D38" s="156">
        <f>D36+D37</f>
        <v>5751481</v>
      </c>
      <c r="E38" s="162"/>
      <c r="F38" s="167"/>
      <c r="G38" s="103"/>
    </row>
    <row r="39" spans="2:7" ht="29">
      <c r="B39" s="49" t="s">
        <v>554</v>
      </c>
      <c r="C39" s="155">
        <v>43920</v>
      </c>
      <c r="D39" s="151">
        <v>500000</v>
      </c>
      <c r="E39" s="162" t="s">
        <v>555</v>
      </c>
      <c r="F39" s="167"/>
      <c r="G39" s="103"/>
    </row>
    <row r="40" spans="2:7">
      <c r="B40" s="49" t="s">
        <v>261</v>
      </c>
      <c r="C40" s="155">
        <v>45382</v>
      </c>
      <c r="D40" s="151">
        <v>240000</v>
      </c>
      <c r="E40" s="162" t="s">
        <v>556</v>
      </c>
      <c r="F40" s="167"/>
      <c r="G40" s="103"/>
    </row>
    <row r="41" spans="2:7">
      <c r="B41" s="49" t="s">
        <v>554</v>
      </c>
      <c r="C41" s="155">
        <v>43920</v>
      </c>
      <c r="D41" s="151">
        <v>30000</v>
      </c>
      <c r="E41" s="162" t="s">
        <v>557</v>
      </c>
      <c r="F41" s="167"/>
      <c r="G41" s="103"/>
    </row>
    <row r="42" spans="2:7">
      <c r="B42" s="200" t="s">
        <v>561</v>
      </c>
      <c r="C42" s="200"/>
      <c r="D42" s="151">
        <f>SUM(D39:D41)</f>
        <v>770000</v>
      </c>
      <c r="E42" s="162"/>
      <c r="F42" s="167"/>
      <c r="G42" s="103"/>
    </row>
    <row r="43" spans="2:7" ht="29">
      <c r="B43" s="49" t="s">
        <v>558</v>
      </c>
      <c r="C43" s="155">
        <v>45231</v>
      </c>
      <c r="D43" s="151">
        <v>500000</v>
      </c>
      <c r="E43" s="162" t="s">
        <v>563</v>
      </c>
      <c r="F43" s="167"/>
      <c r="G43" s="103"/>
    </row>
    <row r="44" spans="2:7" ht="29">
      <c r="B44" s="49" t="s">
        <v>261</v>
      </c>
      <c r="C44" s="155">
        <v>45606</v>
      </c>
      <c r="D44" s="151">
        <f>D43*2%*5</f>
        <v>50000</v>
      </c>
      <c r="E44" s="162" t="s">
        <v>559</v>
      </c>
      <c r="F44" s="167"/>
      <c r="G44" s="103"/>
    </row>
    <row r="45" spans="2:7">
      <c r="B45" s="200" t="s">
        <v>562</v>
      </c>
      <c r="C45" s="200"/>
      <c r="D45" s="154">
        <f>SUM(D43:D44)</f>
        <v>550000</v>
      </c>
      <c r="E45" s="162"/>
      <c r="F45" s="167"/>
      <c r="G45" s="103"/>
    </row>
    <row r="46" spans="2:7">
      <c r="B46" s="196" t="s">
        <v>171</v>
      </c>
      <c r="C46" s="196"/>
      <c r="D46" s="169">
        <f>D38+D42+D45</f>
        <v>7071481</v>
      </c>
      <c r="E46" s="167"/>
      <c r="F46" s="167"/>
      <c r="G46" s="103"/>
    </row>
    <row r="47" spans="2:7">
      <c r="F47" s="147"/>
      <c r="G47"/>
    </row>
    <row r="48" spans="2:7">
      <c r="F48" s="147"/>
      <c r="G48"/>
    </row>
    <row r="49" spans="6:7">
      <c r="F49" s="147"/>
      <c r="G49"/>
    </row>
    <row r="50" spans="6:7">
      <c r="F50" s="147"/>
      <c r="G50"/>
    </row>
    <row r="51" spans="6:7">
      <c r="F51" s="147"/>
      <c r="G51"/>
    </row>
  </sheetData>
  <mergeCells count="9">
    <mergeCell ref="B1:E1"/>
    <mergeCell ref="B28:E28"/>
    <mergeCell ref="B46:C46"/>
    <mergeCell ref="F28:G28"/>
    <mergeCell ref="E31:E35"/>
    <mergeCell ref="B36:C36"/>
    <mergeCell ref="B38:C38"/>
    <mergeCell ref="B42:C42"/>
    <mergeCell ref="B45:C45"/>
  </mergeCells>
  <pageMargins left="0.7" right="0.7" top="0.75" bottom="0.75" header="0.3" footer="0.3"/>
  <pageSetup scale="8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108E2-C8A4-4211-BA2D-8FB2BF107674}">
  <dimension ref="A1:J22"/>
  <sheetViews>
    <sheetView workbookViewId="0">
      <selection activeCell="C9" sqref="C9"/>
    </sheetView>
  </sheetViews>
  <sheetFormatPr defaultRowHeight="14.5"/>
  <cols>
    <col min="1" max="1" width="11.26953125" bestFit="1" customWidth="1"/>
    <col min="2" max="2" width="13.26953125" bestFit="1" customWidth="1"/>
    <col min="3" max="3" width="9.6328125" style="38" bestFit="1" customWidth="1"/>
    <col min="4" max="4" width="10.08984375" style="20" bestFit="1" customWidth="1"/>
    <col min="6" max="6" width="13.81640625" style="38" bestFit="1" customWidth="1"/>
    <col min="7" max="7" width="10.26953125" bestFit="1" customWidth="1"/>
    <col min="8" max="8" width="11" bestFit="1" customWidth="1"/>
    <col min="9" max="9" width="9.26953125" bestFit="1" customWidth="1"/>
  </cols>
  <sheetData>
    <row r="1" spans="1:10">
      <c r="A1" s="115" t="s">
        <v>368</v>
      </c>
      <c r="B1" s="115" t="s">
        <v>369</v>
      </c>
      <c r="C1" s="116" t="s">
        <v>1</v>
      </c>
      <c r="D1" s="117" t="s">
        <v>370</v>
      </c>
      <c r="E1" s="115" t="s">
        <v>371</v>
      </c>
      <c r="F1" s="116" t="s">
        <v>373</v>
      </c>
      <c r="G1" s="116" t="s">
        <v>383</v>
      </c>
      <c r="H1" s="116" t="s">
        <v>382</v>
      </c>
    </row>
    <row r="2" spans="1:10">
      <c r="A2" s="49" t="s">
        <v>49</v>
      </c>
      <c r="B2" s="49" t="s">
        <v>9</v>
      </c>
      <c r="C2" s="48">
        <v>273000</v>
      </c>
      <c r="D2" s="47">
        <v>45348</v>
      </c>
      <c r="E2" s="49" t="s">
        <v>372</v>
      </c>
      <c r="F2" s="48">
        <v>105184</v>
      </c>
      <c r="G2" s="48">
        <f>IF(F2=0,0,F2-C2)</f>
        <v>-167816</v>
      </c>
      <c r="H2" s="48">
        <f t="shared" ref="H2:H9" si="0">F2*$J$5/100</f>
        <v>2482.3424</v>
      </c>
      <c r="I2" s="39">
        <f t="shared" ref="I2:I19" si="1">G2+H2</f>
        <v>-165333.65760000001</v>
      </c>
    </row>
    <row r="3" spans="1:10">
      <c r="A3" s="49" t="s">
        <v>49</v>
      </c>
      <c r="B3" s="49" t="s">
        <v>377</v>
      </c>
      <c r="C3" s="48">
        <v>25000</v>
      </c>
      <c r="D3" s="47">
        <v>45351</v>
      </c>
      <c r="E3" s="49" t="s">
        <v>372</v>
      </c>
      <c r="F3" s="48">
        <v>14100</v>
      </c>
      <c r="G3" s="48">
        <f t="shared" ref="G3:G9" si="2">IF(F3=0,0,C3-F3)</f>
        <v>10900</v>
      </c>
      <c r="H3" s="48">
        <f t="shared" si="0"/>
        <v>332.76</v>
      </c>
      <c r="I3" s="39">
        <f t="shared" si="1"/>
        <v>11232.76</v>
      </c>
      <c r="J3">
        <v>2</v>
      </c>
    </row>
    <row r="4" spans="1:10">
      <c r="A4" s="49" t="s">
        <v>49</v>
      </c>
      <c r="B4" s="49" t="s">
        <v>268</v>
      </c>
      <c r="C4" s="48">
        <v>20000</v>
      </c>
      <c r="D4" s="47">
        <v>45359</v>
      </c>
      <c r="E4" s="49" t="s">
        <v>372</v>
      </c>
      <c r="F4" s="48">
        <v>20000</v>
      </c>
      <c r="G4" s="48">
        <f t="shared" si="2"/>
        <v>0</v>
      </c>
      <c r="H4" s="48">
        <f t="shared" si="0"/>
        <v>472</v>
      </c>
      <c r="I4" s="39">
        <f t="shared" si="1"/>
        <v>472</v>
      </c>
      <c r="J4">
        <f>J3*0.18</f>
        <v>0.36</v>
      </c>
    </row>
    <row r="5" spans="1:10">
      <c r="A5" s="49" t="s">
        <v>49</v>
      </c>
      <c r="B5" s="49" t="s">
        <v>374</v>
      </c>
      <c r="C5" s="48">
        <v>69000</v>
      </c>
      <c r="D5" s="47">
        <v>45355</v>
      </c>
      <c r="E5" s="49" t="s">
        <v>372</v>
      </c>
      <c r="F5" s="48">
        <v>44500</v>
      </c>
      <c r="G5" s="48">
        <f t="shared" si="2"/>
        <v>24500</v>
      </c>
      <c r="H5" s="48">
        <f t="shared" si="0"/>
        <v>1050.2</v>
      </c>
      <c r="I5" s="39">
        <f t="shared" si="1"/>
        <v>25550.2</v>
      </c>
      <c r="J5">
        <f>SUM(J3:J4)</f>
        <v>2.36</v>
      </c>
    </row>
    <row r="6" spans="1:10">
      <c r="A6" s="49" t="s">
        <v>49</v>
      </c>
      <c r="B6" s="49" t="s">
        <v>16</v>
      </c>
      <c r="C6" s="48">
        <v>78000</v>
      </c>
      <c r="D6" s="47">
        <v>45359</v>
      </c>
      <c r="E6" s="49"/>
      <c r="F6" s="48"/>
      <c r="G6" s="48">
        <f t="shared" si="2"/>
        <v>0</v>
      </c>
      <c r="H6" s="48">
        <f t="shared" si="0"/>
        <v>0</v>
      </c>
      <c r="I6" s="39">
        <f t="shared" si="1"/>
        <v>0</v>
      </c>
    </row>
    <row r="7" spans="1:10">
      <c r="A7" s="49" t="s">
        <v>49</v>
      </c>
      <c r="B7" s="49" t="s">
        <v>375</v>
      </c>
      <c r="C7" s="48">
        <v>121000</v>
      </c>
      <c r="D7" s="47">
        <v>45361</v>
      </c>
      <c r="E7" s="49" t="s">
        <v>372</v>
      </c>
      <c r="F7" s="48">
        <v>72000</v>
      </c>
      <c r="G7" s="48">
        <f t="shared" si="2"/>
        <v>49000</v>
      </c>
      <c r="H7" s="48">
        <f t="shared" si="0"/>
        <v>1699.2</v>
      </c>
      <c r="I7" s="39">
        <f t="shared" si="1"/>
        <v>50699.199999999997</v>
      </c>
    </row>
    <row r="8" spans="1:10">
      <c r="A8" s="49" t="s">
        <v>49</v>
      </c>
      <c r="B8" s="49" t="s">
        <v>376</v>
      </c>
      <c r="C8" s="48">
        <v>75000</v>
      </c>
      <c r="D8" s="47">
        <v>45361</v>
      </c>
      <c r="E8" s="49"/>
      <c r="F8" s="48"/>
      <c r="G8" s="48">
        <f t="shared" si="2"/>
        <v>0</v>
      </c>
      <c r="H8" s="48">
        <f t="shared" si="0"/>
        <v>0</v>
      </c>
      <c r="I8" s="39">
        <f t="shared" si="1"/>
        <v>0</v>
      </c>
    </row>
    <row r="9" spans="1:10">
      <c r="A9" s="49" t="s">
        <v>49</v>
      </c>
      <c r="B9" s="49" t="s">
        <v>227</v>
      </c>
      <c r="C9" s="48">
        <v>121000</v>
      </c>
      <c r="D9" s="47">
        <v>45366</v>
      </c>
      <c r="E9" s="49"/>
      <c r="F9" s="48"/>
      <c r="G9" s="48">
        <f t="shared" si="2"/>
        <v>0</v>
      </c>
      <c r="H9" s="48">
        <f t="shared" si="0"/>
        <v>0</v>
      </c>
      <c r="I9" s="39">
        <f t="shared" si="1"/>
        <v>0</v>
      </c>
    </row>
    <row r="10" spans="1:10">
      <c r="A10" s="49"/>
      <c r="B10" s="49"/>
      <c r="C10" s="48">
        <f>SUM(C2:C9)</f>
        <v>782000</v>
      </c>
      <c r="D10" s="47"/>
      <c r="E10" s="49"/>
      <c r="F10" s="48"/>
      <c r="G10" s="48"/>
      <c r="H10" s="48"/>
      <c r="I10" s="39"/>
    </row>
    <row r="11" spans="1:10">
      <c r="A11" s="49"/>
      <c r="B11" s="49"/>
      <c r="C11" s="48"/>
      <c r="D11" s="47"/>
      <c r="E11" s="49"/>
      <c r="F11" s="48"/>
      <c r="G11" s="48"/>
      <c r="H11" s="48"/>
      <c r="I11" s="39"/>
    </row>
    <row r="12" spans="1:10">
      <c r="A12" s="49"/>
      <c r="B12" s="49"/>
      <c r="C12" s="48"/>
      <c r="D12" s="47"/>
      <c r="E12" s="49"/>
      <c r="F12" s="48"/>
      <c r="G12" s="48"/>
      <c r="H12" s="48"/>
      <c r="I12" s="39"/>
    </row>
    <row r="13" spans="1:10">
      <c r="A13" s="49" t="s">
        <v>83</v>
      </c>
      <c r="B13" s="49" t="s">
        <v>270</v>
      </c>
      <c r="C13" s="48">
        <v>375000</v>
      </c>
      <c r="D13" s="47">
        <v>45351</v>
      </c>
      <c r="E13" s="49" t="s">
        <v>372</v>
      </c>
      <c r="F13" s="48">
        <v>375000</v>
      </c>
      <c r="G13" s="48">
        <f t="shared" ref="G13:G19" si="3">IF(F13=0,0,C13-F13)</f>
        <v>0</v>
      </c>
      <c r="H13" s="48">
        <f t="shared" ref="H13:H19" si="4">F13*$J$5/100</f>
        <v>8850</v>
      </c>
      <c r="I13" s="39">
        <f t="shared" si="1"/>
        <v>8850</v>
      </c>
    </row>
    <row r="14" spans="1:10">
      <c r="A14" s="49" t="s">
        <v>83</v>
      </c>
      <c r="B14" s="49" t="s">
        <v>9</v>
      </c>
      <c r="C14" s="48">
        <v>520288</v>
      </c>
      <c r="D14" s="47">
        <v>45358</v>
      </c>
      <c r="E14" s="49"/>
      <c r="F14" s="48">
        <v>508000</v>
      </c>
      <c r="G14" s="48">
        <f t="shared" si="3"/>
        <v>12288</v>
      </c>
      <c r="H14" s="48">
        <f t="shared" si="4"/>
        <v>11988.8</v>
      </c>
      <c r="I14" s="39">
        <f t="shared" si="1"/>
        <v>24276.799999999999</v>
      </c>
    </row>
    <row r="15" spans="1:10">
      <c r="A15" s="49" t="s">
        <v>96</v>
      </c>
      <c r="B15" s="49" t="s">
        <v>268</v>
      </c>
      <c r="C15" s="48">
        <v>138989</v>
      </c>
      <c r="D15" s="47">
        <v>45353</v>
      </c>
      <c r="E15" s="49" t="s">
        <v>372</v>
      </c>
      <c r="F15" s="48">
        <v>138400</v>
      </c>
      <c r="G15" s="48">
        <f t="shared" si="3"/>
        <v>589</v>
      </c>
      <c r="H15" s="48">
        <f t="shared" si="4"/>
        <v>3266.24</v>
      </c>
      <c r="I15" s="39">
        <f t="shared" si="1"/>
        <v>3855.24</v>
      </c>
    </row>
    <row r="16" spans="1:10">
      <c r="A16" s="49" t="s">
        <v>96</v>
      </c>
      <c r="B16" s="49" t="s">
        <v>215</v>
      </c>
      <c r="C16" s="48">
        <v>245771</v>
      </c>
      <c r="D16" s="47">
        <v>45361</v>
      </c>
      <c r="E16" s="49"/>
      <c r="F16" s="48">
        <v>232780</v>
      </c>
      <c r="G16" s="48">
        <f t="shared" si="3"/>
        <v>12991</v>
      </c>
      <c r="H16" s="48">
        <f t="shared" si="4"/>
        <v>5493.6079999999993</v>
      </c>
      <c r="I16" s="39">
        <f t="shared" si="1"/>
        <v>18484.608</v>
      </c>
    </row>
    <row r="17" spans="1:9">
      <c r="A17" s="49" t="s">
        <v>96</v>
      </c>
      <c r="B17" s="49" t="s">
        <v>16</v>
      </c>
      <c r="C17" s="48">
        <v>93575</v>
      </c>
      <c r="D17" s="47">
        <v>45359</v>
      </c>
      <c r="E17" s="49"/>
      <c r="F17" s="48"/>
      <c r="G17" s="48">
        <f t="shared" si="3"/>
        <v>0</v>
      </c>
      <c r="H17" s="48">
        <f t="shared" si="4"/>
        <v>0</v>
      </c>
      <c r="I17" s="39">
        <f t="shared" si="1"/>
        <v>0</v>
      </c>
    </row>
    <row r="18" spans="1:9">
      <c r="A18" s="49" t="s">
        <v>96</v>
      </c>
      <c r="B18" s="49" t="s">
        <v>9</v>
      </c>
      <c r="C18" s="48">
        <v>303648</v>
      </c>
      <c r="D18" s="47">
        <v>45360</v>
      </c>
      <c r="E18" s="49"/>
      <c r="F18" s="48"/>
      <c r="G18" s="48">
        <f t="shared" si="3"/>
        <v>0</v>
      </c>
      <c r="H18" s="48">
        <f t="shared" si="4"/>
        <v>0</v>
      </c>
      <c r="I18" s="39">
        <f t="shared" si="1"/>
        <v>0</v>
      </c>
    </row>
    <row r="19" spans="1:9">
      <c r="A19" s="49" t="s">
        <v>96</v>
      </c>
      <c r="B19" s="49" t="s">
        <v>333</v>
      </c>
      <c r="C19" s="48">
        <v>18270</v>
      </c>
      <c r="D19" s="47">
        <v>45371</v>
      </c>
      <c r="E19" s="49"/>
      <c r="F19" s="48"/>
      <c r="G19" s="48">
        <f t="shared" si="3"/>
        <v>0</v>
      </c>
      <c r="H19" s="48">
        <f t="shared" si="4"/>
        <v>0</v>
      </c>
      <c r="I19" s="39">
        <f t="shared" si="1"/>
        <v>0</v>
      </c>
    </row>
    <row r="20" spans="1:9">
      <c r="C20" s="38">
        <f>SUM(C2:C19)</f>
        <v>3259541</v>
      </c>
      <c r="F20" s="38">
        <f>SUM(F1:F19)</f>
        <v>1509964</v>
      </c>
      <c r="G20" s="39">
        <f>SUM(G2:G19)</f>
        <v>-57548</v>
      </c>
      <c r="H20" s="39">
        <f>SUM(H2:H19)</f>
        <v>35635.150399999999</v>
      </c>
      <c r="I20" s="39">
        <f>SUM(I2:I19)</f>
        <v>-21912.849600000001</v>
      </c>
    </row>
    <row r="22" spans="1:9">
      <c r="A22" s="103" t="s">
        <v>178</v>
      </c>
      <c r="B22" s="39">
        <f>C20-F20</f>
        <v>1749577</v>
      </c>
      <c r="C22" s="38">
        <f>B22*J5/100</f>
        <v>41290.017199999995</v>
      </c>
    </row>
  </sheetData>
  <sortState xmlns:xlrd2="http://schemas.microsoft.com/office/spreadsheetml/2017/richdata2" ref="A2:H19">
    <sortCondition ref="A1:A19"/>
  </sortState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62249-8CCE-4EDD-96E7-587D418BF26D}">
  <dimension ref="A2:O20"/>
  <sheetViews>
    <sheetView workbookViewId="0">
      <selection activeCell="J22" sqref="J22"/>
    </sheetView>
  </sheetViews>
  <sheetFormatPr defaultRowHeight="14.5"/>
  <cols>
    <col min="1" max="1" width="19" bestFit="1" customWidth="1"/>
    <col min="2" max="2" width="11.1796875" style="38" bestFit="1" customWidth="1"/>
    <col min="4" max="4" width="15" bestFit="1" customWidth="1"/>
    <col min="5" max="5" width="11.1796875" style="38" bestFit="1" customWidth="1"/>
    <col min="7" max="7" width="11" bestFit="1" customWidth="1"/>
    <col min="8" max="8" width="11.1796875" style="38" bestFit="1" customWidth="1"/>
    <col min="9" max="9" width="8.453125" bestFit="1" customWidth="1"/>
    <col min="15" max="15" width="9.7265625" bestFit="1" customWidth="1"/>
  </cols>
  <sheetData>
    <row r="2" spans="1:15">
      <c r="A2" t="s">
        <v>235</v>
      </c>
      <c r="D2" t="s">
        <v>456</v>
      </c>
    </row>
    <row r="3" spans="1:15">
      <c r="A3" s="58" t="s">
        <v>101</v>
      </c>
      <c r="B3" s="59" t="s">
        <v>1</v>
      </c>
      <c r="D3" s="58" t="s">
        <v>101</v>
      </c>
      <c r="E3" s="59" t="s">
        <v>1</v>
      </c>
      <c r="G3" s="2" t="s">
        <v>0</v>
      </c>
      <c r="H3" s="2" t="s">
        <v>2</v>
      </c>
      <c r="I3" s="2" t="s">
        <v>3</v>
      </c>
    </row>
    <row r="4" spans="1:15">
      <c r="A4" s="49" t="s">
        <v>74</v>
      </c>
      <c r="B4" s="48">
        <f>H14</f>
        <v>183064</v>
      </c>
      <c r="D4" t="s">
        <v>384</v>
      </c>
      <c r="E4" s="38">
        <v>84000</v>
      </c>
      <c r="G4" s="2" t="s">
        <v>461</v>
      </c>
      <c r="H4" s="2"/>
      <c r="I4" s="118">
        <v>45352</v>
      </c>
      <c r="L4" t="s">
        <v>178</v>
      </c>
      <c r="M4">
        <v>162303</v>
      </c>
      <c r="O4" s="48">
        <v>65201</v>
      </c>
    </row>
    <row r="5" spans="1:15">
      <c r="A5" s="49" t="s">
        <v>103</v>
      </c>
      <c r="B5">
        <v>71836</v>
      </c>
      <c r="D5" t="s">
        <v>313</v>
      </c>
      <c r="E5" s="38">
        <v>200000</v>
      </c>
      <c r="G5" s="49" t="s">
        <v>16</v>
      </c>
      <c r="H5" s="48"/>
      <c r="I5" s="118">
        <v>45352</v>
      </c>
      <c r="J5" s="39">
        <f>H5</f>
        <v>0</v>
      </c>
      <c r="M5">
        <v>98000</v>
      </c>
      <c r="O5" s="48">
        <v>24230</v>
      </c>
    </row>
    <row r="6" spans="1:15">
      <c r="A6" s="49" t="s">
        <v>104</v>
      </c>
      <c r="B6" s="48">
        <v>35000</v>
      </c>
      <c r="D6" t="s">
        <v>174</v>
      </c>
      <c r="E6" s="38">
        <v>225000</v>
      </c>
      <c r="G6" s="49" t="s">
        <v>12</v>
      </c>
      <c r="H6" s="48"/>
      <c r="I6" s="118">
        <v>45353</v>
      </c>
      <c r="J6" s="191">
        <f>SUM(H6:H7)</f>
        <v>0</v>
      </c>
      <c r="M6">
        <v>43000</v>
      </c>
      <c r="O6" s="48">
        <v>32427</v>
      </c>
    </row>
    <row r="7" spans="1:15">
      <c r="A7" s="49" t="s">
        <v>112</v>
      </c>
      <c r="B7" s="48">
        <v>37000</v>
      </c>
      <c r="D7" t="s">
        <v>457</v>
      </c>
      <c r="E7" s="38">
        <v>19400</v>
      </c>
      <c r="G7" s="49" t="s">
        <v>378</v>
      </c>
      <c r="H7" s="48"/>
      <c r="I7" s="118">
        <v>45353</v>
      </c>
      <c r="J7" s="192"/>
      <c r="M7">
        <f>SUM(M4:M6)</f>
        <v>303303</v>
      </c>
      <c r="O7" s="128">
        <v>10000</v>
      </c>
    </row>
    <row r="8" spans="1:15">
      <c r="A8" s="49" t="s">
        <v>123</v>
      </c>
      <c r="B8" s="48">
        <v>24000</v>
      </c>
      <c r="D8" t="s">
        <v>463</v>
      </c>
      <c r="E8" s="38">
        <v>20000</v>
      </c>
      <c r="G8" s="49" t="s">
        <v>13</v>
      </c>
      <c r="H8" s="48">
        <v>43485</v>
      </c>
      <c r="I8" s="118">
        <v>45355</v>
      </c>
      <c r="J8" s="39">
        <f>H8</f>
        <v>43485</v>
      </c>
      <c r="K8" s="38"/>
    </row>
    <row r="9" spans="1:15">
      <c r="A9" s="101" t="s">
        <v>338</v>
      </c>
      <c r="B9" s="102">
        <v>60000</v>
      </c>
      <c r="D9" t="s">
        <v>464</v>
      </c>
      <c r="E9" s="38">
        <v>27300</v>
      </c>
      <c r="G9" s="49" t="s">
        <v>10</v>
      </c>
      <c r="H9" s="48">
        <v>41951</v>
      </c>
      <c r="I9" s="118">
        <v>45356</v>
      </c>
      <c r="J9" s="191">
        <f>SUM(H9:H10)</f>
        <v>41951</v>
      </c>
      <c r="O9" s="39">
        <f>SUM(O4:O8)</f>
        <v>131858</v>
      </c>
    </row>
    <row r="10" spans="1:15">
      <c r="A10" s="101" t="s">
        <v>407</v>
      </c>
      <c r="B10" s="38">
        <f>22500+22500</f>
        <v>45000</v>
      </c>
      <c r="G10" s="49" t="s">
        <v>11</v>
      </c>
      <c r="H10" s="48"/>
      <c r="I10" s="118">
        <v>45356</v>
      </c>
      <c r="J10" s="192"/>
    </row>
    <row r="11" spans="1:15">
      <c r="A11" s="101" t="s">
        <v>408</v>
      </c>
      <c r="B11" s="38">
        <v>10000</v>
      </c>
      <c r="E11"/>
      <c r="G11" s="49" t="s">
        <v>9</v>
      </c>
      <c r="H11" s="48">
        <v>65201</v>
      </c>
      <c r="I11" s="118">
        <v>45358</v>
      </c>
      <c r="J11" s="191">
        <f>SUM(H11:H12)</f>
        <v>65201</v>
      </c>
      <c r="K11" s="39"/>
    </row>
    <row r="12" spans="1:15">
      <c r="A12" s="103" t="s">
        <v>458</v>
      </c>
      <c r="B12" s="38">
        <v>10000</v>
      </c>
      <c r="G12" s="49" t="s">
        <v>15</v>
      </c>
      <c r="H12" s="48"/>
      <c r="I12" s="118">
        <v>45358</v>
      </c>
      <c r="J12" s="192"/>
      <c r="M12" s="39">
        <f>M7-O9</f>
        <v>171445</v>
      </c>
    </row>
    <row r="13" spans="1:15">
      <c r="A13" s="103" t="s">
        <v>462</v>
      </c>
      <c r="B13" s="38">
        <v>20000</v>
      </c>
      <c r="G13" s="49" t="s">
        <v>14</v>
      </c>
      <c r="H13" s="48">
        <v>32427</v>
      </c>
      <c r="I13" s="118">
        <v>45361</v>
      </c>
      <c r="J13" s="39">
        <f>H13</f>
        <v>32427</v>
      </c>
      <c r="M13">
        <v>225000</v>
      </c>
    </row>
    <row r="14" spans="1:15">
      <c r="A14" s="103"/>
      <c r="H14" s="38">
        <f>SUM(H4:H13)</f>
        <v>183064</v>
      </c>
      <c r="M14" s="39">
        <f>SUM(M12:M13)</f>
        <v>396445</v>
      </c>
    </row>
    <row r="15" spans="1:15">
      <c r="A15" s="103"/>
    </row>
    <row r="18" spans="1:5">
      <c r="B18" s="38">
        <f>SUM(B4:B17)</f>
        <v>495900</v>
      </c>
      <c r="E18" s="38">
        <f>SUM(E4:E17)</f>
        <v>575700</v>
      </c>
    </row>
    <row r="20" spans="1:5">
      <c r="A20" t="s">
        <v>345</v>
      </c>
      <c r="B20" s="38">
        <f>B18-E18</f>
        <v>-79800</v>
      </c>
    </row>
  </sheetData>
  <mergeCells count="3">
    <mergeCell ref="J6:J7"/>
    <mergeCell ref="J9:J10"/>
    <mergeCell ref="J11:J1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F256F-ED6E-4EB2-A054-3BF7D214783D}">
  <dimension ref="A2:H23"/>
  <sheetViews>
    <sheetView zoomScale="104" workbookViewId="0">
      <selection activeCell="C9" sqref="C9"/>
    </sheetView>
  </sheetViews>
  <sheetFormatPr defaultRowHeight="14.5"/>
  <cols>
    <col min="1" max="1" width="24" customWidth="1"/>
    <col min="2" max="2" width="50" customWidth="1"/>
    <col min="3" max="3" width="12.1796875" style="38" bestFit="1" customWidth="1"/>
    <col min="4" max="4" width="17.6328125" bestFit="1" customWidth="1"/>
    <col min="5" max="5" width="19" bestFit="1" customWidth="1"/>
    <col min="6" max="6" width="71.54296875" bestFit="1" customWidth="1"/>
    <col min="7" max="7" width="19" style="38" bestFit="1" customWidth="1"/>
    <col min="9" max="9" width="8.453125" bestFit="1" customWidth="1"/>
    <col min="10" max="10" width="99.26953125" bestFit="1" customWidth="1"/>
  </cols>
  <sheetData>
    <row r="2" spans="1:7">
      <c r="A2" t="s">
        <v>412</v>
      </c>
      <c r="B2" t="s">
        <v>178</v>
      </c>
      <c r="C2" s="38">
        <v>242805.54</v>
      </c>
      <c r="E2" t="s">
        <v>410</v>
      </c>
      <c r="F2" t="s">
        <v>411</v>
      </c>
      <c r="G2" s="38">
        <v>10000</v>
      </c>
    </row>
    <row r="3" spans="1:7">
      <c r="A3" t="s">
        <v>419</v>
      </c>
      <c r="B3" t="s">
        <v>420</v>
      </c>
      <c r="C3" s="38">
        <v>9664.7099999999991</v>
      </c>
      <c r="E3" t="s">
        <v>413</v>
      </c>
      <c r="F3" t="s">
        <v>414</v>
      </c>
      <c r="G3" s="38">
        <v>3000</v>
      </c>
    </row>
    <row r="4" spans="1:7">
      <c r="A4" t="s">
        <v>428</v>
      </c>
      <c r="B4" t="s">
        <v>430</v>
      </c>
      <c r="C4" s="38">
        <v>121019.7</v>
      </c>
      <c r="E4" t="s">
        <v>415</v>
      </c>
      <c r="F4" t="s">
        <v>416</v>
      </c>
      <c r="G4" s="38">
        <v>100000</v>
      </c>
    </row>
    <row r="5" spans="1:7">
      <c r="A5" t="s">
        <v>433</v>
      </c>
      <c r="B5" t="s">
        <v>434</v>
      </c>
      <c r="C5" s="38">
        <v>95008.82</v>
      </c>
      <c r="E5" t="s">
        <v>417</v>
      </c>
      <c r="F5" t="s">
        <v>418</v>
      </c>
      <c r="G5" s="38">
        <v>10000</v>
      </c>
    </row>
    <row r="6" spans="1:7">
      <c r="A6" t="s">
        <v>440</v>
      </c>
      <c r="B6" t="s">
        <v>441</v>
      </c>
      <c r="C6" s="38">
        <v>97750.14</v>
      </c>
      <c r="E6" t="s">
        <v>421</v>
      </c>
      <c r="F6" t="s">
        <v>422</v>
      </c>
      <c r="G6" s="38">
        <v>20000</v>
      </c>
    </row>
    <row r="7" spans="1:7">
      <c r="A7" t="s">
        <v>442</v>
      </c>
      <c r="B7" t="s">
        <v>443</v>
      </c>
      <c r="C7" s="38">
        <v>103956.6</v>
      </c>
      <c r="E7" t="s">
        <v>423</v>
      </c>
      <c r="F7" t="s">
        <v>424</v>
      </c>
      <c r="G7" s="38">
        <v>14000</v>
      </c>
    </row>
    <row r="8" spans="1:7">
      <c r="A8" t="s">
        <v>448</v>
      </c>
      <c r="B8" t="s">
        <v>449</v>
      </c>
      <c r="C8" s="38">
        <v>120492.98</v>
      </c>
      <c r="E8" t="s">
        <v>425</v>
      </c>
      <c r="F8" t="s">
        <v>426</v>
      </c>
      <c r="G8" s="38">
        <v>20000</v>
      </c>
    </row>
    <row r="9" spans="1:7">
      <c r="A9" t="s">
        <v>452</v>
      </c>
      <c r="B9" t="s">
        <v>453</v>
      </c>
      <c r="C9" s="38">
        <v>116810.54</v>
      </c>
      <c r="E9" t="s">
        <v>427</v>
      </c>
      <c r="F9" t="s">
        <v>455</v>
      </c>
      <c r="G9">
        <v>100</v>
      </c>
    </row>
    <row r="10" spans="1:7">
      <c r="E10" t="s">
        <v>427</v>
      </c>
      <c r="F10" t="s">
        <v>455</v>
      </c>
      <c r="G10">
        <v>9900</v>
      </c>
    </row>
    <row r="11" spans="1:7">
      <c r="C11" s="38">
        <f>SUM(C2:C10)</f>
        <v>907509.03</v>
      </c>
      <c r="E11" t="s">
        <v>428</v>
      </c>
      <c r="F11" t="s">
        <v>429</v>
      </c>
      <c r="G11" s="38">
        <v>10000</v>
      </c>
    </row>
    <row r="12" spans="1:7">
      <c r="E12" t="s">
        <v>431</v>
      </c>
      <c r="F12" t="s">
        <v>432</v>
      </c>
      <c r="G12" s="38">
        <v>11500</v>
      </c>
    </row>
    <row r="13" spans="1:7">
      <c r="E13" t="s">
        <v>433</v>
      </c>
      <c r="F13" t="s">
        <v>435</v>
      </c>
      <c r="G13" s="38">
        <v>6000</v>
      </c>
    </row>
    <row r="14" spans="1:7">
      <c r="E14" t="s">
        <v>436</v>
      </c>
      <c r="F14" t="s">
        <v>437</v>
      </c>
      <c r="G14" s="38">
        <v>20000</v>
      </c>
    </row>
    <row r="15" spans="1:7">
      <c r="A15" s="39"/>
      <c r="E15" t="s">
        <v>438</v>
      </c>
      <c r="F15" t="s">
        <v>439</v>
      </c>
      <c r="G15" s="38">
        <v>10000</v>
      </c>
    </row>
    <row r="16" spans="1:7">
      <c r="E16" t="s">
        <v>444</v>
      </c>
      <c r="F16" t="s">
        <v>445</v>
      </c>
      <c r="G16" s="38">
        <v>10000</v>
      </c>
    </row>
    <row r="17" spans="1:8">
      <c r="A17" t="s">
        <v>218</v>
      </c>
      <c r="B17">
        <v>907509.03</v>
      </c>
      <c r="E17" t="s">
        <v>446</v>
      </c>
      <c r="F17" t="s">
        <v>447</v>
      </c>
      <c r="G17" s="38">
        <v>102251</v>
      </c>
    </row>
    <row r="18" spans="1:8">
      <c r="A18" t="s">
        <v>459</v>
      </c>
      <c r="B18">
        <v>361751</v>
      </c>
      <c r="E18" t="s">
        <v>450</v>
      </c>
      <c r="F18" t="s">
        <v>451</v>
      </c>
      <c r="G18" s="38">
        <v>5000</v>
      </c>
      <c r="H18" s="39">
        <f>SUM(G2:G18)</f>
        <v>361751</v>
      </c>
    </row>
    <row r="19" spans="1:8">
      <c r="A19" t="s">
        <v>460</v>
      </c>
      <c r="B19" s="38">
        <v>341571.13</v>
      </c>
      <c r="E19" s="16">
        <v>45351</v>
      </c>
      <c r="F19" t="s">
        <v>454</v>
      </c>
      <c r="G19" s="38">
        <v>341571.13</v>
      </c>
    </row>
    <row r="20" spans="1:8">
      <c r="B20" s="38">
        <v>200000</v>
      </c>
    </row>
    <row r="21" spans="1:8">
      <c r="B21" s="38">
        <v>150000</v>
      </c>
      <c r="G21" s="38">
        <f>SUM(G2:G20)</f>
        <v>703322.13</v>
      </c>
    </row>
    <row r="23" spans="1:8">
      <c r="B23" s="39">
        <f>SUM(B19:B21)</f>
        <v>691571.13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ED5FC-0DFE-4699-A701-D6E81ED04E86}">
  <dimension ref="A1:P22"/>
  <sheetViews>
    <sheetView workbookViewId="0">
      <selection activeCell="K22" sqref="K22"/>
    </sheetView>
  </sheetViews>
  <sheetFormatPr defaultRowHeight="14.5"/>
  <cols>
    <col min="1" max="1" width="14.90625" bestFit="1" customWidth="1"/>
    <col min="2" max="2" width="8.81640625" bestFit="1" customWidth="1"/>
    <col min="4" max="4" width="15" bestFit="1" customWidth="1"/>
    <col min="7" max="7" width="10.08984375" bestFit="1" customWidth="1"/>
    <col min="8" max="8" width="9.7265625" bestFit="1" customWidth="1"/>
    <col min="11" max="11" width="10.81640625" bestFit="1" customWidth="1"/>
    <col min="12" max="13" width="9.7265625" bestFit="1" customWidth="1"/>
    <col min="15" max="15" width="18" bestFit="1" customWidth="1"/>
    <col min="16" max="16" width="8.6328125" bestFit="1" customWidth="1"/>
  </cols>
  <sheetData>
    <row r="1" spans="1:16">
      <c r="A1" s="206" t="s">
        <v>235</v>
      </c>
      <c r="B1" s="206"/>
      <c r="D1" s="195" t="s">
        <v>456</v>
      </c>
      <c r="E1" s="195"/>
    </row>
    <row r="2" spans="1:16">
      <c r="A2" s="58" t="s">
        <v>101</v>
      </c>
      <c r="B2" s="59" t="s">
        <v>1</v>
      </c>
      <c r="D2" s="58" t="s">
        <v>101</v>
      </c>
      <c r="E2" s="59" t="s">
        <v>1</v>
      </c>
      <c r="G2" t="s">
        <v>9</v>
      </c>
      <c r="H2" s="48">
        <v>65201</v>
      </c>
      <c r="K2" t="s">
        <v>471</v>
      </c>
      <c r="L2" s="48">
        <v>450000</v>
      </c>
      <c r="M2">
        <v>100000</v>
      </c>
      <c r="O2" t="s">
        <v>481</v>
      </c>
      <c r="P2" s="48">
        <v>100000</v>
      </c>
    </row>
    <row r="3" spans="1:16">
      <c r="A3" s="49" t="s">
        <v>74</v>
      </c>
      <c r="B3" s="48">
        <v>300000</v>
      </c>
      <c r="D3" s="1" t="s">
        <v>174</v>
      </c>
      <c r="E3" s="48">
        <v>625000</v>
      </c>
      <c r="G3" t="s">
        <v>469</v>
      </c>
      <c r="H3" s="48">
        <v>24230</v>
      </c>
      <c r="K3" t="s">
        <v>472</v>
      </c>
      <c r="L3" s="48">
        <v>350000</v>
      </c>
      <c r="M3">
        <v>100000</v>
      </c>
      <c r="O3" t="s">
        <v>479</v>
      </c>
      <c r="P3">
        <f>25000+32000</f>
        <v>57000</v>
      </c>
    </row>
    <row r="4" spans="1:16">
      <c r="A4" s="49" t="s">
        <v>103</v>
      </c>
      <c r="B4" s="1">
        <v>71836</v>
      </c>
      <c r="D4" s="1" t="s">
        <v>468</v>
      </c>
      <c r="E4" s="48">
        <v>180000</v>
      </c>
      <c r="G4" t="s">
        <v>14</v>
      </c>
      <c r="H4" s="48">
        <v>32427</v>
      </c>
      <c r="K4" t="s">
        <v>473</v>
      </c>
      <c r="L4" s="48">
        <v>13000</v>
      </c>
      <c r="M4" s="48">
        <v>13000</v>
      </c>
      <c r="O4" t="s">
        <v>482</v>
      </c>
      <c r="P4">
        <v>20000</v>
      </c>
    </row>
    <row r="5" spans="1:16">
      <c r="A5" s="49" t="s">
        <v>104</v>
      </c>
      <c r="B5" s="48">
        <v>35000</v>
      </c>
      <c r="D5" s="1" t="s">
        <v>384</v>
      </c>
      <c r="E5" s="48">
        <v>110000</v>
      </c>
      <c r="G5" s="49" t="s">
        <v>239</v>
      </c>
      <c r="H5" s="129">
        <v>24000</v>
      </c>
      <c r="K5" t="s">
        <v>474</v>
      </c>
      <c r="L5" s="48">
        <v>11000</v>
      </c>
      <c r="M5" s="48">
        <v>11000</v>
      </c>
      <c r="O5" t="s">
        <v>485</v>
      </c>
      <c r="P5">
        <v>200000</v>
      </c>
    </row>
    <row r="6" spans="1:16">
      <c r="A6" s="49" t="s">
        <v>112</v>
      </c>
      <c r="B6" s="48">
        <v>37000</v>
      </c>
      <c r="D6" s="1" t="s">
        <v>18</v>
      </c>
      <c r="E6" s="48">
        <f>SUM(E3:E5)</f>
        <v>915000</v>
      </c>
      <c r="G6" s="49" t="s">
        <v>465</v>
      </c>
      <c r="H6" s="129">
        <v>40000</v>
      </c>
      <c r="K6" t="s">
        <v>475</v>
      </c>
      <c r="L6" s="48">
        <v>28000</v>
      </c>
      <c r="M6" s="48">
        <v>28000</v>
      </c>
      <c r="O6" t="s">
        <v>486</v>
      </c>
      <c r="P6">
        <v>200000</v>
      </c>
    </row>
    <row r="7" spans="1:16">
      <c r="A7" s="49" t="s">
        <v>123</v>
      </c>
      <c r="B7" s="48">
        <v>24000</v>
      </c>
      <c r="G7" s="49" t="s">
        <v>466</v>
      </c>
      <c r="H7" s="129">
        <v>20000</v>
      </c>
      <c r="K7" t="s">
        <v>476</v>
      </c>
      <c r="L7" s="48">
        <v>25000</v>
      </c>
      <c r="M7" s="48">
        <v>25000</v>
      </c>
    </row>
    <row r="8" spans="1:16">
      <c r="A8" s="49" t="s">
        <v>338</v>
      </c>
      <c r="B8" s="121">
        <v>60000</v>
      </c>
      <c r="G8" s="130" t="s">
        <v>470</v>
      </c>
      <c r="H8" s="131">
        <v>10000</v>
      </c>
      <c r="K8" t="s">
        <v>477</v>
      </c>
      <c r="L8" s="48">
        <v>105000</v>
      </c>
      <c r="M8" s="48">
        <v>105000</v>
      </c>
    </row>
    <row r="9" spans="1:16">
      <c r="A9" s="49" t="s">
        <v>407</v>
      </c>
      <c r="B9" s="85">
        <v>22500</v>
      </c>
      <c r="G9" s="130" t="s">
        <v>84</v>
      </c>
      <c r="H9" s="131">
        <v>50000</v>
      </c>
      <c r="K9" t="s">
        <v>478</v>
      </c>
      <c r="L9" s="48">
        <v>20000</v>
      </c>
      <c r="M9" s="48">
        <v>20000</v>
      </c>
    </row>
    <row r="10" spans="1:16">
      <c r="A10" s="49" t="s">
        <v>109</v>
      </c>
      <c r="B10" s="85">
        <v>20000</v>
      </c>
      <c r="G10" s="49" t="s">
        <v>407</v>
      </c>
      <c r="H10" s="85">
        <v>22500</v>
      </c>
      <c r="K10" t="s">
        <v>480</v>
      </c>
      <c r="L10" s="102">
        <v>11000</v>
      </c>
      <c r="M10" s="102">
        <v>11000</v>
      </c>
    </row>
    <row r="11" spans="1:16">
      <c r="A11" s="56" t="s">
        <v>18</v>
      </c>
      <c r="B11" s="53">
        <f>SUM(B3:B10)</f>
        <v>570336</v>
      </c>
      <c r="G11" s="49" t="s">
        <v>109</v>
      </c>
      <c r="H11" s="85">
        <v>20000</v>
      </c>
      <c r="K11" t="s">
        <v>483</v>
      </c>
      <c r="L11" s="102">
        <v>10000</v>
      </c>
      <c r="M11" s="102">
        <v>10000</v>
      </c>
    </row>
    <row r="12" spans="1:16">
      <c r="A12" s="103"/>
      <c r="B12" s="38"/>
      <c r="G12" s="130" t="s">
        <v>467</v>
      </c>
      <c r="H12" s="39">
        <v>250000</v>
      </c>
      <c r="K12" t="s">
        <v>484</v>
      </c>
      <c r="L12" s="102">
        <v>20000</v>
      </c>
      <c r="M12" s="102">
        <v>20000</v>
      </c>
    </row>
    <row r="13" spans="1:16">
      <c r="A13" s="49" t="s">
        <v>341</v>
      </c>
      <c r="B13" s="129">
        <v>40000</v>
      </c>
      <c r="H13" s="39"/>
    </row>
    <row r="14" spans="1:16">
      <c r="A14" s="49" t="s">
        <v>409</v>
      </c>
      <c r="B14" s="129">
        <v>10000</v>
      </c>
      <c r="M14">
        <f>SUM(M2:M13)</f>
        <v>443000</v>
      </c>
      <c r="P14" s="39">
        <f>SUM(P2:P13)</f>
        <v>577000</v>
      </c>
    </row>
    <row r="15" spans="1:16">
      <c r="A15" s="49" t="s">
        <v>239</v>
      </c>
      <c r="B15" s="129">
        <v>24000</v>
      </c>
      <c r="H15" s="39">
        <f>SUM(H2:H14)</f>
        <v>558358</v>
      </c>
      <c r="K15" t="s">
        <v>454</v>
      </c>
      <c r="M15" s="39">
        <f>P14-M14</f>
        <v>134000</v>
      </c>
    </row>
    <row r="16" spans="1:16">
      <c r="A16" s="49" t="s">
        <v>465</v>
      </c>
      <c r="B16" s="129">
        <v>30000</v>
      </c>
    </row>
    <row r="17" spans="1:2">
      <c r="A17" s="49" t="s">
        <v>466</v>
      </c>
      <c r="B17" s="129">
        <v>20000</v>
      </c>
    </row>
    <row r="18" spans="1:2">
      <c r="A18" s="101" t="s">
        <v>18</v>
      </c>
      <c r="B18" s="39">
        <f>SUM(B13:B17)</f>
        <v>124000</v>
      </c>
    </row>
    <row r="20" spans="1:2">
      <c r="A20" s="103" t="s">
        <v>467</v>
      </c>
      <c r="B20" s="39">
        <v>250000</v>
      </c>
    </row>
    <row r="22" spans="1:2">
      <c r="A22" s="103" t="s">
        <v>171</v>
      </c>
      <c r="B22" s="39">
        <f>B11+B18+B20</f>
        <v>944336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C0470-E925-4E8A-B375-1A19639B61B6}">
  <dimension ref="A1:S28"/>
  <sheetViews>
    <sheetView topLeftCell="A8" workbookViewId="0">
      <selection activeCell="C17" sqref="C17:C21"/>
    </sheetView>
  </sheetViews>
  <sheetFormatPr defaultRowHeight="14.5"/>
  <cols>
    <col min="1" max="1" width="12.54296875" bestFit="1" customWidth="1"/>
    <col min="2" max="2" width="9.7265625" style="38" bestFit="1" customWidth="1"/>
    <col min="4" max="4" width="9.453125" bestFit="1" customWidth="1"/>
    <col min="5" max="5" width="21.54296875" bestFit="1" customWidth="1"/>
    <col min="6" max="6" width="9.7265625" style="38" bestFit="1" customWidth="1"/>
    <col min="8" max="8" width="5" bestFit="1" customWidth="1"/>
    <col min="9" max="9" width="11.1796875" style="38" bestFit="1" customWidth="1"/>
    <col min="10" max="10" width="13.08984375" customWidth="1"/>
    <col min="12" max="12" width="12.6328125" bestFit="1" customWidth="1"/>
    <col min="15" max="15" width="18.54296875" bestFit="1" customWidth="1"/>
    <col min="16" max="16" width="9.7265625" bestFit="1" customWidth="1"/>
    <col min="18" max="18" width="21.54296875" bestFit="1" customWidth="1"/>
  </cols>
  <sheetData>
    <row r="1" spans="1:19">
      <c r="A1" t="s">
        <v>487</v>
      </c>
      <c r="D1" s="209" t="s">
        <v>535</v>
      </c>
      <c r="E1" s="209"/>
      <c r="F1" s="209"/>
      <c r="H1" s="212" t="s">
        <v>254</v>
      </c>
      <c r="I1" s="212"/>
      <c r="J1" s="212"/>
      <c r="L1" s="208" t="s">
        <v>537</v>
      </c>
      <c r="M1" s="208"/>
      <c r="O1" s="207" t="s">
        <v>538</v>
      </c>
      <c r="P1" s="207"/>
      <c r="R1" s="207" t="s">
        <v>538</v>
      </c>
      <c r="S1" s="207"/>
    </row>
    <row r="2" spans="1:19">
      <c r="A2" s="207" t="s">
        <v>536</v>
      </c>
      <c r="B2" s="207"/>
      <c r="D2" s="1" t="s">
        <v>507</v>
      </c>
      <c r="E2" s="1" t="s">
        <v>508</v>
      </c>
      <c r="F2" s="85">
        <v>10000</v>
      </c>
      <c r="H2" s="49" t="s">
        <v>323</v>
      </c>
      <c r="I2" s="48">
        <v>45000</v>
      </c>
      <c r="J2" s="49" t="s">
        <v>520</v>
      </c>
      <c r="L2" s="1" t="s">
        <v>343</v>
      </c>
      <c r="M2" s="1">
        <v>21340</v>
      </c>
      <c r="O2" s="49" t="s">
        <v>488</v>
      </c>
      <c r="P2" s="48">
        <v>6000</v>
      </c>
      <c r="R2" s="49" t="s">
        <v>488</v>
      </c>
      <c r="S2" s="48">
        <v>6000</v>
      </c>
    </row>
    <row r="3" spans="1:19">
      <c r="A3" s="49" t="s">
        <v>488</v>
      </c>
      <c r="B3" s="48">
        <v>6000</v>
      </c>
      <c r="C3">
        <v>0</v>
      </c>
      <c r="D3" s="1" t="s">
        <v>509</v>
      </c>
      <c r="E3" s="1" t="s">
        <v>510</v>
      </c>
      <c r="F3" s="85">
        <v>10000</v>
      </c>
      <c r="H3" s="49" t="s">
        <v>323</v>
      </c>
      <c r="I3" s="48">
        <v>45000</v>
      </c>
      <c r="J3" s="49" t="s">
        <v>521</v>
      </c>
      <c r="L3" s="1" t="s">
        <v>527</v>
      </c>
      <c r="M3" s="1">
        <v>5335</v>
      </c>
      <c r="O3" s="49" t="s">
        <v>489</v>
      </c>
      <c r="P3" s="48">
        <v>10000</v>
      </c>
      <c r="R3" s="49" t="s">
        <v>489</v>
      </c>
      <c r="S3" s="48">
        <v>10000</v>
      </c>
    </row>
    <row r="4" spans="1:19">
      <c r="A4" s="49" t="s">
        <v>489</v>
      </c>
      <c r="B4" s="48">
        <v>10000</v>
      </c>
      <c r="C4">
        <v>0</v>
      </c>
      <c r="D4" s="1" t="s">
        <v>511</v>
      </c>
      <c r="E4" s="1" t="s">
        <v>512</v>
      </c>
      <c r="F4" s="85">
        <v>5000</v>
      </c>
      <c r="H4" s="49" t="s">
        <v>323</v>
      </c>
      <c r="I4" s="48">
        <v>45000</v>
      </c>
      <c r="J4" s="49" t="s">
        <v>522</v>
      </c>
      <c r="L4" s="1" t="s">
        <v>524</v>
      </c>
      <c r="M4" s="1">
        <v>12000</v>
      </c>
      <c r="O4" s="49" t="s">
        <v>490</v>
      </c>
      <c r="P4" s="48">
        <v>2200</v>
      </c>
      <c r="R4" s="49" t="s">
        <v>490</v>
      </c>
      <c r="S4" s="48">
        <v>2200</v>
      </c>
    </row>
    <row r="5" spans="1:19">
      <c r="A5" s="49" t="s">
        <v>490</v>
      </c>
      <c r="B5" s="48">
        <v>2200</v>
      </c>
      <c r="C5" s="48">
        <v>2200</v>
      </c>
      <c r="D5" s="1" t="s">
        <v>511</v>
      </c>
      <c r="E5" s="1" t="s">
        <v>506</v>
      </c>
      <c r="F5" s="85">
        <v>10000</v>
      </c>
      <c r="H5" s="49" t="s">
        <v>323</v>
      </c>
      <c r="I5" s="48">
        <v>16500</v>
      </c>
      <c r="J5" s="49" t="s">
        <v>523</v>
      </c>
      <c r="L5" s="1" t="s">
        <v>525</v>
      </c>
      <c r="M5" s="1">
        <v>3000</v>
      </c>
      <c r="O5" s="49" t="s">
        <v>491</v>
      </c>
      <c r="P5" s="48">
        <v>2000</v>
      </c>
      <c r="R5" s="49" t="s">
        <v>491</v>
      </c>
      <c r="S5" s="48">
        <v>2000</v>
      </c>
    </row>
    <row r="6" spans="1:19">
      <c r="A6" s="49" t="s">
        <v>491</v>
      </c>
      <c r="B6" s="48">
        <v>2000</v>
      </c>
      <c r="C6" s="48">
        <v>2000</v>
      </c>
      <c r="D6" s="1" t="s">
        <v>511</v>
      </c>
      <c r="E6" s="1" t="s">
        <v>505</v>
      </c>
      <c r="F6" s="85">
        <v>10000</v>
      </c>
      <c r="H6" s="49" t="s">
        <v>323</v>
      </c>
      <c r="I6" s="48">
        <v>16500</v>
      </c>
      <c r="J6" s="49" t="s">
        <v>532</v>
      </c>
      <c r="L6" s="1" t="s">
        <v>526</v>
      </c>
      <c r="M6" s="1">
        <v>2500</v>
      </c>
      <c r="O6" s="49" t="s">
        <v>492</v>
      </c>
      <c r="P6" s="48">
        <v>3000</v>
      </c>
      <c r="R6" s="49" t="s">
        <v>492</v>
      </c>
      <c r="S6" s="48">
        <v>3000</v>
      </c>
    </row>
    <row r="7" spans="1:19" ht="43.5">
      <c r="A7" s="49" t="s">
        <v>492</v>
      </c>
      <c r="B7" s="48">
        <v>3000</v>
      </c>
      <c r="C7" s="48">
        <v>3000</v>
      </c>
      <c r="D7" s="1" t="s">
        <v>325</v>
      </c>
      <c r="E7" s="1" t="s">
        <v>513</v>
      </c>
      <c r="F7" s="85">
        <v>10000</v>
      </c>
      <c r="H7" s="49" t="s">
        <v>323</v>
      </c>
      <c r="I7" s="48">
        <v>6000</v>
      </c>
      <c r="J7" s="134" t="s">
        <v>533</v>
      </c>
      <c r="L7" s="137" t="s">
        <v>18</v>
      </c>
      <c r="M7" s="137">
        <f>SUM(M2:M6)</f>
        <v>44175</v>
      </c>
      <c r="O7" s="49" t="s">
        <v>493</v>
      </c>
      <c r="P7" s="48">
        <v>500</v>
      </c>
      <c r="R7" s="49" t="s">
        <v>493</v>
      </c>
      <c r="S7" s="48">
        <v>500</v>
      </c>
    </row>
    <row r="8" spans="1:19">
      <c r="A8" s="49" t="s">
        <v>493</v>
      </c>
      <c r="B8" s="48">
        <v>500</v>
      </c>
      <c r="C8" s="48">
        <v>500</v>
      </c>
      <c r="D8" s="1" t="s">
        <v>325</v>
      </c>
      <c r="E8" s="1" t="s">
        <v>514</v>
      </c>
      <c r="F8" s="85">
        <v>5000</v>
      </c>
      <c r="H8" s="133" t="s">
        <v>18</v>
      </c>
      <c r="I8" s="106">
        <f>SUM(I2:I7)</f>
        <v>174000</v>
      </c>
      <c r="J8" s="135"/>
      <c r="O8" s="49" t="s">
        <v>494</v>
      </c>
      <c r="P8" s="48">
        <v>300</v>
      </c>
      <c r="R8" s="49" t="s">
        <v>494</v>
      </c>
      <c r="S8" s="48">
        <v>300</v>
      </c>
    </row>
    <row r="9" spans="1:19">
      <c r="A9" s="49" t="s">
        <v>494</v>
      </c>
      <c r="B9" s="48">
        <v>300</v>
      </c>
      <c r="C9" s="48">
        <v>300</v>
      </c>
      <c r="D9" s="1" t="s">
        <v>325</v>
      </c>
      <c r="E9" s="1" t="s">
        <v>515</v>
      </c>
      <c r="F9" s="85">
        <v>15000</v>
      </c>
      <c r="H9" s="49" t="s">
        <v>325</v>
      </c>
      <c r="I9" s="48">
        <v>5500</v>
      </c>
      <c r="J9" s="49" t="s">
        <v>528</v>
      </c>
      <c r="O9" s="49" t="s">
        <v>495</v>
      </c>
      <c r="P9" s="48">
        <v>1000</v>
      </c>
      <c r="R9" s="49" t="s">
        <v>495</v>
      </c>
      <c r="S9" s="48">
        <v>1000</v>
      </c>
    </row>
    <row r="10" spans="1:19">
      <c r="A10" s="49" t="s">
        <v>495</v>
      </c>
      <c r="B10" s="48">
        <v>1000</v>
      </c>
      <c r="C10" s="48">
        <v>1000</v>
      </c>
      <c r="D10" s="1" t="s">
        <v>325</v>
      </c>
      <c r="E10" s="1" t="s">
        <v>516</v>
      </c>
      <c r="F10" s="85">
        <v>10000</v>
      </c>
      <c r="H10" s="49" t="s">
        <v>325</v>
      </c>
      <c r="I10" s="48">
        <v>5500</v>
      </c>
      <c r="J10" s="49" t="s">
        <v>529</v>
      </c>
      <c r="O10" s="49" t="s">
        <v>496</v>
      </c>
      <c r="P10" s="48">
        <v>3000</v>
      </c>
      <c r="R10" s="49" t="s">
        <v>496</v>
      </c>
      <c r="S10" s="48">
        <v>3000</v>
      </c>
    </row>
    <row r="11" spans="1:19">
      <c r="A11" s="49" t="s">
        <v>496</v>
      </c>
      <c r="B11" s="48">
        <v>3000</v>
      </c>
      <c r="C11" s="48">
        <v>3000</v>
      </c>
      <c r="D11" s="1" t="s">
        <v>325</v>
      </c>
      <c r="E11" s="1" t="s">
        <v>517</v>
      </c>
      <c r="F11" s="85">
        <v>5000</v>
      </c>
      <c r="H11" s="49" t="s">
        <v>325</v>
      </c>
      <c r="I11" s="48">
        <v>7000</v>
      </c>
      <c r="J11" s="49" t="s">
        <v>531</v>
      </c>
      <c r="O11" s="49" t="s">
        <v>497</v>
      </c>
      <c r="P11" s="48">
        <v>3500</v>
      </c>
      <c r="R11" s="49" t="s">
        <v>497</v>
      </c>
      <c r="S11" s="48">
        <v>3500</v>
      </c>
    </row>
    <row r="12" spans="1:19">
      <c r="A12" s="49" t="s">
        <v>497</v>
      </c>
      <c r="B12" s="48">
        <v>3500</v>
      </c>
      <c r="C12" s="48">
        <v>3500</v>
      </c>
      <c r="D12" s="1" t="s">
        <v>518</v>
      </c>
      <c r="E12" s="1" t="s">
        <v>519</v>
      </c>
      <c r="F12" s="85">
        <v>50000</v>
      </c>
      <c r="H12" s="133" t="s">
        <v>18</v>
      </c>
      <c r="I12" s="136">
        <f>SUM(I9:I11)</f>
        <v>18000</v>
      </c>
      <c r="J12" s="135"/>
      <c r="O12" s="49" t="s">
        <v>498</v>
      </c>
      <c r="P12" s="48">
        <v>1500</v>
      </c>
      <c r="R12" s="49" t="s">
        <v>498</v>
      </c>
      <c r="S12" s="48">
        <v>1500</v>
      </c>
    </row>
    <row r="13" spans="1:19">
      <c r="A13" s="49" t="s">
        <v>498</v>
      </c>
      <c r="B13" s="48">
        <v>1500</v>
      </c>
      <c r="C13" s="48">
        <v>1500</v>
      </c>
      <c r="D13" s="210" t="s">
        <v>18</v>
      </c>
      <c r="E13" s="210"/>
      <c r="F13" s="132">
        <f>SUM(F2:F12)</f>
        <v>140000</v>
      </c>
      <c r="O13" s="49" t="s">
        <v>380</v>
      </c>
      <c r="P13" s="48">
        <v>10000</v>
      </c>
      <c r="R13" s="49" t="s">
        <v>380</v>
      </c>
      <c r="S13" s="48">
        <v>10000</v>
      </c>
    </row>
    <row r="14" spans="1:19">
      <c r="A14" s="49" t="s">
        <v>380</v>
      </c>
      <c r="B14" s="48">
        <v>10000</v>
      </c>
      <c r="C14" s="48">
        <v>10000</v>
      </c>
      <c r="O14" s="49" t="s">
        <v>499</v>
      </c>
      <c r="P14" s="48">
        <v>1500</v>
      </c>
      <c r="R14" s="49" t="s">
        <v>499</v>
      </c>
      <c r="S14" s="48">
        <v>1500</v>
      </c>
    </row>
    <row r="15" spans="1:19">
      <c r="A15" s="49" t="s">
        <v>499</v>
      </c>
      <c r="B15" s="48">
        <v>1500</v>
      </c>
      <c r="C15" s="48">
        <v>0</v>
      </c>
      <c r="D15" s="211" t="s">
        <v>530</v>
      </c>
      <c r="E15" s="211"/>
      <c r="O15" s="49" t="s">
        <v>500</v>
      </c>
      <c r="P15" s="48">
        <v>10000</v>
      </c>
      <c r="R15" s="49" t="s">
        <v>500</v>
      </c>
      <c r="S15" s="48">
        <v>10000</v>
      </c>
    </row>
    <row r="16" spans="1:19">
      <c r="A16" s="49" t="s">
        <v>500</v>
      </c>
      <c r="B16" s="48">
        <v>10000</v>
      </c>
      <c r="C16" s="48">
        <v>0</v>
      </c>
      <c r="D16" s="48" t="s">
        <v>322</v>
      </c>
      <c r="E16" s="85">
        <v>36700</v>
      </c>
      <c r="O16" s="49" t="s">
        <v>501</v>
      </c>
      <c r="P16" s="48">
        <v>2500</v>
      </c>
      <c r="R16" s="49" t="s">
        <v>501</v>
      </c>
      <c r="S16" s="48">
        <v>2500</v>
      </c>
    </row>
    <row r="17" spans="1:19">
      <c r="A17" s="49" t="s">
        <v>501</v>
      </c>
      <c r="B17" s="48">
        <v>2500</v>
      </c>
      <c r="C17" s="48">
        <v>2500</v>
      </c>
      <c r="D17" s="48" t="s">
        <v>325</v>
      </c>
      <c r="E17" s="85">
        <v>36700</v>
      </c>
      <c r="O17" s="49" t="s">
        <v>343</v>
      </c>
      <c r="P17" s="48">
        <v>5000</v>
      </c>
      <c r="R17" s="49" t="s">
        <v>343</v>
      </c>
      <c r="S17" s="48">
        <v>5000</v>
      </c>
    </row>
    <row r="18" spans="1:19">
      <c r="A18" s="49" t="s">
        <v>343</v>
      </c>
      <c r="B18" s="48">
        <v>5000</v>
      </c>
      <c r="C18" s="48">
        <v>5000</v>
      </c>
      <c r="D18" s="48" t="s">
        <v>518</v>
      </c>
      <c r="E18" s="85">
        <v>36600</v>
      </c>
      <c r="O18" s="49" t="s">
        <v>502</v>
      </c>
      <c r="P18" s="48">
        <v>1000</v>
      </c>
      <c r="R18" s="49" t="s">
        <v>502</v>
      </c>
      <c r="S18" s="48">
        <v>1000</v>
      </c>
    </row>
    <row r="19" spans="1:19">
      <c r="A19" s="49" t="s">
        <v>502</v>
      </c>
      <c r="B19" s="48">
        <v>1000</v>
      </c>
      <c r="C19" s="48">
        <v>1000</v>
      </c>
      <c r="D19" s="106" t="s">
        <v>18</v>
      </c>
      <c r="E19" s="132">
        <f>SUM(E16:E18)</f>
        <v>110000</v>
      </c>
      <c r="O19" s="49" t="s">
        <v>503</v>
      </c>
      <c r="P19" s="48">
        <v>1500</v>
      </c>
      <c r="R19" s="49" t="s">
        <v>503</v>
      </c>
      <c r="S19" s="48">
        <v>1500</v>
      </c>
    </row>
    <row r="20" spans="1:19">
      <c r="A20" s="49" t="s">
        <v>503</v>
      </c>
      <c r="B20" s="48">
        <v>1500</v>
      </c>
      <c r="C20" s="48">
        <v>1500</v>
      </c>
      <c r="O20" s="54" t="s">
        <v>504</v>
      </c>
      <c r="P20" s="55">
        <v>1500</v>
      </c>
      <c r="R20" s="54" t="s">
        <v>504</v>
      </c>
      <c r="S20" s="55">
        <v>1500</v>
      </c>
    </row>
    <row r="21" spans="1:19">
      <c r="A21" s="54" t="s">
        <v>504</v>
      </c>
      <c r="B21" s="55">
        <v>1500</v>
      </c>
      <c r="C21" s="55">
        <v>1500</v>
      </c>
      <c r="O21" s="133" t="s">
        <v>534</v>
      </c>
      <c r="P21" s="132">
        <f>SUM(P2:P20)</f>
        <v>66000</v>
      </c>
      <c r="R21" s="133" t="s">
        <v>534</v>
      </c>
      <c r="S21" s="132">
        <f>SUM(S2:S20)</f>
        <v>66000</v>
      </c>
    </row>
    <row r="22" spans="1:19">
      <c r="A22" s="133" t="s">
        <v>534</v>
      </c>
      <c r="B22" s="132">
        <f>SUM(B3:B21)</f>
        <v>66000</v>
      </c>
      <c r="C22">
        <f>SUM(C3:C21)</f>
        <v>38500</v>
      </c>
      <c r="O22" s="101" t="s">
        <v>542</v>
      </c>
      <c r="P22" t="s">
        <v>543</v>
      </c>
      <c r="R22" s="101" t="s">
        <v>542</v>
      </c>
      <c r="S22" t="s">
        <v>543</v>
      </c>
    </row>
    <row r="23" spans="1:19">
      <c r="O23" s="1" t="s">
        <v>539</v>
      </c>
      <c r="P23" s="85">
        <v>2700</v>
      </c>
      <c r="R23" s="1" t="s">
        <v>539</v>
      </c>
      <c r="S23" s="85">
        <v>2700</v>
      </c>
    </row>
    <row r="24" spans="1:19">
      <c r="O24" s="1" t="s">
        <v>540</v>
      </c>
      <c r="P24" s="85">
        <v>5000</v>
      </c>
      <c r="R24" s="1" t="s">
        <v>540</v>
      </c>
      <c r="S24" s="85">
        <v>5000</v>
      </c>
    </row>
    <row r="25" spans="1:19">
      <c r="O25" s="1" t="s">
        <v>541</v>
      </c>
      <c r="P25" s="85">
        <v>4900</v>
      </c>
      <c r="R25" s="1" t="s">
        <v>541</v>
      </c>
      <c r="S25" s="85">
        <v>4900</v>
      </c>
    </row>
    <row r="26" spans="1:19">
      <c r="O26" s="1" t="s">
        <v>508</v>
      </c>
      <c r="P26" s="138">
        <v>10000</v>
      </c>
      <c r="R26" s="1" t="s">
        <v>508</v>
      </c>
      <c r="S26" s="138">
        <v>10000</v>
      </c>
    </row>
    <row r="27" spans="1:19">
      <c r="O27" s="1" t="s">
        <v>18</v>
      </c>
      <c r="P27" s="85">
        <f>SUM(P23:P26)</f>
        <v>22600</v>
      </c>
      <c r="R27" s="1" t="s">
        <v>18</v>
      </c>
      <c r="S27" s="85">
        <f>SUM(S23:S26)</f>
        <v>22600</v>
      </c>
    </row>
    <row r="28" spans="1:19">
      <c r="O28" s="139" t="s">
        <v>171</v>
      </c>
      <c r="P28" s="140">
        <f>P21+P27</f>
        <v>88600</v>
      </c>
      <c r="R28" s="139" t="s">
        <v>171</v>
      </c>
      <c r="S28" s="140">
        <f>S21+S27</f>
        <v>88600</v>
      </c>
    </row>
  </sheetData>
  <mergeCells count="8">
    <mergeCell ref="D13:E13"/>
    <mergeCell ref="D15:E15"/>
    <mergeCell ref="H1:J1"/>
    <mergeCell ref="R1:S1"/>
    <mergeCell ref="L1:M1"/>
    <mergeCell ref="O1:P1"/>
    <mergeCell ref="A2:B2"/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Income</vt:lpstr>
      <vt:lpstr>EMI Chart</vt:lpstr>
      <vt:lpstr>Expense Distribution</vt:lpstr>
      <vt:lpstr>Outwards</vt:lpstr>
      <vt:lpstr>Amount</vt:lpstr>
      <vt:lpstr>Chetan Account 2020 -2021</vt:lpstr>
      <vt:lpstr>Arun Account Jan 2020</vt:lpstr>
      <vt:lpstr>Arun Account 2021</vt:lpstr>
      <vt:lpstr>Arun Sal 2022</vt:lpstr>
      <vt:lpstr>Monthly EMI List</vt:lpstr>
      <vt:lpstr>EMI Chart 2022</vt:lpstr>
      <vt:lpstr>Rahul- Sadhana</vt:lpstr>
      <vt:lpstr>Loan 2020</vt:lpstr>
      <vt:lpstr>EMI Chart 2024</vt:lpstr>
      <vt:lpstr>CC calc</vt:lpstr>
      <vt:lpstr>Monthly EMI List 2024</vt:lpstr>
      <vt:lpstr>Chetan 2023</vt:lpstr>
      <vt:lpstr>Sheet1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Maru, Dharmesh</dc:creator>
  <cp:lastModifiedBy>Maru, Dharmesh</cp:lastModifiedBy>
  <cp:lastPrinted>2024-11-05T11:20:53Z</cp:lastPrinted>
  <dcterms:created xsi:type="dcterms:W3CDTF">2015-06-05T18:17:20Z</dcterms:created>
  <dcterms:modified xsi:type="dcterms:W3CDTF">2025-10-30T16:00:57Z</dcterms:modified>
</cp:coreProperties>
</file>