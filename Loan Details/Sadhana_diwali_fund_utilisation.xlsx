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245" documentId="8_{E473B8AE-D6BE-4F2D-A366-2E162451968A}" xr6:coauthVersionLast="47" xr6:coauthVersionMax="47" xr10:uidLastSave="{504209E9-95D2-4F4C-8DB3-BA8931CE6A26}"/>
  <bookViews>
    <workbookView xWindow="-110" yWindow="-110" windowWidth="19420" windowHeight="11500" activeTab="2" xr2:uid="{C6464402-9C4B-45D5-9F29-6D1BAE3B5EA9}"/>
  </bookViews>
  <sheets>
    <sheet name="From Sadhana Aug- Oct Sale" sheetId="1" r:id="rId1"/>
    <sheet name="Sadhana Diwali sale" sheetId="2" r:id="rId2"/>
    <sheet name="Diwali 2024 foreca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13" i="3" l="1"/>
  <c r="E19" i="2" l="1"/>
  <c r="B22" i="2"/>
  <c r="B11" i="2"/>
  <c r="E14" i="2"/>
  <c r="B12" i="2" s="1"/>
  <c r="B3" i="2"/>
  <c r="B5" i="2" s="1"/>
  <c r="B6" i="2" s="1"/>
  <c r="K16" i="1"/>
  <c r="K14" i="1"/>
  <c r="G14" i="1"/>
  <c r="B4" i="2" l="1"/>
  <c r="B13" i="1"/>
</calcChain>
</file>

<file path=xl/sharedStrings.xml><?xml version="1.0" encoding="utf-8"?>
<sst xmlns="http://schemas.openxmlformats.org/spreadsheetml/2006/main" count="148" uniqueCount="85">
  <si>
    <t>Particular</t>
  </si>
  <si>
    <t>Amount</t>
  </si>
  <si>
    <t>Dharmesh EMI</t>
  </si>
  <si>
    <t>Yagnesh bhai</t>
  </si>
  <si>
    <t>Arun Home Loan</t>
  </si>
  <si>
    <t>Rajubhai Loan</t>
  </si>
  <si>
    <t>Naru HL</t>
  </si>
  <si>
    <t>Vinod CC PL</t>
  </si>
  <si>
    <t>CC Interest</t>
  </si>
  <si>
    <t>Paresh Sony</t>
  </si>
  <si>
    <t>Maraj Int</t>
  </si>
  <si>
    <t>Dilip</t>
  </si>
  <si>
    <t>Total</t>
  </si>
  <si>
    <t>Aug - Oct Income</t>
  </si>
  <si>
    <t>Shop Sales</t>
  </si>
  <si>
    <t>Mira road Home Loan</t>
  </si>
  <si>
    <t>EMI</t>
  </si>
  <si>
    <t>Rajubhai HL</t>
  </si>
  <si>
    <t>Clossed Mira road HL and Top Up</t>
  </si>
  <si>
    <t>Spilt of 50 Lakh</t>
  </si>
  <si>
    <t>Closed the Interest loan</t>
  </si>
  <si>
    <t>Gold Loan</t>
  </si>
  <si>
    <t>Closed Gold Loan</t>
  </si>
  <si>
    <t>Closed the rajubhai loan</t>
  </si>
  <si>
    <t>Previous EMI</t>
  </si>
  <si>
    <t>After Diwali EMI Chart</t>
  </si>
  <si>
    <t>try to wind up iin diwali</t>
  </si>
  <si>
    <t>will pay through Sadhana</t>
  </si>
  <si>
    <t>BOB(rahul fund)</t>
  </si>
  <si>
    <t>New EMI</t>
  </si>
  <si>
    <t>Loan Amount</t>
  </si>
  <si>
    <t>Reasons</t>
  </si>
  <si>
    <t>Current Home Loan</t>
  </si>
  <si>
    <t>After Diwali</t>
  </si>
  <si>
    <t>Total EMI amount</t>
  </si>
  <si>
    <t>Diff</t>
  </si>
  <si>
    <t>Last Diwali sale was</t>
  </si>
  <si>
    <t>Target(Eastimated) Diwali Sale</t>
  </si>
  <si>
    <t>Profit(40%)</t>
  </si>
  <si>
    <t>Bhikaha ata dharvana</t>
  </si>
  <si>
    <t>balance</t>
  </si>
  <si>
    <t>Maal na paisa + Labor</t>
  </si>
  <si>
    <t>Last year bad strock sale</t>
  </si>
  <si>
    <t>Gross Profit</t>
  </si>
  <si>
    <t>we will try to closed this using diwali profit</t>
  </si>
  <si>
    <t>Nov-2023 to Oct-2024 EMI amount</t>
  </si>
  <si>
    <t>Oct-2025 Loan closure</t>
  </si>
  <si>
    <t>May-2025 Loan Closure</t>
  </si>
  <si>
    <t>15 year Loan</t>
  </si>
  <si>
    <t>Aug-Oct 2023 EMI</t>
  </si>
  <si>
    <t>Narrotam bhai need to Pay</t>
  </si>
  <si>
    <t>Other peding personal loan</t>
  </si>
  <si>
    <t xml:space="preserve">Dilip </t>
  </si>
  <si>
    <t>Chetan</t>
  </si>
  <si>
    <t>Naresh(lalu)</t>
  </si>
  <si>
    <t xml:space="preserve">LIC </t>
  </si>
  <si>
    <t>Chetan HDFC loan</t>
  </si>
  <si>
    <t>credit card</t>
  </si>
  <si>
    <t>we need to think about this</t>
  </si>
  <si>
    <t>if we are not using money from sadhana then</t>
  </si>
  <si>
    <t>Avg Profit per month</t>
  </si>
  <si>
    <t xml:space="preserve">yearly </t>
  </si>
  <si>
    <t>avg monthly sales of 8 lakh</t>
  </si>
  <si>
    <t xml:space="preserve">This will be increase if we use profit into investment and </t>
  </si>
  <si>
    <t>Name</t>
  </si>
  <si>
    <t>Card</t>
  </si>
  <si>
    <t>Dharmesh</t>
  </si>
  <si>
    <t>HDFC</t>
  </si>
  <si>
    <t>Tata</t>
  </si>
  <si>
    <t>RBL</t>
  </si>
  <si>
    <t>SBI F</t>
  </si>
  <si>
    <t>Citi</t>
  </si>
  <si>
    <t>Axis Previledge</t>
  </si>
  <si>
    <t>SBI Simple</t>
  </si>
  <si>
    <t>Axis MM</t>
  </si>
  <si>
    <t>Vinod</t>
  </si>
  <si>
    <t>SBI</t>
  </si>
  <si>
    <t>Yagneshbhai</t>
  </si>
  <si>
    <t>HSBC</t>
  </si>
  <si>
    <t>ICICI</t>
  </si>
  <si>
    <t xml:space="preserve">Dharmesh </t>
  </si>
  <si>
    <t>Axis Vistara</t>
  </si>
  <si>
    <t>Paid</t>
  </si>
  <si>
    <t>Credit cards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</si>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</sst>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_ ;_ * \-#,##0_ ;_ * &quot;-&quot;?_ ;_ @_ "/>
    <numFmt numFmtId="166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  <xf numFmtId="164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/>
    <xf numFmtId="164" fontId="3" fillId="0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0" fillId="4" borderId="0" xfId="0" applyFill="1"/>
    <xf numFmtId="164" fontId="0" fillId="4" borderId="0" xfId="1" applyNumberFormat="1" applyFont="1" applyFill="1"/>
    <xf numFmtId="164" fontId="3" fillId="3" borderId="1" xfId="1" applyNumberFormat="1" applyFont="1" applyFill="1" applyBorder="1" applyAlignment="1">
      <alignment horizontal="center"/>
    </xf>
    <xf numFmtId="0" fontId="0" fillId="5" borderId="0" xfId="0" applyFill="1" applyAlignment="1">
      <alignment wrapText="1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6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0C17-20AE-4B46-9158-CB1AF9019051}">
  <dimension ref="A1:L16"/>
  <sheetViews>
    <sheetView workbookViewId="0"/>
  </sheetViews>
  <sheetFormatPr defaultRowHeight="14.5" x14ac:dyDescent="0.35"/>
  <cols>
    <col min="1" max="1" width="14.90625" bestFit="1" customWidth="1"/>
    <col min="2" max="2" width="8.81640625" bestFit="1" customWidth="1"/>
    <col min="5" max="5" width="19.1796875" bestFit="1" customWidth="1"/>
    <col min="6" max="6" width="12.1796875" style="9" bestFit="1" customWidth="1"/>
    <col min="7" max="7" width="10.54296875" style="9" bestFit="1" customWidth="1"/>
    <col min="8" max="8" width="20.7265625" bestFit="1" customWidth="1"/>
    <col min="10" max="10" width="19.453125" bestFit="1" customWidth="1"/>
  </cols>
  <sheetData>
    <row r="1" spans="1:12" x14ac:dyDescent="0.35">
      <c r="A1" s="1" t="s">
        <v>0</v>
      </c>
      <c r="B1" s="2" t="s">
        <v>1</v>
      </c>
      <c r="E1" t="s">
        <v>13</v>
      </c>
      <c r="F1" s="9">
        <v>3000000</v>
      </c>
      <c r="G1" s="9" t="s">
        <v>14</v>
      </c>
      <c r="J1" t="s">
        <v>25</v>
      </c>
    </row>
    <row r="2" spans="1:12" x14ac:dyDescent="0.35">
      <c r="A2" s="3" t="s">
        <v>2</v>
      </c>
      <c r="B2" s="4">
        <v>293000</v>
      </c>
      <c r="J2" s="1" t="s">
        <v>0</v>
      </c>
      <c r="K2" s="2" t="s">
        <v>1</v>
      </c>
    </row>
    <row r="3" spans="1:12" x14ac:dyDescent="0.35">
      <c r="A3" s="3" t="s">
        <v>3</v>
      </c>
      <c r="B3" s="4">
        <v>140000</v>
      </c>
      <c r="E3" s="36" t="s">
        <v>32</v>
      </c>
      <c r="F3" s="36"/>
      <c r="G3" s="36"/>
      <c r="H3" s="36"/>
      <c r="J3" s="3" t="s">
        <v>2</v>
      </c>
      <c r="K3" s="4">
        <v>293000</v>
      </c>
    </row>
    <row r="4" spans="1:12" x14ac:dyDescent="0.35">
      <c r="A4" s="3" t="s">
        <v>4</v>
      </c>
      <c r="B4" s="4">
        <v>75000</v>
      </c>
      <c r="E4" s="18" t="s">
        <v>0</v>
      </c>
      <c r="F4" s="19" t="s">
        <v>30</v>
      </c>
      <c r="G4" s="19" t="s">
        <v>1</v>
      </c>
      <c r="H4" s="18" t="s">
        <v>31</v>
      </c>
      <c r="J4" s="3" t="s">
        <v>3</v>
      </c>
      <c r="K4" s="12">
        <v>140000</v>
      </c>
    </row>
    <row r="5" spans="1:12" ht="43.5" x14ac:dyDescent="0.35">
      <c r="A5" s="3" t="s">
        <v>5</v>
      </c>
      <c r="B5" s="4">
        <v>35000</v>
      </c>
      <c r="E5" s="16" t="s">
        <v>15</v>
      </c>
      <c r="F5" s="17">
        <v>3200000</v>
      </c>
      <c r="G5" s="17">
        <v>37000</v>
      </c>
      <c r="H5" s="16" t="s">
        <v>16</v>
      </c>
      <c r="J5" s="3" t="s">
        <v>4</v>
      </c>
      <c r="K5" s="15">
        <v>75000</v>
      </c>
      <c r="L5" s="10" t="s">
        <v>26</v>
      </c>
    </row>
    <row r="6" spans="1:12" x14ac:dyDescent="0.35">
      <c r="A6" s="3" t="s">
        <v>6</v>
      </c>
      <c r="B6" s="4">
        <v>37000</v>
      </c>
      <c r="E6" s="16" t="s">
        <v>17</v>
      </c>
      <c r="F6" s="17">
        <v>1100000</v>
      </c>
      <c r="G6" s="17">
        <v>32000</v>
      </c>
      <c r="H6" s="16" t="s">
        <v>16</v>
      </c>
      <c r="J6" s="3" t="s">
        <v>5</v>
      </c>
      <c r="K6" s="12">
        <v>35000</v>
      </c>
    </row>
    <row r="7" spans="1:12" x14ac:dyDescent="0.35">
      <c r="A7" s="3" t="s">
        <v>7</v>
      </c>
      <c r="B7" s="4">
        <v>24000</v>
      </c>
      <c r="J7" s="3" t="s">
        <v>6</v>
      </c>
      <c r="K7" s="4">
        <v>45000</v>
      </c>
    </row>
    <row r="8" spans="1:12" ht="43.5" x14ac:dyDescent="0.35">
      <c r="A8" s="3" t="s">
        <v>8</v>
      </c>
      <c r="B8" s="5">
        <v>45406</v>
      </c>
      <c r="E8" s="36" t="s">
        <v>33</v>
      </c>
      <c r="F8" s="36"/>
      <c r="G8" s="36"/>
      <c r="H8" s="36"/>
      <c r="J8" s="3" t="s">
        <v>7</v>
      </c>
      <c r="K8" s="4">
        <v>24000</v>
      </c>
      <c r="L8" s="10" t="s">
        <v>27</v>
      </c>
    </row>
    <row r="9" spans="1:12" ht="43.5" x14ac:dyDescent="0.35">
      <c r="A9" s="3" t="s">
        <v>9</v>
      </c>
      <c r="B9" s="6">
        <v>25000</v>
      </c>
      <c r="E9" s="18" t="s">
        <v>0</v>
      </c>
      <c r="F9" s="19" t="s">
        <v>30</v>
      </c>
      <c r="G9" s="19" t="s">
        <v>1</v>
      </c>
      <c r="H9" s="18" t="s">
        <v>31</v>
      </c>
      <c r="J9" s="3" t="s">
        <v>8</v>
      </c>
      <c r="K9" s="15">
        <v>45406</v>
      </c>
      <c r="L9" s="10" t="s">
        <v>26</v>
      </c>
    </row>
    <row r="10" spans="1:12" ht="29" x14ac:dyDescent="0.35">
      <c r="A10" s="3" t="s">
        <v>10</v>
      </c>
      <c r="B10" s="5">
        <v>25000</v>
      </c>
      <c r="E10" s="20" t="s">
        <v>18</v>
      </c>
      <c r="F10" s="17">
        <v>5000000</v>
      </c>
      <c r="G10" s="17">
        <v>37000</v>
      </c>
      <c r="H10" s="16" t="s">
        <v>24</v>
      </c>
      <c r="J10" s="3" t="s">
        <v>9</v>
      </c>
      <c r="K10" s="13">
        <v>25000</v>
      </c>
    </row>
    <row r="11" spans="1:12" x14ac:dyDescent="0.35">
      <c r="A11" s="3" t="s">
        <v>28</v>
      </c>
      <c r="B11" s="5">
        <v>30000</v>
      </c>
      <c r="E11" s="16" t="s">
        <v>19</v>
      </c>
      <c r="F11" s="17">
        <v>3000000</v>
      </c>
      <c r="G11" s="17">
        <v>70000</v>
      </c>
      <c r="H11" s="16" t="s">
        <v>20</v>
      </c>
      <c r="J11" s="3" t="s">
        <v>10</v>
      </c>
      <c r="K11" s="14">
        <v>25000</v>
      </c>
    </row>
    <row r="12" spans="1:12" ht="43.5" x14ac:dyDescent="0.35">
      <c r="A12" s="3" t="s">
        <v>11</v>
      </c>
      <c r="B12" s="5">
        <v>20000</v>
      </c>
      <c r="E12" s="16"/>
      <c r="F12" s="17">
        <v>1100000</v>
      </c>
      <c r="G12" s="17">
        <v>32000</v>
      </c>
      <c r="H12" s="16" t="s">
        <v>23</v>
      </c>
      <c r="J12" s="3" t="s">
        <v>28</v>
      </c>
      <c r="K12" s="5">
        <v>30000</v>
      </c>
      <c r="L12" s="10" t="s">
        <v>27</v>
      </c>
    </row>
    <row r="13" spans="1:12" x14ac:dyDescent="0.35">
      <c r="A13" s="7" t="s">
        <v>12</v>
      </c>
      <c r="B13" s="8">
        <f>SUM(B2:B12)</f>
        <v>749406</v>
      </c>
      <c r="E13" s="16"/>
      <c r="F13" s="17">
        <v>1000000</v>
      </c>
      <c r="G13" s="17">
        <v>12500</v>
      </c>
      <c r="H13" s="16" t="s">
        <v>22</v>
      </c>
      <c r="J13" s="3" t="s">
        <v>11</v>
      </c>
      <c r="K13" s="14">
        <v>20000</v>
      </c>
    </row>
    <row r="14" spans="1:12" x14ac:dyDescent="0.35">
      <c r="E14" s="37" t="s">
        <v>34</v>
      </c>
      <c r="F14" s="38"/>
      <c r="G14" s="17">
        <f>SUM(G10:G13)</f>
        <v>151500</v>
      </c>
      <c r="H14" s="16"/>
      <c r="J14" s="7" t="s">
        <v>12</v>
      </c>
      <c r="K14" s="8">
        <f>K3+K5+K7+K8+K9</f>
        <v>482406</v>
      </c>
    </row>
    <row r="15" spans="1:12" x14ac:dyDescent="0.35">
      <c r="E15" s="16"/>
      <c r="F15" s="17"/>
      <c r="G15" s="17">
        <v>45000</v>
      </c>
      <c r="H15" s="16" t="s">
        <v>29</v>
      </c>
    </row>
    <row r="16" spans="1:12" x14ac:dyDescent="0.35">
      <c r="J16" s="21" t="s">
        <v>35</v>
      </c>
      <c r="K16" s="11">
        <f>B13-K14</f>
        <v>267000</v>
      </c>
    </row>
  </sheetData>
  <mergeCells count="3">
    <mergeCell ref="E3:H3"/>
    <mergeCell ref="E8:H8"/>
    <mergeCell ref="E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AA4C-CF16-4D5E-9795-7C58595F4AE3}">
  <dimension ref="A1:G22"/>
  <sheetViews>
    <sheetView workbookViewId="0">
      <selection activeCell="B6" activeCellId="1" sqref="B7 B6"/>
    </sheetView>
  </sheetViews>
  <sheetFormatPr defaultRowHeight="14.5" x14ac:dyDescent="0.35"/>
  <cols>
    <col min="1" max="1" width="30" bestFit="1" customWidth="1"/>
    <col min="2" max="2" width="12.1796875" bestFit="1" customWidth="1"/>
    <col min="3" max="3" width="23.453125" bestFit="1" customWidth="1"/>
    <col min="4" max="4" width="31" customWidth="1"/>
    <col min="5" max="5" width="9.6328125" bestFit="1" customWidth="1"/>
    <col min="6" max="6" width="22.08984375" bestFit="1" customWidth="1"/>
    <col min="7" max="7" width="19.36328125" bestFit="1" customWidth="1"/>
  </cols>
  <sheetData>
    <row r="1" spans="1:7" x14ac:dyDescent="0.35">
      <c r="A1" s="25" t="s">
        <v>36</v>
      </c>
      <c r="B1" s="26">
        <v>6300000</v>
      </c>
      <c r="D1" t="s">
        <v>25</v>
      </c>
    </row>
    <row r="2" spans="1:7" x14ac:dyDescent="0.35">
      <c r="A2" t="s">
        <v>37</v>
      </c>
      <c r="B2" s="9">
        <v>7000000</v>
      </c>
      <c r="D2" s="1" t="s">
        <v>0</v>
      </c>
      <c r="E2" s="2" t="s">
        <v>1</v>
      </c>
    </row>
    <row r="3" spans="1:7" x14ac:dyDescent="0.35">
      <c r="A3" t="s">
        <v>38</v>
      </c>
      <c r="B3" s="22">
        <f>B2*0.4</f>
        <v>2800000</v>
      </c>
      <c r="D3" s="3" t="s">
        <v>2</v>
      </c>
      <c r="E3" s="4">
        <v>293000</v>
      </c>
      <c r="G3" t="s">
        <v>46</v>
      </c>
    </row>
    <row r="4" spans="1:7" x14ac:dyDescent="0.35">
      <c r="A4" t="s">
        <v>41</v>
      </c>
      <c r="B4" s="11">
        <f>B2-B3</f>
        <v>4200000</v>
      </c>
      <c r="D4" s="3" t="s">
        <v>3</v>
      </c>
      <c r="E4" s="12">
        <v>140000</v>
      </c>
    </row>
    <row r="5" spans="1:7" ht="29" x14ac:dyDescent="0.35">
      <c r="A5" t="s">
        <v>39</v>
      </c>
      <c r="B5" s="22">
        <f>B3/3</f>
        <v>933333.33333333337</v>
      </c>
      <c r="D5" s="3" t="s">
        <v>4</v>
      </c>
      <c r="E5" s="27">
        <v>75000</v>
      </c>
      <c r="F5" s="28" t="s">
        <v>44</v>
      </c>
    </row>
    <row r="6" spans="1:7" x14ac:dyDescent="0.35">
      <c r="A6" t="s">
        <v>40</v>
      </c>
      <c r="B6" s="22">
        <f>B3-B5</f>
        <v>1866666.6666666665</v>
      </c>
      <c r="D6" s="3" t="s">
        <v>5</v>
      </c>
      <c r="E6" s="12">
        <v>35000</v>
      </c>
    </row>
    <row r="7" spans="1:7" x14ac:dyDescent="0.35">
      <c r="A7" t="s">
        <v>42</v>
      </c>
      <c r="B7" s="9">
        <v>300000</v>
      </c>
      <c r="D7" s="3" t="s">
        <v>6</v>
      </c>
      <c r="E7" s="4">
        <v>45000</v>
      </c>
      <c r="G7" t="s">
        <v>48</v>
      </c>
    </row>
    <row r="8" spans="1:7" x14ac:dyDescent="0.35">
      <c r="D8" s="3" t="s">
        <v>7</v>
      </c>
      <c r="E8" s="4">
        <v>24000</v>
      </c>
      <c r="F8" s="10" t="s">
        <v>27</v>
      </c>
      <c r="G8" t="s">
        <v>47</v>
      </c>
    </row>
    <row r="9" spans="1:7" x14ac:dyDescent="0.35">
      <c r="A9" s="23" t="s">
        <v>43</v>
      </c>
      <c r="B9" s="24">
        <v>2200000</v>
      </c>
      <c r="D9" s="3" t="s">
        <v>8</v>
      </c>
      <c r="E9" s="15">
        <v>45406</v>
      </c>
      <c r="F9" s="10" t="s">
        <v>26</v>
      </c>
    </row>
    <row r="10" spans="1:7" x14ac:dyDescent="0.35">
      <c r="D10" s="3" t="s">
        <v>9</v>
      </c>
      <c r="E10" s="13">
        <v>25000</v>
      </c>
    </row>
    <row r="11" spans="1:7" x14ac:dyDescent="0.35">
      <c r="A11" t="s">
        <v>49</v>
      </c>
      <c r="B11" s="9">
        <f>850000*3</f>
        <v>2550000</v>
      </c>
      <c r="C11" t="s">
        <v>50</v>
      </c>
      <c r="D11" s="3" t="s">
        <v>10</v>
      </c>
      <c r="E11" s="14">
        <v>25000</v>
      </c>
    </row>
    <row r="12" spans="1:7" x14ac:dyDescent="0.35">
      <c r="A12" t="s">
        <v>45</v>
      </c>
      <c r="B12" s="11">
        <f>E14*12</f>
        <v>4888872</v>
      </c>
      <c r="C12" t="s">
        <v>58</v>
      </c>
      <c r="D12" s="3" t="s">
        <v>28</v>
      </c>
      <c r="E12" s="5">
        <v>30000</v>
      </c>
      <c r="F12" s="10" t="s">
        <v>27</v>
      </c>
    </row>
    <row r="13" spans="1:7" x14ac:dyDescent="0.35">
      <c r="D13" s="3" t="s">
        <v>11</v>
      </c>
      <c r="E13" s="14">
        <v>20000</v>
      </c>
    </row>
    <row r="14" spans="1:7" x14ac:dyDescent="0.35">
      <c r="A14" t="s">
        <v>51</v>
      </c>
      <c r="D14" s="7" t="s">
        <v>12</v>
      </c>
      <c r="E14" s="8">
        <f>E3+E7+E8+E9</f>
        <v>407406</v>
      </c>
    </row>
    <row r="15" spans="1:7" x14ac:dyDescent="0.35">
      <c r="A15" t="s">
        <v>52</v>
      </c>
      <c r="B15" s="9">
        <v>300000</v>
      </c>
      <c r="D15" s="29"/>
      <c r="E15" s="30"/>
    </row>
    <row r="16" spans="1:7" x14ac:dyDescent="0.35">
      <c r="A16" t="s">
        <v>53</v>
      </c>
      <c r="B16" s="9">
        <v>200000</v>
      </c>
      <c r="D16" s="39" t="s">
        <v>59</v>
      </c>
      <c r="E16" s="39"/>
    </row>
    <row r="17" spans="1:6" x14ac:dyDescent="0.35">
      <c r="A17" t="s">
        <v>54</v>
      </c>
      <c r="B17" s="9">
        <v>300000</v>
      </c>
      <c r="D17" s="29"/>
      <c r="E17" s="30"/>
    </row>
    <row r="18" spans="1:6" x14ac:dyDescent="0.35">
      <c r="A18" t="s">
        <v>55</v>
      </c>
      <c r="B18" s="9">
        <v>700000</v>
      </c>
      <c r="D18" s="29" t="s">
        <v>60</v>
      </c>
      <c r="E18" s="30">
        <v>250000</v>
      </c>
      <c r="F18" t="s">
        <v>62</v>
      </c>
    </row>
    <row r="19" spans="1:6" x14ac:dyDescent="0.35">
      <c r="A19" t="s">
        <v>21</v>
      </c>
      <c r="B19" s="9">
        <v>1700000</v>
      </c>
      <c r="D19" t="s">
        <v>61</v>
      </c>
      <c r="E19" s="11">
        <f>E18*12</f>
        <v>3000000</v>
      </c>
      <c r="F19" t="s">
        <v>63</v>
      </c>
    </row>
    <row r="20" spans="1:6" x14ac:dyDescent="0.35">
      <c r="A20" t="s">
        <v>56</v>
      </c>
      <c r="B20" s="9">
        <v>700000</v>
      </c>
    </row>
    <row r="21" spans="1:6" x14ac:dyDescent="0.35">
      <c r="A21" t="s">
        <v>57</v>
      </c>
      <c r="B21" s="9">
        <v>3000000</v>
      </c>
    </row>
    <row r="22" spans="1:6" x14ac:dyDescent="0.35">
      <c r="B22" s="11">
        <f>SUM(B15:B21)</f>
        <v>6900000</v>
      </c>
    </row>
  </sheetData>
  <mergeCells count="1">
    <mergeCell ref="D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1D8C-1DCD-41D8-A5AF-11596C26E5EB}">
  <dimension ref="A1:D22"/>
  <sheetViews>
    <sheetView tabSelected="1" workbookViewId="0">
      <selection activeCell="H1" sqref="H1:H1048576"/>
    </sheetView>
  </sheetViews>
  <sheetFormatPr defaultRowHeight="14.5" x14ac:dyDescent="0.35"/>
  <cols>
    <col min="1" max="1" width="11.36328125" bestFit="1" customWidth="1"/>
    <col min="2" max="2" width="13.26953125" bestFit="1" customWidth="1"/>
    <col min="3" max="3" width="14.7265625" bestFit="1" customWidth="1"/>
    <col min="8" max="8" width="18" bestFit="1" customWidth="1"/>
    <col min="9" max="9" width="8.81640625" bestFit="1" customWidth="1"/>
  </cols>
  <sheetData>
    <row r="1" spans="1:4" x14ac:dyDescent="0.35">
      <c r="A1" s="41" t="s">
        <v>83</v>
      </c>
      <c r="B1" s="41"/>
      <c r="C1" s="41"/>
      <c r="D1" s="41"/>
    </row>
    <row r="2" spans="1:4" x14ac:dyDescent="0.35">
      <c r="A2" s="31" t="s">
        <v>64</v>
      </c>
      <c r="B2" s="31" t="s">
        <v>65</v>
      </c>
      <c r="C2" s="32" t="s">
        <v>1</v>
      </c>
      <c r="D2" s="32" t="s">
        <v>84</v>
      </c>
    </row>
    <row r="3" spans="1:4" x14ac:dyDescent="0.35">
      <c r="A3" s="16" t="s">
        <v>66</v>
      </c>
      <c r="B3" s="16" t="s">
        <v>67</v>
      </c>
      <c r="C3" s="17">
        <v>273000</v>
      </c>
      <c r="D3" s="16"/>
    </row>
    <row r="4" spans="1:4" x14ac:dyDescent="0.35">
      <c r="A4" s="16" t="s">
        <v>66</v>
      </c>
      <c r="B4" s="16" t="s">
        <v>68</v>
      </c>
      <c r="C4" s="17">
        <v>25000</v>
      </c>
      <c r="D4" s="16"/>
    </row>
    <row r="5" spans="1:4" x14ac:dyDescent="0.35">
      <c r="A5" s="16" t="s">
        <v>66</v>
      </c>
      <c r="B5" s="16" t="s">
        <v>69</v>
      </c>
      <c r="C5" s="17">
        <v>20000</v>
      </c>
      <c r="D5" s="16"/>
    </row>
    <row r="6" spans="1:4" x14ac:dyDescent="0.35">
      <c r="A6" s="16" t="s">
        <v>66</v>
      </c>
      <c r="B6" s="16" t="s">
        <v>70</v>
      </c>
      <c r="C6" s="17">
        <v>69000</v>
      </c>
      <c r="D6" s="16"/>
    </row>
    <row r="7" spans="1:4" x14ac:dyDescent="0.35">
      <c r="A7" s="16" t="s">
        <v>66</v>
      </c>
      <c r="B7" s="16" t="s">
        <v>71</v>
      </c>
      <c r="C7" s="17">
        <v>78000</v>
      </c>
      <c r="D7" s="16"/>
    </row>
    <row r="8" spans="1:4" x14ac:dyDescent="0.35">
      <c r="A8" s="16" t="s">
        <v>66</v>
      </c>
      <c r="B8" s="16" t="s">
        <v>72</v>
      </c>
      <c r="C8" s="17">
        <v>164000</v>
      </c>
      <c r="D8" s="16"/>
    </row>
    <row r="9" spans="1:4" x14ac:dyDescent="0.35">
      <c r="A9" s="16" t="s">
        <v>66</v>
      </c>
      <c r="B9" s="16" t="s">
        <v>73</v>
      </c>
      <c r="C9" s="17">
        <v>75000</v>
      </c>
      <c r="D9" s="16"/>
    </row>
    <row r="10" spans="1:4" x14ac:dyDescent="0.35">
      <c r="A10" s="16" t="s">
        <v>66</v>
      </c>
      <c r="B10" s="16" t="s">
        <v>74</v>
      </c>
      <c r="C10" s="17">
        <v>154000</v>
      </c>
      <c r="D10" s="16"/>
    </row>
    <row r="11" spans="1:4" x14ac:dyDescent="0.35">
      <c r="A11" s="16" t="s">
        <v>80</v>
      </c>
      <c r="B11" s="16" t="s">
        <v>81</v>
      </c>
      <c r="C11" s="33">
        <v>154000</v>
      </c>
      <c r="D11" s="16" t="s">
        <v>82</v>
      </c>
    </row>
    <row r="12" spans="1:4" x14ac:dyDescent="0.35">
      <c r="A12" s="16" t="s">
        <v>66</v>
      </c>
      <c r="B12" s="16" t="s">
        <v>73</v>
      </c>
      <c r="C12" s="33">
        <v>75000</v>
      </c>
      <c r="D12" s="16" t="s">
        <v>82</v>
      </c>
    </row>
    <row r="13" spans="1:4" x14ac:dyDescent="0.35">
      <c r="A13" s="40" t="s">
        <v>12</v>
      </c>
      <c r="B13" s="40"/>
      <c r="C13" s="34">
        <f>SUM(C3:C10)</f>
        <v>858000</v>
      </c>
      <c r="D13" s="16"/>
    </row>
    <row r="14" spans="1:4" x14ac:dyDescent="0.35">
      <c r="A14" s="16"/>
      <c r="B14" s="16"/>
      <c r="C14" s="17"/>
      <c r="D14" s="16"/>
    </row>
    <row r="15" spans="1:4" x14ac:dyDescent="0.35">
      <c r="A15" s="16" t="s">
        <v>75</v>
      </c>
      <c r="B15" s="16" t="s">
        <v>76</v>
      </c>
      <c r="C15" s="17">
        <v>375000</v>
      </c>
      <c r="D15" s="16"/>
    </row>
    <row r="16" spans="1:4" x14ac:dyDescent="0.35">
      <c r="A16" s="16" t="s">
        <v>75</v>
      </c>
      <c r="B16" s="16" t="s">
        <v>67</v>
      </c>
      <c r="C16" s="17">
        <v>582000</v>
      </c>
      <c r="D16" s="16"/>
    </row>
    <row r="17" spans="1:4" x14ac:dyDescent="0.35">
      <c r="A17" s="16" t="s">
        <v>77</v>
      </c>
      <c r="B17" s="16" t="s">
        <v>69</v>
      </c>
      <c r="C17" s="17">
        <v>128000</v>
      </c>
      <c r="D17" s="16"/>
    </row>
    <row r="18" spans="1:4" x14ac:dyDescent="0.35">
      <c r="A18" s="16" t="s">
        <v>77</v>
      </c>
      <c r="B18" s="16" t="s">
        <v>78</v>
      </c>
      <c r="C18" s="17">
        <v>273000</v>
      </c>
      <c r="D18" s="16"/>
    </row>
    <row r="19" spans="1:4" x14ac:dyDescent="0.35">
      <c r="A19" s="16" t="s">
        <v>77</v>
      </c>
      <c r="B19" s="16" t="s">
        <v>71</v>
      </c>
      <c r="C19" s="17">
        <v>121000</v>
      </c>
      <c r="D19" s="16"/>
    </row>
    <row r="20" spans="1:4" x14ac:dyDescent="0.35">
      <c r="A20" s="16" t="s">
        <v>77</v>
      </c>
      <c r="B20" s="16" t="s">
        <v>67</v>
      </c>
      <c r="C20" s="17">
        <v>289000</v>
      </c>
      <c r="D20" s="16">
        <v>-60000</v>
      </c>
    </row>
    <row r="21" spans="1:4" x14ac:dyDescent="0.35">
      <c r="A21" s="16" t="s">
        <v>77</v>
      </c>
      <c r="B21" s="16" t="s">
        <v>79</v>
      </c>
      <c r="C21" s="17">
        <v>90000</v>
      </c>
      <c r="D21" s="16"/>
    </row>
    <row r="22" spans="1:4" x14ac:dyDescent="0.35">
      <c r="A22" s="18" t="s">
        <v>12</v>
      </c>
      <c r="B22" s="18"/>
      <c r="C22" s="35">
        <f>SUM(C13:C21)</f>
        <v>2716000</v>
      </c>
      <c r="D22" s="16"/>
    </row>
  </sheetData>
  <mergeCells count="2">
    <mergeCell ref="A13:B13"/>
    <mergeCell ref="A1:D1"/>
  </mergeCells>
  <pageMargins left="0.7" right="0.7" top="0.75" bottom="0.75" header="0.3" footer="0.3"/>
  <pageSetup orientation="portrait" r:id="rId1"/>
  <ignoredErrors>
    <ignoredError sqref="C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 Sadhana Aug- Oct Sale</vt:lpstr>
      <vt:lpstr>Sadhana Diwali sale</vt:lpstr>
      <vt:lpstr>Diwali 2024 forecast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2023-08-13T06:10:14Z</dcterms:created>
  <dcterms:modified xsi:type="dcterms:W3CDTF">2024-09-25T05:35:35Z</dcterms:modified>
</cp:coreProperties>
</file>