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dharmesh_maru_capgemini_com/Documents/Desktop/Dharmesh Personal Doc/Sadhana Dropbox/Loan Details/Diwali 2025/"/>
    </mc:Choice>
  </mc:AlternateContent>
  <xr:revisionPtr revIDLastSave="3" documentId="8_{AE273B70-0519-495D-8F98-24F32075273E}" xr6:coauthVersionLast="47" xr6:coauthVersionMax="47" xr10:uidLastSave="{9FBE43A3-700C-4D30-8ABB-D7FF65AA3ADE}"/>
  <bookViews>
    <workbookView xWindow="-110" yWindow="-110" windowWidth="19420" windowHeight="11500" xr2:uid="{CED9B2FD-5C7A-46BF-B893-79A49DCFDE37}"/>
  </bookViews>
  <sheets>
    <sheet name="Sheet1" sheetId="1" r:id="rId1"/>
  </sheets>
  <calcPr calcId="191029"/>
  <pivotCaches>
    <pivotCache cacheId="8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  <c r="F28" i="1"/>
  <c r="E16" i="1"/>
  <c r="E14" i="1"/>
  <c r="E12" i="1"/>
  <c r="E20" i="1"/>
  <c r="E19" i="1"/>
  <c r="E9" i="1"/>
  <c r="E18" i="1"/>
  <c r="E8" i="1"/>
  <c r="E7" i="1"/>
</calcChain>
</file>

<file path=xl/sharedStrings.xml><?xml version="1.0" encoding="utf-8"?>
<sst xmlns="http://schemas.openxmlformats.org/spreadsheetml/2006/main" count="104" uniqueCount="46">
  <si>
    <t>Owner</t>
  </si>
  <si>
    <t>Type</t>
  </si>
  <si>
    <t>Bank</t>
  </si>
  <si>
    <t>EMI Date</t>
  </si>
  <si>
    <t>Amount</t>
  </si>
  <si>
    <t>Outstanding</t>
  </si>
  <si>
    <t>Dharmesh</t>
  </si>
  <si>
    <t>CC</t>
  </si>
  <si>
    <t>HDFC CC</t>
  </si>
  <si>
    <t>Tata Card CC</t>
  </si>
  <si>
    <t>Vinod</t>
  </si>
  <si>
    <t>SBI CC</t>
  </si>
  <si>
    <t>Yagnesh</t>
  </si>
  <si>
    <t>RBL</t>
  </si>
  <si>
    <t>Chetan SIP</t>
  </si>
  <si>
    <t>IDFC</t>
  </si>
  <si>
    <t>Bajaj</t>
  </si>
  <si>
    <t>HDFC Jumbo</t>
  </si>
  <si>
    <t>Arun</t>
  </si>
  <si>
    <t>EMI</t>
  </si>
  <si>
    <t>ICICI ML</t>
  </si>
  <si>
    <t>HDFC PL</t>
  </si>
  <si>
    <t>Chetan HDFC</t>
  </si>
  <si>
    <t>HDFC</t>
  </si>
  <si>
    <t>Axis Priveldege</t>
  </si>
  <si>
    <t>RBL CC</t>
  </si>
  <si>
    <t>HSBC CC</t>
  </si>
  <si>
    <t>AXIS Citi</t>
  </si>
  <si>
    <t xml:space="preserve">Arun </t>
  </si>
  <si>
    <t>ICICI</t>
  </si>
  <si>
    <t>Narottam</t>
  </si>
  <si>
    <t>Bharat bank</t>
  </si>
  <si>
    <t>Citi -Axis</t>
  </si>
  <si>
    <t>Axis MM</t>
  </si>
  <si>
    <t>Credit card Repayment</t>
  </si>
  <si>
    <t>ALL CC</t>
  </si>
  <si>
    <t>Row Labels</t>
  </si>
  <si>
    <t>(blank)</t>
  </si>
  <si>
    <t>Grand Total</t>
  </si>
  <si>
    <t>Sum of Outstanding</t>
  </si>
  <si>
    <t>Rahul</t>
  </si>
  <si>
    <t>Loan</t>
  </si>
  <si>
    <t>-</t>
  </si>
  <si>
    <t>BOB</t>
  </si>
  <si>
    <t>Cash Credit</t>
  </si>
  <si>
    <t>Sadhana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</si>
</sst>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dd/mmm/yyyy"/>
    <numFmt numFmtId="165" formatCode="_ &quot;₹&quot;\ * #,##0_ ;_ &quot;₹&quot;\ * \-#,##0_ ;_ &quot;₹&quot;\ * &quot;-&quot;??_ ;_ @_ "/>
    <numFmt numFmtId="166" formatCode="_ &quot;₹&quot;\ * #,##0.0_ ;_ &quot;₹&quot;\ * \-#,##0.0_ ;_ &quot;₹&quot;\ * &quot;-&quot;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5" fontId="0" fillId="0" borderId="4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5" fontId="0" fillId="0" borderId="0" xfId="1" applyNumberFormat="1" applyFont="1"/>
    <xf numFmtId="0" fontId="0" fillId="0" borderId="6" xfId="0" applyBorder="1" applyAlignment="1">
      <alignment horizontal="center" vertical="center"/>
    </xf>
    <xf numFmtId="166" fontId="0" fillId="0" borderId="0" xfId="0" applyNumberFormat="1"/>
    <xf numFmtId="165" fontId="0" fillId="0" borderId="6" xfId="1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1" applyNumberFormat="1" applyFont="1" applyFill="1" applyBorder="1" applyAlignment="1">
      <alignment horizontal="center" vertical="center"/>
    </xf>
    <xf numFmtId="165" fontId="0" fillId="0" borderId="6" xfId="1" applyNumberFormat="1" applyFont="1" applyBorder="1" applyAlignment="1">
      <alignment horizontal="center" vertical="center"/>
    </xf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4" fontId="0" fillId="0" borderId="0" xfId="0" applyNumberFormat="1"/>
  </cellXfs>
  <cellStyles count="2">
    <cellStyle name="Currency" xfId="1" builtinId="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u, Dharmesh" refreshedDate="45953.880344328703" createdVersion="8" refreshedVersion="8" minRefreshableVersion="3" recordCount="32" xr:uid="{33EF3C45-324B-4E89-83AB-E8546AF7CDE9}">
  <cacheSource type="worksheet">
    <worksheetSource ref="A1:F1048576" sheet="Sheet1"/>
  </cacheSource>
  <cacheFields count="6">
    <cacheField name="Owner" numFmtId="0">
      <sharedItems containsBlank="1" count="11">
        <s v="Arun"/>
        <s v="Arun "/>
        <s v="Chetan HDFC"/>
        <s v="Chetan SIP"/>
        <s v="Dharmesh"/>
        <s v="Narottam"/>
        <s v="Vinod"/>
        <s v="Yagnesh"/>
        <s v="Rahul"/>
        <s v="Sadhana"/>
        <m/>
      </sharedItems>
    </cacheField>
    <cacheField name="Type" numFmtId="0">
      <sharedItems containsBlank="1" count="6">
        <s v="EMI"/>
        <s v="Credit card Repayment"/>
        <s v="CC"/>
        <s v="Loan"/>
        <s v="Cash Credit"/>
        <m/>
      </sharedItems>
    </cacheField>
    <cacheField name="Bank" numFmtId="0">
      <sharedItems containsBlank="1"/>
    </cacheField>
    <cacheField name="EMI Date" numFmtId="0">
      <sharedItems containsNonDate="0" containsDate="1" containsString="0" containsBlank="1" minDate="2025-07-26T00:00:00" maxDate="2025-11-02T00:00:00"/>
    </cacheField>
    <cacheField name="Amount" numFmtId="0">
      <sharedItems containsBlank="1" containsMixedTypes="1" containsNumber="1" minValue="537.5" maxValue="70000"/>
    </cacheField>
    <cacheField name="Outstanding" numFmtId="0">
      <sharedItems containsString="0" containsBlank="1" containsNumber="1" containsInteger="1" minValue="17000" maxValue="197825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x v="0"/>
    <s v="ICICI ML"/>
    <d v="2025-08-05T00:00:00"/>
    <n v="37000"/>
    <n v="2368000"/>
  </r>
  <r>
    <x v="0"/>
    <x v="1"/>
    <s v="ALL CC"/>
    <d v="2025-08-10T00:00:00"/>
    <n v="70000"/>
    <n v="500000"/>
  </r>
  <r>
    <x v="1"/>
    <x v="0"/>
    <s v="ICICI"/>
    <d v="2025-08-10T00:00:00"/>
    <n v="35000"/>
    <n v="608000"/>
  </r>
  <r>
    <x v="2"/>
    <x v="0"/>
    <s v="HDFC"/>
    <d v="2025-08-06T00:00:00"/>
    <n v="12900"/>
    <n v="750000"/>
  </r>
  <r>
    <x v="3"/>
    <x v="0"/>
    <s v="IDFC"/>
    <d v="2025-08-04T00:00:00"/>
    <n v="20000"/>
    <n v="360000"/>
  </r>
  <r>
    <x v="4"/>
    <x v="2"/>
    <s v="HDFC CC"/>
    <d v="2025-07-26T00:00:00"/>
    <n v="6006"/>
    <n v="273000"/>
  </r>
  <r>
    <x v="4"/>
    <x v="2"/>
    <s v="Tata Card CC"/>
    <d v="2025-07-30T00:00:00"/>
    <n v="537.5"/>
    <n v="25000"/>
  </r>
  <r>
    <x v="4"/>
    <x v="2"/>
    <s v="SBI CC"/>
    <d v="2025-08-04T00:00:00"/>
    <n v="1725"/>
    <n v="69000"/>
  </r>
  <r>
    <x v="4"/>
    <x v="0"/>
    <s v="Bajaj"/>
    <d v="2025-08-04T00:00:00"/>
    <n v="18600"/>
    <n v="450000"/>
  </r>
  <r>
    <x v="4"/>
    <x v="0"/>
    <s v="HDFC PL"/>
    <d v="2025-08-06T00:00:00"/>
    <n v="59663"/>
    <n v="2800000"/>
  </r>
  <r>
    <x v="4"/>
    <x v="2"/>
    <s v="Axis Priveldege"/>
    <d v="2025-08-07T00:00:00"/>
    <n v="6143.2750000000005"/>
    <n v="245731"/>
  </r>
  <r>
    <x v="4"/>
    <x v="2"/>
    <s v="RBL CC"/>
    <d v="2025-08-07T00:00:00"/>
    <n v="1100"/>
    <n v="17000"/>
  </r>
  <r>
    <x v="4"/>
    <x v="2"/>
    <s v="SBI CC"/>
    <d v="2025-08-10T00:00:00"/>
    <n v="1635"/>
    <n v="75000"/>
  </r>
  <r>
    <x v="4"/>
    <x v="2"/>
    <s v="Citi -Axis"/>
    <d v="2025-08-10T00:00:00"/>
    <n v="3891"/>
    <n v="31800"/>
  </r>
  <r>
    <x v="4"/>
    <x v="2"/>
    <s v="Axis MM"/>
    <d v="2025-08-10T00:00:00"/>
    <n v="6825"/>
    <n v="273000"/>
  </r>
  <r>
    <x v="5"/>
    <x v="0"/>
    <s v="Bharat bank"/>
    <d v="2025-08-10T00:00:00"/>
    <n v="35000"/>
    <n v="3400000"/>
  </r>
  <r>
    <x v="6"/>
    <x v="2"/>
    <s v="SBI CC"/>
    <d v="2025-08-01T00:00:00"/>
    <n v="9375"/>
    <n v="375000"/>
  </r>
  <r>
    <x v="6"/>
    <x v="2"/>
    <s v="HDFC Jumbo"/>
    <d v="2025-08-05T00:00:00"/>
    <n v="15068"/>
    <n v="250000"/>
  </r>
  <r>
    <x v="6"/>
    <x v="2"/>
    <s v="HDFC CC"/>
    <d v="2025-08-06T00:00:00"/>
    <n v="14662.999999999998"/>
    <n v="682000"/>
  </r>
  <r>
    <x v="7"/>
    <x v="2"/>
    <s v="RBL"/>
    <d v="2025-08-02T00:00:00"/>
    <n v="9823"/>
    <n v="200000"/>
  </r>
  <r>
    <x v="7"/>
    <x v="2"/>
    <s v="HSBC CC"/>
    <d v="2025-08-07T00:00:00"/>
    <n v="13185"/>
    <n v="217000"/>
  </r>
  <r>
    <x v="7"/>
    <x v="2"/>
    <s v="HDFC CC"/>
    <d v="2025-08-09T00:00:00"/>
    <n v="11532"/>
    <n v="205000"/>
  </r>
  <r>
    <x v="7"/>
    <x v="2"/>
    <s v="AXIS Citi"/>
    <d v="2025-08-10T00:00:00"/>
    <n v="6500"/>
    <n v="108000"/>
  </r>
  <r>
    <x v="8"/>
    <x v="3"/>
    <s v="HDFC"/>
    <d v="2025-08-10T00:00:00"/>
    <s v="-"/>
    <n v="2500000"/>
  </r>
  <r>
    <x v="9"/>
    <x v="4"/>
    <s v="BOB"/>
    <d v="2025-11-01T00:00:00"/>
    <n v="30000"/>
    <n v="3000000"/>
  </r>
  <r>
    <x v="10"/>
    <x v="5"/>
    <m/>
    <m/>
    <m/>
    <m/>
  </r>
  <r>
    <x v="10"/>
    <x v="5"/>
    <m/>
    <m/>
    <m/>
    <n v="19782531"/>
  </r>
  <r>
    <x v="10"/>
    <x v="5"/>
    <m/>
    <m/>
    <m/>
    <m/>
  </r>
  <r>
    <x v="10"/>
    <x v="5"/>
    <m/>
    <m/>
    <m/>
    <m/>
  </r>
  <r>
    <x v="10"/>
    <x v="5"/>
    <m/>
    <m/>
    <m/>
    <m/>
  </r>
  <r>
    <x v="10"/>
    <x v="5"/>
    <m/>
    <m/>
    <m/>
    <m/>
  </r>
  <r>
    <x v="10"/>
    <x v="5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1D9252-7851-43D0-AED2-926CE31687B1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23" firstHeaderRow="1" firstDataRow="1" firstDataCol="1"/>
  <pivotFields count="6">
    <pivotField axis="axisRow" showAll="0">
      <items count="12">
        <item x="0"/>
        <item x="1"/>
        <item x="2"/>
        <item x="3"/>
        <item x="4"/>
        <item x="5"/>
        <item x="6"/>
        <item x="7"/>
        <item x="10"/>
        <item x="8"/>
        <item x="9"/>
        <item t="default"/>
      </items>
    </pivotField>
    <pivotField axis="axisRow" showAll="0">
      <items count="7">
        <item x="2"/>
        <item x="1"/>
        <item x="0"/>
        <item x="5"/>
        <item x="3"/>
        <item x="4"/>
        <item t="default"/>
      </items>
    </pivotField>
    <pivotField showAll="0"/>
    <pivotField showAll="0"/>
    <pivotField showAll="0"/>
    <pivotField dataField="1" showAll="0"/>
  </pivotFields>
  <rowFields count="2">
    <field x="1"/>
    <field x="0"/>
  </rowFields>
  <rowItems count="20">
    <i>
      <x/>
    </i>
    <i r="1">
      <x v="4"/>
    </i>
    <i r="1">
      <x v="6"/>
    </i>
    <i r="1">
      <x v="7"/>
    </i>
    <i>
      <x v="1"/>
    </i>
    <i r="1">
      <x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 v="8"/>
    </i>
    <i>
      <x v="4"/>
    </i>
    <i r="1">
      <x v="9"/>
    </i>
    <i>
      <x v="5"/>
    </i>
    <i r="1">
      <x v="10"/>
    </i>
    <i t="grand">
      <x/>
    </i>
  </rowItems>
  <colItems count="1">
    <i/>
  </colItems>
  <dataFields count="1">
    <dataField name="Sum of Outstanding" fld="5" baseField="0" baseItem="0" numFmtId="165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7A7E-A5A8-4E65-B347-F0CB1F98C217}">
  <dimension ref="A1:I43"/>
  <sheetViews>
    <sheetView tabSelected="1" topLeftCell="A15" workbookViewId="0">
      <selection activeCell="G35" sqref="G35"/>
    </sheetView>
  </sheetViews>
  <sheetFormatPr defaultRowHeight="14.5" x14ac:dyDescent="0.35"/>
  <cols>
    <col min="1" max="1" width="11.90625" bestFit="1" customWidth="1"/>
    <col min="2" max="2" width="20.1796875" bestFit="1" customWidth="1"/>
    <col min="3" max="3" width="12.90625" bestFit="1" customWidth="1"/>
    <col min="4" max="4" width="11.08984375" bestFit="1" customWidth="1"/>
    <col min="5" max="5" width="11" bestFit="1" customWidth="1"/>
    <col min="6" max="6" width="13.6328125" bestFit="1" customWidth="1"/>
    <col min="8" max="8" width="21.90625" bestFit="1" customWidth="1"/>
    <col min="9" max="9" width="18.1796875" style="9" bestFit="1" customWidth="1"/>
    <col min="10" max="10" width="13.6328125" bestFit="1" customWidth="1"/>
  </cols>
  <sheetData>
    <row r="1" spans="1:9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9" x14ac:dyDescent="0.35">
      <c r="A2" s="3" t="s">
        <v>18</v>
      </c>
      <c r="B2" s="4" t="s">
        <v>19</v>
      </c>
      <c r="C2" s="4" t="s">
        <v>20</v>
      </c>
      <c r="D2" s="5">
        <v>45874</v>
      </c>
      <c r="E2" s="6">
        <v>37000</v>
      </c>
      <c r="F2" s="6">
        <v>2368000</v>
      </c>
    </row>
    <row r="3" spans="1:9" x14ac:dyDescent="0.35">
      <c r="A3" s="16" t="s">
        <v>18</v>
      </c>
      <c r="B3" s="9" t="s">
        <v>34</v>
      </c>
      <c r="C3" s="16" t="s">
        <v>35</v>
      </c>
      <c r="D3" s="17">
        <v>45879</v>
      </c>
      <c r="E3" s="11">
        <v>70000</v>
      </c>
      <c r="F3" s="18">
        <v>500000</v>
      </c>
      <c r="H3" s="13" t="s">
        <v>36</v>
      </c>
      <c r="I3" s="20" t="s">
        <v>39</v>
      </c>
    </row>
    <row r="4" spans="1:9" x14ac:dyDescent="0.35">
      <c r="A4" s="3" t="s">
        <v>28</v>
      </c>
      <c r="B4" s="4" t="s">
        <v>19</v>
      </c>
      <c r="C4" s="4" t="s">
        <v>29</v>
      </c>
      <c r="D4" s="5">
        <v>45879</v>
      </c>
      <c r="E4" s="6">
        <v>35000</v>
      </c>
      <c r="F4" s="6">
        <v>608000</v>
      </c>
      <c r="H4" s="14" t="s">
        <v>7</v>
      </c>
      <c r="I4" s="20">
        <v>3046531</v>
      </c>
    </row>
    <row r="5" spans="1:9" x14ac:dyDescent="0.35">
      <c r="A5" s="3" t="s">
        <v>22</v>
      </c>
      <c r="B5" s="4" t="s">
        <v>19</v>
      </c>
      <c r="C5" s="4" t="s">
        <v>23</v>
      </c>
      <c r="D5" s="5">
        <v>45875</v>
      </c>
      <c r="E5" s="6">
        <v>12900</v>
      </c>
      <c r="F5" s="6">
        <v>750000</v>
      </c>
      <c r="H5" s="15" t="s">
        <v>6</v>
      </c>
      <c r="I5" s="20">
        <v>1009531</v>
      </c>
    </row>
    <row r="6" spans="1:9" x14ac:dyDescent="0.35">
      <c r="A6" s="3" t="s">
        <v>14</v>
      </c>
      <c r="B6" s="4" t="s">
        <v>19</v>
      </c>
      <c r="C6" s="4" t="s">
        <v>15</v>
      </c>
      <c r="D6" s="5">
        <v>45873</v>
      </c>
      <c r="E6" s="6">
        <v>20000</v>
      </c>
      <c r="F6" s="6">
        <v>360000</v>
      </c>
      <c r="H6" s="15" t="s">
        <v>10</v>
      </c>
      <c r="I6" s="20">
        <v>1307000</v>
      </c>
    </row>
    <row r="7" spans="1:9" x14ac:dyDescent="0.35">
      <c r="A7" s="3" t="s">
        <v>6</v>
      </c>
      <c r="B7" s="4" t="s">
        <v>7</v>
      </c>
      <c r="C7" s="4" t="s">
        <v>8</v>
      </c>
      <c r="D7" s="5">
        <v>45864</v>
      </c>
      <c r="E7" s="6">
        <f>F7*0.022</f>
        <v>6006</v>
      </c>
      <c r="F7" s="6">
        <v>273000</v>
      </c>
      <c r="H7" s="15" t="s">
        <v>12</v>
      </c>
      <c r="I7" s="20">
        <v>730000</v>
      </c>
    </row>
    <row r="8" spans="1:9" x14ac:dyDescent="0.35">
      <c r="A8" s="3" t="s">
        <v>6</v>
      </c>
      <c r="B8" s="4" t="s">
        <v>7</v>
      </c>
      <c r="C8" s="4" t="s">
        <v>9</v>
      </c>
      <c r="D8" s="5">
        <v>45868</v>
      </c>
      <c r="E8" s="6">
        <f>F8*0.0215</f>
        <v>537.5</v>
      </c>
      <c r="F8" s="6">
        <v>25000</v>
      </c>
      <c r="H8" s="14" t="s">
        <v>34</v>
      </c>
      <c r="I8" s="20">
        <v>500000</v>
      </c>
    </row>
    <row r="9" spans="1:9" x14ac:dyDescent="0.35">
      <c r="A9" s="3" t="s">
        <v>6</v>
      </c>
      <c r="B9" s="4" t="s">
        <v>7</v>
      </c>
      <c r="C9" s="4" t="s">
        <v>11</v>
      </c>
      <c r="D9" s="5">
        <v>45873</v>
      </c>
      <c r="E9" s="6">
        <f>F9*0.025</f>
        <v>1725</v>
      </c>
      <c r="F9" s="6">
        <v>69000</v>
      </c>
      <c r="H9" s="15" t="s">
        <v>18</v>
      </c>
      <c r="I9" s="20">
        <v>500000</v>
      </c>
    </row>
    <row r="10" spans="1:9" x14ac:dyDescent="0.35">
      <c r="A10" s="3" t="s">
        <v>6</v>
      </c>
      <c r="B10" s="4" t="s">
        <v>19</v>
      </c>
      <c r="C10" s="4" t="s">
        <v>16</v>
      </c>
      <c r="D10" s="5">
        <v>45873</v>
      </c>
      <c r="E10" s="6">
        <v>18600</v>
      </c>
      <c r="F10" s="6">
        <v>450000</v>
      </c>
      <c r="H10" s="14" t="s">
        <v>19</v>
      </c>
      <c r="I10" s="20">
        <v>10736000</v>
      </c>
    </row>
    <row r="11" spans="1:9" x14ac:dyDescent="0.35">
      <c r="A11" s="3" t="s">
        <v>6</v>
      </c>
      <c r="B11" s="4" t="s">
        <v>19</v>
      </c>
      <c r="C11" s="4" t="s">
        <v>21</v>
      </c>
      <c r="D11" s="5">
        <v>45875</v>
      </c>
      <c r="E11" s="6">
        <v>59663</v>
      </c>
      <c r="F11" s="6">
        <v>2800000</v>
      </c>
      <c r="H11" s="15" t="s">
        <v>18</v>
      </c>
      <c r="I11" s="20">
        <v>2368000</v>
      </c>
    </row>
    <row r="12" spans="1:9" x14ac:dyDescent="0.35">
      <c r="A12" s="3" t="s">
        <v>6</v>
      </c>
      <c r="B12" s="4" t="s">
        <v>7</v>
      </c>
      <c r="C12" s="4" t="s">
        <v>24</v>
      </c>
      <c r="D12" s="5">
        <v>45876</v>
      </c>
      <c r="E12" s="6">
        <f>F12*0.025</f>
        <v>6143.2750000000005</v>
      </c>
      <c r="F12" s="6">
        <v>245731</v>
      </c>
      <c r="H12" s="15" t="s">
        <v>28</v>
      </c>
      <c r="I12" s="20">
        <v>608000</v>
      </c>
    </row>
    <row r="13" spans="1:9" x14ac:dyDescent="0.35">
      <c r="A13" s="3" t="s">
        <v>6</v>
      </c>
      <c r="B13" s="4" t="s">
        <v>7</v>
      </c>
      <c r="C13" s="4" t="s">
        <v>25</v>
      </c>
      <c r="D13" s="5">
        <v>45876</v>
      </c>
      <c r="E13" s="6">
        <v>1100</v>
      </c>
      <c r="F13" s="6">
        <v>17000</v>
      </c>
      <c r="H13" s="15" t="s">
        <v>22</v>
      </c>
      <c r="I13" s="20">
        <v>750000</v>
      </c>
    </row>
    <row r="14" spans="1:9" x14ac:dyDescent="0.35">
      <c r="A14" s="3" t="s">
        <v>6</v>
      </c>
      <c r="B14" s="4" t="s">
        <v>7</v>
      </c>
      <c r="C14" s="4" t="s">
        <v>11</v>
      </c>
      <c r="D14" s="5">
        <v>45879</v>
      </c>
      <c r="E14" s="6">
        <f>F14*0.0218</f>
        <v>1635</v>
      </c>
      <c r="F14" s="6">
        <v>75000</v>
      </c>
      <c r="H14" s="15" t="s">
        <v>14</v>
      </c>
      <c r="I14" s="20">
        <v>360000</v>
      </c>
    </row>
    <row r="15" spans="1:9" x14ac:dyDescent="0.35">
      <c r="A15" s="3" t="s">
        <v>6</v>
      </c>
      <c r="B15" s="4" t="s">
        <v>7</v>
      </c>
      <c r="C15" s="4" t="s">
        <v>32</v>
      </c>
      <c r="D15" s="5">
        <v>45879</v>
      </c>
      <c r="E15" s="6">
        <v>3891</v>
      </c>
      <c r="F15" s="6">
        <v>31800</v>
      </c>
      <c r="H15" s="15" t="s">
        <v>6</v>
      </c>
      <c r="I15" s="20">
        <v>3250000</v>
      </c>
    </row>
    <row r="16" spans="1:9" x14ac:dyDescent="0.35">
      <c r="A16" s="3" t="s">
        <v>6</v>
      </c>
      <c r="B16" s="4" t="s">
        <v>7</v>
      </c>
      <c r="C16" s="4" t="s">
        <v>33</v>
      </c>
      <c r="D16" s="5">
        <v>45879</v>
      </c>
      <c r="E16" s="6">
        <f>F16*0.025</f>
        <v>6825</v>
      </c>
      <c r="F16" s="6">
        <v>273000</v>
      </c>
      <c r="H16" s="15" t="s">
        <v>30</v>
      </c>
      <c r="I16" s="20">
        <v>3400000</v>
      </c>
    </row>
    <row r="17" spans="1:9" x14ac:dyDescent="0.35">
      <c r="A17" s="3" t="s">
        <v>30</v>
      </c>
      <c r="B17" s="4" t="s">
        <v>19</v>
      </c>
      <c r="C17" s="4" t="s">
        <v>31</v>
      </c>
      <c r="D17" s="5">
        <v>45879</v>
      </c>
      <c r="E17" s="6">
        <v>35000</v>
      </c>
      <c r="F17" s="6">
        <v>3400000</v>
      </c>
      <c r="H17" s="14" t="s">
        <v>37</v>
      </c>
      <c r="I17" s="20">
        <v>19782531</v>
      </c>
    </row>
    <row r="18" spans="1:9" x14ac:dyDescent="0.35">
      <c r="A18" s="3" t="s">
        <v>10</v>
      </c>
      <c r="B18" s="4" t="s">
        <v>7</v>
      </c>
      <c r="C18" s="4" t="s">
        <v>11</v>
      </c>
      <c r="D18" s="5">
        <v>45870</v>
      </c>
      <c r="E18" s="6">
        <f>F18*0.025</f>
        <v>9375</v>
      </c>
      <c r="F18" s="6">
        <v>375000</v>
      </c>
      <c r="H18" s="15" t="s">
        <v>37</v>
      </c>
      <c r="I18" s="20">
        <v>19782531</v>
      </c>
    </row>
    <row r="19" spans="1:9" x14ac:dyDescent="0.35">
      <c r="A19" s="3" t="s">
        <v>10</v>
      </c>
      <c r="B19" s="4" t="s">
        <v>7</v>
      </c>
      <c r="C19" s="4" t="s">
        <v>17</v>
      </c>
      <c r="D19" s="5">
        <v>45874</v>
      </c>
      <c r="E19" s="6">
        <f>6538+8530</f>
        <v>15068</v>
      </c>
      <c r="F19" s="6">
        <v>250000</v>
      </c>
      <c r="H19" s="14" t="s">
        <v>41</v>
      </c>
      <c r="I19" s="20">
        <v>2500000</v>
      </c>
    </row>
    <row r="20" spans="1:9" x14ac:dyDescent="0.35">
      <c r="A20" s="3" t="s">
        <v>10</v>
      </c>
      <c r="B20" s="4" t="s">
        <v>7</v>
      </c>
      <c r="C20" s="4" t="s">
        <v>8</v>
      </c>
      <c r="D20" s="5">
        <v>45875</v>
      </c>
      <c r="E20" s="6">
        <f>F20*0.0215</f>
        <v>14662.999999999998</v>
      </c>
      <c r="F20" s="6">
        <v>682000</v>
      </c>
      <c r="H20" s="15" t="s">
        <v>40</v>
      </c>
      <c r="I20" s="20">
        <v>2500000</v>
      </c>
    </row>
    <row r="21" spans="1:9" x14ac:dyDescent="0.35">
      <c r="A21" s="3" t="s">
        <v>12</v>
      </c>
      <c r="B21" s="4" t="s">
        <v>7</v>
      </c>
      <c r="C21" s="4" t="s">
        <v>13</v>
      </c>
      <c r="D21" s="5">
        <v>45871</v>
      </c>
      <c r="E21" s="6">
        <v>9823</v>
      </c>
      <c r="F21" s="6">
        <v>200000</v>
      </c>
      <c r="H21" s="14" t="s">
        <v>44</v>
      </c>
      <c r="I21" s="20">
        <v>3000000</v>
      </c>
    </row>
    <row r="22" spans="1:9" x14ac:dyDescent="0.35">
      <c r="A22" s="3" t="s">
        <v>12</v>
      </c>
      <c r="B22" s="4" t="s">
        <v>7</v>
      </c>
      <c r="C22" s="4" t="s">
        <v>26</v>
      </c>
      <c r="D22" s="5">
        <v>45876</v>
      </c>
      <c r="E22" s="6">
        <v>13185</v>
      </c>
      <c r="F22" s="6">
        <v>217000</v>
      </c>
      <c r="H22" s="15" t="s">
        <v>45</v>
      </c>
      <c r="I22" s="20">
        <v>3000000</v>
      </c>
    </row>
    <row r="23" spans="1:9" x14ac:dyDescent="0.35">
      <c r="A23" s="3" t="s">
        <v>12</v>
      </c>
      <c r="B23" s="4" t="s">
        <v>7</v>
      </c>
      <c r="C23" s="4" t="s">
        <v>8</v>
      </c>
      <c r="D23" s="5">
        <v>45878</v>
      </c>
      <c r="E23" s="6">
        <v>11532</v>
      </c>
      <c r="F23" s="6">
        <v>205000</v>
      </c>
      <c r="H23" s="14" t="s">
        <v>38</v>
      </c>
      <c r="I23" s="20">
        <v>39565062</v>
      </c>
    </row>
    <row r="24" spans="1:9" x14ac:dyDescent="0.35">
      <c r="A24" s="8" t="s">
        <v>12</v>
      </c>
      <c r="B24" s="16" t="s">
        <v>7</v>
      </c>
      <c r="C24" s="10" t="s">
        <v>27</v>
      </c>
      <c r="D24" s="5">
        <v>45879</v>
      </c>
      <c r="E24" s="7">
        <v>6500</v>
      </c>
      <c r="F24" s="19">
        <v>108000</v>
      </c>
      <c r="I24"/>
    </row>
    <row r="25" spans="1:9" x14ac:dyDescent="0.35">
      <c r="A25" s="8" t="s">
        <v>40</v>
      </c>
      <c r="B25" s="16" t="s">
        <v>41</v>
      </c>
      <c r="C25" s="10" t="s">
        <v>23</v>
      </c>
      <c r="D25" s="5">
        <v>45879</v>
      </c>
      <c r="E25" s="21" t="s">
        <v>42</v>
      </c>
      <c r="F25" s="12">
        <v>2500000</v>
      </c>
      <c r="I25"/>
    </row>
    <row r="26" spans="1:9" x14ac:dyDescent="0.35">
      <c r="A26" s="8" t="s">
        <v>45</v>
      </c>
      <c r="B26" s="16" t="s">
        <v>44</v>
      </c>
      <c r="C26" s="10" t="s">
        <v>43</v>
      </c>
      <c r="D26" s="22">
        <v>45962</v>
      </c>
      <c r="E26" s="18">
        <v>30000</v>
      </c>
      <c r="F26" s="12">
        <v>3000000</v>
      </c>
      <c r="H26">
        <v>14282531</v>
      </c>
      <c r="I26"/>
    </row>
    <row r="27" spans="1:9" x14ac:dyDescent="0.35">
      <c r="H27">
        <v>2500000</v>
      </c>
      <c r="I27"/>
    </row>
    <row r="28" spans="1:9" x14ac:dyDescent="0.35">
      <c r="F28" s="20">
        <f>SUM(F2:F27)</f>
        <v>19782531</v>
      </c>
      <c r="H28">
        <v>3000000</v>
      </c>
      <c r="I28"/>
    </row>
    <row r="29" spans="1:9" x14ac:dyDescent="0.35">
      <c r="I29"/>
    </row>
    <row r="30" spans="1:9" x14ac:dyDescent="0.35">
      <c r="H30">
        <f>SUM(H26:H29)</f>
        <v>19782531</v>
      </c>
      <c r="I30"/>
    </row>
    <row r="31" spans="1:9" x14ac:dyDescent="0.35">
      <c r="I31"/>
    </row>
    <row r="32" spans="1:9" x14ac:dyDescent="0.35">
      <c r="I32"/>
    </row>
    <row r="33" spans="9:9" x14ac:dyDescent="0.35">
      <c r="I33"/>
    </row>
    <row r="34" spans="9:9" x14ac:dyDescent="0.35">
      <c r="I34"/>
    </row>
    <row r="35" spans="9:9" x14ac:dyDescent="0.35">
      <c r="I35"/>
    </row>
    <row r="36" spans="9:9" x14ac:dyDescent="0.35">
      <c r="I36"/>
    </row>
    <row r="37" spans="9:9" x14ac:dyDescent="0.35">
      <c r="I37"/>
    </row>
    <row r="38" spans="9:9" x14ac:dyDescent="0.35">
      <c r="I38"/>
    </row>
    <row r="39" spans="9:9" x14ac:dyDescent="0.35">
      <c r="I39"/>
    </row>
    <row r="40" spans="9:9" x14ac:dyDescent="0.35">
      <c r="I40"/>
    </row>
    <row r="41" spans="9:9" x14ac:dyDescent="0.35">
      <c r="I41"/>
    </row>
    <row r="42" spans="9:9" x14ac:dyDescent="0.35">
      <c r="I42"/>
    </row>
    <row r="43" spans="9:9" x14ac:dyDescent="0.35">
      <c r="I43"/>
    </row>
  </sheetData>
  <sortState xmlns:xlrd2="http://schemas.microsoft.com/office/spreadsheetml/2017/richdata2" ref="A2:F24">
    <sortCondition ref="A1:A24"/>
  </sortState>
  <conditionalFormatting sqref="D1:D25">
    <cfRule type="cellIs" dxfId="1" priority="1" operator="equal">
      <formula>$L$11</formula>
    </cfRule>
    <cfRule type="cellIs" dxfId="0" priority="2" operator="equal">
      <formula>TODAY()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Maru, Dharmesh</dc:creator>
  <cp:lastModifiedBy>Maru, Dharmesh</cp:lastModifiedBy>
  <dcterms:created xsi:type="dcterms:W3CDTF">2025-10-23T15:32:18Z</dcterms:created>
  <dcterms:modified xsi:type="dcterms:W3CDTF">2025-11-19T15:25:29Z</dcterms:modified>
</cp:coreProperties>
</file>