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29" documentId="11_F25DC773A252ABDACC1048B9A99943D25BDE58ED" xr6:coauthVersionLast="47" xr6:coauthVersionMax="47" xr10:uidLastSave="{A5A0943A-1016-41E3-8971-CCE0007D2CA0}"/>
  <bookViews>
    <workbookView xWindow="-110" yWindow="-110" windowWidth="19420" windowHeight="11500" activeTab="1" xr2:uid="{00000000-000D-0000-FFFF-FFFF00000000}"/>
  </bookViews>
  <sheets>
    <sheet name="Current Outstanding" sheetId="1" r:id="rId1"/>
    <sheet name="Rahu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F26" i="1"/>
  <c r="E21" i="1"/>
  <c r="E20" i="1"/>
  <c r="E19" i="1"/>
  <c r="E17" i="1"/>
  <c r="E15" i="1"/>
  <c r="E13" i="1"/>
  <c r="E10" i="1"/>
  <c r="E9" i="1"/>
  <c r="E8" i="1"/>
  <c r="E26" i="1" s="1"/>
</calcChain>
</file>

<file path=xl/sharedStrings.xml><?xml version="1.0" encoding="utf-8"?>
<sst xmlns="http://schemas.openxmlformats.org/spreadsheetml/2006/main" count="104" uniqueCount="55">
  <si>
    <t>EMI Chart Ocotober 2025</t>
  </si>
  <si>
    <t>Owner</t>
  </si>
  <si>
    <t>Type</t>
  </si>
  <si>
    <t>Bank</t>
  </si>
  <si>
    <t>EMI Date</t>
  </si>
  <si>
    <t>Amount</t>
  </si>
  <si>
    <t>Outstanding</t>
  </si>
  <si>
    <t>Arun</t>
  </si>
  <si>
    <t>EMI</t>
  </si>
  <si>
    <t>ICICI ML</t>
  </si>
  <si>
    <t>Credit card Repayment</t>
  </si>
  <si>
    <t>ALL CC</t>
  </si>
  <si>
    <t xml:space="preserve">Arun </t>
  </si>
  <si>
    <t>ICICI</t>
  </si>
  <si>
    <t>Chetan HDFC</t>
  </si>
  <si>
    <t>HDFC</t>
  </si>
  <si>
    <t>Chetan SIP</t>
  </si>
  <si>
    <t>CC</t>
  </si>
  <si>
    <t>IDFC</t>
  </si>
  <si>
    <t>Dharmesh</t>
  </si>
  <si>
    <t>HDFC CC</t>
  </si>
  <si>
    <t>Tata Card CC</t>
  </si>
  <si>
    <t>SBI CC</t>
  </si>
  <si>
    <t>Bajaj</t>
  </si>
  <si>
    <t>HDFC PL</t>
  </si>
  <si>
    <t>Axis Priveldege</t>
  </si>
  <si>
    <t>RBL CC</t>
  </si>
  <si>
    <t>Citi -Axis</t>
  </si>
  <si>
    <t>Axis MM</t>
  </si>
  <si>
    <t>Narottam</t>
  </si>
  <si>
    <t>Bharat bank</t>
  </si>
  <si>
    <t>Vinod</t>
  </si>
  <si>
    <t>HDFC Jumbo</t>
  </si>
  <si>
    <t>Yagnesh</t>
  </si>
  <si>
    <t>RBL</t>
  </si>
  <si>
    <t>HSBC CC</t>
  </si>
  <si>
    <t>AXIS Citi</t>
  </si>
  <si>
    <t>Total</t>
  </si>
  <si>
    <r>
      <rPr>
        <sz val="10"/>
        <rFont val="Arial MT"/>
        <family val="2"/>
      </rPr>
      <t>Date</t>
    </r>
  </si>
  <si>
    <r>
      <rPr>
        <b/>
        <sz val="10"/>
        <rFont val="Arial"/>
        <family val="2"/>
      </rPr>
      <t>Particulars</t>
    </r>
  </si>
  <si>
    <r>
      <rPr>
        <sz val="10"/>
        <rFont val="Arial MT"/>
        <family val="2"/>
      </rPr>
      <t>Vch Type                                  Vch No.</t>
    </r>
  </si>
  <si>
    <r>
      <rPr>
        <b/>
        <sz val="10"/>
        <rFont val="Arial"/>
        <family val="2"/>
      </rPr>
      <t>Debit</t>
    </r>
  </si>
  <si>
    <r>
      <rPr>
        <b/>
        <sz val="10"/>
        <rFont val="Arial"/>
        <family val="2"/>
      </rPr>
      <t>Icici Bank</t>
    </r>
  </si>
  <si>
    <r>
      <rPr>
        <b/>
        <sz val="9"/>
        <rFont val="Arial"/>
        <family val="2"/>
      </rPr>
      <t xml:space="preserve">Payment                                                  </t>
    </r>
    <r>
      <rPr>
        <vertAlign val="subscript"/>
        <sz val="9"/>
        <rFont val="Arial MT"/>
        <family val="2"/>
      </rPr>
      <t>28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</si>
  <si>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200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</si>
  <si>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202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</si>
  <si>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208</t>
    </r>
  </si>
  <si>
    <r>
      <rPr>
        <b/>
        <sz val="10"/>
        <rFont val="Arial"/>
        <family val="2"/>
      </rPr>
      <t>Hdfc Bank-Saving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</si>
  <si>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214</t>
    </r>
  </si>
  <si>
    <r>
      <rPr>
        <b/>
        <sz val="9"/>
        <rFont val="Arial"/>
        <family val="2"/>
      </rPr>
      <t xml:space="preserve">Payment                                                </t>
    </r>
    <r>
      <rPr>
        <vertAlign val="subscript"/>
        <sz val="9"/>
        <rFont val="Arial MT"/>
        <family val="2"/>
      </rPr>
      <t>215</t>
    </r>
  </si>
  <si>
    <t>Interest From Advance</t>
  </si>
  <si>
    <t>Journal</t>
  </si>
  <si>
    <r>
      <rPr>
        <b/>
        <sz val="9"/>
        <rFont val="Arial"/>
        <family val="2"/>
      </rPr>
      <t>Journal</t>
    </r>
  </si>
  <si>
    <r>
      <rPr>
        <b/>
        <sz val="9"/>
        <rFont val="Arial"/>
        <family val="2"/>
      </rPr>
      <t>Payment</t>
    </r>
  </si>
  <si>
    <r>
      <rPr>
        <b/>
        <sz val="10"/>
        <rFont val="Arial"/>
        <family val="2"/>
      </rPr>
      <t>Interest From Advance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</si>
</sst>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dd/mmm/yyyy"/>
    <numFmt numFmtId="165" formatCode="_ &quot;₹&quot;\ * #,##0_ ;_ &quot;₹&quot;\ * \-#,##0_ ;_ &quot;₹&quot;\ * &quot;-&quot;??_ ;_ @_ "/>
    <numFmt numFmtId="166" formatCode="_ &quot;₹&quot;\ * #,##0.0_ ;_ &quot;₹&quot;\ * \-#,##0.0_ ;_ &quot;₹&quot;\ * &quot;-&quot;?_ ;_ @_ "/>
    <numFmt numFmtId="167" formatCode="d\-mmm\-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MT"/>
    </font>
    <font>
      <sz val="10"/>
      <name val="Arial MT"/>
      <family val="2"/>
    </font>
    <font>
      <b/>
      <sz val="10"/>
      <name val="Arial"/>
      <family val="2"/>
    </font>
    <font>
      <sz val="9"/>
      <color rgb="FF000000"/>
      <name val="Arial MT"/>
      <family val="2"/>
    </font>
    <font>
      <b/>
      <sz val="9"/>
      <name val="Arial"/>
      <family val="2"/>
    </font>
    <font>
      <vertAlign val="subscript"/>
      <sz val="9"/>
      <name val="Arial MT"/>
      <family val="2"/>
    </font>
    <font>
      <sz val="10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/>
    <xf numFmtId="164" fontId="0" fillId="0" borderId="0" xfId="0" applyNumberFormat="1" applyAlignment="1">
      <alignment horizontal="center" vertical="center"/>
    </xf>
    <xf numFmtId="166" fontId="0" fillId="0" borderId="0" xfId="0" applyNumberFormat="1"/>
    <xf numFmtId="165" fontId="0" fillId="0" borderId="0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5" fontId="2" fillId="0" borderId="10" xfId="1" applyNumberFormat="1" applyFont="1" applyBorder="1" applyAlignment="1"/>
    <xf numFmtId="0" fontId="3" fillId="0" borderId="11" xfId="0" applyFont="1" applyBorder="1" applyAlignment="1">
      <alignment horizontal="left" vertical="top" wrapText="1" indent="3"/>
    </xf>
    <xf numFmtId="0" fontId="5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vertical="top" wrapText="1"/>
    </xf>
    <xf numFmtId="0" fontId="5" fillId="0" borderId="11" xfId="0" applyFont="1" applyBorder="1" applyAlignment="1">
      <alignment horizontal="left" vertical="top" wrapText="1" indent="7"/>
    </xf>
    <xf numFmtId="167" fontId="6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left" vertical="top" wrapText="1" inden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165" fontId="3" fillId="0" borderId="0" xfId="1" applyNumberFormat="1" applyFont="1" applyAlignment="1">
      <alignment horizontal="center" vertical="top" wrapText="1"/>
    </xf>
    <xf numFmtId="165" fontId="3" fillId="0" borderId="12" xfId="1" applyNumberFormat="1" applyFont="1" applyBorder="1" applyAlignment="1">
      <alignment horizontal="center" vertical="top" wrapText="1"/>
    </xf>
    <xf numFmtId="165" fontId="9" fillId="0" borderId="0" xfId="1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K7" sqref="K7"/>
    </sheetView>
  </sheetViews>
  <sheetFormatPr defaultRowHeight="14.5"/>
  <cols>
    <col min="1" max="1" width="11.7265625" bestFit="1" customWidth="1"/>
    <col min="2" max="2" width="20.90625" bestFit="1" customWidth="1"/>
    <col min="3" max="3" width="13.26953125" bestFit="1" customWidth="1"/>
    <col min="4" max="4" width="11.26953125" bestFit="1" customWidth="1"/>
    <col min="5" max="5" width="10.26953125" bestFit="1" customWidth="1"/>
    <col min="6" max="6" width="12.90625" bestFit="1" customWidth="1"/>
  </cols>
  <sheetData>
    <row r="1" spans="1:6" ht="15" thickBot="1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6" t="s">
        <v>7</v>
      </c>
      <c r="B3" s="7" t="s">
        <v>8</v>
      </c>
      <c r="C3" s="7" t="s">
        <v>9</v>
      </c>
      <c r="D3" s="8">
        <v>45966</v>
      </c>
      <c r="E3" s="9">
        <v>37000</v>
      </c>
      <c r="F3" s="9">
        <v>2368000</v>
      </c>
    </row>
    <row r="4" spans="1:6">
      <c r="A4" s="10" t="s">
        <v>7</v>
      </c>
      <c r="B4" s="11" t="s">
        <v>10</v>
      </c>
      <c r="C4" s="10" t="s">
        <v>11</v>
      </c>
      <c r="D4" s="12">
        <v>45971</v>
      </c>
      <c r="E4" s="13">
        <v>70000</v>
      </c>
      <c r="F4" s="14">
        <v>500000</v>
      </c>
    </row>
    <row r="5" spans="1:6">
      <c r="A5" s="6" t="s">
        <v>12</v>
      </c>
      <c r="B5" s="7" t="s">
        <v>8</v>
      </c>
      <c r="C5" s="7" t="s">
        <v>13</v>
      </c>
      <c r="D5" s="8">
        <v>45971</v>
      </c>
      <c r="E5" s="9">
        <v>35000</v>
      </c>
      <c r="F5" s="9">
        <v>608000</v>
      </c>
    </row>
    <row r="6" spans="1:6">
      <c r="A6" s="6" t="s">
        <v>14</v>
      </c>
      <c r="B6" s="7" t="s">
        <v>8</v>
      </c>
      <c r="C6" s="7" t="s">
        <v>15</v>
      </c>
      <c r="D6" s="8">
        <v>45967</v>
      </c>
      <c r="E6" s="9">
        <v>12900</v>
      </c>
      <c r="F6" s="9">
        <v>750000</v>
      </c>
    </row>
    <row r="7" spans="1:6">
      <c r="A7" s="6" t="s">
        <v>16</v>
      </c>
      <c r="B7" s="7" t="s">
        <v>17</v>
      </c>
      <c r="C7" s="7" t="s">
        <v>18</v>
      </c>
      <c r="D7" s="8">
        <v>45965</v>
      </c>
      <c r="E7" s="9">
        <v>20000</v>
      </c>
      <c r="F7" s="9">
        <v>360000</v>
      </c>
    </row>
    <row r="8" spans="1:6">
      <c r="A8" s="6" t="s">
        <v>19</v>
      </c>
      <c r="B8" s="7" t="s">
        <v>17</v>
      </c>
      <c r="C8" s="7" t="s">
        <v>20</v>
      </c>
      <c r="D8" s="8">
        <v>45956</v>
      </c>
      <c r="E8" s="9">
        <f>F8*0.022</f>
        <v>6006</v>
      </c>
      <c r="F8" s="9">
        <v>273000</v>
      </c>
    </row>
    <row r="9" spans="1:6">
      <c r="A9" s="6" t="s">
        <v>19</v>
      </c>
      <c r="B9" s="7" t="s">
        <v>17</v>
      </c>
      <c r="C9" s="7" t="s">
        <v>21</v>
      </c>
      <c r="D9" s="8">
        <v>45960</v>
      </c>
      <c r="E9" s="9">
        <f>F9*0.0215</f>
        <v>537.5</v>
      </c>
      <c r="F9" s="9">
        <v>25000</v>
      </c>
    </row>
    <row r="10" spans="1:6">
      <c r="A10" s="6" t="s">
        <v>19</v>
      </c>
      <c r="B10" s="7" t="s">
        <v>17</v>
      </c>
      <c r="C10" s="7" t="s">
        <v>22</v>
      </c>
      <c r="D10" s="8">
        <v>45965</v>
      </c>
      <c r="E10" s="9">
        <f>F10*0.025</f>
        <v>1725</v>
      </c>
      <c r="F10" s="9">
        <v>69000</v>
      </c>
    </row>
    <row r="11" spans="1:6">
      <c r="A11" s="6" t="s">
        <v>19</v>
      </c>
      <c r="B11" s="7" t="s">
        <v>17</v>
      </c>
      <c r="C11" s="7" t="s">
        <v>23</v>
      </c>
      <c r="D11" s="8">
        <v>45965</v>
      </c>
      <c r="E11" s="9">
        <v>18600</v>
      </c>
      <c r="F11" s="9">
        <v>450000</v>
      </c>
    </row>
    <row r="12" spans="1:6">
      <c r="A12" s="6" t="s">
        <v>19</v>
      </c>
      <c r="B12" s="7" t="s">
        <v>8</v>
      </c>
      <c r="C12" s="7" t="s">
        <v>24</v>
      </c>
      <c r="D12" s="8">
        <v>45967</v>
      </c>
      <c r="E12" s="9">
        <v>59663</v>
      </c>
      <c r="F12" s="9">
        <v>2800000</v>
      </c>
    </row>
    <row r="13" spans="1:6">
      <c r="A13" s="6" t="s">
        <v>19</v>
      </c>
      <c r="B13" s="7" t="s">
        <v>17</v>
      </c>
      <c r="C13" s="7" t="s">
        <v>25</v>
      </c>
      <c r="D13" s="8">
        <v>45968</v>
      </c>
      <c r="E13" s="9">
        <f>F13*0.025</f>
        <v>6143.2750000000005</v>
      </c>
      <c r="F13" s="9">
        <v>245731</v>
      </c>
    </row>
    <row r="14" spans="1:6">
      <c r="A14" s="6" t="s">
        <v>19</v>
      </c>
      <c r="B14" s="7" t="s">
        <v>17</v>
      </c>
      <c r="C14" s="7" t="s">
        <v>26</v>
      </c>
      <c r="D14" s="8">
        <v>45968</v>
      </c>
      <c r="E14" s="9">
        <v>1100</v>
      </c>
      <c r="F14" s="9">
        <v>17000</v>
      </c>
    </row>
    <row r="15" spans="1:6">
      <c r="A15" s="6" t="s">
        <v>19</v>
      </c>
      <c r="B15" s="7" t="s">
        <v>17</v>
      </c>
      <c r="C15" s="7" t="s">
        <v>22</v>
      </c>
      <c r="D15" s="8">
        <v>45971</v>
      </c>
      <c r="E15" s="9">
        <f>F15*0.0218</f>
        <v>1635</v>
      </c>
      <c r="F15" s="9">
        <v>75000</v>
      </c>
    </row>
    <row r="16" spans="1:6">
      <c r="A16" s="6" t="s">
        <v>19</v>
      </c>
      <c r="B16" s="7" t="s">
        <v>17</v>
      </c>
      <c r="C16" s="7" t="s">
        <v>27</v>
      </c>
      <c r="D16" s="8">
        <v>45971</v>
      </c>
      <c r="E16" s="9">
        <v>3891</v>
      </c>
      <c r="F16" s="9">
        <v>31800</v>
      </c>
    </row>
    <row r="17" spans="1:6">
      <c r="A17" s="6" t="s">
        <v>19</v>
      </c>
      <c r="B17" s="7" t="s">
        <v>17</v>
      </c>
      <c r="C17" s="7" t="s">
        <v>28</v>
      </c>
      <c r="D17" s="8">
        <v>45971</v>
      </c>
      <c r="E17" s="9">
        <f>F17*0.025</f>
        <v>6825</v>
      </c>
      <c r="F17" s="9">
        <v>273000</v>
      </c>
    </row>
    <row r="18" spans="1:6">
      <c r="A18" s="6" t="s">
        <v>29</v>
      </c>
      <c r="B18" s="7" t="s">
        <v>8</v>
      </c>
      <c r="C18" s="7" t="s">
        <v>30</v>
      </c>
      <c r="D18" s="8">
        <v>45971</v>
      </c>
      <c r="E18" s="9">
        <v>35000</v>
      </c>
      <c r="F18" s="9">
        <v>3400000</v>
      </c>
    </row>
    <row r="19" spans="1:6">
      <c r="A19" s="6" t="s">
        <v>31</v>
      </c>
      <c r="B19" s="7" t="s">
        <v>17</v>
      </c>
      <c r="C19" s="7" t="s">
        <v>22</v>
      </c>
      <c r="D19" s="8">
        <v>45962</v>
      </c>
      <c r="E19" s="9">
        <f>F19*0.025</f>
        <v>9375</v>
      </c>
      <c r="F19" s="9">
        <v>375000</v>
      </c>
    </row>
    <row r="20" spans="1:6">
      <c r="A20" s="6" t="s">
        <v>31</v>
      </c>
      <c r="B20" s="7" t="s">
        <v>17</v>
      </c>
      <c r="C20" s="7" t="s">
        <v>32</v>
      </c>
      <c r="D20" s="8">
        <v>45966</v>
      </c>
      <c r="E20" s="9">
        <f>6538+8530</f>
        <v>15068</v>
      </c>
      <c r="F20" s="9">
        <v>250000</v>
      </c>
    </row>
    <row r="21" spans="1:6">
      <c r="A21" s="6" t="s">
        <v>31</v>
      </c>
      <c r="B21" s="7" t="s">
        <v>17</v>
      </c>
      <c r="C21" s="7" t="s">
        <v>20</v>
      </c>
      <c r="D21" s="8">
        <v>45967</v>
      </c>
      <c r="E21" s="9">
        <f>F21*0.0215</f>
        <v>14662.999999999998</v>
      </c>
      <c r="F21" s="9">
        <v>682000</v>
      </c>
    </row>
    <row r="22" spans="1:6">
      <c r="A22" s="6" t="s">
        <v>33</v>
      </c>
      <c r="B22" s="7" t="s">
        <v>17</v>
      </c>
      <c r="C22" s="7" t="s">
        <v>34</v>
      </c>
      <c r="D22" s="8">
        <v>45963</v>
      </c>
      <c r="E22" s="9">
        <v>9823</v>
      </c>
      <c r="F22" s="9">
        <v>200000</v>
      </c>
    </row>
    <row r="23" spans="1:6">
      <c r="A23" s="6" t="s">
        <v>33</v>
      </c>
      <c r="B23" s="7" t="s">
        <v>17</v>
      </c>
      <c r="C23" s="7" t="s">
        <v>35</v>
      </c>
      <c r="D23" s="8">
        <v>45968</v>
      </c>
      <c r="E23" s="9">
        <v>13185</v>
      </c>
      <c r="F23" s="9">
        <v>217000</v>
      </c>
    </row>
    <row r="24" spans="1:6">
      <c r="A24" s="6" t="s">
        <v>33</v>
      </c>
      <c r="B24" s="7" t="s">
        <v>17</v>
      </c>
      <c r="C24" s="7" t="s">
        <v>20</v>
      </c>
      <c r="D24" s="8">
        <v>45970</v>
      </c>
      <c r="E24" s="9">
        <v>11532</v>
      </c>
      <c r="F24" s="9">
        <v>205000</v>
      </c>
    </row>
    <row r="25" spans="1:6">
      <c r="A25" s="15" t="s">
        <v>33</v>
      </c>
      <c r="B25" s="10" t="s">
        <v>17</v>
      </c>
      <c r="C25" s="16" t="s">
        <v>36</v>
      </c>
      <c r="D25" s="8">
        <v>45971</v>
      </c>
      <c r="E25" s="17">
        <v>6500</v>
      </c>
      <c r="F25" s="18">
        <v>108000</v>
      </c>
    </row>
    <row r="26" spans="1:6" ht="15" thickBot="1">
      <c r="A26" s="19" t="s">
        <v>37</v>
      </c>
      <c r="B26" s="20"/>
      <c r="C26" s="20"/>
      <c r="D26" s="21"/>
      <c r="E26" s="22">
        <f>SUM(E3:E25)</f>
        <v>396171.77500000002</v>
      </c>
      <c r="F26" s="22">
        <f>SUM(F3:F25)</f>
        <v>14282531</v>
      </c>
    </row>
  </sheetData>
  <mergeCells count="2">
    <mergeCell ref="A1:F1"/>
    <mergeCell ref="A26:C26"/>
  </mergeCells>
  <conditionalFormatting sqref="D1:D26">
    <cfRule type="cellIs" dxfId="1" priority="1" operator="equal">
      <formula>$L$11</formula>
    </cfRule>
    <cfRule type="cellIs" dxfId="0" priority="2" operator="equal">
      <formula>TODAY()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8994-48E1-4EA7-84BD-0DA46461C915}">
  <dimension ref="A1:D16"/>
  <sheetViews>
    <sheetView tabSelected="1" topLeftCell="A9" workbookViewId="0">
      <selection activeCell="B22" sqref="B22"/>
    </sheetView>
  </sheetViews>
  <sheetFormatPr defaultRowHeight="14.5"/>
  <cols>
    <col min="4" max="4" width="14.90625" bestFit="1" customWidth="1"/>
  </cols>
  <sheetData>
    <row r="1" spans="1:4" ht="26">
      <c r="A1" s="23" t="s">
        <v>38</v>
      </c>
      <c r="B1" s="24" t="s">
        <v>39</v>
      </c>
      <c r="C1" s="25" t="s">
        <v>40</v>
      </c>
      <c r="D1" s="26" t="s">
        <v>41</v>
      </c>
    </row>
    <row r="2" spans="1:4" ht="26">
      <c r="A2" s="27">
        <v>43585</v>
      </c>
      <c r="B2" s="28" t="s">
        <v>42</v>
      </c>
      <c r="C2" s="29" t="s">
        <v>43</v>
      </c>
      <c r="D2" s="32">
        <v>1000000</v>
      </c>
    </row>
    <row r="3" spans="1:4" ht="26">
      <c r="A3" s="27">
        <v>43832</v>
      </c>
      <c r="B3" s="28" t="s">
        <v>42</v>
      </c>
      <c r="C3" s="29" t="s">
        <v>44</v>
      </c>
      <c r="D3" s="32">
        <v>1500000</v>
      </c>
    </row>
    <row r="4" spans="1:4" ht="26">
      <c r="A4" s="27">
        <v>43833</v>
      </c>
      <c r="B4" s="28" t="s">
        <v>42</v>
      </c>
      <c r="C4" s="29" t="s">
        <v>45</v>
      </c>
      <c r="D4" s="32">
        <v>500000</v>
      </c>
    </row>
    <row r="5" spans="1:4" ht="26">
      <c r="A5" s="27">
        <v>43843</v>
      </c>
      <c r="B5" s="28" t="s">
        <v>42</v>
      </c>
      <c r="C5" s="29" t="s">
        <v>46</v>
      </c>
      <c r="D5" s="32">
        <v>400000</v>
      </c>
    </row>
    <row r="6" spans="1:4" ht="39">
      <c r="A6" s="27">
        <v>43844</v>
      </c>
      <c r="B6" s="28" t="s">
        <v>47</v>
      </c>
      <c r="C6" s="29" t="s">
        <v>48</v>
      </c>
      <c r="D6" s="32">
        <v>500000</v>
      </c>
    </row>
    <row r="7" spans="1:4" ht="26">
      <c r="A7" s="27">
        <v>43847</v>
      </c>
      <c r="B7" s="28" t="s">
        <v>42</v>
      </c>
      <c r="C7" s="29" t="s">
        <v>49</v>
      </c>
      <c r="D7" s="32">
        <v>100000</v>
      </c>
    </row>
    <row r="8" spans="1:4" ht="52">
      <c r="A8" s="27">
        <v>43921</v>
      </c>
      <c r="B8" s="28" t="s">
        <v>50</v>
      </c>
      <c r="C8" s="29" t="s">
        <v>51</v>
      </c>
      <c r="D8" s="32">
        <v>194717</v>
      </c>
    </row>
    <row r="9" spans="1:4">
      <c r="A9" s="27">
        <v>44286</v>
      </c>
      <c r="B9" s="35"/>
      <c r="C9" s="30" t="s">
        <v>52</v>
      </c>
      <c r="D9" s="33">
        <v>470490</v>
      </c>
    </row>
    <row r="10" spans="1:4">
      <c r="A10" s="27">
        <v>44651</v>
      </c>
      <c r="B10" s="35"/>
      <c r="C10" s="30" t="s">
        <v>52</v>
      </c>
      <c r="D10" s="33">
        <v>467903</v>
      </c>
    </row>
    <row r="11" spans="1:4" ht="26">
      <c r="A11" s="27">
        <v>44991</v>
      </c>
      <c r="B11" s="28" t="s">
        <v>42</v>
      </c>
      <c r="C11" s="30" t="s">
        <v>53</v>
      </c>
      <c r="D11" s="32">
        <v>150000</v>
      </c>
    </row>
    <row r="12" spans="1:4" ht="52">
      <c r="A12" s="27">
        <v>45016</v>
      </c>
      <c r="B12" s="28" t="s">
        <v>54</v>
      </c>
      <c r="C12" s="30" t="s">
        <v>51</v>
      </c>
      <c r="D12" s="32">
        <v>445048</v>
      </c>
    </row>
    <row r="13" spans="1:4" ht="23">
      <c r="A13" s="27">
        <v>45055</v>
      </c>
      <c r="B13" s="35"/>
      <c r="C13" s="30" t="s">
        <v>53</v>
      </c>
      <c r="D13" s="34">
        <v>50000</v>
      </c>
    </row>
    <row r="14" spans="1:4" ht="23">
      <c r="A14" s="31"/>
      <c r="B14" s="35"/>
      <c r="C14" s="30" t="s">
        <v>53</v>
      </c>
      <c r="D14" s="34">
        <v>50000</v>
      </c>
    </row>
    <row r="15" spans="1:4">
      <c r="A15" s="27">
        <v>45382</v>
      </c>
      <c r="B15" s="35"/>
      <c r="C15" s="30" t="s">
        <v>52</v>
      </c>
      <c r="D15" s="33">
        <v>173323</v>
      </c>
    </row>
    <row r="16" spans="1:4">
      <c r="D16" s="33">
        <f>SUM(D2:D15)</f>
        <v>6001481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Outstanding</vt:lpstr>
      <vt:lpstr>Rahul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2015-06-05T18:17:20Z</dcterms:created>
  <dcterms:modified xsi:type="dcterms:W3CDTF">2025-11-03T04:16:38Z</dcterms:modified>
</cp:coreProperties>
</file>