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capgemini-my.sharepoint.com/personal/dharmesh_maru_capgemini_com/Documents/Desktop/Dharmesh Personal Doc/Sadhana Dropbox/Loan Details/"/>
    </mc:Choice>
  </mc:AlternateContent>
  <xr:revisionPtr revIDLastSave="13" documentId="13_ncr:1_{F1044B92-5332-4A56-AD39-6CB84D7319D6}" xr6:coauthVersionLast="47" xr6:coauthVersionMax="47" xr10:uidLastSave="{5EE70DE7-0774-4064-9DF9-053E5074FF91}"/>
  <bookViews>
    <workbookView xWindow="-110" yWindow="-110" windowWidth="19420" windowHeight="11500" tabRatio="500" firstSheet="2" activeTab="4" xr2:uid="{00000000-000D-0000-FFFF-FFFF00000000}"/>
  </bookViews>
  <sheets>
    <sheet name="Home Expense" sheetId="3" r:id="rId1"/>
    <sheet name="Loan" sheetId="5" r:id="rId2"/>
    <sheet name="Arun Investment" sheetId="4" r:id="rId3"/>
    <sheet name="SIP and EMI Calculator" sheetId="1" r:id="rId4"/>
    <sheet name="EMI Calculator" sheetId="2" r:id="rId5"/>
  </sheets>
  <calcPr calcId="191029" calcCompleted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" i="3" l="1"/>
  <c r="B4" i="3"/>
  <c r="B10" i="3"/>
  <c r="D10" i="3"/>
  <c r="D11" i="3"/>
  <c r="N3" i="1"/>
  <c r="C8" i="1"/>
  <c r="M2" i="1"/>
  <c r="D2" i="1"/>
  <c r="D3" i="1"/>
  <c r="C7" i="1"/>
  <c r="F3" i="1"/>
  <c r="K2" i="1"/>
  <c r="H3" i="1"/>
  <c r="G3" i="1"/>
  <c r="M3" i="1"/>
  <c r="O3" i="1"/>
  <c r="K3" i="1"/>
  <c r="F4" i="1"/>
  <c r="H4" i="1"/>
  <c r="G4" i="1"/>
  <c r="K4" i="1"/>
  <c r="F5" i="1"/>
  <c r="H5" i="1"/>
  <c r="G5" i="1"/>
  <c r="K5" i="1"/>
  <c r="F6" i="1"/>
  <c r="H6" i="1"/>
  <c r="G6" i="1"/>
  <c r="K6" i="1"/>
  <c r="F7" i="1"/>
  <c r="H7" i="1"/>
  <c r="G7" i="1"/>
  <c r="K7" i="1"/>
  <c r="F8" i="1"/>
  <c r="H8" i="1"/>
  <c r="G8" i="1"/>
  <c r="K8" i="1"/>
  <c r="F9" i="1"/>
  <c r="H9" i="1"/>
  <c r="G9" i="1"/>
  <c r="K9" i="1"/>
  <c r="F10" i="1"/>
  <c r="H10" i="1"/>
  <c r="G10" i="1"/>
  <c r="K10" i="1"/>
  <c r="F11" i="1"/>
  <c r="H11" i="1"/>
  <c r="G11" i="1"/>
  <c r="K11" i="1"/>
  <c r="F12" i="1"/>
  <c r="H12" i="1"/>
  <c r="G12" i="1"/>
  <c r="K12" i="1"/>
  <c r="F13" i="1"/>
  <c r="H13" i="1"/>
  <c r="G13" i="1"/>
  <c r="K13" i="1"/>
  <c r="F14" i="1"/>
  <c r="H14" i="1"/>
  <c r="G14" i="1"/>
  <c r="K14" i="1"/>
  <c r="F15" i="1"/>
  <c r="H15" i="1"/>
  <c r="G15" i="1"/>
  <c r="K15" i="1"/>
  <c r="F16" i="1"/>
  <c r="H16" i="1"/>
  <c r="G16" i="1"/>
  <c r="K16" i="1"/>
  <c r="F17" i="1"/>
  <c r="H17" i="1"/>
  <c r="G17" i="1"/>
  <c r="K17" i="1"/>
  <c r="F18" i="1"/>
  <c r="H18" i="1"/>
  <c r="G18" i="1"/>
  <c r="K18" i="1"/>
  <c r="F19" i="1"/>
  <c r="H19" i="1"/>
  <c r="G19" i="1"/>
  <c r="K19" i="1"/>
  <c r="F20" i="1"/>
  <c r="H20" i="1"/>
  <c r="G20" i="1"/>
  <c r="K20" i="1"/>
  <c r="F21" i="1"/>
  <c r="H21" i="1"/>
  <c r="G21" i="1"/>
  <c r="K21" i="1"/>
  <c r="F22" i="1"/>
  <c r="H22" i="1"/>
  <c r="G22" i="1"/>
  <c r="K22" i="1"/>
  <c r="F23" i="1"/>
  <c r="H23" i="1"/>
  <c r="G23" i="1"/>
  <c r="K23" i="1"/>
  <c r="F24" i="1"/>
  <c r="H24" i="1"/>
  <c r="G24" i="1"/>
  <c r="K24" i="1"/>
  <c r="F25" i="1"/>
  <c r="H25" i="1"/>
  <c r="G25" i="1"/>
  <c r="K25" i="1"/>
  <c r="F26" i="1"/>
  <c r="H26" i="1"/>
  <c r="G26" i="1"/>
  <c r="K26" i="1"/>
  <c r="F27" i="1"/>
  <c r="H27" i="1"/>
  <c r="G27" i="1"/>
  <c r="K27" i="1"/>
  <c r="F28" i="1"/>
  <c r="H28" i="1"/>
  <c r="G28" i="1"/>
  <c r="K28" i="1"/>
  <c r="F29" i="1"/>
  <c r="H29" i="1"/>
  <c r="G29" i="1"/>
  <c r="K29" i="1"/>
  <c r="F30" i="1"/>
  <c r="H30" i="1"/>
  <c r="G30" i="1"/>
  <c r="K30" i="1"/>
  <c r="F31" i="1"/>
  <c r="H31" i="1"/>
  <c r="G31" i="1"/>
  <c r="K31" i="1"/>
  <c r="F32" i="1"/>
  <c r="H32" i="1"/>
  <c r="G32" i="1"/>
  <c r="K32" i="1"/>
  <c r="F33" i="1"/>
  <c r="H33" i="1"/>
  <c r="G33" i="1"/>
  <c r="K33" i="1"/>
  <c r="F34" i="1"/>
  <c r="H34" i="1"/>
  <c r="G34" i="1"/>
  <c r="K34" i="1"/>
  <c r="F35" i="1"/>
  <c r="H35" i="1"/>
  <c r="G35" i="1"/>
  <c r="K35" i="1"/>
  <c r="F36" i="1"/>
  <c r="H36" i="1"/>
  <c r="G36" i="1"/>
  <c r="K36" i="1"/>
  <c r="F37" i="1"/>
  <c r="H37" i="1"/>
  <c r="G37" i="1"/>
  <c r="K37" i="1"/>
  <c r="F38" i="1"/>
  <c r="H38" i="1"/>
  <c r="G38" i="1"/>
  <c r="K38" i="1"/>
  <c r="F39" i="1"/>
  <c r="H39" i="1"/>
  <c r="G39" i="1"/>
  <c r="K39" i="1"/>
  <c r="F40" i="1"/>
  <c r="H40" i="1"/>
  <c r="G40" i="1"/>
  <c r="K40" i="1"/>
  <c r="F41" i="1"/>
  <c r="H41" i="1"/>
  <c r="G41" i="1"/>
  <c r="K41" i="1"/>
  <c r="F42" i="1"/>
  <c r="H42" i="1"/>
  <c r="G42" i="1"/>
  <c r="K42" i="1"/>
  <c r="F43" i="1"/>
  <c r="H43" i="1"/>
  <c r="G43" i="1"/>
  <c r="K43" i="1"/>
  <c r="F44" i="1"/>
  <c r="H44" i="1"/>
  <c r="G44" i="1"/>
  <c r="K44" i="1"/>
  <c r="F45" i="1"/>
  <c r="H45" i="1"/>
  <c r="G45" i="1"/>
  <c r="K45" i="1"/>
  <c r="F46" i="1"/>
  <c r="H46" i="1"/>
  <c r="G46" i="1"/>
  <c r="K46" i="1"/>
  <c r="F47" i="1"/>
  <c r="H47" i="1"/>
  <c r="G47" i="1"/>
  <c r="K47" i="1"/>
  <c r="F48" i="1"/>
  <c r="H48" i="1"/>
  <c r="G48" i="1"/>
  <c r="K48" i="1"/>
  <c r="F49" i="1"/>
  <c r="H49" i="1"/>
  <c r="G49" i="1"/>
  <c r="K49" i="1"/>
  <c r="F50" i="1"/>
  <c r="H50" i="1"/>
  <c r="G50" i="1"/>
  <c r="K50" i="1"/>
  <c r="F51" i="1"/>
  <c r="H51" i="1"/>
  <c r="G51" i="1"/>
  <c r="K51" i="1"/>
  <c r="F52" i="1"/>
  <c r="H52" i="1"/>
  <c r="G52" i="1"/>
  <c r="K52" i="1"/>
  <c r="F53" i="1"/>
  <c r="H53" i="1"/>
  <c r="G53" i="1"/>
  <c r="K53" i="1"/>
  <c r="F54" i="1"/>
  <c r="H54" i="1"/>
  <c r="G54" i="1"/>
  <c r="K54" i="1"/>
  <c r="F55" i="1"/>
  <c r="H55" i="1"/>
  <c r="G55" i="1"/>
  <c r="K55" i="1"/>
  <c r="F56" i="1"/>
  <c r="H56" i="1"/>
  <c r="G56" i="1"/>
  <c r="K56" i="1"/>
  <c r="F57" i="1"/>
  <c r="H57" i="1"/>
  <c r="G57" i="1"/>
  <c r="K57" i="1"/>
  <c r="F58" i="1"/>
  <c r="H58" i="1"/>
  <c r="G58" i="1"/>
  <c r="K58" i="1"/>
  <c r="F59" i="1"/>
  <c r="H59" i="1"/>
  <c r="G59" i="1"/>
  <c r="K59" i="1"/>
  <c r="F60" i="1"/>
  <c r="H60" i="1"/>
  <c r="G60" i="1"/>
  <c r="K60" i="1"/>
  <c r="F61" i="1"/>
  <c r="H61" i="1"/>
  <c r="G61" i="1"/>
  <c r="K61" i="1"/>
  <c r="F62" i="1"/>
  <c r="H62" i="1"/>
  <c r="G62" i="1"/>
  <c r="K62" i="1"/>
  <c r="F63" i="1"/>
  <c r="H63" i="1"/>
  <c r="G63" i="1"/>
  <c r="K63" i="1"/>
  <c r="F64" i="1"/>
  <c r="H64" i="1"/>
  <c r="G64" i="1"/>
  <c r="K64" i="1"/>
  <c r="F65" i="1"/>
  <c r="H65" i="1"/>
  <c r="G65" i="1"/>
  <c r="K65" i="1"/>
  <c r="F66" i="1"/>
  <c r="H66" i="1"/>
  <c r="G66" i="1"/>
  <c r="K66" i="1"/>
  <c r="F67" i="1"/>
  <c r="H67" i="1"/>
  <c r="G67" i="1"/>
  <c r="K67" i="1"/>
  <c r="F68" i="1"/>
  <c r="H68" i="1"/>
  <c r="G68" i="1"/>
  <c r="K68" i="1"/>
  <c r="F69" i="1"/>
  <c r="H69" i="1"/>
  <c r="G69" i="1"/>
  <c r="K69" i="1"/>
  <c r="F70" i="1"/>
  <c r="H70" i="1"/>
  <c r="G70" i="1"/>
  <c r="K70" i="1"/>
  <c r="F71" i="1"/>
  <c r="H71" i="1"/>
  <c r="G71" i="1"/>
  <c r="K71" i="1"/>
  <c r="F72" i="1"/>
  <c r="H72" i="1"/>
  <c r="G72" i="1"/>
  <c r="K72" i="1"/>
  <c r="F73" i="1"/>
  <c r="H73" i="1"/>
  <c r="G73" i="1"/>
  <c r="K73" i="1"/>
  <c r="F74" i="1"/>
  <c r="H74" i="1"/>
  <c r="G74" i="1"/>
  <c r="K74" i="1"/>
  <c r="F75" i="1"/>
  <c r="H75" i="1"/>
  <c r="G75" i="1"/>
  <c r="K75" i="1"/>
  <c r="F76" i="1"/>
  <c r="H76" i="1"/>
  <c r="G76" i="1"/>
  <c r="K76" i="1"/>
  <c r="F77" i="1"/>
  <c r="H77" i="1"/>
  <c r="G77" i="1"/>
  <c r="K77" i="1"/>
  <c r="F78" i="1"/>
  <c r="H78" i="1"/>
  <c r="G78" i="1"/>
  <c r="K78" i="1"/>
  <c r="F79" i="1"/>
  <c r="H79" i="1"/>
  <c r="G79" i="1"/>
  <c r="K79" i="1"/>
  <c r="F80" i="1"/>
  <c r="H80" i="1"/>
  <c r="G80" i="1"/>
  <c r="K80" i="1"/>
  <c r="F81" i="1"/>
  <c r="H81" i="1"/>
  <c r="G81" i="1"/>
  <c r="K81" i="1"/>
  <c r="F82" i="1"/>
  <c r="H82" i="1"/>
  <c r="G82" i="1"/>
  <c r="K82" i="1"/>
  <c r="F83" i="1"/>
  <c r="H83" i="1"/>
  <c r="G83" i="1"/>
  <c r="K83" i="1"/>
  <c r="F84" i="1"/>
  <c r="H84" i="1"/>
  <c r="G84" i="1"/>
  <c r="K84" i="1"/>
  <c r="F85" i="1"/>
  <c r="H85" i="1"/>
  <c r="G85" i="1"/>
  <c r="K85" i="1"/>
  <c r="F86" i="1"/>
  <c r="H86" i="1"/>
  <c r="G86" i="1"/>
  <c r="K86" i="1"/>
  <c r="F87" i="1"/>
  <c r="H87" i="1"/>
  <c r="G87" i="1"/>
  <c r="K87" i="1"/>
  <c r="F88" i="1"/>
  <c r="H88" i="1"/>
  <c r="G88" i="1"/>
  <c r="K88" i="1"/>
  <c r="F89" i="1"/>
  <c r="H89" i="1"/>
  <c r="G89" i="1"/>
  <c r="K89" i="1"/>
  <c r="F90" i="1"/>
  <c r="H90" i="1"/>
  <c r="G90" i="1"/>
  <c r="K90" i="1"/>
  <c r="F91" i="1"/>
  <c r="H91" i="1"/>
  <c r="G91" i="1"/>
  <c r="K91" i="1"/>
  <c r="F92" i="1"/>
  <c r="H92" i="1"/>
  <c r="G92" i="1"/>
  <c r="K92" i="1"/>
  <c r="F93" i="1"/>
  <c r="H93" i="1"/>
  <c r="G93" i="1"/>
  <c r="K93" i="1"/>
  <c r="F94" i="1"/>
  <c r="H94" i="1"/>
  <c r="G94" i="1"/>
  <c r="K94" i="1"/>
  <c r="F95" i="1"/>
  <c r="H95" i="1"/>
  <c r="G95" i="1"/>
  <c r="K95" i="1"/>
  <c r="F96" i="1"/>
  <c r="H96" i="1"/>
  <c r="G96" i="1"/>
  <c r="K96" i="1"/>
  <c r="F97" i="1"/>
  <c r="H97" i="1"/>
  <c r="G97" i="1"/>
  <c r="K97" i="1"/>
  <c r="F98" i="1"/>
  <c r="H98" i="1"/>
  <c r="G98" i="1"/>
  <c r="K98" i="1"/>
  <c r="F99" i="1"/>
  <c r="H99" i="1"/>
  <c r="G99" i="1"/>
  <c r="K99" i="1"/>
  <c r="F100" i="1"/>
  <c r="H100" i="1"/>
  <c r="G100" i="1"/>
  <c r="K100" i="1"/>
  <c r="F101" i="1"/>
  <c r="H101" i="1"/>
  <c r="G101" i="1"/>
  <c r="K101" i="1"/>
  <c r="F102" i="1"/>
  <c r="H102" i="1"/>
  <c r="G102" i="1"/>
  <c r="K102" i="1"/>
  <c r="F103" i="1"/>
  <c r="H103" i="1"/>
  <c r="G103" i="1"/>
  <c r="K103" i="1"/>
  <c r="F104" i="1"/>
  <c r="H104" i="1"/>
  <c r="G104" i="1"/>
  <c r="K104" i="1"/>
  <c r="F105" i="1"/>
  <c r="H105" i="1"/>
  <c r="G105" i="1"/>
  <c r="K105" i="1"/>
  <c r="F106" i="1"/>
  <c r="H106" i="1"/>
  <c r="G106" i="1"/>
  <c r="K106" i="1"/>
  <c r="F107" i="1"/>
  <c r="H107" i="1"/>
  <c r="G107" i="1"/>
  <c r="K107" i="1"/>
  <c r="F108" i="1"/>
  <c r="H108" i="1"/>
  <c r="G108" i="1"/>
  <c r="K108" i="1"/>
  <c r="F109" i="1"/>
  <c r="H109" i="1"/>
  <c r="G109" i="1"/>
  <c r="K109" i="1"/>
  <c r="F110" i="1"/>
  <c r="H110" i="1"/>
  <c r="G110" i="1"/>
  <c r="K110" i="1"/>
  <c r="F111" i="1"/>
  <c r="H111" i="1"/>
  <c r="G111" i="1"/>
  <c r="K111" i="1"/>
  <c r="F112" i="1"/>
  <c r="H112" i="1"/>
  <c r="G112" i="1"/>
  <c r="K112" i="1"/>
  <c r="F113" i="1"/>
  <c r="H113" i="1"/>
  <c r="G113" i="1"/>
  <c r="K113" i="1"/>
  <c r="F114" i="1"/>
  <c r="H114" i="1"/>
  <c r="G114" i="1"/>
  <c r="K114" i="1"/>
  <c r="F115" i="1"/>
  <c r="H115" i="1"/>
  <c r="G115" i="1"/>
  <c r="K115" i="1"/>
  <c r="F116" i="1"/>
  <c r="H116" i="1"/>
  <c r="G116" i="1"/>
  <c r="K116" i="1"/>
  <c r="F117" i="1"/>
  <c r="H117" i="1"/>
  <c r="G117" i="1"/>
  <c r="K117" i="1"/>
  <c r="F118" i="1"/>
  <c r="H118" i="1"/>
  <c r="G118" i="1"/>
  <c r="K118" i="1"/>
  <c r="F119" i="1"/>
  <c r="H119" i="1"/>
  <c r="G119" i="1"/>
  <c r="K119" i="1"/>
  <c r="F120" i="1"/>
  <c r="H120" i="1"/>
  <c r="G120" i="1"/>
  <c r="K120" i="1"/>
  <c r="F121" i="1"/>
  <c r="H121" i="1"/>
  <c r="G121" i="1"/>
  <c r="K121" i="1"/>
  <c r="F122" i="1"/>
  <c r="H122" i="1"/>
  <c r="G122" i="1"/>
  <c r="K122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B29" i="1"/>
  <c r="C2" i="3"/>
  <c r="C4" i="3"/>
  <c r="C10" i="3"/>
  <c r="B5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K3" i="3"/>
  <c r="K2" i="3"/>
  <c r="J2" i="3"/>
  <c r="L2" i="3"/>
  <c r="J3" i="3"/>
  <c r="L3" i="3"/>
  <c r="J4" i="3"/>
  <c r="L4" i="3"/>
  <c r="L6" i="3"/>
  <c r="L5" i="3"/>
  <c r="L7" i="3"/>
  <c r="L8" i="3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4" i="1"/>
  <c r="B16" i="1"/>
  <c r="C9" i="1"/>
  <c r="C10" i="1"/>
  <c r="B17" i="1"/>
  <c r="B23" i="1"/>
  <c r="B25" i="1"/>
  <c r="B26" i="1"/>
  <c r="B27" i="1"/>
  <c r="Y3" i="1"/>
  <c r="V3" i="1"/>
  <c r="U3" i="1"/>
  <c r="U4" i="1"/>
  <c r="V4" i="1"/>
  <c r="U5" i="1"/>
  <c r="V5" i="1"/>
  <c r="U6" i="1"/>
  <c r="V6" i="1"/>
  <c r="U7" i="1"/>
  <c r="V7" i="1"/>
  <c r="U8" i="1"/>
  <c r="V8" i="1"/>
  <c r="U9" i="1"/>
  <c r="V9" i="1"/>
  <c r="U10" i="1"/>
  <c r="V10" i="1"/>
  <c r="U11" i="1"/>
  <c r="V11" i="1"/>
  <c r="U12" i="1"/>
  <c r="V12" i="1"/>
  <c r="U13" i="1"/>
  <c r="V13" i="1"/>
  <c r="U14" i="1"/>
  <c r="V14" i="1"/>
  <c r="U15" i="1"/>
  <c r="V15" i="1"/>
  <c r="U16" i="1"/>
  <c r="V16" i="1"/>
  <c r="U17" i="1"/>
  <c r="V17" i="1"/>
  <c r="U18" i="1"/>
  <c r="V18" i="1"/>
  <c r="U19" i="1"/>
  <c r="V19" i="1"/>
  <c r="U20" i="1"/>
  <c r="V20" i="1"/>
  <c r="U21" i="1"/>
  <c r="V21" i="1"/>
  <c r="U22" i="1"/>
  <c r="V22" i="1"/>
  <c r="U23" i="1"/>
  <c r="V23" i="1"/>
  <c r="U24" i="1"/>
  <c r="V24" i="1"/>
  <c r="U25" i="1"/>
  <c r="V25" i="1"/>
  <c r="U26" i="1"/>
  <c r="V26" i="1"/>
  <c r="W26" i="1"/>
  <c r="U27" i="1"/>
  <c r="V27" i="1"/>
  <c r="U28" i="1"/>
  <c r="V28" i="1"/>
  <c r="U29" i="1"/>
  <c r="V29" i="1"/>
  <c r="U30" i="1"/>
  <c r="V30" i="1"/>
  <c r="U31" i="1"/>
  <c r="V31" i="1"/>
  <c r="U32" i="1"/>
  <c r="V32" i="1"/>
  <c r="U33" i="1"/>
  <c r="V33" i="1"/>
  <c r="U34" i="1"/>
  <c r="V34" i="1"/>
  <c r="U35" i="1"/>
  <c r="V35" i="1"/>
  <c r="U36" i="1"/>
  <c r="V36" i="1"/>
  <c r="U37" i="1"/>
  <c r="V37" i="1"/>
  <c r="U38" i="1"/>
  <c r="V38" i="1"/>
  <c r="U39" i="1"/>
  <c r="V39" i="1"/>
  <c r="U40" i="1"/>
  <c r="V40" i="1"/>
  <c r="U41" i="1"/>
  <c r="V41" i="1"/>
  <c r="U42" i="1"/>
  <c r="V42" i="1"/>
  <c r="U43" i="1"/>
  <c r="V43" i="1"/>
  <c r="U44" i="1"/>
  <c r="V44" i="1"/>
  <c r="U45" i="1"/>
  <c r="V45" i="1"/>
  <c r="U46" i="1"/>
  <c r="V46" i="1"/>
  <c r="U47" i="1"/>
  <c r="V47" i="1"/>
  <c r="U48" i="1"/>
  <c r="V48" i="1"/>
  <c r="U49" i="1"/>
  <c r="V49" i="1"/>
  <c r="U50" i="1"/>
  <c r="V50" i="1"/>
  <c r="U51" i="1"/>
  <c r="V51" i="1"/>
  <c r="U52" i="1"/>
  <c r="V52" i="1"/>
  <c r="U53" i="1"/>
  <c r="V53" i="1"/>
  <c r="U54" i="1"/>
  <c r="V54" i="1"/>
  <c r="U55" i="1"/>
  <c r="V55" i="1"/>
  <c r="U56" i="1"/>
  <c r="V56" i="1"/>
  <c r="U57" i="1"/>
  <c r="V57" i="1"/>
  <c r="U58" i="1"/>
  <c r="V58" i="1"/>
  <c r="U59" i="1"/>
  <c r="V59" i="1"/>
  <c r="U60" i="1"/>
  <c r="V60" i="1"/>
  <c r="U61" i="1"/>
  <c r="V61" i="1"/>
  <c r="U62" i="1"/>
  <c r="V62" i="1"/>
  <c r="U63" i="1"/>
  <c r="V63" i="1"/>
  <c r="U64" i="1"/>
  <c r="V64" i="1"/>
  <c r="U65" i="1"/>
  <c r="V65" i="1"/>
  <c r="U66" i="1"/>
  <c r="V66" i="1"/>
  <c r="U67" i="1"/>
  <c r="V67" i="1"/>
  <c r="U68" i="1"/>
  <c r="V68" i="1"/>
  <c r="U69" i="1"/>
  <c r="V69" i="1"/>
  <c r="U70" i="1"/>
  <c r="V70" i="1"/>
  <c r="U71" i="1"/>
  <c r="V71" i="1"/>
  <c r="U72" i="1"/>
  <c r="V72" i="1"/>
  <c r="U73" i="1"/>
  <c r="V73" i="1"/>
  <c r="U74" i="1"/>
  <c r="V74" i="1"/>
  <c r="U75" i="1"/>
  <c r="V75" i="1"/>
  <c r="U76" i="1"/>
  <c r="V76" i="1"/>
  <c r="U77" i="1"/>
  <c r="V77" i="1"/>
  <c r="U78" i="1"/>
  <c r="V78" i="1"/>
  <c r="U79" i="1"/>
  <c r="V79" i="1"/>
  <c r="U80" i="1"/>
  <c r="V80" i="1"/>
  <c r="U81" i="1"/>
  <c r="V81" i="1"/>
  <c r="U82" i="1"/>
  <c r="V82" i="1"/>
  <c r="U83" i="1"/>
  <c r="V83" i="1"/>
  <c r="U84" i="1"/>
  <c r="V84" i="1"/>
  <c r="U85" i="1"/>
  <c r="V85" i="1"/>
  <c r="U86" i="1"/>
  <c r="V86" i="1"/>
  <c r="U87" i="1"/>
  <c r="V87" i="1"/>
  <c r="U88" i="1"/>
  <c r="V88" i="1"/>
  <c r="U89" i="1"/>
  <c r="V89" i="1"/>
  <c r="U90" i="1"/>
  <c r="V90" i="1"/>
  <c r="U91" i="1"/>
  <c r="V91" i="1"/>
  <c r="U92" i="1"/>
  <c r="V92" i="1"/>
  <c r="U93" i="1"/>
  <c r="V93" i="1"/>
  <c r="U94" i="1"/>
  <c r="V94" i="1"/>
  <c r="U95" i="1"/>
  <c r="V95" i="1"/>
  <c r="U96" i="1"/>
  <c r="V96" i="1"/>
  <c r="U97" i="1"/>
  <c r="V97" i="1"/>
  <c r="U98" i="1"/>
  <c r="V98" i="1"/>
  <c r="U99" i="1"/>
  <c r="V99" i="1"/>
  <c r="U100" i="1"/>
  <c r="V100" i="1"/>
  <c r="U101" i="1"/>
  <c r="V101" i="1"/>
  <c r="U102" i="1"/>
  <c r="V102" i="1"/>
  <c r="U103" i="1"/>
  <c r="V103" i="1"/>
  <c r="U104" i="1"/>
  <c r="V104" i="1"/>
  <c r="U105" i="1"/>
  <c r="V105" i="1"/>
  <c r="U106" i="1"/>
  <c r="V106" i="1"/>
  <c r="U107" i="1"/>
  <c r="V107" i="1"/>
  <c r="U108" i="1"/>
  <c r="V108" i="1"/>
  <c r="U109" i="1"/>
  <c r="V109" i="1"/>
  <c r="U110" i="1"/>
  <c r="V110" i="1"/>
  <c r="U111" i="1"/>
  <c r="V111" i="1"/>
  <c r="U112" i="1"/>
  <c r="V112" i="1"/>
  <c r="U113" i="1"/>
  <c r="V113" i="1"/>
  <c r="U114" i="1"/>
  <c r="V114" i="1"/>
  <c r="U115" i="1"/>
  <c r="V115" i="1"/>
  <c r="U116" i="1"/>
  <c r="V116" i="1"/>
  <c r="U117" i="1"/>
  <c r="V117" i="1"/>
  <c r="U118" i="1"/>
  <c r="V118" i="1"/>
  <c r="U119" i="1"/>
  <c r="V119" i="1"/>
  <c r="U120" i="1"/>
  <c r="V120" i="1"/>
  <c r="U121" i="1"/>
  <c r="V121" i="1"/>
  <c r="U122" i="1"/>
  <c r="T123" i="1"/>
  <c r="U123" i="1"/>
  <c r="V12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V122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P3" i="1"/>
  <c r="Q3" i="1"/>
  <c r="P2" i="1"/>
  <c r="C8" i="2"/>
  <c r="O2" i="2"/>
  <c r="D2" i="2"/>
  <c r="D3" i="2"/>
  <c r="C7" i="2"/>
  <c r="H3" i="2"/>
  <c r="M2" i="2"/>
  <c r="J3" i="2"/>
  <c r="I3" i="2"/>
  <c r="O3" i="2"/>
  <c r="H4" i="2"/>
  <c r="M3" i="2"/>
  <c r="J4" i="2"/>
  <c r="I4" i="2"/>
  <c r="O4" i="2"/>
  <c r="H5" i="2"/>
  <c r="M4" i="2"/>
  <c r="J5" i="2"/>
  <c r="I5" i="2"/>
  <c r="O5" i="2"/>
  <c r="H6" i="2"/>
  <c r="M5" i="2"/>
  <c r="J6" i="2"/>
  <c r="I6" i="2"/>
  <c r="O6" i="2"/>
  <c r="H7" i="2"/>
  <c r="M6" i="2"/>
  <c r="J7" i="2"/>
  <c r="I7" i="2"/>
  <c r="O7" i="2"/>
  <c r="H8" i="2"/>
  <c r="M7" i="2"/>
  <c r="J8" i="2"/>
  <c r="I8" i="2"/>
  <c r="O8" i="2"/>
  <c r="H9" i="2"/>
  <c r="M8" i="2"/>
  <c r="J9" i="2"/>
  <c r="I9" i="2"/>
  <c r="O9" i="2"/>
  <c r="H10" i="2"/>
  <c r="M9" i="2"/>
  <c r="J10" i="2"/>
  <c r="I10" i="2"/>
  <c r="O10" i="2"/>
  <c r="H11" i="2"/>
  <c r="M10" i="2"/>
  <c r="J11" i="2"/>
  <c r="I11" i="2"/>
  <c r="O11" i="2"/>
  <c r="H12" i="2"/>
  <c r="M11" i="2"/>
  <c r="J12" i="2"/>
  <c r="I12" i="2"/>
  <c r="O12" i="2"/>
  <c r="H13" i="2"/>
  <c r="M12" i="2"/>
  <c r="J13" i="2"/>
  <c r="I13" i="2"/>
  <c r="O13" i="2"/>
  <c r="H14" i="2"/>
  <c r="M13" i="2"/>
  <c r="J14" i="2"/>
  <c r="I14" i="2"/>
  <c r="O14" i="2"/>
  <c r="H15" i="2"/>
  <c r="M14" i="2"/>
  <c r="J15" i="2"/>
  <c r="I15" i="2"/>
  <c r="O15" i="2"/>
  <c r="H16" i="2"/>
  <c r="M15" i="2"/>
  <c r="J16" i="2"/>
  <c r="I16" i="2"/>
  <c r="O16" i="2"/>
  <c r="H17" i="2"/>
  <c r="M16" i="2"/>
  <c r="J17" i="2"/>
  <c r="I17" i="2"/>
  <c r="O17" i="2"/>
  <c r="H18" i="2"/>
  <c r="M17" i="2"/>
  <c r="J18" i="2"/>
  <c r="I18" i="2"/>
  <c r="O18" i="2"/>
  <c r="H19" i="2"/>
  <c r="M18" i="2"/>
  <c r="J19" i="2"/>
  <c r="I19" i="2"/>
  <c r="O19" i="2"/>
  <c r="H20" i="2"/>
  <c r="M19" i="2"/>
  <c r="J20" i="2"/>
  <c r="I20" i="2"/>
  <c r="O20" i="2"/>
  <c r="H21" i="2"/>
  <c r="M20" i="2"/>
  <c r="J21" i="2"/>
  <c r="I21" i="2"/>
  <c r="O21" i="2"/>
  <c r="H22" i="2"/>
  <c r="M21" i="2"/>
  <c r="J22" i="2"/>
  <c r="I22" i="2"/>
  <c r="O22" i="2"/>
  <c r="H23" i="2"/>
  <c r="M22" i="2"/>
  <c r="J23" i="2"/>
  <c r="I23" i="2"/>
  <c r="O23" i="2"/>
  <c r="H24" i="2"/>
  <c r="M23" i="2"/>
  <c r="J24" i="2"/>
  <c r="I24" i="2"/>
  <c r="O24" i="2"/>
  <c r="H25" i="2"/>
  <c r="M24" i="2"/>
  <c r="J25" i="2"/>
  <c r="I25" i="2"/>
  <c r="O25" i="2"/>
  <c r="H26" i="2"/>
  <c r="M25" i="2"/>
  <c r="J26" i="2"/>
  <c r="I26" i="2"/>
  <c r="O26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E8" i="2"/>
  <c r="E9" i="2"/>
  <c r="P26" i="2"/>
  <c r="E7" i="2"/>
  <c r="H27" i="2"/>
  <c r="M26" i="2"/>
  <c r="J27" i="2"/>
  <c r="I27" i="2"/>
  <c r="O27" i="2"/>
  <c r="H28" i="2"/>
  <c r="M27" i="2"/>
  <c r="J28" i="2"/>
  <c r="I28" i="2"/>
  <c r="O28" i="2"/>
  <c r="H29" i="2"/>
  <c r="M28" i="2"/>
  <c r="J29" i="2"/>
  <c r="I29" i="2"/>
  <c r="O29" i="2"/>
  <c r="H30" i="2"/>
  <c r="M29" i="2"/>
  <c r="J30" i="2"/>
  <c r="I30" i="2"/>
  <c r="O30" i="2"/>
  <c r="H31" i="2"/>
  <c r="M30" i="2"/>
  <c r="J31" i="2"/>
  <c r="I31" i="2"/>
  <c r="O31" i="2"/>
  <c r="H32" i="2"/>
  <c r="M31" i="2"/>
  <c r="J32" i="2"/>
  <c r="I32" i="2"/>
  <c r="O32" i="2"/>
  <c r="H33" i="2"/>
  <c r="M32" i="2"/>
  <c r="J33" i="2"/>
  <c r="I33" i="2"/>
  <c r="O33" i="2"/>
  <c r="H34" i="2"/>
  <c r="M33" i="2"/>
  <c r="J34" i="2"/>
  <c r="I34" i="2"/>
  <c r="O34" i="2"/>
  <c r="H35" i="2"/>
  <c r="M34" i="2"/>
  <c r="J35" i="2"/>
  <c r="I35" i="2"/>
  <c r="O35" i="2"/>
  <c r="H36" i="2"/>
  <c r="M35" i="2"/>
  <c r="J36" i="2"/>
  <c r="I36" i="2"/>
  <c r="O36" i="2"/>
  <c r="H37" i="2"/>
  <c r="M36" i="2"/>
  <c r="J37" i="2"/>
  <c r="I37" i="2"/>
  <c r="O37" i="2"/>
  <c r="H38" i="2"/>
  <c r="M37" i="2"/>
  <c r="J38" i="2"/>
  <c r="I38" i="2"/>
  <c r="O38" i="2"/>
  <c r="H39" i="2"/>
  <c r="M38" i="2"/>
  <c r="J39" i="2"/>
  <c r="I39" i="2"/>
  <c r="O39" i="2"/>
  <c r="H40" i="2"/>
  <c r="M39" i="2"/>
  <c r="J40" i="2"/>
  <c r="I40" i="2"/>
  <c r="O40" i="2"/>
  <c r="H41" i="2"/>
  <c r="M40" i="2"/>
  <c r="J41" i="2"/>
  <c r="I41" i="2"/>
  <c r="O41" i="2"/>
  <c r="H42" i="2"/>
  <c r="M41" i="2"/>
  <c r="J42" i="2"/>
  <c r="I42" i="2"/>
  <c r="O42" i="2"/>
  <c r="H43" i="2"/>
  <c r="M42" i="2"/>
  <c r="J43" i="2"/>
  <c r="I43" i="2"/>
  <c r="O43" i="2"/>
  <c r="H44" i="2"/>
  <c r="M43" i="2"/>
  <c r="J44" i="2"/>
  <c r="I44" i="2"/>
  <c r="O44" i="2"/>
  <c r="H45" i="2"/>
  <c r="M44" i="2"/>
  <c r="J45" i="2"/>
  <c r="I45" i="2"/>
  <c r="O45" i="2"/>
  <c r="H46" i="2"/>
  <c r="M45" i="2"/>
  <c r="J46" i="2"/>
  <c r="I46" i="2"/>
  <c r="O46" i="2"/>
  <c r="H47" i="2"/>
  <c r="M46" i="2"/>
  <c r="J47" i="2"/>
  <c r="I47" i="2"/>
  <c r="O47" i="2"/>
  <c r="H48" i="2"/>
  <c r="M47" i="2"/>
  <c r="J48" i="2"/>
  <c r="I48" i="2"/>
  <c r="O48" i="2"/>
  <c r="H49" i="2"/>
  <c r="M48" i="2"/>
  <c r="J49" i="2"/>
  <c r="I49" i="2"/>
  <c r="O49" i="2"/>
  <c r="H50" i="2"/>
  <c r="M49" i="2"/>
  <c r="J50" i="2"/>
  <c r="I50" i="2"/>
  <c r="O50" i="2"/>
  <c r="H51" i="2"/>
  <c r="M50" i="2"/>
  <c r="J51" i="2"/>
  <c r="I51" i="2"/>
  <c r="O51" i="2"/>
  <c r="H52" i="2"/>
  <c r="M51" i="2"/>
  <c r="J52" i="2"/>
  <c r="I52" i="2"/>
  <c r="O52" i="2"/>
  <c r="H53" i="2"/>
  <c r="M52" i="2"/>
  <c r="J53" i="2"/>
  <c r="I53" i="2"/>
  <c r="O53" i="2"/>
  <c r="H54" i="2"/>
  <c r="M53" i="2"/>
  <c r="J54" i="2"/>
  <c r="I54" i="2"/>
  <c r="O54" i="2"/>
  <c r="H55" i="2"/>
  <c r="M54" i="2"/>
  <c r="J55" i="2"/>
  <c r="I55" i="2"/>
  <c r="O55" i="2"/>
  <c r="H56" i="2"/>
  <c r="M55" i="2"/>
  <c r="J56" i="2"/>
  <c r="I56" i="2"/>
  <c r="O56" i="2"/>
  <c r="H57" i="2"/>
  <c r="M56" i="2"/>
  <c r="J57" i="2"/>
  <c r="I57" i="2"/>
  <c r="O57" i="2"/>
  <c r="H58" i="2"/>
  <c r="M57" i="2"/>
  <c r="J58" i="2"/>
  <c r="I58" i="2"/>
  <c r="O58" i="2"/>
  <c r="H59" i="2"/>
  <c r="M58" i="2"/>
  <c r="J59" i="2"/>
  <c r="I59" i="2"/>
  <c r="O59" i="2"/>
  <c r="H60" i="2"/>
  <c r="M59" i="2"/>
  <c r="J60" i="2"/>
  <c r="I60" i="2"/>
  <c r="O60" i="2"/>
  <c r="H61" i="2"/>
  <c r="M60" i="2"/>
  <c r="J61" i="2"/>
  <c r="I61" i="2"/>
  <c r="O61" i="2"/>
  <c r="H62" i="2"/>
  <c r="M61" i="2"/>
  <c r="J62" i="2"/>
  <c r="I62" i="2"/>
  <c r="O62" i="2"/>
  <c r="H63" i="2"/>
  <c r="M62" i="2"/>
  <c r="J63" i="2"/>
  <c r="I63" i="2"/>
  <c r="O63" i="2"/>
  <c r="H64" i="2"/>
  <c r="M63" i="2"/>
  <c r="J64" i="2"/>
  <c r="I64" i="2"/>
  <c r="O64" i="2"/>
  <c r="H65" i="2"/>
  <c r="M64" i="2"/>
  <c r="J65" i="2"/>
  <c r="I65" i="2"/>
  <c r="O65" i="2"/>
  <c r="H66" i="2"/>
  <c r="M65" i="2"/>
  <c r="J66" i="2"/>
  <c r="I66" i="2"/>
  <c r="O66" i="2"/>
  <c r="H67" i="2"/>
  <c r="M66" i="2"/>
  <c r="J67" i="2"/>
  <c r="I67" i="2"/>
  <c r="O67" i="2"/>
  <c r="H68" i="2"/>
  <c r="M67" i="2"/>
  <c r="J68" i="2"/>
  <c r="I68" i="2"/>
  <c r="O68" i="2"/>
  <c r="H69" i="2"/>
  <c r="M68" i="2"/>
  <c r="J69" i="2"/>
  <c r="I69" i="2"/>
  <c r="O69" i="2"/>
  <c r="H70" i="2"/>
  <c r="M69" i="2"/>
  <c r="J70" i="2"/>
  <c r="I70" i="2"/>
  <c r="O70" i="2"/>
  <c r="H71" i="2"/>
  <c r="M70" i="2"/>
  <c r="J71" i="2"/>
  <c r="I71" i="2"/>
  <c r="O71" i="2"/>
  <c r="H72" i="2"/>
  <c r="M71" i="2"/>
  <c r="J72" i="2"/>
  <c r="I72" i="2"/>
  <c r="O72" i="2"/>
  <c r="H73" i="2"/>
  <c r="M72" i="2"/>
  <c r="J73" i="2"/>
  <c r="I73" i="2"/>
  <c r="O73" i="2"/>
  <c r="H74" i="2"/>
  <c r="M73" i="2"/>
  <c r="J74" i="2"/>
  <c r="I74" i="2"/>
  <c r="O74" i="2"/>
  <c r="H75" i="2"/>
  <c r="M74" i="2"/>
  <c r="J75" i="2"/>
  <c r="I75" i="2"/>
  <c r="O75" i="2"/>
  <c r="H76" i="2"/>
  <c r="M75" i="2"/>
  <c r="J76" i="2"/>
  <c r="I76" i="2"/>
  <c r="O76" i="2"/>
  <c r="H77" i="2"/>
  <c r="M76" i="2"/>
  <c r="J77" i="2"/>
  <c r="I77" i="2"/>
  <c r="O77" i="2"/>
  <c r="H78" i="2"/>
  <c r="M77" i="2"/>
  <c r="J78" i="2"/>
  <c r="I78" i="2"/>
  <c r="O78" i="2"/>
  <c r="H79" i="2"/>
  <c r="M78" i="2"/>
  <c r="J79" i="2"/>
  <c r="I79" i="2"/>
  <c r="O79" i="2"/>
  <c r="H80" i="2"/>
  <c r="M79" i="2"/>
  <c r="J80" i="2"/>
  <c r="I80" i="2"/>
  <c r="O80" i="2"/>
  <c r="H81" i="2"/>
  <c r="M80" i="2"/>
  <c r="J81" i="2"/>
  <c r="I81" i="2"/>
  <c r="O81" i="2"/>
  <c r="H82" i="2"/>
  <c r="M81" i="2"/>
  <c r="J82" i="2"/>
  <c r="I82" i="2"/>
  <c r="O82" i="2"/>
  <c r="H83" i="2"/>
  <c r="M82" i="2"/>
  <c r="J83" i="2"/>
  <c r="I83" i="2"/>
  <c r="O83" i="2"/>
  <c r="H84" i="2"/>
  <c r="M83" i="2"/>
  <c r="J84" i="2"/>
  <c r="I84" i="2"/>
  <c r="O84" i="2"/>
  <c r="H85" i="2"/>
  <c r="M84" i="2"/>
  <c r="J85" i="2"/>
  <c r="I85" i="2"/>
  <c r="O85" i="2"/>
  <c r="H86" i="2"/>
  <c r="M85" i="2"/>
  <c r="J86" i="2"/>
  <c r="I86" i="2"/>
  <c r="O86" i="2"/>
  <c r="H87" i="2"/>
  <c r="M86" i="2"/>
  <c r="J87" i="2"/>
  <c r="I87" i="2"/>
  <c r="O87" i="2"/>
  <c r="H88" i="2"/>
  <c r="M87" i="2"/>
  <c r="J88" i="2"/>
  <c r="I88" i="2"/>
  <c r="O88" i="2"/>
  <c r="H89" i="2"/>
  <c r="M88" i="2"/>
  <c r="J89" i="2"/>
  <c r="I89" i="2"/>
  <c r="O89" i="2"/>
  <c r="H90" i="2"/>
  <c r="M89" i="2"/>
  <c r="J90" i="2"/>
  <c r="I90" i="2"/>
  <c r="O90" i="2"/>
  <c r="H91" i="2"/>
  <c r="M90" i="2"/>
  <c r="J91" i="2"/>
  <c r="I91" i="2"/>
  <c r="O91" i="2"/>
  <c r="H92" i="2"/>
  <c r="M91" i="2"/>
  <c r="J92" i="2"/>
  <c r="I92" i="2"/>
  <c r="O92" i="2"/>
  <c r="H93" i="2"/>
  <c r="M92" i="2"/>
  <c r="J93" i="2"/>
  <c r="I93" i="2"/>
  <c r="O93" i="2"/>
  <c r="H94" i="2"/>
  <c r="M93" i="2"/>
  <c r="J94" i="2"/>
  <c r="I94" i="2"/>
  <c r="O94" i="2"/>
  <c r="H95" i="2"/>
  <c r="M94" i="2"/>
  <c r="J95" i="2"/>
  <c r="I95" i="2"/>
  <c r="O95" i="2"/>
  <c r="H96" i="2"/>
  <c r="M95" i="2"/>
  <c r="J96" i="2"/>
  <c r="I96" i="2"/>
  <c r="O96" i="2"/>
  <c r="H97" i="2"/>
  <c r="M96" i="2"/>
  <c r="J97" i="2"/>
  <c r="I97" i="2"/>
  <c r="O97" i="2"/>
  <c r="H98" i="2"/>
  <c r="M97" i="2"/>
  <c r="J98" i="2"/>
  <c r="I98" i="2"/>
  <c r="O98" i="2"/>
  <c r="H99" i="2"/>
  <c r="M98" i="2"/>
  <c r="J99" i="2"/>
  <c r="I99" i="2"/>
  <c r="O99" i="2"/>
  <c r="H100" i="2"/>
  <c r="M99" i="2"/>
  <c r="J100" i="2"/>
  <c r="I100" i="2"/>
  <c r="O100" i="2"/>
  <c r="H101" i="2"/>
  <c r="M100" i="2"/>
  <c r="J101" i="2"/>
  <c r="I101" i="2"/>
  <c r="O101" i="2"/>
  <c r="H102" i="2"/>
  <c r="M101" i="2"/>
  <c r="J102" i="2"/>
  <c r="I102" i="2"/>
  <c r="O102" i="2"/>
  <c r="H103" i="2"/>
  <c r="M102" i="2"/>
  <c r="J103" i="2"/>
  <c r="I103" i="2"/>
  <c r="O103" i="2"/>
  <c r="H104" i="2"/>
  <c r="M103" i="2"/>
  <c r="J104" i="2"/>
  <c r="I104" i="2"/>
  <c r="O104" i="2"/>
  <c r="H105" i="2"/>
  <c r="M104" i="2"/>
  <c r="J105" i="2"/>
  <c r="I105" i="2"/>
  <c r="O105" i="2"/>
  <c r="H106" i="2"/>
  <c r="M105" i="2"/>
  <c r="J106" i="2"/>
  <c r="I106" i="2"/>
  <c r="O106" i="2"/>
  <c r="H107" i="2"/>
  <c r="M106" i="2"/>
  <c r="J107" i="2"/>
  <c r="I107" i="2"/>
  <c r="O107" i="2"/>
  <c r="H108" i="2"/>
  <c r="M107" i="2"/>
  <c r="J108" i="2"/>
  <c r="I108" i="2"/>
  <c r="O108" i="2"/>
  <c r="H109" i="2"/>
  <c r="M108" i="2"/>
  <c r="J109" i="2"/>
  <c r="I109" i="2"/>
  <c r="O109" i="2"/>
  <c r="H110" i="2"/>
  <c r="M109" i="2"/>
  <c r="J110" i="2"/>
  <c r="I110" i="2"/>
  <c r="O110" i="2"/>
  <c r="H111" i="2"/>
  <c r="M110" i="2"/>
  <c r="J111" i="2"/>
  <c r="I111" i="2"/>
  <c r="O111" i="2"/>
  <c r="H112" i="2"/>
  <c r="M111" i="2"/>
  <c r="J112" i="2"/>
  <c r="I112" i="2"/>
  <c r="O112" i="2"/>
  <c r="H113" i="2"/>
  <c r="M112" i="2"/>
  <c r="J113" i="2"/>
  <c r="I113" i="2"/>
  <c r="O113" i="2"/>
  <c r="H114" i="2"/>
  <c r="M113" i="2"/>
  <c r="J114" i="2"/>
  <c r="I114" i="2"/>
  <c r="O114" i="2"/>
  <c r="H115" i="2"/>
  <c r="M114" i="2"/>
  <c r="J115" i="2"/>
  <c r="I115" i="2"/>
  <c r="O115" i="2"/>
  <c r="H116" i="2"/>
  <c r="M115" i="2"/>
  <c r="J116" i="2"/>
  <c r="I116" i="2"/>
  <c r="O116" i="2"/>
  <c r="H117" i="2"/>
  <c r="M116" i="2"/>
  <c r="J117" i="2"/>
  <c r="I117" i="2"/>
  <c r="O117" i="2"/>
  <c r="H118" i="2"/>
  <c r="M117" i="2"/>
  <c r="J118" i="2"/>
  <c r="I118" i="2"/>
  <c r="O118" i="2"/>
  <c r="H119" i="2"/>
  <c r="M118" i="2"/>
  <c r="J119" i="2"/>
  <c r="I119" i="2"/>
  <c r="O119" i="2"/>
  <c r="H120" i="2"/>
  <c r="M119" i="2"/>
  <c r="J120" i="2"/>
  <c r="I120" i="2"/>
  <c r="O120" i="2"/>
  <c r="H121" i="2"/>
  <c r="M120" i="2"/>
  <c r="J121" i="2"/>
  <c r="I121" i="2"/>
  <c r="O121" i="2"/>
  <c r="H122" i="2"/>
  <c r="M121" i="2"/>
  <c r="J122" i="2"/>
  <c r="I122" i="2"/>
  <c r="O122" i="2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B12" i="2"/>
  <c r="C12" i="2"/>
  <c r="C17" i="2"/>
  <c r="C14" i="2"/>
  <c r="M122" i="2"/>
  <c r="N122" i="2"/>
  <c r="L122" i="2"/>
  <c r="K122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N121" i="2"/>
  <c r="L121" i="2"/>
  <c r="K121" i="2"/>
  <c r="N120" i="2"/>
  <c r="L120" i="2"/>
  <c r="K120" i="2"/>
  <c r="N119" i="2"/>
  <c r="L119" i="2"/>
  <c r="K119" i="2"/>
  <c r="N118" i="2"/>
  <c r="L118" i="2"/>
  <c r="K118" i="2"/>
  <c r="N117" i="2"/>
  <c r="L117" i="2"/>
  <c r="K117" i="2"/>
  <c r="N116" i="2"/>
  <c r="L116" i="2"/>
  <c r="K116" i="2"/>
  <c r="N115" i="2"/>
  <c r="L115" i="2"/>
  <c r="K115" i="2"/>
  <c r="N114" i="2"/>
  <c r="L114" i="2"/>
  <c r="K114" i="2"/>
  <c r="N113" i="2"/>
  <c r="L113" i="2"/>
  <c r="K113" i="2"/>
  <c r="N112" i="2"/>
  <c r="L112" i="2"/>
  <c r="K112" i="2"/>
  <c r="N111" i="2"/>
  <c r="L111" i="2"/>
  <c r="K111" i="2"/>
  <c r="N110" i="2"/>
  <c r="L110" i="2"/>
  <c r="K110" i="2"/>
  <c r="N109" i="2"/>
  <c r="L109" i="2"/>
  <c r="K109" i="2"/>
  <c r="N108" i="2"/>
  <c r="L108" i="2"/>
  <c r="K108" i="2"/>
  <c r="N107" i="2"/>
  <c r="L107" i="2"/>
  <c r="K107" i="2"/>
  <c r="N106" i="2"/>
  <c r="L106" i="2"/>
  <c r="K106" i="2"/>
  <c r="N105" i="2"/>
  <c r="L105" i="2"/>
  <c r="K105" i="2"/>
  <c r="N104" i="2"/>
  <c r="L104" i="2"/>
  <c r="K104" i="2"/>
  <c r="N103" i="2"/>
  <c r="L103" i="2"/>
  <c r="K103" i="2"/>
  <c r="N102" i="2"/>
  <c r="L102" i="2"/>
  <c r="K102" i="2"/>
  <c r="N101" i="2"/>
  <c r="L101" i="2"/>
  <c r="K101" i="2"/>
  <c r="N100" i="2"/>
  <c r="L100" i="2"/>
  <c r="K100" i="2"/>
  <c r="N99" i="2"/>
  <c r="L99" i="2"/>
  <c r="K99" i="2"/>
  <c r="N98" i="2"/>
  <c r="L98" i="2"/>
  <c r="K98" i="2"/>
  <c r="N97" i="2"/>
  <c r="L97" i="2"/>
  <c r="K97" i="2"/>
  <c r="N96" i="2"/>
  <c r="L96" i="2"/>
  <c r="K96" i="2"/>
  <c r="N95" i="2"/>
  <c r="L95" i="2"/>
  <c r="K95" i="2"/>
  <c r="N94" i="2"/>
  <c r="L94" i="2"/>
  <c r="K94" i="2"/>
  <c r="N93" i="2"/>
  <c r="L93" i="2"/>
  <c r="K93" i="2"/>
  <c r="N92" i="2"/>
  <c r="L92" i="2"/>
  <c r="K92" i="2"/>
  <c r="N91" i="2"/>
  <c r="L91" i="2"/>
  <c r="K91" i="2"/>
  <c r="N90" i="2"/>
  <c r="L90" i="2"/>
  <c r="K90" i="2"/>
  <c r="N89" i="2"/>
  <c r="L89" i="2"/>
  <c r="K89" i="2"/>
  <c r="N88" i="2"/>
  <c r="L88" i="2"/>
  <c r="K88" i="2"/>
  <c r="N87" i="2"/>
  <c r="L87" i="2"/>
  <c r="K87" i="2"/>
  <c r="N86" i="2"/>
  <c r="L86" i="2"/>
  <c r="K86" i="2"/>
  <c r="N85" i="2"/>
  <c r="L85" i="2"/>
  <c r="K85" i="2"/>
  <c r="N84" i="2"/>
  <c r="L84" i="2"/>
  <c r="K84" i="2"/>
  <c r="N83" i="2"/>
  <c r="L83" i="2"/>
  <c r="K83" i="2"/>
  <c r="N82" i="2"/>
  <c r="L82" i="2"/>
  <c r="K82" i="2"/>
  <c r="N81" i="2"/>
  <c r="L81" i="2"/>
  <c r="K81" i="2"/>
  <c r="N80" i="2"/>
  <c r="L80" i="2"/>
  <c r="K80" i="2"/>
  <c r="N79" i="2"/>
  <c r="L79" i="2"/>
  <c r="K79" i="2"/>
  <c r="N78" i="2"/>
  <c r="L78" i="2"/>
  <c r="K78" i="2"/>
  <c r="N77" i="2"/>
  <c r="L77" i="2"/>
  <c r="K77" i="2"/>
  <c r="N76" i="2"/>
  <c r="L76" i="2"/>
  <c r="K76" i="2"/>
  <c r="N75" i="2"/>
  <c r="L75" i="2"/>
  <c r="K75" i="2"/>
  <c r="N74" i="2"/>
  <c r="L74" i="2"/>
  <c r="K74" i="2"/>
  <c r="N73" i="2"/>
  <c r="L73" i="2"/>
  <c r="K73" i="2"/>
  <c r="N72" i="2"/>
  <c r="L72" i="2"/>
  <c r="K72" i="2"/>
  <c r="N71" i="2"/>
  <c r="L71" i="2"/>
  <c r="K71" i="2"/>
  <c r="N70" i="2"/>
  <c r="L70" i="2"/>
  <c r="K70" i="2"/>
  <c r="N69" i="2"/>
  <c r="L69" i="2"/>
  <c r="K69" i="2"/>
  <c r="N68" i="2"/>
  <c r="L68" i="2"/>
  <c r="K68" i="2"/>
  <c r="N67" i="2"/>
  <c r="L67" i="2"/>
  <c r="K67" i="2"/>
  <c r="N66" i="2"/>
  <c r="L66" i="2"/>
  <c r="K66" i="2"/>
  <c r="N65" i="2"/>
  <c r="L65" i="2"/>
  <c r="K65" i="2"/>
  <c r="N64" i="2"/>
  <c r="L64" i="2"/>
  <c r="K64" i="2"/>
  <c r="N63" i="2"/>
  <c r="L63" i="2"/>
  <c r="K63" i="2"/>
  <c r="N62" i="2"/>
  <c r="L62" i="2"/>
  <c r="K62" i="2"/>
  <c r="N61" i="2"/>
  <c r="L61" i="2"/>
  <c r="K61" i="2"/>
  <c r="N60" i="2"/>
  <c r="L60" i="2"/>
  <c r="K60" i="2"/>
  <c r="N59" i="2"/>
  <c r="L59" i="2"/>
  <c r="K59" i="2"/>
  <c r="N58" i="2"/>
  <c r="L58" i="2"/>
  <c r="K58" i="2"/>
  <c r="N57" i="2"/>
  <c r="L57" i="2"/>
  <c r="K57" i="2"/>
  <c r="N56" i="2"/>
  <c r="L56" i="2"/>
  <c r="K56" i="2"/>
  <c r="N55" i="2"/>
  <c r="L55" i="2"/>
  <c r="K55" i="2"/>
  <c r="N54" i="2"/>
  <c r="L54" i="2"/>
  <c r="K54" i="2"/>
  <c r="N53" i="2"/>
  <c r="L53" i="2"/>
  <c r="K53" i="2"/>
  <c r="N52" i="2"/>
  <c r="L52" i="2"/>
  <c r="K52" i="2"/>
  <c r="N51" i="2"/>
  <c r="L51" i="2"/>
  <c r="K51" i="2"/>
  <c r="N50" i="2"/>
  <c r="L50" i="2"/>
  <c r="K50" i="2"/>
  <c r="N49" i="2"/>
  <c r="L49" i="2"/>
  <c r="K49" i="2"/>
  <c r="N48" i="2"/>
  <c r="L48" i="2"/>
  <c r="K48" i="2"/>
  <c r="N47" i="2"/>
  <c r="L47" i="2"/>
  <c r="K47" i="2"/>
  <c r="N46" i="2"/>
  <c r="L46" i="2"/>
  <c r="K46" i="2"/>
  <c r="N45" i="2"/>
  <c r="L45" i="2"/>
  <c r="K45" i="2"/>
  <c r="N44" i="2"/>
  <c r="L44" i="2"/>
  <c r="K44" i="2"/>
  <c r="N43" i="2"/>
  <c r="L43" i="2"/>
  <c r="K43" i="2"/>
  <c r="N42" i="2"/>
  <c r="L42" i="2"/>
  <c r="K42" i="2"/>
  <c r="N41" i="2"/>
  <c r="L41" i="2"/>
  <c r="K41" i="2"/>
  <c r="N40" i="2"/>
  <c r="L40" i="2"/>
  <c r="K40" i="2"/>
  <c r="N39" i="2"/>
  <c r="L39" i="2"/>
  <c r="K39" i="2"/>
  <c r="N38" i="2"/>
  <c r="L38" i="2"/>
  <c r="K38" i="2"/>
  <c r="N37" i="2"/>
  <c r="L37" i="2"/>
  <c r="K37" i="2"/>
  <c r="N36" i="2"/>
  <c r="L36" i="2"/>
  <c r="K36" i="2"/>
  <c r="N35" i="2"/>
  <c r="L35" i="2"/>
  <c r="K35" i="2"/>
  <c r="N34" i="2"/>
  <c r="L34" i="2"/>
  <c r="K34" i="2"/>
  <c r="N33" i="2"/>
  <c r="L33" i="2"/>
  <c r="K33" i="2"/>
  <c r="N32" i="2"/>
  <c r="L32" i="2"/>
  <c r="K32" i="2"/>
  <c r="N31" i="2"/>
  <c r="L31" i="2"/>
  <c r="K31" i="2"/>
  <c r="N30" i="2"/>
  <c r="L30" i="2"/>
  <c r="K30" i="2"/>
  <c r="N29" i="2"/>
  <c r="L29" i="2"/>
  <c r="K29" i="2"/>
  <c r="N28" i="2"/>
  <c r="L28" i="2"/>
  <c r="K28" i="2"/>
  <c r="N27" i="2"/>
  <c r="L27" i="2"/>
  <c r="K27" i="2"/>
  <c r="N26" i="2"/>
  <c r="L26" i="2"/>
  <c r="K26" i="2"/>
  <c r="N25" i="2"/>
  <c r="L25" i="2"/>
  <c r="K25" i="2"/>
  <c r="N24" i="2"/>
  <c r="L24" i="2"/>
  <c r="K24" i="2"/>
  <c r="N23" i="2"/>
  <c r="L23" i="2"/>
  <c r="K23" i="2"/>
  <c r="N22" i="2"/>
  <c r="L22" i="2"/>
  <c r="K22" i="2"/>
  <c r="N21" i="2"/>
  <c r="L21" i="2"/>
  <c r="K21" i="2"/>
  <c r="N20" i="2"/>
  <c r="L20" i="2"/>
  <c r="K20" i="2"/>
  <c r="N19" i="2"/>
  <c r="L19" i="2"/>
  <c r="K19" i="2"/>
  <c r="N18" i="2"/>
  <c r="L18" i="2"/>
  <c r="K18" i="2"/>
  <c r="N17" i="2"/>
  <c r="L17" i="2"/>
  <c r="K17" i="2"/>
  <c r="N16" i="2"/>
  <c r="L16" i="2"/>
  <c r="K16" i="2"/>
  <c r="N15" i="2"/>
  <c r="L15" i="2"/>
  <c r="K15" i="2"/>
  <c r="N14" i="2"/>
  <c r="L14" i="2"/>
  <c r="K14" i="2"/>
  <c r="N13" i="2"/>
  <c r="L13" i="2"/>
  <c r="K13" i="2"/>
  <c r="N12" i="2"/>
  <c r="L12" i="2"/>
  <c r="K12" i="2"/>
  <c r="N11" i="2"/>
  <c r="L11" i="2"/>
  <c r="K11" i="2"/>
  <c r="N10" i="2"/>
  <c r="L10" i="2"/>
  <c r="K10" i="2"/>
  <c r="C9" i="2"/>
  <c r="C10" i="2"/>
  <c r="N9" i="2"/>
  <c r="L9" i="2"/>
  <c r="K9" i="2"/>
  <c r="N8" i="2"/>
  <c r="L8" i="2"/>
  <c r="K8" i="2"/>
  <c r="N7" i="2"/>
  <c r="L7" i="2"/>
  <c r="K7" i="2"/>
  <c r="N6" i="2"/>
  <c r="L6" i="2"/>
  <c r="K6" i="2"/>
  <c r="N5" i="2"/>
  <c r="L5" i="2"/>
  <c r="K5" i="2"/>
  <c r="N4" i="2"/>
  <c r="L4" i="2"/>
  <c r="K4" i="2"/>
  <c r="N3" i="2"/>
  <c r="L3" i="2"/>
  <c r="K3" i="2"/>
  <c r="N2" i="2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J122" i="1"/>
  <c r="I12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P4" i="1"/>
  <c r="Q4" i="1"/>
</calcChain>
</file>

<file path=xl/sharedStrings.xml><?xml version="1.0" encoding="utf-8"?>
<sst xmlns="http://schemas.openxmlformats.org/spreadsheetml/2006/main" count="102" uniqueCount="71">
  <si>
    <t>Home Loan Amount</t>
  </si>
  <si>
    <t>Loan Interest Rate</t>
  </si>
  <si>
    <t>Loan Tenure (Years)</t>
  </si>
  <si>
    <t>EMI</t>
  </si>
  <si>
    <t>Principal Repayment</t>
  </si>
  <si>
    <t>Total Payment</t>
  </si>
  <si>
    <t>Total Interest Payment</t>
  </si>
  <si>
    <t>Month</t>
  </si>
  <si>
    <t>Monthly EMI</t>
  </si>
  <si>
    <t>Principal</t>
  </si>
  <si>
    <t>Interest</t>
  </si>
  <si>
    <t>Principal % in EMI</t>
  </si>
  <si>
    <t>Interest % in EMI</t>
  </si>
  <si>
    <t>Outstanding Loan</t>
  </si>
  <si>
    <t>-</t>
  </si>
  <si>
    <t>Inputs (Yellow Cell Only)</t>
  </si>
  <si>
    <t>Results</t>
  </si>
  <si>
    <t>Home Loan EMI Calculator</t>
  </si>
  <si>
    <t>Loan % Paid Off</t>
  </si>
  <si>
    <t>Home Loan Amortization Schedule
----&gt;</t>
  </si>
  <si>
    <t xml:space="preserve">Add on Amount </t>
  </si>
  <si>
    <t>New Outstanding</t>
  </si>
  <si>
    <t>Current O/s</t>
  </si>
  <si>
    <t>New Interest</t>
  </si>
  <si>
    <t>Differnce Interest</t>
  </si>
  <si>
    <t>Monthly</t>
  </si>
  <si>
    <t>Invested Amount</t>
  </si>
  <si>
    <t>Home Loan Interest</t>
  </si>
  <si>
    <t>Gold Loan</t>
  </si>
  <si>
    <t>Rent</t>
  </si>
  <si>
    <t xml:space="preserve">Home Loan Amount </t>
  </si>
  <si>
    <t>Cash</t>
  </si>
  <si>
    <t>Gold Loan interest</t>
  </si>
  <si>
    <t>Agent Charges</t>
  </si>
  <si>
    <t>Bank Charges</t>
  </si>
  <si>
    <t>Gold Loan Bank Charges</t>
  </si>
  <si>
    <t>Society Transfer</t>
  </si>
  <si>
    <t>Stamp Duty Registration</t>
  </si>
  <si>
    <t>Property calue</t>
  </si>
  <si>
    <t>Maintaince</t>
  </si>
  <si>
    <t>Total</t>
  </si>
  <si>
    <t xml:space="preserve">Interior </t>
  </si>
  <si>
    <t>Gross Total</t>
  </si>
  <si>
    <t>Net Total</t>
  </si>
  <si>
    <t>Home Expense</t>
  </si>
  <si>
    <t>Fess</t>
  </si>
  <si>
    <t>Ved</t>
  </si>
  <si>
    <t>Trusha</t>
  </si>
  <si>
    <t>Dhara</t>
  </si>
  <si>
    <t>Bhoomi</t>
  </si>
  <si>
    <t>Bhakti</t>
  </si>
  <si>
    <t>Khushi</t>
  </si>
  <si>
    <t>College/School Fees</t>
  </si>
  <si>
    <t>Van</t>
  </si>
  <si>
    <t>Books/cloth</t>
  </si>
  <si>
    <t>Tution Fees</t>
  </si>
  <si>
    <t>Expense Type</t>
  </si>
  <si>
    <t>SIP</t>
  </si>
  <si>
    <t xml:space="preserve">Extra </t>
  </si>
  <si>
    <t>Masala</t>
  </si>
  <si>
    <t>Medical</t>
  </si>
  <si>
    <t>Vacation</t>
  </si>
  <si>
    <t>Gold</t>
  </si>
  <si>
    <t>Rajubhai</t>
  </si>
  <si>
    <t xml:space="preserve">Repayment </t>
  </si>
  <si>
    <t>Amount</t>
  </si>
  <si>
    <t>Particular</t>
  </si>
  <si>
    <t>Dharmesh (Anil and CC)</t>
  </si>
  <si>
    <t>Addon Amount</t>
  </si>
  <si>
    <t>Home Loan EMI Calculator Dec 2025</t>
  </si>
  <si>
    <t>V/s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</si>
</sst>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_ &quot;₹&quot;\ * #,##0_ ;_ &quot;₹&quot;\ * \-#,##0_ ;_ &quot;₹&quot;\ * &quot;-&quot;??_ ;_ @_ 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0" fillId="0" borderId="1" xfId="2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5" fontId="0" fillId="2" borderId="1" xfId="1" applyNumberFormat="1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5" fontId="5" fillId="0" borderId="1" xfId="1" applyNumberFormat="1" applyFont="1" applyBorder="1" applyAlignment="1">
      <alignment vertical="center" wrapText="1"/>
    </xf>
    <xf numFmtId="165" fontId="2" fillId="0" borderId="1" xfId="0" applyNumberFormat="1" applyFont="1" applyBorder="1" applyAlignment="1">
      <alignment vertical="center" wrapText="1"/>
    </xf>
    <xf numFmtId="165" fontId="5" fillId="0" borderId="1" xfId="0" applyNumberFormat="1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166" fontId="0" fillId="2" borderId="1" xfId="0" applyNumberFormat="1" applyFill="1" applyBorder="1" applyAlignment="1">
      <alignment vertical="center" wrapText="1"/>
    </xf>
    <xf numFmtId="165" fontId="0" fillId="0" borderId="0" xfId="0" applyNumberFormat="1" applyAlignment="1">
      <alignment vertical="center" wrapText="1"/>
    </xf>
    <xf numFmtId="43" fontId="0" fillId="0" borderId="0" xfId="0" applyNumberFormat="1" applyAlignment="1">
      <alignment vertical="center" wrapText="1"/>
    </xf>
    <xf numFmtId="10" fontId="0" fillId="0" borderId="0" xfId="2" applyNumberFormat="1" applyFont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165" fontId="0" fillId="2" borderId="0" xfId="0" applyNumberFormat="1" applyFill="1" applyAlignment="1">
      <alignment vertical="center" wrapText="1"/>
    </xf>
    <xf numFmtId="167" fontId="0" fillId="0" borderId="0" xfId="33" applyNumberFormat="1" applyFont="1"/>
    <xf numFmtId="0" fontId="0" fillId="0" borderId="1" xfId="0" applyBorder="1"/>
    <xf numFmtId="167" fontId="0" fillId="0" borderId="1" xfId="33" applyNumberFormat="1" applyFont="1" applyBorder="1"/>
    <xf numFmtId="0" fontId="2" fillId="0" borderId="1" xfId="0" applyFont="1" applyBorder="1"/>
    <xf numFmtId="167" fontId="2" fillId="0" borderId="1" xfId="33" applyNumberFormat="1" applyFont="1" applyBorder="1"/>
    <xf numFmtId="167" fontId="0" fillId="0" borderId="0" xfId="0" applyNumberFormat="1"/>
    <xf numFmtId="44" fontId="0" fillId="0" borderId="0" xfId="0" applyNumberFormat="1"/>
    <xf numFmtId="0" fontId="2" fillId="0" borderId="0" xfId="0" applyFont="1" applyAlignment="1">
      <alignment horizontal="center"/>
    </xf>
    <xf numFmtId="44" fontId="0" fillId="0" borderId="0" xfId="33" applyFont="1"/>
    <xf numFmtId="0" fontId="0" fillId="0" borderId="0" xfId="0" applyAlignment="1">
      <alignment wrapText="1"/>
    </xf>
    <xf numFmtId="17" fontId="0" fillId="0" borderId="0" xfId="0" applyNumberFormat="1"/>
    <xf numFmtId="0" fontId="2" fillId="0" borderId="1" xfId="0" applyFont="1" applyBorder="1" applyAlignment="1">
      <alignment horizontal="center" vertical="center"/>
    </xf>
    <xf numFmtId="167" fontId="2" fillId="0" borderId="1" xfId="33" applyNumberFormat="1" applyFont="1" applyBorder="1" applyAlignment="1">
      <alignment horizontal="center" vertical="center"/>
    </xf>
    <xf numFmtId="17" fontId="0" fillId="0" borderId="1" xfId="0" applyNumberFormat="1" applyBorder="1" applyAlignment="1">
      <alignment horizontal="center"/>
    </xf>
    <xf numFmtId="167" fontId="0" fillId="2" borderId="1" xfId="33" applyNumberFormat="1" applyFon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1" xfId="33" applyNumberFormat="1" applyFont="1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34">
    <cellStyle name="Comma" xfId="1" builtinId="3"/>
    <cellStyle name="Currency" xfId="33" builtinId="4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527D6-802E-4C7D-945D-BB27D8358ACF}">
  <dimension ref="A1:L16"/>
  <sheetViews>
    <sheetView workbookViewId="0">
      <selection activeCell="A18" sqref="A18"/>
    </sheetView>
  </sheetViews>
  <sheetFormatPr defaultRowHeight="15.5" x14ac:dyDescent="0.35"/>
  <cols>
    <col min="1" max="2" width="12.9140625" bestFit="1" customWidth="1"/>
    <col min="3" max="3" width="11" bestFit="1" customWidth="1"/>
    <col min="4" max="4" width="14.1640625" bestFit="1" customWidth="1"/>
    <col min="5" max="5" width="11.08203125" bestFit="1" customWidth="1"/>
    <col min="6" max="6" width="10" bestFit="1" customWidth="1"/>
    <col min="7" max="7" width="7.1640625" bestFit="1" customWidth="1"/>
    <col min="8" max="8" width="18.33203125" bestFit="1" customWidth="1"/>
    <col min="9" max="9" width="11.6640625" bestFit="1" customWidth="1"/>
    <col min="10" max="10" width="8.5" bestFit="1" customWidth="1"/>
    <col min="11" max="11" width="11.1640625" bestFit="1" customWidth="1"/>
    <col min="12" max="12" width="10" bestFit="1" customWidth="1"/>
  </cols>
  <sheetData>
    <row r="1" spans="1:12" x14ac:dyDescent="0.35">
      <c r="A1" t="s">
        <v>56</v>
      </c>
      <c r="B1" s="27">
        <v>2026</v>
      </c>
      <c r="C1" s="27">
        <v>2027</v>
      </c>
      <c r="D1" s="20"/>
      <c r="E1" s="20"/>
      <c r="G1" s="23"/>
      <c r="H1" s="24" t="s">
        <v>52</v>
      </c>
      <c r="I1" s="24" t="s">
        <v>54</v>
      </c>
      <c r="J1" s="24" t="s">
        <v>53</v>
      </c>
      <c r="K1" s="24" t="s">
        <v>55</v>
      </c>
      <c r="L1" s="24"/>
    </row>
    <row r="2" spans="1:12" x14ac:dyDescent="0.35">
      <c r="A2" t="s">
        <v>44</v>
      </c>
      <c r="B2" s="20">
        <f>55000*12</f>
        <v>660000</v>
      </c>
      <c r="C2" s="20">
        <f>55000*12</f>
        <v>660000</v>
      </c>
      <c r="G2" s="21" t="s">
        <v>46</v>
      </c>
      <c r="H2" s="22">
        <v>120000</v>
      </c>
      <c r="I2" s="22">
        <v>10000</v>
      </c>
      <c r="J2" s="22">
        <f>1200*10</f>
        <v>12000</v>
      </c>
      <c r="K2" s="22">
        <f>2500*12</f>
        <v>30000</v>
      </c>
      <c r="L2" s="22">
        <f t="shared" ref="L2:L7" si="0">SUM(H2:K2)</f>
        <v>172000</v>
      </c>
    </row>
    <row r="3" spans="1:12" x14ac:dyDescent="0.35">
      <c r="A3" t="s">
        <v>45</v>
      </c>
      <c r="B3" s="20">
        <v>760000</v>
      </c>
      <c r="C3" s="20">
        <v>760000</v>
      </c>
      <c r="F3" s="20"/>
      <c r="G3" s="21" t="s">
        <v>47</v>
      </c>
      <c r="H3" s="22">
        <v>120000</v>
      </c>
      <c r="I3" s="22">
        <v>10000</v>
      </c>
      <c r="J3" s="22">
        <f t="shared" ref="J3:J4" si="1">1200*10</f>
        <v>12000</v>
      </c>
      <c r="K3" s="22">
        <f>2500*12</f>
        <v>30000</v>
      </c>
      <c r="L3" s="22">
        <f t="shared" si="0"/>
        <v>172000</v>
      </c>
    </row>
    <row r="4" spans="1:12" x14ac:dyDescent="0.35">
      <c r="A4" t="s">
        <v>57</v>
      </c>
      <c r="B4" s="20">
        <f>50000*12</f>
        <v>600000</v>
      </c>
      <c r="C4" s="20">
        <f>50000*12</f>
        <v>600000</v>
      </c>
      <c r="F4" s="20"/>
      <c r="G4" s="21" t="s">
        <v>48</v>
      </c>
      <c r="H4" s="22">
        <v>120000</v>
      </c>
      <c r="I4" s="22">
        <v>10000</v>
      </c>
      <c r="J4" s="22">
        <f t="shared" si="1"/>
        <v>12000</v>
      </c>
      <c r="K4" s="22">
        <v>89000</v>
      </c>
      <c r="L4" s="22">
        <f t="shared" si="0"/>
        <v>231000</v>
      </c>
    </row>
    <row r="5" spans="1:12" x14ac:dyDescent="0.35">
      <c r="A5" t="s">
        <v>58</v>
      </c>
      <c r="B5" s="20">
        <v>200000</v>
      </c>
      <c r="C5" s="20">
        <v>200000</v>
      </c>
      <c r="E5" s="26"/>
      <c r="F5" s="20"/>
      <c r="G5" s="21" t="s">
        <v>49</v>
      </c>
      <c r="H5" s="22">
        <v>60000</v>
      </c>
      <c r="I5" s="22">
        <v>5000</v>
      </c>
      <c r="J5" s="22"/>
      <c r="K5" s="22"/>
      <c r="L5" s="22">
        <f t="shared" si="0"/>
        <v>65000</v>
      </c>
    </row>
    <row r="6" spans="1:12" x14ac:dyDescent="0.35">
      <c r="A6" t="s">
        <v>59</v>
      </c>
      <c r="B6" s="20">
        <v>30000</v>
      </c>
      <c r="C6" s="20">
        <v>30000</v>
      </c>
      <c r="F6" s="20"/>
      <c r="G6" s="21" t="s">
        <v>50</v>
      </c>
      <c r="H6" s="22">
        <v>90000</v>
      </c>
      <c r="I6" s="22">
        <v>5000</v>
      </c>
      <c r="J6" s="22"/>
      <c r="K6" s="22"/>
      <c r="L6" s="22">
        <f t="shared" si="0"/>
        <v>95000</v>
      </c>
    </row>
    <row r="7" spans="1:12" x14ac:dyDescent="0.35">
      <c r="A7" t="s">
        <v>60</v>
      </c>
      <c r="B7" s="20">
        <v>50000</v>
      </c>
      <c r="C7" s="20">
        <v>50000</v>
      </c>
      <c r="G7" s="21" t="s">
        <v>51</v>
      </c>
      <c r="H7" s="22">
        <v>20000</v>
      </c>
      <c r="I7" s="22">
        <v>5000</v>
      </c>
      <c r="J7" s="22"/>
      <c r="K7" s="22"/>
      <c r="L7" s="22">
        <f t="shared" si="0"/>
        <v>25000</v>
      </c>
    </row>
    <row r="8" spans="1:12" x14ac:dyDescent="0.35">
      <c r="A8" t="s">
        <v>61</v>
      </c>
      <c r="B8" s="20">
        <v>300000</v>
      </c>
      <c r="C8" s="20">
        <v>300000</v>
      </c>
      <c r="G8" s="21"/>
      <c r="H8" s="22"/>
      <c r="I8" s="22"/>
      <c r="J8" s="22"/>
      <c r="K8" s="22"/>
      <c r="L8" s="22">
        <f>SUM(L2:L7)</f>
        <v>760000</v>
      </c>
    </row>
    <row r="9" spans="1:12" x14ac:dyDescent="0.35">
      <c r="B9" s="20"/>
      <c r="C9" s="20"/>
      <c r="G9" s="20"/>
    </row>
    <row r="10" spans="1:12" x14ac:dyDescent="0.35">
      <c r="B10" s="20">
        <f>SUM(B2:B9)</f>
        <v>2600000</v>
      </c>
      <c r="C10" s="20">
        <f>SUM(C2:C9)</f>
        <v>2600000</v>
      </c>
      <c r="D10" s="28">
        <f>B10/12</f>
        <v>216666.66666666666</v>
      </c>
      <c r="E10" s="20"/>
      <c r="G10" s="20"/>
    </row>
    <row r="11" spans="1:12" x14ac:dyDescent="0.35">
      <c r="B11" s="20"/>
      <c r="C11" s="20"/>
      <c r="D11" s="26">
        <f>D10-150000</f>
        <v>66666.666666666657</v>
      </c>
      <c r="G11" s="20"/>
    </row>
    <row r="12" spans="1:12" x14ac:dyDescent="0.35">
      <c r="B12" s="20"/>
      <c r="C12" s="20"/>
      <c r="G12" s="20"/>
    </row>
    <row r="13" spans="1:12" x14ac:dyDescent="0.35">
      <c r="B13" s="20"/>
      <c r="C13" s="20"/>
      <c r="G13" s="20"/>
    </row>
    <row r="14" spans="1:12" x14ac:dyDescent="0.35">
      <c r="B14" s="20"/>
      <c r="C14" s="20"/>
      <c r="G14" s="20"/>
    </row>
    <row r="15" spans="1:12" x14ac:dyDescent="0.35">
      <c r="B15" s="20"/>
      <c r="C15" s="20"/>
      <c r="F15" s="20"/>
      <c r="G15" s="20"/>
    </row>
    <row r="16" spans="1:12" x14ac:dyDescent="0.35">
      <c r="B16" s="20"/>
      <c r="C16" s="2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303A-4584-41A2-8A08-24146B67D066}">
  <dimension ref="A1"/>
  <sheetViews>
    <sheetView topLeftCell="A3" workbookViewId="0">
      <selection activeCell="E20" sqref="E20"/>
    </sheetView>
  </sheetViews>
  <sheetFormatPr defaultRowHeight="15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22B7-1B8A-4D1E-995A-67CBF458943B}">
  <dimension ref="A1:G57"/>
  <sheetViews>
    <sheetView workbookViewId="0">
      <selection activeCell="F6" sqref="F6"/>
    </sheetView>
  </sheetViews>
  <sheetFormatPr defaultRowHeight="15.5" x14ac:dyDescent="0.35"/>
  <cols>
    <col min="1" max="1" width="12.58203125" customWidth="1"/>
    <col min="2" max="2" width="12.5" bestFit="1" customWidth="1"/>
    <col min="3" max="3" width="12.5" customWidth="1"/>
    <col min="4" max="4" width="10.75" bestFit="1" customWidth="1"/>
    <col min="6" max="7" width="11" bestFit="1" customWidth="1"/>
  </cols>
  <sheetData>
    <row r="1" spans="1:7" x14ac:dyDescent="0.35">
      <c r="A1" t="s">
        <v>66</v>
      </c>
      <c r="B1" t="s">
        <v>65</v>
      </c>
      <c r="D1" s="31" t="s">
        <v>64</v>
      </c>
      <c r="E1" s="32" t="s">
        <v>65</v>
      </c>
      <c r="F1" s="31" t="s">
        <v>40</v>
      </c>
    </row>
    <row r="2" spans="1:7" x14ac:dyDescent="0.35">
      <c r="A2" t="s">
        <v>62</v>
      </c>
      <c r="B2" s="20">
        <v>500000</v>
      </c>
      <c r="C2" s="20"/>
      <c r="D2" s="33">
        <v>45839</v>
      </c>
      <c r="E2" s="34">
        <v>70000</v>
      </c>
      <c r="F2" s="35">
        <f>B5-E2</f>
        <v>1730000</v>
      </c>
      <c r="G2" s="25"/>
    </row>
    <row r="3" spans="1:7" x14ac:dyDescent="0.35">
      <c r="A3" t="s">
        <v>63</v>
      </c>
      <c r="B3" s="20">
        <v>600000</v>
      </c>
      <c r="C3" s="20"/>
      <c r="D3" s="33">
        <v>45870</v>
      </c>
      <c r="E3" s="34">
        <v>70000</v>
      </c>
      <c r="F3" s="35">
        <f>F2-E3</f>
        <v>1660000</v>
      </c>
    </row>
    <row r="4" spans="1:7" ht="31" x14ac:dyDescent="0.35">
      <c r="A4" s="29" t="s">
        <v>67</v>
      </c>
      <c r="B4" s="20">
        <v>700000</v>
      </c>
      <c r="C4" s="20"/>
      <c r="D4" s="33">
        <v>45901</v>
      </c>
      <c r="E4" s="34">
        <v>70000</v>
      </c>
      <c r="F4" s="35">
        <f t="shared" ref="F4:F27" si="0">F3-E4</f>
        <v>1590000</v>
      </c>
    </row>
    <row r="5" spans="1:7" x14ac:dyDescent="0.35">
      <c r="B5" s="20">
        <f>SUM(B2:B4)</f>
        <v>1800000</v>
      </c>
      <c r="C5" s="20"/>
      <c r="D5" s="33">
        <v>45931</v>
      </c>
      <c r="E5" s="34">
        <v>70000</v>
      </c>
      <c r="F5" s="35">
        <f t="shared" si="0"/>
        <v>1520000</v>
      </c>
    </row>
    <row r="6" spans="1:7" x14ac:dyDescent="0.35">
      <c r="B6" s="20"/>
      <c r="C6" s="20"/>
      <c r="D6" s="33">
        <v>45962</v>
      </c>
      <c r="E6" s="34">
        <v>70000</v>
      </c>
      <c r="F6" s="35">
        <f t="shared" si="0"/>
        <v>1450000</v>
      </c>
    </row>
    <row r="7" spans="1:7" x14ac:dyDescent="0.35">
      <c r="B7" s="20"/>
      <c r="C7" s="20"/>
      <c r="D7" s="33">
        <v>45992</v>
      </c>
      <c r="E7" s="36">
        <v>70000</v>
      </c>
      <c r="F7" s="35">
        <f t="shared" si="0"/>
        <v>1380000</v>
      </c>
    </row>
    <row r="8" spans="1:7" x14ac:dyDescent="0.35">
      <c r="B8" s="20"/>
      <c r="C8" s="20"/>
      <c r="D8" s="33">
        <v>46023</v>
      </c>
      <c r="E8" s="36">
        <v>70000</v>
      </c>
      <c r="F8" s="35">
        <f t="shared" si="0"/>
        <v>1310000</v>
      </c>
    </row>
    <row r="9" spans="1:7" x14ac:dyDescent="0.35">
      <c r="B9" s="20"/>
      <c r="C9" s="20"/>
      <c r="D9" s="33">
        <v>46054</v>
      </c>
      <c r="E9" s="36">
        <v>70000</v>
      </c>
      <c r="F9" s="35">
        <f t="shared" si="0"/>
        <v>1240000</v>
      </c>
    </row>
    <row r="10" spans="1:7" x14ac:dyDescent="0.35">
      <c r="B10" s="20"/>
      <c r="C10" s="20"/>
      <c r="D10" s="33">
        <v>46082</v>
      </c>
      <c r="E10" s="36">
        <v>70000</v>
      </c>
      <c r="F10" s="35">
        <f t="shared" si="0"/>
        <v>1170000</v>
      </c>
    </row>
    <row r="11" spans="1:7" x14ac:dyDescent="0.35">
      <c r="B11" s="20"/>
      <c r="C11" s="20"/>
      <c r="D11" s="33">
        <v>46113</v>
      </c>
      <c r="E11" s="36">
        <v>70000</v>
      </c>
      <c r="F11" s="35">
        <f t="shared" si="0"/>
        <v>1100000</v>
      </c>
    </row>
    <row r="12" spans="1:7" x14ac:dyDescent="0.35">
      <c r="D12" s="33">
        <v>46143</v>
      </c>
      <c r="E12" s="36">
        <v>70000</v>
      </c>
      <c r="F12" s="35">
        <f t="shared" si="0"/>
        <v>1030000</v>
      </c>
    </row>
    <row r="13" spans="1:7" x14ac:dyDescent="0.35">
      <c r="D13" s="33">
        <v>46174</v>
      </c>
      <c r="E13" s="36">
        <v>70000</v>
      </c>
      <c r="F13" s="35">
        <f t="shared" si="0"/>
        <v>960000</v>
      </c>
    </row>
    <row r="14" spans="1:7" x14ac:dyDescent="0.35">
      <c r="D14" s="33">
        <v>46204</v>
      </c>
      <c r="E14" s="36">
        <v>70000</v>
      </c>
      <c r="F14" s="35">
        <f t="shared" si="0"/>
        <v>890000</v>
      </c>
    </row>
    <row r="15" spans="1:7" x14ac:dyDescent="0.35">
      <c r="D15" s="33">
        <v>46235</v>
      </c>
      <c r="E15" s="36">
        <v>70000</v>
      </c>
      <c r="F15" s="35">
        <f t="shared" si="0"/>
        <v>820000</v>
      </c>
    </row>
    <row r="16" spans="1:7" x14ac:dyDescent="0.35">
      <c r="D16" s="33">
        <v>46266</v>
      </c>
      <c r="E16" s="36">
        <v>70000</v>
      </c>
      <c r="F16" s="35">
        <f t="shared" si="0"/>
        <v>750000</v>
      </c>
    </row>
    <row r="17" spans="4:6" x14ac:dyDescent="0.35">
      <c r="D17" s="33">
        <v>46296</v>
      </c>
      <c r="E17" s="36">
        <v>70000</v>
      </c>
      <c r="F17" s="35">
        <f t="shared" si="0"/>
        <v>680000</v>
      </c>
    </row>
    <row r="18" spans="4:6" x14ac:dyDescent="0.35">
      <c r="D18" s="33">
        <v>46327</v>
      </c>
      <c r="E18" s="36">
        <v>70000</v>
      </c>
      <c r="F18" s="35">
        <f t="shared" si="0"/>
        <v>610000</v>
      </c>
    </row>
    <row r="19" spans="4:6" x14ac:dyDescent="0.35">
      <c r="D19" s="33">
        <v>46357</v>
      </c>
      <c r="E19" s="36">
        <v>70000</v>
      </c>
      <c r="F19" s="35">
        <f t="shared" si="0"/>
        <v>540000</v>
      </c>
    </row>
    <row r="20" spans="4:6" x14ac:dyDescent="0.35">
      <c r="D20" s="33">
        <v>46388</v>
      </c>
      <c r="E20" s="36">
        <v>70000</v>
      </c>
      <c r="F20" s="35">
        <f t="shared" si="0"/>
        <v>470000</v>
      </c>
    </row>
    <row r="21" spans="4:6" x14ac:dyDescent="0.35">
      <c r="D21" s="33">
        <v>46419</v>
      </c>
      <c r="E21" s="36">
        <v>70000</v>
      </c>
      <c r="F21" s="35">
        <f t="shared" si="0"/>
        <v>400000</v>
      </c>
    </row>
    <row r="22" spans="4:6" x14ac:dyDescent="0.35">
      <c r="D22" s="33">
        <v>46447</v>
      </c>
      <c r="E22" s="36">
        <v>70000</v>
      </c>
      <c r="F22" s="35">
        <f t="shared" si="0"/>
        <v>330000</v>
      </c>
    </row>
    <row r="23" spans="4:6" x14ac:dyDescent="0.35">
      <c r="D23" s="33">
        <v>46478</v>
      </c>
      <c r="E23" s="36">
        <v>70000</v>
      </c>
      <c r="F23" s="35">
        <f t="shared" si="0"/>
        <v>260000</v>
      </c>
    </row>
    <row r="24" spans="4:6" x14ac:dyDescent="0.35">
      <c r="D24" s="33">
        <v>46508</v>
      </c>
      <c r="E24" s="36">
        <v>70000</v>
      </c>
      <c r="F24" s="35">
        <f t="shared" si="0"/>
        <v>190000</v>
      </c>
    </row>
    <row r="25" spans="4:6" x14ac:dyDescent="0.35">
      <c r="D25" s="33">
        <v>46539</v>
      </c>
      <c r="E25" s="36">
        <v>70000</v>
      </c>
      <c r="F25" s="35">
        <f t="shared" si="0"/>
        <v>120000</v>
      </c>
    </row>
    <row r="26" spans="4:6" x14ac:dyDescent="0.35">
      <c r="D26" s="33">
        <v>46569</v>
      </c>
      <c r="E26" s="36">
        <v>70000</v>
      </c>
      <c r="F26" s="35">
        <f t="shared" si="0"/>
        <v>50000</v>
      </c>
    </row>
    <row r="27" spans="4:6" x14ac:dyDescent="0.35">
      <c r="D27" s="33">
        <v>46600</v>
      </c>
      <c r="E27" s="36">
        <v>50000</v>
      </c>
      <c r="F27" s="35">
        <f t="shared" si="0"/>
        <v>0</v>
      </c>
    </row>
    <row r="28" spans="4:6" x14ac:dyDescent="0.35">
      <c r="D28" s="30"/>
      <c r="E28" s="20"/>
      <c r="F28" s="25"/>
    </row>
    <row r="29" spans="4:6" x14ac:dyDescent="0.35">
      <c r="D29" s="30"/>
      <c r="E29" s="20"/>
      <c r="F29" s="25"/>
    </row>
    <row r="30" spans="4:6" x14ac:dyDescent="0.35">
      <c r="D30" s="30"/>
      <c r="E30" s="20"/>
      <c r="F30" s="25"/>
    </row>
    <row r="31" spans="4:6" x14ac:dyDescent="0.35">
      <c r="D31" s="30"/>
      <c r="E31" s="20"/>
      <c r="F31" s="25"/>
    </row>
    <row r="32" spans="4:6" x14ac:dyDescent="0.35">
      <c r="D32" s="30"/>
      <c r="E32" s="20"/>
      <c r="F32" s="25"/>
    </row>
    <row r="33" spans="4:6" x14ac:dyDescent="0.35">
      <c r="D33" s="30"/>
      <c r="E33" s="20"/>
      <c r="F33" s="25"/>
    </row>
    <row r="34" spans="4:6" x14ac:dyDescent="0.35">
      <c r="D34" s="30"/>
      <c r="E34" s="20"/>
      <c r="F34" s="25"/>
    </row>
    <row r="35" spans="4:6" x14ac:dyDescent="0.35">
      <c r="D35" s="30"/>
      <c r="E35" s="20"/>
      <c r="F35" s="25"/>
    </row>
    <row r="36" spans="4:6" x14ac:dyDescent="0.35">
      <c r="D36" s="30"/>
      <c r="E36" s="20"/>
      <c r="F36" s="25"/>
    </row>
    <row r="37" spans="4:6" x14ac:dyDescent="0.35">
      <c r="D37" s="30"/>
      <c r="E37" s="20"/>
      <c r="F37" s="25"/>
    </row>
    <row r="38" spans="4:6" x14ac:dyDescent="0.35">
      <c r="D38" s="30"/>
      <c r="E38" s="20"/>
      <c r="F38" s="25"/>
    </row>
    <row r="39" spans="4:6" x14ac:dyDescent="0.35">
      <c r="D39" s="30"/>
      <c r="E39" s="20"/>
      <c r="F39" s="25"/>
    </row>
    <row r="40" spans="4:6" x14ac:dyDescent="0.35">
      <c r="D40" s="30"/>
      <c r="E40" s="20"/>
      <c r="F40" s="25"/>
    </row>
    <row r="41" spans="4:6" x14ac:dyDescent="0.35">
      <c r="D41" s="30"/>
      <c r="E41" s="20"/>
      <c r="F41" s="25"/>
    </row>
    <row r="42" spans="4:6" x14ac:dyDescent="0.35">
      <c r="D42" s="30"/>
      <c r="E42" s="20"/>
      <c r="F42" s="25"/>
    </row>
    <row r="43" spans="4:6" x14ac:dyDescent="0.35">
      <c r="D43" s="30"/>
      <c r="E43" s="20"/>
      <c r="F43" s="25"/>
    </row>
    <row r="44" spans="4:6" x14ac:dyDescent="0.35">
      <c r="D44" s="30"/>
      <c r="E44" s="20"/>
      <c r="F44" s="25"/>
    </row>
    <row r="45" spans="4:6" x14ac:dyDescent="0.35">
      <c r="D45" s="30"/>
      <c r="E45" s="20"/>
      <c r="F45" s="25"/>
    </row>
    <row r="46" spans="4:6" x14ac:dyDescent="0.35">
      <c r="D46" s="30"/>
      <c r="E46" s="20"/>
      <c r="F46" s="25"/>
    </row>
    <row r="47" spans="4:6" x14ac:dyDescent="0.35">
      <c r="D47" s="30"/>
      <c r="F47" s="25"/>
    </row>
    <row r="48" spans="4:6" x14ac:dyDescent="0.35">
      <c r="D48" s="30"/>
      <c r="F48" s="25"/>
    </row>
    <row r="49" spans="4:6" x14ac:dyDescent="0.35">
      <c r="D49" s="30"/>
      <c r="F49" s="25"/>
    </row>
    <row r="50" spans="4:6" x14ac:dyDescent="0.35">
      <c r="D50" s="30"/>
      <c r="F50" s="25"/>
    </row>
    <row r="51" spans="4:6" x14ac:dyDescent="0.35">
      <c r="D51" s="30"/>
      <c r="F51" s="25"/>
    </row>
    <row r="52" spans="4:6" x14ac:dyDescent="0.35">
      <c r="D52" s="30"/>
      <c r="F52" s="25"/>
    </row>
    <row r="53" spans="4:6" x14ac:dyDescent="0.35">
      <c r="D53" s="30"/>
      <c r="F53" s="25"/>
    </row>
    <row r="54" spans="4:6" x14ac:dyDescent="0.35">
      <c r="D54" s="30"/>
      <c r="F54" s="25"/>
    </row>
    <row r="55" spans="4:6" x14ac:dyDescent="0.35">
      <c r="D55" s="30"/>
      <c r="F55" s="25"/>
    </row>
    <row r="56" spans="4:6" x14ac:dyDescent="0.35">
      <c r="D56" s="30"/>
      <c r="F56" s="25"/>
    </row>
    <row r="57" spans="4:6" x14ac:dyDescent="0.35">
      <c r="D57" s="30"/>
      <c r="F57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3"/>
  <sheetViews>
    <sheetView topLeftCell="A4" zoomScale="70" zoomScaleNormal="70" workbookViewId="0">
      <selection activeCell="B17" sqref="B17"/>
    </sheetView>
  </sheetViews>
  <sheetFormatPr defaultColWidth="10.83203125" defaultRowHeight="15.5" x14ac:dyDescent="0.35"/>
  <cols>
    <col min="1" max="1" width="10.83203125" style="1"/>
    <col min="2" max="2" width="24.33203125" style="1" customWidth="1"/>
    <col min="3" max="3" width="17.5" style="1" customWidth="1"/>
    <col min="4" max="4" width="12" style="1" hidden="1" customWidth="1"/>
    <col min="5" max="5" width="7" style="1" bestFit="1" customWidth="1"/>
    <col min="6" max="6" width="12" style="1" bestFit="1" customWidth="1"/>
    <col min="7" max="7" width="10.5" style="1" customWidth="1"/>
    <col min="8" max="8" width="8" style="1" bestFit="1" customWidth="1"/>
    <col min="9" max="10" width="9.6640625" style="1" customWidth="1"/>
    <col min="11" max="11" width="11.5" style="1" customWidth="1"/>
    <col min="12" max="13" width="10.83203125" style="1"/>
    <col min="14" max="14" width="0" style="14" hidden="1" customWidth="1"/>
    <col min="15" max="15" width="11.25" style="14" bestFit="1" customWidth="1"/>
    <col min="16" max="16" width="11.6640625" style="1" bestFit="1" customWidth="1"/>
    <col min="17" max="17" width="10.83203125" style="1"/>
    <col min="18" max="18" width="10.83203125" style="5"/>
    <col min="19" max="19" width="10.83203125" style="1"/>
    <col min="20" max="21" width="12" style="1" bestFit="1" customWidth="1"/>
    <col min="22" max="16384" width="10.83203125" style="1"/>
  </cols>
  <sheetData>
    <row r="1" spans="1:25" ht="43" customHeight="1" x14ac:dyDescent="0.35">
      <c r="A1" s="42" t="s">
        <v>69</v>
      </c>
      <c r="B1" s="42"/>
      <c r="C1" s="42"/>
      <c r="E1" s="12" t="s">
        <v>7</v>
      </c>
      <c r="F1" s="12" t="s">
        <v>8</v>
      </c>
      <c r="G1" s="12" t="s">
        <v>9</v>
      </c>
      <c r="H1" s="12" t="s">
        <v>10</v>
      </c>
      <c r="I1" s="12" t="s">
        <v>11</v>
      </c>
      <c r="J1" s="12" t="s">
        <v>12</v>
      </c>
      <c r="K1" s="12" t="s">
        <v>13</v>
      </c>
      <c r="L1" s="12" t="s">
        <v>18</v>
      </c>
      <c r="M1" s="1" t="s">
        <v>22</v>
      </c>
      <c r="N1" s="14" t="s">
        <v>20</v>
      </c>
      <c r="O1" s="14" t="s">
        <v>21</v>
      </c>
      <c r="P1" s="1" t="s">
        <v>23</v>
      </c>
      <c r="Q1" s="1" t="s">
        <v>24</v>
      </c>
      <c r="R1" s="46" t="s">
        <v>70</v>
      </c>
      <c r="S1" s="37" t="s">
        <v>7</v>
      </c>
      <c r="T1" s="12" t="s">
        <v>26</v>
      </c>
      <c r="U1" s="12" t="s">
        <v>9</v>
      </c>
      <c r="V1" s="12" t="s">
        <v>10</v>
      </c>
    </row>
    <row r="2" spans="1:25" x14ac:dyDescent="0.35">
      <c r="D2" s="1">
        <f>C4/12</f>
        <v>6.2499999999999995E-3</v>
      </c>
      <c r="E2" s="2">
        <v>0</v>
      </c>
      <c r="F2" s="3">
        <v>0</v>
      </c>
      <c r="G2" s="2" t="s">
        <v>14</v>
      </c>
      <c r="H2" s="2" t="s">
        <v>14</v>
      </c>
      <c r="I2" s="2" t="s">
        <v>14</v>
      </c>
      <c r="J2" s="2" t="s">
        <v>14</v>
      </c>
      <c r="K2" s="3">
        <f>C3</f>
        <v>6000000</v>
      </c>
      <c r="L2" s="4">
        <f t="shared" ref="L2:L33" si="0">($C$3-K2)/$C$3</f>
        <v>0</v>
      </c>
      <c r="M2" s="14">
        <f>C8</f>
        <v>6000000</v>
      </c>
      <c r="P2" s="3">
        <f t="shared" ref="P2:P26" si="1">$D$2*O2</f>
        <v>0</v>
      </c>
      <c r="R2" s="47"/>
      <c r="S2" s="38">
        <v>0</v>
      </c>
      <c r="T2" s="3">
        <v>0</v>
      </c>
      <c r="U2" s="2" t="s">
        <v>14</v>
      </c>
      <c r="V2" s="2" t="s">
        <v>14</v>
      </c>
      <c r="X2" s="1" t="s">
        <v>10</v>
      </c>
      <c r="Y2" s="1">
        <v>12</v>
      </c>
    </row>
    <row r="3" spans="1:25" x14ac:dyDescent="0.35">
      <c r="A3" s="43" t="s">
        <v>15</v>
      </c>
      <c r="B3" s="5" t="s">
        <v>0</v>
      </c>
      <c r="C3" s="6">
        <v>6000000</v>
      </c>
      <c r="D3" s="1">
        <f>C5*12</f>
        <v>60</v>
      </c>
      <c r="E3" s="2">
        <v>1</v>
      </c>
      <c r="F3" s="3">
        <f t="shared" ref="F3:F34" si="2">$C$7</f>
        <v>120227.69157374259</v>
      </c>
      <c r="G3" s="3">
        <f>F3-H3</f>
        <v>82727.691573742588</v>
      </c>
      <c r="H3" s="3">
        <f t="shared" ref="H3:H34" si="3">$D$2*K2</f>
        <v>37500</v>
      </c>
      <c r="I3" s="4">
        <f>G3/F3</f>
        <v>0.68809182386239964</v>
      </c>
      <c r="J3" s="4">
        <f>H3/F3</f>
        <v>0.31190817613760041</v>
      </c>
      <c r="K3" s="3">
        <f>K2-G3</f>
        <v>5917272.3084262572</v>
      </c>
      <c r="L3" s="4">
        <f t="shared" si="0"/>
        <v>1.3787948595623796E-2</v>
      </c>
      <c r="M3" s="14">
        <f t="shared" ref="M3:M34" si="4">M2-G3</f>
        <v>5917272.3084262572</v>
      </c>
      <c r="N3" s="14">
        <f>$C$6</f>
        <v>260000</v>
      </c>
      <c r="O3" s="14">
        <f>M3-N3-G3</f>
        <v>5574544.6168525144</v>
      </c>
      <c r="P3" s="3">
        <f t="shared" si="1"/>
        <v>34840.903855328215</v>
      </c>
      <c r="Q3" s="14">
        <f t="shared" ref="Q3:Q34" si="5">H3-P3</f>
        <v>2659.0961446717847</v>
      </c>
      <c r="R3" s="47"/>
      <c r="S3" s="38">
        <v>1</v>
      </c>
      <c r="T3" s="3">
        <v>2270000</v>
      </c>
      <c r="U3" s="3">
        <f>T3+V3</f>
        <v>2292700</v>
      </c>
      <c r="V3" s="3">
        <f>T3*$Y$3</f>
        <v>22700</v>
      </c>
      <c r="X3" s="1" t="s">
        <v>25</v>
      </c>
      <c r="Y3" s="16">
        <f>Y2/12/100</f>
        <v>0.01</v>
      </c>
    </row>
    <row r="4" spans="1:25" x14ac:dyDescent="0.35">
      <c r="A4" s="44"/>
      <c r="B4" s="5" t="s">
        <v>1</v>
      </c>
      <c r="C4" s="13">
        <v>7.4999999999999997E-2</v>
      </c>
      <c r="E4" s="2">
        <f>E3+1</f>
        <v>2</v>
      </c>
      <c r="F4" s="3">
        <f t="shared" si="2"/>
        <v>120227.69157374259</v>
      </c>
      <c r="G4" s="3">
        <f>F4-H4</f>
        <v>83244.73964607848</v>
      </c>
      <c r="H4" s="3">
        <f t="shared" si="3"/>
        <v>36982.951927664108</v>
      </c>
      <c r="I4" s="4">
        <f>G4/F4</f>
        <v>0.6923923977615396</v>
      </c>
      <c r="J4" s="4">
        <f>H4/F4</f>
        <v>0.3076076022384604</v>
      </c>
      <c r="K4" s="3">
        <f>K3-G4</f>
        <v>5834027.5687801791</v>
      </c>
      <c r="L4" s="4">
        <f t="shared" si="0"/>
        <v>2.7662071869970144E-2</v>
      </c>
      <c r="M4" s="14">
        <f t="shared" si="4"/>
        <v>5834027.5687801791</v>
      </c>
      <c r="N4" s="14">
        <f t="shared" ref="N4:N26" si="6">$C$6</f>
        <v>260000</v>
      </c>
      <c r="O4" s="14">
        <f t="shared" ref="O4:O26" si="7">O3-N4-G4</f>
        <v>5231299.8772064364</v>
      </c>
      <c r="P4" s="3">
        <f t="shared" si="1"/>
        <v>32695.624232540224</v>
      </c>
      <c r="Q4" s="14">
        <f t="shared" si="5"/>
        <v>4287.327695123884</v>
      </c>
      <c r="R4" s="47"/>
      <c r="S4" s="38">
        <f>S3+1</f>
        <v>2</v>
      </c>
      <c r="T4" s="3">
        <f>3000000/12</f>
        <v>250000</v>
      </c>
      <c r="U4" s="3">
        <f>T4+U3+V3</f>
        <v>2565400</v>
      </c>
      <c r="V4" s="3">
        <f>U4*$Y$3</f>
        <v>25654</v>
      </c>
    </row>
    <row r="5" spans="1:25" x14ac:dyDescent="0.35">
      <c r="A5" s="45"/>
      <c r="B5" s="5" t="s">
        <v>2</v>
      </c>
      <c r="C5" s="7">
        <v>5</v>
      </c>
      <c r="E5" s="2">
        <f t="shared" ref="E5:E64" si="8">E4+1</f>
        <v>3</v>
      </c>
      <c r="F5" s="3">
        <f t="shared" si="2"/>
        <v>120227.69157374259</v>
      </c>
      <c r="G5" s="3">
        <f t="shared" ref="G5:G68" si="9">F5-H5</f>
        <v>83765.019268866468</v>
      </c>
      <c r="H5" s="3">
        <f t="shared" si="3"/>
        <v>36462.67230487612</v>
      </c>
      <c r="I5" s="4">
        <f t="shared" ref="I5:I64" si="10">G5/F5</f>
        <v>0.69671985024754923</v>
      </c>
      <c r="J5" s="4">
        <f t="shared" ref="J5:J64" si="11">H5/F5</f>
        <v>0.30328014975245082</v>
      </c>
      <c r="K5" s="3">
        <f t="shared" ref="K5:K64" si="12">K4-G5</f>
        <v>5750262.5495113125</v>
      </c>
      <c r="L5" s="4">
        <f t="shared" si="0"/>
        <v>4.1622908414781251E-2</v>
      </c>
      <c r="M5" s="14">
        <f t="shared" si="4"/>
        <v>5750262.5495113125</v>
      </c>
      <c r="N5" s="14">
        <f t="shared" si="6"/>
        <v>260000</v>
      </c>
      <c r="O5" s="14">
        <f t="shared" si="7"/>
        <v>4887534.8579375697</v>
      </c>
      <c r="P5" s="3">
        <f t="shared" si="1"/>
        <v>30547.09286210981</v>
      </c>
      <c r="Q5" s="14">
        <f t="shared" si="5"/>
        <v>5915.5794427663095</v>
      </c>
      <c r="R5" s="47"/>
      <c r="S5" s="38">
        <f t="shared" ref="S5:S68" si="13">S4+1</f>
        <v>3</v>
      </c>
      <c r="T5" s="3">
        <f t="shared" ref="T5:T68" si="14">3000000/12</f>
        <v>250000</v>
      </c>
      <c r="U5" s="3">
        <f t="shared" ref="U5:U68" si="15">T5+U4+V4</f>
        <v>2841054</v>
      </c>
      <c r="V5" s="3">
        <f t="shared" ref="V5:V68" si="16">U5*$Y$3</f>
        <v>28410.54</v>
      </c>
    </row>
    <row r="6" spans="1:25" x14ac:dyDescent="0.35">
      <c r="B6" s="5" t="s">
        <v>68</v>
      </c>
      <c r="C6" s="7">
        <v>260000</v>
      </c>
      <c r="E6" s="2">
        <f t="shared" si="8"/>
        <v>4</v>
      </c>
      <c r="F6" s="3">
        <f t="shared" si="2"/>
        <v>120227.69157374259</v>
      </c>
      <c r="G6" s="3">
        <f t="shared" si="9"/>
        <v>84288.550639296882</v>
      </c>
      <c r="H6" s="3">
        <f t="shared" si="3"/>
        <v>35939.140934445699</v>
      </c>
      <c r="I6" s="4">
        <f t="shared" si="10"/>
        <v>0.7010743493115964</v>
      </c>
      <c r="J6" s="4">
        <f t="shared" si="11"/>
        <v>0.2989256506884036</v>
      </c>
      <c r="K6" s="3">
        <f t="shared" si="12"/>
        <v>5665973.9988720156</v>
      </c>
      <c r="L6" s="4">
        <f t="shared" si="0"/>
        <v>5.5671000187997394E-2</v>
      </c>
      <c r="M6" s="14">
        <f t="shared" si="4"/>
        <v>5665973.9988720156</v>
      </c>
      <c r="N6" s="14">
        <f t="shared" si="6"/>
        <v>260000</v>
      </c>
      <c r="O6" s="14">
        <f t="shared" si="7"/>
        <v>4543246.3072982728</v>
      </c>
      <c r="P6" s="3">
        <f t="shared" si="1"/>
        <v>28395.289420614205</v>
      </c>
      <c r="Q6" s="14">
        <f t="shared" si="5"/>
        <v>7543.8515138314942</v>
      </c>
      <c r="R6" s="47"/>
      <c r="S6" s="38">
        <f t="shared" si="13"/>
        <v>4</v>
      </c>
      <c r="T6" s="3">
        <f t="shared" si="14"/>
        <v>250000</v>
      </c>
      <c r="U6" s="3">
        <f t="shared" si="15"/>
        <v>3119464.54</v>
      </c>
      <c r="V6" s="3">
        <f t="shared" si="16"/>
        <v>31194.645400000001</v>
      </c>
    </row>
    <row r="7" spans="1:25" x14ac:dyDescent="0.35">
      <c r="A7" s="41" t="s">
        <v>16</v>
      </c>
      <c r="B7" s="8" t="s">
        <v>3</v>
      </c>
      <c r="C7" s="9">
        <f>-PMT(D2,D3,C3)</f>
        <v>120227.69157374259</v>
      </c>
      <c r="E7" s="2">
        <f t="shared" si="8"/>
        <v>5</v>
      </c>
      <c r="F7" s="3">
        <f t="shared" si="2"/>
        <v>120227.69157374259</v>
      </c>
      <c r="G7" s="3">
        <f t="shared" si="9"/>
        <v>84815.354080792487</v>
      </c>
      <c r="H7" s="3">
        <f t="shared" si="3"/>
        <v>35412.337492950093</v>
      </c>
      <c r="I7" s="4">
        <f t="shared" si="10"/>
        <v>0.70545606399479388</v>
      </c>
      <c r="J7" s="4">
        <f t="shared" si="11"/>
        <v>0.29454393600520612</v>
      </c>
      <c r="K7" s="3">
        <f t="shared" si="12"/>
        <v>5581158.6447912231</v>
      </c>
      <c r="L7" s="4">
        <f t="shared" si="0"/>
        <v>6.9806892534796147E-2</v>
      </c>
      <c r="M7" s="14">
        <f t="shared" si="4"/>
        <v>5581158.6447912231</v>
      </c>
      <c r="N7" s="14">
        <f t="shared" si="6"/>
        <v>260000</v>
      </c>
      <c r="O7" s="14">
        <f t="shared" si="7"/>
        <v>4198430.9532174803</v>
      </c>
      <c r="P7" s="3">
        <f t="shared" si="1"/>
        <v>26240.19345760925</v>
      </c>
      <c r="Q7" s="14">
        <f t="shared" si="5"/>
        <v>9172.1440353408434</v>
      </c>
      <c r="R7" s="47"/>
      <c r="S7" s="38">
        <f t="shared" si="13"/>
        <v>5</v>
      </c>
      <c r="T7" s="3">
        <f t="shared" si="14"/>
        <v>250000</v>
      </c>
      <c r="U7" s="3">
        <f t="shared" si="15"/>
        <v>3400659.1853999998</v>
      </c>
      <c r="V7" s="3">
        <f t="shared" si="16"/>
        <v>34006.591853999998</v>
      </c>
    </row>
    <row r="8" spans="1:25" x14ac:dyDescent="0.35">
      <c r="A8" s="41"/>
      <c r="B8" s="8" t="s">
        <v>4</v>
      </c>
      <c r="C8" s="10">
        <f>C3</f>
        <v>6000000</v>
      </c>
      <c r="D8" s="14"/>
      <c r="E8" s="2">
        <f t="shared" si="8"/>
        <v>6</v>
      </c>
      <c r="F8" s="3">
        <f t="shared" si="2"/>
        <v>120227.69157374259</v>
      </c>
      <c r="G8" s="3">
        <f t="shared" si="9"/>
        <v>85345.450043797449</v>
      </c>
      <c r="H8" s="3">
        <f t="shared" si="3"/>
        <v>34882.241529945139</v>
      </c>
      <c r="I8" s="4">
        <f t="shared" si="10"/>
        <v>0.70986516439476133</v>
      </c>
      <c r="J8" s="4">
        <f t="shared" si="11"/>
        <v>0.29013483560523862</v>
      </c>
      <c r="K8" s="3">
        <f t="shared" si="12"/>
        <v>5495813.1947474256</v>
      </c>
      <c r="L8" s="4">
        <f t="shared" si="0"/>
        <v>8.4031134208762404E-2</v>
      </c>
      <c r="M8" s="14">
        <f t="shared" si="4"/>
        <v>5495813.1947474256</v>
      </c>
      <c r="N8" s="14">
        <f t="shared" si="6"/>
        <v>260000</v>
      </c>
      <c r="O8" s="14">
        <f t="shared" si="7"/>
        <v>3853085.5031736828</v>
      </c>
      <c r="P8" s="3">
        <f t="shared" si="1"/>
        <v>24081.784394835515</v>
      </c>
      <c r="Q8" s="14">
        <f t="shared" si="5"/>
        <v>10800.457135109624</v>
      </c>
      <c r="R8" s="47"/>
      <c r="S8" s="38">
        <f t="shared" si="13"/>
        <v>6</v>
      </c>
      <c r="T8" s="3">
        <f t="shared" si="14"/>
        <v>250000</v>
      </c>
      <c r="U8" s="3">
        <f t="shared" si="15"/>
        <v>3684665.7772539998</v>
      </c>
      <c r="V8" s="3">
        <f t="shared" si="16"/>
        <v>36846.657772539998</v>
      </c>
    </row>
    <row r="9" spans="1:25" x14ac:dyDescent="0.35">
      <c r="A9" s="41"/>
      <c r="B9" s="8" t="s">
        <v>5</v>
      </c>
      <c r="C9" s="10">
        <f>C7*D3</f>
        <v>7213661.4944245555</v>
      </c>
      <c r="E9" s="2">
        <f t="shared" si="8"/>
        <v>7</v>
      </c>
      <c r="F9" s="3">
        <f t="shared" si="2"/>
        <v>120227.69157374259</v>
      </c>
      <c r="G9" s="3">
        <f t="shared" si="9"/>
        <v>85878.859106571181</v>
      </c>
      <c r="H9" s="3">
        <f t="shared" si="3"/>
        <v>34348.832467171407</v>
      </c>
      <c r="I9" s="4">
        <f t="shared" si="10"/>
        <v>0.71430182167222867</v>
      </c>
      <c r="J9" s="4">
        <f t="shared" si="11"/>
        <v>0.28569817832777139</v>
      </c>
      <c r="K9" s="3">
        <f t="shared" si="12"/>
        <v>5409934.3356408542</v>
      </c>
      <c r="L9" s="4">
        <f t="shared" si="0"/>
        <v>9.834427739319096E-2</v>
      </c>
      <c r="M9" s="14">
        <f t="shared" si="4"/>
        <v>5409934.3356408542</v>
      </c>
      <c r="N9" s="14">
        <f t="shared" si="6"/>
        <v>260000</v>
      </c>
      <c r="O9" s="14">
        <f t="shared" si="7"/>
        <v>3507206.6440671114</v>
      </c>
      <c r="P9" s="3">
        <f t="shared" si="1"/>
        <v>21920.041525419445</v>
      </c>
      <c r="Q9" s="14">
        <f t="shared" si="5"/>
        <v>12428.790941751962</v>
      </c>
      <c r="R9" s="47"/>
      <c r="S9" s="38">
        <f t="shared" si="13"/>
        <v>7</v>
      </c>
      <c r="T9" s="3">
        <f t="shared" si="14"/>
        <v>250000</v>
      </c>
      <c r="U9" s="3">
        <f t="shared" si="15"/>
        <v>3971512.43502654</v>
      </c>
      <c r="V9" s="3">
        <f t="shared" si="16"/>
        <v>39715.124350265403</v>
      </c>
    </row>
    <row r="10" spans="1:25" x14ac:dyDescent="0.35">
      <c r="A10" s="41"/>
      <c r="B10" s="8" t="s">
        <v>6</v>
      </c>
      <c r="C10" s="11">
        <f>C9-C8</f>
        <v>1213661.4944245555</v>
      </c>
      <c r="E10" s="2">
        <f t="shared" si="8"/>
        <v>8</v>
      </c>
      <c r="F10" s="3">
        <f t="shared" si="2"/>
        <v>120227.69157374259</v>
      </c>
      <c r="G10" s="3">
        <f t="shared" si="9"/>
        <v>86415.601975987258</v>
      </c>
      <c r="H10" s="3">
        <f t="shared" si="3"/>
        <v>33812.089597755337</v>
      </c>
      <c r="I10" s="4">
        <f t="shared" si="10"/>
        <v>0.7187662080576801</v>
      </c>
      <c r="J10" s="4">
        <f t="shared" si="11"/>
        <v>0.28123379194231996</v>
      </c>
      <c r="K10" s="3">
        <f t="shared" si="12"/>
        <v>5323518.7336648665</v>
      </c>
      <c r="L10" s="4">
        <f t="shared" si="0"/>
        <v>0.11274687772252225</v>
      </c>
      <c r="M10" s="14">
        <f t="shared" si="4"/>
        <v>5323518.7336648665</v>
      </c>
      <c r="N10" s="14">
        <f t="shared" si="6"/>
        <v>260000</v>
      </c>
      <c r="O10" s="14">
        <f t="shared" si="7"/>
        <v>3160791.0420911242</v>
      </c>
      <c r="P10" s="3">
        <f t="shared" si="1"/>
        <v>19754.944013069526</v>
      </c>
      <c r="Q10" s="14">
        <f t="shared" si="5"/>
        <v>14057.145584685812</v>
      </c>
      <c r="R10" s="47"/>
      <c r="S10" s="38">
        <f t="shared" si="13"/>
        <v>8</v>
      </c>
      <c r="T10" s="3">
        <f t="shared" si="14"/>
        <v>250000</v>
      </c>
      <c r="U10" s="3">
        <f t="shared" si="15"/>
        <v>4261227.5593768051</v>
      </c>
      <c r="V10" s="3">
        <f t="shared" si="16"/>
        <v>42612.275593768049</v>
      </c>
    </row>
    <row r="11" spans="1:25" x14ac:dyDescent="0.35">
      <c r="E11" s="2">
        <f t="shared" si="8"/>
        <v>9</v>
      </c>
      <c r="F11" s="3">
        <f t="shared" si="2"/>
        <v>120227.69157374259</v>
      </c>
      <c r="G11" s="3">
        <f t="shared" si="9"/>
        <v>86955.699488337181</v>
      </c>
      <c r="H11" s="3">
        <f t="shared" si="3"/>
        <v>33271.992085405414</v>
      </c>
      <c r="I11" s="4">
        <f t="shared" si="10"/>
        <v>0.72325849685804067</v>
      </c>
      <c r="J11" s="4">
        <f t="shared" si="11"/>
        <v>0.27674150314195944</v>
      </c>
      <c r="K11" s="3">
        <f t="shared" si="12"/>
        <v>5236563.0341765294</v>
      </c>
      <c r="L11" s="4">
        <f t="shared" si="0"/>
        <v>0.12723949430391177</v>
      </c>
      <c r="M11" s="14">
        <f t="shared" si="4"/>
        <v>5236563.0341765294</v>
      </c>
      <c r="N11" s="14">
        <f t="shared" si="6"/>
        <v>260000</v>
      </c>
      <c r="O11" s="14">
        <f t="shared" si="7"/>
        <v>2813835.3426027871</v>
      </c>
      <c r="P11" s="3">
        <f t="shared" si="1"/>
        <v>17586.470891267418</v>
      </c>
      <c r="Q11" s="14">
        <f t="shared" si="5"/>
        <v>15685.521194137997</v>
      </c>
      <c r="R11" s="47"/>
      <c r="S11" s="38">
        <f t="shared" si="13"/>
        <v>9</v>
      </c>
      <c r="T11" s="3">
        <f t="shared" si="14"/>
        <v>250000</v>
      </c>
      <c r="U11" s="3">
        <f t="shared" si="15"/>
        <v>4553839.834970573</v>
      </c>
      <c r="V11" s="3">
        <f t="shared" si="16"/>
        <v>45538.398349705727</v>
      </c>
    </row>
    <row r="12" spans="1:25" x14ac:dyDescent="0.35">
      <c r="E12" s="2">
        <f t="shared" si="8"/>
        <v>10</v>
      </c>
      <c r="F12" s="3">
        <f t="shared" si="2"/>
        <v>120227.69157374259</v>
      </c>
      <c r="G12" s="3">
        <f t="shared" si="9"/>
        <v>87499.172610139285</v>
      </c>
      <c r="H12" s="3">
        <f t="shared" si="3"/>
        <v>32728.518963603306</v>
      </c>
      <c r="I12" s="4">
        <f t="shared" si="10"/>
        <v>0.7277788624634034</v>
      </c>
      <c r="J12" s="4">
        <f t="shared" si="11"/>
        <v>0.27222113753659666</v>
      </c>
      <c r="K12" s="3">
        <f t="shared" si="12"/>
        <v>5149063.8615663899</v>
      </c>
      <c r="L12" s="4">
        <f t="shared" si="0"/>
        <v>0.14182268973893503</v>
      </c>
      <c r="M12" s="14">
        <f t="shared" si="4"/>
        <v>5149063.8615663899</v>
      </c>
      <c r="N12" s="14">
        <f t="shared" si="6"/>
        <v>260000</v>
      </c>
      <c r="O12" s="14">
        <f t="shared" si="7"/>
        <v>2466336.1699926476</v>
      </c>
      <c r="P12" s="3">
        <f t="shared" si="1"/>
        <v>15414.601062454047</v>
      </c>
      <c r="Q12" s="14">
        <f t="shared" si="5"/>
        <v>17313.91790114926</v>
      </c>
      <c r="R12" s="47"/>
      <c r="S12" s="38">
        <f t="shared" si="13"/>
        <v>10</v>
      </c>
      <c r="T12" s="3">
        <f t="shared" si="14"/>
        <v>250000</v>
      </c>
      <c r="U12" s="3">
        <f t="shared" si="15"/>
        <v>4849378.233320279</v>
      </c>
      <c r="V12" s="3">
        <f t="shared" si="16"/>
        <v>48493.782333202791</v>
      </c>
    </row>
    <row r="13" spans="1:25" x14ac:dyDescent="0.35">
      <c r="B13" s="1">
        <v>839075</v>
      </c>
      <c r="E13" s="2">
        <f t="shared" si="8"/>
        <v>11</v>
      </c>
      <c r="F13" s="3">
        <f t="shared" si="2"/>
        <v>120227.69157374259</v>
      </c>
      <c r="G13" s="3">
        <f t="shared" si="9"/>
        <v>88046.04243895266</v>
      </c>
      <c r="H13" s="3">
        <f t="shared" si="3"/>
        <v>32181.649134789935</v>
      </c>
      <c r="I13" s="4">
        <f t="shared" si="10"/>
        <v>0.73232748035379969</v>
      </c>
      <c r="J13" s="4">
        <f t="shared" si="11"/>
        <v>0.26767251964620042</v>
      </c>
      <c r="K13" s="3">
        <f t="shared" si="12"/>
        <v>5061017.8191274377</v>
      </c>
      <c r="L13" s="4">
        <f t="shared" si="0"/>
        <v>0.15649703014542707</v>
      </c>
      <c r="M13" s="14">
        <f t="shared" si="4"/>
        <v>5061017.8191274377</v>
      </c>
      <c r="N13" s="14">
        <f t="shared" si="6"/>
        <v>260000</v>
      </c>
      <c r="O13" s="14">
        <f t="shared" si="7"/>
        <v>2118290.1275536949</v>
      </c>
      <c r="P13" s="3">
        <f t="shared" si="1"/>
        <v>13239.313297210592</v>
      </c>
      <c r="Q13" s="14">
        <f t="shared" si="5"/>
        <v>18942.335837579343</v>
      </c>
      <c r="R13" s="47"/>
      <c r="S13" s="38">
        <f t="shared" si="13"/>
        <v>11</v>
      </c>
      <c r="T13" s="3">
        <f t="shared" si="14"/>
        <v>250000</v>
      </c>
      <c r="U13" s="3">
        <f t="shared" si="15"/>
        <v>5147872.0156534817</v>
      </c>
      <c r="V13" s="3">
        <f t="shared" si="16"/>
        <v>51478.720156534815</v>
      </c>
    </row>
    <row r="14" spans="1:25" x14ac:dyDescent="0.35">
      <c r="E14" s="2">
        <f t="shared" si="8"/>
        <v>12</v>
      </c>
      <c r="F14" s="3">
        <f t="shared" si="2"/>
        <v>120227.69157374259</v>
      </c>
      <c r="G14" s="3">
        <f t="shared" si="9"/>
        <v>88596.3302041961</v>
      </c>
      <c r="H14" s="3">
        <f t="shared" si="3"/>
        <v>31631.361369546481</v>
      </c>
      <c r="I14" s="4">
        <f t="shared" si="10"/>
        <v>0.73690452710601084</v>
      </c>
      <c r="J14" s="4">
        <f t="shared" si="11"/>
        <v>0.26309547289398916</v>
      </c>
      <c r="K14" s="3">
        <f t="shared" si="12"/>
        <v>4972421.4889232414</v>
      </c>
      <c r="L14" s="4">
        <f t="shared" si="0"/>
        <v>0.17126308517945976</v>
      </c>
      <c r="M14" s="14">
        <f t="shared" si="4"/>
        <v>4972421.4889232414</v>
      </c>
      <c r="N14" s="14">
        <f t="shared" si="6"/>
        <v>260000</v>
      </c>
      <c r="O14" s="14">
        <f t="shared" si="7"/>
        <v>1769693.7973494988</v>
      </c>
      <c r="P14" s="3">
        <f t="shared" si="1"/>
        <v>11060.586233434367</v>
      </c>
      <c r="Q14" s="14">
        <f t="shared" si="5"/>
        <v>20570.775136112112</v>
      </c>
      <c r="R14" s="47"/>
      <c r="S14" s="38">
        <f t="shared" si="13"/>
        <v>12</v>
      </c>
      <c r="T14" s="3">
        <f t="shared" si="14"/>
        <v>250000</v>
      </c>
      <c r="U14" s="3">
        <f t="shared" si="15"/>
        <v>5449350.7358100163</v>
      </c>
      <c r="V14" s="3">
        <f t="shared" si="16"/>
        <v>54493.507358100163</v>
      </c>
    </row>
    <row r="15" spans="1:25" ht="31" x14ac:dyDescent="0.35">
      <c r="A15" s="1" t="s">
        <v>38</v>
      </c>
      <c r="B15" s="14">
        <v>9500000</v>
      </c>
      <c r="E15" s="2">
        <f t="shared" si="8"/>
        <v>13</v>
      </c>
      <c r="F15" s="3">
        <f t="shared" si="2"/>
        <v>120227.69157374259</v>
      </c>
      <c r="G15" s="3">
        <f t="shared" si="9"/>
        <v>89150.057267972326</v>
      </c>
      <c r="H15" s="3">
        <f t="shared" si="3"/>
        <v>31077.634305770254</v>
      </c>
      <c r="I15" s="4">
        <f t="shared" si="10"/>
        <v>0.74151018040042338</v>
      </c>
      <c r="J15" s="4">
        <f t="shared" si="11"/>
        <v>0.25848981959957656</v>
      </c>
      <c r="K15" s="3">
        <f t="shared" si="12"/>
        <v>4883271.4316552691</v>
      </c>
      <c r="L15" s="4">
        <f t="shared" si="0"/>
        <v>0.18612142805745516</v>
      </c>
      <c r="M15" s="14">
        <f t="shared" si="4"/>
        <v>4883271.4316552691</v>
      </c>
      <c r="N15" s="14">
        <f t="shared" si="6"/>
        <v>260000</v>
      </c>
      <c r="O15" s="14">
        <f t="shared" si="7"/>
        <v>1420543.7400815266</v>
      </c>
      <c r="P15" s="3">
        <f t="shared" si="1"/>
        <v>8878.3983755095396</v>
      </c>
      <c r="Q15" s="14">
        <f t="shared" si="5"/>
        <v>22199.235930260715</v>
      </c>
      <c r="R15" s="47"/>
      <c r="S15" s="38">
        <f t="shared" si="13"/>
        <v>13</v>
      </c>
      <c r="T15" s="3">
        <f t="shared" si="14"/>
        <v>250000</v>
      </c>
      <c r="U15" s="3">
        <f t="shared" si="15"/>
        <v>5753844.2431681165</v>
      </c>
      <c r="V15" s="3">
        <f t="shared" si="16"/>
        <v>57538.442431681164</v>
      </c>
    </row>
    <row r="16" spans="1:25" ht="31" x14ac:dyDescent="0.35">
      <c r="A16" s="1" t="s">
        <v>27</v>
      </c>
      <c r="B16" s="14">
        <f>SUM(H3:H26)</f>
        <v>750533.98527280742</v>
      </c>
      <c r="E16" s="2">
        <f t="shared" si="8"/>
        <v>14</v>
      </c>
      <c r="F16" s="3">
        <f t="shared" si="2"/>
        <v>120227.69157374259</v>
      </c>
      <c r="G16" s="3">
        <f t="shared" si="9"/>
        <v>89707.245125897156</v>
      </c>
      <c r="H16" s="3">
        <f t="shared" si="3"/>
        <v>30520.446447845428</v>
      </c>
      <c r="I16" s="4">
        <f t="shared" si="10"/>
        <v>0.74614461902792606</v>
      </c>
      <c r="J16" s="4">
        <f t="shared" si="11"/>
        <v>0.25385538097207394</v>
      </c>
      <c r="K16" s="3">
        <f t="shared" si="12"/>
        <v>4793564.1865293719</v>
      </c>
      <c r="L16" s="4">
        <f t="shared" si="0"/>
        <v>0.20107263557843802</v>
      </c>
      <c r="M16" s="14">
        <f t="shared" si="4"/>
        <v>4793564.1865293719</v>
      </c>
      <c r="N16" s="14">
        <f t="shared" si="6"/>
        <v>260000</v>
      </c>
      <c r="O16" s="14">
        <f t="shared" si="7"/>
        <v>1070836.4949556293</v>
      </c>
      <c r="P16" s="3">
        <f t="shared" si="1"/>
        <v>6692.7280934726832</v>
      </c>
      <c r="Q16" s="14">
        <f t="shared" si="5"/>
        <v>23827.718354372744</v>
      </c>
      <c r="R16" s="47"/>
      <c r="S16" s="38">
        <f t="shared" si="13"/>
        <v>14</v>
      </c>
      <c r="T16" s="3">
        <f t="shared" si="14"/>
        <v>250000</v>
      </c>
      <c r="U16" s="3">
        <f t="shared" si="15"/>
        <v>6061382.6855997974</v>
      </c>
      <c r="V16" s="3">
        <f t="shared" si="16"/>
        <v>60613.826855997977</v>
      </c>
    </row>
    <row r="17" spans="1:23" ht="31" x14ac:dyDescent="0.35">
      <c r="A17" s="1" t="s">
        <v>32</v>
      </c>
      <c r="B17" s="14">
        <f>20000*5</f>
        <v>100000</v>
      </c>
      <c r="C17" s="14"/>
      <c r="D17" s="14"/>
      <c r="E17" s="2">
        <f t="shared" si="8"/>
        <v>15</v>
      </c>
      <c r="F17" s="3">
        <f t="shared" si="2"/>
        <v>120227.69157374259</v>
      </c>
      <c r="G17" s="3">
        <f t="shared" si="9"/>
        <v>90267.915407934022</v>
      </c>
      <c r="H17" s="3">
        <f t="shared" si="3"/>
        <v>29959.776165808573</v>
      </c>
      <c r="I17" s="4">
        <f t="shared" si="10"/>
        <v>0.75080802289685067</v>
      </c>
      <c r="J17" s="4">
        <f t="shared" si="11"/>
        <v>0.24919197710314941</v>
      </c>
      <c r="K17" s="3">
        <f t="shared" si="12"/>
        <v>4703296.2711214377</v>
      </c>
      <c r="L17" s="4">
        <f t="shared" si="0"/>
        <v>0.21611728814642706</v>
      </c>
      <c r="M17" s="14">
        <f t="shared" si="4"/>
        <v>4703296.2711214377</v>
      </c>
      <c r="N17" s="14">
        <f t="shared" si="6"/>
        <v>260000</v>
      </c>
      <c r="O17" s="14">
        <f t="shared" si="7"/>
        <v>720568.57954769535</v>
      </c>
      <c r="P17" s="3">
        <f t="shared" si="1"/>
        <v>4503.5536221730954</v>
      </c>
      <c r="Q17" s="14">
        <f t="shared" si="5"/>
        <v>25456.222543635478</v>
      </c>
      <c r="R17" s="47"/>
      <c r="S17" s="38">
        <f t="shared" si="13"/>
        <v>15</v>
      </c>
      <c r="T17" s="3">
        <f t="shared" si="14"/>
        <v>250000</v>
      </c>
      <c r="U17" s="3">
        <f t="shared" si="15"/>
        <v>6371996.512455795</v>
      </c>
      <c r="V17" s="3">
        <f t="shared" si="16"/>
        <v>63719.965124557952</v>
      </c>
    </row>
    <row r="18" spans="1:23" ht="31" x14ac:dyDescent="0.35">
      <c r="A18" s="1" t="s">
        <v>33</v>
      </c>
      <c r="B18" s="14">
        <v>95000</v>
      </c>
      <c r="D18" s="14"/>
      <c r="E18" s="2">
        <f t="shared" si="8"/>
        <v>16</v>
      </c>
      <c r="F18" s="3">
        <f t="shared" si="2"/>
        <v>120227.69157374259</v>
      </c>
      <c r="G18" s="3">
        <f t="shared" si="9"/>
        <v>90832.089879233608</v>
      </c>
      <c r="H18" s="3">
        <f t="shared" si="3"/>
        <v>29395.601694508983</v>
      </c>
      <c r="I18" s="4">
        <f t="shared" si="10"/>
        <v>0.75550057303995599</v>
      </c>
      <c r="J18" s="4">
        <f t="shared" si="11"/>
        <v>0.24449942696004409</v>
      </c>
      <c r="K18" s="3">
        <f t="shared" si="12"/>
        <v>4612464.1812422043</v>
      </c>
      <c r="L18" s="4">
        <f t="shared" si="0"/>
        <v>0.23125596979296595</v>
      </c>
      <c r="M18" s="14">
        <f t="shared" si="4"/>
        <v>4612464.1812422043</v>
      </c>
      <c r="N18" s="14">
        <f t="shared" si="6"/>
        <v>260000</v>
      </c>
      <c r="O18" s="14">
        <f t="shared" si="7"/>
        <v>369736.48966846173</v>
      </c>
      <c r="P18" s="3">
        <f t="shared" si="1"/>
        <v>2310.8530604278858</v>
      </c>
      <c r="Q18" s="14">
        <f t="shared" si="5"/>
        <v>27084.748634081097</v>
      </c>
      <c r="R18" s="47"/>
      <c r="S18" s="38">
        <f t="shared" si="13"/>
        <v>16</v>
      </c>
      <c r="T18" s="3">
        <f t="shared" si="14"/>
        <v>250000</v>
      </c>
      <c r="U18" s="3">
        <f t="shared" si="15"/>
        <v>6685716.4775803527</v>
      </c>
      <c r="V18" s="3">
        <f t="shared" si="16"/>
        <v>66857.164775803525</v>
      </c>
    </row>
    <row r="19" spans="1:23" ht="31" x14ac:dyDescent="0.35">
      <c r="A19" s="1" t="s">
        <v>34</v>
      </c>
      <c r="B19" s="14">
        <v>70000</v>
      </c>
      <c r="D19" s="14"/>
      <c r="E19" s="2">
        <f t="shared" si="8"/>
        <v>17</v>
      </c>
      <c r="F19" s="3">
        <f t="shared" si="2"/>
        <v>120227.69157374259</v>
      </c>
      <c r="G19" s="3">
        <f t="shared" si="9"/>
        <v>91399.790440978817</v>
      </c>
      <c r="H19" s="3">
        <f t="shared" si="3"/>
        <v>28827.901132763775</v>
      </c>
      <c r="I19" s="4">
        <f t="shared" si="10"/>
        <v>0.76022245162145563</v>
      </c>
      <c r="J19" s="4">
        <f t="shared" si="11"/>
        <v>0.23977754837854437</v>
      </c>
      <c r="K19" s="3">
        <f t="shared" si="12"/>
        <v>4521064.3908012258</v>
      </c>
      <c r="L19" s="4">
        <f t="shared" si="0"/>
        <v>0.24648926819979569</v>
      </c>
      <c r="M19" s="14">
        <f t="shared" si="4"/>
        <v>4521064.3908012258</v>
      </c>
      <c r="N19" s="14">
        <f t="shared" si="6"/>
        <v>260000</v>
      </c>
      <c r="O19" s="14">
        <f t="shared" si="7"/>
        <v>18336.69922748291</v>
      </c>
      <c r="P19" s="3">
        <f t="shared" si="1"/>
        <v>114.60437017176818</v>
      </c>
      <c r="Q19" s="14">
        <f t="shared" si="5"/>
        <v>28713.296762592006</v>
      </c>
      <c r="R19" s="48"/>
      <c r="S19" s="38">
        <f t="shared" si="13"/>
        <v>17</v>
      </c>
      <c r="T19" s="3">
        <f t="shared" si="14"/>
        <v>250000</v>
      </c>
      <c r="U19" s="3">
        <f t="shared" si="15"/>
        <v>7002573.6423561564</v>
      </c>
      <c r="V19" s="3">
        <f t="shared" si="16"/>
        <v>70025.736423561568</v>
      </c>
    </row>
    <row r="20" spans="1:23" ht="46.5" x14ac:dyDescent="0.35">
      <c r="A20" s="1" t="s">
        <v>35</v>
      </c>
      <c r="B20" s="14">
        <v>5000</v>
      </c>
      <c r="D20" s="14"/>
      <c r="E20" s="2">
        <f t="shared" si="8"/>
        <v>18</v>
      </c>
      <c r="F20" s="3">
        <f t="shared" si="2"/>
        <v>120227.69157374259</v>
      </c>
      <c r="G20" s="3">
        <f t="shared" si="9"/>
        <v>91971.039131234924</v>
      </c>
      <c r="H20" s="3">
        <f t="shared" si="3"/>
        <v>28256.65244250766</v>
      </c>
      <c r="I20" s="4">
        <f t="shared" si="10"/>
        <v>0.76497384194408968</v>
      </c>
      <c r="J20" s="4">
        <f t="shared" si="11"/>
        <v>0.23502615805591029</v>
      </c>
      <c r="K20" s="3">
        <f t="shared" si="12"/>
        <v>4429093.3516699905</v>
      </c>
      <c r="L20" s="4">
        <f t="shared" si="0"/>
        <v>0.26181777472166828</v>
      </c>
      <c r="M20" s="14">
        <f t="shared" si="4"/>
        <v>4429093.3516699905</v>
      </c>
      <c r="N20" s="14">
        <f t="shared" si="6"/>
        <v>260000</v>
      </c>
      <c r="O20" s="14">
        <f t="shared" si="7"/>
        <v>-333634.33990375203</v>
      </c>
      <c r="P20" s="3">
        <f t="shared" si="1"/>
        <v>-2085.2146243984498</v>
      </c>
      <c r="Q20" s="14">
        <f t="shared" si="5"/>
        <v>30341.86706690611</v>
      </c>
      <c r="R20" s="40"/>
      <c r="S20" s="38">
        <f t="shared" si="13"/>
        <v>18</v>
      </c>
      <c r="T20" s="3">
        <f t="shared" si="14"/>
        <v>250000</v>
      </c>
      <c r="U20" s="3">
        <f t="shared" si="15"/>
        <v>7322599.3787797177</v>
      </c>
      <c r="V20" s="3">
        <f t="shared" si="16"/>
        <v>73225.993787797182</v>
      </c>
    </row>
    <row r="21" spans="1:23" ht="31" x14ac:dyDescent="0.35">
      <c r="A21" s="1" t="s">
        <v>36</v>
      </c>
      <c r="B21" s="14">
        <v>70000</v>
      </c>
      <c r="D21" s="14"/>
      <c r="E21" s="2">
        <f t="shared" si="8"/>
        <v>19</v>
      </c>
      <c r="F21" s="3">
        <f t="shared" si="2"/>
        <v>120227.69157374259</v>
      </c>
      <c r="G21" s="3">
        <f t="shared" si="9"/>
        <v>92545.858125805156</v>
      </c>
      <c r="H21" s="3">
        <f t="shared" si="3"/>
        <v>27681.833447937439</v>
      </c>
      <c r="I21" s="4">
        <f t="shared" si="10"/>
        <v>0.76975492845624038</v>
      </c>
      <c r="J21" s="4">
        <f t="shared" si="11"/>
        <v>0.2302450715437597</v>
      </c>
      <c r="K21" s="3">
        <f t="shared" si="12"/>
        <v>4336547.4935441855</v>
      </c>
      <c r="L21" s="4">
        <f t="shared" si="0"/>
        <v>0.27724208440930243</v>
      </c>
      <c r="M21" s="14">
        <f t="shared" si="4"/>
        <v>4336547.4935441855</v>
      </c>
      <c r="N21" s="14">
        <f t="shared" si="6"/>
        <v>260000</v>
      </c>
      <c r="O21" s="14">
        <f t="shared" si="7"/>
        <v>-686180.19802955724</v>
      </c>
      <c r="P21" s="3">
        <f t="shared" si="1"/>
        <v>-4288.6262376847326</v>
      </c>
      <c r="Q21" s="14">
        <f t="shared" si="5"/>
        <v>31970.459685622172</v>
      </c>
      <c r="R21" s="40"/>
      <c r="S21" s="38">
        <f t="shared" si="13"/>
        <v>19</v>
      </c>
      <c r="T21" s="3">
        <f t="shared" si="14"/>
        <v>250000</v>
      </c>
      <c r="U21" s="3">
        <f t="shared" si="15"/>
        <v>7645825.3725675149</v>
      </c>
      <c r="V21" s="3">
        <f t="shared" si="16"/>
        <v>76458.253725675153</v>
      </c>
    </row>
    <row r="22" spans="1:23" ht="31" x14ac:dyDescent="0.35">
      <c r="A22" s="1" t="s">
        <v>37</v>
      </c>
      <c r="B22" s="14">
        <v>600000</v>
      </c>
      <c r="D22" s="14"/>
      <c r="E22" s="2">
        <f t="shared" si="8"/>
        <v>20</v>
      </c>
      <c r="F22" s="3">
        <f t="shared" si="2"/>
        <v>120227.69157374259</v>
      </c>
      <c r="G22" s="3">
        <f t="shared" si="9"/>
        <v>93124.269739091425</v>
      </c>
      <c r="H22" s="3">
        <f t="shared" si="3"/>
        <v>27103.421834651159</v>
      </c>
      <c r="I22" s="4">
        <f t="shared" si="10"/>
        <v>0.77456589675909171</v>
      </c>
      <c r="J22" s="4">
        <f t="shared" si="11"/>
        <v>0.22543410324090823</v>
      </c>
      <c r="K22" s="3">
        <f t="shared" si="12"/>
        <v>4243423.2238050941</v>
      </c>
      <c r="L22" s="4">
        <f t="shared" si="0"/>
        <v>0.29276279603248428</v>
      </c>
      <c r="M22" s="14">
        <f t="shared" si="4"/>
        <v>4243423.2238050941</v>
      </c>
      <c r="N22" s="14">
        <f t="shared" si="6"/>
        <v>260000</v>
      </c>
      <c r="O22" s="14">
        <f t="shared" si="7"/>
        <v>-1039304.4677686486</v>
      </c>
      <c r="P22" s="3">
        <f t="shared" si="1"/>
        <v>-6495.6529235540538</v>
      </c>
      <c r="Q22" s="14">
        <f t="shared" si="5"/>
        <v>33599.074758205214</v>
      </c>
      <c r="R22" s="40"/>
      <c r="S22" s="38">
        <f t="shared" si="13"/>
        <v>20</v>
      </c>
      <c r="T22" s="3">
        <f t="shared" si="14"/>
        <v>250000</v>
      </c>
      <c r="U22" s="3">
        <f t="shared" si="15"/>
        <v>7972283.6262931898</v>
      </c>
      <c r="V22" s="3">
        <f t="shared" si="16"/>
        <v>79722.836262931902</v>
      </c>
    </row>
    <row r="23" spans="1:23" x14ac:dyDescent="0.35">
      <c r="A23" s="1" t="s">
        <v>39</v>
      </c>
      <c r="B23" s="14">
        <f>24*750</f>
        <v>18000</v>
      </c>
      <c r="D23" s="14"/>
      <c r="E23" s="2">
        <f t="shared" si="8"/>
        <v>21</v>
      </c>
      <c r="F23" s="3">
        <f t="shared" si="2"/>
        <v>120227.69157374259</v>
      </c>
      <c r="G23" s="3">
        <f t="shared" si="9"/>
        <v>93706.296424960747</v>
      </c>
      <c r="H23" s="3">
        <f t="shared" si="3"/>
        <v>26521.395148781838</v>
      </c>
      <c r="I23" s="4">
        <f t="shared" si="10"/>
        <v>0.77940693361383606</v>
      </c>
      <c r="J23" s="4">
        <f t="shared" si="11"/>
        <v>0.22059306638616391</v>
      </c>
      <c r="K23" s="3">
        <f t="shared" si="12"/>
        <v>4149716.9273801334</v>
      </c>
      <c r="L23" s="4">
        <f t="shared" si="0"/>
        <v>0.30838051210331108</v>
      </c>
      <c r="M23" s="14">
        <f t="shared" si="4"/>
        <v>4149716.9273801334</v>
      </c>
      <c r="N23" s="14">
        <f t="shared" si="6"/>
        <v>260000</v>
      </c>
      <c r="O23" s="14">
        <f t="shared" si="7"/>
        <v>-1393010.7641936094</v>
      </c>
      <c r="P23" s="3">
        <f t="shared" si="1"/>
        <v>-8706.3172762100585</v>
      </c>
      <c r="Q23" s="14">
        <f t="shared" si="5"/>
        <v>35227.7124249919</v>
      </c>
      <c r="R23" s="40"/>
      <c r="S23" s="38">
        <f t="shared" si="13"/>
        <v>21</v>
      </c>
      <c r="T23" s="3">
        <f t="shared" si="14"/>
        <v>250000</v>
      </c>
      <c r="U23" s="3">
        <f t="shared" si="15"/>
        <v>8302006.4625561219</v>
      </c>
      <c r="V23" s="3">
        <f t="shared" si="16"/>
        <v>83020.064625561223</v>
      </c>
    </row>
    <row r="24" spans="1:23" x14ac:dyDescent="0.35">
      <c r="A24" s="1" t="s">
        <v>41</v>
      </c>
      <c r="B24" s="14">
        <v>100000</v>
      </c>
      <c r="D24" s="14"/>
      <c r="E24" s="2">
        <f t="shared" si="8"/>
        <v>22</v>
      </c>
      <c r="F24" s="3">
        <f t="shared" si="2"/>
        <v>120227.69157374259</v>
      </c>
      <c r="G24" s="3">
        <f t="shared" si="9"/>
        <v>94291.960777616754</v>
      </c>
      <c r="H24" s="3">
        <f t="shared" si="3"/>
        <v>25935.73079612583</v>
      </c>
      <c r="I24" s="4">
        <f t="shared" si="10"/>
        <v>0.78427822694892257</v>
      </c>
      <c r="J24" s="4">
        <f t="shared" si="11"/>
        <v>0.2157217730510774</v>
      </c>
      <c r="K24" s="3">
        <f t="shared" si="12"/>
        <v>4055424.9666025168</v>
      </c>
      <c r="L24" s="4">
        <f t="shared" si="0"/>
        <v>0.32409583889958055</v>
      </c>
      <c r="M24" s="14">
        <f t="shared" si="4"/>
        <v>4055424.9666025168</v>
      </c>
      <c r="N24" s="14">
        <f t="shared" si="6"/>
        <v>260000</v>
      </c>
      <c r="O24" s="14">
        <f t="shared" si="7"/>
        <v>-1747302.7249712262</v>
      </c>
      <c r="P24" s="3">
        <f t="shared" si="1"/>
        <v>-10920.642031070163</v>
      </c>
      <c r="Q24" s="14">
        <f t="shared" si="5"/>
        <v>36856.372827195992</v>
      </c>
      <c r="R24" s="40"/>
      <c r="S24" s="38">
        <f t="shared" si="13"/>
        <v>22</v>
      </c>
      <c r="T24" s="3">
        <f t="shared" si="14"/>
        <v>250000</v>
      </c>
      <c r="U24" s="3">
        <f t="shared" si="15"/>
        <v>8635026.5271816831</v>
      </c>
      <c r="V24" s="3">
        <f t="shared" si="16"/>
        <v>86350.265271816839</v>
      </c>
    </row>
    <row r="25" spans="1:23" x14ac:dyDescent="0.35">
      <c r="A25" s="1" t="s">
        <v>42</v>
      </c>
      <c r="B25" s="17">
        <f>SUM(B15:B24)</f>
        <v>11308533.985272808</v>
      </c>
      <c r="E25" s="2">
        <f t="shared" si="8"/>
        <v>23</v>
      </c>
      <c r="F25" s="3">
        <f t="shared" si="2"/>
        <v>120227.69157374259</v>
      </c>
      <c r="G25" s="3">
        <f t="shared" si="9"/>
        <v>94881.285532476861</v>
      </c>
      <c r="H25" s="3">
        <f t="shared" si="3"/>
        <v>25346.406041265727</v>
      </c>
      <c r="I25" s="4">
        <f t="shared" si="10"/>
        <v>0.78917996586735339</v>
      </c>
      <c r="J25" s="4">
        <f t="shared" si="11"/>
        <v>0.21082003413264666</v>
      </c>
      <c r="K25" s="3">
        <f t="shared" si="12"/>
        <v>3960543.68107004</v>
      </c>
      <c r="L25" s="4">
        <f t="shared" si="0"/>
        <v>0.33990938648832669</v>
      </c>
      <c r="M25" s="14">
        <f t="shared" si="4"/>
        <v>3960543.68107004</v>
      </c>
      <c r="N25" s="14">
        <f t="shared" si="6"/>
        <v>260000</v>
      </c>
      <c r="O25" s="14">
        <f t="shared" si="7"/>
        <v>-2102184.0105037033</v>
      </c>
      <c r="P25" s="3">
        <f t="shared" si="1"/>
        <v>-13138.650065648144</v>
      </c>
      <c r="Q25" s="14">
        <f t="shared" si="5"/>
        <v>38485.056106913871</v>
      </c>
      <c r="R25" s="40"/>
      <c r="S25" s="38">
        <f t="shared" si="13"/>
        <v>23</v>
      </c>
      <c r="T25" s="3">
        <f t="shared" si="14"/>
        <v>250000</v>
      </c>
      <c r="U25" s="3">
        <f t="shared" si="15"/>
        <v>8971376.7924534995</v>
      </c>
      <c r="V25" s="3">
        <f t="shared" si="16"/>
        <v>89713.767924535001</v>
      </c>
    </row>
    <row r="26" spans="1:23" x14ac:dyDescent="0.35">
      <c r="A26" s="1" t="s">
        <v>29</v>
      </c>
      <c r="B26" s="14">
        <f>-(20000*24)</f>
        <v>-480000</v>
      </c>
      <c r="E26" s="2">
        <f t="shared" si="8"/>
        <v>24</v>
      </c>
      <c r="F26" s="3">
        <f t="shared" si="2"/>
        <v>120227.69157374259</v>
      </c>
      <c r="G26" s="3">
        <f t="shared" si="9"/>
        <v>95474.293567054847</v>
      </c>
      <c r="H26" s="3">
        <f t="shared" si="3"/>
        <v>24753.398006687748</v>
      </c>
      <c r="I26" s="4">
        <f t="shared" si="10"/>
        <v>0.79411234065402436</v>
      </c>
      <c r="J26" s="4">
        <f t="shared" si="11"/>
        <v>0.20588765934597572</v>
      </c>
      <c r="K26" s="3">
        <f t="shared" si="12"/>
        <v>3865069.3875029851</v>
      </c>
      <c r="L26" s="4">
        <f t="shared" si="0"/>
        <v>0.3558217687495025</v>
      </c>
      <c r="M26" s="14">
        <f t="shared" si="4"/>
        <v>3865069.3875029851</v>
      </c>
      <c r="N26" s="14">
        <f t="shared" si="6"/>
        <v>260000</v>
      </c>
      <c r="O26" s="14">
        <f t="shared" si="7"/>
        <v>-2457658.3040707582</v>
      </c>
      <c r="P26" s="3">
        <f t="shared" si="1"/>
        <v>-15360.364400442237</v>
      </c>
      <c r="Q26" s="14">
        <f t="shared" si="5"/>
        <v>40113.762407129987</v>
      </c>
      <c r="R26" s="40"/>
      <c r="S26" s="39">
        <f t="shared" si="13"/>
        <v>24</v>
      </c>
      <c r="T26" s="18">
        <f t="shared" si="14"/>
        <v>250000</v>
      </c>
      <c r="U26" s="18">
        <f t="shared" si="15"/>
        <v>9311090.5603780337</v>
      </c>
      <c r="V26" s="18">
        <f t="shared" si="16"/>
        <v>93110.905603780338</v>
      </c>
      <c r="W26" s="19">
        <f>SUM(V3:V26)</f>
        <v>1361501.4659818169</v>
      </c>
    </row>
    <row r="27" spans="1:23" x14ac:dyDescent="0.35">
      <c r="A27" s="1" t="s">
        <v>43</v>
      </c>
      <c r="B27" s="14">
        <f>B25+B26</f>
        <v>10828533.985272808</v>
      </c>
      <c r="E27" s="2">
        <f t="shared" si="8"/>
        <v>25</v>
      </c>
      <c r="F27" s="3">
        <f t="shared" si="2"/>
        <v>120227.69157374259</v>
      </c>
      <c r="G27" s="3">
        <f t="shared" si="9"/>
        <v>96071.007901848934</v>
      </c>
      <c r="H27" s="3">
        <f t="shared" si="3"/>
        <v>24156.683671893654</v>
      </c>
      <c r="I27" s="4">
        <f t="shared" si="10"/>
        <v>0.79907554278311199</v>
      </c>
      <c r="J27" s="4">
        <f t="shared" si="11"/>
        <v>0.20092445721688804</v>
      </c>
      <c r="K27" s="3">
        <f t="shared" si="12"/>
        <v>3768998.3796011363</v>
      </c>
      <c r="L27" s="4">
        <f t="shared" si="0"/>
        <v>0.37183360339981064</v>
      </c>
      <c r="M27" s="14">
        <f t="shared" si="4"/>
        <v>3768998.3796011363</v>
      </c>
      <c r="Q27" s="14">
        <f t="shared" si="5"/>
        <v>24156.683671893654</v>
      </c>
      <c r="R27" s="40"/>
      <c r="S27" s="38">
        <f t="shared" si="13"/>
        <v>25</v>
      </c>
      <c r="T27" s="3">
        <f t="shared" si="14"/>
        <v>250000</v>
      </c>
      <c r="U27" s="3">
        <f t="shared" si="15"/>
        <v>9654201.4659818131</v>
      </c>
      <c r="V27" s="3">
        <f t="shared" si="16"/>
        <v>96542.014659818131</v>
      </c>
    </row>
    <row r="28" spans="1:23" x14ac:dyDescent="0.35">
      <c r="B28" s="14"/>
      <c r="E28" s="2">
        <f t="shared" si="8"/>
        <v>26</v>
      </c>
      <c r="F28" s="3">
        <f t="shared" si="2"/>
        <v>120227.69157374259</v>
      </c>
      <c r="G28" s="3">
        <f t="shared" si="9"/>
        <v>96671.451701235492</v>
      </c>
      <c r="H28" s="3">
        <f t="shared" si="3"/>
        <v>23556.2398725071</v>
      </c>
      <c r="I28" s="4">
        <f t="shared" si="10"/>
        <v>0.80406976492550641</v>
      </c>
      <c r="J28" s="4">
        <f t="shared" si="11"/>
        <v>0.19593023507449361</v>
      </c>
      <c r="K28" s="3">
        <f t="shared" si="12"/>
        <v>3672326.9278999008</v>
      </c>
      <c r="L28" s="4">
        <f t="shared" si="0"/>
        <v>0.3879455120166832</v>
      </c>
      <c r="M28" s="14">
        <f t="shared" si="4"/>
        <v>3672326.9278999008</v>
      </c>
      <c r="Q28" s="14">
        <f t="shared" si="5"/>
        <v>23556.2398725071</v>
      </c>
      <c r="R28" s="40"/>
      <c r="S28" s="38">
        <f t="shared" si="13"/>
        <v>26</v>
      </c>
      <c r="T28" s="3">
        <f t="shared" si="14"/>
        <v>250000</v>
      </c>
      <c r="U28" s="3">
        <f t="shared" si="15"/>
        <v>10000743.480641631</v>
      </c>
      <c r="V28" s="3">
        <f t="shared" si="16"/>
        <v>100007.43480641632</v>
      </c>
    </row>
    <row r="29" spans="1:23" ht="31" x14ac:dyDescent="0.35">
      <c r="A29" s="1" t="s">
        <v>30</v>
      </c>
      <c r="B29" s="14">
        <f>C8</f>
        <v>6000000</v>
      </c>
      <c r="E29" s="2">
        <f t="shared" si="8"/>
        <v>27</v>
      </c>
      <c r="F29" s="3">
        <f t="shared" si="2"/>
        <v>120227.69157374259</v>
      </c>
      <c r="G29" s="3">
        <f t="shared" si="9"/>
        <v>97275.648274368214</v>
      </c>
      <c r="H29" s="3">
        <f t="shared" si="3"/>
        <v>22952.043299374378</v>
      </c>
      <c r="I29" s="4">
        <f t="shared" si="10"/>
        <v>0.80909520095629084</v>
      </c>
      <c r="J29" s="4">
        <f t="shared" si="11"/>
        <v>0.19090479904370919</v>
      </c>
      <c r="K29" s="3">
        <f t="shared" si="12"/>
        <v>3575051.2796255327</v>
      </c>
      <c r="L29" s="4">
        <f t="shared" si="0"/>
        <v>0.4041581200624112</v>
      </c>
      <c r="M29" s="14">
        <f t="shared" si="4"/>
        <v>3575051.2796255327</v>
      </c>
      <c r="Q29" s="14">
        <f t="shared" si="5"/>
        <v>22952.043299374378</v>
      </c>
      <c r="R29" s="40"/>
      <c r="S29" s="38">
        <f t="shared" si="13"/>
        <v>27</v>
      </c>
      <c r="T29" s="3">
        <f t="shared" si="14"/>
        <v>250000</v>
      </c>
      <c r="U29" s="3">
        <f t="shared" si="15"/>
        <v>10350750.915448047</v>
      </c>
      <c r="V29" s="3">
        <f t="shared" si="16"/>
        <v>103507.50915448047</v>
      </c>
    </row>
    <row r="30" spans="1:23" x14ac:dyDescent="0.35">
      <c r="A30" s="1" t="s">
        <v>28</v>
      </c>
      <c r="B30" s="14">
        <v>2000000</v>
      </c>
      <c r="E30" s="2">
        <f t="shared" si="8"/>
        <v>28</v>
      </c>
      <c r="F30" s="3">
        <f t="shared" si="2"/>
        <v>120227.69157374259</v>
      </c>
      <c r="G30" s="3">
        <f t="shared" si="9"/>
        <v>97883.621076083014</v>
      </c>
      <c r="H30" s="3">
        <f t="shared" si="3"/>
        <v>22344.070497659577</v>
      </c>
      <c r="I30" s="4">
        <f t="shared" si="10"/>
        <v>0.81415204596226765</v>
      </c>
      <c r="J30" s="4">
        <f t="shared" si="11"/>
        <v>0.18584795403773238</v>
      </c>
      <c r="K30" s="3">
        <f t="shared" si="12"/>
        <v>3477167.6585494499</v>
      </c>
      <c r="L30" s="4">
        <f t="shared" si="0"/>
        <v>0.42047205690842504</v>
      </c>
      <c r="M30" s="14">
        <f t="shared" si="4"/>
        <v>3477167.6585494499</v>
      </c>
      <c r="Q30" s="14">
        <f t="shared" si="5"/>
        <v>22344.070497659577</v>
      </c>
      <c r="R30" s="40"/>
      <c r="S30" s="38">
        <f t="shared" si="13"/>
        <v>28</v>
      </c>
      <c r="T30" s="3">
        <f t="shared" si="14"/>
        <v>250000</v>
      </c>
      <c r="U30" s="3">
        <f t="shared" si="15"/>
        <v>10704258.424602527</v>
      </c>
      <c r="V30" s="3">
        <f t="shared" si="16"/>
        <v>107042.58424602528</v>
      </c>
    </row>
    <row r="31" spans="1:23" x14ac:dyDescent="0.35">
      <c r="A31" s="1" t="s">
        <v>31</v>
      </c>
      <c r="B31" s="14">
        <v>2500000</v>
      </c>
      <c r="E31" s="2">
        <f t="shared" si="8"/>
        <v>29</v>
      </c>
      <c r="F31" s="3">
        <f t="shared" si="2"/>
        <v>120227.69157374259</v>
      </c>
      <c r="G31" s="3">
        <f t="shared" si="9"/>
        <v>98495.393707808529</v>
      </c>
      <c r="H31" s="3">
        <f t="shared" si="3"/>
        <v>21732.297865934059</v>
      </c>
      <c r="I31" s="4">
        <f t="shared" si="10"/>
        <v>0.81924049624953177</v>
      </c>
      <c r="J31" s="4">
        <f t="shared" si="11"/>
        <v>0.1807595037504682</v>
      </c>
      <c r="K31" s="3">
        <f t="shared" si="12"/>
        <v>3378672.2648416413</v>
      </c>
      <c r="L31" s="4">
        <f t="shared" si="0"/>
        <v>0.43688795585972645</v>
      </c>
      <c r="M31" s="14">
        <f t="shared" si="4"/>
        <v>3378672.2648416413</v>
      </c>
      <c r="Q31" s="14">
        <f t="shared" si="5"/>
        <v>21732.297865934059</v>
      </c>
      <c r="R31" s="40"/>
      <c r="S31" s="38">
        <f t="shared" si="13"/>
        <v>29</v>
      </c>
      <c r="T31" s="3">
        <f t="shared" si="14"/>
        <v>250000</v>
      </c>
      <c r="U31" s="3">
        <f t="shared" si="15"/>
        <v>11061301.008848552</v>
      </c>
      <c r="V31" s="3">
        <f t="shared" si="16"/>
        <v>110613.01008848552</v>
      </c>
    </row>
    <row r="32" spans="1:23" x14ac:dyDescent="0.35">
      <c r="B32" s="14"/>
      <c r="E32" s="2">
        <f t="shared" si="8"/>
        <v>30</v>
      </c>
      <c r="F32" s="3">
        <f t="shared" si="2"/>
        <v>120227.69157374259</v>
      </c>
      <c r="G32" s="3">
        <f t="shared" si="9"/>
        <v>99110.98991848233</v>
      </c>
      <c r="H32" s="3">
        <f t="shared" si="3"/>
        <v>21116.701655260258</v>
      </c>
      <c r="I32" s="4">
        <f t="shared" si="10"/>
        <v>0.82436074935109138</v>
      </c>
      <c r="J32" s="4">
        <f t="shared" si="11"/>
        <v>0.17563925064890867</v>
      </c>
      <c r="K32" s="3">
        <f t="shared" si="12"/>
        <v>3279561.2749231588</v>
      </c>
      <c r="L32" s="4">
        <f t="shared" si="0"/>
        <v>0.45340645417947351</v>
      </c>
      <c r="M32" s="14">
        <f t="shared" si="4"/>
        <v>3279561.2749231588</v>
      </c>
      <c r="Q32" s="14">
        <f t="shared" si="5"/>
        <v>21116.701655260258</v>
      </c>
      <c r="R32" s="40"/>
      <c r="S32" s="38">
        <f t="shared" si="13"/>
        <v>30</v>
      </c>
      <c r="T32" s="3">
        <f t="shared" si="14"/>
        <v>250000</v>
      </c>
      <c r="U32" s="3">
        <f t="shared" si="15"/>
        <v>11421914.018937036</v>
      </c>
      <c r="V32" s="3">
        <f t="shared" si="16"/>
        <v>114219.14018937037</v>
      </c>
    </row>
    <row r="33" spans="2:22" x14ac:dyDescent="0.35">
      <c r="B33" s="14"/>
      <c r="E33" s="2">
        <f t="shared" si="8"/>
        <v>31</v>
      </c>
      <c r="F33" s="3">
        <f t="shared" si="2"/>
        <v>120227.69157374259</v>
      </c>
      <c r="G33" s="3">
        <f t="shared" si="9"/>
        <v>99730.433605472848</v>
      </c>
      <c r="H33" s="3">
        <f t="shared" si="3"/>
        <v>20497.25796826974</v>
      </c>
      <c r="I33" s="4">
        <f t="shared" si="10"/>
        <v>0.82951300403453565</v>
      </c>
      <c r="J33" s="4">
        <f t="shared" si="11"/>
        <v>0.17048699596546429</v>
      </c>
      <c r="K33" s="3">
        <f t="shared" si="12"/>
        <v>3179830.8413176858</v>
      </c>
      <c r="L33" s="4">
        <f t="shared" si="0"/>
        <v>0.47002819311371902</v>
      </c>
      <c r="M33" s="14">
        <f t="shared" si="4"/>
        <v>3179830.8413176858</v>
      </c>
      <c r="Q33" s="14">
        <f t="shared" si="5"/>
        <v>20497.25796826974</v>
      </c>
      <c r="R33" s="40"/>
      <c r="S33" s="38">
        <f t="shared" si="13"/>
        <v>31</v>
      </c>
      <c r="T33" s="3">
        <f t="shared" si="14"/>
        <v>250000</v>
      </c>
      <c r="U33" s="3">
        <f t="shared" si="15"/>
        <v>11786133.159126407</v>
      </c>
      <c r="V33" s="3">
        <f t="shared" si="16"/>
        <v>117861.33159126407</v>
      </c>
    </row>
    <row r="34" spans="2:22" x14ac:dyDescent="0.35">
      <c r="B34" s="14"/>
      <c r="E34" s="2">
        <f t="shared" si="8"/>
        <v>32</v>
      </c>
      <c r="F34" s="3">
        <f t="shared" si="2"/>
        <v>120227.69157374259</v>
      </c>
      <c r="G34" s="3">
        <f t="shared" si="9"/>
        <v>100353.74881550705</v>
      </c>
      <c r="H34" s="3">
        <f t="shared" si="3"/>
        <v>19873.942758235535</v>
      </c>
      <c r="I34" s="4">
        <f t="shared" si="10"/>
        <v>0.83469746030975145</v>
      </c>
      <c r="J34" s="4">
        <f t="shared" si="11"/>
        <v>0.16530253969024847</v>
      </c>
      <c r="K34" s="3">
        <f t="shared" si="12"/>
        <v>3079477.0925021786</v>
      </c>
      <c r="L34" s="4">
        <f t="shared" ref="L34:L65" si="17">($C$3-K34)/$C$3</f>
        <v>0.48675381791630357</v>
      </c>
      <c r="M34" s="14">
        <f t="shared" si="4"/>
        <v>3079477.0925021786</v>
      </c>
      <c r="Q34" s="14">
        <f t="shared" si="5"/>
        <v>19873.942758235535</v>
      </c>
      <c r="R34" s="40"/>
      <c r="S34" s="38">
        <f t="shared" si="13"/>
        <v>32</v>
      </c>
      <c r="T34" s="3">
        <f t="shared" si="14"/>
        <v>250000</v>
      </c>
      <c r="U34" s="3">
        <f t="shared" si="15"/>
        <v>12153994.49071767</v>
      </c>
      <c r="V34" s="3">
        <f t="shared" si="16"/>
        <v>121539.9449071767</v>
      </c>
    </row>
    <row r="35" spans="2:22" x14ac:dyDescent="0.35">
      <c r="B35" s="14"/>
      <c r="E35" s="2">
        <f t="shared" si="8"/>
        <v>33</v>
      </c>
      <c r="F35" s="3">
        <f t="shared" ref="F35:F66" si="18">$C$7</f>
        <v>120227.69157374259</v>
      </c>
      <c r="G35" s="3">
        <f t="shared" si="9"/>
        <v>100980.95974560398</v>
      </c>
      <c r="H35" s="3">
        <f t="shared" ref="H35:H66" si="19">$D$2*K34</f>
        <v>19246.731828138614</v>
      </c>
      <c r="I35" s="4">
        <f t="shared" si="10"/>
        <v>0.83991431943668748</v>
      </c>
      <c r="J35" s="4">
        <f t="shared" si="11"/>
        <v>0.16008568056331252</v>
      </c>
      <c r="K35" s="3">
        <f t="shared" si="12"/>
        <v>2978496.1327565745</v>
      </c>
      <c r="L35" s="4">
        <f t="shared" si="17"/>
        <v>0.50358397787390419</v>
      </c>
      <c r="M35" s="14">
        <f t="shared" ref="M35:M66" si="20">M34-G35</f>
        <v>2978496.1327565745</v>
      </c>
      <c r="Q35" s="14">
        <f t="shared" ref="Q35:Q66" si="21">H35-P35</f>
        <v>19246.731828138614</v>
      </c>
      <c r="R35" s="40"/>
      <c r="S35" s="38">
        <f t="shared" si="13"/>
        <v>33</v>
      </c>
      <c r="T35" s="3">
        <f t="shared" si="14"/>
        <v>250000</v>
      </c>
      <c r="U35" s="3">
        <f t="shared" si="15"/>
        <v>12525534.435624847</v>
      </c>
      <c r="V35" s="3">
        <f t="shared" si="16"/>
        <v>125255.34435624848</v>
      </c>
    </row>
    <row r="36" spans="2:22" x14ac:dyDescent="0.35">
      <c r="B36" s="14"/>
      <c r="E36" s="2">
        <f t="shared" si="8"/>
        <v>34</v>
      </c>
      <c r="F36" s="3">
        <f t="shared" si="18"/>
        <v>120227.69157374259</v>
      </c>
      <c r="G36" s="3">
        <f t="shared" si="9"/>
        <v>101612.090744014</v>
      </c>
      <c r="H36" s="3">
        <f t="shared" si="19"/>
        <v>18615.600829728588</v>
      </c>
      <c r="I36" s="4">
        <f t="shared" si="10"/>
        <v>0.84516378393316682</v>
      </c>
      <c r="J36" s="4">
        <f t="shared" si="11"/>
        <v>0.1548362160668332</v>
      </c>
      <c r="K36" s="3">
        <f t="shared" si="12"/>
        <v>2876884.0420125606</v>
      </c>
      <c r="L36" s="4">
        <f t="shared" si="17"/>
        <v>0.52051932633123987</v>
      </c>
      <c r="M36" s="14">
        <f t="shared" si="20"/>
        <v>2876884.0420125606</v>
      </c>
      <c r="Q36" s="14">
        <f t="shared" si="21"/>
        <v>18615.600829728588</v>
      </c>
      <c r="R36" s="40"/>
      <c r="S36" s="38">
        <f t="shared" si="13"/>
        <v>34</v>
      </c>
      <c r="T36" s="3">
        <f t="shared" si="14"/>
        <v>250000</v>
      </c>
      <c r="U36" s="3">
        <f t="shared" si="15"/>
        <v>12900789.779981095</v>
      </c>
      <c r="V36" s="3">
        <f t="shared" si="16"/>
        <v>129007.89779981096</v>
      </c>
    </row>
    <row r="37" spans="2:22" x14ac:dyDescent="0.35">
      <c r="B37" s="14"/>
      <c r="E37" s="2">
        <f t="shared" si="8"/>
        <v>35</v>
      </c>
      <c r="F37" s="3">
        <f t="shared" si="18"/>
        <v>120227.69157374259</v>
      </c>
      <c r="G37" s="3">
        <f t="shared" si="9"/>
        <v>102247.16631116408</v>
      </c>
      <c r="H37" s="3">
        <f t="shared" si="19"/>
        <v>17980.525262578503</v>
      </c>
      <c r="I37" s="4">
        <f t="shared" si="10"/>
        <v>0.85044605758274905</v>
      </c>
      <c r="J37" s="4">
        <f t="shared" si="11"/>
        <v>0.14955394241725092</v>
      </c>
      <c r="K37" s="3">
        <f t="shared" si="12"/>
        <v>2774636.8757013967</v>
      </c>
      <c r="L37" s="4">
        <f t="shared" si="17"/>
        <v>0.5375605207164339</v>
      </c>
      <c r="M37" s="14">
        <f t="shared" si="20"/>
        <v>2774636.8757013967</v>
      </c>
      <c r="Q37" s="14">
        <f t="shared" si="21"/>
        <v>17980.525262578503</v>
      </c>
      <c r="R37" s="40"/>
      <c r="S37" s="38">
        <f t="shared" si="13"/>
        <v>35</v>
      </c>
      <c r="T37" s="3">
        <f t="shared" si="14"/>
        <v>250000</v>
      </c>
      <c r="U37" s="3">
        <f t="shared" si="15"/>
        <v>13279797.677780906</v>
      </c>
      <c r="V37" s="3">
        <f t="shared" si="16"/>
        <v>132797.97677780906</v>
      </c>
    </row>
    <row r="38" spans="2:22" x14ac:dyDescent="0.35">
      <c r="B38" s="14"/>
      <c r="E38" s="2">
        <f t="shared" si="8"/>
        <v>36</v>
      </c>
      <c r="F38" s="3">
        <f t="shared" si="18"/>
        <v>120227.69157374259</v>
      </c>
      <c r="G38" s="3">
        <f t="shared" si="9"/>
        <v>102886.21110060887</v>
      </c>
      <c r="H38" s="3">
        <f t="shared" si="19"/>
        <v>17341.480473133728</v>
      </c>
      <c r="I38" s="4">
        <f t="shared" si="10"/>
        <v>0.85576134544264126</v>
      </c>
      <c r="J38" s="4">
        <f t="shared" si="11"/>
        <v>0.14423865455735874</v>
      </c>
      <c r="K38" s="3">
        <f t="shared" si="12"/>
        <v>2671750.6646007877</v>
      </c>
      <c r="L38" s="4">
        <f t="shared" si="17"/>
        <v>0.5547082225665354</v>
      </c>
      <c r="M38" s="14">
        <f t="shared" si="20"/>
        <v>2671750.6646007877</v>
      </c>
      <c r="Q38" s="14">
        <f t="shared" si="21"/>
        <v>17341.480473133728</v>
      </c>
      <c r="R38" s="40"/>
      <c r="S38" s="38">
        <f t="shared" si="13"/>
        <v>36</v>
      </c>
      <c r="T38" s="3">
        <f t="shared" si="14"/>
        <v>250000</v>
      </c>
      <c r="U38" s="3">
        <f t="shared" si="15"/>
        <v>13662595.654558714</v>
      </c>
      <c r="V38" s="3">
        <f t="shared" si="16"/>
        <v>136625.95654558713</v>
      </c>
    </row>
    <row r="39" spans="2:22" x14ac:dyDescent="0.35">
      <c r="B39" s="14"/>
      <c r="E39" s="2">
        <f t="shared" si="8"/>
        <v>37</v>
      </c>
      <c r="F39" s="3">
        <f t="shared" si="18"/>
        <v>120227.69157374259</v>
      </c>
      <c r="G39" s="3">
        <f t="shared" si="9"/>
        <v>103529.24991998766</v>
      </c>
      <c r="H39" s="3">
        <f t="shared" si="19"/>
        <v>16698.441653754922</v>
      </c>
      <c r="I39" s="4">
        <f t="shared" si="10"/>
        <v>0.86110985385165772</v>
      </c>
      <c r="J39" s="4">
        <f t="shared" si="11"/>
        <v>0.13889014614834225</v>
      </c>
      <c r="K39" s="3">
        <f t="shared" si="12"/>
        <v>2568221.4146807999</v>
      </c>
      <c r="L39" s="4">
        <f t="shared" si="17"/>
        <v>0.57196309755319996</v>
      </c>
      <c r="M39" s="14">
        <f t="shared" si="20"/>
        <v>2568221.4146807999</v>
      </c>
      <c r="Q39" s="14">
        <f t="shared" si="21"/>
        <v>16698.441653754922</v>
      </c>
      <c r="R39" s="40"/>
      <c r="S39" s="38">
        <f t="shared" si="13"/>
        <v>37</v>
      </c>
      <c r="T39" s="3">
        <f t="shared" si="14"/>
        <v>250000</v>
      </c>
      <c r="U39" s="3">
        <f t="shared" si="15"/>
        <v>14049221.611104302</v>
      </c>
      <c r="V39" s="3">
        <f t="shared" si="16"/>
        <v>140492.21611104303</v>
      </c>
    </row>
    <row r="40" spans="2:22" x14ac:dyDescent="0.35">
      <c r="B40" s="14"/>
      <c r="E40" s="2">
        <f t="shared" si="8"/>
        <v>38</v>
      </c>
      <c r="F40" s="3">
        <f t="shared" si="18"/>
        <v>120227.69157374259</v>
      </c>
      <c r="G40" s="3">
        <f t="shared" si="9"/>
        <v>104176.30773198759</v>
      </c>
      <c r="H40" s="3">
        <f t="shared" si="19"/>
        <v>16051.383841754998</v>
      </c>
      <c r="I40" s="4">
        <f t="shared" si="10"/>
        <v>0.86649179043823066</v>
      </c>
      <c r="J40" s="4">
        <f t="shared" si="11"/>
        <v>0.13350820956176937</v>
      </c>
      <c r="K40" s="3">
        <f t="shared" si="12"/>
        <v>2464045.1069488125</v>
      </c>
      <c r="L40" s="4">
        <f t="shared" si="17"/>
        <v>0.58932581550853125</v>
      </c>
      <c r="M40" s="14">
        <f t="shared" si="20"/>
        <v>2464045.1069488125</v>
      </c>
      <c r="Q40" s="14">
        <f t="shared" si="21"/>
        <v>16051.383841754998</v>
      </c>
      <c r="R40" s="40"/>
      <c r="S40" s="38">
        <f t="shared" si="13"/>
        <v>38</v>
      </c>
      <c r="T40" s="3">
        <f t="shared" si="14"/>
        <v>250000</v>
      </c>
      <c r="U40" s="3">
        <f t="shared" si="15"/>
        <v>14439713.827215346</v>
      </c>
      <c r="V40" s="3">
        <f t="shared" si="16"/>
        <v>144397.13827215345</v>
      </c>
    </row>
    <row r="41" spans="2:22" x14ac:dyDescent="0.35">
      <c r="B41" s="14"/>
      <c r="E41" s="2">
        <f t="shared" si="8"/>
        <v>39</v>
      </c>
      <c r="F41" s="3">
        <f t="shared" si="18"/>
        <v>120227.69157374259</v>
      </c>
      <c r="G41" s="3">
        <f t="shared" si="9"/>
        <v>104827.40965531251</v>
      </c>
      <c r="H41" s="3">
        <f t="shared" si="19"/>
        <v>15400.281918430077</v>
      </c>
      <c r="I41" s="4">
        <f t="shared" si="10"/>
        <v>0.87190736412846959</v>
      </c>
      <c r="J41" s="4">
        <f t="shared" si="11"/>
        <v>0.12809263587153044</v>
      </c>
      <c r="K41" s="3">
        <f t="shared" si="12"/>
        <v>2359217.6972935</v>
      </c>
      <c r="L41" s="4">
        <f t="shared" si="17"/>
        <v>0.60679705045108334</v>
      </c>
      <c r="M41" s="14">
        <f t="shared" si="20"/>
        <v>2359217.6972935</v>
      </c>
      <c r="Q41" s="14">
        <f t="shared" si="21"/>
        <v>15400.281918430077</v>
      </c>
      <c r="R41" s="40"/>
      <c r="S41" s="38">
        <f t="shared" si="13"/>
        <v>39</v>
      </c>
      <c r="T41" s="3">
        <f t="shared" si="14"/>
        <v>250000</v>
      </c>
      <c r="U41" s="3">
        <f t="shared" si="15"/>
        <v>14834110.965487499</v>
      </c>
      <c r="V41" s="3">
        <f t="shared" si="16"/>
        <v>148341.10965487498</v>
      </c>
    </row>
    <row r="42" spans="2:22" x14ac:dyDescent="0.35">
      <c r="B42" s="14"/>
      <c r="E42" s="2">
        <f t="shared" si="8"/>
        <v>40</v>
      </c>
      <c r="F42" s="3">
        <f t="shared" si="18"/>
        <v>120227.69157374259</v>
      </c>
      <c r="G42" s="3">
        <f t="shared" si="9"/>
        <v>105482.58096565821</v>
      </c>
      <c r="H42" s="3">
        <f t="shared" si="19"/>
        <v>14745.110608084373</v>
      </c>
      <c r="I42" s="4">
        <f t="shared" si="10"/>
        <v>0.87735678515427251</v>
      </c>
      <c r="J42" s="4">
        <f t="shared" si="11"/>
        <v>0.12264321484572749</v>
      </c>
      <c r="K42" s="3">
        <f t="shared" si="12"/>
        <v>2253735.1163278418</v>
      </c>
      <c r="L42" s="4">
        <f t="shared" si="17"/>
        <v>0.62437748061202636</v>
      </c>
      <c r="M42" s="14">
        <f t="shared" si="20"/>
        <v>2253735.1163278418</v>
      </c>
      <c r="Q42" s="14">
        <f t="shared" si="21"/>
        <v>14745.110608084373</v>
      </c>
      <c r="R42" s="40"/>
      <c r="S42" s="38">
        <f t="shared" si="13"/>
        <v>40</v>
      </c>
      <c r="T42" s="3">
        <f t="shared" si="14"/>
        <v>250000</v>
      </c>
      <c r="U42" s="3">
        <f t="shared" si="15"/>
        <v>15232452.075142374</v>
      </c>
      <c r="V42" s="3">
        <f t="shared" si="16"/>
        <v>152324.52075142376</v>
      </c>
    </row>
    <row r="43" spans="2:22" x14ac:dyDescent="0.35">
      <c r="B43" s="14"/>
      <c r="E43" s="2">
        <f t="shared" si="8"/>
        <v>41</v>
      </c>
      <c r="F43" s="3">
        <f t="shared" si="18"/>
        <v>120227.69157374259</v>
      </c>
      <c r="G43" s="3">
        <f t="shared" si="9"/>
        <v>106141.84709669359</v>
      </c>
      <c r="H43" s="3">
        <f t="shared" si="19"/>
        <v>14085.84447704901</v>
      </c>
      <c r="I43" s="4">
        <f t="shared" si="10"/>
        <v>0.88284026506148672</v>
      </c>
      <c r="J43" s="4">
        <f t="shared" si="11"/>
        <v>0.1171597349385133</v>
      </c>
      <c r="K43" s="3">
        <f t="shared" si="12"/>
        <v>2147593.2692311481</v>
      </c>
      <c r="L43" s="4">
        <f t="shared" si="17"/>
        <v>0.64206778846147528</v>
      </c>
      <c r="M43" s="14">
        <f t="shared" si="20"/>
        <v>2147593.2692311481</v>
      </c>
      <c r="Q43" s="14">
        <f t="shared" si="21"/>
        <v>14085.84447704901</v>
      </c>
      <c r="R43" s="40"/>
      <c r="S43" s="38">
        <f t="shared" si="13"/>
        <v>41</v>
      </c>
      <c r="T43" s="3">
        <f t="shared" si="14"/>
        <v>250000</v>
      </c>
      <c r="U43" s="3">
        <f t="shared" si="15"/>
        <v>15634776.595893798</v>
      </c>
      <c r="V43" s="3">
        <f t="shared" si="16"/>
        <v>156347.76595893799</v>
      </c>
    </row>
    <row r="44" spans="2:22" x14ac:dyDescent="0.35">
      <c r="B44" s="14"/>
      <c r="E44" s="2">
        <f t="shared" si="8"/>
        <v>42</v>
      </c>
      <c r="F44" s="3">
        <f t="shared" si="18"/>
        <v>120227.69157374259</v>
      </c>
      <c r="G44" s="3">
        <f t="shared" si="9"/>
        <v>106805.23364104792</v>
      </c>
      <c r="H44" s="3">
        <f t="shared" si="19"/>
        <v>13422.457932694675</v>
      </c>
      <c r="I44" s="4">
        <f t="shared" si="10"/>
        <v>0.88835801671812109</v>
      </c>
      <c r="J44" s="4">
        <f t="shared" si="11"/>
        <v>0.11164198328187901</v>
      </c>
      <c r="K44" s="3">
        <f t="shared" si="12"/>
        <v>2040788.0355901001</v>
      </c>
      <c r="L44" s="4">
        <f t="shared" si="17"/>
        <v>0.65986866073498329</v>
      </c>
      <c r="M44" s="14">
        <f t="shared" si="20"/>
        <v>2040788.0355901001</v>
      </c>
      <c r="Q44" s="14">
        <f t="shared" si="21"/>
        <v>13422.457932694675</v>
      </c>
      <c r="R44" s="40"/>
      <c r="S44" s="38">
        <f t="shared" si="13"/>
        <v>42</v>
      </c>
      <c r="T44" s="3">
        <f t="shared" si="14"/>
        <v>250000</v>
      </c>
      <c r="U44" s="3">
        <f t="shared" si="15"/>
        <v>16041124.361852737</v>
      </c>
      <c r="V44" s="3">
        <f t="shared" si="16"/>
        <v>160411.24361852737</v>
      </c>
    </row>
    <row r="45" spans="2:22" x14ac:dyDescent="0.35">
      <c r="B45" s="14"/>
      <c r="E45" s="2">
        <f t="shared" si="8"/>
        <v>43</v>
      </c>
      <c r="F45" s="3">
        <f t="shared" si="18"/>
        <v>120227.69157374259</v>
      </c>
      <c r="G45" s="3">
        <f t="shared" si="9"/>
        <v>107472.76635130447</v>
      </c>
      <c r="H45" s="3">
        <f t="shared" si="19"/>
        <v>12754.925222438125</v>
      </c>
      <c r="I45" s="4">
        <f t="shared" si="10"/>
        <v>0.89391025432260929</v>
      </c>
      <c r="J45" s="4">
        <f t="shared" si="11"/>
        <v>0.10608974567739074</v>
      </c>
      <c r="K45" s="3">
        <f t="shared" si="12"/>
        <v>1933315.2692387956</v>
      </c>
      <c r="L45" s="4">
        <f t="shared" si="17"/>
        <v>0.67778078846020073</v>
      </c>
      <c r="M45" s="14">
        <f t="shared" si="20"/>
        <v>1933315.2692387956</v>
      </c>
      <c r="Q45" s="14">
        <f t="shared" si="21"/>
        <v>12754.925222438125</v>
      </c>
      <c r="R45" s="40"/>
      <c r="S45" s="38">
        <f t="shared" si="13"/>
        <v>43</v>
      </c>
      <c r="T45" s="3">
        <f t="shared" si="14"/>
        <v>250000</v>
      </c>
      <c r="U45" s="3">
        <f t="shared" si="15"/>
        <v>16451535.605471265</v>
      </c>
      <c r="V45" s="3">
        <f t="shared" si="16"/>
        <v>164515.35605471264</v>
      </c>
    </row>
    <row r="46" spans="2:22" x14ac:dyDescent="0.35">
      <c r="B46" s="14"/>
      <c r="E46" s="2">
        <f t="shared" si="8"/>
        <v>44</v>
      </c>
      <c r="F46" s="3">
        <f t="shared" si="18"/>
        <v>120227.69157374259</v>
      </c>
      <c r="G46" s="3">
        <f t="shared" si="9"/>
        <v>108144.47114100012</v>
      </c>
      <c r="H46" s="3">
        <f t="shared" si="19"/>
        <v>12083.220432742472</v>
      </c>
      <c r="I46" s="4">
        <f t="shared" si="10"/>
        <v>0.89949719341212564</v>
      </c>
      <c r="J46" s="4">
        <f t="shared" si="11"/>
        <v>0.10050280658787443</v>
      </c>
      <c r="K46" s="3">
        <f t="shared" si="12"/>
        <v>1825170.7980977956</v>
      </c>
      <c r="L46" s="4">
        <f t="shared" si="17"/>
        <v>0.6958048669837007</v>
      </c>
      <c r="M46" s="14">
        <f t="shared" si="20"/>
        <v>1825170.7980977956</v>
      </c>
      <c r="Q46" s="14">
        <f t="shared" si="21"/>
        <v>12083.220432742472</v>
      </c>
      <c r="R46" s="40"/>
      <c r="S46" s="38">
        <f t="shared" si="13"/>
        <v>44</v>
      </c>
      <c r="T46" s="3">
        <f t="shared" si="14"/>
        <v>250000</v>
      </c>
      <c r="U46" s="3">
        <f t="shared" si="15"/>
        <v>16866050.961525977</v>
      </c>
      <c r="V46" s="3">
        <f t="shared" si="16"/>
        <v>168660.50961525977</v>
      </c>
    </row>
    <row r="47" spans="2:22" x14ac:dyDescent="0.35">
      <c r="B47" s="14"/>
      <c r="E47" s="2">
        <f t="shared" si="8"/>
        <v>45</v>
      </c>
      <c r="F47" s="3">
        <f t="shared" si="18"/>
        <v>120227.69157374259</v>
      </c>
      <c r="G47" s="3">
        <f t="shared" si="9"/>
        <v>108820.37408563137</v>
      </c>
      <c r="H47" s="3">
        <f t="shared" si="19"/>
        <v>11407.317488111221</v>
      </c>
      <c r="I47" s="4">
        <f t="shared" si="10"/>
        <v>0.90511905087095135</v>
      </c>
      <c r="J47" s="4">
        <f t="shared" si="11"/>
        <v>9.4880949129048639E-2</v>
      </c>
      <c r="K47" s="3">
        <f t="shared" si="12"/>
        <v>1716350.4240121641</v>
      </c>
      <c r="L47" s="4">
        <f t="shared" si="17"/>
        <v>0.71394159599797269</v>
      </c>
      <c r="M47" s="14">
        <f t="shared" si="20"/>
        <v>1716350.4240121641</v>
      </c>
      <c r="Q47" s="14">
        <f t="shared" si="21"/>
        <v>11407.317488111221</v>
      </c>
      <c r="R47" s="40"/>
      <c r="S47" s="38">
        <f t="shared" si="13"/>
        <v>45</v>
      </c>
      <c r="T47" s="3">
        <f t="shared" si="14"/>
        <v>250000</v>
      </c>
      <c r="U47" s="3">
        <f t="shared" si="15"/>
        <v>17284711.471141238</v>
      </c>
      <c r="V47" s="3">
        <f t="shared" si="16"/>
        <v>172847.11471141237</v>
      </c>
    </row>
    <row r="48" spans="2:22" x14ac:dyDescent="0.35">
      <c r="B48" s="14"/>
      <c r="E48" s="2">
        <f t="shared" si="8"/>
        <v>46</v>
      </c>
      <c r="F48" s="3">
        <f t="shared" si="18"/>
        <v>120227.69157374259</v>
      </c>
      <c r="G48" s="3">
        <f t="shared" si="9"/>
        <v>109500.50142366656</v>
      </c>
      <c r="H48" s="3">
        <f t="shared" si="19"/>
        <v>10727.190150076025</v>
      </c>
      <c r="I48" s="4">
        <f t="shared" si="10"/>
        <v>0.91077604493889475</v>
      </c>
      <c r="J48" s="4">
        <f t="shared" si="11"/>
        <v>8.9223955061105198E-2</v>
      </c>
      <c r="K48" s="3">
        <f t="shared" si="12"/>
        <v>1606849.9225884976</v>
      </c>
      <c r="L48" s="4">
        <f t="shared" si="17"/>
        <v>0.73219167956858378</v>
      </c>
      <c r="M48" s="14">
        <f t="shared" si="20"/>
        <v>1606849.9225884976</v>
      </c>
      <c r="Q48" s="14">
        <f t="shared" si="21"/>
        <v>10727.190150076025</v>
      </c>
      <c r="R48" s="40"/>
      <c r="S48" s="38">
        <f t="shared" si="13"/>
        <v>46</v>
      </c>
      <c r="T48" s="3">
        <f t="shared" si="14"/>
        <v>250000</v>
      </c>
      <c r="U48" s="3">
        <f t="shared" si="15"/>
        <v>17707558.585852649</v>
      </c>
      <c r="V48" s="3">
        <f t="shared" si="16"/>
        <v>177075.58585852649</v>
      </c>
    </row>
    <row r="49" spans="2:22" x14ac:dyDescent="0.35">
      <c r="B49" s="14"/>
      <c r="E49" s="2">
        <f t="shared" si="8"/>
        <v>47</v>
      </c>
      <c r="F49" s="3">
        <f t="shared" si="18"/>
        <v>120227.69157374259</v>
      </c>
      <c r="G49" s="3">
        <f t="shared" si="9"/>
        <v>110184.87955756448</v>
      </c>
      <c r="H49" s="3">
        <f t="shared" si="19"/>
        <v>10042.81201617811</v>
      </c>
      <c r="I49" s="4">
        <f t="shared" si="10"/>
        <v>0.91646839521976287</v>
      </c>
      <c r="J49" s="4">
        <f t="shared" si="11"/>
        <v>8.353160478023712E-2</v>
      </c>
      <c r="K49" s="3">
        <f t="shared" si="12"/>
        <v>1496665.0430309332</v>
      </c>
      <c r="L49" s="4">
        <f t="shared" si="17"/>
        <v>0.75055582616151106</v>
      </c>
      <c r="M49" s="14">
        <f t="shared" si="20"/>
        <v>1496665.0430309332</v>
      </c>
      <c r="Q49" s="14">
        <f t="shared" si="21"/>
        <v>10042.81201617811</v>
      </c>
      <c r="R49" s="40"/>
      <c r="S49" s="38">
        <f t="shared" si="13"/>
        <v>47</v>
      </c>
      <c r="T49" s="3">
        <f t="shared" si="14"/>
        <v>250000</v>
      </c>
      <c r="U49" s="3">
        <f t="shared" si="15"/>
        <v>18134634.171711177</v>
      </c>
      <c r="V49" s="3">
        <f t="shared" si="16"/>
        <v>181346.34171711176</v>
      </c>
    </row>
    <row r="50" spans="2:22" x14ac:dyDescent="0.35">
      <c r="B50" s="14"/>
      <c r="E50" s="2">
        <f t="shared" si="8"/>
        <v>48</v>
      </c>
      <c r="F50" s="3">
        <f t="shared" si="18"/>
        <v>120227.69157374259</v>
      </c>
      <c r="G50" s="3">
        <f t="shared" si="9"/>
        <v>110873.53505479926</v>
      </c>
      <c r="H50" s="3">
        <f t="shared" si="19"/>
        <v>9354.1565189433313</v>
      </c>
      <c r="I50" s="4">
        <f t="shared" si="10"/>
        <v>0.92219632268988638</v>
      </c>
      <c r="J50" s="4">
        <f t="shared" si="11"/>
        <v>7.7803677310113589E-2</v>
      </c>
      <c r="K50" s="3">
        <f t="shared" si="12"/>
        <v>1385791.5079761341</v>
      </c>
      <c r="L50" s="4">
        <f t="shared" si="17"/>
        <v>0.76903474867064425</v>
      </c>
      <c r="M50" s="14">
        <f t="shared" si="20"/>
        <v>1385791.5079761341</v>
      </c>
      <c r="Q50" s="14">
        <f t="shared" si="21"/>
        <v>9354.1565189433313</v>
      </c>
      <c r="R50" s="40"/>
      <c r="S50" s="38">
        <f t="shared" si="13"/>
        <v>48</v>
      </c>
      <c r="T50" s="3">
        <f t="shared" si="14"/>
        <v>250000</v>
      </c>
      <c r="U50" s="3">
        <f t="shared" si="15"/>
        <v>18565980.513428289</v>
      </c>
      <c r="V50" s="3">
        <f t="shared" si="16"/>
        <v>185659.80513428288</v>
      </c>
    </row>
    <row r="51" spans="2:22" x14ac:dyDescent="0.35">
      <c r="B51" s="14"/>
      <c r="E51" s="2">
        <f t="shared" si="8"/>
        <v>49</v>
      </c>
      <c r="F51" s="3">
        <f t="shared" si="18"/>
        <v>120227.69157374259</v>
      </c>
      <c r="G51" s="3">
        <f t="shared" si="9"/>
        <v>111566.49464889175</v>
      </c>
      <c r="H51" s="3">
        <f t="shared" si="19"/>
        <v>8661.1969248508376</v>
      </c>
      <c r="I51" s="4">
        <f t="shared" si="10"/>
        <v>0.92796004970669821</v>
      </c>
      <c r="J51" s="4">
        <f t="shared" si="11"/>
        <v>7.2039950293301819E-2</v>
      </c>
      <c r="K51" s="3">
        <f t="shared" si="12"/>
        <v>1274225.0133272423</v>
      </c>
      <c r="L51" s="4">
        <f t="shared" si="17"/>
        <v>0.7876291644454595</v>
      </c>
      <c r="M51" s="14">
        <f t="shared" si="20"/>
        <v>1274225.0133272423</v>
      </c>
      <c r="Q51" s="14">
        <f t="shared" si="21"/>
        <v>8661.1969248508376</v>
      </c>
      <c r="R51" s="40"/>
      <c r="S51" s="38">
        <f t="shared" si="13"/>
        <v>49</v>
      </c>
      <c r="T51" s="3">
        <f t="shared" si="14"/>
        <v>250000</v>
      </c>
      <c r="U51" s="3">
        <f t="shared" si="15"/>
        <v>19001640.318562571</v>
      </c>
      <c r="V51" s="3">
        <f t="shared" si="16"/>
        <v>190016.40318562571</v>
      </c>
    </row>
    <row r="52" spans="2:22" x14ac:dyDescent="0.35">
      <c r="B52" s="14"/>
      <c r="E52" s="2">
        <f t="shared" si="8"/>
        <v>50</v>
      </c>
      <c r="F52" s="3">
        <f t="shared" si="18"/>
        <v>120227.69157374259</v>
      </c>
      <c r="G52" s="3">
        <f t="shared" si="9"/>
        <v>112263.78524044732</v>
      </c>
      <c r="H52" s="3">
        <f t="shared" si="19"/>
        <v>7963.9063332952637</v>
      </c>
      <c r="I52" s="4">
        <f t="shared" si="10"/>
        <v>0.93375980001736503</v>
      </c>
      <c r="J52" s="4">
        <f t="shared" si="11"/>
        <v>6.6240199982634945E-2</v>
      </c>
      <c r="K52" s="3">
        <f t="shared" si="12"/>
        <v>1161961.228086795</v>
      </c>
      <c r="L52" s="4">
        <f t="shared" si="17"/>
        <v>0.80633979531886757</v>
      </c>
      <c r="M52" s="14">
        <f t="shared" si="20"/>
        <v>1161961.228086795</v>
      </c>
      <c r="Q52" s="14">
        <f t="shared" si="21"/>
        <v>7963.9063332952637</v>
      </c>
      <c r="R52" s="40"/>
      <c r="S52" s="38">
        <f t="shared" si="13"/>
        <v>50</v>
      </c>
      <c r="T52" s="3">
        <f t="shared" si="14"/>
        <v>250000</v>
      </c>
      <c r="U52" s="3">
        <f t="shared" si="15"/>
        <v>19441656.721748196</v>
      </c>
      <c r="V52" s="3">
        <f t="shared" si="16"/>
        <v>194416.56721748196</v>
      </c>
    </row>
    <row r="53" spans="2:22" x14ac:dyDescent="0.35">
      <c r="B53" s="14"/>
      <c r="E53" s="2">
        <f t="shared" si="8"/>
        <v>51</v>
      </c>
      <c r="F53" s="3">
        <f t="shared" si="18"/>
        <v>120227.69157374259</v>
      </c>
      <c r="G53" s="3">
        <f t="shared" si="9"/>
        <v>112965.43389820012</v>
      </c>
      <c r="H53" s="3">
        <f t="shared" si="19"/>
        <v>7262.257675542468</v>
      </c>
      <c r="I53" s="4">
        <f t="shared" si="10"/>
        <v>0.93959579876747357</v>
      </c>
      <c r="J53" s="4">
        <f t="shared" si="11"/>
        <v>6.0404201232526419E-2</v>
      </c>
      <c r="K53" s="3">
        <f t="shared" si="12"/>
        <v>1048995.7941885949</v>
      </c>
      <c r="L53" s="4">
        <f t="shared" si="17"/>
        <v>0.82516736763523424</v>
      </c>
      <c r="M53" s="14">
        <f t="shared" si="20"/>
        <v>1048995.7941885949</v>
      </c>
      <c r="Q53" s="14">
        <f t="shared" si="21"/>
        <v>7262.257675542468</v>
      </c>
      <c r="R53" s="40"/>
      <c r="S53" s="38">
        <f t="shared" si="13"/>
        <v>51</v>
      </c>
      <c r="T53" s="3">
        <f t="shared" si="14"/>
        <v>250000</v>
      </c>
      <c r="U53" s="3">
        <f t="shared" si="15"/>
        <v>19886073.288965676</v>
      </c>
      <c r="V53" s="3">
        <f t="shared" si="16"/>
        <v>198860.73288965676</v>
      </c>
    </row>
    <row r="54" spans="2:22" x14ac:dyDescent="0.35">
      <c r="B54" s="14"/>
      <c r="E54" s="2">
        <f t="shared" si="8"/>
        <v>52</v>
      </c>
      <c r="F54" s="3">
        <f t="shared" si="18"/>
        <v>120227.69157374259</v>
      </c>
      <c r="G54" s="3">
        <f t="shared" si="9"/>
        <v>113671.46786006387</v>
      </c>
      <c r="H54" s="3">
        <f t="shared" si="19"/>
        <v>6556.223713678718</v>
      </c>
      <c r="I54" s="4">
        <f t="shared" si="10"/>
        <v>0.94546827250977028</v>
      </c>
      <c r="J54" s="4">
        <f t="shared" si="11"/>
        <v>5.4531727490229713E-2</v>
      </c>
      <c r="K54" s="3">
        <f t="shared" si="12"/>
        <v>935324.32632853102</v>
      </c>
      <c r="L54" s="4">
        <f t="shared" si="17"/>
        <v>0.84411261227857814</v>
      </c>
      <c r="M54" s="14">
        <f t="shared" si="20"/>
        <v>935324.32632853102</v>
      </c>
      <c r="Q54" s="14">
        <f t="shared" si="21"/>
        <v>6556.223713678718</v>
      </c>
      <c r="R54" s="40"/>
      <c r="S54" s="38">
        <f t="shared" si="13"/>
        <v>52</v>
      </c>
      <c r="T54" s="3">
        <f t="shared" si="14"/>
        <v>250000</v>
      </c>
      <c r="U54" s="3">
        <f t="shared" si="15"/>
        <v>20334934.021855332</v>
      </c>
      <c r="V54" s="3">
        <f t="shared" si="16"/>
        <v>203349.34021855332</v>
      </c>
    </row>
    <row r="55" spans="2:22" x14ac:dyDescent="0.35">
      <c r="B55" s="14"/>
      <c r="E55" s="2">
        <f t="shared" si="8"/>
        <v>53</v>
      </c>
      <c r="F55" s="3">
        <f t="shared" si="18"/>
        <v>120227.69157374259</v>
      </c>
      <c r="G55" s="3">
        <f t="shared" si="9"/>
        <v>114381.91453418927</v>
      </c>
      <c r="H55" s="3">
        <f t="shared" si="19"/>
        <v>5845.777039553318</v>
      </c>
      <c r="I55" s="4">
        <f t="shared" si="10"/>
        <v>0.95137744921295642</v>
      </c>
      <c r="J55" s="4">
        <f t="shared" si="11"/>
        <v>4.8622550787043646E-2</v>
      </c>
      <c r="K55" s="3">
        <f t="shared" si="12"/>
        <v>820942.41179434175</v>
      </c>
      <c r="L55" s="4">
        <f t="shared" si="17"/>
        <v>0.863176264700943</v>
      </c>
      <c r="M55" s="14">
        <f t="shared" si="20"/>
        <v>820942.41179434175</v>
      </c>
      <c r="Q55" s="14">
        <f t="shared" si="21"/>
        <v>5845.777039553318</v>
      </c>
      <c r="R55" s="40"/>
      <c r="S55" s="38">
        <f t="shared" si="13"/>
        <v>53</v>
      </c>
      <c r="T55" s="3">
        <f t="shared" si="14"/>
        <v>250000</v>
      </c>
      <c r="U55" s="3">
        <f t="shared" si="15"/>
        <v>20788283.362073883</v>
      </c>
      <c r="V55" s="3">
        <f t="shared" si="16"/>
        <v>207882.83362073885</v>
      </c>
    </row>
    <row r="56" spans="2:22" x14ac:dyDescent="0.35">
      <c r="B56" s="14"/>
      <c r="E56" s="2">
        <f t="shared" si="8"/>
        <v>54</v>
      </c>
      <c r="F56" s="3">
        <f t="shared" si="18"/>
        <v>120227.69157374259</v>
      </c>
      <c r="G56" s="3">
        <f t="shared" si="9"/>
        <v>115096.80150002796</v>
      </c>
      <c r="H56" s="3">
        <f t="shared" si="19"/>
        <v>5130.8900737146359</v>
      </c>
      <c r="I56" s="4">
        <f t="shared" si="10"/>
        <v>0.95732355827053739</v>
      </c>
      <c r="J56" s="4">
        <f t="shared" si="11"/>
        <v>4.2676441729462673E-2</v>
      </c>
      <c r="K56" s="3">
        <f t="shared" si="12"/>
        <v>705845.61029431375</v>
      </c>
      <c r="L56" s="4">
        <f t="shared" si="17"/>
        <v>0.88235906495094762</v>
      </c>
      <c r="M56" s="14">
        <f t="shared" si="20"/>
        <v>705845.61029431375</v>
      </c>
      <c r="Q56" s="14">
        <f t="shared" si="21"/>
        <v>5130.8900737146359</v>
      </c>
      <c r="R56" s="40"/>
      <c r="S56" s="38">
        <f t="shared" si="13"/>
        <v>54</v>
      </c>
      <c r="T56" s="3">
        <f t="shared" si="14"/>
        <v>250000</v>
      </c>
      <c r="U56" s="3">
        <f t="shared" si="15"/>
        <v>21246166.195694622</v>
      </c>
      <c r="V56" s="3">
        <f t="shared" si="16"/>
        <v>212461.66195694622</v>
      </c>
    </row>
    <row r="57" spans="2:22" x14ac:dyDescent="0.35">
      <c r="B57" s="14"/>
      <c r="E57" s="2">
        <f t="shared" si="8"/>
        <v>55</v>
      </c>
      <c r="F57" s="3">
        <f t="shared" si="18"/>
        <v>120227.69157374259</v>
      </c>
      <c r="G57" s="3">
        <f t="shared" si="9"/>
        <v>115816.15650940312</v>
      </c>
      <c r="H57" s="3">
        <f t="shared" si="19"/>
        <v>4411.5350643394604</v>
      </c>
      <c r="I57" s="4">
        <f t="shared" si="10"/>
        <v>0.96330683050972821</v>
      </c>
      <c r="J57" s="4">
        <f t="shared" si="11"/>
        <v>3.6693169490271807E-2</v>
      </c>
      <c r="K57" s="3">
        <f t="shared" si="12"/>
        <v>590029.45378491061</v>
      </c>
      <c r="L57" s="4">
        <f t="shared" si="17"/>
        <v>0.90166175770251489</v>
      </c>
      <c r="M57" s="14">
        <f t="shared" si="20"/>
        <v>590029.45378491061</v>
      </c>
      <c r="Q57" s="14">
        <f t="shared" si="21"/>
        <v>4411.5350643394604</v>
      </c>
      <c r="R57" s="40"/>
      <c r="S57" s="38">
        <f t="shared" si="13"/>
        <v>55</v>
      </c>
      <c r="T57" s="3">
        <f t="shared" si="14"/>
        <v>250000</v>
      </c>
      <c r="U57" s="3">
        <f t="shared" si="15"/>
        <v>21708627.857651569</v>
      </c>
      <c r="V57" s="3">
        <f t="shared" si="16"/>
        <v>217086.2785765157</v>
      </c>
    </row>
    <row r="58" spans="2:22" x14ac:dyDescent="0.35">
      <c r="B58" s="14"/>
      <c r="E58" s="2">
        <f t="shared" si="8"/>
        <v>56</v>
      </c>
      <c r="F58" s="3">
        <f t="shared" si="18"/>
        <v>120227.69157374259</v>
      </c>
      <c r="G58" s="3">
        <f t="shared" si="9"/>
        <v>116540.0074875869</v>
      </c>
      <c r="H58" s="3">
        <f t="shared" si="19"/>
        <v>3687.6840861556911</v>
      </c>
      <c r="I58" s="4">
        <f t="shared" si="10"/>
        <v>0.96932749820041408</v>
      </c>
      <c r="J58" s="4">
        <f t="shared" si="11"/>
        <v>3.067250179958601E-2</v>
      </c>
      <c r="K58" s="3">
        <f t="shared" si="12"/>
        <v>473489.44629732368</v>
      </c>
      <c r="L58" s="4">
        <f t="shared" si="17"/>
        <v>0.92108509228377944</v>
      </c>
      <c r="M58" s="14">
        <f t="shared" si="20"/>
        <v>473489.44629732368</v>
      </c>
      <c r="Q58" s="14">
        <f t="shared" si="21"/>
        <v>3687.6840861556911</v>
      </c>
      <c r="R58" s="40"/>
      <c r="S58" s="38">
        <f t="shared" si="13"/>
        <v>56</v>
      </c>
      <c r="T58" s="3">
        <f t="shared" si="14"/>
        <v>250000</v>
      </c>
      <c r="U58" s="3">
        <f t="shared" si="15"/>
        <v>22175714.136228085</v>
      </c>
      <c r="V58" s="3">
        <f t="shared" si="16"/>
        <v>221757.14136228085</v>
      </c>
    </row>
    <row r="59" spans="2:22" x14ac:dyDescent="0.35">
      <c r="B59" s="14"/>
      <c r="E59" s="2">
        <f t="shared" si="8"/>
        <v>57</v>
      </c>
      <c r="F59" s="3">
        <f t="shared" si="18"/>
        <v>120227.69157374259</v>
      </c>
      <c r="G59" s="3">
        <f t="shared" si="9"/>
        <v>117268.38253438432</v>
      </c>
      <c r="H59" s="3">
        <f t="shared" si="19"/>
        <v>2959.3090393582729</v>
      </c>
      <c r="I59" s="4">
        <f t="shared" si="10"/>
        <v>0.97538579506416667</v>
      </c>
      <c r="J59" s="4">
        <f t="shared" si="11"/>
        <v>2.4614204935833422E-2</v>
      </c>
      <c r="K59" s="3">
        <f t="shared" si="12"/>
        <v>356221.06376293936</v>
      </c>
      <c r="L59" s="4">
        <f t="shared" si="17"/>
        <v>0.94062982270617679</v>
      </c>
      <c r="M59" s="14">
        <f t="shared" si="20"/>
        <v>356221.06376293936</v>
      </c>
      <c r="Q59" s="14">
        <f t="shared" si="21"/>
        <v>2959.3090393582729</v>
      </c>
      <c r="R59" s="40"/>
      <c r="S59" s="38">
        <f t="shared" si="13"/>
        <v>57</v>
      </c>
      <c r="T59" s="3">
        <f t="shared" si="14"/>
        <v>250000</v>
      </c>
      <c r="U59" s="3">
        <f t="shared" si="15"/>
        <v>22647471.277590364</v>
      </c>
      <c r="V59" s="3">
        <f t="shared" si="16"/>
        <v>226474.71277590364</v>
      </c>
    </row>
    <row r="60" spans="2:22" x14ac:dyDescent="0.35">
      <c r="B60" s="14"/>
      <c r="E60" s="2">
        <f t="shared" si="8"/>
        <v>58</v>
      </c>
      <c r="F60" s="3">
        <f t="shared" si="18"/>
        <v>120227.69157374259</v>
      </c>
      <c r="G60" s="3">
        <f t="shared" si="9"/>
        <v>118001.30992522422</v>
      </c>
      <c r="H60" s="3">
        <f t="shared" si="19"/>
        <v>2226.3816485183706</v>
      </c>
      <c r="I60" s="4">
        <f t="shared" si="10"/>
        <v>0.98148195628331769</v>
      </c>
      <c r="J60" s="4">
        <f t="shared" si="11"/>
        <v>1.8518043716682378E-2</v>
      </c>
      <c r="K60" s="3">
        <f t="shared" si="12"/>
        <v>238219.75383771514</v>
      </c>
      <c r="L60" s="4">
        <f t="shared" si="17"/>
        <v>0.96029670769371422</v>
      </c>
      <c r="M60" s="14">
        <f t="shared" si="20"/>
        <v>238219.75383771514</v>
      </c>
      <c r="Q60" s="14">
        <f t="shared" si="21"/>
        <v>2226.3816485183706</v>
      </c>
      <c r="R60" s="40"/>
      <c r="S60" s="38">
        <f t="shared" si="13"/>
        <v>58</v>
      </c>
      <c r="T60" s="3">
        <f t="shared" si="14"/>
        <v>250000</v>
      </c>
      <c r="U60" s="3">
        <f t="shared" si="15"/>
        <v>23123945.990366269</v>
      </c>
      <c r="V60" s="3">
        <f t="shared" si="16"/>
        <v>231239.4599036627</v>
      </c>
    </row>
    <row r="61" spans="2:22" x14ac:dyDescent="0.35">
      <c r="B61" s="14"/>
      <c r="E61" s="2">
        <f t="shared" si="8"/>
        <v>59</v>
      </c>
      <c r="F61" s="3">
        <f t="shared" si="18"/>
        <v>120227.69157374259</v>
      </c>
      <c r="G61" s="3">
        <f t="shared" si="9"/>
        <v>118738.81811225686</v>
      </c>
      <c r="H61" s="3">
        <f t="shared" si="19"/>
        <v>1488.8734614857194</v>
      </c>
      <c r="I61" s="4">
        <f t="shared" si="10"/>
        <v>0.9876162185100883</v>
      </c>
      <c r="J61" s="4">
        <f t="shared" si="11"/>
        <v>1.2383781489911642E-2</v>
      </c>
      <c r="K61" s="3">
        <f t="shared" si="12"/>
        <v>119480.93572545827</v>
      </c>
      <c r="L61" s="4">
        <f t="shared" si="17"/>
        <v>0.9800865107124237</v>
      </c>
      <c r="M61" s="14">
        <f t="shared" si="20"/>
        <v>119480.93572545827</v>
      </c>
      <c r="Q61" s="14">
        <f t="shared" si="21"/>
        <v>1488.8734614857194</v>
      </c>
      <c r="R61" s="40"/>
      <c r="S61" s="38">
        <f t="shared" si="13"/>
        <v>59</v>
      </c>
      <c r="T61" s="3">
        <f t="shared" si="14"/>
        <v>250000</v>
      </c>
      <c r="U61" s="3">
        <f t="shared" si="15"/>
        <v>23605185.45026993</v>
      </c>
      <c r="V61" s="3">
        <f t="shared" si="16"/>
        <v>236051.85450269931</v>
      </c>
    </row>
    <row r="62" spans="2:22" x14ac:dyDescent="0.35">
      <c r="B62" s="14"/>
      <c r="E62" s="2">
        <f t="shared" si="8"/>
        <v>60</v>
      </c>
      <c r="F62" s="3">
        <f t="shared" si="18"/>
        <v>120227.69157374259</v>
      </c>
      <c r="G62" s="3">
        <f t="shared" si="9"/>
        <v>119480.93572545848</v>
      </c>
      <c r="H62" s="3">
        <f t="shared" si="19"/>
        <v>746.75584828411411</v>
      </c>
      <c r="I62" s="4">
        <f t="shared" si="10"/>
        <v>0.99378881987577639</v>
      </c>
      <c r="J62" s="4">
        <f t="shared" si="11"/>
        <v>6.2111801242235917E-3</v>
      </c>
      <c r="K62" s="3">
        <f t="shared" si="12"/>
        <v>-2.0372681319713593E-10</v>
      </c>
      <c r="L62" s="4">
        <f t="shared" si="17"/>
        <v>1</v>
      </c>
      <c r="M62" s="14">
        <f t="shared" si="20"/>
        <v>-2.0372681319713593E-10</v>
      </c>
      <c r="Q62" s="14">
        <f t="shared" si="21"/>
        <v>746.75584828411411</v>
      </c>
      <c r="R62" s="40"/>
      <c r="S62" s="38">
        <f t="shared" si="13"/>
        <v>60</v>
      </c>
      <c r="T62" s="3">
        <f t="shared" si="14"/>
        <v>250000</v>
      </c>
      <c r="U62" s="3">
        <f t="shared" si="15"/>
        <v>24091237.30477263</v>
      </c>
      <c r="V62" s="3">
        <f t="shared" si="16"/>
        <v>240912.37304772632</v>
      </c>
    </row>
    <row r="63" spans="2:22" x14ac:dyDescent="0.35">
      <c r="B63" s="14"/>
      <c r="E63" s="2">
        <f t="shared" si="8"/>
        <v>61</v>
      </c>
      <c r="F63" s="3">
        <f t="shared" si="18"/>
        <v>120227.69157374259</v>
      </c>
      <c r="G63" s="3">
        <f t="shared" si="9"/>
        <v>120227.69157374259</v>
      </c>
      <c r="H63" s="3">
        <f t="shared" si="19"/>
        <v>-1.2732925824820995E-12</v>
      </c>
      <c r="I63" s="4">
        <f t="shared" si="10"/>
        <v>1</v>
      </c>
      <c r="J63" s="4">
        <f t="shared" si="11"/>
        <v>-1.0590676455774048E-17</v>
      </c>
      <c r="K63" s="3">
        <f t="shared" si="12"/>
        <v>-120227.69157374279</v>
      </c>
      <c r="L63" s="4">
        <f t="shared" si="17"/>
        <v>1.0200379485956237</v>
      </c>
      <c r="M63" s="14">
        <f t="shared" si="20"/>
        <v>-120227.69157374279</v>
      </c>
      <c r="Q63" s="14">
        <f t="shared" si="21"/>
        <v>-1.2732925824820995E-12</v>
      </c>
      <c r="R63" s="40"/>
      <c r="S63" s="38">
        <f t="shared" si="13"/>
        <v>61</v>
      </c>
      <c r="T63" s="3">
        <f t="shared" si="14"/>
        <v>250000</v>
      </c>
      <c r="U63" s="3">
        <f t="shared" si="15"/>
        <v>24582149.677820358</v>
      </c>
      <c r="V63" s="3">
        <f t="shared" si="16"/>
        <v>245821.49677820358</v>
      </c>
    </row>
    <row r="64" spans="2:22" x14ac:dyDescent="0.35">
      <c r="B64" s="14"/>
      <c r="E64" s="2">
        <f t="shared" si="8"/>
        <v>62</v>
      </c>
      <c r="F64" s="3">
        <f t="shared" si="18"/>
        <v>120227.69157374259</v>
      </c>
      <c r="G64" s="3">
        <f t="shared" si="9"/>
        <v>120979.11464607848</v>
      </c>
      <c r="H64" s="3">
        <f t="shared" si="19"/>
        <v>-751.42307233589236</v>
      </c>
      <c r="I64" s="4">
        <f t="shared" si="10"/>
        <v>1.0062500000000001</v>
      </c>
      <c r="J64" s="4">
        <f t="shared" si="11"/>
        <v>-6.2500000000000099E-3</v>
      </c>
      <c r="K64" s="3">
        <f t="shared" si="12"/>
        <v>-241206.80621982127</v>
      </c>
      <c r="L64" s="4">
        <f t="shared" si="17"/>
        <v>1.0402011343699702</v>
      </c>
      <c r="M64" s="14">
        <f t="shared" si="20"/>
        <v>-241206.80621982127</v>
      </c>
      <c r="Q64" s="14">
        <f t="shared" si="21"/>
        <v>-751.42307233589236</v>
      </c>
      <c r="R64" s="40"/>
      <c r="S64" s="38">
        <f t="shared" si="13"/>
        <v>62</v>
      </c>
      <c r="T64" s="3">
        <f t="shared" si="14"/>
        <v>250000</v>
      </c>
      <c r="U64" s="3">
        <f t="shared" si="15"/>
        <v>25077971.174598563</v>
      </c>
      <c r="V64" s="3">
        <f t="shared" si="16"/>
        <v>250779.71174598564</v>
      </c>
    </row>
    <row r="65" spans="2:22" x14ac:dyDescent="0.35">
      <c r="B65" s="14"/>
      <c r="E65" s="2">
        <f t="shared" ref="E65:E122" si="22">E64+1</f>
        <v>63</v>
      </c>
      <c r="F65" s="3">
        <f t="shared" si="18"/>
        <v>120227.69157374259</v>
      </c>
      <c r="G65" s="3">
        <f t="shared" si="9"/>
        <v>121735.23411261647</v>
      </c>
      <c r="H65" s="3">
        <f t="shared" si="19"/>
        <v>-1507.5425388738829</v>
      </c>
      <c r="I65" s="4">
        <f t="shared" ref="I65:I122" si="23">G65/F65</f>
        <v>1.0125390624999999</v>
      </c>
      <c r="J65" s="4">
        <f t="shared" ref="J65:J122" si="24">H65/F65</f>
        <v>-1.253906250000001E-2</v>
      </c>
      <c r="K65" s="3">
        <f t="shared" ref="K65:K122" si="25">K64-G65</f>
        <v>-362942.04033243773</v>
      </c>
      <c r="L65" s="4">
        <f t="shared" si="17"/>
        <v>1.0604903400554062</v>
      </c>
      <c r="M65" s="14">
        <f t="shared" si="20"/>
        <v>-362942.04033243773</v>
      </c>
      <c r="Q65" s="14">
        <f t="shared" si="21"/>
        <v>-1507.5425388738829</v>
      </c>
      <c r="R65" s="40"/>
      <c r="S65" s="38">
        <f t="shared" si="13"/>
        <v>63</v>
      </c>
      <c r="T65" s="3">
        <f t="shared" si="14"/>
        <v>250000</v>
      </c>
      <c r="U65" s="3">
        <f t="shared" si="15"/>
        <v>25578750.886344548</v>
      </c>
      <c r="V65" s="3">
        <f t="shared" si="16"/>
        <v>255787.50886344549</v>
      </c>
    </row>
    <row r="66" spans="2:22" x14ac:dyDescent="0.35">
      <c r="B66" s="14"/>
      <c r="E66" s="2">
        <f t="shared" si="22"/>
        <v>64</v>
      </c>
      <c r="F66" s="3">
        <f t="shared" si="18"/>
        <v>120227.69157374259</v>
      </c>
      <c r="G66" s="3">
        <f t="shared" si="9"/>
        <v>122496.07932582032</v>
      </c>
      <c r="H66" s="3">
        <f t="shared" si="19"/>
        <v>-2268.3877520777355</v>
      </c>
      <c r="I66" s="4">
        <f t="shared" si="23"/>
        <v>1.018867431640625</v>
      </c>
      <c r="J66" s="4">
        <f t="shared" si="24"/>
        <v>-1.8867431640625008E-2</v>
      </c>
      <c r="K66" s="3">
        <f t="shared" si="25"/>
        <v>-485438.11965825805</v>
      </c>
      <c r="L66" s="4">
        <f t="shared" ref="L66:L97" si="26">($C$3-K66)/$C$3</f>
        <v>1.0809063532763763</v>
      </c>
      <c r="M66" s="14">
        <f t="shared" si="20"/>
        <v>-485438.11965825805</v>
      </c>
      <c r="Q66" s="14">
        <f t="shared" si="21"/>
        <v>-2268.3877520777355</v>
      </c>
      <c r="R66" s="40"/>
      <c r="S66" s="38">
        <f t="shared" si="13"/>
        <v>64</v>
      </c>
      <c r="T66" s="3">
        <f t="shared" si="14"/>
        <v>250000</v>
      </c>
      <c r="U66" s="3">
        <f t="shared" si="15"/>
        <v>26084538.395207994</v>
      </c>
      <c r="V66" s="3">
        <f t="shared" si="16"/>
        <v>260845.38395207995</v>
      </c>
    </row>
    <row r="67" spans="2:22" x14ac:dyDescent="0.35">
      <c r="B67" s="14"/>
      <c r="E67" s="2">
        <f t="shared" si="22"/>
        <v>65</v>
      </c>
      <c r="F67" s="3">
        <f t="shared" ref="F67:F98" si="27">$C$7</f>
        <v>120227.69157374259</v>
      </c>
      <c r="G67" s="3">
        <f t="shared" si="9"/>
        <v>123261.6798216067</v>
      </c>
      <c r="H67" s="3">
        <f t="shared" ref="H67:H98" si="28">$D$2*K66</f>
        <v>-3033.9882478641125</v>
      </c>
      <c r="I67" s="4">
        <f t="shared" si="23"/>
        <v>1.0252353530883789</v>
      </c>
      <c r="J67" s="4">
        <f t="shared" si="24"/>
        <v>-2.5235353088378914E-2</v>
      </c>
      <c r="K67" s="3">
        <f t="shared" si="25"/>
        <v>-608699.79947986477</v>
      </c>
      <c r="L67" s="4">
        <f t="shared" si="26"/>
        <v>1.1014499665799775</v>
      </c>
      <c r="M67" s="14">
        <f t="shared" ref="M67:M98" si="29">M66-G67</f>
        <v>-608699.79947986477</v>
      </c>
      <c r="Q67" s="14">
        <f t="shared" ref="Q67:Q98" si="30">H67-P67</f>
        <v>-3033.9882478641125</v>
      </c>
      <c r="R67" s="40"/>
      <c r="S67" s="38">
        <f t="shared" si="13"/>
        <v>65</v>
      </c>
      <c r="T67" s="3">
        <f t="shared" si="14"/>
        <v>250000</v>
      </c>
      <c r="U67" s="3">
        <f t="shared" si="15"/>
        <v>26595383.779160075</v>
      </c>
      <c r="V67" s="3">
        <f t="shared" si="16"/>
        <v>265953.83779160073</v>
      </c>
    </row>
    <row r="68" spans="2:22" x14ac:dyDescent="0.35">
      <c r="B68" s="14"/>
      <c r="E68" s="2">
        <f t="shared" si="22"/>
        <v>66</v>
      </c>
      <c r="F68" s="3">
        <f t="shared" si="27"/>
        <v>120227.69157374259</v>
      </c>
      <c r="G68" s="3">
        <f t="shared" si="9"/>
        <v>124032.06532049175</v>
      </c>
      <c r="H68" s="3">
        <f t="shared" si="28"/>
        <v>-3804.3737467491546</v>
      </c>
      <c r="I68" s="4">
        <f t="shared" si="23"/>
        <v>1.0316430740451814</v>
      </c>
      <c r="J68" s="4">
        <f t="shared" si="24"/>
        <v>-3.1643074045181283E-2</v>
      </c>
      <c r="K68" s="3">
        <f t="shared" si="25"/>
        <v>-732731.86480035656</v>
      </c>
      <c r="L68" s="4">
        <f t="shared" si="26"/>
        <v>1.1221219774667262</v>
      </c>
      <c r="M68" s="14">
        <f t="shared" si="29"/>
        <v>-732731.86480035656</v>
      </c>
      <c r="Q68" s="14">
        <f t="shared" si="30"/>
        <v>-3804.3737467491546</v>
      </c>
      <c r="R68" s="40"/>
      <c r="S68" s="38">
        <f t="shared" si="13"/>
        <v>66</v>
      </c>
      <c r="T68" s="3">
        <f t="shared" si="14"/>
        <v>250000</v>
      </c>
      <c r="U68" s="3">
        <f t="shared" si="15"/>
        <v>27111337.616951674</v>
      </c>
      <c r="V68" s="3">
        <f t="shared" si="16"/>
        <v>271113.37616951676</v>
      </c>
    </row>
    <row r="69" spans="2:22" x14ac:dyDescent="0.35">
      <c r="B69" s="14"/>
      <c r="E69" s="2">
        <f t="shared" si="22"/>
        <v>67</v>
      </c>
      <c r="F69" s="3">
        <f t="shared" si="27"/>
        <v>120227.69157374259</v>
      </c>
      <c r="G69" s="3">
        <f t="shared" ref="G69:G122" si="31">F69-H69</f>
        <v>124807.26572874482</v>
      </c>
      <c r="H69" s="3">
        <f t="shared" si="28"/>
        <v>-4579.5741550022285</v>
      </c>
      <c r="I69" s="4">
        <f t="shared" si="23"/>
        <v>1.0380908432579636</v>
      </c>
      <c r="J69" s="4">
        <f t="shared" si="24"/>
        <v>-3.809084325796367E-2</v>
      </c>
      <c r="K69" s="3">
        <f t="shared" si="25"/>
        <v>-857539.13052910136</v>
      </c>
      <c r="L69" s="4">
        <f t="shared" si="26"/>
        <v>1.1429231884215167</v>
      </c>
      <c r="M69" s="14">
        <f t="shared" si="29"/>
        <v>-857539.13052910136</v>
      </c>
      <c r="Q69" s="14">
        <f t="shared" si="30"/>
        <v>-4579.5741550022285</v>
      </c>
      <c r="R69" s="40"/>
      <c r="S69" s="38">
        <f t="shared" ref="S69:S122" si="32">S68+1</f>
        <v>67</v>
      </c>
      <c r="T69" s="3">
        <f t="shared" ref="T69:T122" si="33">3000000/12</f>
        <v>250000</v>
      </c>
      <c r="U69" s="3">
        <f t="shared" ref="U69:U122" si="34">T69+U68+V68</f>
        <v>27632450.993121192</v>
      </c>
      <c r="V69" s="3">
        <f t="shared" ref="V69:V123" si="35">U69*$Y$3</f>
        <v>276324.50993121194</v>
      </c>
    </row>
    <row r="70" spans="2:22" x14ac:dyDescent="0.35">
      <c r="B70" s="14"/>
      <c r="E70" s="2">
        <f t="shared" si="22"/>
        <v>68</v>
      </c>
      <c r="F70" s="3">
        <f t="shared" si="27"/>
        <v>120227.69157374259</v>
      </c>
      <c r="G70" s="3">
        <f t="shared" si="31"/>
        <v>125587.31113954948</v>
      </c>
      <c r="H70" s="3">
        <f t="shared" si="28"/>
        <v>-5359.6195658068827</v>
      </c>
      <c r="I70" s="4">
        <f t="shared" si="23"/>
        <v>1.0445789110283259</v>
      </c>
      <c r="J70" s="4">
        <f t="shared" si="24"/>
        <v>-4.4578911028325938E-2</v>
      </c>
      <c r="K70" s="3">
        <f t="shared" si="25"/>
        <v>-983126.44166865083</v>
      </c>
      <c r="L70" s="4">
        <f t="shared" si="26"/>
        <v>1.1638544069447752</v>
      </c>
      <c r="M70" s="14">
        <f t="shared" si="29"/>
        <v>-983126.44166865083</v>
      </c>
      <c r="Q70" s="14">
        <f t="shared" si="30"/>
        <v>-5359.6195658068827</v>
      </c>
      <c r="R70" s="40"/>
      <c r="S70" s="38">
        <f t="shared" si="32"/>
        <v>68</v>
      </c>
      <c r="T70" s="3">
        <f t="shared" si="33"/>
        <v>250000</v>
      </c>
      <c r="U70" s="3">
        <f t="shared" si="34"/>
        <v>28158775.503052402</v>
      </c>
      <c r="V70" s="3">
        <f t="shared" si="35"/>
        <v>281587.75503052404</v>
      </c>
    </row>
    <row r="71" spans="2:22" x14ac:dyDescent="0.35">
      <c r="B71" s="14"/>
      <c r="E71" s="2">
        <f t="shared" si="22"/>
        <v>69</v>
      </c>
      <c r="F71" s="3">
        <f t="shared" si="27"/>
        <v>120227.69157374259</v>
      </c>
      <c r="G71" s="3">
        <f t="shared" si="31"/>
        <v>126372.23183417166</v>
      </c>
      <c r="H71" s="3">
        <f t="shared" si="28"/>
        <v>-6144.5402604290675</v>
      </c>
      <c r="I71" s="4">
        <f t="shared" si="23"/>
        <v>1.0511075292222529</v>
      </c>
      <c r="J71" s="4">
        <f t="shared" si="24"/>
        <v>-5.1107529222252979E-2</v>
      </c>
      <c r="K71" s="3">
        <f t="shared" si="25"/>
        <v>-1109498.6735028224</v>
      </c>
      <c r="L71" s="4">
        <f t="shared" si="26"/>
        <v>1.1849164455838037</v>
      </c>
      <c r="M71" s="14">
        <f t="shared" si="29"/>
        <v>-1109498.6735028224</v>
      </c>
      <c r="Q71" s="14">
        <f t="shared" si="30"/>
        <v>-6144.5402604290675</v>
      </c>
      <c r="R71" s="40"/>
      <c r="S71" s="38">
        <f t="shared" si="32"/>
        <v>69</v>
      </c>
      <c r="T71" s="3">
        <f t="shared" si="33"/>
        <v>250000</v>
      </c>
      <c r="U71" s="3">
        <f t="shared" si="34"/>
        <v>28690363.258082926</v>
      </c>
      <c r="V71" s="3">
        <f t="shared" si="35"/>
        <v>286903.63258082926</v>
      </c>
    </row>
    <row r="72" spans="2:22" x14ac:dyDescent="0.35">
      <c r="B72" s="14"/>
      <c r="E72" s="2">
        <f t="shared" si="22"/>
        <v>70</v>
      </c>
      <c r="F72" s="3">
        <f t="shared" si="27"/>
        <v>120227.69157374259</v>
      </c>
      <c r="G72" s="3">
        <f t="shared" si="31"/>
        <v>127162.05828313522</v>
      </c>
      <c r="H72" s="3">
        <f t="shared" si="28"/>
        <v>-6934.3667093926397</v>
      </c>
      <c r="I72" s="4">
        <f t="shared" si="23"/>
        <v>1.057676951279892</v>
      </c>
      <c r="J72" s="4">
        <f t="shared" si="24"/>
        <v>-5.7676951279892051E-2</v>
      </c>
      <c r="K72" s="3">
        <f t="shared" si="25"/>
        <v>-1236660.7317859577</v>
      </c>
      <c r="L72" s="4">
        <f t="shared" si="26"/>
        <v>1.2061101219643262</v>
      </c>
      <c r="M72" s="14">
        <f t="shared" si="29"/>
        <v>-1236660.7317859577</v>
      </c>
      <c r="Q72" s="14">
        <f t="shared" si="30"/>
        <v>-6934.3667093926397</v>
      </c>
      <c r="R72" s="40"/>
      <c r="S72" s="38">
        <f t="shared" si="32"/>
        <v>70</v>
      </c>
      <c r="T72" s="3">
        <f t="shared" si="33"/>
        <v>250000</v>
      </c>
      <c r="U72" s="3">
        <f t="shared" si="34"/>
        <v>29227266.890663754</v>
      </c>
      <c r="V72" s="3">
        <f t="shared" si="35"/>
        <v>292272.66890663753</v>
      </c>
    </row>
    <row r="73" spans="2:22" x14ac:dyDescent="0.35">
      <c r="B73" s="14"/>
      <c r="E73" s="2">
        <f t="shared" si="22"/>
        <v>71</v>
      </c>
      <c r="F73" s="3">
        <f t="shared" si="27"/>
        <v>120227.69157374259</v>
      </c>
      <c r="G73" s="3">
        <f t="shared" si="31"/>
        <v>127956.82114740483</v>
      </c>
      <c r="H73" s="3">
        <f t="shared" si="28"/>
        <v>-7729.1295736622351</v>
      </c>
      <c r="I73" s="4">
        <f t="shared" si="23"/>
        <v>1.0642874322253915</v>
      </c>
      <c r="J73" s="4">
        <f t="shared" si="24"/>
        <v>-6.4287432225391378E-2</v>
      </c>
      <c r="K73" s="3">
        <f t="shared" si="25"/>
        <v>-1364617.5529333625</v>
      </c>
      <c r="L73" s="4">
        <f t="shared" si="26"/>
        <v>1.227436258822227</v>
      </c>
      <c r="M73" s="14">
        <f t="shared" si="29"/>
        <v>-1364617.5529333625</v>
      </c>
      <c r="Q73" s="14">
        <f t="shared" si="30"/>
        <v>-7729.1295736622351</v>
      </c>
      <c r="R73" s="40"/>
      <c r="S73" s="38">
        <f t="shared" si="32"/>
        <v>71</v>
      </c>
      <c r="T73" s="3">
        <f t="shared" si="33"/>
        <v>250000</v>
      </c>
      <c r="U73" s="3">
        <f t="shared" si="34"/>
        <v>29769539.559570391</v>
      </c>
      <c r="V73" s="3">
        <f t="shared" si="35"/>
        <v>297695.39559570391</v>
      </c>
    </row>
    <row r="74" spans="2:22" x14ac:dyDescent="0.35">
      <c r="B74" s="14"/>
      <c r="E74" s="2">
        <f t="shared" si="22"/>
        <v>72</v>
      </c>
      <c r="F74" s="3">
        <f t="shared" si="27"/>
        <v>120227.69157374259</v>
      </c>
      <c r="G74" s="3">
        <f t="shared" si="31"/>
        <v>128756.5512795761</v>
      </c>
      <c r="H74" s="3">
        <f t="shared" si="28"/>
        <v>-8528.8597058335145</v>
      </c>
      <c r="I74" s="4">
        <f t="shared" si="23"/>
        <v>1.0709392286768</v>
      </c>
      <c r="J74" s="4">
        <f t="shared" si="24"/>
        <v>-7.0939228676800067E-2</v>
      </c>
      <c r="K74" s="3">
        <f t="shared" si="25"/>
        <v>-1493374.1042129386</v>
      </c>
      <c r="L74" s="4">
        <f t="shared" si="26"/>
        <v>1.2488956840354899</v>
      </c>
      <c r="M74" s="14">
        <f t="shared" si="29"/>
        <v>-1493374.1042129386</v>
      </c>
      <c r="Q74" s="14">
        <f t="shared" si="30"/>
        <v>-8528.8597058335145</v>
      </c>
      <c r="R74" s="40"/>
      <c r="S74" s="38">
        <f t="shared" si="32"/>
        <v>72</v>
      </c>
      <c r="T74" s="3">
        <f t="shared" si="33"/>
        <v>250000</v>
      </c>
      <c r="U74" s="3">
        <f t="shared" si="34"/>
        <v>30317234.955166094</v>
      </c>
      <c r="V74" s="3">
        <f t="shared" si="35"/>
        <v>303172.34955166094</v>
      </c>
    </row>
    <row r="75" spans="2:22" x14ac:dyDescent="0.35">
      <c r="B75" s="14"/>
      <c r="E75" s="2">
        <f t="shared" si="22"/>
        <v>73</v>
      </c>
      <c r="F75" s="3">
        <f t="shared" si="27"/>
        <v>120227.69157374259</v>
      </c>
      <c r="G75" s="3">
        <f t="shared" si="31"/>
        <v>129561.27972507346</v>
      </c>
      <c r="H75" s="3">
        <f t="shared" si="28"/>
        <v>-9333.588151330865</v>
      </c>
      <c r="I75" s="4">
        <f t="shared" si="23"/>
        <v>1.07763259885603</v>
      </c>
      <c r="J75" s="4">
        <f t="shared" si="24"/>
        <v>-7.7632598856030077E-2</v>
      </c>
      <c r="K75" s="3">
        <f t="shared" si="25"/>
        <v>-1622935.3839380119</v>
      </c>
      <c r="L75" s="4">
        <f t="shared" si="26"/>
        <v>1.2704892306563353</v>
      </c>
      <c r="M75" s="14">
        <f t="shared" si="29"/>
        <v>-1622935.3839380119</v>
      </c>
      <c r="Q75" s="14">
        <f t="shared" si="30"/>
        <v>-9333.588151330865</v>
      </c>
      <c r="R75" s="40"/>
      <c r="S75" s="38">
        <f t="shared" si="32"/>
        <v>73</v>
      </c>
      <c r="T75" s="3">
        <f t="shared" si="33"/>
        <v>250000</v>
      </c>
      <c r="U75" s="3">
        <f t="shared" si="34"/>
        <v>30870407.304717757</v>
      </c>
      <c r="V75" s="3">
        <f t="shared" si="35"/>
        <v>308704.07304717758</v>
      </c>
    </row>
    <row r="76" spans="2:22" x14ac:dyDescent="0.35">
      <c r="E76" s="2">
        <f t="shared" si="22"/>
        <v>74</v>
      </c>
      <c r="F76" s="3">
        <f t="shared" si="27"/>
        <v>120227.69157374259</v>
      </c>
      <c r="G76" s="3">
        <f t="shared" si="31"/>
        <v>130371.03772335517</v>
      </c>
      <c r="H76" s="3">
        <f t="shared" si="28"/>
        <v>-10143.346149612575</v>
      </c>
      <c r="I76" s="4">
        <f t="shared" si="23"/>
        <v>1.0843678025988803</v>
      </c>
      <c r="J76" s="4">
        <f t="shared" si="24"/>
        <v>-8.4367802598880257E-2</v>
      </c>
      <c r="K76" s="3">
        <f t="shared" si="25"/>
        <v>-1753306.4216613672</v>
      </c>
      <c r="L76" s="4">
        <f t="shared" si="26"/>
        <v>1.2922177369435612</v>
      </c>
      <c r="M76" s="14">
        <f t="shared" si="29"/>
        <v>-1753306.4216613672</v>
      </c>
      <c r="Q76" s="14">
        <f t="shared" si="30"/>
        <v>-10143.346149612575</v>
      </c>
      <c r="R76" s="40"/>
      <c r="S76" s="38">
        <f t="shared" si="32"/>
        <v>74</v>
      </c>
      <c r="T76" s="3">
        <f t="shared" si="33"/>
        <v>250000</v>
      </c>
      <c r="U76" s="3">
        <f t="shared" si="34"/>
        <v>31429111.377764933</v>
      </c>
      <c r="V76" s="3">
        <f t="shared" si="35"/>
        <v>314291.11377764936</v>
      </c>
    </row>
    <row r="77" spans="2:22" x14ac:dyDescent="0.35">
      <c r="E77" s="2">
        <f t="shared" si="22"/>
        <v>75</v>
      </c>
      <c r="F77" s="3">
        <f t="shared" si="27"/>
        <v>120227.69157374259</v>
      </c>
      <c r="G77" s="3">
        <f t="shared" si="31"/>
        <v>131185.85670912612</v>
      </c>
      <c r="H77" s="3">
        <f t="shared" si="28"/>
        <v>-10958.165135383544</v>
      </c>
      <c r="I77" s="4">
        <f t="shared" si="23"/>
        <v>1.0911451013651232</v>
      </c>
      <c r="J77" s="4">
        <f t="shared" si="24"/>
        <v>-9.1145101365123257E-2</v>
      </c>
      <c r="K77" s="3">
        <f t="shared" si="25"/>
        <v>-1884492.2783704933</v>
      </c>
      <c r="L77" s="4">
        <f t="shared" si="26"/>
        <v>1.3140820463950822</v>
      </c>
      <c r="M77" s="14">
        <f t="shared" si="29"/>
        <v>-1884492.2783704933</v>
      </c>
      <c r="Q77" s="14">
        <f t="shared" si="30"/>
        <v>-10958.165135383544</v>
      </c>
      <c r="R77" s="40"/>
      <c r="S77" s="38">
        <f t="shared" si="32"/>
        <v>75</v>
      </c>
      <c r="T77" s="3">
        <f t="shared" si="33"/>
        <v>250000</v>
      </c>
      <c r="U77" s="3">
        <f t="shared" si="34"/>
        <v>31993402.491542581</v>
      </c>
      <c r="V77" s="3">
        <f t="shared" si="35"/>
        <v>319934.02491542581</v>
      </c>
    </row>
    <row r="78" spans="2:22" x14ac:dyDescent="0.35">
      <c r="E78" s="2">
        <f t="shared" si="22"/>
        <v>76</v>
      </c>
      <c r="F78" s="3">
        <f t="shared" si="27"/>
        <v>120227.69157374259</v>
      </c>
      <c r="G78" s="3">
        <f t="shared" si="31"/>
        <v>132005.76831355816</v>
      </c>
      <c r="H78" s="3">
        <f t="shared" si="28"/>
        <v>-11778.076739815582</v>
      </c>
      <c r="I78" s="4">
        <f t="shared" si="23"/>
        <v>1.0979647582486551</v>
      </c>
      <c r="J78" s="4">
        <f t="shared" si="24"/>
        <v>-9.7964758248655276E-2</v>
      </c>
      <c r="K78" s="3">
        <f t="shared" si="25"/>
        <v>-2016498.0466840514</v>
      </c>
      <c r="L78" s="4">
        <f t="shared" si="26"/>
        <v>1.3360830077806751</v>
      </c>
      <c r="M78" s="14">
        <f t="shared" si="29"/>
        <v>-2016498.0466840514</v>
      </c>
      <c r="Q78" s="14">
        <f t="shared" si="30"/>
        <v>-11778.076739815582</v>
      </c>
      <c r="R78" s="40"/>
      <c r="S78" s="38">
        <f t="shared" si="32"/>
        <v>76</v>
      </c>
      <c r="T78" s="3">
        <f t="shared" si="33"/>
        <v>250000</v>
      </c>
      <c r="U78" s="3">
        <f t="shared" si="34"/>
        <v>32563336.516458008</v>
      </c>
      <c r="V78" s="3">
        <f t="shared" si="35"/>
        <v>325633.36516458011</v>
      </c>
    </row>
    <row r="79" spans="2:22" x14ac:dyDescent="0.35">
      <c r="E79" s="2">
        <f t="shared" si="22"/>
        <v>77</v>
      </c>
      <c r="F79" s="3">
        <f t="shared" si="27"/>
        <v>120227.69157374259</v>
      </c>
      <c r="G79" s="3">
        <f t="shared" si="31"/>
        <v>132830.80436551792</v>
      </c>
      <c r="H79" s="3">
        <f t="shared" si="28"/>
        <v>-12603.11279177532</v>
      </c>
      <c r="I79" s="4">
        <f t="shared" si="23"/>
        <v>1.1048270379877094</v>
      </c>
      <c r="J79" s="4">
        <f t="shared" si="24"/>
        <v>-0.10482703798770937</v>
      </c>
      <c r="K79" s="3">
        <f t="shared" si="25"/>
        <v>-2149328.8510495694</v>
      </c>
      <c r="L79" s="4">
        <f t="shared" si="26"/>
        <v>1.3582214751749282</v>
      </c>
      <c r="M79" s="14">
        <f t="shared" si="29"/>
        <v>-2149328.8510495694</v>
      </c>
      <c r="Q79" s="14">
        <f t="shared" si="30"/>
        <v>-12603.11279177532</v>
      </c>
      <c r="R79" s="40"/>
      <c r="S79" s="38">
        <f t="shared" si="32"/>
        <v>77</v>
      </c>
      <c r="T79" s="3">
        <f t="shared" si="33"/>
        <v>250000</v>
      </c>
      <c r="U79" s="3">
        <f t="shared" si="34"/>
        <v>33138969.88162259</v>
      </c>
      <c r="V79" s="3">
        <f t="shared" si="35"/>
        <v>331389.69881622592</v>
      </c>
    </row>
    <row r="80" spans="2:22" x14ac:dyDescent="0.35">
      <c r="E80" s="2">
        <f t="shared" si="22"/>
        <v>78</v>
      </c>
      <c r="F80" s="3">
        <f t="shared" si="27"/>
        <v>120227.69157374259</v>
      </c>
      <c r="G80" s="3">
        <f t="shared" si="31"/>
        <v>133660.99689280239</v>
      </c>
      <c r="H80" s="3">
        <f t="shared" si="28"/>
        <v>-13433.305319059808</v>
      </c>
      <c r="I80" s="4">
        <f t="shared" si="23"/>
        <v>1.1117322069751325</v>
      </c>
      <c r="J80" s="4">
        <f t="shared" si="24"/>
        <v>-0.11173220697513256</v>
      </c>
      <c r="K80" s="3">
        <f t="shared" si="25"/>
        <v>-2282989.8479423719</v>
      </c>
      <c r="L80" s="4">
        <f t="shared" si="26"/>
        <v>1.3804983079903954</v>
      </c>
      <c r="M80" s="14">
        <f t="shared" si="29"/>
        <v>-2282989.8479423719</v>
      </c>
      <c r="Q80" s="14">
        <f t="shared" si="30"/>
        <v>-13433.305319059808</v>
      </c>
      <c r="R80" s="40"/>
      <c r="S80" s="38">
        <f t="shared" si="32"/>
        <v>78</v>
      </c>
      <c r="T80" s="3">
        <f t="shared" si="33"/>
        <v>250000</v>
      </c>
      <c r="U80" s="3">
        <f t="shared" si="34"/>
        <v>33720359.580438815</v>
      </c>
      <c r="V80" s="3">
        <f t="shared" si="35"/>
        <v>337203.59580438817</v>
      </c>
    </row>
    <row r="81" spans="5:22" x14ac:dyDescent="0.35">
      <c r="E81" s="2">
        <f t="shared" si="22"/>
        <v>79</v>
      </c>
      <c r="F81" s="3">
        <f t="shared" si="27"/>
        <v>120227.69157374259</v>
      </c>
      <c r="G81" s="3">
        <f t="shared" si="31"/>
        <v>134496.3781233824</v>
      </c>
      <c r="H81" s="3">
        <f t="shared" si="28"/>
        <v>-14268.686549639822</v>
      </c>
      <c r="I81" s="4">
        <f t="shared" si="23"/>
        <v>1.1186805332687271</v>
      </c>
      <c r="J81" s="4">
        <f t="shared" si="24"/>
        <v>-0.11868053326872713</v>
      </c>
      <c r="K81" s="3">
        <f t="shared" si="25"/>
        <v>-2417486.2260657544</v>
      </c>
      <c r="L81" s="4">
        <f t="shared" si="26"/>
        <v>1.4029143710109591</v>
      </c>
      <c r="M81" s="14">
        <f t="shared" si="29"/>
        <v>-2417486.2260657544</v>
      </c>
      <c r="Q81" s="14">
        <f t="shared" si="30"/>
        <v>-14268.686549639822</v>
      </c>
      <c r="R81" s="40"/>
      <c r="S81" s="38">
        <f t="shared" si="32"/>
        <v>79</v>
      </c>
      <c r="T81" s="3">
        <f t="shared" si="33"/>
        <v>250000</v>
      </c>
      <c r="U81" s="3">
        <f t="shared" si="34"/>
        <v>34307563.176243201</v>
      </c>
      <c r="V81" s="3">
        <f t="shared" si="35"/>
        <v>343075.63176243199</v>
      </c>
    </row>
    <row r="82" spans="5:22" x14ac:dyDescent="0.35">
      <c r="E82" s="2">
        <f t="shared" si="22"/>
        <v>80</v>
      </c>
      <c r="F82" s="3">
        <f t="shared" si="27"/>
        <v>120227.69157374259</v>
      </c>
      <c r="G82" s="3">
        <f t="shared" si="31"/>
        <v>135336.98048665354</v>
      </c>
      <c r="H82" s="3">
        <f t="shared" si="28"/>
        <v>-15109.288912910964</v>
      </c>
      <c r="I82" s="4">
        <f t="shared" si="23"/>
        <v>1.1256722866016566</v>
      </c>
      <c r="J82" s="4">
        <f t="shared" si="24"/>
        <v>-0.12567228660165669</v>
      </c>
      <c r="K82" s="3">
        <f t="shared" si="25"/>
        <v>-2552823.2065524082</v>
      </c>
      <c r="L82" s="4">
        <f t="shared" si="26"/>
        <v>1.4254705344254015</v>
      </c>
      <c r="M82" s="14">
        <f t="shared" si="29"/>
        <v>-2552823.2065524082</v>
      </c>
      <c r="Q82" s="14">
        <f t="shared" si="30"/>
        <v>-15109.288912910964</v>
      </c>
      <c r="R82" s="40"/>
      <c r="S82" s="38">
        <f t="shared" si="32"/>
        <v>80</v>
      </c>
      <c r="T82" s="3">
        <f t="shared" si="33"/>
        <v>250000</v>
      </c>
      <c r="U82" s="3">
        <f t="shared" si="34"/>
        <v>34900638.808005631</v>
      </c>
      <c r="V82" s="3">
        <f t="shared" si="35"/>
        <v>349006.38808005629</v>
      </c>
    </row>
    <row r="83" spans="5:22" x14ac:dyDescent="0.35">
      <c r="E83" s="2">
        <f t="shared" si="22"/>
        <v>81</v>
      </c>
      <c r="F83" s="3">
        <f t="shared" si="27"/>
        <v>120227.69157374259</v>
      </c>
      <c r="G83" s="3">
        <f t="shared" si="31"/>
        <v>136182.83661469514</v>
      </c>
      <c r="H83" s="3">
        <f t="shared" si="28"/>
        <v>-15955.14504095255</v>
      </c>
      <c r="I83" s="4">
        <f t="shared" si="23"/>
        <v>1.1327077383929172</v>
      </c>
      <c r="J83" s="4">
        <f t="shared" si="24"/>
        <v>-0.13270773839291705</v>
      </c>
      <c r="K83" s="3">
        <f t="shared" si="25"/>
        <v>-2689006.0431671031</v>
      </c>
      <c r="L83" s="4">
        <f t="shared" si="26"/>
        <v>1.4481676738611839</v>
      </c>
      <c r="M83" s="14">
        <f t="shared" si="29"/>
        <v>-2689006.0431671031</v>
      </c>
      <c r="Q83" s="14">
        <f t="shared" si="30"/>
        <v>-15955.14504095255</v>
      </c>
      <c r="R83" s="40"/>
      <c r="S83" s="38">
        <f t="shared" si="32"/>
        <v>81</v>
      </c>
      <c r="T83" s="3">
        <f t="shared" si="33"/>
        <v>250000</v>
      </c>
      <c r="U83" s="3">
        <f t="shared" si="34"/>
        <v>35499645.196085684</v>
      </c>
      <c r="V83" s="3">
        <f t="shared" si="35"/>
        <v>354996.45196085685</v>
      </c>
    </row>
    <row r="84" spans="5:22" x14ac:dyDescent="0.35">
      <c r="E84" s="2">
        <f t="shared" si="22"/>
        <v>82</v>
      </c>
      <c r="F84" s="3">
        <f t="shared" si="27"/>
        <v>120227.69157374259</v>
      </c>
      <c r="G84" s="3">
        <f t="shared" si="31"/>
        <v>137033.97934353698</v>
      </c>
      <c r="H84" s="3">
        <f t="shared" si="28"/>
        <v>-16806.287769794391</v>
      </c>
      <c r="I84" s="4">
        <f t="shared" si="23"/>
        <v>1.1397871617578728</v>
      </c>
      <c r="J84" s="4">
        <f t="shared" si="24"/>
        <v>-0.13978716175787276</v>
      </c>
      <c r="K84" s="3">
        <f t="shared" si="25"/>
        <v>-2826040.0225106399</v>
      </c>
      <c r="L84" s="4">
        <f t="shared" si="26"/>
        <v>1.4710066704184401</v>
      </c>
      <c r="M84" s="14">
        <f t="shared" si="29"/>
        <v>-2826040.0225106399</v>
      </c>
      <c r="Q84" s="14">
        <f t="shared" si="30"/>
        <v>-16806.287769794391</v>
      </c>
      <c r="R84" s="40"/>
      <c r="S84" s="38">
        <f t="shared" si="32"/>
        <v>82</v>
      </c>
      <c r="T84" s="3">
        <f t="shared" si="33"/>
        <v>250000</v>
      </c>
      <c r="U84" s="3">
        <f t="shared" si="34"/>
        <v>36104641.648046538</v>
      </c>
      <c r="V84" s="3">
        <f t="shared" si="35"/>
        <v>361046.41648046538</v>
      </c>
    </row>
    <row r="85" spans="5:22" x14ac:dyDescent="0.35">
      <c r="E85" s="2">
        <f t="shared" si="22"/>
        <v>83</v>
      </c>
      <c r="F85" s="3">
        <f t="shared" si="27"/>
        <v>120227.69157374259</v>
      </c>
      <c r="G85" s="3">
        <f t="shared" si="31"/>
        <v>137890.44171443407</v>
      </c>
      <c r="H85" s="3">
        <f t="shared" si="28"/>
        <v>-17662.750140691496</v>
      </c>
      <c r="I85" s="4">
        <f t="shared" si="23"/>
        <v>1.1469108315188594</v>
      </c>
      <c r="J85" s="4">
        <f t="shared" si="24"/>
        <v>-0.14691083151885945</v>
      </c>
      <c r="K85" s="3">
        <f t="shared" si="25"/>
        <v>-2963930.4642250738</v>
      </c>
      <c r="L85" s="4">
        <f t="shared" si="26"/>
        <v>1.493988410704179</v>
      </c>
      <c r="M85" s="14">
        <f t="shared" si="29"/>
        <v>-2963930.4642250738</v>
      </c>
      <c r="Q85" s="14">
        <f t="shared" si="30"/>
        <v>-17662.750140691496</v>
      </c>
      <c r="R85" s="40"/>
      <c r="S85" s="38">
        <f t="shared" si="32"/>
        <v>83</v>
      </c>
      <c r="T85" s="3">
        <f t="shared" si="33"/>
        <v>250000</v>
      </c>
      <c r="U85" s="3">
        <f t="shared" si="34"/>
        <v>36715688.064527005</v>
      </c>
      <c r="V85" s="3">
        <f t="shared" si="35"/>
        <v>367156.88064527005</v>
      </c>
    </row>
    <row r="86" spans="5:22" x14ac:dyDescent="0.35">
      <c r="E86" s="2">
        <f t="shared" si="22"/>
        <v>84</v>
      </c>
      <c r="F86" s="3">
        <f t="shared" si="27"/>
        <v>120227.69157374259</v>
      </c>
      <c r="G86" s="3">
        <f t="shared" si="31"/>
        <v>138752.2569751493</v>
      </c>
      <c r="H86" s="3">
        <f t="shared" si="28"/>
        <v>-18524.565401406711</v>
      </c>
      <c r="I86" s="4">
        <f t="shared" si="23"/>
        <v>1.1540790242158523</v>
      </c>
      <c r="J86" s="4">
        <f t="shared" si="24"/>
        <v>-0.15407902421585234</v>
      </c>
      <c r="K86" s="3">
        <f t="shared" si="25"/>
        <v>-3102682.7212002231</v>
      </c>
      <c r="L86" s="4">
        <f t="shared" si="26"/>
        <v>1.517113786866704</v>
      </c>
      <c r="M86" s="14">
        <f t="shared" si="29"/>
        <v>-3102682.7212002231</v>
      </c>
      <c r="Q86" s="14">
        <f t="shared" si="30"/>
        <v>-18524.565401406711</v>
      </c>
      <c r="R86" s="40"/>
      <c r="S86" s="38">
        <f t="shared" si="32"/>
        <v>84</v>
      </c>
      <c r="T86" s="3">
        <f t="shared" si="33"/>
        <v>250000</v>
      </c>
      <c r="U86" s="3">
        <f t="shared" si="34"/>
        <v>37332844.945172273</v>
      </c>
      <c r="V86" s="3">
        <f t="shared" si="35"/>
        <v>373328.44945172273</v>
      </c>
    </row>
    <row r="87" spans="5:22" x14ac:dyDescent="0.35">
      <c r="E87" s="2">
        <f t="shared" si="22"/>
        <v>85</v>
      </c>
      <c r="F87" s="3">
        <f t="shared" si="27"/>
        <v>120227.69157374259</v>
      </c>
      <c r="G87" s="3">
        <f t="shared" si="31"/>
        <v>139619.45858124399</v>
      </c>
      <c r="H87" s="3">
        <f t="shared" si="28"/>
        <v>-19391.767007501392</v>
      </c>
      <c r="I87" s="4">
        <f t="shared" si="23"/>
        <v>1.1612920181172015</v>
      </c>
      <c r="J87" s="4">
        <f t="shared" si="24"/>
        <v>-0.1612920181172014</v>
      </c>
      <c r="K87" s="3">
        <f t="shared" si="25"/>
        <v>-3242302.1797814672</v>
      </c>
      <c r="L87" s="4">
        <f t="shared" si="26"/>
        <v>1.5403836966302444</v>
      </c>
      <c r="M87" s="14">
        <f t="shared" si="29"/>
        <v>-3242302.1797814672</v>
      </c>
      <c r="Q87" s="14">
        <f t="shared" si="30"/>
        <v>-19391.767007501392</v>
      </c>
      <c r="R87" s="40"/>
      <c r="S87" s="38">
        <f t="shared" si="32"/>
        <v>85</v>
      </c>
      <c r="T87" s="3">
        <f t="shared" si="33"/>
        <v>250000</v>
      </c>
      <c r="U87" s="3">
        <f t="shared" si="34"/>
        <v>37956173.394623995</v>
      </c>
      <c r="V87" s="3">
        <f t="shared" si="35"/>
        <v>379561.73394623998</v>
      </c>
    </row>
    <row r="88" spans="5:22" x14ac:dyDescent="0.35">
      <c r="E88" s="2">
        <f t="shared" si="22"/>
        <v>86</v>
      </c>
      <c r="F88" s="3">
        <f t="shared" si="27"/>
        <v>120227.69157374259</v>
      </c>
      <c r="G88" s="3">
        <f t="shared" si="31"/>
        <v>140492.08019737675</v>
      </c>
      <c r="H88" s="3">
        <f t="shared" si="28"/>
        <v>-20264.388623634168</v>
      </c>
      <c r="I88" s="4">
        <f t="shared" si="23"/>
        <v>1.1685500932304338</v>
      </c>
      <c r="J88" s="4">
        <f t="shared" si="24"/>
        <v>-0.16855009323043391</v>
      </c>
      <c r="K88" s="3">
        <f t="shared" si="25"/>
        <v>-3382794.2599788439</v>
      </c>
      <c r="L88" s="4">
        <f t="shared" si="26"/>
        <v>1.5637990433298072</v>
      </c>
      <c r="M88" s="14">
        <f t="shared" si="29"/>
        <v>-3382794.2599788439</v>
      </c>
      <c r="Q88" s="14">
        <f t="shared" si="30"/>
        <v>-20264.388623634168</v>
      </c>
      <c r="R88" s="40"/>
      <c r="S88" s="38">
        <f t="shared" si="32"/>
        <v>86</v>
      </c>
      <c r="T88" s="3">
        <f t="shared" si="33"/>
        <v>250000</v>
      </c>
      <c r="U88" s="3">
        <f t="shared" si="34"/>
        <v>38585735.128570236</v>
      </c>
      <c r="V88" s="3">
        <f t="shared" si="35"/>
        <v>385857.35128570237</v>
      </c>
    </row>
    <row r="89" spans="5:22" x14ac:dyDescent="0.35">
      <c r="E89" s="2">
        <f t="shared" si="22"/>
        <v>87</v>
      </c>
      <c r="F89" s="3">
        <f t="shared" si="27"/>
        <v>120227.69157374259</v>
      </c>
      <c r="G89" s="3">
        <f t="shared" si="31"/>
        <v>141370.15569861035</v>
      </c>
      <c r="H89" s="3">
        <f t="shared" si="28"/>
        <v>-21142.464124867773</v>
      </c>
      <c r="I89" s="4">
        <f t="shared" si="23"/>
        <v>1.175853531313124</v>
      </c>
      <c r="J89" s="4">
        <f t="shared" si="24"/>
        <v>-0.17585353131312415</v>
      </c>
      <c r="K89" s="3">
        <f t="shared" si="25"/>
        <v>-3524164.4156774543</v>
      </c>
      <c r="L89" s="4">
        <f t="shared" si="26"/>
        <v>1.5873607359462425</v>
      </c>
      <c r="M89" s="14">
        <f t="shared" si="29"/>
        <v>-3524164.4156774543</v>
      </c>
      <c r="Q89" s="14">
        <f t="shared" si="30"/>
        <v>-21142.464124867773</v>
      </c>
      <c r="R89" s="40"/>
      <c r="S89" s="38">
        <f t="shared" si="32"/>
        <v>87</v>
      </c>
      <c r="T89" s="3">
        <f t="shared" si="33"/>
        <v>250000</v>
      </c>
      <c r="U89" s="3">
        <f t="shared" si="34"/>
        <v>39221592.47985594</v>
      </c>
      <c r="V89" s="3">
        <f t="shared" si="35"/>
        <v>392215.9247985594</v>
      </c>
    </row>
    <row r="90" spans="5:22" x14ac:dyDescent="0.35">
      <c r="E90" s="2">
        <f t="shared" si="22"/>
        <v>88</v>
      </c>
      <c r="F90" s="3">
        <f t="shared" si="27"/>
        <v>120227.69157374259</v>
      </c>
      <c r="G90" s="3">
        <f t="shared" si="31"/>
        <v>142253.71917172667</v>
      </c>
      <c r="H90" s="3">
        <f t="shared" si="28"/>
        <v>-22026.027597984088</v>
      </c>
      <c r="I90" s="4">
        <f t="shared" si="23"/>
        <v>1.1832026158838311</v>
      </c>
      <c r="J90" s="4">
        <f t="shared" si="24"/>
        <v>-0.18320261588383116</v>
      </c>
      <c r="K90" s="3">
        <f t="shared" si="25"/>
        <v>-3666418.1348491809</v>
      </c>
      <c r="L90" s="4">
        <f t="shared" si="26"/>
        <v>1.6110696891415301</v>
      </c>
      <c r="M90" s="14">
        <f t="shared" si="29"/>
        <v>-3666418.1348491809</v>
      </c>
      <c r="Q90" s="14">
        <f t="shared" si="30"/>
        <v>-22026.027597984088</v>
      </c>
      <c r="R90" s="40"/>
      <c r="S90" s="38">
        <f t="shared" si="32"/>
        <v>88</v>
      </c>
      <c r="T90" s="3">
        <f t="shared" si="33"/>
        <v>250000</v>
      </c>
      <c r="U90" s="3">
        <f t="shared" si="34"/>
        <v>39863808.404654503</v>
      </c>
      <c r="V90" s="3">
        <f t="shared" si="35"/>
        <v>398638.08404654503</v>
      </c>
    </row>
    <row r="91" spans="5:22" x14ac:dyDescent="0.35">
      <c r="E91" s="2">
        <f t="shared" si="22"/>
        <v>89</v>
      </c>
      <c r="F91" s="3">
        <f t="shared" si="27"/>
        <v>120227.69157374259</v>
      </c>
      <c r="G91" s="3">
        <f t="shared" si="31"/>
        <v>143142.80491654997</v>
      </c>
      <c r="H91" s="3">
        <f t="shared" si="28"/>
        <v>-22915.113342807377</v>
      </c>
      <c r="I91" s="4">
        <f t="shared" si="23"/>
        <v>1.1905976322331051</v>
      </c>
      <c r="J91" s="4">
        <f t="shared" si="24"/>
        <v>-0.19059763223310508</v>
      </c>
      <c r="K91" s="3">
        <f t="shared" si="25"/>
        <v>-3809560.9397657309</v>
      </c>
      <c r="L91" s="4">
        <f t="shared" si="26"/>
        <v>1.6349268232942884</v>
      </c>
      <c r="M91" s="14">
        <f t="shared" si="29"/>
        <v>-3809560.9397657309</v>
      </c>
      <c r="Q91" s="14">
        <f t="shared" si="30"/>
        <v>-22915.113342807377</v>
      </c>
      <c r="R91" s="40"/>
      <c r="S91" s="38">
        <f t="shared" si="32"/>
        <v>89</v>
      </c>
      <c r="T91" s="3">
        <f t="shared" si="33"/>
        <v>250000</v>
      </c>
      <c r="U91" s="3">
        <f t="shared" si="34"/>
        <v>40512446.488701046</v>
      </c>
      <c r="V91" s="3">
        <f t="shared" si="35"/>
        <v>405124.46488701046</v>
      </c>
    </row>
    <row r="92" spans="5:22" x14ac:dyDescent="0.35">
      <c r="E92" s="2">
        <f t="shared" si="22"/>
        <v>90</v>
      </c>
      <c r="F92" s="3">
        <f t="shared" si="27"/>
        <v>120227.69157374259</v>
      </c>
      <c r="G92" s="3">
        <f t="shared" si="31"/>
        <v>144037.44744727839</v>
      </c>
      <c r="H92" s="3">
        <f t="shared" si="28"/>
        <v>-23809.755873535814</v>
      </c>
      <c r="I92" s="4">
        <f t="shared" si="23"/>
        <v>1.1980388674345619</v>
      </c>
      <c r="J92" s="4">
        <f t="shared" si="24"/>
        <v>-0.198038867434562</v>
      </c>
      <c r="K92" s="3">
        <f t="shared" si="25"/>
        <v>-3953598.3872130094</v>
      </c>
      <c r="L92" s="4">
        <f t="shared" si="26"/>
        <v>1.6589330645355018</v>
      </c>
      <c r="M92" s="14">
        <f t="shared" si="29"/>
        <v>-3953598.3872130094</v>
      </c>
      <c r="Q92" s="14">
        <f t="shared" si="30"/>
        <v>-23809.755873535814</v>
      </c>
      <c r="R92" s="40"/>
      <c r="S92" s="38">
        <f t="shared" si="32"/>
        <v>90</v>
      </c>
      <c r="T92" s="3">
        <f t="shared" si="33"/>
        <v>250000</v>
      </c>
      <c r="U92" s="3">
        <f t="shared" si="34"/>
        <v>41167570.953588054</v>
      </c>
      <c r="V92" s="3">
        <f t="shared" si="35"/>
        <v>411675.70953588054</v>
      </c>
    </row>
    <row r="93" spans="5:22" x14ac:dyDescent="0.35">
      <c r="E93" s="2">
        <f t="shared" si="22"/>
        <v>91</v>
      </c>
      <c r="F93" s="3">
        <f t="shared" si="27"/>
        <v>120227.69157374259</v>
      </c>
      <c r="G93" s="3">
        <f t="shared" si="31"/>
        <v>144937.68149382388</v>
      </c>
      <c r="H93" s="3">
        <f t="shared" si="28"/>
        <v>-24709.989920081305</v>
      </c>
      <c r="I93" s="4">
        <f t="shared" si="23"/>
        <v>1.2055266103560278</v>
      </c>
      <c r="J93" s="4">
        <f t="shared" si="24"/>
        <v>-0.20552661035602801</v>
      </c>
      <c r="K93" s="3">
        <f t="shared" si="25"/>
        <v>-4098536.0687068333</v>
      </c>
      <c r="L93" s="4">
        <f t="shared" si="26"/>
        <v>1.6830893447844721</v>
      </c>
      <c r="M93" s="14">
        <f t="shared" si="29"/>
        <v>-4098536.0687068333</v>
      </c>
      <c r="Q93" s="14">
        <f t="shared" si="30"/>
        <v>-24709.989920081305</v>
      </c>
      <c r="R93" s="40"/>
      <c r="S93" s="38">
        <f t="shared" si="32"/>
        <v>91</v>
      </c>
      <c r="T93" s="3">
        <f t="shared" si="33"/>
        <v>250000</v>
      </c>
      <c r="U93" s="3">
        <f t="shared" si="34"/>
        <v>41829246.663123935</v>
      </c>
      <c r="V93" s="3">
        <f t="shared" si="35"/>
        <v>418292.46663123934</v>
      </c>
    </row>
    <row r="94" spans="5:22" x14ac:dyDescent="0.35">
      <c r="E94" s="2">
        <f t="shared" si="22"/>
        <v>92</v>
      </c>
      <c r="F94" s="3">
        <f t="shared" si="27"/>
        <v>120227.69157374259</v>
      </c>
      <c r="G94" s="3">
        <f t="shared" si="31"/>
        <v>145843.54200316028</v>
      </c>
      <c r="H94" s="3">
        <f t="shared" si="28"/>
        <v>-25615.850429417707</v>
      </c>
      <c r="I94" s="4">
        <f t="shared" si="23"/>
        <v>1.213061151670753</v>
      </c>
      <c r="J94" s="4">
        <f t="shared" si="24"/>
        <v>-0.21306115167075321</v>
      </c>
      <c r="K94" s="3">
        <f t="shared" si="25"/>
        <v>-4244379.6107099932</v>
      </c>
      <c r="L94" s="4">
        <f t="shared" si="26"/>
        <v>1.7073966017849989</v>
      </c>
      <c r="M94" s="14">
        <f t="shared" si="29"/>
        <v>-4244379.6107099932</v>
      </c>
      <c r="Q94" s="14">
        <f t="shared" si="30"/>
        <v>-25615.850429417707</v>
      </c>
      <c r="R94" s="40"/>
      <c r="S94" s="38">
        <f t="shared" si="32"/>
        <v>92</v>
      </c>
      <c r="T94" s="3">
        <f t="shared" si="33"/>
        <v>250000</v>
      </c>
      <c r="U94" s="3">
        <f t="shared" si="34"/>
        <v>42497539.129755177</v>
      </c>
      <c r="V94" s="3">
        <f t="shared" si="35"/>
        <v>424975.3912975518</v>
      </c>
    </row>
    <row r="95" spans="5:22" x14ac:dyDescent="0.35">
      <c r="E95" s="2">
        <f t="shared" si="22"/>
        <v>93</v>
      </c>
      <c r="F95" s="3">
        <f t="shared" si="27"/>
        <v>120227.69157374259</v>
      </c>
      <c r="G95" s="3">
        <f t="shared" si="31"/>
        <v>146755.06414068004</v>
      </c>
      <c r="H95" s="3">
        <f t="shared" si="28"/>
        <v>-26527.372566937454</v>
      </c>
      <c r="I95" s="4">
        <f t="shared" si="23"/>
        <v>1.2206427838686953</v>
      </c>
      <c r="J95" s="4">
        <f t="shared" si="24"/>
        <v>-0.22064278386869537</v>
      </c>
      <c r="K95" s="3">
        <f t="shared" si="25"/>
        <v>-4391134.6748506734</v>
      </c>
      <c r="L95" s="4">
        <f t="shared" si="26"/>
        <v>1.7318557791417788</v>
      </c>
      <c r="M95" s="14">
        <f t="shared" si="29"/>
        <v>-4391134.6748506734</v>
      </c>
      <c r="Q95" s="14">
        <f t="shared" si="30"/>
        <v>-26527.372566937454</v>
      </c>
      <c r="R95" s="40"/>
      <c r="S95" s="38">
        <f t="shared" si="32"/>
        <v>93</v>
      </c>
      <c r="T95" s="3">
        <f t="shared" si="33"/>
        <v>250000</v>
      </c>
      <c r="U95" s="3">
        <f t="shared" si="34"/>
        <v>43172514.521052726</v>
      </c>
      <c r="V95" s="3">
        <f t="shared" si="35"/>
        <v>431725.14521052729</v>
      </c>
    </row>
    <row r="96" spans="5:22" x14ac:dyDescent="0.35">
      <c r="E96" s="2">
        <f t="shared" si="22"/>
        <v>94</v>
      </c>
      <c r="F96" s="3">
        <f t="shared" si="27"/>
        <v>120227.69157374259</v>
      </c>
      <c r="G96" s="3">
        <f t="shared" si="31"/>
        <v>147672.28329155929</v>
      </c>
      <c r="H96" s="3">
        <f t="shared" si="28"/>
        <v>-27444.591717816707</v>
      </c>
      <c r="I96" s="4">
        <f t="shared" si="23"/>
        <v>1.2282718012678746</v>
      </c>
      <c r="J96" s="4">
        <f t="shared" si="24"/>
        <v>-0.22827180126787475</v>
      </c>
      <c r="K96" s="3">
        <f t="shared" si="25"/>
        <v>-4538806.9581422331</v>
      </c>
      <c r="L96" s="4">
        <f t="shared" si="26"/>
        <v>1.7564678263570388</v>
      </c>
      <c r="M96" s="14">
        <f t="shared" si="29"/>
        <v>-4538806.9581422331</v>
      </c>
      <c r="Q96" s="14">
        <f t="shared" si="30"/>
        <v>-27444.591717816707</v>
      </c>
      <c r="R96" s="40"/>
      <c r="S96" s="38">
        <f t="shared" si="32"/>
        <v>94</v>
      </c>
      <c r="T96" s="3">
        <f t="shared" si="33"/>
        <v>250000</v>
      </c>
      <c r="U96" s="3">
        <f t="shared" si="34"/>
        <v>43854239.666263252</v>
      </c>
      <c r="V96" s="3">
        <f t="shared" si="35"/>
        <v>438542.39666263253</v>
      </c>
    </row>
    <row r="97" spans="5:22" x14ac:dyDescent="0.35">
      <c r="E97" s="2">
        <f t="shared" si="22"/>
        <v>95</v>
      </c>
      <c r="F97" s="3">
        <f t="shared" si="27"/>
        <v>120227.69157374259</v>
      </c>
      <c r="G97" s="3">
        <f t="shared" si="31"/>
        <v>148595.23506213154</v>
      </c>
      <c r="H97" s="3">
        <f t="shared" si="28"/>
        <v>-28367.543488388954</v>
      </c>
      <c r="I97" s="4">
        <f t="shared" si="23"/>
        <v>1.235948500025799</v>
      </c>
      <c r="J97" s="4">
        <f t="shared" si="24"/>
        <v>-0.23594850002579898</v>
      </c>
      <c r="K97" s="3">
        <f t="shared" si="25"/>
        <v>-4687402.1932043647</v>
      </c>
      <c r="L97" s="4">
        <f t="shared" si="26"/>
        <v>1.7812336988673942</v>
      </c>
      <c r="M97" s="14">
        <f t="shared" si="29"/>
        <v>-4687402.1932043647</v>
      </c>
      <c r="Q97" s="14">
        <f t="shared" si="30"/>
        <v>-28367.543488388954</v>
      </c>
      <c r="R97" s="40"/>
      <c r="S97" s="38">
        <f t="shared" si="32"/>
        <v>95</v>
      </c>
      <c r="T97" s="3">
        <f t="shared" si="33"/>
        <v>250000</v>
      </c>
      <c r="U97" s="3">
        <f t="shared" si="34"/>
        <v>44542782.062925883</v>
      </c>
      <c r="V97" s="3">
        <f t="shared" si="35"/>
        <v>445427.82062925881</v>
      </c>
    </row>
    <row r="98" spans="5:22" x14ac:dyDescent="0.35">
      <c r="E98" s="2">
        <f t="shared" si="22"/>
        <v>96</v>
      </c>
      <c r="F98" s="3">
        <f t="shared" si="27"/>
        <v>120227.69157374259</v>
      </c>
      <c r="G98" s="3">
        <f t="shared" si="31"/>
        <v>149523.95528126985</v>
      </c>
      <c r="H98" s="3">
        <f t="shared" si="28"/>
        <v>-29296.263707527276</v>
      </c>
      <c r="I98" s="4">
        <f t="shared" si="23"/>
        <v>1.2436731781509602</v>
      </c>
      <c r="J98" s="4">
        <f t="shared" si="24"/>
        <v>-0.24367317815096021</v>
      </c>
      <c r="K98" s="3">
        <f t="shared" si="25"/>
        <v>-4836926.1484856345</v>
      </c>
      <c r="L98" s="4">
        <f t="shared" ref="L98:L129" si="36">($C$3-K98)/$C$3</f>
        <v>1.8061543580809392</v>
      </c>
      <c r="M98" s="14">
        <f t="shared" si="29"/>
        <v>-4836926.1484856345</v>
      </c>
      <c r="Q98" s="14">
        <f t="shared" si="30"/>
        <v>-29296.263707527276</v>
      </c>
      <c r="R98" s="40"/>
      <c r="S98" s="38">
        <f t="shared" si="32"/>
        <v>96</v>
      </c>
      <c r="T98" s="3">
        <f t="shared" si="33"/>
        <v>250000</v>
      </c>
      <c r="U98" s="3">
        <f t="shared" si="34"/>
        <v>45238209.883555144</v>
      </c>
      <c r="V98" s="3">
        <f t="shared" si="35"/>
        <v>452382.09883555147</v>
      </c>
    </row>
    <row r="99" spans="5:22" x14ac:dyDescent="0.35">
      <c r="E99" s="2">
        <f t="shared" si="22"/>
        <v>97</v>
      </c>
      <c r="F99" s="3">
        <f t="shared" ref="F99:F122" si="37">$C$7</f>
        <v>120227.69157374259</v>
      </c>
      <c r="G99" s="3">
        <f t="shared" si="31"/>
        <v>150458.48000177779</v>
      </c>
      <c r="H99" s="3">
        <f t="shared" ref="H99:H122" si="38">$D$2*K98</f>
        <v>-30230.788428035212</v>
      </c>
      <c r="I99" s="4">
        <f t="shared" si="23"/>
        <v>1.2514461355144035</v>
      </c>
      <c r="J99" s="4">
        <f t="shared" si="24"/>
        <v>-0.2514461355144037</v>
      </c>
      <c r="K99" s="3">
        <f t="shared" si="25"/>
        <v>-4987384.6284874119</v>
      </c>
      <c r="L99" s="4">
        <f t="shared" si="36"/>
        <v>1.8312307714145686</v>
      </c>
      <c r="M99" s="14">
        <f t="shared" ref="M99:M122" si="39">M98-G99</f>
        <v>-4987384.6284874119</v>
      </c>
      <c r="Q99" s="14">
        <f t="shared" ref="Q99:Q130" si="40">H99-P99</f>
        <v>-30230.788428035212</v>
      </c>
      <c r="R99" s="40"/>
      <c r="S99" s="38">
        <f t="shared" si="32"/>
        <v>97</v>
      </c>
      <c r="T99" s="3">
        <f t="shared" si="33"/>
        <v>250000</v>
      </c>
      <c r="U99" s="3">
        <f t="shared" si="34"/>
        <v>45940591.982390694</v>
      </c>
      <c r="V99" s="3">
        <f t="shared" si="35"/>
        <v>459405.91982390697</v>
      </c>
    </row>
    <row r="100" spans="5:22" x14ac:dyDescent="0.35">
      <c r="E100" s="2">
        <f t="shared" si="22"/>
        <v>98</v>
      </c>
      <c r="F100" s="3">
        <f t="shared" si="37"/>
        <v>120227.69157374259</v>
      </c>
      <c r="G100" s="3">
        <f t="shared" si="31"/>
        <v>151398.84550178892</v>
      </c>
      <c r="H100" s="3">
        <f t="shared" si="38"/>
        <v>-31171.153928046322</v>
      </c>
      <c r="I100" s="4">
        <f t="shared" si="23"/>
        <v>1.2592676738613688</v>
      </c>
      <c r="J100" s="4">
        <f t="shared" si="24"/>
        <v>-0.25926767386136873</v>
      </c>
      <c r="K100" s="3">
        <f t="shared" si="25"/>
        <v>-5138783.4739892008</v>
      </c>
      <c r="L100" s="4">
        <f t="shared" si="36"/>
        <v>1.8564639123315334</v>
      </c>
      <c r="M100" s="14">
        <f t="shared" si="39"/>
        <v>-5138783.4739892008</v>
      </c>
      <c r="Q100" s="14">
        <f t="shared" si="40"/>
        <v>-31171.153928046322</v>
      </c>
      <c r="R100" s="40"/>
      <c r="S100" s="38">
        <f t="shared" si="32"/>
        <v>98</v>
      </c>
      <c r="T100" s="3">
        <f t="shared" si="33"/>
        <v>250000</v>
      </c>
      <c r="U100" s="3">
        <f t="shared" si="34"/>
        <v>46649997.902214602</v>
      </c>
      <c r="V100" s="3">
        <f t="shared" si="35"/>
        <v>466499.97902214603</v>
      </c>
    </row>
    <row r="101" spans="5:22" x14ac:dyDescent="0.35">
      <c r="E101" s="2">
        <f t="shared" si="22"/>
        <v>99</v>
      </c>
      <c r="F101" s="3">
        <f t="shared" si="37"/>
        <v>120227.69157374259</v>
      </c>
      <c r="G101" s="3">
        <f t="shared" si="31"/>
        <v>152345.0882861751</v>
      </c>
      <c r="H101" s="3">
        <f t="shared" si="38"/>
        <v>-32117.396712432503</v>
      </c>
      <c r="I101" s="4">
        <f t="shared" si="23"/>
        <v>1.2671380968230024</v>
      </c>
      <c r="J101" s="4">
        <f t="shared" si="24"/>
        <v>-0.26713809682300227</v>
      </c>
      <c r="K101" s="3">
        <f t="shared" si="25"/>
        <v>-5291128.5622753762</v>
      </c>
      <c r="L101" s="4">
        <f t="shared" si="36"/>
        <v>1.8818547603792293</v>
      </c>
      <c r="M101" s="14">
        <f t="shared" si="39"/>
        <v>-5291128.5622753762</v>
      </c>
      <c r="Q101" s="14">
        <f t="shared" si="40"/>
        <v>-32117.396712432503</v>
      </c>
      <c r="R101" s="40"/>
      <c r="S101" s="38">
        <f t="shared" si="32"/>
        <v>99</v>
      </c>
      <c r="T101" s="3">
        <f t="shared" si="33"/>
        <v>250000</v>
      </c>
      <c r="U101" s="3">
        <f t="shared" si="34"/>
        <v>47366497.881236747</v>
      </c>
      <c r="V101" s="3">
        <f t="shared" si="35"/>
        <v>473664.97881236748</v>
      </c>
    </row>
    <row r="102" spans="5:22" x14ac:dyDescent="0.35">
      <c r="E102" s="2">
        <f t="shared" si="22"/>
        <v>100</v>
      </c>
      <c r="F102" s="3">
        <f t="shared" si="37"/>
        <v>120227.69157374259</v>
      </c>
      <c r="G102" s="3">
        <f t="shared" si="31"/>
        <v>153297.2450879637</v>
      </c>
      <c r="H102" s="3">
        <f t="shared" si="38"/>
        <v>-33069.553514221101</v>
      </c>
      <c r="I102" s="4">
        <f t="shared" si="23"/>
        <v>1.2750577099281462</v>
      </c>
      <c r="J102" s="4">
        <f t="shared" si="24"/>
        <v>-0.2750577099281461</v>
      </c>
      <c r="K102" s="3">
        <f t="shared" si="25"/>
        <v>-5444425.8073633397</v>
      </c>
      <c r="L102" s="4">
        <f t="shared" si="36"/>
        <v>1.907404301227223</v>
      </c>
      <c r="M102" s="14">
        <f t="shared" si="39"/>
        <v>-5444425.8073633397</v>
      </c>
      <c r="Q102" s="14">
        <f t="shared" si="40"/>
        <v>-33069.553514221101</v>
      </c>
      <c r="R102" s="40"/>
      <c r="S102" s="38">
        <f t="shared" si="32"/>
        <v>100</v>
      </c>
      <c r="T102" s="3">
        <f t="shared" si="33"/>
        <v>250000</v>
      </c>
      <c r="U102" s="3">
        <f t="shared" si="34"/>
        <v>48090162.860049114</v>
      </c>
      <c r="V102" s="3">
        <f t="shared" si="35"/>
        <v>480901.62860049115</v>
      </c>
    </row>
    <row r="103" spans="5:22" x14ac:dyDescent="0.35">
      <c r="E103" s="2">
        <f t="shared" si="22"/>
        <v>101</v>
      </c>
      <c r="F103" s="3">
        <f t="shared" si="37"/>
        <v>120227.69157374259</v>
      </c>
      <c r="G103" s="3">
        <f t="shared" si="31"/>
        <v>154255.35286976345</v>
      </c>
      <c r="H103" s="3">
        <f t="shared" si="38"/>
        <v>-34027.661296020873</v>
      </c>
      <c r="I103" s="4">
        <f t="shared" si="23"/>
        <v>1.2830268206151969</v>
      </c>
      <c r="J103" s="4">
        <f t="shared" si="24"/>
        <v>-0.28302682061519696</v>
      </c>
      <c r="K103" s="3">
        <f t="shared" si="25"/>
        <v>-5598681.1602331027</v>
      </c>
      <c r="L103" s="4">
        <f t="shared" si="36"/>
        <v>1.9331135267055171</v>
      </c>
      <c r="M103" s="14">
        <f t="shared" si="39"/>
        <v>-5598681.1602331027</v>
      </c>
      <c r="Q103" s="14">
        <f t="shared" si="40"/>
        <v>-34027.661296020873</v>
      </c>
      <c r="R103" s="40"/>
      <c r="S103" s="38">
        <f t="shared" si="32"/>
        <v>101</v>
      </c>
      <c r="T103" s="3">
        <f t="shared" si="33"/>
        <v>250000</v>
      </c>
      <c r="U103" s="3">
        <f t="shared" si="34"/>
        <v>48821064.488649607</v>
      </c>
      <c r="V103" s="3">
        <f t="shared" si="35"/>
        <v>488210.64488649607</v>
      </c>
    </row>
    <row r="104" spans="5:22" x14ac:dyDescent="0.35">
      <c r="E104" s="2">
        <f t="shared" si="22"/>
        <v>102</v>
      </c>
      <c r="F104" s="3">
        <f t="shared" si="37"/>
        <v>120227.69157374259</v>
      </c>
      <c r="G104" s="3">
        <f t="shared" si="31"/>
        <v>155219.44882519948</v>
      </c>
      <c r="H104" s="3">
        <f t="shared" si="38"/>
        <v>-34991.757251456889</v>
      </c>
      <c r="I104" s="4">
        <f t="shared" si="23"/>
        <v>1.2910457382440419</v>
      </c>
      <c r="J104" s="4">
        <f t="shared" si="24"/>
        <v>-0.2910457382440419</v>
      </c>
      <c r="K104" s="3">
        <f t="shared" si="25"/>
        <v>-5753900.6090583019</v>
      </c>
      <c r="L104" s="4">
        <f t="shared" si="36"/>
        <v>1.9589834348430504</v>
      </c>
      <c r="M104" s="14">
        <f t="shared" si="39"/>
        <v>-5753900.6090583019</v>
      </c>
      <c r="Q104" s="14">
        <f t="shared" si="40"/>
        <v>-34991.757251456889</v>
      </c>
      <c r="R104" s="40"/>
      <c r="S104" s="38">
        <f t="shared" si="32"/>
        <v>102</v>
      </c>
      <c r="T104" s="3">
        <f t="shared" si="33"/>
        <v>250000</v>
      </c>
      <c r="U104" s="3">
        <f t="shared" si="34"/>
        <v>49559275.1335361</v>
      </c>
      <c r="V104" s="3">
        <f t="shared" si="35"/>
        <v>495592.75133536104</v>
      </c>
    </row>
    <row r="105" spans="5:22" x14ac:dyDescent="0.35">
      <c r="E105" s="2">
        <f t="shared" si="22"/>
        <v>103</v>
      </c>
      <c r="F105" s="3">
        <f t="shared" si="37"/>
        <v>120227.69157374259</v>
      </c>
      <c r="G105" s="3">
        <f t="shared" si="31"/>
        <v>156189.57038035698</v>
      </c>
      <c r="H105" s="3">
        <f t="shared" si="38"/>
        <v>-35961.878806614382</v>
      </c>
      <c r="I105" s="4">
        <f t="shared" si="23"/>
        <v>1.2991147741080673</v>
      </c>
      <c r="J105" s="4">
        <f t="shared" si="24"/>
        <v>-0.29911477410806714</v>
      </c>
      <c r="K105" s="3">
        <f t="shared" si="25"/>
        <v>-5910090.179438659</v>
      </c>
      <c r="L105" s="4">
        <f t="shared" si="36"/>
        <v>1.9850150299064431</v>
      </c>
      <c r="M105" s="14">
        <f t="shared" si="39"/>
        <v>-5910090.179438659</v>
      </c>
      <c r="Q105" s="14">
        <f t="shared" si="40"/>
        <v>-35961.878806614382</v>
      </c>
      <c r="R105" s="40"/>
      <c r="S105" s="38">
        <f t="shared" si="32"/>
        <v>103</v>
      </c>
      <c r="T105" s="3">
        <f t="shared" si="33"/>
        <v>250000</v>
      </c>
      <c r="U105" s="3">
        <f t="shared" si="34"/>
        <v>50304867.88487146</v>
      </c>
      <c r="V105" s="3">
        <f t="shared" si="35"/>
        <v>503048.67884871463</v>
      </c>
    </row>
    <row r="106" spans="5:22" x14ac:dyDescent="0.35">
      <c r="E106" s="2">
        <f t="shared" si="22"/>
        <v>104</v>
      </c>
      <c r="F106" s="3">
        <f t="shared" si="37"/>
        <v>120227.69157374259</v>
      </c>
      <c r="G106" s="3">
        <f t="shared" si="31"/>
        <v>157165.7551952342</v>
      </c>
      <c r="H106" s="3">
        <f t="shared" si="38"/>
        <v>-36938.063621491616</v>
      </c>
      <c r="I106" s="4">
        <f t="shared" si="23"/>
        <v>1.3072342414462426</v>
      </c>
      <c r="J106" s="4">
        <f t="shared" si="24"/>
        <v>-0.30723424144624256</v>
      </c>
      <c r="K106" s="3">
        <f t="shared" si="25"/>
        <v>-6067255.934633893</v>
      </c>
      <c r="L106" s="4">
        <f t="shared" si="36"/>
        <v>2.0112093224389822</v>
      </c>
      <c r="M106" s="14">
        <f t="shared" si="39"/>
        <v>-6067255.934633893</v>
      </c>
      <c r="Q106" s="14">
        <f t="shared" si="40"/>
        <v>-36938.063621491616</v>
      </c>
      <c r="R106" s="40"/>
      <c r="S106" s="38">
        <f t="shared" si="32"/>
        <v>104</v>
      </c>
      <c r="T106" s="3">
        <f t="shared" si="33"/>
        <v>250000</v>
      </c>
      <c r="U106" s="3">
        <f t="shared" si="34"/>
        <v>51057916.563720174</v>
      </c>
      <c r="V106" s="3">
        <f t="shared" si="35"/>
        <v>510579.16563720175</v>
      </c>
    </row>
    <row r="107" spans="5:22" x14ac:dyDescent="0.35">
      <c r="E107" s="2">
        <f t="shared" si="22"/>
        <v>105</v>
      </c>
      <c r="F107" s="3">
        <f t="shared" si="37"/>
        <v>120227.69157374259</v>
      </c>
      <c r="G107" s="3">
        <f t="shared" si="31"/>
        <v>158148.04116520443</v>
      </c>
      <c r="H107" s="3">
        <f t="shared" si="38"/>
        <v>-37920.349591461825</v>
      </c>
      <c r="I107" s="4">
        <f t="shared" si="23"/>
        <v>1.3154044554552817</v>
      </c>
      <c r="J107" s="4">
        <f t="shared" si="24"/>
        <v>-0.31540445545528156</v>
      </c>
      <c r="K107" s="3">
        <f t="shared" si="25"/>
        <v>-6225403.9757990977</v>
      </c>
      <c r="L107" s="4">
        <f t="shared" si="36"/>
        <v>2.0375673292998497</v>
      </c>
      <c r="M107" s="14">
        <f t="shared" si="39"/>
        <v>-6225403.9757990977</v>
      </c>
      <c r="Q107" s="14">
        <f t="shared" si="40"/>
        <v>-37920.349591461825</v>
      </c>
      <c r="R107" s="40"/>
      <c r="S107" s="38">
        <f t="shared" si="32"/>
        <v>105</v>
      </c>
      <c r="T107" s="3">
        <f t="shared" si="33"/>
        <v>250000</v>
      </c>
      <c r="U107" s="3">
        <f t="shared" si="34"/>
        <v>51818495.729357377</v>
      </c>
      <c r="V107" s="3">
        <f t="shared" si="35"/>
        <v>518184.95729357377</v>
      </c>
    </row>
    <row r="108" spans="5:22" x14ac:dyDescent="0.35">
      <c r="E108" s="2">
        <f t="shared" si="22"/>
        <v>106</v>
      </c>
      <c r="F108" s="3">
        <f t="shared" si="37"/>
        <v>120227.69157374259</v>
      </c>
      <c r="G108" s="3">
        <f t="shared" si="31"/>
        <v>159136.46642248693</v>
      </c>
      <c r="H108" s="3">
        <f t="shared" si="38"/>
        <v>-38908.77484874436</v>
      </c>
      <c r="I108" s="4">
        <f t="shared" si="23"/>
        <v>1.323625733301877</v>
      </c>
      <c r="J108" s="4">
        <f t="shared" si="24"/>
        <v>-0.32362573330187716</v>
      </c>
      <c r="K108" s="3">
        <f t="shared" si="25"/>
        <v>-6384540.4422215847</v>
      </c>
      <c r="L108" s="4">
        <f t="shared" si="36"/>
        <v>2.0640900737035976</v>
      </c>
      <c r="M108" s="14">
        <f t="shared" si="39"/>
        <v>-6384540.4422215847</v>
      </c>
      <c r="Q108" s="14">
        <f t="shared" si="40"/>
        <v>-38908.77484874436</v>
      </c>
      <c r="R108" s="40"/>
      <c r="S108" s="38">
        <f t="shared" si="32"/>
        <v>106</v>
      </c>
      <c r="T108" s="3">
        <f t="shared" si="33"/>
        <v>250000</v>
      </c>
      <c r="U108" s="3">
        <f t="shared" si="34"/>
        <v>52586680.686650947</v>
      </c>
      <c r="V108" s="3">
        <f t="shared" si="35"/>
        <v>525866.80686650949</v>
      </c>
    </row>
    <row r="109" spans="5:22" x14ac:dyDescent="0.35">
      <c r="E109" s="2">
        <f t="shared" si="22"/>
        <v>107</v>
      </c>
      <c r="F109" s="3">
        <f t="shared" si="37"/>
        <v>120227.69157374259</v>
      </c>
      <c r="G109" s="3">
        <f t="shared" si="31"/>
        <v>160131.0693376275</v>
      </c>
      <c r="H109" s="3">
        <f t="shared" si="38"/>
        <v>-39903.377763884899</v>
      </c>
      <c r="I109" s="4">
        <f t="shared" si="23"/>
        <v>1.331898394135014</v>
      </c>
      <c r="J109" s="4">
        <f t="shared" si="24"/>
        <v>-0.33189839413501382</v>
      </c>
      <c r="K109" s="3">
        <f t="shared" si="25"/>
        <v>-6544671.5115592126</v>
      </c>
      <c r="L109" s="4">
        <f t="shared" si="36"/>
        <v>2.0907785852598688</v>
      </c>
      <c r="M109" s="14">
        <f t="shared" si="39"/>
        <v>-6544671.5115592126</v>
      </c>
      <c r="Q109" s="14">
        <f t="shared" si="40"/>
        <v>-39903.377763884899</v>
      </c>
      <c r="R109" s="40"/>
      <c r="S109" s="38">
        <f t="shared" si="32"/>
        <v>107</v>
      </c>
      <c r="T109" s="3">
        <f t="shared" si="33"/>
        <v>250000</v>
      </c>
      <c r="U109" s="3">
        <f t="shared" si="34"/>
        <v>53362547.493517458</v>
      </c>
      <c r="V109" s="3">
        <f t="shared" si="35"/>
        <v>533625.47493517457</v>
      </c>
    </row>
    <row r="110" spans="5:22" x14ac:dyDescent="0.35">
      <c r="E110" s="2">
        <f t="shared" si="22"/>
        <v>108</v>
      </c>
      <c r="F110" s="3">
        <f t="shared" si="37"/>
        <v>120227.69157374259</v>
      </c>
      <c r="G110" s="3">
        <f t="shared" si="31"/>
        <v>161131.88852098765</v>
      </c>
      <c r="H110" s="3">
        <f t="shared" si="38"/>
        <v>-40904.196947245073</v>
      </c>
      <c r="I110" s="4">
        <f t="shared" si="23"/>
        <v>1.3402227590983575</v>
      </c>
      <c r="J110" s="4">
        <f t="shared" si="24"/>
        <v>-0.3402227590983577</v>
      </c>
      <c r="K110" s="3">
        <f t="shared" si="25"/>
        <v>-6705803.4000802003</v>
      </c>
      <c r="L110" s="4">
        <f t="shared" si="36"/>
        <v>2.1176339000133666</v>
      </c>
      <c r="M110" s="14">
        <f t="shared" si="39"/>
        <v>-6705803.4000802003</v>
      </c>
      <c r="Q110" s="14">
        <f t="shared" si="40"/>
        <v>-40904.196947245073</v>
      </c>
      <c r="R110" s="40"/>
      <c r="S110" s="38">
        <f t="shared" si="32"/>
        <v>108</v>
      </c>
      <c r="T110" s="3">
        <f t="shared" si="33"/>
        <v>250000</v>
      </c>
      <c r="U110" s="3">
        <f t="shared" si="34"/>
        <v>54146172.968452632</v>
      </c>
      <c r="V110" s="3">
        <f t="shared" si="35"/>
        <v>541461.72968452633</v>
      </c>
    </row>
    <row r="111" spans="5:22" x14ac:dyDescent="0.35">
      <c r="E111" s="2">
        <f t="shared" si="22"/>
        <v>109</v>
      </c>
      <c r="F111" s="3">
        <f t="shared" si="37"/>
        <v>120227.69157374259</v>
      </c>
      <c r="G111" s="3">
        <f t="shared" si="31"/>
        <v>162138.96282424382</v>
      </c>
      <c r="H111" s="3">
        <f t="shared" si="38"/>
        <v>-41911.271250501246</v>
      </c>
      <c r="I111" s="4">
        <f t="shared" si="23"/>
        <v>1.3485991513427222</v>
      </c>
      <c r="J111" s="4">
        <f t="shared" si="24"/>
        <v>-0.3485991513427224</v>
      </c>
      <c r="K111" s="3">
        <f t="shared" si="25"/>
        <v>-6867942.3629044443</v>
      </c>
      <c r="L111" s="4">
        <f t="shared" si="36"/>
        <v>2.1446570604840742</v>
      </c>
      <c r="M111" s="14">
        <f t="shared" si="39"/>
        <v>-6867942.3629044443</v>
      </c>
      <c r="Q111" s="14">
        <f t="shared" si="40"/>
        <v>-41911.271250501246</v>
      </c>
      <c r="R111" s="40"/>
      <c r="S111" s="38">
        <f t="shared" si="32"/>
        <v>109</v>
      </c>
      <c r="T111" s="3">
        <f t="shared" si="33"/>
        <v>250000</v>
      </c>
      <c r="U111" s="3">
        <f t="shared" si="34"/>
        <v>54937634.698137157</v>
      </c>
      <c r="V111" s="3">
        <f t="shared" si="35"/>
        <v>549376.34698137152</v>
      </c>
    </row>
    <row r="112" spans="5:22" x14ac:dyDescent="0.35">
      <c r="E112" s="2">
        <f t="shared" si="22"/>
        <v>110</v>
      </c>
      <c r="F112" s="3">
        <f t="shared" si="37"/>
        <v>120227.69157374259</v>
      </c>
      <c r="G112" s="3">
        <f t="shared" si="31"/>
        <v>163152.33134189536</v>
      </c>
      <c r="H112" s="3">
        <f t="shared" si="38"/>
        <v>-42924.639768152774</v>
      </c>
      <c r="I112" s="4">
        <f t="shared" si="23"/>
        <v>1.3570278960386144</v>
      </c>
      <c r="J112" s="4">
        <f t="shared" si="24"/>
        <v>-0.35702789603861446</v>
      </c>
      <c r="K112" s="3">
        <f t="shared" si="25"/>
        <v>-7031094.6942463396</v>
      </c>
      <c r="L112" s="4">
        <f t="shared" si="36"/>
        <v>2.1718491157077233</v>
      </c>
      <c r="M112" s="14">
        <f t="shared" si="39"/>
        <v>-7031094.6942463396</v>
      </c>
      <c r="Q112" s="14">
        <f t="shared" si="40"/>
        <v>-42924.639768152774</v>
      </c>
      <c r="R112" s="40"/>
      <c r="S112" s="38">
        <f t="shared" si="32"/>
        <v>110</v>
      </c>
      <c r="T112" s="3">
        <f t="shared" si="33"/>
        <v>250000</v>
      </c>
      <c r="U112" s="3">
        <f t="shared" si="34"/>
        <v>55737011.045118526</v>
      </c>
      <c r="V112" s="3">
        <f t="shared" si="35"/>
        <v>557370.11045118526</v>
      </c>
    </row>
    <row r="113" spans="5:22" x14ac:dyDescent="0.35">
      <c r="E113" s="2">
        <f t="shared" si="22"/>
        <v>111</v>
      </c>
      <c r="F113" s="3">
        <f t="shared" si="37"/>
        <v>120227.69157374259</v>
      </c>
      <c r="G113" s="3">
        <f t="shared" si="31"/>
        <v>164172.03341278221</v>
      </c>
      <c r="H113" s="3">
        <f t="shared" si="38"/>
        <v>-43944.341839039618</v>
      </c>
      <c r="I113" s="4">
        <f t="shared" si="23"/>
        <v>1.3655093203888558</v>
      </c>
      <c r="J113" s="4">
        <f t="shared" si="24"/>
        <v>-0.36550932038885581</v>
      </c>
      <c r="K113" s="3">
        <f t="shared" si="25"/>
        <v>-7195266.7276591221</v>
      </c>
      <c r="L113" s="4">
        <f t="shared" si="36"/>
        <v>2.1992111212765204</v>
      </c>
      <c r="M113" s="14">
        <f t="shared" si="39"/>
        <v>-7195266.7276591221</v>
      </c>
      <c r="Q113" s="14">
        <f t="shared" si="40"/>
        <v>-43944.341839039618</v>
      </c>
      <c r="R113" s="40"/>
      <c r="S113" s="38">
        <f t="shared" si="32"/>
        <v>111</v>
      </c>
      <c r="T113" s="3">
        <f t="shared" si="33"/>
        <v>250000</v>
      </c>
      <c r="U113" s="3">
        <f t="shared" si="34"/>
        <v>56544381.15556971</v>
      </c>
      <c r="V113" s="3">
        <f t="shared" si="35"/>
        <v>565443.81155569712</v>
      </c>
    </row>
    <row r="114" spans="5:22" x14ac:dyDescent="0.35">
      <c r="E114" s="2">
        <f t="shared" si="22"/>
        <v>112</v>
      </c>
      <c r="F114" s="3">
        <f t="shared" si="37"/>
        <v>120227.69157374259</v>
      </c>
      <c r="G114" s="3">
        <f t="shared" si="31"/>
        <v>165198.1086216121</v>
      </c>
      <c r="H114" s="3">
        <f t="shared" si="38"/>
        <v>-44970.417047869509</v>
      </c>
      <c r="I114" s="4">
        <f t="shared" si="23"/>
        <v>1.3740437536412862</v>
      </c>
      <c r="J114" s="4">
        <f t="shared" si="24"/>
        <v>-0.37404375364128617</v>
      </c>
      <c r="K114" s="3">
        <f t="shared" si="25"/>
        <v>-7360464.8362807343</v>
      </c>
      <c r="L114" s="4">
        <f t="shared" si="36"/>
        <v>2.2267441393801222</v>
      </c>
      <c r="M114" s="14">
        <f t="shared" si="39"/>
        <v>-7360464.8362807343</v>
      </c>
      <c r="Q114" s="14">
        <f t="shared" si="40"/>
        <v>-44970.417047869509</v>
      </c>
      <c r="R114" s="40"/>
      <c r="S114" s="38">
        <f t="shared" si="32"/>
        <v>112</v>
      </c>
      <c r="T114" s="3">
        <f t="shared" si="33"/>
        <v>250000</v>
      </c>
      <c r="U114" s="3">
        <f t="shared" si="34"/>
        <v>57359824.967125408</v>
      </c>
      <c r="V114" s="3">
        <f t="shared" si="35"/>
        <v>573598.24967125407</v>
      </c>
    </row>
    <row r="115" spans="5:22" x14ac:dyDescent="0.35">
      <c r="E115" s="2">
        <f t="shared" si="22"/>
        <v>113</v>
      </c>
      <c r="F115" s="3">
        <f t="shared" si="37"/>
        <v>120227.69157374259</v>
      </c>
      <c r="G115" s="3">
        <f t="shared" si="31"/>
        <v>166230.59680049718</v>
      </c>
      <c r="H115" s="3">
        <f t="shared" si="38"/>
        <v>-46002.905226754585</v>
      </c>
      <c r="I115" s="4">
        <f t="shared" si="23"/>
        <v>1.3826315271015444</v>
      </c>
      <c r="J115" s="4">
        <f t="shared" si="24"/>
        <v>-0.38263152710154419</v>
      </c>
      <c r="K115" s="3">
        <f t="shared" si="25"/>
        <v>-7526695.4330812311</v>
      </c>
      <c r="L115" s="4">
        <f t="shared" si="36"/>
        <v>2.2544492388468722</v>
      </c>
      <c r="M115" s="14">
        <f t="shared" si="39"/>
        <v>-7526695.4330812311</v>
      </c>
      <c r="Q115" s="14">
        <f t="shared" si="40"/>
        <v>-46002.905226754585</v>
      </c>
      <c r="R115" s="40"/>
      <c r="S115" s="38">
        <f t="shared" si="32"/>
        <v>113</v>
      </c>
      <c r="T115" s="3">
        <f t="shared" si="33"/>
        <v>250000</v>
      </c>
      <c r="U115" s="3">
        <f t="shared" si="34"/>
        <v>58183423.216796659</v>
      </c>
      <c r="V115" s="3">
        <f t="shared" si="35"/>
        <v>581834.23216796655</v>
      </c>
    </row>
    <row r="116" spans="5:22" x14ac:dyDescent="0.35">
      <c r="E116" s="2">
        <f t="shared" si="22"/>
        <v>114</v>
      </c>
      <c r="F116" s="3">
        <f t="shared" si="37"/>
        <v>120227.69157374259</v>
      </c>
      <c r="G116" s="3">
        <f t="shared" si="31"/>
        <v>167269.53803050029</v>
      </c>
      <c r="H116" s="3">
        <f t="shared" si="38"/>
        <v>-47041.846456757688</v>
      </c>
      <c r="I116" s="4">
        <f t="shared" si="23"/>
        <v>1.3912729741459289</v>
      </c>
      <c r="J116" s="4">
        <f t="shared" si="24"/>
        <v>-0.39127297414592882</v>
      </c>
      <c r="K116" s="3">
        <f t="shared" si="25"/>
        <v>-7693964.9711117316</v>
      </c>
      <c r="L116" s="4">
        <f t="shared" si="36"/>
        <v>2.2823274951852888</v>
      </c>
      <c r="M116" s="14">
        <f t="shared" si="39"/>
        <v>-7693964.9711117316</v>
      </c>
      <c r="Q116" s="14">
        <f t="shared" si="40"/>
        <v>-47041.846456757688</v>
      </c>
      <c r="R116" s="40"/>
      <c r="S116" s="38">
        <f t="shared" si="32"/>
        <v>114</v>
      </c>
      <c r="T116" s="3">
        <f t="shared" si="33"/>
        <v>250000</v>
      </c>
      <c r="U116" s="3">
        <f t="shared" si="34"/>
        <v>59015257.448964626</v>
      </c>
      <c r="V116" s="3">
        <f t="shared" si="35"/>
        <v>590152.57448964624</v>
      </c>
    </row>
    <row r="117" spans="5:22" x14ac:dyDescent="0.35">
      <c r="E117" s="2">
        <f t="shared" si="22"/>
        <v>115</v>
      </c>
      <c r="F117" s="3">
        <f t="shared" si="37"/>
        <v>120227.69157374259</v>
      </c>
      <c r="G117" s="3">
        <f t="shared" si="31"/>
        <v>168314.97264319091</v>
      </c>
      <c r="H117" s="3">
        <f t="shared" si="38"/>
        <v>-48087.28106944832</v>
      </c>
      <c r="I117" s="4">
        <f t="shared" si="23"/>
        <v>1.3999684302343409</v>
      </c>
      <c r="J117" s="4">
        <f t="shared" si="24"/>
        <v>-0.39996843023434092</v>
      </c>
      <c r="K117" s="3">
        <f t="shared" si="25"/>
        <v>-7862279.9437549226</v>
      </c>
      <c r="L117" s="4">
        <f t="shared" si="36"/>
        <v>2.3103799906258202</v>
      </c>
      <c r="M117" s="14">
        <f t="shared" si="39"/>
        <v>-7862279.9437549226</v>
      </c>
      <c r="Q117" s="14">
        <f t="shared" si="40"/>
        <v>-48087.28106944832</v>
      </c>
      <c r="R117" s="40"/>
      <c r="S117" s="38">
        <f t="shared" si="32"/>
        <v>115</v>
      </c>
      <c r="T117" s="3">
        <f t="shared" si="33"/>
        <v>250000</v>
      </c>
      <c r="U117" s="3">
        <f t="shared" si="34"/>
        <v>59855410.023454271</v>
      </c>
      <c r="V117" s="3">
        <f t="shared" si="35"/>
        <v>598554.10023454274</v>
      </c>
    </row>
    <row r="118" spans="5:22" x14ac:dyDescent="0.35">
      <c r="E118" s="2">
        <f t="shared" si="22"/>
        <v>116</v>
      </c>
      <c r="F118" s="3">
        <f t="shared" si="37"/>
        <v>120227.69157374259</v>
      </c>
      <c r="G118" s="3">
        <f t="shared" si="31"/>
        <v>169366.94122221085</v>
      </c>
      <c r="H118" s="3">
        <f t="shared" si="38"/>
        <v>-49139.249648468263</v>
      </c>
      <c r="I118" s="4">
        <f t="shared" si="23"/>
        <v>1.4087182329233054</v>
      </c>
      <c r="J118" s="4">
        <f t="shared" si="24"/>
        <v>-0.40871823292330556</v>
      </c>
      <c r="K118" s="3">
        <f t="shared" si="25"/>
        <v>-8031646.884977133</v>
      </c>
      <c r="L118" s="4">
        <f t="shared" si="36"/>
        <v>2.3386078141628555</v>
      </c>
      <c r="M118" s="14">
        <f t="shared" si="39"/>
        <v>-8031646.884977133</v>
      </c>
      <c r="Q118" s="14">
        <f t="shared" si="40"/>
        <v>-49139.249648468263</v>
      </c>
      <c r="R118" s="40"/>
      <c r="S118" s="38">
        <f t="shared" si="32"/>
        <v>116</v>
      </c>
      <c r="T118" s="3">
        <f t="shared" si="33"/>
        <v>250000</v>
      </c>
      <c r="U118" s="3">
        <f t="shared" si="34"/>
        <v>60703964.123688817</v>
      </c>
      <c r="V118" s="3">
        <f t="shared" si="35"/>
        <v>607039.64123688813</v>
      </c>
    </row>
    <row r="119" spans="5:22" x14ac:dyDescent="0.35">
      <c r="E119" s="2">
        <f t="shared" si="22"/>
        <v>117</v>
      </c>
      <c r="F119" s="3">
        <f t="shared" si="37"/>
        <v>120227.69157374259</v>
      </c>
      <c r="G119" s="3">
        <f t="shared" si="31"/>
        <v>170425.48460484965</v>
      </c>
      <c r="H119" s="3">
        <f t="shared" si="38"/>
        <v>-50197.793031107074</v>
      </c>
      <c r="I119" s="4">
        <f t="shared" si="23"/>
        <v>1.417522721879076</v>
      </c>
      <c r="J119" s="4">
        <f t="shared" si="24"/>
        <v>-0.41752272187907613</v>
      </c>
      <c r="K119" s="3">
        <f t="shared" si="25"/>
        <v>-8202072.3695819825</v>
      </c>
      <c r="L119" s="4">
        <f t="shared" si="36"/>
        <v>2.3670120615969972</v>
      </c>
      <c r="M119" s="14">
        <f t="shared" si="39"/>
        <v>-8202072.3695819825</v>
      </c>
      <c r="Q119" s="14">
        <f t="shared" si="40"/>
        <v>-50197.793031107074</v>
      </c>
      <c r="R119" s="40"/>
      <c r="S119" s="38">
        <f t="shared" si="32"/>
        <v>117</v>
      </c>
      <c r="T119" s="3">
        <f t="shared" si="33"/>
        <v>250000</v>
      </c>
      <c r="U119" s="3">
        <f t="shared" si="34"/>
        <v>61561003.764925703</v>
      </c>
      <c r="V119" s="3">
        <f t="shared" si="35"/>
        <v>615610.03764925699</v>
      </c>
    </row>
    <row r="120" spans="5:22" x14ac:dyDescent="0.35">
      <c r="E120" s="2">
        <f t="shared" si="22"/>
        <v>118</v>
      </c>
      <c r="F120" s="3">
        <f t="shared" si="37"/>
        <v>120227.69157374259</v>
      </c>
      <c r="G120" s="3">
        <f t="shared" si="31"/>
        <v>171490.64388362996</v>
      </c>
      <c r="H120" s="3">
        <f t="shared" si="38"/>
        <v>-51262.952309887383</v>
      </c>
      <c r="I120" s="4">
        <f t="shared" si="23"/>
        <v>1.4263822388908203</v>
      </c>
      <c r="J120" s="4">
        <f t="shared" si="24"/>
        <v>-0.42638223889082039</v>
      </c>
      <c r="K120" s="3">
        <f t="shared" si="25"/>
        <v>-8373563.0134656122</v>
      </c>
      <c r="L120" s="4">
        <f t="shared" si="36"/>
        <v>2.3955938355776021</v>
      </c>
      <c r="M120" s="14">
        <f t="shared" si="39"/>
        <v>-8373563.0134656122</v>
      </c>
      <c r="Q120" s="14">
        <f t="shared" si="40"/>
        <v>-51262.952309887383</v>
      </c>
      <c r="R120" s="40"/>
      <c r="S120" s="38">
        <f t="shared" si="32"/>
        <v>118</v>
      </c>
      <c r="T120" s="3">
        <f t="shared" si="33"/>
        <v>250000</v>
      </c>
      <c r="U120" s="3">
        <f t="shared" si="34"/>
        <v>62426613.802574962</v>
      </c>
      <c r="V120" s="3">
        <f t="shared" si="35"/>
        <v>624266.13802574959</v>
      </c>
    </row>
    <row r="121" spans="5:22" x14ac:dyDescent="0.35">
      <c r="E121" s="2">
        <f t="shared" si="22"/>
        <v>119</v>
      </c>
      <c r="F121" s="3">
        <f t="shared" si="37"/>
        <v>120227.69157374259</v>
      </c>
      <c r="G121" s="3">
        <f t="shared" si="31"/>
        <v>172562.46040790266</v>
      </c>
      <c r="H121" s="3">
        <f t="shared" si="38"/>
        <v>-52334.768834160073</v>
      </c>
      <c r="I121" s="4">
        <f t="shared" si="23"/>
        <v>1.435297127883888</v>
      </c>
      <c r="J121" s="4">
        <f t="shared" si="24"/>
        <v>-0.43529712788388802</v>
      </c>
      <c r="K121" s="3">
        <f t="shared" si="25"/>
        <v>-8546125.4738735147</v>
      </c>
      <c r="L121" s="4">
        <f t="shared" si="36"/>
        <v>2.4243542456455858</v>
      </c>
      <c r="M121" s="14">
        <f t="shared" si="39"/>
        <v>-8546125.4738735147</v>
      </c>
      <c r="Q121" s="14">
        <f t="shared" si="40"/>
        <v>-52334.768834160073</v>
      </c>
      <c r="R121" s="40"/>
      <c r="S121" s="38">
        <f t="shared" si="32"/>
        <v>119</v>
      </c>
      <c r="T121" s="3">
        <f t="shared" si="33"/>
        <v>250000</v>
      </c>
      <c r="U121" s="3">
        <f t="shared" si="34"/>
        <v>63300879.940600716</v>
      </c>
      <c r="V121" s="3">
        <f t="shared" si="35"/>
        <v>633008.79940600717</v>
      </c>
    </row>
    <row r="122" spans="5:22" x14ac:dyDescent="0.35">
      <c r="E122" s="2">
        <f t="shared" si="22"/>
        <v>120</v>
      </c>
      <c r="F122" s="3">
        <f t="shared" si="37"/>
        <v>120227.69157374259</v>
      </c>
      <c r="G122" s="3">
        <f t="shared" si="31"/>
        <v>173640.97578545206</v>
      </c>
      <c r="H122" s="3">
        <f t="shared" si="38"/>
        <v>-53413.284211709462</v>
      </c>
      <c r="I122" s="4">
        <f t="shared" si="23"/>
        <v>1.4442677349331623</v>
      </c>
      <c r="J122" s="4">
        <f t="shared" si="24"/>
        <v>-0.44426773493316229</v>
      </c>
      <c r="K122" s="3">
        <f t="shared" si="25"/>
        <v>-8719766.4496589676</v>
      </c>
      <c r="L122" s="4">
        <f t="shared" si="36"/>
        <v>2.4532944082764945</v>
      </c>
      <c r="M122" s="14">
        <f t="shared" si="39"/>
        <v>-8719766.4496589676</v>
      </c>
      <c r="Q122" s="14">
        <f t="shared" si="40"/>
        <v>-53413.284211709462</v>
      </c>
      <c r="R122" s="40"/>
      <c r="S122" s="38">
        <f t="shared" si="32"/>
        <v>120</v>
      </c>
      <c r="T122" s="3">
        <f t="shared" si="33"/>
        <v>250000</v>
      </c>
      <c r="U122" s="3">
        <f t="shared" si="34"/>
        <v>64183888.740006723</v>
      </c>
      <c r="V122" s="3">
        <f t="shared" si="35"/>
        <v>641838.88740006729</v>
      </c>
    </row>
    <row r="123" spans="5:22" x14ac:dyDescent="0.35">
      <c r="T123" s="14">
        <f>SUM(T2:T122)</f>
        <v>32020000</v>
      </c>
      <c r="U123" s="3">
        <f>U122-T123</f>
        <v>32163888.740006723</v>
      </c>
      <c r="V123" s="1">
        <f t="shared" si="35"/>
        <v>321638.88740006724</v>
      </c>
    </row>
  </sheetData>
  <mergeCells count="4">
    <mergeCell ref="A7:A10"/>
    <mergeCell ref="A1:C1"/>
    <mergeCell ref="A3:A5"/>
    <mergeCell ref="R1:R19"/>
  </mergeCells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0BE70-C50E-4394-89BE-A86A753CADDF}">
  <dimension ref="A1:P122"/>
  <sheetViews>
    <sheetView tabSelected="1" workbookViewId="0">
      <selection activeCell="C4" sqref="C4"/>
    </sheetView>
  </sheetViews>
  <sheetFormatPr defaultColWidth="10.83203125" defaultRowHeight="15.5" x14ac:dyDescent="0.35"/>
  <cols>
    <col min="1" max="1" width="10.83203125" style="1"/>
    <col min="2" max="2" width="24.33203125" style="1" customWidth="1"/>
    <col min="3" max="3" width="14.6640625" style="1" bestFit="1" customWidth="1"/>
    <col min="4" max="4" width="0" style="1" hidden="1" customWidth="1"/>
    <col min="5" max="5" width="12.08203125" style="1" bestFit="1" customWidth="1"/>
    <col min="6" max="6" width="17.6640625" style="1" customWidth="1"/>
    <col min="7" max="7" width="7" style="1" bestFit="1" customWidth="1"/>
    <col min="8" max="8" width="12" style="1" bestFit="1" customWidth="1"/>
    <col min="9" max="9" width="8.5" style="1" bestFit="1" customWidth="1"/>
    <col min="10" max="10" width="8" style="1" bestFit="1" customWidth="1"/>
    <col min="11" max="12" width="9.6640625" style="1" customWidth="1"/>
    <col min="13" max="13" width="11.5" style="1" customWidth="1"/>
    <col min="14" max="15" width="10.83203125" style="1"/>
    <col min="16" max="16" width="11.08203125" style="1" bestFit="1" customWidth="1"/>
    <col min="17" max="16384" width="10.83203125" style="1"/>
  </cols>
  <sheetData>
    <row r="1" spans="1:15" ht="43" customHeight="1" x14ac:dyDescent="0.35">
      <c r="A1" s="42" t="s">
        <v>17</v>
      </c>
      <c r="B1" s="42"/>
      <c r="C1" s="42"/>
      <c r="F1" s="42" t="s">
        <v>19</v>
      </c>
      <c r="G1" s="12" t="s">
        <v>7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12</v>
      </c>
      <c r="M1" s="12" t="s">
        <v>13</v>
      </c>
      <c r="N1" s="12" t="s">
        <v>18</v>
      </c>
    </row>
    <row r="2" spans="1:15" x14ac:dyDescent="0.35">
      <c r="D2" s="1">
        <f>C4/12</f>
        <v>6.2499999999999995E-3</v>
      </c>
      <c r="F2" s="42"/>
      <c r="G2" s="2">
        <v>0</v>
      </c>
      <c r="H2" s="3">
        <v>0</v>
      </c>
      <c r="I2" s="2" t="s">
        <v>14</v>
      </c>
      <c r="J2" s="2" t="s">
        <v>14</v>
      </c>
      <c r="K2" s="2" t="s">
        <v>14</v>
      </c>
      <c r="L2" s="2" t="s">
        <v>14</v>
      </c>
      <c r="M2" s="3">
        <f>C3</f>
        <v>2729000</v>
      </c>
      <c r="N2" s="4">
        <f>($C$3-M2)/$C$3</f>
        <v>0</v>
      </c>
      <c r="O2" s="14">
        <f>C8</f>
        <v>2729000</v>
      </c>
    </row>
    <row r="3" spans="1:15" x14ac:dyDescent="0.35">
      <c r="A3" s="43" t="s">
        <v>15</v>
      </c>
      <c r="B3" s="5" t="s">
        <v>0</v>
      </c>
      <c r="C3" s="6">
        <v>2729000</v>
      </c>
      <c r="D3" s="1">
        <f>C5*12</f>
        <v>240</v>
      </c>
      <c r="F3" s="42"/>
      <c r="G3" s="2">
        <v>1</v>
      </c>
      <c r="H3" s="3">
        <f t="shared" ref="H3:H66" si="0">$C$7</f>
        <v>21984.638252028821</v>
      </c>
      <c r="I3" s="3">
        <f>H3-J3</f>
        <v>4928.3882520288207</v>
      </c>
      <c r="J3" s="3">
        <f>$D$2*M2</f>
        <v>17056.25</v>
      </c>
      <c r="K3" s="4">
        <f>I3/H3</f>
        <v>0.22417417996741482</v>
      </c>
      <c r="L3" s="4">
        <f>J3/H3</f>
        <v>0.77582582003258516</v>
      </c>
      <c r="M3" s="3">
        <f>M2-I3</f>
        <v>2724071.6117479713</v>
      </c>
      <c r="N3" s="4">
        <f t="shared" ref="N3:N66" si="1">($C$3-M3)/$C$3</f>
        <v>1.8059319355180395E-3</v>
      </c>
      <c r="O3" s="14">
        <f>O2-I3</f>
        <v>2724071.6117479713</v>
      </c>
    </row>
    <row r="4" spans="1:15" x14ac:dyDescent="0.35">
      <c r="A4" s="44"/>
      <c r="B4" s="5" t="s">
        <v>1</v>
      </c>
      <c r="C4" s="13">
        <v>7.4999999999999997E-2</v>
      </c>
      <c r="F4" s="42"/>
      <c r="G4" s="2">
        <f>G3+1</f>
        <v>2</v>
      </c>
      <c r="H4" s="3">
        <f t="shared" si="0"/>
        <v>21984.638252028821</v>
      </c>
      <c r="I4" s="3">
        <f>H4-J4</f>
        <v>4959.1906786040017</v>
      </c>
      <c r="J4" s="3">
        <f>$D$2*M3</f>
        <v>17025.447573424819</v>
      </c>
      <c r="K4" s="4">
        <f>I4/H4</f>
        <v>0.22557526859221119</v>
      </c>
      <c r="L4" s="4">
        <f>J4/H4</f>
        <v>0.77442473140778878</v>
      </c>
      <c r="M4" s="3">
        <f>M3-I4</f>
        <v>2719112.4210693673</v>
      </c>
      <c r="N4" s="4">
        <f t="shared" si="1"/>
        <v>3.6231509456330804E-3</v>
      </c>
      <c r="O4" s="14">
        <f t="shared" ref="O4:O67" si="2">O3-I4</f>
        <v>2719112.4210693673</v>
      </c>
    </row>
    <row r="5" spans="1:15" x14ac:dyDescent="0.35">
      <c r="A5" s="45"/>
      <c r="B5" s="5" t="s">
        <v>2</v>
      </c>
      <c r="C5" s="7">
        <v>20</v>
      </c>
      <c r="F5" s="42"/>
      <c r="G5" s="2">
        <f t="shared" ref="G5:G68" si="3">G4+1</f>
        <v>3</v>
      </c>
      <c r="H5" s="3">
        <f t="shared" si="0"/>
        <v>21984.638252028821</v>
      </c>
      <c r="I5" s="3">
        <f t="shared" ref="I5:I68" si="4">H5-J5</f>
        <v>4990.1856203452771</v>
      </c>
      <c r="J5" s="3">
        <f t="shared" ref="J5:J68" si="5">$D$2*M4</f>
        <v>16994.452631683544</v>
      </c>
      <c r="K5" s="4">
        <f t="shared" ref="K5:K68" si="6">I5/H5</f>
        <v>0.22698511402091254</v>
      </c>
      <c r="L5" s="4">
        <f t="shared" ref="L5:L68" si="7">J5/H5</f>
        <v>0.77301488597908752</v>
      </c>
      <c r="M5" s="3">
        <f t="shared" ref="M5:M68" si="8">M4-I5</f>
        <v>2714122.2354490221</v>
      </c>
      <c r="N5" s="4">
        <f t="shared" si="1"/>
        <v>5.4517275745613238E-3</v>
      </c>
      <c r="O5" s="14">
        <f t="shared" si="2"/>
        <v>2714122.2354490221</v>
      </c>
    </row>
    <row r="6" spans="1:15" x14ac:dyDescent="0.35">
      <c r="F6" s="42"/>
      <c r="G6" s="2">
        <f t="shared" si="3"/>
        <v>4</v>
      </c>
      <c r="H6" s="3">
        <f t="shared" si="0"/>
        <v>21984.638252028821</v>
      </c>
      <c r="I6" s="3">
        <f t="shared" si="4"/>
        <v>5021.3742804724352</v>
      </c>
      <c r="J6" s="3">
        <f t="shared" si="5"/>
        <v>16963.263971556386</v>
      </c>
      <c r="K6" s="4">
        <f t="shared" si="6"/>
        <v>0.22840377098354325</v>
      </c>
      <c r="L6" s="4">
        <f t="shared" si="7"/>
        <v>0.77159622901645675</v>
      </c>
      <c r="M6" s="3">
        <f t="shared" si="8"/>
        <v>2709100.8611685499</v>
      </c>
      <c r="N6" s="4">
        <f t="shared" si="1"/>
        <v>7.2917328074203515E-3</v>
      </c>
      <c r="O6" s="14">
        <f t="shared" si="2"/>
        <v>2709100.8611685499</v>
      </c>
    </row>
    <row r="7" spans="1:15" x14ac:dyDescent="0.35">
      <c r="A7" s="41" t="s">
        <v>16</v>
      </c>
      <c r="B7" s="8" t="s">
        <v>3</v>
      </c>
      <c r="C7" s="9">
        <f>-PMT(D2,D3,C3)</f>
        <v>21984.638252028821</v>
      </c>
      <c r="E7" s="15">
        <f>C7*24</f>
        <v>527631.31804869173</v>
      </c>
      <c r="F7" s="42"/>
      <c r="G7" s="2">
        <f t="shared" si="3"/>
        <v>5</v>
      </c>
      <c r="H7" s="3">
        <f t="shared" si="0"/>
        <v>21984.638252028821</v>
      </c>
      <c r="I7" s="3">
        <f t="shared" si="4"/>
        <v>5052.7578697253848</v>
      </c>
      <c r="J7" s="3">
        <f t="shared" si="5"/>
        <v>16931.880382303436</v>
      </c>
      <c r="K7" s="4">
        <f t="shared" si="6"/>
        <v>0.22983129455219026</v>
      </c>
      <c r="L7" s="4">
        <f t="shared" si="7"/>
        <v>0.7701687054478098</v>
      </c>
      <c r="M7" s="3">
        <f t="shared" si="8"/>
        <v>2704048.1032988243</v>
      </c>
      <c r="N7" s="4">
        <f t="shared" si="1"/>
        <v>9.1432380729848731E-3</v>
      </c>
      <c r="O7" s="14">
        <f t="shared" si="2"/>
        <v>2704048.1032988243</v>
      </c>
    </row>
    <row r="8" spans="1:15" x14ac:dyDescent="0.35">
      <c r="A8" s="41"/>
      <c r="B8" s="8" t="s">
        <v>4</v>
      </c>
      <c r="C8" s="10">
        <f>C3</f>
        <v>2729000</v>
      </c>
      <c r="E8" s="15">
        <f>O26/G26</f>
        <v>108408.93541843443</v>
      </c>
      <c r="F8" s="42"/>
      <c r="G8" s="2">
        <f t="shared" si="3"/>
        <v>6</v>
      </c>
      <c r="H8" s="3">
        <f t="shared" si="0"/>
        <v>21984.638252028821</v>
      </c>
      <c r="I8" s="3">
        <f t="shared" si="4"/>
        <v>5084.337606411169</v>
      </c>
      <c r="J8" s="3">
        <f t="shared" si="5"/>
        <v>16900.300645617652</v>
      </c>
      <c r="K8" s="4">
        <f t="shared" si="6"/>
        <v>0.23126774014314147</v>
      </c>
      <c r="L8" s="4">
        <f t="shared" si="7"/>
        <v>0.76873225985685856</v>
      </c>
      <c r="M8" s="3">
        <f t="shared" si="8"/>
        <v>2698963.7656924133</v>
      </c>
      <c r="N8" s="4">
        <f t="shared" si="1"/>
        <v>1.1006315246459026E-2</v>
      </c>
      <c r="O8" s="14">
        <f t="shared" si="2"/>
        <v>2698963.7656924133</v>
      </c>
    </row>
    <row r="9" spans="1:15" x14ac:dyDescent="0.35">
      <c r="A9" s="41"/>
      <c r="B9" s="8" t="s">
        <v>5</v>
      </c>
      <c r="C9" s="10">
        <f>C7*D3</f>
        <v>5276313.1804869166</v>
      </c>
      <c r="E9" s="15">
        <f>E8+C7</f>
        <v>130393.57367046324</v>
      </c>
      <c r="F9" s="42"/>
      <c r="G9" s="2">
        <f t="shared" si="3"/>
        <v>7</v>
      </c>
      <c r="H9" s="3">
        <f t="shared" si="0"/>
        <v>21984.638252028821</v>
      </c>
      <c r="I9" s="3">
        <f t="shared" si="4"/>
        <v>5116.1147164512404</v>
      </c>
      <c r="J9" s="3">
        <f t="shared" si="5"/>
        <v>16868.52353557758</v>
      </c>
      <c r="K9" s="4">
        <f t="shared" si="6"/>
        <v>0.23271316351903618</v>
      </c>
      <c r="L9" s="4">
        <f t="shared" si="7"/>
        <v>0.76728683648096385</v>
      </c>
      <c r="M9" s="3">
        <f t="shared" si="8"/>
        <v>2693847.6509759622</v>
      </c>
      <c r="N9" s="4">
        <f t="shared" si="1"/>
        <v>1.2881036652267435E-2</v>
      </c>
      <c r="O9" s="14">
        <f t="shared" si="2"/>
        <v>2693847.6509759622</v>
      </c>
    </row>
    <row r="10" spans="1:15" x14ac:dyDescent="0.35">
      <c r="A10" s="41"/>
      <c r="B10" s="8" t="s">
        <v>6</v>
      </c>
      <c r="C10" s="11">
        <f>C9-C8</f>
        <v>2547313.1804869166</v>
      </c>
      <c r="F10" s="42"/>
      <c r="G10" s="2">
        <f t="shared" si="3"/>
        <v>8</v>
      </c>
      <c r="H10" s="3">
        <f t="shared" si="0"/>
        <v>21984.638252028821</v>
      </c>
      <c r="I10" s="3">
        <f t="shared" si="4"/>
        <v>5148.0904334290572</v>
      </c>
      <c r="J10" s="3">
        <f t="shared" si="5"/>
        <v>16836.547818599764</v>
      </c>
      <c r="K10" s="4">
        <f t="shared" si="6"/>
        <v>0.23416762079102998</v>
      </c>
      <c r="L10" s="4">
        <f t="shared" si="7"/>
        <v>0.76583237920897007</v>
      </c>
      <c r="M10" s="3">
        <f t="shared" si="8"/>
        <v>2688699.5605425332</v>
      </c>
      <c r="N10" s="4">
        <f t="shared" si="1"/>
        <v>1.4767475066862157E-2</v>
      </c>
      <c r="O10" s="14">
        <f t="shared" si="2"/>
        <v>2688699.5605425332</v>
      </c>
    </row>
    <row r="11" spans="1:15" x14ac:dyDescent="0.35">
      <c r="F11" s="42"/>
      <c r="G11" s="2">
        <f t="shared" si="3"/>
        <v>9</v>
      </c>
      <c r="H11" s="3">
        <f t="shared" si="0"/>
        <v>21984.638252028821</v>
      </c>
      <c r="I11" s="3">
        <f t="shared" si="4"/>
        <v>5180.2659986379913</v>
      </c>
      <c r="J11" s="3">
        <f t="shared" si="5"/>
        <v>16804.372253390829</v>
      </c>
      <c r="K11" s="4">
        <f t="shared" si="6"/>
        <v>0.23563116842097404</v>
      </c>
      <c r="L11" s="4">
        <f t="shared" si="7"/>
        <v>0.76436883157902591</v>
      </c>
      <c r="M11" s="3">
        <f t="shared" si="8"/>
        <v>2683519.2945438954</v>
      </c>
      <c r="N11" s="4">
        <f t="shared" si="1"/>
        <v>1.6665703721548037E-2</v>
      </c>
      <c r="O11" s="14">
        <f t="shared" si="2"/>
        <v>2683519.2945438954</v>
      </c>
    </row>
    <row r="12" spans="1:15" x14ac:dyDescent="0.35">
      <c r="B12" s="14">
        <f>'SIP and EMI Calculator'!C7-'EMI Calculator'!C7</f>
        <v>98243.053321713771</v>
      </c>
      <c r="C12" s="15">
        <f>B12*A17</f>
        <v>2357833.2797211306</v>
      </c>
      <c r="F12" s="42"/>
      <c r="G12" s="2">
        <f t="shared" si="3"/>
        <v>10</v>
      </c>
      <c r="H12" s="3">
        <f t="shared" si="0"/>
        <v>21984.638252028821</v>
      </c>
      <c r="I12" s="3">
        <f t="shared" si="4"/>
        <v>5212.6426611294773</v>
      </c>
      <c r="J12" s="3">
        <f t="shared" si="5"/>
        <v>16771.995590899343</v>
      </c>
      <c r="K12" s="4">
        <f t="shared" si="6"/>
        <v>0.23710386322360505</v>
      </c>
      <c r="L12" s="4">
        <f t="shared" si="7"/>
        <v>0.7628961367763949</v>
      </c>
      <c r="M12" s="3">
        <f t="shared" si="8"/>
        <v>2678306.6518827658</v>
      </c>
      <c r="N12" s="4">
        <f t="shared" si="1"/>
        <v>1.8575796305325829E-2</v>
      </c>
      <c r="O12" s="14">
        <f t="shared" si="2"/>
        <v>2678306.6518827658</v>
      </c>
    </row>
    <row r="13" spans="1:15" x14ac:dyDescent="0.35">
      <c r="F13" s="42"/>
      <c r="G13" s="2">
        <f t="shared" si="3"/>
        <v>11</v>
      </c>
      <c r="H13" s="3">
        <f t="shared" si="0"/>
        <v>21984.638252028821</v>
      </c>
      <c r="I13" s="3">
        <f t="shared" si="4"/>
        <v>5245.2216777615358</v>
      </c>
      <c r="J13" s="3">
        <f t="shared" si="5"/>
        <v>16739.416574267285</v>
      </c>
      <c r="K13" s="4">
        <f t="shared" si="6"/>
        <v>0.23858576236875256</v>
      </c>
      <c r="L13" s="4">
        <f t="shared" si="7"/>
        <v>0.76141423763124749</v>
      </c>
      <c r="M13" s="3">
        <f t="shared" si="8"/>
        <v>2673061.4302050043</v>
      </c>
      <c r="N13" s="4">
        <f t="shared" si="1"/>
        <v>2.0497826967752184E-2</v>
      </c>
      <c r="O13" s="14">
        <f t="shared" si="2"/>
        <v>2673061.4302050043</v>
      </c>
    </row>
    <row r="14" spans="1:15" x14ac:dyDescent="0.35">
      <c r="C14" s="15">
        <f>C12-C17</f>
        <v>2316485.2797211306</v>
      </c>
      <c r="F14" s="42"/>
      <c r="G14" s="2">
        <f t="shared" si="3"/>
        <v>12</v>
      </c>
      <c r="H14" s="3">
        <f t="shared" si="0"/>
        <v>21984.638252028821</v>
      </c>
      <c r="I14" s="3">
        <f t="shared" si="4"/>
        <v>5278.0043132475439</v>
      </c>
      <c r="J14" s="3">
        <f t="shared" si="5"/>
        <v>16706.633938781277</v>
      </c>
      <c r="K14" s="4">
        <f t="shared" si="6"/>
        <v>0.24007692338355718</v>
      </c>
      <c r="L14" s="4">
        <f t="shared" si="7"/>
        <v>0.75992307661644276</v>
      </c>
      <c r="M14" s="3">
        <f t="shared" si="8"/>
        <v>2667783.4258917565</v>
      </c>
      <c r="N14" s="4">
        <f t="shared" si="1"/>
        <v>2.2431870321818783E-2</v>
      </c>
      <c r="O14" s="14">
        <f t="shared" si="2"/>
        <v>2667783.4258917565</v>
      </c>
    </row>
    <row r="15" spans="1:15" x14ac:dyDescent="0.35">
      <c r="G15" s="2">
        <f t="shared" si="3"/>
        <v>13</v>
      </c>
      <c r="H15" s="3">
        <f t="shared" si="0"/>
        <v>21984.638252028821</v>
      </c>
      <c r="I15" s="3">
        <f t="shared" si="4"/>
        <v>5310.9918402053445</v>
      </c>
      <c r="J15" s="3">
        <f t="shared" si="5"/>
        <v>16673.646411823476</v>
      </c>
      <c r="K15" s="4">
        <f t="shared" si="6"/>
        <v>0.24157740415470458</v>
      </c>
      <c r="L15" s="4">
        <f t="shared" si="7"/>
        <v>0.75842259584529537</v>
      </c>
      <c r="M15" s="3">
        <f t="shared" si="8"/>
        <v>2662472.4340515514</v>
      </c>
      <c r="N15" s="4">
        <f t="shared" si="1"/>
        <v>2.4378001446848152E-2</v>
      </c>
      <c r="O15" s="14">
        <f t="shared" si="2"/>
        <v>2662472.4340515514</v>
      </c>
    </row>
    <row r="16" spans="1:15" x14ac:dyDescent="0.35">
      <c r="G16" s="2">
        <f t="shared" si="3"/>
        <v>14</v>
      </c>
      <c r="H16" s="3">
        <f t="shared" si="0"/>
        <v>21984.638252028821</v>
      </c>
      <c r="I16" s="3">
        <f t="shared" si="4"/>
        <v>5344.1855392066245</v>
      </c>
      <c r="J16" s="3">
        <f t="shared" si="5"/>
        <v>16640.452712822196</v>
      </c>
      <c r="K16" s="4">
        <f t="shared" si="6"/>
        <v>0.24308726293067134</v>
      </c>
      <c r="L16" s="4">
        <f t="shared" si="7"/>
        <v>0.75691273706932871</v>
      </c>
      <c r="M16" s="3">
        <f t="shared" si="8"/>
        <v>2657128.2485123449</v>
      </c>
      <c r="N16" s="4">
        <f t="shared" si="1"/>
        <v>2.6336295891408977E-2</v>
      </c>
      <c r="O16" s="14">
        <f t="shared" si="2"/>
        <v>2657128.2485123449</v>
      </c>
    </row>
    <row r="17" spans="1:16" x14ac:dyDescent="0.35">
      <c r="A17" s="1">
        <v>24</v>
      </c>
      <c r="B17" s="1">
        <v>880423</v>
      </c>
      <c r="C17" s="1">
        <f>B17-'SIP and EMI Calculator'!B13</f>
        <v>41348</v>
      </c>
      <c r="G17" s="2">
        <f t="shared" si="3"/>
        <v>15</v>
      </c>
      <c r="H17" s="3">
        <f t="shared" si="0"/>
        <v>21984.638252028821</v>
      </c>
      <c r="I17" s="3">
        <f t="shared" si="4"/>
        <v>5377.586698826668</v>
      </c>
      <c r="J17" s="3">
        <f t="shared" si="5"/>
        <v>16607.051553202153</v>
      </c>
      <c r="K17" s="4">
        <f t="shared" si="6"/>
        <v>0.24460655832398812</v>
      </c>
      <c r="L17" s="4">
        <f t="shared" si="7"/>
        <v>0.75539344167601186</v>
      </c>
      <c r="M17" s="3">
        <f t="shared" si="8"/>
        <v>2651750.661813518</v>
      </c>
      <c r="N17" s="4">
        <f t="shared" si="1"/>
        <v>2.8306829676248431E-2</v>
      </c>
      <c r="O17" s="14">
        <f t="shared" si="2"/>
        <v>2651750.661813518</v>
      </c>
    </row>
    <row r="18" spans="1:16" x14ac:dyDescent="0.35">
      <c r="G18" s="2">
        <f t="shared" si="3"/>
        <v>16</v>
      </c>
      <c r="H18" s="3">
        <f t="shared" si="0"/>
        <v>21984.638252028821</v>
      </c>
      <c r="I18" s="3">
        <f t="shared" si="4"/>
        <v>5411.1966156943345</v>
      </c>
      <c r="J18" s="3">
        <f t="shared" si="5"/>
        <v>16573.441636334486</v>
      </c>
      <c r="K18" s="4">
        <f t="shared" si="6"/>
        <v>0.24613534931351302</v>
      </c>
      <c r="L18" s="4">
        <f t="shared" si="7"/>
        <v>0.753864650686487</v>
      </c>
      <c r="M18" s="3">
        <f t="shared" si="8"/>
        <v>2646339.4651978235</v>
      </c>
      <c r="N18" s="4">
        <f t="shared" si="1"/>
        <v>3.028967929724314E-2</v>
      </c>
      <c r="O18" s="14">
        <f t="shared" si="2"/>
        <v>2646339.4651978235</v>
      </c>
    </row>
    <row r="19" spans="1:16" x14ac:dyDescent="0.35">
      <c r="G19" s="2">
        <f t="shared" si="3"/>
        <v>17</v>
      </c>
      <c r="H19" s="3">
        <f t="shared" si="0"/>
        <v>21984.638252028821</v>
      </c>
      <c r="I19" s="3">
        <f t="shared" si="4"/>
        <v>5445.0165945424269</v>
      </c>
      <c r="J19" s="3">
        <f t="shared" si="5"/>
        <v>16539.621657486394</v>
      </c>
      <c r="K19" s="4">
        <f t="shared" si="6"/>
        <v>0.24767369524672261</v>
      </c>
      <c r="L19" s="4">
        <f t="shared" si="7"/>
        <v>0.75232630475327733</v>
      </c>
      <c r="M19" s="3">
        <f t="shared" si="8"/>
        <v>2640894.4486032808</v>
      </c>
      <c r="N19" s="4">
        <f t="shared" si="1"/>
        <v>3.2284921728369068E-2</v>
      </c>
      <c r="O19" s="14">
        <f t="shared" si="2"/>
        <v>2640894.4486032808</v>
      </c>
    </row>
    <row r="20" spans="1:16" x14ac:dyDescent="0.35">
      <c r="G20" s="2">
        <f t="shared" si="3"/>
        <v>18</v>
      </c>
      <c r="H20" s="3">
        <f t="shared" si="0"/>
        <v>21984.638252028821</v>
      </c>
      <c r="I20" s="3">
        <f t="shared" si="4"/>
        <v>5479.0479482583178</v>
      </c>
      <c r="J20" s="3">
        <f t="shared" si="5"/>
        <v>16505.590303770503</v>
      </c>
      <c r="K20" s="4">
        <f t="shared" si="6"/>
        <v>0.24922165584201467</v>
      </c>
      <c r="L20" s="4">
        <f t="shared" si="7"/>
        <v>0.75077834415798528</v>
      </c>
      <c r="M20" s="3">
        <f t="shared" si="8"/>
        <v>2635415.4006550224</v>
      </c>
      <c r="N20" s="4">
        <f t="shared" si="1"/>
        <v>3.4292634424689501E-2</v>
      </c>
      <c r="O20" s="14">
        <f t="shared" si="2"/>
        <v>2635415.4006550224</v>
      </c>
    </row>
    <row r="21" spans="1:16" x14ac:dyDescent="0.35">
      <c r="G21" s="2">
        <f t="shared" si="3"/>
        <v>19</v>
      </c>
      <c r="H21" s="3">
        <f t="shared" si="0"/>
        <v>21984.638252028821</v>
      </c>
      <c r="I21" s="3">
        <f t="shared" si="4"/>
        <v>5513.2919979349317</v>
      </c>
      <c r="J21" s="3">
        <f t="shared" si="5"/>
        <v>16471.346254093889</v>
      </c>
      <c r="K21" s="4">
        <f t="shared" si="6"/>
        <v>0.25077929119102726</v>
      </c>
      <c r="L21" s="4">
        <f t="shared" si="7"/>
        <v>0.74922070880897274</v>
      </c>
      <c r="M21" s="3">
        <f t="shared" si="8"/>
        <v>2629902.1086570872</v>
      </c>
      <c r="N21" s="4">
        <f t="shared" si="1"/>
        <v>3.6312895325361964E-2</v>
      </c>
      <c r="O21" s="14">
        <f t="shared" si="2"/>
        <v>2629902.1086570872</v>
      </c>
    </row>
    <row r="22" spans="1:16" x14ac:dyDescent="0.35">
      <c r="G22" s="2">
        <f t="shared" si="3"/>
        <v>20</v>
      </c>
      <c r="H22" s="3">
        <f t="shared" si="0"/>
        <v>21984.638252028821</v>
      </c>
      <c r="I22" s="3">
        <f t="shared" si="4"/>
        <v>5547.7500729220264</v>
      </c>
      <c r="J22" s="3">
        <f t="shared" si="5"/>
        <v>16436.888179106794</v>
      </c>
      <c r="K22" s="4">
        <f t="shared" si="6"/>
        <v>0.2523466617609712</v>
      </c>
      <c r="L22" s="4">
        <f t="shared" si="7"/>
        <v>0.7476533382390288</v>
      </c>
      <c r="M22" s="3">
        <f t="shared" si="8"/>
        <v>2624354.3585841651</v>
      </c>
      <c r="N22" s="4">
        <f t="shared" si="1"/>
        <v>3.8345782856663575E-2</v>
      </c>
      <c r="O22" s="14">
        <f t="shared" si="2"/>
        <v>2624354.3585841651</v>
      </c>
    </row>
    <row r="23" spans="1:16" x14ac:dyDescent="0.35">
      <c r="G23" s="2">
        <f t="shared" si="3"/>
        <v>21</v>
      </c>
      <c r="H23" s="3">
        <f t="shared" si="0"/>
        <v>21984.638252028821</v>
      </c>
      <c r="I23" s="3">
        <f t="shared" si="4"/>
        <v>5582.4235108777902</v>
      </c>
      <c r="J23" s="3">
        <f t="shared" si="5"/>
        <v>16402.21474115103</v>
      </c>
      <c r="K23" s="4">
        <f t="shared" si="6"/>
        <v>0.25392382839697736</v>
      </c>
      <c r="L23" s="4">
        <f t="shared" si="7"/>
        <v>0.74607617160302264</v>
      </c>
      <c r="M23" s="3">
        <f t="shared" si="8"/>
        <v>2618771.9350732872</v>
      </c>
      <c r="N23" s="4">
        <f t="shared" si="1"/>
        <v>4.0391375935035827E-2</v>
      </c>
      <c r="O23" s="14">
        <f t="shared" si="2"/>
        <v>2618771.9350732872</v>
      </c>
    </row>
    <row r="24" spans="1:16" x14ac:dyDescent="0.35">
      <c r="G24" s="2">
        <f t="shared" si="3"/>
        <v>22</v>
      </c>
      <c r="H24" s="3">
        <f t="shared" si="0"/>
        <v>21984.638252028821</v>
      </c>
      <c r="I24" s="3">
        <f t="shared" si="4"/>
        <v>5617.3136578207777</v>
      </c>
      <c r="J24" s="3">
        <f t="shared" si="5"/>
        <v>16367.324594208043</v>
      </c>
      <c r="K24" s="4">
        <f t="shared" si="6"/>
        <v>0.25551085232445853</v>
      </c>
      <c r="L24" s="4">
        <f t="shared" si="7"/>
        <v>0.74448914767554153</v>
      </c>
      <c r="M24" s="3">
        <f t="shared" si="8"/>
        <v>2613154.6214154665</v>
      </c>
      <c r="N24" s="4">
        <f t="shared" si="1"/>
        <v>4.2449753970147844E-2</v>
      </c>
      <c r="O24" s="14">
        <f t="shared" si="2"/>
        <v>2613154.6214154665</v>
      </c>
    </row>
    <row r="25" spans="1:16" x14ac:dyDescent="0.35">
      <c r="G25" s="2">
        <f t="shared" si="3"/>
        <v>23</v>
      </c>
      <c r="H25" s="3">
        <f t="shared" si="0"/>
        <v>21984.638252028821</v>
      </c>
      <c r="I25" s="3">
        <f t="shared" si="4"/>
        <v>5652.4218681821567</v>
      </c>
      <c r="J25" s="3">
        <f t="shared" si="5"/>
        <v>16332.216383846664</v>
      </c>
      <c r="K25" s="4">
        <f t="shared" si="6"/>
        <v>0.25710779515148635</v>
      </c>
      <c r="L25" s="4">
        <f t="shared" si="7"/>
        <v>0.7428922048485137</v>
      </c>
      <c r="M25" s="3">
        <f t="shared" si="8"/>
        <v>2607502.1995472843</v>
      </c>
      <c r="N25" s="4">
        <f t="shared" si="1"/>
        <v>4.4520996867979376E-2</v>
      </c>
      <c r="O25" s="14">
        <f t="shared" si="2"/>
        <v>2607502.1995472843</v>
      </c>
    </row>
    <row r="26" spans="1:16" x14ac:dyDescent="0.35">
      <c r="G26" s="2">
        <f t="shared" si="3"/>
        <v>24</v>
      </c>
      <c r="H26" s="3">
        <f t="shared" si="0"/>
        <v>21984.638252028821</v>
      </c>
      <c r="I26" s="3">
        <f t="shared" si="4"/>
        <v>5687.749504858295</v>
      </c>
      <c r="J26" s="3">
        <f t="shared" si="5"/>
        <v>16296.888747170526</v>
      </c>
      <c r="K26" s="4">
        <f t="shared" si="6"/>
        <v>0.25871471887118314</v>
      </c>
      <c r="L26" s="4">
        <f t="shared" si="7"/>
        <v>0.74128528112881686</v>
      </c>
      <c r="M26" s="3">
        <f t="shared" si="8"/>
        <v>2601814.4500424261</v>
      </c>
      <c r="N26" s="4">
        <f t="shared" si="1"/>
        <v>4.6605185033922275E-2</v>
      </c>
      <c r="O26" s="14">
        <f t="shared" si="2"/>
        <v>2601814.4500424261</v>
      </c>
      <c r="P26" s="15">
        <f>O26/24</f>
        <v>108408.93541843443</v>
      </c>
    </row>
    <row r="27" spans="1:16" x14ac:dyDescent="0.35">
      <c r="G27" s="2">
        <f t="shared" si="3"/>
        <v>25</v>
      </c>
      <c r="H27" s="3">
        <f t="shared" si="0"/>
        <v>21984.638252028821</v>
      </c>
      <c r="I27" s="3">
        <f t="shared" si="4"/>
        <v>5723.2979392636589</v>
      </c>
      <c r="J27" s="3">
        <f t="shared" si="5"/>
        <v>16261.340312765162</v>
      </c>
      <c r="K27" s="4">
        <f t="shared" si="6"/>
        <v>0.26033168586412797</v>
      </c>
      <c r="L27" s="4">
        <f t="shared" si="7"/>
        <v>0.73966831413587197</v>
      </c>
      <c r="M27" s="3">
        <f t="shared" si="8"/>
        <v>2596091.1521031624</v>
      </c>
      <c r="N27" s="4">
        <f t="shared" si="1"/>
        <v>4.8702399375902393E-2</v>
      </c>
      <c r="O27" s="14">
        <f t="shared" si="2"/>
        <v>2596091.1521031624</v>
      </c>
    </row>
    <row r="28" spans="1:16" x14ac:dyDescent="0.35">
      <c r="G28" s="2">
        <f t="shared" si="3"/>
        <v>26</v>
      </c>
      <c r="H28" s="3">
        <f t="shared" si="0"/>
        <v>21984.638252028821</v>
      </c>
      <c r="I28" s="3">
        <f t="shared" si="4"/>
        <v>5759.0685513840581</v>
      </c>
      <c r="J28" s="3">
        <f t="shared" si="5"/>
        <v>16225.569700644763</v>
      </c>
      <c r="K28" s="4">
        <f t="shared" si="6"/>
        <v>0.26195875890077885</v>
      </c>
      <c r="L28" s="4">
        <f t="shared" si="7"/>
        <v>0.7380412410992212</v>
      </c>
      <c r="M28" s="3">
        <f t="shared" si="8"/>
        <v>2590332.0835517785</v>
      </c>
      <c r="N28" s="4">
        <f t="shared" si="1"/>
        <v>5.0812721307519799E-2</v>
      </c>
      <c r="O28" s="14">
        <f t="shared" si="2"/>
        <v>2590332.0835517785</v>
      </c>
    </row>
    <row r="29" spans="1:16" x14ac:dyDescent="0.35">
      <c r="G29" s="2">
        <f t="shared" si="3"/>
        <v>27</v>
      </c>
      <c r="H29" s="3">
        <f t="shared" si="0"/>
        <v>21984.638252028821</v>
      </c>
      <c r="I29" s="3">
        <f t="shared" si="4"/>
        <v>5795.0627298302061</v>
      </c>
      <c r="J29" s="3">
        <f t="shared" si="5"/>
        <v>16189.575522198615</v>
      </c>
      <c r="K29" s="4">
        <f t="shared" si="6"/>
        <v>0.26359600114390863</v>
      </c>
      <c r="L29" s="4">
        <f t="shared" si="7"/>
        <v>0.73640399885609142</v>
      </c>
      <c r="M29" s="3">
        <f t="shared" si="8"/>
        <v>2584537.0208219481</v>
      </c>
      <c r="N29" s="4">
        <f t="shared" si="1"/>
        <v>5.2936232751209941E-2</v>
      </c>
      <c r="O29" s="14">
        <f t="shared" si="2"/>
        <v>2584537.0208219481</v>
      </c>
    </row>
    <row r="30" spans="1:16" x14ac:dyDescent="0.35">
      <c r="G30" s="2">
        <f t="shared" si="3"/>
        <v>28</v>
      </c>
      <c r="H30" s="3">
        <f t="shared" si="0"/>
        <v>21984.638252028821</v>
      </c>
      <c r="I30" s="3">
        <f t="shared" si="4"/>
        <v>5831.281871891646</v>
      </c>
      <c r="J30" s="3">
        <f t="shared" si="5"/>
        <v>16153.356380137175</v>
      </c>
      <c r="K30" s="4">
        <f t="shared" si="6"/>
        <v>0.26524347615105809</v>
      </c>
      <c r="L30" s="4">
        <f t="shared" si="7"/>
        <v>0.73475652384894186</v>
      </c>
      <c r="M30" s="3">
        <f t="shared" si="8"/>
        <v>2578705.7389500565</v>
      </c>
      <c r="N30" s="4">
        <f t="shared" si="1"/>
        <v>5.5073016141423049E-2</v>
      </c>
      <c r="O30" s="14">
        <f t="shared" si="2"/>
        <v>2578705.7389500565</v>
      </c>
    </row>
    <row r="31" spans="1:16" x14ac:dyDescent="0.35">
      <c r="G31" s="2">
        <f t="shared" si="3"/>
        <v>29</v>
      </c>
      <c r="H31" s="3">
        <f t="shared" si="0"/>
        <v>21984.638252028821</v>
      </c>
      <c r="I31" s="3">
        <f t="shared" si="4"/>
        <v>5867.7273835909691</v>
      </c>
      <c r="J31" s="3">
        <f t="shared" si="5"/>
        <v>16116.910868437852</v>
      </c>
      <c r="K31" s="4">
        <f t="shared" si="6"/>
        <v>0.2669012478770022</v>
      </c>
      <c r="L31" s="4">
        <f t="shared" si="7"/>
        <v>0.7330987521229978</v>
      </c>
      <c r="M31" s="3">
        <f t="shared" si="8"/>
        <v>2572838.0115664657</v>
      </c>
      <c r="N31" s="4">
        <f t="shared" si="1"/>
        <v>5.7223154427824947E-2</v>
      </c>
      <c r="O31" s="14">
        <f t="shared" si="2"/>
        <v>2572838.0115664657</v>
      </c>
    </row>
    <row r="32" spans="1:16" x14ac:dyDescent="0.35">
      <c r="G32" s="2">
        <f t="shared" si="3"/>
        <v>30</v>
      </c>
      <c r="H32" s="3">
        <f t="shared" si="0"/>
        <v>21984.638252028821</v>
      </c>
      <c r="I32" s="3">
        <f t="shared" si="4"/>
        <v>5904.4006797384118</v>
      </c>
      <c r="J32" s="3">
        <f t="shared" si="5"/>
        <v>16080.237572290409</v>
      </c>
      <c r="K32" s="4">
        <f t="shared" si="6"/>
        <v>0.26856938067623343</v>
      </c>
      <c r="L32" s="4">
        <f t="shared" si="7"/>
        <v>0.73143061932376652</v>
      </c>
      <c r="M32" s="3">
        <f t="shared" si="8"/>
        <v>2566933.6108867275</v>
      </c>
      <c r="N32" s="4">
        <f t="shared" si="1"/>
        <v>5.9386731078516872E-2</v>
      </c>
      <c r="O32" s="14">
        <f t="shared" si="2"/>
        <v>2566933.6108867275</v>
      </c>
    </row>
    <row r="33" spans="7:15" x14ac:dyDescent="0.35">
      <c r="G33" s="2">
        <f t="shared" si="3"/>
        <v>31</v>
      </c>
      <c r="H33" s="3">
        <f t="shared" si="0"/>
        <v>21984.638252028821</v>
      </c>
      <c r="I33" s="3">
        <f t="shared" si="4"/>
        <v>5941.3031839867763</v>
      </c>
      <c r="J33" s="3">
        <f t="shared" si="5"/>
        <v>16043.335068042044</v>
      </c>
      <c r="K33" s="4">
        <f t="shared" si="6"/>
        <v>0.27024793930545987</v>
      </c>
      <c r="L33" s="4">
        <f t="shared" si="7"/>
        <v>0.72975206069454013</v>
      </c>
      <c r="M33" s="3">
        <f t="shared" si="8"/>
        <v>2560992.3077027407</v>
      </c>
      <c r="N33" s="4">
        <f t="shared" si="1"/>
        <v>6.1563830083275685E-2</v>
      </c>
      <c r="O33" s="14">
        <f t="shared" si="2"/>
        <v>2560992.3077027407</v>
      </c>
    </row>
    <row r="34" spans="7:15" x14ac:dyDescent="0.35">
      <c r="G34" s="2">
        <f t="shared" si="3"/>
        <v>32</v>
      </c>
      <c r="H34" s="3">
        <f t="shared" si="0"/>
        <v>21984.638252028821</v>
      </c>
      <c r="I34" s="3">
        <f t="shared" si="4"/>
        <v>5978.4363288866934</v>
      </c>
      <c r="J34" s="3">
        <f t="shared" si="5"/>
        <v>16006.201923142127</v>
      </c>
      <c r="K34" s="4">
        <f t="shared" si="6"/>
        <v>0.27193698892611901</v>
      </c>
      <c r="L34" s="4">
        <f t="shared" si="7"/>
        <v>0.72806301107388105</v>
      </c>
      <c r="M34" s="3">
        <f t="shared" si="8"/>
        <v>2555013.8713738541</v>
      </c>
      <c r="N34" s="4">
        <f t="shared" si="1"/>
        <v>6.3754535956814171E-2</v>
      </c>
      <c r="O34" s="14">
        <f t="shared" si="2"/>
        <v>2555013.8713738541</v>
      </c>
    </row>
    <row r="35" spans="7:15" x14ac:dyDescent="0.35">
      <c r="G35" s="2">
        <f t="shared" si="3"/>
        <v>33</v>
      </c>
      <c r="H35" s="3">
        <f t="shared" si="0"/>
        <v>21984.638252028821</v>
      </c>
      <c r="I35" s="3">
        <f t="shared" si="4"/>
        <v>6015.8015559422347</v>
      </c>
      <c r="J35" s="3">
        <f t="shared" si="5"/>
        <v>15968.836696086586</v>
      </c>
      <c r="K35" s="4">
        <f t="shared" si="6"/>
        <v>0.27363659510690719</v>
      </c>
      <c r="L35" s="4">
        <f t="shared" si="7"/>
        <v>0.72636340489309281</v>
      </c>
      <c r="M35" s="3">
        <f t="shared" si="8"/>
        <v>2548998.0698179118</v>
      </c>
      <c r="N35" s="4">
        <f t="shared" si="1"/>
        <v>6.5958933742062353E-2</v>
      </c>
      <c r="O35" s="14">
        <f t="shared" si="2"/>
        <v>2548998.0698179118</v>
      </c>
    </row>
    <row r="36" spans="7:15" x14ac:dyDescent="0.35">
      <c r="G36" s="2">
        <f t="shared" si="3"/>
        <v>34</v>
      </c>
      <c r="H36" s="3">
        <f t="shared" si="0"/>
        <v>21984.638252028821</v>
      </c>
      <c r="I36" s="3">
        <f t="shared" si="4"/>
        <v>6053.4003156668732</v>
      </c>
      <c r="J36" s="3">
        <f t="shared" si="5"/>
        <v>15931.237936361948</v>
      </c>
      <c r="K36" s="4">
        <f t="shared" si="6"/>
        <v>0.27534682382632536</v>
      </c>
      <c r="L36" s="4">
        <f t="shared" si="7"/>
        <v>0.72465317617367464</v>
      </c>
      <c r="M36" s="3">
        <f t="shared" si="8"/>
        <v>2542944.6695022448</v>
      </c>
      <c r="N36" s="4">
        <f t="shared" si="1"/>
        <v>6.8177109013468379E-2</v>
      </c>
      <c r="O36" s="14">
        <f t="shared" si="2"/>
        <v>2542944.6695022448</v>
      </c>
    </row>
    <row r="37" spans="7:15" x14ac:dyDescent="0.35">
      <c r="G37" s="2">
        <f t="shared" si="3"/>
        <v>35</v>
      </c>
      <c r="H37" s="3">
        <f t="shared" si="0"/>
        <v>21984.638252028821</v>
      </c>
      <c r="I37" s="3">
        <f t="shared" si="4"/>
        <v>6091.2340676397926</v>
      </c>
      <c r="J37" s="3">
        <f t="shared" si="5"/>
        <v>15893.404184389028</v>
      </c>
      <c r="K37" s="4">
        <f t="shared" si="6"/>
        <v>0.27706774147523994</v>
      </c>
      <c r="L37" s="4">
        <f t="shared" si="7"/>
        <v>0.72293225852476006</v>
      </c>
      <c r="M37" s="3">
        <f t="shared" si="8"/>
        <v>2536853.435434605</v>
      </c>
      <c r="N37" s="4">
        <f t="shared" si="1"/>
        <v>7.0409147880320627E-2</v>
      </c>
      <c r="O37" s="14">
        <f t="shared" si="2"/>
        <v>2536853.435434605</v>
      </c>
    </row>
    <row r="38" spans="7:15" x14ac:dyDescent="0.35">
      <c r="G38" s="2">
        <f t="shared" si="3"/>
        <v>36</v>
      </c>
      <c r="H38" s="3">
        <f t="shared" si="0"/>
        <v>21984.638252028821</v>
      </c>
      <c r="I38" s="3">
        <f t="shared" si="4"/>
        <v>6129.304280562541</v>
      </c>
      <c r="J38" s="3">
        <f t="shared" si="5"/>
        <v>15855.33397146628</v>
      </c>
      <c r="K38" s="4">
        <f t="shared" si="6"/>
        <v>0.27879941485946019</v>
      </c>
      <c r="L38" s="4">
        <f t="shared" si="7"/>
        <v>0.72120058514053986</v>
      </c>
      <c r="M38" s="3">
        <f t="shared" si="8"/>
        <v>2530724.1311540427</v>
      </c>
      <c r="N38" s="4">
        <f t="shared" si="1"/>
        <v>7.265513699009063E-2</v>
      </c>
      <c r="O38" s="14">
        <f t="shared" si="2"/>
        <v>2530724.1311540427</v>
      </c>
    </row>
    <row r="39" spans="7:15" x14ac:dyDescent="0.35">
      <c r="G39" s="2">
        <f t="shared" si="3"/>
        <v>37</v>
      </c>
      <c r="H39" s="3">
        <f t="shared" si="0"/>
        <v>21984.638252028821</v>
      </c>
      <c r="I39" s="3">
        <f t="shared" si="4"/>
        <v>6167.6124323160548</v>
      </c>
      <c r="J39" s="3">
        <f t="shared" si="5"/>
        <v>15817.025819712766</v>
      </c>
      <c r="K39" s="4">
        <f t="shared" si="6"/>
        <v>0.28054191120233174</v>
      </c>
      <c r="L39" s="4">
        <f t="shared" si="7"/>
        <v>0.71945808879766826</v>
      </c>
      <c r="M39" s="3">
        <f t="shared" si="8"/>
        <v>2524556.5187217267</v>
      </c>
      <c r="N39" s="4">
        <f t="shared" si="1"/>
        <v>7.4915163531796725E-2</v>
      </c>
      <c r="O39" s="14">
        <f t="shared" si="2"/>
        <v>2524556.5187217267</v>
      </c>
    </row>
    <row r="40" spans="7:15" x14ac:dyDescent="0.35">
      <c r="G40" s="2">
        <f t="shared" si="3"/>
        <v>38</v>
      </c>
      <c r="H40" s="3">
        <f t="shared" si="0"/>
        <v>21984.638252028821</v>
      </c>
      <c r="I40" s="3">
        <f t="shared" si="4"/>
        <v>6206.1600100180294</v>
      </c>
      <c r="J40" s="3">
        <f t="shared" si="5"/>
        <v>15778.478242010791</v>
      </c>
      <c r="K40" s="4">
        <f t="shared" si="6"/>
        <v>0.28229529814734627</v>
      </c>
      <c r="L40" s="4">
        <f t="shared" si="7"/>
        <v>0.71770470185265378</v>
      </c>
      <c r="M40" s="3">
        <f t="shared" si="8"/>
        <v>2518350.3587117088</v>
      </c>
      <c r="N40" s="4">
        <f t="shared" si="1"/>
        <v>7.718931523938849E-2</v>
      </c>
      <c r="O40" s="14">
        <f t="shared" si="2"/>
        <v>2518350.3587117088</v>
      </c>
    </row>
    <row r="41" spans="7:15" x14ac:dyDescent="0.35">
      <c r="G41" s="2">
        <f t="shared" si="3"/>
        <v>39</v>
      </c>
      <c r="H41" s="3">
        <f t="shared" si="0"/>
        <v>21984.638252028821</v>
      </c>
      <c r="I41" s="3">
        <f t="shared" si="4"/>
        <v>6244.9485100806414</v>
      </c>
      <c r="J41" s="3">
        <f t="shared" si="5"/>
        <v>15739.689741948179</v>
      </c>
      <c r="K41" s="4">
        <f t="shared" si="6"/>
        <v>0.28405964376076714</v>
      </c>
      <c r="L41" s="4">
        <f t="shared" si="7"/>
        <v>0.7159403562392328</v>
      </c>
      <c r="M41" s="3">
        <f t="shared" si="8"/>
        <v>2512105.4102016282</v>
      </c>
      <c r="N41" s="4">
        <f t="shared" si="1"/>
        <v>7.9477680395152725E-2</v>
      </c>
      <c r="O41" s="14">
        <f t="shared" si="2"/>
        <v>2512105.4102016282</v>
      </c>
    </row>
    <row r="42" spans="7:15" x14ac:dyDescent="0.35">
      <c r="G42" s="2">
        <f t="shared" si="3"/>
        <v>40</v>
      </c>
      <c r="H42" s="3">
        <f t="shared" si="0"/>
        <v>21984.638252028821</v>
      </c>
      <c r="I42" s="3">
        <f t="shared" si="4"/>
        <v>6283.979438268645</v>
      </c>
      <c r="J42" s="3">
        <f t="shared" si="5"/>
        <v>15700.658813760176</v>
      </c>
      <c r="K42" s="4">
        <f t="shared" si="6"/>
        <v>0.2858350165342719</v>
      </c>
      <c r="L42" s="4">
        <f t="shared" si="7"/>
        <v>0.7141649834657281</v>
      </c>
      <c r="M42" s="3">
        <f t="shared" si="8"/>
        <v>2505821.4307633596</v>
      </c>
      <c r="N42" s="4">
        <f t="shared" si="1"/>
        <v>8.1780347833140477E-2</v>
      </c>
      <c r="O42" s="14">
        <f t="shared" si="2"/>
        <v>2505821.4307633596</v>
      </c>
    </row>
    <row r="43" spans="7:15" x14ac:dyDescent="0.35">
      <c r="G43" s="2">
        <f t="shared" si="3"/>
        <v>41</v>
      </c>
      <c r="H43" s="3">
        <f t="shared" si="0"/>
        <v>21984.638252028821</v>
      </c>
      <c r="I43" s="3">
        <f t="shared" si="4"/>
        <v>6323.2543097578236</v>
      </c>
      <c r="J43" s="3">
        <f t="shared" si="5"/>
        <v>15661.383942270997</v>
      </c>
      <c r="K43" s="4">
        <f t="shared" si="6"/>
        <v>0.28762148538761112</v>
      </c>
      <c r="L43" s="4">
        <f t="shared" si="7"/>
        <v>0.71237851461238888</v>
      </c>
      <c r="M43" s="3">
        <f t="shared" si="8"/>
        <v>2499498.176453602</v>
      </c>
      <c r="N43" s="4">
        <f t="shared" si="1"/>
        <v>8.4097406942615596E-2</v>
      </c>
      <c r="O43" s="14">
        <f t="shared" si="2"/>
        <v>2499498.176453602</v>
      </c>
    </row>
    <row r="44" spans="7:15" x14ac:dyDescent="0.35">
      <c r="G44" s="2">
        <f t="shared" si="3"/>
        <v>42</v>
      </c>
      <c r="H44" s="3">
        <f t="shared" si="0"/>
        <v>21984.638252028821</v>
      </c>
      <c r="I44" s="3">
        <f t="shared" si="4"/>
        <v>6362.7746491938087</v>
      </c>
      <c r="J44" s="3">
        <f t="shared" si="5"/>
        <v>15621.863602835012</v>
      </c>
      <c r="K44" s="4">
        <f t="shared" si="6"/>
        <v>0.28941911967128364</v>
      </c>
      <c r="L44" s="4">
        <f t="shared" si="7"/>
        <v>0.71058088032871636</v>
      </c>
      <c r="M44" s="3">
        <f t="shared" si="8"/>
        <v>2493135.4018044081</v>
      </c>
      <c r="N44" s="4">
        <f t="shared" si="1"/>
        <v>8.6428947671525078E-2</v>
      </c>
      <c r="O44" s="14">
        <f t="shared" si="2"/>
        <v>2493135.4018044081</v>
      </c>
    </row>
    <row r="45" spans="7:15" x14ac:dyDescent="0.35">
      <c r="G45" s="2">
        <f t="shared" si="3"/>
        <v>43</v>
      </c>
      <c r="H45" s="3">
        <f t="shared" si="0"/>
        <v>21984.638252028821</v>
      </c>
      <c r="I45" s="3">
        <f t="shared" si="4"/>
        <v>6402.5419907512714</v>
      </c>
      <c r="J45" s="3">
        <f t="shared" si="5"/>
        <v>15582.096261277549</v>
      </c>
      <c r="K45" s="4">
        <f t="shared" si="6"/>
        <v>0.29122798916922921</v>
      </c>
      <c r="L45" s="4">
        <f t="shared" si="7"/>
        <v>0.70877201083077079</v>
      </c>
      <c r="M45" s="3">
        <f t="shared" si="8"/>
        <v>2486732.8598136567</v>
      </c>
      <c r="N45" s="4">
        <f t="shared" si="1"/>
        <v>8.8775060529990235E-2</v>
      </c>
      <c r="O45" s="14">
        <f t="shared" si="2"/>
        <v>2486732.8598136567</v>
      </c>
    </row>
    <row r="46" spans="7:15" x14ac:dyDescent="0.35">
      <c r="G46" s="2">
        <f t="shared" si="3"/>
        <v>44</v>
      </c>
      <c r="H46" s="3">
        <f t="shared" si="0"/>
        <v>21984.638252028821</v>
      </c>
      <c r="I46" s="3">
        <f t="shared" si="4"/>
        <v>6442.5578781934673</v>
      </c>
      <c r="J46" s="3">
        <f t="shared" si="5"/>
        <v>15542.080373835353</v>
      </c>
      <c r="K46" s="4">
        <f t="shared" si="6"/>
        <v>0.29304816410153689</v>
      </c>
      <c r="L46" s="4">
        <f t="shared" si="7"/>
        <v>0.70695183589846311</v>
      </c>
      <c r="M46" s="3">
        <f t="shared" si="8"/>
        <v>2480290.3019354632</v>
      </c>
      <c r="N46" s="4">
        <f t="shared" si="1"/>
        <v>9.113583659382074E-2</v>
      </c>
      <c r="O46" s="14">
        <f t="shared" si="2"/>
        <v>2480290.3019354632</v>
      </c>
    </row>
    <row r="47" spans="7:15" x14ac:dyDescent="0.35">
      <c r="G47" s="2">
        <f t="shared" si="3"/>
        <v>45</v>
      </c>
      <c r="H47" s="3">
        <f t="shared" si="0"/>
        <v>21984.638252028821</v>
      </c>
      <c r="I47" s="3">
        <f t="shared" si="4"/>
        <v>6482.8238649321775</v>
      </c>
      <c r="J47" s="3">
        <f t="shared" si="5"/>
        <v>15501.814387096643</v>
      </c>
      <c r="K47" s="4">
        <f t="shared" si="6"/>
        <v>0.29487971512717154</v>
      </c>
      <c r="L47" s="4">
        <f t="shared" si="7"/>
        <v>0.70512028487282841</v>
      </c>
      <c r="M47" s="3">
        <f t="shared" si="8"/>
        <v>2473807.478070531</v>
      </c>
      <c r="N47" s="4">
        <f t="shared" si="1"/>
        <v>9.3511367508050183E-2</v>
      </c>
      <c r="O47" s="14">
        <f t="shared" si="2"/>
        <v>2473807.478070531</v>
      </c>
    </row>
    <row r="48" spans="7:15" x14ac:dyDescent="0.35">
      <c r="G48" s="2">
        <f t="shared" si="3"/>
        <v>46</v>
      </c>
      <c r="H48" s="3">
        <f t="shared" si="0"/>
        <v>21984.638252028821</v>
      </c>
      <c r="I48" s="3">
        <f t="shared" si="4"/>
        <v>6523.3415140880024</v>
      </c>
      <c r="J48" s="3">
        <f t="shared" si="5"/>
        <v>15461.296737940818</v>
      </c>
      <c r="K48" s="4">
        <f t="shared" si="6"/>
        <v>0.29672271334671635</v>
      </c>
      <c r="L48" s="4">
        <f t="shared" si="7"/>
        <v>0.70327728665328371</v>
      </c>
      <c r="M48" s="3">
        <f t="shared" si="8"/>
        <v>2467284.1365564428</v>
      </c>
      <c r="N48" s="4">
        <f t="shared" si="1"/>
        <v>9.5901745490493656E-2</v>
      </c>
      <c r="O48" s="14">
        <f t="shared" si="2"/>
        <v>2467284.1365564428</v>
      </c>
    </row>
    <row r="49" spans="7:15" x14ac:dyDescent="0.35">
      <c r="G49" s="2">
        <f t="shared" si="3"/>
        <v>47</v>
      </c>
      <c r="H49" s="3">
        <f t="shared" si="0"/>
        <v>21984.638252028821</v>
      </c>
      <c r="I49" s="3">
        <f t="shared" si="4"/>
        <v>6564.1123985510549</v>
      </c>
      <c r="J49" s="3">
        <f t="shared" si="5"/>
        <v>15420.525853477766</v>
      </c>
      <c r="K49" s="4">
        <f t="shared" si="6"/>
        <v>0.29857723030513339</v>
      </c>
      <c r="L49" s="4">
        <f t="shared" si="7"/>
        <v>0.70142276969486661</v>
      </c>
      <c r="M49" s="3">
        <f t="shared" si="8"/>
        <v>2460720.024157892</v>
      </c>
      <c r="N49" s="4">
        <f t="shared" si="1"/>
        <v>9.8307063335327238E-2</v>
      </c>
      <c r="O49" s="14">
        <f t="shared" si="2"/>
        <v>2460720.024157892</v>
      </c>
    </row>
    <row r="50" spans="7:15" x14ac:dyDescent="0.35">
      <c r="G50" s="2">
        <f t="shared" si="3"/>
        <v>48</v>
      </c>
      <c r="H50" s="3">
        <f t="shared" si="0"/>
        <v>21984.638252028821</v>
      </c>
      <c r="I50" s="3">
        <f t="shared" si="4"/>
        <v>6605.1381010419973</v>
      </c>
      <c r="J50" s="3">
        <f t="shared" si="5"/>
        <v>15379.500150986823</v>
      </c>
      <c r="K50" s="4">
        <f t="shared" si="6"/>
        <v>0.30044333799454043</v>
      </c>
      <c r="L50" s="4">
        <f t="shared" si="7"/>
        <v>0.69955666200545963</v>
      </c>
      <c r="M50" s="3">
        <f t="shared" si="8"/>
        <v>2454114.8860568502</v>
      </c>
      <c r="N50" s="4">
        <f t="shared" si="1"/>
        <v>0.10072741441669102</v>
      </c>
      <c r="O50" s="14">
        <f t="shared" si="2"/>
        <v>2454114.8860568502</v>
      </c>
    </row>
    <row r="51" spans="7:15" x14ac:dyDescent="0.35">
      <c r="G51" s="2">
        <f t="shared" si="3"/>
        <v>49</v>
      </c>
      <c r="H51" s="3">
        <f t="shared" si="0"/>
        <v>21984.638252028821</v>
      </c>
      <c r="I51" s="3">
        <f t="shared" si="4"/>
        <v>6646.4202141735077</v>
      </c>
      <c r="J51" s="3">
        <f t="shared" si="5"/>
        <v>15338.218037855313</v>
      </c>
      <c r="K51" s="4">
        <f t="shared" si="6"/>
        <v>0.30232110885700619</v>
      </c>
      <c r="L51" s="4">
        <f t="shared" si="7"/>
        <v>0.69767889114299375</v>
      </c>
      <c r="M51" s="3">
        <f t="shared" si="8"/>
        <v>2447468.4658426768</v>
      </c>
      <c r="N51" s="4">
        <f t="shared" si="1"/>
        <v>0.10316289269231337</v>
      </c>
      <c r="O51" s="14">
        <f t="shared" si="2"/>
        <v>2447468.4658426768</v>
      </c>
    </row>
    <row r="52" spans="7:15" x14ac:dyDescent="0.35">
      <c r="G52" s="2">
        <f t="shared" si="3"/>
        <v>50</v>
      </c>
      <c r="H52" s="3">
        <f t="shared" si="0"/>
        <v>21984.638252028821</v>
      </c>
      <c r="I52" s="3">
        <f t="shared" si="4"/>
        <v>6687.9603405120924</v>
      </c>
      <c r="J52" s="3">
        <f t="shared" si="5"/>
        <v>15296.677911516728</v>
      </c>
      <c r="K52" s="4">
        <f t="shared" si="6"/>
        <v>0.30421061578736253</v>
      </c>
      <c r="L52" s="4">
        <f t="shared" si="7"/>
        <v>0.69578938421263747</v>
      </c>
      <c r="M52" s="3">
        <f t="shared" si="8"/>
        <v>2440780.5055021648</v>
      </c>
      <c r="N52" s="4">
        <f t="shared" si="1"/>
        <v>0.10561359270715837</v>
      </c>
      <c r="O52" s="14">
        <f t="shared" si="2"/>
        <v>2440780.5055021648</v>
      </c>
    </row>
    <row r="53" spans="7:15" x14ac:dyDescent="0.35">
      <c r="G53" s="2">
        <f t="shared" si="3"/>
        <v>51</v>
      </c>
      <c r="H53" s="3">
        <f t="shared" si="0"/>
        <v>21984.638252028821</v>
      </c>
      <c r="I53" s="3">
        <f t="shared" si="4"/>
        <v>6729.760092640292</v>
      </c>
      <c r="J53" s="3">
        <f t="shared" si="5"/>
        <v>15254.878159388529</v>
      </c>
      <c r="K53" s="4">
        <f t="shared" si="6"/>
        <v>0.30611193213603349</v>
      </c>
      <c r="L53" s="4">
        <f t="shared" si="7"/>
        <v>0.69388806786396651</v>
      </c>
      <c r="M53" s="3">
        <f t="shared" si="8"/>
        <v>2434050.7454095245</v>
      </c>
      <c r="N53" s="4">
        <f t="shared" si="1"/>
        <v>0.10807960959709617</v>
      </c>
      <c r="O53" s="14">
        <f t="shared" si="2"/>
        <v>2434050.7454095245</v>
      </c>
    </row>
    <row r="54" spans="7:15" x14ac:dyDescent="0.35">
      <c r="G54" s="2">
        <f t="shared" si="3"/>
        <v>52</v>
      </c>
      <c r="H54" s="3">
        <f t="shared" si="0"/>
        <v>21984.638252028821</v>
      </c>
      <c r="I54" s="3">
        <f t="shared" si="4"/>
        <v>6771.8210932192942</v>
      </c>
      <c r="J54" s="3">
        <f t="shared" si="5"/>
        <v>15212.817158809527</v>
      </c>
      <c r="K54" s="4">
        <f t="shared" si="6"/>
        <v>0.30802513171188373</v>
      </c>
      <c r="L54" s="4">
        <f t="shared" si="7"/>
        <v>0.69197486828811627</v>
      </c>
      <c r="M54" s="3">
        <f t="shared" si="8"/>
        <v>2427278.9243163052</v>
      </c>
      <c r="N54" s="4">
        <f t="shared" si="1"/>
        <v>0.11056103909259611</v>
      </c>
      <c r="O54" s="14">
        <f t="shared" si="2"/>
        <v>2427278.9243163052</v>
      </c>
    </row>
    <row r="55" spans="7:15" x14ac:dyDescent="0.35">
      <c r="G55" s="2">
        <f t="shared" si="3"/>
        <v>53</v>
      </c>
      <c r="H55" s="3">
        <f t="shared" si="0"/>
        <v>21984.638252028821</v>
      </c>
      <c r="I55" s="3">
        <f t="shared" si="4"/>
        <v>6814.144975051915</v>
      </c>
      <c r="J55" s="3">
        <f t="shared" si="5"/>
        <v>15170.493276976906</v>
      </c>
      <c r="K55" s="4">
        <f t="shared" si="6"/>
        <v>0.30995028878508296</v>
      </c>
      <c r="L55" s="4">
        <f t="shared" si="7"/>
        <v>0.69004971121491698</v>
      </c>
      <c r="M55" s="3">
        <f t="shared" si="8"/>
        <v>2420464.7793412535</v>
      </c>
      <c r="N55" s="4">
        <f t="shared" si="1"/>
        <v>0.11305797752244286</v>
      </c>
      <c r="O55" s="14">
        <f t="shared" si="2"/>
        <v>2420464.7793412535</v>
      </c>
    </row>
    <row r="56" spans="7:15" x14ac:dyDescent="0.35">
      <c r="G56" s="2">
        <f t="shared" si="3"/>
        <v>54</v>
      </c>
      <c r="H56" s="3">
        <f t="shared" si="0"/>
        <v>21984.638252028821</v>
      </c>
      <c r="I56" s="3">
        <f t="shared" si="4"/>
        <v>6856.7333811459885</v>
      </c>
      <c r="J56" s="3">
        <f t="shared" si="5"/>
        <v>15127.904870882832</v>
      </c>
      <c r="K56" s="4">
        <f t="shared" si="6"/>
        <v>0.31188747808998973</v>
      </c>
      <c r="L56" s="4">
        <f t="shared" si="7"/>
        <v>0.68811252191001027</v>
      </c>
      <c r="M56" s="3">
        <f t="shared" si="8"/>
        <v>2413608.0459601074</v>
      </c>
      <c r="N56" s="4">
        <f t="shared" si="1"/>
        <v>0.11557052181747623</v>
      </c>
      <c r="O56" s="14">
        <f t="shared" si="2"/>
        <v>2413608.0459601074</v>
      </c>
    </row>
    <row r="57" spans="7:15" x14ac:dyDescent="0.35">
      <c r="G57" s="2">
        <f t="shared" si="3"/>
        <v>55</v>
      </c>
      <c r="H57" s="3">
        <f t="shared" si="0"/>
        <v>21984.638252028821</v>
      </c>
      <c r="I57" s="3">
        <f t="shared" si="4"/>
        <v>6899.5879647781512</v>
      </c>
      <c r="J57" s="3">
        <f t="shared" si="5"/>
        <v>15085.050287250669</v>
      </c>
      <c r="K57" s="4">
        <f t="shared" si="6"/>
        <v>0.31383677482805217</v>
      </c>
      <c r="L57" s="4">
        <f t="shared" si="7"/>
        <v>0.68616322517194783</v>
      </c>
      <c r="M57" s="3">
        <f t="shared" si="8"/>
        <v>2406708.4579953291</v>
      </c>
      <c r="N57" s="4">
        <f t="shared" si="1"/>
        <v>0.11809876951435359</v>
      </c>
      <c r="O57" s="14">
        <f t="shared" si="2"/>
        <v>2406708.4579953291</v>
      </c>
    </row>
    <row r="58" spans="7:15" x14ac:dyDescent="0.35">
      <c r="G58" s="2">
        <f t="shared" si="3"/>
        <v>56</v>
      </c>
      <c r="H58" s="3">
        <f t="shared" si="0"/>
        <v>21984.638252028821</v>
      </c>
      <c r="I58" s="3">
        <f t="shared" si="4"/>
        <v>6942.7103895580149</v>
      </c>
      <c r="J58" s="3">
        <f t="shared" si="5"/>
        <v>15041.927862470806</v>
      </c>
      <c r="K58" s="4">
        <f t="shared" si="6"/>
        <v>0.31579825467072747</v>
      </c>
      <c r="L58" s="4">
        <f t="shared" si="7"/>
        <v>0.68420174532927247</v>
      </c>
      <c r="M58" s="3">
        <f t="shared" si="8"/>
        <v>2399765.7476057708</v>
      </c>
      <c r="N58" s="4">
        <f t="shared" si="1"/>
        <v>0.12064281875933645</v>
      </c>
      <c r="O58" s="14">
        <f t="shared" si="2"/>
        <v>2399765.7476057708</v>
      </c>
    </row>
    <row r="59" spans="7:15" x14ac:dyDescent="0.35">
      <c r="G59" s="2">
        <f t="shared" si="3"/>
        <v>57</v>
      </c>
      <c r="H59" s="3">
        <f t="shared" si="0"/>
        <v>21984.638252028821</v>
      </c>
      <c r="I59" s="3">
        <f t="shared" si="4"/>
        <v>6986.1023294927545</v>
      </c>
      <c r="J59" s="3">
        <f t="shared" si="5"/>
        <v>14998.535922536066</v>
      </c>
      <c r="K59" s="4">
        <f t="shared" si="6"/>
        <v>0.31777199376241966</v>
      </c>
      <c r="L59" s="4">
        <f t="shared" si="7"/>
        <v>0.6822280062375804</v>
      </c>
      <c r="M59" s="3">
        <f t="shared" si="8"/>
        <v>2392779.6452762783</v>
      </c>
      <c r="N59" s="4">
        <f t="shared" si="1"/>
        <v>0.12320276831210031</v>
      </c>
      <c r="O59" s="14">
        <f t="shared" si="2"/>
        <v>2392779.6452762783</v>
      </c>
    </row>
    <row r="60" spans="7:15" x14ac:dyDescent="0.35">
      <c r="G60" s="2">
        <f t="shared" si="3"/>
        <v>58</v>
      </c>
      <c r="H60" s="3">
        <f t="shared" si="0"/>
        <v>21984.638252028821</v>
      </c>
      <c r="I60" s="3">
        <f t="shared" si="4"/>
        <v>7029.7654690520831</v>
      </c>
      <c r="J60" s="3">
        <f t="shared" si="5"/>
        <v>14954.872782976738</v>
      </c>
      <c r="K60" s="4">
        <f t="shared" si="6"/>
        <v>0.31975806872343471</v>
      </c>
      <c r="L60" s="4">
        <f t="shared" si="7"/>
        <v>0.68024193127656529</v>
      </c>
      <c r="M60" s="3">
        <f t="shared" si="8"/>
        <v>2385749.8798072264</v>
      </c>
      <c r="N60" s="4">
        <f t="shared" si="1"/>
        <v>0.12577871754956893</v>
      </c>
      <c r="O60" s="14">
        <f t="shared" si="2"/>
        <v>2385749.8798072264</v>
      </c>
    </row>
    <row r="61" spans="7:15" x14ac:dyDescent="0.35">
      <c r="G61" s="2">
        <f t="shared" si="3"/>
        <v>59</v>
      </c>
      <c r="H61" s="3">
        <f t="shared" si="0"/>
        <v>21984.638252028821</v>
      </c>
      <c r="I61" s="3">
        <f t="shared" si="4"/>
        <v>7073.7015032336567</v>
      </c>
      <c r="J61" s="3">
        <f t="shared" si="5"/>
        <v>14910.936748795164</v>
      </c>
      <c r="K61" s="4">
        <f t="shared" si="6"/>
        <v>0.3217565566529561</v>
      </c>
      <c r="L61" s="4">
        <f t="shared" si="7"/>
        <v>0.6782434433470439</v>
      </c>
      <c r="M61" s="3">
        <f t="shared" si="8"/>
        <v>2378676.1783039928</v>
      </c>
      <c r="N61" s="4">
        <f t="shared" si="1"/>
        <v>0.12837076646977177</v>
      </c>
      <c r="O61" s="14">
        <f t="shared" si="2"/>
        <v>2378676.1783039928</v>
      </c>
    </row>
    <row r="62" spans="7:15" x14ac:dyDescent="0.35">
      <c r="G62" s="2">
        <f t="shared" si="3"/>
        <v>60</v>
      </c>
      <c r="H62" s="3">
        <f t="shared" si="0"/>
        <v>21984.638252028821</v>
      </c>
      <c r="I62" s="3">
        <f t="shared" si="4"/>
        <v>7117.9121376288658</v>
      </c>
      <c r="J62" s="3">
        <f t="shared" si="5"/>
        <v>14866.726114399955</v>
      </c>
      <c r="K62" s="4">
        <f t="shared" si="6"/>
        <v>0.32376753513203699</v>
      </c>
      <c r="L62" s="4">
        <f t="shared" si="7"/>
        <v>0.67623246486796296</v>
      </c>
      <c r="M62" s="3">
        <f t="shared" si="8"/>
        <v>2371558.2661663638</v>
      </c>
      <c r="N62" s="4">
        <f t="shared" si="1"/>
        <v>0.13097901569572595</v>
      </c>
      <c r="O62" s="14">
        <f t="shared" si="2"/>
        <v>2371558.2661663638</v>
      </c>
    </row>
    <row r="63" spans="7:15" x14ac:dyDescent="0.35">
      <c r="G63" s="2">
        <f t="shared" si="3"/>
        <v>61</v>
      </c>
      <c r="H63" s="3">
        <f t="shared" si="0"/>
        <v>21984.638252028821</v>
      </c>
      <c r="I63" s="3">
        <f t="shared" si="4"/>
        <v>7162.3990884890482</v>
      </c>
      <c r="J63" s="3">
        <f t="shared" si="5"/>
        <v>14822.239163539773</v>
      </c>
      <c r="K63" s="4">
        <f t="shared" si="6"/>
        <v>0.32579108222661235</v>
      </c>
      <c r="L63" s="4">
        <f t="shared" si="7"/>
        <v>0.67420891777338765</v>
      </c>
      <c r="M63" s="3">
        <f t="shared" si="8"/>
        <v>2364395.867077875</v>
      </c>
      <c r="N63" s="4">
        <f t="shared" si="1"/>
        <v>0.13360356647934227</v>
      </c>
      <c r="O63" s="14">
        <f t="shared" si="2"/>
        <v>2364395.867077875</v>
      </c>
    </row>
    <row r="64" spans="7:15" x14ac:dyDescent="0.35">
      <c r="G64" s="2">
        <f t="shared" si="3"/>
        <v>62</v>
      </c>
      <c r="H64" s="3">
        <f t="shared" si="0"/>
        <v>21984.638252028821</v>
      </c>
      <c r="I64" s="3">
        <f t="shared" si="4"/>
        <v>7207.1640827921037</v>
      </c>
      <c r="J64" s="3">
        <f t="shared" si="5"/>
        <v>14777.474169236717</v>
      </c>
      <c r="K64" s="4">
        <f t="shared" si="6"/>
        <v>0.32782727649052862</v>
      </c>
      <c r="L64" s="4">
        <f t="shared" si="7"/>
        <v>0.67217272350947144</v>
      </c>
      <c r="M64" s="3">
        <f t="shared" si="8"/>
        <v>2357188.7029950828</v>
      </c>
      <c r="N64" s="4">
        <f t="shared" si="1"/>
        <v>0.13624452070535623</v>
      </c>
      <c r="O64" s="14">
        <f t="shared" si="2"/>
        <v>2357188.7029950828</v>
      </c>
    </row>
    <row r="65" spans="7:15" x14ac:dyDescent="0.35">
      <c r="G65" s="2">
        <f t="shared" si="3"/>
        <v>63</v>
      </c>
      <c r="H65" s="3">
        <f t="shared" si="0"/>
        <v>21984.638252028821</v>
      </c>
      <c r="I65" s="3">
        <f t="shared" si="4"/>
        <v>7252.2088583095538</v>
      </c>
      <c r="J65" s="3">
        <f t="shared" si="5"/>
        <v>14732.429393719267</v>
      </c>
      <c r="K65" s="4">
        <f t="shared" si="6"/>
        <v>0.32987619696859438</v>
      </c>
      <c r="L65" s="4">
        <f t="shared" si="7"/>
        <v>0.67012380303140562</v>
      </c>
      <c r="M65" s="3">
        <f t="shared" si="8"/>
        <v>2349936.494136773</v>
      </c>
      <c r="N65" s="4">
        <f t="shared" si="1"/>
        <v>0.13890198089528286</v>
      </c>
      <c r="O65" s="14">
        <f t="shared" si="2"/>
        <v>2349936.494136773</v>
      </c>
    </row>
    <row r="66" spans="7:15" x14ac:dyDescent="0.35">
      <c r="G66" s="2">
        <f t="shared" si="3"/>
        <v>64</v>
      </c>
      <c r="H66" s="3">
        <f t="shared" si="0"/>
        <v>21984.638252028821</v>
      </c>
      <c r="I66" s="3">
        <f t="shared" si="4"/>
        <v>7297.5351636739906</v>
      </c>
      <c r="J66" s="3">
        <f t="shared" si="5"/>
        <v>14687.10308835483</v>
      </c>
      <c r="K66" s="4">
        <f t="shared" si="6"/>
        <v>0.33193792319964821</v>
      </c>
      <c r="L66" s="4">
        <f t="shared" si="7"/>
        <v>0.66806207680035179</v>
      </c>
      <c r="M66" s="3">
        <f t="shared" si="8"/>
        <v>2342638.958973099</v>
      </c>
      <c r="N66" s="4">
        <f t="shared" si="1"/>
        <v>0.14157605021139646</v>
      </c>
      <c r="O66" s="14">
        <f t="shared" si="2"/>
        <v>2342638.958973099</v>
      </c>
    </row>
    <row r="67" spans="7:15" x14ac:dyDescent="0.35">
      <c r="G67" s="2">
        <f t="shared" si="3"/>
        <v>65</v>
      </c>
      <c r="H67" s="3">
        <f t="shared" ref="H67:H122" si="9">$C$7</f>
        <v>21984.638252028821</v>
      </c>
      <c r="I67" s="3">
        <f t="shared" si="4"/>
        <v>7343.1447584469533</v>
      </c>
      <c r="J67" s="3">
        <f t="shared" si="5"/>
        <v>14641.493493581867</v>
      </c>
      <c r="K67" s="4">
        <f t="shared" si="6"/>
        <v>0.33401253521964602</v>
      </c>
      <c r="L67" s="4">
        <f t="shared" si="7"/>
        <v>0.66598746478035398</v>
      </c>
      <c r="M67" s="3">
        <f t="shared" si="8"/>
        <v>2335295.8142146519</v>
      </c>
      <c r="N67" s="4">
        <f t="shared" ref="N67:N122" si="10">($C$3-M67)/$C$3</f>
        <v>0.14426683246073582</v>
      </c>
      <c r="O67" s="14">
        <f t="shared" si="2"/>
        <v>2335295.8142146519</v>
      </c>
    </row>
    <row r="68" spans="7:15" x14ac:dyDescent="0.35">
      <c r="G68" s="2">
        <f t="shared" si="3"/>
        <v>66</v>
      </c>
      <c r="H68" s="3">
        <f t="shared" si="9"/>
        <v>21984.638252028821</v>
      </c>
      <c r="I68" s="3">
        <f t="shared" si="4"/>
        <v>7389.0394131872472</v>
      </c>
      <c r="J68" s="3">
        <f t="shared" si="5"/>
        <v>14595.598838841574</v>
      </c>
      <c r="K68" s="4">
        <f t="shared" si="6"/>
        <v>0.33610011356476882</v>
      </c>
      <c r="L68" s="4">
        <f t="shared" si="7"/>
        <v>0.66389988643523123</v>
      </c>
      <c r="M68" s="3">
        <f t="shared" si="8"/>
        <v>2327906.7748014648</v>
      </c>
      <c r="N68" s="4">
        <f t="shared" si="10"/>
        <v>0.14697443209913347</v>
      </c>
      <c r="O68" s="14">
        <f t="shared" ref="O68:O122" si="11">O67-I68</f>
        <v>2327906.7748014648</v>
      </c>
    </row>
    <row r="69" spans="7:15" x14ac:dyDescent="0.35">
      <c r="G69" s="2">
        <f t="shared" ref="G69:G122" si="12">G68+1</f>
        <v>67</v>
      </c>
      <c r="H69" s="3">
        <f t="shared" si="9"/>
        <v>21984.638252028821</v>
      </c>
      <c r="I69" s="3">
        <f t="shared" ref="I69:I122" si="13">H69-J69</f>
        <v>7435.2209095196667</v>
      </c>
      <c r="J69" s="3">
        <f t="shared" ref="J69:J122" si="14">$D$2*M68</f>
        <v>14549.417342509154</v>
      </c>
      <c r="K69" s="4">
        <f t="shared" ref="K69:K122" si="15">I69/H69</f>
        <v>0.33820073927454858</v>
      </c>
      <c r="L69" s="4">
        <f t="shared" ref="L69:L122" si="16">J69/H69</f>
        <v>0.66179926072545137</v>
      </c>
      <c r="M69" s="3">
        <f t="shared" ref="M69:M122" si="17">M68-I69</f>
        <v>2320471.5538919452</v>
      </c>
      <c r="N69" s="4">
        <f t="shared" si="10"/>
        <v>0.1496989542352711</v>
      </c>
      <c r="O69" s="14">
        <f t="shared" si="11"/>
        <v>2320471.5538919452</v>
      </c>
    </row>
    <row r="70" spans="7:15" x14ac:dyDescent="0.35">
      <c r="G70" s="2">
        <f t="shared" si="12"/>
        <v>68</v>
      </c>
      <c r="H70" s="3">
        <f t="shared" si="9"/>
        <v>21984.638252028821</v>
      </c>
      <c r="I70" s="3">
        <f t="shared" si="13"/>
        <v>7481.6910402041649</v>
      </c>
      <c r="J70" s="3">
        <f t="shared" si="14"/>
        <v>14502.947211824656</v>
      </c>
      <c r="K70" s="4">
        <f t="shared" si="15"/>
        <v>0.3403144938950145</v>
      </c>
      <c r="L70" s="4">
        <f t="shared" si="16"/>
        <v>0.65968550610498544</v>
      </c>
      <c r="M70" s="3">
        <f t="shared" si="17"/>
        <v>2312989.8628517408</v>
      </c>
      <c r="N70" s="4">
        <f t="shared" si="10"/>
        <v>0.15244050463475969</v>
      </c>
      <c r="O70" s="14">
        <f t="shared" si="11"/>
        <v>2312989.8628517408</v>
      </c>
    </row>
    <row r="71" spans="7:15" x14ac:dyDescent="0.35">
      <c r="G71" s="2">
        <f t="shared" si="12"/>
        <v>69</v>
      </c>
      <c r="H71" s="3">
        <f t="shared" si="9"/>
        <v>21984.638252028821</v>
      </c>
      <c r="I71" s="3">
        <f t="shared" si="13"/>
        <v>7528.4516092054419</v>
      </c>
      <c r="J71" s="3">
        <f t="shared" si="14"/>
        <v>14456.186642823379</v>
      </c>
      <c r="K71" s="4">
        <f t="shared" si="15"/>
        <v>0.34244145948185839</v>
      </c>
      <c r="L71" s="4">
        <f t="shared" si="16"/>
        <v>0.65755854051814155</v>
      </c>
      <c r="M71" s="3">
        <f t="shared" si="17"/>
        <v>2305461.4112425353</v>
      </c>
      <c r="N71" s="4">
        <f t="shared" si="10"/>
        <v>0.15519918972424501</v>
      </c>
      <c r="O71" s="14">
        <f t="shared" si="11"/>
        <v>2305461.4112425353</v>
      </c>
    </row>
    <row r="72" spans="7:15" x14ac:dyDescent="0.35">
      <c r="G72" s="2">
        <f t="shared" si="12"/>
        <v>70</v>
      </c>
      <c r="H72" s="3">
        <f t="shared" si="9"/>
        <v>21984.638252028821</v>
      </c>
      <c r="I72" s="3">
        <f t="shared" si="13"/>
        <v>7575.5044317629763</v>
      </c>
      <c r="J72" s="3">
        <f t="shared" si="14"/>
        <v>14409.133820265844</v>
      </c>
      <c r="K72" s="4">
        <f t="shared" si="15"/>
        <v>0.34458171860362002</v>
      </c>
      <c r="L72" s="4">
        <f t="shared" si="16"/>
        <v>0.65541828139637992</v>
      </c>
      <c r="M72" s="3">
        <f t="shared" si="17"/>
        <v>2297885.9068107721</v>
      </c>
      <c r="N72" s="4">
        <f t="shared" si="10"/>
        <v>0.1579751165955397</v>
      </c>
      <c r="O72" s="14">
        <f t="shared" si="11"/>
        <v>2297885.9068107721</v>
      </c>
    </row>
    <row r="73" spans="7:15" x14ac:dyDescent="0.35">
      <c r="G73" s="2">
        <f t="shared" si="12"/>
        <v>71</v>
      </c>
      <c r="H73" s="3">
        <f t="shared" si="9"/>
        <v>21984.638252028821</v>
      </c>
      <c r="I73" s="3">
        <f t="shared" si="13"/>
        <v>7622.8513344614967</v>
      </c>
      <c r="J73" s="3">
        <f t="shared" si="14"/>
        <v>14361.786917567324</v>
      </c>
      <c r="K73" s="4">
        <f t="shared" si="15"/>
        <v>0.34673535434489272</v>
      </c>
      <c r="L73" s="4">
        <f t="shared" si="16"/>
        <v>0.65326464565510722</v>
      </c>
      <c r="M73" s="3">
        <f t="shared" si="17"/>
        <v>2290263.0554763107</v>
      </c>
      <c r="N73" s="4">
        <f t="shared" si="10"/>
        <v>0.16076839300977991</v>
      </c>
      <c r="O73" s="14">
        <f t="shared" si="11"/>
        <v>2290263.0554763107</v>
      </c>
    </row>
    <row r="74" spans="7:15" x14ac:dyDescent="0.35">
      <c r="G74" s="2">
        <f t="shared" si="12"/>
        <v>72</v>
      </c>
      <c r="H74" s="3">
        <f t="shared" si="9"/>
        <v>21984.638252028821</v>
      </c>
      <c r="I74" s="3">
        <f t="shared" si="13"/>
        <v>7670.4941553018798</v>
      </c>
      <c r="J74" s="3">
        <f t="shared" si="14"/>
        <v>14314.144096726941</v>
      </c>
      <c r="K74" s="4">
        <f t="shared" si="15"/>
        <v>0.34890245030954825</v>
      </c>
      <c r="L74" s="4">
        <f t="shared" si="16"/>
        <v>0.65109754969045175</v>
      </c>
      <c r="M74" s="3">
        <f t="shared" si="17"/>
        <v>2282592.561321009</v>
      </c>
      <c r="N74" s="4">
        <f t="shared" si="10"/>
        <v>0.16357912740160904</v>
      </c>
      <c r="O74" s="14">
        <f t="shared" si="11"/>
        <v>2282592.561321009</v>
      </c>
    </row>
    <row r="75" spans="7:15" x14ac:dyDescent="0.35">
      <c r="G75" s="2">
        <f t="shared" si="12"/>
        <v>73</v>
      </c>
      <c r="H75" s="3">
        <f t="shared" si="9"/>
        <v>21984.638252028821</v>
      </c>
      <c r="I75" s="3">
        <f t="shared" si="13"/>
        <v>7718.4347437725155</v>
      </c>
      <c r="J75" s="3">
        <f t="shared" si="14"/>
        <v>14266.203508256305</v>
      </c>
      <c r="K75" s="4">
        <f t="shared" si="15"/>
        <v>0.35108309062398291</v>
      </c>
      <c r="L75" s="4">
        <f t="shared" si="16"/>
        <v>0.64891690937601709</v>
      </c>
      <c r="M75" s="3">
        <f t="shared" si="17"/>
        <v>2274874.1265772362</v>
      </c>
      <c r="N75" s="4">
        <f t="shared" si="10"/>
        <v>0.16640742888338725</v>
      </c>
      <c r="O75" s="14">
        <f t="shared" si="11"/>
        <v>2274874.1265772362</v>
      </c>
    </row>
    <row r="76" spans="7:15" x14ac:dyDescent="0.35">
      <c r="G76" s="2">
        <f t="shared" si="12"/>
        <v>74</v>
      </c>
      <c r="H76" s="3">
        <f t="shared" si="9"/>
        <v>21984.638252028821</v>
      </c>
      <c r="I76" s="3">
        <f t="shared" si="13"/>
        <v>7766.6749609210947</v>
      </c>
      <c r="J76" s="3">
        <f t="shared" si="14"/>
        <v>14217.963291107726</v>
      </c>
      <c r="K76" s="4">
        <f t="shared" si="15"/>
        <v>0.35327735994038284</v>
      </c>
      <c r="L76" s="4">
        <f t="shared" si="16"/>
        <v>0.64672264005961722</v>
      </c>
      <c r="M76" s="3">
        <f t="shared" si="17"/>
        <v>2267107.4516163152</v>
      </c>
      <c r="N76" s="4">
        <f t="shared" si="10"/>
        <v>0.16925340724942647</v>
      </c>
      <c r="O76" s="14">
        <f t="shared" si="11"/>
        <v>2267107.4516163152</v>
      </c>
    </row>
    <row r="77" spans="7:15" x14ac:dyDescent="0.35">
      <c r="G77" s="2">
        <f t="shared" si="12"/>
        <v>75</v>
      </c>
      <c r="H77" s="3">
        <f t="shared" si="9"/>
        <v>21984.638252028821</v>
      </c>
      <c r="I77" s="3">
        <f t="shared" si="13"/>
        <v>7815.2166794268524</v>
      </c>
      <c r="J77" s="3">
        <f t="shared" si="14"/>
        <v>14169.421572601968</v>
      </c>
      <c r="K77" s="4">
        <f t="shared" si="15"/>
        <v>0.35548534344001026</v>
      </c>
      <c r="L77" s="4">
        <f t="shared" si="16"/>
        <v>0.64451465655998974</v>
      </c>
      <c r="M77" s="3">
        <f t="shared" si="17"/>
        <v>2259292.2349368883</v>
      </c>
      <c r="N77" s="4">
        <f t="shared" si="10"/>
        <v>0.17211717298025345</v>
      </c>
      <c r="O77" s="14">
        <f t="shared" si="11"/>
        <v>2259292.2349368883</v>
      </c>
    </row>
    <row r="78" spans="7:15" x14ac:dyDescent="0.35">
      <c r="G78" s="2">
        <f t="shared" si="12"/>
        <v>76</v>
      </c>
      <c r="H78" s="3">
        <f t="shared" si="9"/>
        <v>21984.638252028821</v>
      </c>
      <c r="I78" s="3">
        <f t="shared" si="13"/>
        <v>7864.061783673269</v>
      </c>
      <c r="J78" s="3">
        <f t="shared" si="14"/>
        <v>14120.576468355552</v>
      </c>
      <c r="K78" s="4">
        <f t="shared" si="15"/>
        <v>0.35770712683651029</v>
      </c>
      <c r="L78" s="4">
        <f t="shared" si="16"/>
        <v>0.64229287316348971</v>
      </c>
      <c r="M78" s="3">
        <f t="shared" si="17"/>
        <v>2251428.1731532151</v>
      </c>
      <c r="N78" s="4">
        <f t="shared" si="10"/>
        <v>0.1749988372468981</v>
      </c>
      <c r="O78" s="14">
        <f t="shared" si="11"/>
        <v>2251428.1731532151</v>
      </c>
    </row>
    <row r="79" spans="7:15" x14ac:dyDescent="0.35">
      <c r="G79" s="2">
        <f t="shared" si="12"/>
        <v>77</v>
      </c>
      <c r="H79" s="3">
        <f t="shared" si="9"/>
        <v>21984.638252028821</v>
      </c>
      <c r="I79" s="3">
        <f t="shared" si="13"/>
        <v>7913.2121698212268</v>
      </c>
      <c r="J79" s="3">
        <f t="shared" si="14"/>
        <v>14071.426082207594</v>
      </c>
      <c r="K79" s="4">
        <f t="shared" si="15"/>
        <v>0.35994279637923848</v>
      </c>
      <c r="L79" s="4">
        <f t="shared" si="16"/>
        <v>0.64005720362076157</v>
      </c>
      <c r="M79" s="3">
        <f t="shared" si="17"/>
        <v>2243514.9609833937</v>
      </c>
      <c r="N79" s="4">
        <f t="shared" si="10"/>
        <v>0.17789851191520933</v>
      </c>
      <c r="O79" s="14">
        <f t="shared" si="11"/>
        <v>2243514.9609833937</v>
      </c>
    </row>
    <row r="80" spans="7:15" x14ac:dyDescent="0.35">
      <c r="G80" s="2">
        <f t="shared" si="12"/>
        <v>78</v>
      </c>
      <c r="H80" s="3">
        <f t="shared" si="9"/>
        <v>21984.638252028821</v>
      </c>
      <c r="I80" s="3">
        <f t="shared" si="13"/>
        <v>7962.6697458826111</v>
      </c>
      <c r="J80" s="3">
        <f t="shared" si="14"/>
        <v>14021.96850614621</v>
      </c>
      <c r="K80" s="4">
        <f t="shared" si="15"/>
        <v>0.36219243885660879</v>
      </c>
      <c r="L80" s="4">
        <f t="shared" si="16"/>
        <v>0.63780756114339121</v>
      </c>
      <c r="M80" s="3">
        <f t="shared" si="17"/>
        <v>2235552.2912375112</v>
      </c>
      <c r="N80" s="4">
        <f t="shared" si="10"/>
        <v>0.18081630955019742</v>
      </c>
      <c r="O80" s="14">
        <f t="shared" si="11"/>
        <v>2235552.2912375112</v>
      </c>
    </row>
    <row r="81" spans="7:15" x14ac:dyDescent="0.35">
      <c r="G81" s="2">
        <f t="shared" si="12"/>
        <v>79</v>
      </c>
      <c r="H81" s="3">
        <f t="shared" si="9"/>
        <v>21984.638252028821</v>
      </c>
      <c r="I81" s="3">
        <f t="shared" si="13"/>
        <v>8012.4364317943764</v>
      </c>
      <c r="J81" s="3">
        <f t="shared" si="14"/>
        <v>13972.201820234444</v>
      </c>
      <c r="K81" s="4">
        <f t="shared" si="15"/>
        <v>0.36445614159946255</v>
      </c>
      <c r="L81" s="4">
        <f t="shared" si="16"/>
        <v>0.63554385840053751</v>
      </c>
      <c r="M81" s="3">
        <f t="shared" si="17"/>
        <v>2227539.8548057168</v>
      </c>
      <c r="N81" s="4">
        <f t="shared" si="10"/>
        <v>0.18375234342040425</v>
      </c>
      <c r="O81" s="14">
        <f t="shared" si="11"/>
        <v>2227539.8548057168</v>
      </c>
    </row>
    <row r="82" spans="7:15" x14ac:dyDescent="0.35">
      <c r="G82" s="2">
        <f t="shared" si="12"/>
        <v>80</v>
      </c>
      <c r="H82" s="3">
        <f t="shared" si="9"/>
        <v>21984.638252028821</v>
      </c>
      <c r="I82" s="3">
        <f t="shared" si="13"/>
        <v>8062.5141594930919</v>
      </c>
      <c r="J82" s="3">
        <f t="shared" si="14"/>
        <v>13922.124092535729</v>
      </c>
      <c r="K82" s="4">
        <f t="shared" si="15"/>
        <v>0.3667339924844592</v>
      </c>
      <c r="L82" s="4">
        <f t="shared" si="16"/>
        <v>0.63326600751554074</v>
      </c>
      <c r="M82" s="3">
        <f t="shared" si="17"/>
        <v>2219477.3406462236</v>
      </c>
      <c r="N82" s="4">
        <f t="shared" si="10"/>
        <v>0.18670672750229989</v>
      </c>
      <c r="O82" s="14">
        <f t="shared" si="11"/>
        <v>2219477.3406462236</v>
      </c>
    </row>
    <row r="83" spans="7:15" x14ac:dyDescent="0.35">
      <c r="G83" s="2">
        <f t="shared" si="12"/>
        <v>81</v>
      </c>
      <c r="H83" s="3">
        <f t="shared" si="9"/>
        <v>21984.638252028821</v>
      </c>
      <c r="I83" s="3">
        <f t="shared" si="13"/>
        <v>8112.9048729899241</v>
      </c>
      <c r="J83" s="3">
        <f t="shared" si="14"/>
        <v>13871.733379038897</v>
      </c>
      <c r="K83" s="4">
        <f t="shared" si="15"/>
        <v>0.36902607993748709</v>
      </c>
      <c r="L83" s="4">
        <f t="shared" si="16"/>
        <v>0.63097392006251296</v>
      </c>
      <c r="M83" s="3">
        <f t="shared" si="17"/>
        <v>2211364.4357732339</v>
      </c>
      <c r="N83" s="4">
        <f t="shared" si="10"/>
        <v>0.18967957648470726</v>
      </c>
      <c r="O83" s="14">
        <f t="shared" si="11"/>
        <v>2211364.4357732339</v>
      </c>
    </row>
    <row r="84" spans="7:15" x14ac:dyDescent="0.35">
      <c r="G84" s="2">
        <f t="shared" si="12"/>
        <v>82</v>
      </c>
      <c r="H84" s="3">
        <f t="shared" si="9"/>
        <v>21984.638252028821</v>
      </c>
      <c r="I84" s="3">
        <f t="shared" si="13"/>
        <v>8163.61052844611</v>
      </c>
      <c r="J84" s="3">
        <f t="shared" si="14"/>
        <v>13821.027723582711</v>
      </c>
      <c r="K84" s="4">
        <f t="shared" si="15"/>
        <v>0.37133249293709636</v>
      </c>
      <c r="L84" s="4">
        <f t="shared" si="16"/>
        <v>0.62866750706290364</v>
      </c>
      <c r="M84" s="3">
        <f t="shared" si="17"/>
        <v>2203200.8252447876</v>
      </c>
      <c r="N84" s="4">
        <f t="shared" si="10"/>
        <v>0.1926710057732548</v>
      </c>
      <c r="O84" s="14">
        <f t="shared" si="11"/>
        <v>2203200.8252447876</v>
      </c>
    </row>
    <row r="85" spans="7:15" x14ac:dyDescent="0.35">
      <c r="G85" s="2">
        <f t="shared" si="12"/>
        <v>83</v>
      </c>
      <c r="H85" s="3">
        <f t="shared" si="9"/>
        <v>21984.638252028821</v>
      </c>
      <c r="I85" s="3">
        <f t="shared" si="13"/>
        <v>8214.6330942488985</v>
      </c>
      <c r="J85" s="3">
        <f t="shared" si="14"/>
        <v>13770.005157779922</v>
      </c>
      <c r="K85" s="4">
        <f t="shared" si="15"/>
        <v>0.37365332101795318</v>
      </c>
      <c r="L85" s="4">
        <f t="shared" si="16"/>
        <v>0.62634667898204677</v>
      </c>
      <c r="M85" s="3">
        <f t="shared" si="17"/>
        <v>2194986.1921505388</v>
      </c>
      <c r="N85" s="4">
        <f t="shared" si="10"/>
        <v>0.19568113149485569</v>
      </c>
      <c r="O85" s="14">
        <f t="shared" si="11"/>
        <v>2194986.1921505388</v>
      </c>
    </row>
    <row r="86" spans="7:15" x14ac:dyDescent="0.35">
      <c r="G86" s="2">
        <f t="shared" si="12"/>
        <v>84</v>
      </c>
      <c r="H86" s="3">
        <f t="shared" si="9"/>
        <v>21984.638252028821</v>
      </c>
      <c r="I86" s="3">
        <f t="shared" si="13"/>
        <v>8265.9745510879548</v>
      </c>
      <c r="J86" s="3">
        <f t="shared" si="14"/>
        <v>13718.663700940866</v>
      </c>
      <c r="K86" s="4">
        <f t="shared" si="15"/>
        <v>0.37598865427431544</v>
      </c>
      <c r="L86" s="4">
        <f t="shared" si="16"/>
        <v>0.62401134572568451</v>
      </c>
      <c r="M86" s="3">
        <f t="shared" si="17"/>
        <v>2186720.2175994506</v>
      </c>
      <c r="N86" s="4">
        <f t="shared" si="10"/>
        <v>0.1987100705022167</v>
      </c>
      <c r="O86" s="14">
        <f t="shared" si="11"/>
        <v>2186720.2175994506</v>
      </c>
    </row>
    <row r="87" spans="7:15" x14ac:dyDescent="0.35">
      <c r="G87" s="2">
        <f t="shared" si="12"/>
        <v>85</v>
      </c>
      <c r="H87" s="3">
        <f t="shared" si="9"/>
        <v>21984.638252028821</v>
      </c>
      <c r="I87" s="3">
        <f t="shared" si="13"/>
        <v>8317.6368920322548</v>
      </c>
      <c r="J87" s="3">
        <f t="shared" si="14"/>
        <v>13667.001359996566</v>
      </c>
      <c r="K87" s="4">
        <f t="shared" si="15"/>
        <v>0.37833858336352993</v>
      </c>
      <c r="L87" s="4">
        <f t="shared" si="16"/>
        <v>0.62166141663647012</v>
      </c>
      <c r="M87" s="3">
        <f t="shared" si="17"/>
        <v>2178402.5807074183</v>
      </c>
      <c r="N87" s="4">
        <f t="shared" si="10"/>
        <v>0.20175794037837366</v>
      </c>
      <c r="O87" s="14">
        <f t="shared" si="11"/>
        <v>2178402.5807074183</v>
      </c>
    </row>
    <row r="88" spans="7:15" x14ac:dyDescent="0.35">
      <c r="G88" s="2">
        <f t="shared" si="12"/>
        <v>86</v>
      </c>
      <c r="H88" s="3">
        <f t="shared" si="9"/>
        <v>21984.638252028821</v>
      </c>
      <c r="I88" s="3">
        <f t="shared" si="13"/>
        <v>8369.6221226074576</v>
      </c>
      <c r="J88" s="3">
        <f t="shared" si="14"/>
        <v>13615.016129421363</v>
      </c>
      <c r="K88" s="4">
        <f t="shared" si="15"/>
        <v>0.38070319950955206</v>
      </c>
      <c r="L88" s="4">
        <f t="shared" si="16"/>
        <v>0.619296800490448</v>
      </c>
      <c r="M88" s="3">
        <f t="shared" si="17"/>
        <v>2170032.9585848106</v>
      </c>
      <c r="N88" s="4">
        <f t="shared" si="10"/>
        <v>0.20482485944125664</v>
      </c>
      <c r="O88" s="14">
        <f t="shared" si="11"/>
        <v>2170032.9585848106</v>
      </c>
    </row>
    <row r="89" spans="7:15" x14ac:dyDescent="0.35">
      <c r="G89" s="2">
        <f t="shared" si="12"/>
        <v>87</v>
      </c>
      <c r="H89" s="3">
        <f t="shared" si="9"/>
        <v>21984.638252028821</v>
      </c>
      <c r="I89" s="3">
        <f t="shared" si="13"/>
        <v>8421.9322608737548</v>
      </c>
      <c r="J89" s="3">
        <f t="shared" si="14"/>
        <v>13562.705991155066</v>
      </c>
      <c r="K89" s="4">
        <f t="shared" si="15"/>
        <v>0.3830825945064868</v>
      </c>
      <c r="L89" s="4">
        <f t="shared" si="16"/>
        <v>0.61691740549351326</v>
      </c>
      <c r="M89" s="3">
        <f t="shared" si="17"/>
        <v>2161611.0263239369</v>
      </c>
      <c r="N89" s="4">
        <f t="shared" si="10"/>
        <v>0.20791094674828256</v>
      </c>
      <c r="O89" s="14">
        <f t="shared" si="11"/>
        <v>2161611.0263239369</v>
      </c>
    </row>
    <row r="90" spans="7:15" x14ac:dyDescent="0.35">
      <c r="G90" s="2">
        <f t="shared" si="12"/>
        <v>88</v>
      </c>
      <c r="H90" s="3">
        <f t="shared" si="9"/>
        <v>21984.638252028821</v>
      </c>
      <c r="I90" s="3">
        <f t="shared" si="13"/>
        <v>8474.5693375042156</v>
      </c>
      <c r="J90" s="3">
        <f t="shared" si="14"/>
        <v>13510.068914524605</v>
      </c>
      <c r="K90" s="4">
        <f t="shared" si="15"/>
        <v>0.38547686072215231</v>
      </c>
      <c r="L90" s="4">
        <f t="shared" si="16"/>
        <v>0.61452313927784774</v>
      </c>
      <c r="M90" s="3">
        <f t="shared" si="17"/>
        <v>2153136.4569864329</v>
      </c>
      <c r="N90" s="4">
        <f t="shared" si="10"/>
        <v>0.21101632210097732</v>
      </c>
      <c r="O90" s="14">
        <f t="shared" si="11"/>
        <v>2153136.4569864329</v>
      </c>
    </row>
    <row r="91" spans="7:15" x14ac:dyDescent="0.35">
      <c r="G91" s="2">
        <f t="shared" si="12"/>
        <v>89</v>
      </c>
      <c r="H91" s="3">
        <f t="shared" si="9"/>
        <v>21984.638252028821</v>
      </c>
      <c r="I91" s="3">
        <f t="shared" si="13"/>
        <v>8527.5353958636169</v>
      </c>
      <c r="J91" s="3">
        <f t="shared" si="14"/>
        <v>13457.102856165204</v>
      </c>
      <c r="K91" s="4">
        <f t="shared" si="15"/>
        <v>0.38788609110166578</v>
      </c>
      <c r="L91" s="4">
        <f t="shared" si="16"/>
        <v>0.61211390889833428</v>
      </c>
      <c r="M91" s="3">
        <f t="shared" si="17"/>
        <v>2144608.9215905694</v>
      </c>
      <c r="N91" s="4">
        <f t="shared" si="10"/>
        <v>0.21414110604962644</v>
      </c>
      <c r="O91" s="14">
        <f t="shared" si="11"/>
        <v>2144608.9215905694</v>
      </c>
    </row>
    <row r="92" spans="7:15" x14ac:dyDescent="0.35">
      <c r="G92" s="2">
        <f t="shared" si="12"/>
        <v>90</v>
      </c>
      <c r="H92" s="3">
        <f t="shared" si="9"/>
        <v>21984.638252028821</v>
      </c>
      <c r="I92" s="3">
        <f t="shared" si="13"/>
        <v>8580.8324920877621</v>
      </c>
      <c r="J92" s="3">
        <f t="shared" si="14"/>
        <v>13403.805759941059</v>
      </c>
      <c r="K92" s="4">
        <f t="shared" si="15"/>
        <v>0.39031037917105105</v>
      </c>
      <c r="L92" s="4">
        <f t="shared" si="16"/>
        <v>0.60968962082894895</v>
      </c>
      <c r="M92" s="3">
        <f t="shared" si="17"/>
        <v>2136028.0890984815</v>
      </c>
      <c r="N92" s="4">
        <f t="shared" si="10"/>
        <v>0.21728541989795475</v>
      </c>
      <c r="O92" s="14">
        <f t="shared" si="11"/>
        <v>2136028.0890984815</v>
      </c>
    </row>
    <row r="93" spans="7:15" x14ac:dyDescent="0.35">
      <c r="G93" s="2">
        <f t="shared" si="12"/>
        <v>91</v>
      </c>
      <c r="H93" s="3">
        <f t="shared" si="9"/>
        <v>21984.638252028821</v>
      </c>
      <c r="I93" s="3">
        <f t="shared" si="13"/>
        <v>8634.4626951633127</v>
      </c>
      <c r="J93" s="3">
        <f t="shared" si="14"/>
        <v>13350.175556865508</v>
      </c>
      <c r="K93" s="4">
        <f t="shared" si="15"/>
        <v>0.3927498190408702</v>
      </c>
      <c r="L93" s="4">
        <f t="shared" si="16"/>
        <v>0.60725018095912975</v>
      </c>
      <c r="M93" s="3">
        <f t="shared" si="17"/>
        <v>2127393.6264033183</v>
      </c>
      <c r="N93" s="4">
        <f t="shared" si="10"/>
        <v>0.22044938570783501</v>
      </c>
      <c r="O93" s="14">
        <f t="shared" si="11"/>
        <v>2127393.6264033183</v>
      </c>
    </row>
    <row r="94" spans="7:15" x14ac:dyDescent="0.35">
      <c r="G94" s="2">
        <f t="shared" si="12"/>
        <v>92</v>
      </c>
      <c r="H94" s="3">
        <f t="shared" si="9"/>
        <v>21984.638252028821</v>
      </c>
      <c r="I94" s="3">
        <f t="shared" si="13"/>
        <v>8688.428087008082</v>
      </c>
      <c r="J94" s="3">
        <f t="shared" si="14"/>
        <v>13296.210165020739</v>
      </c>
      <c r="K94" s="4">
        <f t="shared" si="15"/>
        <v>0.39520450540987562</v>
      </c>
      <c r="L94" s="4">
        <f t="shared" si="16"/>
        <v>0.60479549459012438</v>
      </c>
      <c r="M94" s="3">
        <f t="shared" si="17"/>
        <v>2118705.1983163101</v>
      </c>
      <c r="N94" s="4">
        <f t="shared" si="10"/>
        <v>0.2236331263040271</v>
      </c>
      <c r="O94" s="14">
        <f t="shared" si="11"/>
        <v>2118705.1983163101</v>
      </c>
    </row>
    <row r="95" spans="7:15" x14ac:dyDescent="0.35">
      <c r="G95" s="2">
        <f t="shared" si="12"/>
        <v>93</v>
      </c>
      <c r="H95" s="3">
        <f t="shared" si="9"/>
        <v>21984.638252028821</v>
      </c>
      <c r="I95" s="3">
        <f t="shared" si="13"/>
        <v>8742.7307625518843</v>
      </c>
      <c r="J95" s="3">
        <f t="shared" si="14"/>
        <v>13241.907489476936</v>
      </c>
      <c r="K95" s="4">
        <f t="shared" si="15"/>
        <v>0.39767453356868737</v>
      </c>
      <c r="L95" s="4">
        <f t="shared" si="16"/>
        <v>0.60232546643131257</v>
      </c>
      <c r="M95" s="3">
        <f t="shared" si="17"/>
        <v>2109962.4675537581</v>
      </c>
      <c r="N95" s="4">
        <f t="shared" si="10"/>
        <v>0.22683676527894539</v>
      </c>
      <c r="O95" s="14">
        <f t="shared" si="11"/>
        <v>2109962.4675537581</v>
      </c>
    </row>
    <row r="96" spans="7:15" x14ac:dyDescent="0.35">
      <c r="G96" s="2">
        <f t="shared" si="12"/>
        <v>94</v>
      </c>
      <c r="H96" s="3">
        <f t="shared" si="9"/>
        <v>21984.638252028821</v>
      </c>
      <c r="I96" s="3">
        <f t="shared" si="13"/>
        <v>8797.3728298178339</v>
      </c>
      <c r="J96" s="3">
        <f t="shared" si="14"/>
        <v>13187.265422210987</v>
      </c>
      <c r="K96" s="4">
        <f t="shared" si="15"/>
        <v>0.40015999940349173</v>
      </c>
      <c r="L96" s="4">
        <f t="shared" si="16"/>
        <v>0.59984000059650833</v>
      </c>
      <c r="M96" s="3">
        <f t="shared" si="17"/>
        <v>2101165.0947239404</v>
      </c>
      <c r="N96" s="4">
        <f t="shared" si="10"/>
        <v>0.23006042699745682</v>
      </c>
      <c r="O96" s="14">
        <f t="shared" si="11"/>
        <v>2101165.0947239404</v>
      </c>
    </row>
    <row r="97" spans="7:15" x14ac:dyDescent="0.35">
      <c r="G97" s="2">
        <f t="shared" si="12"/>
        <v>95</v>
      </c>
      <c r="H97" s="3">
        <f t="shared" si="9"/>
        <v>21984.638252028821</v>
      </c>
      <c r="I97" s="3">
        <f t="shared" si="13"/>
        <v>8852.3564100041949</v>
      </c>
      <c r="J97" s="3">
        <f t="shared" si="14"/>
        <v>13132.281842024626</v>
      </c>
      <c r="K97" s="4">
        <f t="shared" si="15"/>
        <v>0.40266099939976352</v>
      </c>
      <c r="L97" s="4">
        <f t="shared" si="16"/>
        <v>0.59733900060023648</v>
      </c>
      <c r="M97" s="3">
        <f t="shared" si="17"/>
        <v>2092312.7383139362</v>
      </c>
      <c r="N97" s="4">
        <f t="shared" si="10"/>
        <v>0.23330423660170899</v>
      </c>
      <c r="O97" s="14">
        <f t="shared" si="11"/>
        <v>2092312.7383139362</v>
      </c>
    </row>
    <row r="98" spans="7:15" x14ac:dyDescent="0.35">
      <c r="G98" s="2">
        <f t="shared" si="12"/>
        <v>96</v>
      </c>
      <c r="H98" s="3">
        <f t="shared" si="9"/>
        <v>21984.638252028821</v>
      </c>
      <c r="I98" s="3">
        <f t="shared" si="13"/>
        <v>8907.6836375667208</v>
      </c>
      <c r="J98" s="3">
        <f t="shared" si="14"/>
        <v>13076.9546144621</v>
      </c>
      <c r="K98" s="4">
        <f t="shared" si="15"/>
        <v>0.40517763064601203</v>
      </c>
      <c r="L98" s="4">
        <f t="shared" si="16"/>
        <v>0.59482236935398802</v>
      </c>
      <c r="M98" s="3">
        <f t="shared" si="17"/>
        <v>2083405.0546763695</v>
      </c>
      <c r="N98" s="4">
        <f t="shared" si="10"/>
        <v>0.23656832001598771</v>
      </c>
      <c r="O98" s="14">
        <f t="shared" si="11"/>
        <v>2083405.0546763695</v>
      </c>
    </row>
    <row r="99" spans="7:15" x14ac:dyDescent="0.35">
      <c r="G99" s="2">
        <f t="shared" si="12"/>
        <v>97</v>
      </c>
      <c r="H99" s="3">
        <f t="shared" si="9"/>
        <v>21984.638252028821</v>
      </c>
      <c r="I99" s="3">
        <f t="shared" si="13"/>
        <v>8963.3566603015115</v>
      </c>
      <c r="J99" s="3">
        <f t="shared" si="14"/>
        <v>13021.281591727309</v>
      </c>
      <c r="K99" s="4">
        <f t="shared" si="15"/>
        <v>0.40770999083754955</v>
      </c>
      <c r="L99" s="4">
        <f t="shared" si="16"/>
        <v>0.59229000916245045</v>
      </c>
      <c r="M99" s="3">
        <f t="shared" si="17"/>
        <v>2074441.698016068</v>
      </c>
      <c r="N99" s="4">
        <f t="shared" si="10"/>
        <v>0.23985280395160574</v>
      </c>
      <c r="O99" s="14">
        <f t="shared" si="11"/>
        <v>2074441.698016068</v>
      </c>
    </row>
    <row r="100" spans="7:15" x14ac:dyDescent="0.35">
      <c r="G100" s="2">
        <f t="shared" si="12"/>
        <v>98</v>
      </c>
      <c r="H100" s="3">
        <f t="shared" si="9"/>
        <v>21984.638252028821</v>
      </c>
      <c r="I100" s="3">
        <f t="shared" si="13"/>
        <v>9019.3776394283977</v>
      </c>
      <c r="J100" s="3">
        <f t="shared" si="14"/>
        <v>12965.260612600423</v>
      </c>
      <c r="K100" s="4">
        <f t="shared" si="15"/>
        <v>0.41025817828028432</v>
      </c>
      <c r="L100" s="4">
        <f t="shared" si="16"/>
        <v>0.58974182171971568</v>
      </c>
      <c r="M100" s="3">
        <f t="shared" si="17"/>
        <v>2065422.3203766395</v>
      </c>
      <c r="N100" s="4">
        <f t="shared" si="10"/>
        <v>0.24315781591182137</v>
      </c>
      <c r="O100" s="14">
        <f t="shared" si="11"/>
        <v>2065422.3203766395</v>
      </c>
    </row>
    <row r="101" spans="7:15" x14ac:dyDescent="0.35">
      <c r="G101" s="2">
        <f t="shared" si="12"/>
        <v>99</v>
      </c>
      <c r="H101" s="3">
        <f t="shared" si="9"/>
        <v>21984.638252028821</v>
      </c>
      <c r="I101" s="3">
        <f t="shared" si="13"/>
        <v>9075.7487496748254</v>
      </c>
      <c r="J101" s="3">
        <f t="shared" si="14"/>
        <v>12908.889502353995</v>
      </c>
      <c r="K101" s="4">
        <f t="shared" si="15"/>
        <v>0.41282229189453606</v>
      </c>
      <c r="L101" s="4">
        <f t="shared" si="16"/>
        <v>0.58717770810546388</v>
      </c>
      <c r="M101" s="3">
        <f t="shared" si="17"/>
        <v>2056346.5716269647</v>
      </c>
      <c r="N101" s="4">
        <f t="shared" si="10"/>
        <v>0.24648348419678831</v>
      </c>
      <c r="O101" s="14">
        <f t="shared" si="11"/>
        <v>2056346.5716269647</v>
      </c>
    </row>
    <row r="102" spans="7:15" x14ac:dyDescent="0.35">
      <c r="G102" s="2">
        <f t="shared" si="12"/>
        <v>100</v>
      </c>
      <c r="H102" s="3">
        <f t="shared" si="9"/>
        <v>21984.638252028821</v>
      </c>
      <c r="I102" s="3">
        <f t="shared" si="13"/>
        <v>9132.472179360293</v>
      </c>
      <c r="J102" s="3">
        <f t="shared" si="14"/>
        <v>12852.166072668528</v>
      </c>
      <c r="K102" s="4">
        <f t="shared" si="15"/>
        <v>0.41540243121887693</v>
      </c>
      <c r="L102" s="4">
        <f t="shared" si="16"/>
        <v>0.58459756878112301</v>
      </c>
      <c r="M102" s="3">
        <f t="shared" si="17"/>
        <v>2047214.0994476045</v>
      </c>
      <c r="N102" s="4">
        <f t="shared" si="10"/>
        <v>0.24982993790853628</v>
      </c>
      <c r="O102" s="14">
        <f t="shared" si="11"/>
        <v>2047214.0994476045</v>
      </c>
    </row>
    <row r="103" spans="7:15" x14ac:dyDescent="0.35">
      <c r="G103" s="2">
        <f t="shared" si="12"/>
        <v>101</v>
      </c>
      <c r="H103" s="3">
        <f t="shared" si="9"/>
        <v>21984.638252028821</v>
      </c>
      <c r="I103" s="3">
        <f t="shared" si="13"/>
        <v>9189.5501304812933</v>
      </c>
      <c r="J103" s="3">
        <f t="shared" si="14"/>
        <v>12795.088121547527</v>
      </c>
      <c r="K103" s="4">
        <f t="shared" si="15"/>
        <v>0.41799869641399484</v>
      </c>
      <c r="L103" s="4">
        <f t="shared" si="16"/>
        <v>0.5820013035860051</v>
      </c>
      <c r="M103" s="3">
        <f t="shared" si="17"/>
        <v>2038024.5493171231</v>
      </c>
      <c r="N103" s="4">
        <f t="shared" si="10"/>
        <v>0.25319730695598275</v>
      </c>
      <c r="O103" s="14">
        <f t="shared" si="11"/>
        <v>2038024.5493171231</v>
      </c>
    </row>
    <row r="104" spans="7:15" x14ac:dyDescent="0.35">
      <c r="G104" s="2">
        <f t="shared" si="12"/>
        <v>102</v>
      </c>
      <c r="H104" s="3">
        <f t="shared" si="9"/>
        <v>21984.638252028821</v>
      </c>
      <c r="I104" s="3">
        <f t="shared" si="13"/>
        <v>9246.9848187968018</v>
      </c>
      <c r="J104" s="3">
        <f t="shared" si="14"/>
        <v>12737.653433232019</v>
      </c>
      <c r="K104" s="4">
        <f t="shared" si="15"/>
        <v>0.42061118826658234</v>
      </c>
      <c r="L104" s="4">
        <f t="shared" si="16"/>
        <v>0.57938881173341772</v>
      </c>
      <c r="M104" s="3">
        <f t="shared" si="17"/>
        <v>2028777.5644983263</v>
      </c>
      <c r="N104" s="4">
        <f t="shared" si="10"/>
        <v>0.25658572205997571</v>
      </c>
      <c r="O104" s="14">
        <f t="shared" si="11"/>
        <v>2028777.5644983263</v>
      </c>
    </row>
    <row r="105" spans="7:15" x14ac:dyDescent="0.35">
      <c r="G105" s="2">
        <f t="shared" si="12"/>
        <v>103</v>
      </c>
      <c r="H105" s="3">
        <f t="shared" si="9"/>
        <v>21984.638252028821</v>
      </c>
      <c r="I105" s="3">
        <f t="shared" si="13"/>
        <v>9304.7784739142826</v>
      </c>
      <c r="J105" s="3">
        <f t="shared" si="14"/>
        <v>12679.859778114538</v>
      </c>
      <c r="K105" s="4">
        <f t="shared" si="15"/>
        <v>0.42324000819324853</v>
      </c>
      <c r="L105" s="4">
        <f t="shared" si="16"/>
        <v>0.57675999180675153</v>
      </c>
      <c r="M105" s="3">
        <f t="shared" si="17"/>
        <v>2019472.7860244119</v>
      </c>
      <c r="N105" s="4">
        <f t="shared" si="10"/>
        <v>0.25999531475836868</v>
      </c>
      <c r="O105" s="14">
        <f t="shared" si="11"/>
        <v>2019472.7860244119</v>
      </c>
    </row>
    <row r="106" spans="7:15" x14ac:dyDescent="0.35">
      <c r="G106" s="2">
        <f t="shared" si="12"/>
        <v>104</v>
      </c>
      <c r="H106" s="3">
        <f t="shared" si="9"/>
        <v>21984.638252028821</v>
      </c>
      <c r="I106" s="3">
        <f t="shared" si="13"/>
        <v>9362.9333393762481</v>
      </c>
      <c r="J106" s="3">
        <f t="shared" si="14"/>
        <v>12621.704912652573</v>
      </c>
      <c r="K106" s="4">
        <f t="shared" si="15"/>
        <v>0.42588525824445639</v>
      </c>
      <c r="L106" s="4">
        <f t="shared" si="16"/>
        <v>0.57411474175554367</v>
      </c>
      <c r="M106" s="3">
        <f t="shared" si="17"/>
        <v>2010109.8526850357</v>
      </c>
      <c r="N106" s="4">
        <f t="shared" si="10"/>
        <v>0.26342621741112654</v>
      </c>
      <c r="O106" s="14">
        <f t="shared" si="11"/>
        <v>2010109.8526850357</v>
      </c>
    </row>
    <row r="107" spans="7:15" x14ac:dyDescent="0.35">
      <c r="G107" s="2">
        <f t="shared" si="12"/>
        <v>105</v>
      </c>
      <c r="H107" s="3">
        <f t="shared" si="9"/>
        <v>21984.638252028821</v>
      </c>
      <c r="I107" s="3">
        <f t="shared" si="13"/>
        <v>9421.4516727473492</v>
      </c>
      <c r="J107" s="3">
        <f t="shared" si="14"/>
        <v>12563.186579281471</v>
      </c>
      <c r="K107" s="4">
        <f t="shared" si="15"/>
        <v>0.42854704110848418</v>
      </c>
      <c r="L107" s="4">
        <f t="shared" si="16"/>
        <v>0.57145295889151582</v>
      </c>
      <c r="M107" s="3">
        <f t="shared" si="17"/>
        <v>2000688.4010122884</v>
      </c>
      <c r="N107" s="4">
        <f t="shared" si="10"/>
        <v>0.2668785632054641</v>
      </c>
      <c r="O107" s="14">
        <f t="shared" si="11"/>
        <v>2000688.4010122884</v>
      </c>
    </row>
    <row r="108" spans="7:15" x14ac:dyDescent="0.35">
      <c r="G108" s="2">
        <f t="shared" si="12"/>
        <v>106</v>
      </c>
      <c r="H108" s="3">
        <f t="shared" si="9"/>
        <v>21984.638252028821</v>
      </c>
      <c r="I108" s="3">
        <f t="shared" si="13"/>
        <v>9480.3357457020193</v>
      </c>
      <c r="J108" s="3">
        <f t="shared" si="14"/>
        <v>12504.302506326801</v>
      </c>
      <c r="K108" s="4">
        <f t="shared" si="15"/>
        <v>0.43122546011541218</v>
      </c>
      <c r="L108" s="4">
        <f t="shared" si="16"/>
        <v>0.56877453988458782</v>
      </c>
      <c r="M108" s="3">
        <f t="shared" si="17"/>
        <v>1991208.0652665864</v>
      </c>
      <c r="N108" s="4">
        <f t="shared" si="10"/>
        <v>0.27035248616101637</v>
      </c>
      <c r="O108" s="14">
        <f t="shared" si="11"/>
        <v>1991208.0652665864</v>
      </c>
    </row>
    <row r="109" spans="7:15" x14ac:dyDescent="0.35">
      <c r="G109" s="2">
        <f t="shared" si="12"/>
        <v>107</v>
      </c>
      <c r="H109" s="3">
        <f t="shared" si="9"/>
        <v>21984.638252028821</v>
      </c>
      <c r="I109" s="3">
        <f t="shared" si="13"/>
        <v>9539.587844112657</v>
      </c>
      <c r="J109" s="3">
        <f t="shared" si="14"/>
        <v>12445.050407916164</v>
      </c>
      <c r="K109" s="4">
        <f t="shared" si="15"/>
        <v>0.43392061924113351</v>
      </c>
      <c r="L109" s="4">
        <f t="shared" si="16"/>
        <v>0.56607938075886644</v>
      </c>
      <c r="M109" s="3">
        <f t="shared" si="17"/>
        <v>1981668.4774224737</v>
      </c>
      <c r="N109" s="4">
        <f t="shared" si="10"/>
        <v>0.27384812113504076</v>
      </c>
      <c r="O109" s="14">
        <f t="shared" si="11"/>
        <v>1981668.4774224737</v>
      </c>
    </row>
    <row r="110" spans="7:15" x14ac:dyDescent="0.35">
      <c r="G110" s="2">
        <f t="shared" si="12"/>
        <v>108</v>
      </c>
      <c r="H110" s="3">
        <f t="shared" si="9"/>
        <v>21984.638252028821</v>
      </c>
      <c r="I110" s="3">
        <f t="shared" si="13"/>
        <v>9599.2102681383603</v>
      </c>
      <c r="J110" s="3">
        <f t="shared" si="14"/>
        <v>12385.42798389046</v>
      </c>
      <c r="K110" s="4">
        <f t="shared" si="15"/>
        <v>0.43663262311139056</v>
      </c>
      <c r="L110" s="4">
        <f t="shared" si="16"/>
        <v>0.56336737688860938</v>
      </c>
      <c r="M110" s="3">
        <f t="shared" si="17"/>
        <v>1972069.2671543353</v>
      </c>
      <c r="N110" s="4">
        <f t="shared" si="10"/>
        <v>0.27736560382765291</v>
      </c>
      <c r="O110" s="14">
        <f t="shared" si="11"/>
        <v>1972069.2671543353</v>
      </c>
    </row>
    <row r="111" spans="7:15" x14ac:dyDescent="0.35">
      <c r="G111" s="2">
        <f t="shared" si="12"/>
        <v>109</v>
      </c>
      <c r="H111" s="3">
        <f t="shared" si="9"/>
        <v>21984.638252028821</v>
      </c>
      <c r="I111" s="3">
        <f t="shared" si="13"/>
        <v>9659.2053323142263</v>
      </c>
      <c r="J111" s="3">
        <f t="shared" si="14"/>
        <v>12325.432919714594</v>
      </c>
      <c r="K111" s="4">
        <f t="shared" si="15"/>
        <v>0.43936157700583683</v>
      </c>
      <c r="L111" s="4">
        <f t="shared" si="16"/>
        <v>0.56063842299416322</v>
      </c>
      <c r="M111" s="3">
        <f t="shared" si="17"/>
        <v>1962410.0618220211</v>
      </c>
      <c r="N111" s="4">
        <f t="shared" si="10"/>
        <v>0.28090507078709376</v>
      </c>
      <c r="O111" s="14">
        <f t="shared" si="11"/>
        <v>1962410.0618220211</v>
      </c>
    </row>
    <row r="112" spans="7:15" x14ac:dyDescent="0.35">
      <c r="G112" s="2">
        <f t="shared" si="12"/>
        <v>110</v>
      </c>
      <c r="H112" s="3">
        <f t="shared" si="9"/>
        <v>21984.638252028821</v>
      </c>
      <c r="I112" s="3">
        <f t="shared" si="13"/>
        <v>9719.5753656411889</v>
      </c>
      <c r="J112" s="3">
        <f t="shared" si="14"/>
        <v>12265.062886387632</v>
      </c>
      <c r="K112" s="4">
        <f t="shared" si="15"/>
        <v>0.44210758686212326</v>
      </c>
      <c r="L112" s="4">
        <f t="shared" si="16"/>
        <v>0.55789241313787674</v>
      </c>
      <c r="M112" s="3">
        <f t="shared" si="17"/>
        <v>1952690.48645638</v>
      </c>
      <c r="N112" s="4">
        <f t="shared" si="10"/>
        <v>0.28446665941503113</v>
      </c>
      <c r="O112" s="14">
        <f t="shared" si="11"/>
        <v>1952690.48645638</v>
      </c>
    </row>
    <row r="113" spans="7:15" x14ac:dyDescent="0.35">
      <c r="G113" s="2">
        <f t="shared" si="12"/>
        <v>111</v>
      </c>
      <c r="H113" s="3">
        <f t="shared" si="9"/>
        <v>21984.638252028821</v>
      </c>
      <c r="I113" s="3">
        <f t="shared" si="13"/>
        <v>9780.3227116764465</v>
      </c>
      <c r="J113" s="3">
        <f t="shared" si="14"/>
        <v>12204.315540352374</v>
      </c>
      <c r="K113" s="4">
        <f t="shared" si="15"/>
        <v>0.44487075928001152</v>
      </c>
      <c r="L113" s="4">
        <f t="shared" si="16"/>
        <v>0.55512924071998848</v>
      </c>
      <c r="M113" s="3">
        <f t="shared" si="17"/>
        <v>1942910.1637447036</v>
      </c>
      <c r="N113" s="4">
        <f t="shared" si="10"/>
        <v>0.28805050797189313</v>
      </c>
      <c r="O113" s="14">
        <f t="shared" si="11"/>
        <v>1942910.1637447036</v>
      </c>
    </row>
    <row r="114" spans="7:15" x14ac:dyDescent="0.35">
      <c r="G114" s="2">
        <f t="shared" si="12"/>
        <v>112</v>
      </c>
      <c r="H114" s="3">
        <f t="shared" si="9"/>
        <v>21984.638252028821</v>
      </c>
      <c r="I114" s="3">
        <f t="shared" si="13"/>
        <v>9841.4497286244241</v>
      </c>
      <c r="J114" s="3">
        <f t="shared" si="14"/>
        <v>12143.188523404397</v>
      </c>
      <c r="K114" s="4">
        <f t="shared" si="15"/>
        <v>0.44765120152551158</v>
      </c>
      <c r="L114" s="4">
        <f t="shared" si="16"/>
        <v>0.55234879847448848</v>
      </c>
      <c r="M114" s="3">
        <f t="shared" si="17"/>
        <v>1933068.7140160792</v>
      </c>
      <c r="N114" s="4">
        <f t="shared" si="10"/>
        <v>0.29165675558223553</v>
      </c>
      <c r="O114" s="14">
        <f t="shared" si="11"/>
        <v>1933068.7140160792</v>
      </c>
    </row>
    <row r="115" spans="7:15" x14ac:dyDescent="0.35">
      <c r="G115" s="2">
        <f t="shared" si="12"/>
        <v>113</v>
      </c>
      <c r="H115" s="3">
        <f t="shared" si="9"/>
        <v>21984.638252028821</v>
      </c>
      <c r="I115" s="3">
        <f t="shared" si="13"/>
        <v>9902.9587894283268</v>
      </c>
      <c r="J115" s="3">
        <f t="shared" si="14"/>
        <v>12081.679462600494</v>
      </c>
      <c r="K115" s="4">
        <f t="shared" si="15"/>
        <v>0.45044902153504601</v>
      </c>
      <c r="L115" s="4">
        <f t="shared" si="16"/>
        <v>0.54955097846495393</v>
      </c>
      <c r="M115" s="3">
        <f t="shared" si="17"/>
        <v>1923165.755226651</v>
      </c>
      <c r="N115" s="4">
        <f t="shared" si="10"/>
        <v>0.29528554224014253</v>
      </c>
      <c r="O115" s="14">
        <f t="shared" si="11"/>
        <v>1923165.755226651</v>
      </c>
    </row>
    <row r="116" spans="7:15" x14ac:dyDescent="0.35">
      <c r="G116" s="2">
        <f t="shared" si="12"/>
        <v>114</v>
      </c>
      <c r="H116" s="3">
        <f t="shared" si="9"/>
        <v>21984.638252028821</v>
      </c>
      <c r="I116" s="3">
        <f t="shared" si="13"/>
        <v>9964.8522818622532</v>
      </c>
      <c r="J116" s="3">
        <f t="shared" si="14"/>
        <v>12019.785970166567</v>
      </c>
      <c r="K116" s="4">
        <f t="shared" si="15"/>
        <v>0.45326432791964005</v>
      </c>
      <c r="L116" s="4">
        <f t="shared" si="16"/>
        <v>0.54673567208036</v>
      </c>
      <c r="M116" s="3">
        <f t="shared" si="17"/>
        <v>1913200.9029447888</v>
      </c>
      <c r="N116" s="4">
        <f t="shared" si="10"/>
        <v>0.29893700881466151</v>
      </c>
      <c r="O116" s="14">
        <f t="shared" si="11"/>
        <v>1913200.9029447888</v>
      </c>
    </row>
    <row r="117" spans="7:15" x14ac:dyDescent="0.35">
      <c r="G117" s="2">
        <f t="shared" si="12"/>
        <v>115</v>
      </c>
      <c r="H117" s="3">
        <f t="shared" si="9"/>
        <v>21984.638252028821</v>
      </c>
      <c r="I117" s="3">
        <f t="shared" si="13"/>
        <v>10027.132608623891</v>
      </c>
      <c r="J117" s="3">
        <f t="shared" si="14"/>
        <v>11957.505643404929</v>
      </c>
      <c r="K117" s="4">
        <f t="shared" si="15"/>
        <v>0.45609722996913776</v>
      </c>
      <c r="L117" s="4">
        <f t="shared" si="16"/>
        <v>0.54390277003086229</v>
      </c>
      <c r="M117" s="3">
        <f t="shared" si="17"/>
        <v>1903173.7703361649</v>
      </c>
      <c r="N117" s="4">
        <f t="shared" si="10"/>
        <v>0.30261129705527123</v>
      </c>
      <c r="O117" s="14">
        <f t="shared" si="11"/>
        <v>1903173.7703361649</v>
      </c>
    </row>
    <row r="118" spans="7:15" x14ac:dyDescent="0.35">
      <c r="G118" s="2">
        <f t="shared" si="12"/>
        <v>116</v>
      </c>
      <c r="H118" s="3">
        <f t="shared" si="9"/>
        <v>21984.638252028821</v>
      </c>
      <c r="I118" s="3">
        <f t="shared" si="13"/>
        <v>10089.802187427791</v>
      </c>
      <c r="J118" s="3">
        <f t="shared" si="14"/>
        <v>11894.83606460103</v>
      </c>
      <c r="K118" s="4">
        <f t="shared" si="15"/>
        <v>0.45894783765644487</v>
      </c>
      <c r="L118" s="4">
        <f t="shared" si="16"/>
        <v>0.54105216234355513</v>
      </c>
      <c r="M118" s="3">
        <f t="shared" si="17"/>
        <v>1893083.968148737</v>
      </c>
      <c r="N118" s="4">
        <f t="shared" si="10"/>
        <v>0.30630854959738474</v>
      </c>
      <c r="O118" s="14">
        <f t="shared" si="11"/>
        <v>1893083.968148737</v>
      </c>
    </row>
    <row r="119" spans="7:15" x14ac:dyDescent="0.35">
      <c r="G119" s="2">
        <f t="shared" si="12"/>
        <v>117</v>
      </c>
      <c r="H119" s="3">
        <f t="shared" si="9"/>
        <v>21984.638252028821</v>
      </c>
      <c r="I119" s="3">
        <f t="shared" si="13"/>
        <v>10152.863451099216</v>
      </c>
      <c r="J119" s="3">
        <f t="shared" si="14"/>
        <v>11831.774800929605</v>
      </c>
      <c r="K119" s="4">
        <f t="shared" si="15"/>
        <v>0.46181626164179773</v>
      </c>
      <c r="L119" s="4">
        <f t="shared" si="16"/>
        <v>0.53818373835820232</v>
      </c>
      <c r="M119" s="3">
        <f t="shared" si="17"/>
        <v>1882931.1046976377</v>
      </c>
      <c r="N119" s="4">
        <f t="shared" si="10"/>
        <v>0.31002890996788651</v>
      </c>
      <c r="O119" s="14">
        <f t="shared" si="11"/>
        <v>1882931.1046976377</v>
      </c>
    </row>
    <row r="120" spans="7:15" x14ac:dyDescent="0.35">
      <c r="G120" s="2">
        <f t="shared" si="12"/>
        <v>118</v>
      </c>
      <c r="H120" s="3">
        <f t="shared" si="9"/>
        <v>21984.638252028821</v>
      </c>
      <c r="I120" s="3">
        <f t="shared" si="13"/>
        <v>10216.318847668586</v>
      </c>
      <c r="J120" s="3">
        <f t="shared" si="14"/>
        <v>11768.319404360234</v>
      </c>
      <c r="K120" s="4">
        <f t="shared" si="15"/>
        <v>0.46470261327705897</v>
      </c>
      <c r="L120" s="4">
        <f t="shared" si="16"/>
        <v>0.53529738672294103</v>
      </c>
      <c r="M120" s="3">
        <f t="shared" si="17"/>
        <v>1872714.7858499691</v>
      </c>
      <c r="N120" s="4">
        <f t="shared" si="10"/>
        <v>0.31377252259070387</v>
      </c>
      <c r="O120" s="14">
        <f t="shared" si="11"/>
        <v>1872714.7858499691</v>
      </c>
    </row>
    <row r="121" spans="7:15" x14ac:dyDescent="0.35">
      <c r="G121" s="2">
        <f t="shared" si="12"/>
        <v>119</v>
      </c>
      <c r="H121" s="3">
        <f t="shared" si="9"/>
        <v>21984.638252028821</v>
      </c>
      <c r="I121" s="3">
        <f t="shared" si="13"/>
        <v>10280.170840466515</v>
      </c>
      <c r="J121" s="3">
        <f t="shared" si="14"/>
        <v>11704.467411562306</v>
      </c>
      <c r="K121" s="4">
        <f t="shared" si="15"/>
        <v>0.46760700461004057</v>
      </c>
      <c r="L121" s="4">
        <f t="shared" si="16"/>
        <v>0.53239299538995943</v>
      </c>
      <c r="M121" s="3">
        <f t="shared" si="17"/>
        <v>1862434.6150095025</v>
      </c>
      <c r="N121" s="4">
        <f t="shared" si="10"/>
        <v>0.31753953279241387</v>
      </c>
      <c r="O121" s="14">
        <f t="shared" si="11"/>
        <v>1862434.6150095025</v>
      </c>
    </row>
    <row r="122" spans="7:15" x14ac:dyDescent="0.35">
      <c r="G122" s="2">
        <f t="shared" si="12"/>
        <v>120</v>
      </c>
      <c r="H122" s="3">
        <f t="shared" si="9"/>
        <v>21984.638252028821</v>
      </c>
      <c r="I122" s="3">
        <f t="shared" si="13"/>
        <v>10344.42190821943</v>
      </c>
      <c r="J122" s="3">
        <f t="shared" si="14"/>
        <v>11640.21634380939</v>
      </c>
      <c r="K122" s="4">
        <f t="shared" si="15"/>
        <v>0.4705295483888533</v>
      </c>
      <c r="L122" s="4">
        <f t="shared" si="16"/>
        <v>0.5294704516111467</v>
      </c>
      <c r="M122" s="3">
        <f t="shared" si="17"/>
        <v>1852090.1931012832</v>
      </c>
      <c r="N122" s="4">
        <f t="shared" si="10"/>
        <v>0.3213300868078845</v>
      </c>
      <c r="O122" s="14">
        <f t="shared" si="11"/>
        <v>1852090.1931012832</v>
      </c>
    </row>
  </sheetData>
  <mergeCells count="4">
    <mergeCell ref="A1:C1"/>
    <mergeCell ref="F1:F14"/>
    <mergeCell ref="A3:A5"/>
    <mergeCell ref="A7:A10"/>
  </mergeCells>
  <pageMargins left="0.75" right="0.75" top="1" bottom="1" header="0.5" footer="0.5"/>
  <pageSetup paperSize="9" orientation="portrait" horizontalDpi="4294967292" verticalDpi="4294967292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Home Expense</vt:lpstr>
      <vt:lpstr>Loan</vt:lpstr>
      <vt:lpstr>Arun Investment</vt:lpstr>
      <vt:lpstr>SIP and EMI Calculator</vt:lpstr>
      <vt:lpstr>EMI Calculator</vt:lpstr>
    </vt:vector>
  </TitlesOfParts>
  <Company>Stable Investor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Ashish</dc:creator>
  <cp:lastModifiedBy>Maru, Dharmesh</cp:lastModifiedBy>
  <dcterms:created xsi:type="dcterms:W3CDTF">2020-11-06T06:37:33Z</dcterms:created>
  <dcterms:modified xsi:type="dcterms:W3CDTF">2025-12-25T09:18:51Z</dcterms:modified>
</cp:coreProperties>
</file>