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dharmesh_maru_capgemini_com/Documents/Desktop/Dharmesh Personal Doc/Sadhana Dropbox/Loan Details/"/>
    </mc:Choice>
  </mc:AlternateContent>
  <xr:revisionPtr revIDLastSave="684" documentId="13_ncr:1_{A164E082-2D17-4A31-A085-DBAC005E8BC9}" xr6:coauthVersionLast="47" xr6:coauthVersionMax="47" xr10:uidLastSave="{B18B1E7C-6B0A-4A61-AEB7-7A58DC981941}"/>
  <bookViews>
    <workbookView xWindow="-110" yWindow="-110" windowWidth="19420" windowHeight="11500" firstSheet="1" activeTab="7" xr2:uid="{CED9B2FD-5C7A-46BF-B893-79A49DCFDE37}"/>
  </bookViews>
  <sheets>
    <sheet name="NOV-25" sheetId="1" r:id="rId1"/>
    <sheet name="DEC-25  (2)" sheetId="7" r:id="rId2"/>
    <sheet name="DEC-25 " sheetId="2" r:id="rId3"/>
    <sheet name="Sheet2" sheetId="6" r:id="rId4"/>
    <sheet name="Sheet1" sheetId="5" r:id="rId5"/>
    <sheet name="Jan-2026" sheetId="3" r:id="rId6"/>
    <sheet name="feb-2026 " sheetId="4" r:id="rId7"/>
    <sheet name="Apr- 2026" sheetId="8" r:id="rId8"/>
  </sheets>
  <definedNames>
    <definedName name="_xlnm._FilterDatabase" localSheetId="2" hidden="1">'DEC-25 '!$A$1:$F$24</definedName>
    <definedName name="_xlnm._FilterDatabase" localSheetId="1" hidden="1">'DEC-25  (2)'!#REF!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8" l="1"/>
  <c r="M11" i="8"/>
  <c r="E12" i="8"/>
  <c r="F7" i="8"/>
  <c r="G6" i="8"/>
  <c r="H6" i="8" s="1"/>
  <c r="I6" i="8" s="1"/>
  <c r="J6" i="8" s="1"/>
  <c r="K6" i="8" s="1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F2" i="8"/>
  <c r="G3" i="8"/>
  <c r="H3" i="8" s="1"/>
  <c r="I3" i="8" s="1"/>
  <c r="J3" i="8" s="1"/>
  <c r="K3" i="8" s="1"/>
  <c r="L3" i="8" s="1"/>
  <c r="M3" i="8" s="1"/>
  <c r="N3" i="8" s="1"/>
  <c r="O3" i="8" s="1"/>
  <c r="P3" i="8" s="1"/>
  <c r="E10" i="8"/>
  <c r="E9" i="8"/>
  <c r="K7" i="8"/>
  <c r="L7" i="8" s="1"/>
  <c r="M7" i="8" s="1"/>
  <c r="N7" i="8" s="1"/>
  <c r="O7" i="8" s="1"/>
  <c r="P7" i="8" s="1"/>
  <c r="Q7" i="8" s="1"/>
  <c r="R7" i="8" s="1"/>
  <c r="S7" i="8" s="1"/>
  <c r="T7" i="8" s="1"/>
  <c r="U7" i="8" s="1"/>
  <c r="V7" i="8" s="1"/>
  <c r="W7" i="8" s="1"/>
  <c r="X7" i="8" s="1"/>
  <c r="K5" i="8"/>
  <c r="K4" i="8"/>
  <c r="L4" i="8" s="1"/>
  <c r="M4" i="8" s="1"/>
  <c r="N4" i="8" s="1"/>
  <c r="O4" i="8" s="1"/>
  <c r="P4" i="8" s="1"/>
  <c r="Q4" i="8" s="1"/>
  <c r="R4" i="8" s="1"/>
  <c r="S4" i="8" s="1"/>
  <c r="T4" i="8" s="1"/>
  <c r="U4" i="8" s="1"/>
  <c r="V4" i="8" s="1"/>
  <c r="W4" i="8" s="1"/>
  <c r="X4" i="8" s="1"/>
  <c r="K2" i="8"/>
  <c r="L2" i="8" s="1"/>
  <c r="E10" i="4"/>
  <c r="E14" i="8" l="1"/>
  <c r="K14" i="8"/>
  <c r="M2" i="8"/>
  <c r="L5" i="8"/>
  <c r="M5" i="8" s="1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Q5" i="4"/>
  <c r="R5" i="4" s="1"/>
  <c r="S5" i="4" s="1"/>
  <c r="T5" i="4" s="1"/>
  <c r="Q6" i="4"/>
  <c r="R6" i="4"/>
  <c r="S6" i="4"/>
  <c r="T6" i="4" s="1"/>
  <c r="Q7" i="4"/>
  <c r="R7" i="4"/>
  <c r="S7" i="4"/>
  <c r="T7" i="4" s="1"/>
  <c r="Q8" i="4"/>
  <c r="R8" i="4" s="1"/>
  <c r="S8" i="4" s="1"/>
  <c r="T8" i="4" s="1"/>
  <c r="I17" i="2"/>
  <c r="R13" i="2"/>
  <c r="S13" i="2" s="1"/>
  <c r="N16" i="2"/>
  <c r="O10" i="2"/>
  <c r="O9" i="2"/>
  <c r="P9" i="2" s="1"/>
  <c r="O6" i="2"/>
  <c r="P6" i="2" s="1"/>
  <c r="M16" i="2"/>
  <c r="B38" i="2"/>
  <c r="B39" i="2" s="1"/>
  <c r="P10" i="2"/>
  <c r="F15" i="6"/>
  <c r="L14" i="8" l="1"/>
  <c r="N2" i="8"/>
  <c r="M14" i="8"/>
  <c r="E15" i="6"/>
  <c r="F5" i="6"/>
  <c r="E4" i="6"/>
  <c r="E3" i="6"/>
  <c r="E11" i="2"/>
  <c r="T24" i="2"/>
  <c r="T25" i="2"/>
  <c r="R24" i="2"/>
  <c r="R25" i="2" s="1"/>
  <c r="Q33" i="2"/>
  <c r="R33" i="2" s="1"/>
  <c r="R35" i="2" s="1"/>
  <c r="R36" i="2" s="1"/>
  <c r="Q34" i="2"/>
  <c r="R34" i="2"/>
  <c r="Q29" i="2"/>
  <c r="R29" i="2"/>
  <c r="Q30" i="2"/>
  <c r="R30" i="2"/>
  <c r="R31" i="2"/>
  <c r="J33" i="2"/>
  <c r="P22" i="2"/>
  <c r="F64" i="7"/>
  <c r="F65" i="7"/>
  <c r="G54" i="7"/>
  <c r="G64" i="7"/>
  <c r="G31" i="7"/>
  <c r="G48" i="7"/>
  <c r="F49" i="7"/>
  <c r="F48" i="7"/>
  <c r="G38" i="7"/>
  <c r="F32" i="7"/>
  <c r="F31" i="7"/>
  <c r="G21" i="7"/>
  <c r="F4" i="5"/>
  <c r="E14" i="5"/>
  <c r="L31" i="2"/>
  <c r="M21" i="2"/>
  <c r="G2" i="4"/>
  <c r="G14" i="4" s="1"/>
  <c r="G3" i="4"/>
  <c r="H3" i="4" s="1"/>
  <c r="I3" i="4" s="1"/>
  <c r="J3" i="4" s="1"/>
  <c r="K3" i="4" s="1"/>
  <c r="L3" i="4" s="1"/>
  <c r="M3" i="4" s="1"/>
  <c r="N3" i="4" s="1"/>
  <c r="O3" i="4" s="1"/>
  <c r="P3" i="4" s="1"/>
  <c r="Q3" i="4" s="1"/>
  <c r="R3" i="4" s="1"/>
  <c r="S3" i="4" s="1"/>
  <c r="T3" i="4" s="1"/>
  <c r="G4" i="4"/>
  <c r="H4" i="4"/>
  <c r="G5" i="4"/>
  <c r="H5" i="4"/>
  <c r="G6" i="4"/>
  <c r="H6" i="4"/>
  <c r="G7" i="4"/>
  <c r="H7" i="4"/>
  <c r="G8" i="4"/>
  <c r="H8" i="4"/>
  <c r="I4" i="4"/>
  <c r="J4" i="4" s="1"/>
  <c r="I5" i="4"/>
  <c r="I6" i="4"/>
  <c r="I7" i="4"/>
  <c r="I8" i="4"/>
  <c r="J5" i="4"/>
  <c r="J6" i="4"/>
  <c r="J7" i="4"/>
  <c r="J8" i="4"/>
  <c r="K5" i="4"/>
  <c r="K6" i="4"/>
  <c r="K7" i="4"/>
  <c r="K8" i="4"/>
  <c r="L5" i="4"/>
  <c r="L6" i="4"/>
  <c r="L7" i="4"/>
  <c r="L8" i="4"/>
  <c r="M5" i="4"/>
  <c r="M6" i="4"/>
  <c r="M7" i="4"/>
  <c r="M8" i="4"/>
  <c r="N5" i="4"/>
  <c r="N6" i="4"/>
  <c r="N7" i="4"/>
  <c r="N8" i="4"/>
  <c r="O5" i="4"/>
  <c r="O6" i="4"/>
  <c r="O7" i="4"/>
  <c r="O8" i="4"/>
  <c r="P5" i="4"/>
  <c r="P6" i="4"/>
  <c r="P7" i="4"/>
  <c r="P8" i="4"/>
  <c r="E9" i="4"/>
  <c r="E11" i="4"/>
  <c r="E12" i="4"/>
  <c r="F8" i="3"/>
  <c r="E8" i="3"/>
  <c r="H8" i="3"/>
  <c r="G8" i="3"/>
  <c r="E13" i="3"/>
  <c r="E17" i="3"/>
  <c r="E20" i="3"/>
  <c r="E24" i="3"/>
  <c r="E28" i="3"/>
  <c r="N9" i="3"/>
  <c r="O11" i="3"/>
  <c r="O12" i="3"/>
  <c r="G10" i="3"/>
  <c r="G19" i="3"/>
  <c r="G15" i="3"/>
  <c r="G9" i="3"/>
  <c r="I5" i="3"/>
  <c r="I2" i="3"/>
  <c r="N8" i="3"/>
  <c r="N7" i="3"/>
  <c r="E4" i="2"/>
  <c r="E5" i="2"/>
  <c r="E8" i="2"/>
  <c r="E13" i="2"/>
  <c r="F16" i="2"/>
  <c r="F26" i="2"/>
  <c r="J28" i="1"/>
  <c r="F3" i="1"/>
  <c r="H30" i="1"/>
  <c r="F28" i="1"/>
  <c r="E16" i="1"/>
  <c r="E14" i="1"/>
  <c r="E12" i="1"/>
  <c r="E20" i="1"/>
  <c r="E19" i="1"/>
  <c r="E9" i="1"/>
  <c r="E18" i="1"/>
  <c r="E8" i="1"/>
  <c r="E7" i="1"/>
  <c r="O2" i="8" l="1"/>
  <c r="N14" i="8"/>
  <c r="H2" i="4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K4" i="4"/>
  <c r="E14" i="4"/>
  <c r="E18" i="4" s="1"/>
  <c r="E26" i="2"/>
  <c r="P2" i="8" l="1"/>
  <c r="O14" i="8"/>
  <c r="H14" i="4"/>
  <c r="I14" i="4"/>
  <c r="J14" i="4"/>
  <c r="K14" i="4"/>
  <c r="L4" i="4"/>
  <c r="P14" i="8" l="1"/>
  <c r="Q2" i="8"/>
  <c r="L14" i="4"/>
  <c r="M4" i="4"/>
  <c r="Q14" i="8" l="1"/>
  <c r="R2" i="8"/>
  <c r="M14" i="4"/>
  <c r="N4" i="4"/>
  <c r="R14" i="8" l="1"/>
  <c r="S2" i="8"/>
  <c r="N14" i="4"/>
  <c r="O4" i="4"/>
  <c r="S14" i="8" l="1"/>
  <c r="T2" i="8"/>
  <c r="O14" i="4"/>
  <c r="P4" i="4"/>
  <c r="U2" i="8" l="1"/>
  <c r="V2" i="8" s="1"/>
  <c r="W2" i="8" s="1"/>
  <c r="X2" i="8" s="1"/>
  <c r="T14" i="8"/>
  <c r="Q4" i="4"/>
  <c r="R4" i="4" s="1"/>
  <c r="S4" i="4" s="1"/>
  <c r="T4" i="4" s="1"/>
  <c r="P14" i="4"/>
  <c r="L16" i="2"/>
  <c r="F16" i="7"/>
  <c r="G1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tc={3B707472-E4FB-4190-99DF-4A899FF2AC8A}</author>
    <author>tc={FC5AFE5A-B9B3-4088-86FF-6C86010C1643}</author>
  </authors>
  <commentList>
    <comment ref="M11" authorId="0" shapeId="0" xr:uid="{3B707472-E4FB-4190-99DF-4A899FF2AC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Payment done from Arun Virar Mortgage loan of ₹20,00,000
₹17,00,000 Repay to Rahul and ₹3,00,000 Paid to home loan to reduce the Monthly EMI Burden
</t>
      </text>
    </comment>
    <comment ref="N11" authorId="1" shapeId="0" xr:uid="{FC5AFE5A-B9B3-4088-86FF-6C86010C16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Repayment using Paresh Karande 1.5 Lakh, need to repay Paresh by end of 2027</t>
      </text>
    </comment>
  </commentList>
</comments>
</file>

<file path=xl/sharedStrings.xml><?xml version="1.0" encoding="utf-8"?>
<sst xmlns="http://schemas.openxmlformats.org/spreadsheetml/2006/main" count="730" uniqueCount="86">
  <si>
    <t>Owner</t>
  </si>
  <si>
    <t>Type</t>
  </si>
  <si>
    <t>Bank</t>
  </si>
  <si>
    <t>EMI Date</t>
  </si>
  <si>
    <t>Amount</t>
  </si>
  <si>
    <t>Outstanding</t>
  </si>
  <si>
    <t>Dharmesh</t>
  </si>
  <si>
    <t>CC</t>
  </si>
  <si>
    <t>HDFC CC</t>
  </si>
  <si>
    <t>Tata Card CC</t>
  </si>
  <si>
    <t>Vinod</t>
  </si>
  <si>
    <t>SBI CC</t>
  </si>
  <si>
    <t>Yagnesh</t>
  </si>
  <si>
    <t>RBL</t>
  </si>
  <si>
    <t>Chetan SIP</t>
  </si>
  <si>
    <t>IDFC</t>
  </si>
  <si>
    <t>Bajaj</t>
  </si>
  <si>
    <t>HDFC Jumbo</t>
  </si>
  <si>
    <t>Arun</t>
  </si>
  <si>
    <t>EMI</t>
  </si>
  <si>
    <t>ICICI ML</t>
  </si>
  <si>
    <t>HDFC PL</t>
  </si>
  <si>
    <t>Chetan HDFC</t>
  </si>
  <si>
    <t>HDFC</t>
  </si>
  <si>
    <t>Axis Priveldege</t>
  </si>
  <si>
    <t>RBL CC</t>
  </si>
  <si>
    <t>HSBC CC</t>
  </si>
  <si>
    <t>AXIS Citi</t>
  </si>
  <si>
    <t xml:space="preserve">Arun </t>
  </si>
  <si>
    <t>ICICI</t>
  </si>
  <si>
    <t>Narottam</t>
  </si>
  <si>
    <t>Bharat bank</t>
  </si>
  <si>
    <t>Citi -Axis</t>
  </si>
  <si>
    <t>Axis MM</t>
  </si>
  <si>
    <t>Credit card Repayment</t>
  </si>
  <si>
    <t>ALL CC</t>
  </si>
  <si>
    <t>Row Labels</t>
  </si>
  <si>
    <t>(blank)</t>
  </si>
  <si>
    <t>Grand Total</t>
  </si>
  <si>
    <t>Sum of Outstanding</t>
  </si>
  <si>
    <t>Rahul</t>
  </si>
  <si>
    <t>Loan</t>
  </si>
  <si>
    <t>-</t>
  </si>
  <si>
    <t>BOB</t>
  </si>
  <si>
    <t>Cash Credit</t>
  </si>
  <si>
    <t>Sadhana</t>
  </si>
  <si>
    <t>Paid(30-11-25)</t>
  </si>
  <si>
    <t>Paid(10-12-25)</t>
  </si>
  <si>
    <t>SBI HL</t>
  </si>
  <si>
    <t>14MONTH</t>
  </si>
  <si>
    <t>2MONTH</t>
  </si>
  <si>
    <t>47MONTH</t>
  </si>
  <si>
    <t>Vinod HDFC</t>
  </si>
  <si>
    <t>Total EMI</t>
  </si>
  <si>
    <t>20years @7.5%</t>
  </si>
  <si>
    <t>1st year interrest</t>
  </si>
  <si>
    <t>2nd Years Interest</t>
  </si>
  <si>
    <t>HL Will be close in 11 month</t>
  </si>
  <si>
    <t>O/s  1st Year</t>
  </si>
  <si>
    <t>O/s  2nd Year</t>
  </si>
  <si>
    <t>Option 1 -Partially close Credit card</t>
  </si>
  <si>
    <t xml:space="preserve">Balance </t>
  </si>
  <si>
    <t>Option 2 -Partially close Credit card with move Bharat bank to SBI</t>
  </si>
  <si>
    <t>SBI</t>
  </si>
  <si>
    <t>Option 3 -Partially close Credit card with move Bharat bank to SBI and Additonal Fund of  17 Lakh</t>
  </si>
  <si>
    <t>remaining need to pay by 1.5 lakh per month so within 9 month rahul loan will be closed</t>
  </si>
  <si>
    <t xml:space="preserve">By Closing credit card </t>
  </si>
  <si>
    <t>Monthly</t>
  </si>
  <si>
    <t>Yearly</t>
  </si>
  <si>
    <t xml:space="preserve">SIP </t>
  </si>
  <si>
    <t>Mode</t>
  </si>
  <si>
    <t>Total Interest Earned</t>
  </si>
  <si>
    <t>Total Interest Paid</t>
  </si>
  <si>
    <t>Balance(-)</t>
  </si>
  <si>
    <t>Comments</t>
  </si>
  <si>
    <t>SBI Amount without close HL</t>
  </si>
  <si>
    <t>SBI Amount without close HL and
 take extra 17 Lakh</t>
  </si>
  <si>
    <t>Rahul Loan Charges on 17 Lakh</t>
  </si>
  <si>
    <t>compare with Existing Vs Rahul Loan</t>
  </si>
  <si>
    <t>Gold Loan</t>
  </si>
  <si>
    <t>Arun Payment</t>
  </si>
  <si>
    <t>1`00000</t>
  </si>
  <si>
    <t>All CC</t>
  </si>
  <si>
    <t>PL</t>
  </si>
  <si>
    <t>Sadhana CC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</si>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</sst>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dd/mmm/yyyy"/>
    <numFmt numFmtId="165" formatCode="_ &quot;₹&quot;\ * #,##0_ ;_ &quot;₹&quot;\ * \-#,##0_ ;_ &quot;₹&quot;\ * &quot;-&quot;??_ ;_ @_ "/>
    <numFmt numFmtId="166" formatCode="_ &quot;₹&quot;\ * #,##0.0_ ;_ &quot;₹&quot;\ * \-#,##0.0_ ;_ &quot;₹&quot;\ * &quot;-&quot;?_ ;_ @_ "/>
    <numFmt numFmtId="167" formatCode="_ &quot;₹&quot;\ * #,##0_ ;_ &quot;₹&quot;\ * \-#,##0_ ;_ &quot;₹&quot;\ * &quot;-&quot;???_ ;_ @_ "/>
    <numFmt numFmtId="168" formatCode="&quot;₹&quot;\ #,##0"/>
    <numFmt numFmtId="169" formatCode="_ &quot;₹&quot;\ * #,##0.0000_ ;_ &quot;₹&quot;\ * \-#,##0.0000_ ;_ &quot;₹&quot;\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scheme val="minor"/>
    </font>
    <font>
      <sz val="11"/>
      <color rgb="FFFF000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5" fontId="0" fillId="0" borderId="0" xfId="1" applyNumberFormat="1" applyFont="1"/>
    <xf numFmtId="0" fontId="0" fillId="0" borderId="6" xfId="0" applyBorder="1" applyAlignment="1">
      <alignment horizontal="center" vertical="center"/>
    </xf>
    <xf numFmtId="166" fontId="0" fillId="0" borderId="0" xfId="0" applyNumberFormat="1"/>
    <xf numFmtId="165" fontId="0" fillId="0" borderId="6" xfId="1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1" applyNumberFormat="1" applyFont="1" applyFill="1" applyBorder="1" applyAlignment="1">
      <alignment horizontal="center" vertical="center"/>
    </xf>
    <xf numFmtId="165" fontId="0" fillId="0" borderId="6" xfId="1" applyNumberFormat="1" applyFont="1" applyBorder="1" applyAlignment="1">
      <alignment horizontal="center" vertical="center"/>
    </xf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4" fontId="0" fillId="0" borderId="0" xfId="0" applyNumberFormat="1"/>
    <xf numFmtId="165" fontId="0" fillId="3" borderId="4" xfId="1" applyNumberFormat="1" applyFont="1" applyFill="1" applyBorder="1" applyAlignment="1">
      <alignment horizontal="center" vertical="center"/>
    </xf>
    <xf numFmtId="0" fontId="3" fillId="0" borderId="0" xfId="0" applyFont="1"/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165" fontId="4" fillId="0" borderId="4" xfId="1" applyNumberFormat="1" applyFont="1" applyFill="1" applyBorder="1" applyAlignment="1">
      <alignment horizontal="center" vertical="center"/>
    </xf>
    <xf numFmtId="165" fontId="0" fillId="3" borderId="0" xfId="1" applyNumberFormat="1" applyFont="1" applyFill="1" applyBorder="1" applyAlignment="1">
      <alignment horizontal="center" vertical="center"/>
    </xf>
    <xf numFmtId="165" fontId="0" fillId="3" borderId="6" xfId="1" applyNumberFormat="1" applyFont="1" applyFill="1" applyBorder="1" applyAlignment="1">
      <alignment horizontal="center" vertical="center"/>
    </xf>
    <xf numFmtId="165" fontId="4" fillId="4" borderId="0" xfId="0" applyNumberFormat="1" applyFont="1" applyFill="1"/>
    <xf numFmtId="17" fontId="0" fillId="0" borderId="0" xfId="0" applyNumberFormat="1"/>
    <xf numFmtId="44" fontId="0" fillId="0" borderId="0" xfId="0" applyNumberFormat="1"/>
    <xf numFmtId="167" fontId="0" fillId="0" borderId="0" xfId="0" applyNumberFormat="1"/>
    <xf numFmtId="165" fontId="0" fillId="0" borderId="4" xfId="1" applyNumberFormat="1" applyFont="1" applyBorder="1"/>
    <xf numFmtId="14" fontId="0" fillId="0" borderId="4" xfId="0" applyNumberFormat="1" applyBorder="1"/>
    <xf numFmtId="165" fontId="0" fillId="0" borderId="4" xfId="1" applyNumberFormat="1" applyFont="1" applyFill="1" applyBorder="1" applyAlignment="1">
      <alignment horizontal="center" vertical="center"/>
    </xf>
    <xf numFmtId="165" fontId="0" fillId="0" borderId="7" xfId="1" applyNumberFormat="1" applyFont="1" applyBorder="1" applyAlignment="1">
      <alignment horizontal="center" vertical="center"/>
    </xf>
    <xf numFmtId="166" fontId="0" fillId="0" borderId="4" xfId="0" applyNumberFormat="1" applyBorder="1"/>
    <xf numFmtId="165" fontId="2" fillId="0" borderId="0" xfId="0" applyNumberFormat="1" applyFont="1"/>
    <xf numFmtId="44" fontId="0" fillId="0" borderId="0" xfId="1" applyFont="1"/>
    <xf numFmtId="0" fontId="5" fillId="0" borderId="4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5" fontId="5" fillId="0" borderId="4" xfId="1" applyNumberFormat="1" applyFont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2" fillId="2" borderId="4" xfId="0" applyFont="1" applyFill="1" applyBorder="1" applyAlignment="1">
      <alignment horizontal="center" vertical="center"/>
    </xf>
    <xf numFmtId="0" fontId="0" fillId="0" borderId="4" xfId="0" applyBorder="1"/>
    <xf numFmtId="0" fontId="2" fillId="0" borderId="4" xfId="0" applyFont="1" applyBorder="1" applyAlignment="1">
      <alignment horizontal="center" vertical="center"/>
    </xf>
    <xf numFmtId="165" fontId="2" fillId="0" borderId="4" xfId="0" applyNumberFormat="1" applyFont="1" applyBorder="1"/>
    <xf numFmtId="44" fontId="0" fillId="0" borderId="4" xfId="0" applyNumberFormat="1" applyBorder="1" applyAlignment="1">
      <alignment wrapText="1"/>
    </xf>
    <xf numFmtId="165" fontId="2" fillId="3" borderId="4" xfId="0" applyNumberFormat="1" applyFont="1" applyFill="1" applyBorder="1"/>
    <xf numFmtId="168" fontId="0" fillId="0" borderId="0" xfId="0" applyNumberFormat="1"/>
    <xf numFmtId="0" fontId="2" fillId="0" borderId="4" xfId="0" applyFont="1" applyBorder="1"/>
    <xf numFmtId="0" fontId="2" fillId="5" borderId="4" xfId="0" applyFont="1" applyFill="1" applyBorder="1" applyAlignment="1">
      <alignment horizontal="center"/>
    </xf>
    <xf numFmtId="165" fontId="0" fillId="0" borderId="4" xfId="0" applyNumberFormat="1" applyBorder="1" applyAlignment="1">
      <alignment horizontal="center" vertical="center"/>
    </xf>
    <xf numFmtId="165" fontId="0" fillId="0" borderId="4" xfId="2" applyNumberFormat="1" applyFont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center" vertical="center"/>
    </xf>
    <xf numFmtId="165" fontId="2" fillId="0" borderId="4" xfId="1" applyNumberFormat="1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165" fontId="0" fillId="6" borderId="4" xfId="1" applyNumberFormat="1" applyFont="1" applyFill="1" applyBorder="1" applyAlignment="1">
      <alignment horizontal="center" vertical="center"/>
    </xf>
    <xf numFmtId="0" fontId="0" fillId="6" borderId="4" xfId="0" applyFill="1" applyBorder="1"/>
    <xf numFmtId="165" fontId="4" fillId="6" borderId="4" xfId="1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5" fontId="0" fillId="0" borderId="0" xfId="0" applyNumberFormat="1"/>
    <xf numFmtId="165" fontId="0" fillId="3" borderId="0" xfId="0" applyNumberFormat="1" applyFill="1"/>
    <xf numFmtId="165" fontId="0" fillId="0" borderId="0" xfId="3" applyNumberFormat="1" applyFont="1"/>
    <xf numFmtId="0" fontId="0" fillId="3" borderId="0" xfId="0" applyFill="1"/>
    <xf numFmtId="169" fontId="0" fillId="0" borderId="0" xfId="1" applyNumberFormat="1" applyFon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top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u, Dharmesh" id="{B98F2ADD-BD96-4104-BBD0-A163A7DB7F31}" userId="S::dharmesh.maru@capgemini.com::0b10252e-92cf-475f-b863-709aba8d040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u, Dharmesh" refreshedDate="45953.880344328703" createdVersion="8" refreshedVersion="8" minRefreshableVersion="3" recordCount="32" xr:uid="{33EF3C45-324B-4E89-83AB-E8546AF7CDE9}">
  <cacheSource type="worksheet">
    <worksheetSource ref="A1:F1048576" sheet="NOV-25"/>
  </cacheSource>
  <cacheFields count="6">
    <cacheField name="Owner" numFmtId="0">
      <sharedItems containsBlank="1" count="11">
        <s v="Arun"/>
        <s v="Arun "/>
        <s v="Chetan HDFC"/>
        <s v="Chetan SIP"/>
        <s v="Dharmesh"/>
        <s v="Narottam"/>
        <s v="Vinod"/>
        <s v="Yagnesh"/>
        <s v="Rahul"/>
        <s v="Sadhana"/>
        <m/>
      </sharedItems>
    </cacheField>
    <cacheField name="Type" numFmtId="0">
      <sharedItems containsBlank="1" count="6">
        <s v="EMI"/>
        <s v="Credit card Repayment"/>
        <s v="CC"/>
        <s v="Loan"/>
        <s v="Cash Credit"/>
        <m/>
      </sharedItems>
    </cacheField>
    <cacheField name="Bank" numFmtId="0">
      <sharedItems containsBlank="1"/>
    </cacheField>
    <cacheField name="EMI Date" numFmtId="0">
      <sharedItems containsNonDate="0" containsDate="1" containsString="0" containsBlank="1" minDate="2025-07-26T00:00:00" maxDate="2025-11-02T00:00:00"/>
    </cacheField>
    <cacheField name="Amount" numFmtId="0">
      <sharedItems containsBlank="1" containsMixedTypes="1" containsNumber="1" minValue="537.5" maxValue="70000"/>
    </cacheField>
    <cacheField name="Outstanding" numFmtId="0">
      <sharedItems containsString="0" containsBlank="1" containsNumber="1" containsInteger="1" minValue="17000" maxValue="197825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x v="0"/>
    <s v="ICICI ML"/>
    <d v="2025-08-05T00:00:00"/>
    <n v="37000"/>
    <n v="2368000"/>
  </r>
  <r>
    <x v="0"/>
    <x v="1"/>
    <s v="ALL CC"/>
    <d v="2025-08-10T00:00:00"/>
    <n v="70000"/>
    <n v="500000"/>
  </r>
  <r>
    <x v="1"/>
    <x v="0"/>
    <s v="ICICI"/>
    <d v="2025-08-10T00:00:00"/>
    <n v="35000"/>
    <n v="608000"/>
  </r>
  <r>
    <x v="2"/>
    <x v="0"/>
    <s v="HDFC"/>
    <d v="2025-08-06T00:00:00"/>
    <n v="12900"/>
    <n v="750000"/>
  </r>
  <r>
    <x v="3"/>
    <x v="0"/>
    <s v="IDFC"/>
    <d v="2025-08-04T00:00:00"/>
    <n v="20000"/>
    <n v="360000"/>
  </r>
  <r>
    <x v="4"/>
    <x v="2"/>
    <s v="HDFC CC"/>
    <d v="2025-07-26T00:00:00"/>
    <n v="6006"/>
    <n v="273000"/>
  </r>
  <r>
    <x v="4"/>
    <x v="2"/>
    <s v="Tata Card CC"/>
    <d v="2025-07-30T00:00:00"/>
    <n v="537.5"/>
    <n v="25000"/>
  </r>
  <r>
    <x v="4"/>
    <x v="2"/>
    <s v="SBI CC"/>
    <d v="2025-08-04T00:00:00"/>
    <n v="1725"/>
    <n v="69000"/>
  </r>
  <r>
    <x v="4"/>
    <x v="0"/>
    <s v="Bajaj"/>
    <d v="2025-08-04T00:00:00"/>
    <n v="18600"/>
    <n v="450000"/>
  </r>
  <r>
    <x v="4"/>
    <x v="0"/>
    <s v="HDFC PL"/>
    <d v="2025-08-06T00:00:00"/>
    <n v="59663"/>
    <n v="2800000"/>
  </r>
  <r>
    <x v="4"/>
    <x v="2"/>
    <s v="Axis Priveldege"/>
    <d v="2025-08-07T00:00:00"/>
    <n v="6143.2750000000005"/>
    <n v="245731"/>
  </r>
  <r>
    <x v="4"/>
    <x v="2"/>
    <s v="RBL CC"/>
    <d v="2025-08-07T00:00:00"/>
    <n v="1100"/>
    <n v="17000"/>
  </r>
  <r>
    <x v="4"/>
    <x v="2"/>
    <s v="SBI CC"/>
    <d v="2025-08-10T00:00:00"/>
    <n v="1635"/>
    <n v="75000"/>
  </r>
  <r>
    <x v="4"/>
    <x v="2"/>
    <s v="Citi -Axis"/>
    <d v="2025-08-10T00:00:00"/>
    <n v="3891"/>
    <n v="31800"/>
  </r>
  <r>
    <x v="4"/>
    <x v="2"/>
    <s v="Axis MM"/>
    <d v="2025-08-10T00:00:00"/>
    <n v="6825"/>
    <n v="273000"/>
  </r>
  <r>
    <x v="5"/>
    <x v="0"/>
    <s v="Bharat bank"/>
    <d v="2025-08-10T00:00:00"/>
    <n v="35000"/>
    <n v="3400000"/>
  </r>
  <r>
    <x v="6"/>
    <x v="2"/>
    <s v="SBI CC"/>
    <d v="2025-08-01T00:00:00"/>
    <n v="9375"/>
    <n v="375000"/>
  </r>
  <r>
    <x v="6"/>
    <x v="2"/>
    <s v="HDFC Jumbo"/>
    <d v="2025-08-05T00:00:00"/>
    <n v="15068"/>
    <n v="250000"/>
  </r>
  <r>
    <x v="6"/>
    <x v="2"/>
    <s v="HDFC CC"/>
    <d v="2025-08-06T00:00:00"/>
    <n v="14662.999999999998"/>
    <n v="682000"/>
  </r>
  <r>
    <x v="7"/>
    <x v="2"/>
    <s v="RBL"/>
    <d v="2025-08-02T00:00:00"/>
    <n v="9823"/>
    <n v="200000"/>
  </r>
  <r>
    <x v="7"/>
    <x v="2"/>
    <s v="HSBC CC"/>
    <d v="2025-08-07T00:00:00"/>
    <n v="13185"/>
    <n v="217000"/>
  </r>
  <r>
    <x v="7"/>
    <x v="2"/>
    <s v="HDFC CC"/>
    <d v="2025-08-09T00:00:00"/>
    <n v="11532"/>
    <n v="205000"/>
  </r>
  <r>
    <x v="7"/>
    <x v="2"/>
    <s v="AXIS Citi"/>
    <d v="2025-08-10T00:00:00"/>
    <n v="6500"/>
    <n v="108000"/>
  </r>
  <r>
    <x v="8"/>
    <x v="3"/>
    <s v="HDFC"/>
    <d v="2025-08-10T00:00:00"/>
    <s v="-"/>
    <n v="2500000"/>
  </r>
  <r>
    <x v="9"/>
    <x v="4"/>
    <s v="BOB"/>
    <d v="2025-11-01T00:00:00"/>
    <n v="30000"/>
    <n v="3000000"/>
  </r>
  <r>
    <x v="10"/>
    <x v="5"/>
    <m/>
    <m/>
    <m/>
    <m/>
  </r>
  <r>
    <x v="10"/>
    <x v="5"/>
    <m/>
    <m/>
    <m/>
    <n v="19782531"/>
  </r>
  <r>
    <x v="10"/>
    <x v="5"/>
    <m/>
    <m/>
    <m/>
    <m/>
  </r>
  <r>
    <x v="10"/>
    <x v="5"/>
    <m/>
    <m/>
    <m/>
    <m/>
  </r>
  <r>
    <x v="10"/>
    <x v="5"/>
    <m/>
    <m/>
    <m/>
    <m/>
  </r>
  <r>
    <x v="10"/>
    <x v="5"/>
    <m/>
    <m/>
    <m/>
    <m/>
  </r>
  <r>
    <x v="10"/>
    <x v="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D9252-7851-43D0-AED2-926CE31687B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23" firstHeaderRow="1" firstDataRow="1" firstDataCol="1"/>
  <pivotFields count="6">
    <pivotField axis="axisRow" showAll="0">
      <items count="12">
        <item x="0"/>
        <item x="1"/>
        <item x="2"/>
        <item x="3"/>
        <item x="4"/>
        <item x="5"/>
        <item x="6"/>
        <item x="7"/>
        <item x="10"/>
        <item x="8"/>
        <item x="9"/>
        <item t="default"/>
      </items>
    </pivotField>
    <pivotField axis="axisRow" showAll="0">
      <items count="7">
        <item x="2"/>
        <item x="1"/>
        <item x="0"/>
        <item x="5"/>
        <item x="3"/>
        <item x="4"/>
        <item t="default"/>
      </items>
    </pivotField>
    <pivotField showAll="0"/>
    <pivotField showAll="0"/>
    <pivotField showAll="0"/>
    <pivotField dataField="1" showAll="0"/>
  </pivotFields>
  <rowFields count="2">
    <field x="1"/>
    <field x="0"/>
  </rowFields>
  <rowItems count="20">
    <i>
      <x/>
    </i>
    <i r="1">
      <x v="4"/>
    </i>
    <i r="1">
      <x v="6"/>
    </i>
    <i r="1">
      <x v="7"/>
    </i>
    <i>
      <x v="1"/>
    </i>
    <i r="1">
      <x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 v="8"/>
    </i>
    <i>
      <x v="4"/>
    </i>
    <i r="1">
      <x v="9"/>
    </i>
    <i>
      <x v="5"/>
    </i>
    <i r="1">
      <x v="10"/>
    </i>
    <i t="grand">
      <x/>
    </i>
  </rowItems>
  <colItems count="1">
    <i/>
  </colItems>
  <dataFields count="1">
    <dataField name="Sum of Outstanding" fld="5" baseField="0" baseItem="0" numFmtId="165"/>
  </dataFields>
  <formats count="2">
    <format dxfId="31">
      <pivotArea outline="0" collapsedLevelsAreSubtotals="1" fieldPosition="0"/>
    </format>
    <format dxfId="3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1" dT="2026-04-13T06:30:00.00" personId="{B98F2ADD-BD96-4104-BBD0-A163A7DB7F31}" id="{3B707472-E4FB-4190-99DF-4A899FF2AC8A}">
    <text xml:space="preserve">Payment done from Arun Virar Mortgage loan of ₹20,00,000
₹17,00,000 Repay to Rahul and ₹3,00,000 Paid to home loan to reduce the Monthly EMI Burden
</text>
  </threadedComment>
  <threadedComment ref="N11" dT="2026-04-13T06:30:54.43" personId="{B98F2ADD-BD96-4104-BBD0-A163A7DB7F31}" id="{FC5AFE5A-B9B3-4088-86FF-6C86010C1643}">
    <text>Repayment using Paresh Karande 1.5 Lakh, need to repay Paresh by end of 2027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7A7E-A5A8-4E65-B347-F0CB1F98C217}">
  <dimension ref="A1:J43"/>
  <sheetViews>
    <sheetView workbookViewId="0">
      <selection activeCell="C1" sqref="C1"/>
    </sheetView>
  </sheetViews>
  <sheetFormatPr defaultRowHeight="14.5" x14ac:dyDescent="0.35"/>
  <cols>
    <col min="1" max="1" width="11.90625" bestFit="1" customWidth="1"/>
    <col min="2" max="2" width="20.1796875" bestFit="1" customWidth="1"/>
    <col min="3" max="3" width="12.90625" bestFit="1" customWidth="1"/>
    <col min="4" max="4" width="11.08984375" bestFit="1" customWidth="1"/>
    <col min="5" max="5" width="11" bestFit="1" customWidth="1"/>
    <col min="6" max="6" width="13.6328125" bestFit="1" customWidth="1"/>
    <col min="7" max="7" width="15.453125" customWidth="1"/>
    <col min="8" max="8" width="21.90625" bestFit="1" customWidth="1"/>
    <col min="9" max="9" width="18.1796875" style="9" bestFit="1" customWidth="1"/>
    <col min="10" max="10" width="13.6328125" bestFit="1" customWidth="1"/>
  </cols>
  <sheetData>
    <row r="1" spans="1: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9" x14ac:dyDescent="0.35">
      <c r="A2" s="3" t="s">
        <v>18</v>
      </c>
      <c r="B2" s="4" t="s">
        <v>19</v>
      </c>
      <c r="C2" s="4" t="s">
        <v>20</v>
      </c>
      <c r="D2" s="5">
        <v>45966</v>
      </c>
      <c r="E2" s="6">
        <v>37000</v>
      </c>
      <c r="F2" s="6">
        <v>2368000</v>
      </c>
    </row>
    <row r="3" spans="1:9" x14ac:dyDescent="0.35">
      <c r="A3" s="16" t="s">
        <v>18</v>
      </c>
      <c r="B3" s="9" t="s">
        <v>34</v>
      </c>
      <c r="C3" s="16" t="s">
        <v>35</v>
      </c>
      <c r="D3" s="17">
        <v>45971</v>
      </c>
      <c r="E3" s="11">
        <v>70000</v>
      </c>
      <c r="F3" s="18">
        <f>500000+600000</f>
        <v>1100000</v>
      </c>
      <c r="H3" s="13" t="s">
        <v>36</v>
      </c>
      <c r="I3" s="20" t="s">
        <v>39</v>
      </c>
    </row>
    <row r="4" spans="1:9" x14ac:dyDescent="0.35">
      <c r="A4" s="3" t="s">
        <v>28</v>
      </c>
      <c r="B4" s="4" t="s">
        <v>19</v>
      </c>
      <c r="C4" s="4" t="s">
        <v>29</v>
      </c>
      <c r="D4" s="5">
        <v>45971</v>
      </c>
      <c r="E4" s="6">
        <v>35000</v>
      </c>
      <c r="F4" s="6">
        <v>608000</v>
      </c>
      <c r="H4" s="14" t="s">
        <v>7</v>
      </c>
      <c r="I4" s="20">
        <v>3046531</v>
      </c>
    </row>
    <row r="5" spans="1:9" x14ac:dyDescent="0.35">
      <c r="A5" s="3" t="s">
        <v>22</v>
      </c>
      <c r="B5" s="4" t="s">
        <v>19</v>
      </c>
      <c r="C5" s="4" t="s">
        <v>23</v>
      </c>
      <c r="D5" s="5">
        <v>45967</v>
      </c>
      <c r="E5" s="6">
        <v>12900</v>
      </c>
      <c r="F5" s="6">
        <v>750000</v>
      </c>
      <c r="H5" s="15" t="s">
        <v>6</v>
      </c>
      <c r="I5" s="20">
        <v>1009531</v>
      </c>
    </row>
    <row r="6" spans="1:9" x14ac:dyDescent="0.35">
      <c r="A6" s="3" t="s">
        <v>14</v>
      </c>
      <c r="B6" s="4" t="s">
        <v>19</v>
      </c>
      <c r="C6" s="4" t="s">
        <v>15</v>
      </c>
      <c r="D6" s="5">
        <v>45965</v>
      </c>
      <c r="E6" s="6">
        <v>20000</v>
      </c>
      <c r="F6" s="6">
        <v>360000</v>
      </c>
      <c r="H6" s="15" t="s">
        <v>10</v>
      </c>
      <c r="I6" s="20">
        <v>1307000</v>
      </c>
    </row>
    <row r="7" spans="1:9" x14ac:dyDescent="0.35">
      <c r="A7" s="3" t="s">
        <v>6</v>
      </c>
      <c r="B7" s="4" t="s">
        <v>7</v>
      </c>
      <c r="C7" s="4" t="s">
        <v>8</v>
      </c>
      <c r="D7" s="5">
        <v>45956</v>
      </c>
      <c r="E7" s="6">
        <f>F7*0.022</f>
        <v>6006</v>
      </c>
      <c r="F7" s="6">
        <v>273000</v>
      </c>
      <c r="H7" s="15" t="s">
        <v>12</v>
      </c>
      <c r="I7" s="20">
        <v>730000</v>
      </c>
    </row>
    <row r="8" spans="1:9" x14ac:dyDescent="0.35">
      <c r="A8" s="3" t="s">
        <v>6</v>
      </c>
      <c r="B8" s="4" t="s">
        <v>7</v>
      </c>
      <c r="C8" s="4" t="s">
        <v>9</v>
      </c>
      <c r="D8" s="5">
        <v>45960</v>
      </c>
      <c r="E8" s="6">
        <f>F8*0.0215</f>
        <v>537.5</v>
      </c>
      <c r="F8" s="23">
        <v>25000</v>
      </c>
      <c r="H8" s="14" t="s">
        <v>34</v>
      </c>
      <c r="I8" s="20">
        <v>500000</v>
      </c>
    </row>
    <row r="9" spans="1:9" x14ac:dyDescent="0.35">
      <c r="A9" s="3" t="s">
        <v>6</v>
      </c>
      <c r="B9" s="4" t="s">
        <v>7</v>
      </c>
      <c r="C9" s="4" t="s">
        <v>11</v>
      </c>
      <c r="D9" s="5">
        <v>45965</v>
      </c>
      <c r="E9" s="6">
        <f>F9*0.025</f>
        <v>1725</v>
      </c>
      <c r="F9" s="6">
        <v>69000</v>
      </c>
      <c r="H9" s="15" t="s">
        <v>18</v>
      </c>
      <c r="I9" s="20">
        <v>500000</v>
      </c>
    </row>
    <row r="10" spans="1:9" x14ac:dyDescent="0.35">
      <c r="A10" s="3" t="s">
        <v>6</v>
      </c>
      <c r="B10" s="4" t="s">
        <v>19</v>
      </c>
      <c r="C10" s="4" t="s">
        <v>16</v>
      </c>
      <c r="D10" s="5">
        <v>45965</v>
      </c>
      <c r="E10" s="6">
        <v>18600</v>
      </c>
      <c r="F10" s="6">
        <v>450000</v>
      </c>
      <c r="H10" s="14" t="s">
        <v>19</v>
      </c>
      <c r="I10" s="20">
        <v>10736000</v>
      </c>
    </row>
    <row r="11" spans="1:9" x14ac:dyDescent="0.35">
      <c r="A11" s="3" t="s">
        <v>6</v>
      </c>
      <c r="B11" s="4" t="s">
        <v>19</v>
      </c>
      <c r="C11" s="4" t="s">
        <v>21</v>
      </c>
      <c r="D11" s="5">
        <v>45967</v>
      </c>
      <c r="E11" s="6">
        <v>59663</v>
      </c>
      <c r="F11" s="6">
        <v>2800000</v>
      </c>
      <c r="H11" s="15" t="s">
        <v>18</v>
      </c>
      <c r="I11" s="20">
        <v>2368000</v>
      </c>
    </row>
    <row r="12" spans="1:9" x14ac:dyDescent="0.35">
      <c r="A12" s="3" t="s">
        <v>6</v>
      </c>
      <c r="B12" s="4" t="s">
        <v>7</v>
      </c>
      <c r="C12" s="4" t="s">
        <v>24</v>
      </c>
      <c r="D12" s="5">
        <v>45968</v>
      </c>
      <c r="E12" s="6">
        <f>F12*0.025</f>
        <v>6143.2750000000005</v>
      </c>
      <c r="F12" s="6">
        <v>245731</v>
      </c>
      <c r="H12" s="15" t="s">
        <v>28</v>
      </c>
      <c r="I12" s="20">
        <v>608000</v>
      </c>
    </row>
    <row r="13" spans="1:9" x14ac:dyDescent="0.35">
      <c r="A13" s="3" t="s">
        <v>6</v>
      </c>
      <c r="B13" s="4" t="s">
        <v>7</v>
      </c>
      <c r="C13" s="4" t="s">
        <v>25</v>
      </c>
      <c r="D13" s="5">
        <v>45968</v>
      </c>
      <c r="E13" s="6">
        <v>1100</v>
      </c>
      <c r="F13" s="23">
        <v>17000</v>
      </c>
      <c r="H13" s="15" t="s">
        <v>22</v>
      </c>
      <c r="I13" s="20">
        <v>750000</v>
      </c>
    </row>
    <row r="14" spans="1:9" x14ac:dyDescent="0.35">
      <c r="A14" s="3" t="s">
        <v>6</v>
      </c>
      <c r="B14" s="4" t="s">
        <v>7</v>
      </c>
      <c r="C14" s="4" t="s">
        <v>11</v>
      </c>
      <c r="D14" s="5">
        <v>45971</v>
      </c>
      <c r="E14" s="6">
        <f>F14*0.0218</f>
        <v>1635</v>
      </c>
      <c r="F14" s="23">
        <v>75000</v>
      </c>
      <c r="H14" s="15" t="s">
        <v>14</v>
      </c>
      <c r="I14" s="20">
        <v>360000</v>
      </c>
    </row>
    <row r="15" spans="1:9" x14ac:dyDescent="0.35">
      <c r="A15" s="3" t="s">
        <v>6</v>
      </c>
      <c r="B15" s="4" t="s">
        <v>7</v>
      </c>
      <c r="C15" s="4" t="s">
        <v>32</v>
      </c>
      <c r="D15" s="5">
        <v>45971</v>
      </c>
      <c r="E15" s="6">
        <v>3891</v>
      </c>
      <c r="F15" s="23">
        <v>31800</v>
      </c>
      <c r="H15" s="15" t="s">
        <v>6</v>
      </c>
      <c r="I15" s="20">
        <v>3250000</v>
      </c>
    </row>
    <row r="16" spans="1:9" x14ac:dyDescent="0.35">
      <c r="A16" s="3" t="s">
        <v>6</v>
      </c>
      <c r="B16" s="4" t="s">
        <v>7</v>
      </c>
      <c r="C16" s="4" t="s">
        <v>33</v>
      </c>
      <c r="D16" s="5">
        <v>45971</v>
      </c>
      <c r="E16" s="6">
        <f>F16*0.025</f>
        <v>6825</v>
      </c>
      <c r="F16" s="6">
        <v>273000</v>
      </c>
      <c r="H16" s="15" t="s">
        <v>30</v>
      </c>
      <c r="I16" s="20">
        <v>3400000</v>
      </c>
    </row>
    <row r="17" spans="1:10" x14ac:dyDescent="0.35">
      <c r="A17" s="3" t="s">
        <v>30</v>
      </c>
      <c r="B17" s="4" t="s">
        <v>19</v>
      </c>
      <c r="C17" s="4" t="s">
        <v>31</v>
      </c>
      <c r="D17" s="5">
        <v>45971</v>
      </c>
      <c r="E17" s="6">
        <v>35000</v>
      </c>
      <c r="F17" s="6">
        <v>3400000</v>
      </c>
      <c r="H17" s="14" t="s">
        <v>37</v>
      </c>
      <c r="I17" s="20">
        <v>19782531</v>
      </c>
    </row>
    <row r="18" spans="1:10" x14ac:dyDescent="0.35">
      <c r="A18" s="3" t="s">
        <v>10</v>
      </c>
      <c r="B18" s="4" t="s">
        <v>7</v>
      </c>
      <c r="C18" s="4" t="s">
        <v>11</v>
      </c>
      <c r="D18" s="5">
        <v>45962</v>
      </c>
      <c r="E18" s="6">
        <f>F18*0.025</f>
        <v>9375</v>
      </c>
      <c r="F18" s="6">
        <v>375000</v>
      </c>
      <c r="H18" s="15" t="s">
        <v>37</v>
      </c>
      <c r="I18" s="20">
        <v>19782531</v>
      </c>
    </row>
    <row r="19" spans="1:10" x14ac:dyDescent="0.35">
      <c r="A19" s="3" t="s">
        <v>10</v>
      </c>
      <c r="B19" s="4" t="s">
        <v>7</v>
      </c>
      <c r="C19" s="4" t="s">
        <v>17</v>
      </c>
      <c r="D19" s="5">
        <v>45966</v>
      </c>
      <c r="E19" s="6">
        <f>6538+8530</f>
        <v>15068</v>
      </c>
      <c r="F19" s="6">
        <v>250000</v>
      </c>
      <c r="H19" s="14" t="s">
        <v>41</v>
      </c>
      <c r="I19" s="20">
        <v>2500000</v>
      </c>
    </row>
    <row r="20" spans="1:10" x14ac:dyDescent="0.35">
      <c r="A20" s="3" t="s">
        <v>10</v>
      </c>
      <c r="B20" s="4" t="s">
        <v>7</v>
      </c>
      <c r="C20" s="4" t="s">
        <v>8</v>
      </c>
      <c r="D20" s="5">
        <v>45967</v>
      </c>
      <c r="E20" s="6">
        <f>F20*0.0215</f>
        <v>14662.999999999998</v>
      </c>
      <c r="F20" s="6">
        <v>682000</v>
      </c>
      <c r="H20" s="15" t="s">
        <v>40</v>
      </c>
      <c r="I20" s="20">
        <v>2500000</v>
      </c>
    </row>
    <row r="21" spans="1:10" x14ac:dyDescent="0.35">
      <c r="A21" s="3" t="s">
        <v>12</v>
      </c>
      <c r="B21" s="4" t="s">
        <v>7</v>
      </c>
      <c r="C21" s="4" t="s">
        <v>13</v>
      </c>
      <c r="D21" s="5">
        <v>45963</v>
      </c>
      <c r="E21" s="6">
        <v>9823</v>
      </c>
      <c r="F21" s="23">
        <v>132000</v>
      </c>
      <c r="G21" s="24" t="s">
        <v>47</v>
      </c>
      <c r="H21" s="14" t="s">
        <v>44</v>
      </c>
      <c r="I21" s="20">
        <v>3000000</v>
      </c>
    </row>
    <row r="22" spans="1:10" x14ac:dyDescent="0.35">
      <c r="A22" s="3" t="s">
        <v>12</v>
      </c>
      <c r="B22" s="4" t="s">
        <v>7</v>
      </c>
      <c r="C22" s="4" t="s">
        <v>26</v>
      </c>
      <c r="D22" s="5">
        <v>45968</v>
      </c>
      <c r="E22" s="6">
        <v>13185</v>
      </c>
      <c r="F22" s="23">
        <v>168000</v>
      </c>
      <c r="G22" s="24" t="s">
        <v>46</v>
      </c>
      <c r="H22" s="15" t="s">
        <v>45</v>
      </c>
      <c r="I22" s="20">
        <v>3000000</v>
      </c>
    </row>
    <row r="23" spans="1:10" x14ac:dyDescent="0.35">
      <c r="A23" s="3" t="s">
        <v>12</v>
      </c>
      <c r="B23" s="4" t="s">
        <v>7</v>
      </c>
      <c r="C23" s="4" t="s">
        <v>8</v>
      </c>
      <c r="D23" s="5">
        <v>45970</v>
      </c>
      <c r="E23" s="6">
        <v>11532</v>
      </c>
      <c r="F23" s="6">
        <v>205000</v>
      </c>
      <c r="H23" s="14" t="s">
        <v>38</v>
      </c>
      <c r="I23" s="20">
        <v>39565062</v>
      </c>
    </row>
    <row r="24" spans="1:10" x14ac:dyDescent="0.35">
      <c r="A24" s="8" t="s">
        <v>12</v>
      </c>
      <c r="B24" s="16" t="s">
        <v>7</v>
      </c>
      <c r="C24" s="10" t="s">
        <v>27</v>
      </c>
      <c r="D24" s="5">
        <v>45971</v>
      </c>
      <c r="E24" s="7">
        <v>6500</v>
      </c>
      <c r="F24" s="19">
        <v>108000</v>
      </c>
      <c r="I24"/>
    </row>
    <row r="25" spans="1:10" x14ac:dyDescent="0.35">
      <c r="A25" s="8" t="s">
        <v>40</v>
      </c>
      <c r="B25" s="16" t="s">
        <v>41</v>
      </c>
      <c r="C25" s="10" t="s">
        <v>23</v>
      </c>
      <c r="D25" s="5">
        <v>45971</v>
      </c>
      <c r="E25" s="21" t="s">
        <v>42</v>
      </c>
      <c r="F25" s="12">
        <v>2500000</v>
      </c>
      <c r="I25"/>
    </row>
    <row r="26" spans="1:10" x14ac:dyDescent="0.35">
      <c r="A26" s="8" t="s">
        <v>45</v>
      </c>
      <c r="B26" s="16" t="s">
        <v>44</v>
      </c>
      <c r="C26" s="10" t="s">
        <v>43</v>
      </c>
      <c r="D26" s="22">
        <v>45962</v>
      </c>
      <c r="E26" s="18">
        <v>30000</v>
      </c>
      <c r="F26" s="12">
        <v>3000000</v>
      </c>
      <c r="H26">
        <v>14282531</v>
      </c>
      <c r="I26"/>
    </row>
    <row r="27" spans="1:10" x14ac:dyDescent="0.35">
      <c r="H27">
        <v>2500000</v>
      </c>
      <c r="I27"/>
    </row>
    <row r="28" spans="1:10" x14ac:dyDescent="0.35">
      <c r="F28" s="20">
        <f>SUM(F2:F27)</f>
        <v>20265531</v>
      </c>
      <c r="H28">
        <v>3000000</v>
      </c>
      <c r="I28"/>
      <c r="J28">
        <f>168000+31000+17000+25000+75000</f>
        <v>316000</v>
      </c>
    </row>
    <row r="29" spans="1:10" x14ac:dyDescent="0.35">
      <c r="I29"/>
    </row>
    <row r="30" spans="1:10" x14ac:dyDescent="0.35">
      <c r="H30">
        <f>SUM(H26:H29)</f>
        <v>19782531</v>
      </c>
      <c r="I30"/>
    </row>
    <row r="31" spans="1:10" x14ac:dyDescent="0.35">
      <c r="I31"/>
    </row>
    <row r="32" spans="1:10" x14ac:dyDescent="0.35">
      <c r="I32"/>
    </row>
    <row r="33" spans="9:9" x14ac:dyDescent="0.35">
      <c r="I33"/>
    </row>
    <row r="34" spans="9:9" x14ac:dyDescent="0.35">
      <c r="I34"/>
    </row>
    <row r="35" spans="9:9" x14ac:dyDescent="0.35">
      <c r="I35"/>
    </row>
    <row r="36" spans="9:9" x14ac:dyDescent="0.35">
      <c r="I36"/>
    </row>
    <row r="37" spans="9:9" x14ac:dyDescent="0.35">
      <c r="I37"/>
    </row>
    <row r="38" spans="9:9" x14ac:dyDescent="0.35">
      <c r="I38"/>
    </row>
    <row r="39" spans="9:9" x14ac:dyDescent="0.35">
      <c r="I39"/>
    </row>
    <row r="40" spans="9:9" x14ac:dyDescent="0.35">
      <c r="I40"/>
    </row>
    <row r="41" spans="9:9" x14ac:dyDescent="0.35">
      <c r="I41"/>
    </row>
    <row r="42" spans="9:9" x14ac:dyDescent="0.35">
      <c r="I42"/>
    </row>
    <row r="43" spans="9:9" x14ac:dyDescent="0.35">
      <c r="I43"/>
    </row>
  </sheetData>
  <conditionalFormatting sqref="D1:D25">
    <cfRule type="cellIs" dxfId="29" priority="1" operator="equal">
      <formula>$L$11</formula>
    </cfRule>
    <cfRule type="cellIs" dxfId="28" priority="2" operator="equal">
      <formula>TODAY()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D2FA2-B111-4C8F-B938-1F8DFCFEA749}">
  <dimension ref="B1:J65"/>
  <sheetViews>
    <sheetView topLeftCell="A12" zoomScale="80" zoomScaleNormal="80" workbookViewId="0">
      <selection activeCell="G38" sqref="G38"/>
    </sheetView>
  </sheetViews>
  <sheetFormatPr defaultRowHeight="14.5" x14ac:dyDescent="0.35"/>
  <cols>
    <col min="2" max="2" width="12.1796875" bestFit="1" customWidth="1"/>
    <col min="3" max="3" width="20.54296875" bestFit="1" customWidth="1"/>
    <col min="4" max="4" width="13.1796875" bestFit="1" customWidth="1"/>
    <col min="5" max="5" width="11.7265625" bestFit="1" customWidth="1"/>
    <col min="6" max="6" width="11" bestFit="1" customWidth="1"/>
    <col min="7" max="7" width="12.90625" customWidth="1"/>
    <col min="8" max="8" width="18.90625" customWidth="1"/>
    <col min="9" max="9" width="24" bestFit="1" customWidth="1"/>
    <col min="10" max="10" width="11.36328125" bestFit="1" customWidth="1"/>
    <col min="11" max="11" width="14.54296875" bestFit="1" customWidth="1"/>
    <col min="12" max="12" width="15.453125" bestFit="1" customWidth="1"/>
    <col min="13" max="13" width="15.453125" customWidth="1"/>
    <col min="14" max="14" width="16.453125" bestFit="1" customWidth="1"/>
    <col min="15" max="15" width="12.453125" bestFit="1" customWidth="1"/>
  </cols>
  <sheetData>
    <row r="1" spans="2:10" ht="15" thickBot="1" x14ac:dyDescent="0.4">
      <c r="B1" s="70" t="s">
        <v>60</v>
      </c>
      <c r="C1" s="70"/>
      <c r="D1" s="70"/>
      <c r="E1" s="70"/>
      <c r="F1" s="70"/>
      <c r="G1" s="70"/>
      <c r="H1" s="70"/>
      <c r="I1" s="70"/>
      <c r="J1" s="70"/>
    </row>
    <row r="2" spans="2:10" x14ac:dyDescent="0.3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2:10" x14ac:dyDescent="0.35">
      <c r="B3" s="16" t="s">
        <v>6</v>
      </c>
      <c r="C3" s="16" t="s">
        <v>7</v>
      </c>
      <c r="D3" s="16" t="s">
        <v>8</v>
      </c>
      <c r="E3" s="17">
        <v>45956</v>
      </c>
      <c r="F3" s="7">
        <v>6006</v>
      </c>
      <c r="G3" s="7">
        <v>273000</v>
      </c>
      <c r="H3">
        <v>400000</v>
      </c>
    </row>
    <row r="4" spans="2:10" x14ac:dyDescent="0.35">
      <c r="B4" s="3" t="s">
        <v>6</v>
      </c>
      <c r="C4" s="4" t="s">
        <v>7</v>
      </c>
      <c r="D4" s="4" t="s">
        <v>9</v>
      </c>
      <c r="E4" s="5">
        <v>45960</v>
      </c>
      <c r="F4" s="6">
        <v>537.5</v>
      </c>
      <c r="G4" s="23">
        <v>25000</v>
      </c>
    </row>
    <row r="5" spans="2:10" x14ac:dyDescent="0.35">
      <c r="B5" s="3" t="s">
        <v>6</v>
      </c>
      <c r="C5" s="4" t="s">
        <v>7</v>
      </c>
      <c r="D5" s="4" t="s">
        <v>11</v>
      </c>
      <c r="E5" s="5">
        <v>45965</v>
      </c>
      <c r="F5" s="6">
        <v>1725</v>
      </c>
      <c r="G5" s="6">
        <v>69000</v>
      </c>
    </row>
    <row r="6" spans="2:10" x14ac:dyDescent="0.35">
      <c r="B6" s="3" t="s">
        <v>6</v>
      </c>
      <c r="C6" s="4" t="s">
        <v>7</v>
      </c>
      <c r="D6" s="4" t="s">
        <v>24</v>
      </c>
      <c r="E6" s="5">
        <v>45968</v>
      </c>
      <c r="F6" s="6">
        <v>6143.2750000000005</v>
      </c>
      <c r="G6" s="6">
        <v>265731</v>
      </c>
    </row>
    <row r="7" spans="2:10" x14ac:dyDescent="0.35">
      <c r="B7" s="3" t="s">
        <v>6</v>
      </c>
      <c r="C7" s="4" t="s">
        <v>7</v>
      </c>
      <c r="D7" s="4" t="s">
        <v>25</v>
      </c>
      <c r="E7" s="5">
        <v>45968</v>
      </c>
      <c r="F7" s="6">
        <v>1100</v>
      </c>
      <c r="G7" s="23">
        <v>17000</v>
      </c>
    </row>
    <row r="8" spans="2:10" x14ac:dyDescent="0.35">
      <c r="B8" s="3" t="s">
        <v>6</v>
      </c>
      <c r="C8" s="4" t="s">
        <v>7</v>
      </c>
      <c r="D8" s="4" t="s">
        <v>11</v>
      </c>
      <c r="E8" s="5">
        <v>45971</v>
      </c>
      <c r="F8" s="6">
        <v>1635</v>
      </c>
      <c r="G8" s="23">
        <v>75000</v>
      </c>
    </row>
    <row r="9" spans="2:10" x14ac:dyDescent="0.35">
      <c r="B9" s="3" t="s">
        <v>6</v>
      </c>
      <c r="C9" s="4" t="s">
        <v>7</v>
      </c>
      <c r="D9" s="4" t="s">
        <v>32</v>
      </c>
      <c r="E9" s="5">
        <v>45971</v>
      </c>
      <c r="F9" s="6">
        <v>3891</v>
      </c>
      <c r="G9" s="23">
        <v>31800</v>
      </c>
    </row>
    <row r="10" spans="2:10" x14ac:dyDescent="0.35">
      <c r="B10" s="3" t="s">
        <v>6</v>
      </c>
      <c r="C10" s="4" t="s">
        <v>7</v>
      </c>
      <c r="D10" s="4" t="s">
        <v>33</v>
      </c>
      <c r="E10" s="5">
        <v>45971</v>
      </c>
      <c r="F10" s="6">
        <v>6825</v>
      </c>
      <c r="G10" s="6">
        <v>273000</v>
      </c>
      <c r="J10" s="6"/>
    </row>
    <row r="11" spans="2:10" x14ac:dyDescent="0.35">
      <c r="B11" s="3" t="s">
        <v>10</v>
      </c>
      <c r="C11" s="4" t="s">
        <v>7</v>
      </c>
      <c r="D11" s="4" t="s">
        <v>11</v>
      </c>
      <c r="E11" s="5">
        <v>45962</v>
      </c>
      <c r="F11" s="6">
        <v>9375</v>
      </c>
      <c r="G11" s="6">
        <v>327601</v>
      </c>
      <c r="H11" t="s">
        <v>50</v>
      </c>
      <c r="I11" s="20">
        <v>47399</v>
      </c>
      <c r="J11" s="6">
        <v>375000</v>
      </c>
    </row>
    <row r="12" spans="2:10" x14ac:dyDescent="0.35">
      <c r="B12" s="3" t="s">
        <v>10</v>
      </c>
      <c r="C12" s="4" t="s">
        <v>7</v>
      </c>
      <c r="D12" s="4" t="s">
        <v>17</v>
      </c>
      <c r="E12" s="5">
        <v>45966</v>
      </c>
      <c r="F12" s="6">
        <v>15068</v>
      </c>
      <c r="G12" s="6"/>
      <c r="H12" t="s">
        <v>51</v>
      </c>
      <c r="I12" s="20">
        <v>238849</v>
      </c>
      <c r="J12" s="6">
        <v>280000</v>
      </c>
    </row>
    <row r="13" spans="2:10" x14ac:dyDescent="0.35">
      <c r="B13" s="3" t="s">
        <v>10</v>
      </c>
      <c r="C13" s="4" t="s">
        <v>7</v>
      </c>
      <c r="D13" s="4" t="s">
        <v>8</v>
      </c>
      <c r="E13" s="5">
        <v>45967</v>
      </c>
      <c r="F13" s="6">
        <v>14662.999999999998</v>
      </c>
      <c r="G13" s="6">
        <v>192063</v>
      </c>
      <c r="H13" t="s">
        <v>49</v>
      </c>
      <c r="I13" s="20">
        <v>489937</v>
      </c>
      <c r="J13" s="6">
        <v>682000</v>
      </c>
    </row>
    <row r="14" spans="2:10" x14ac:dyDescent="0.35">
      <c r="B14" s="3" t="s">
        <v>12</v>
      </c>
      <c r="C14" s="4" t="s">
        <v>7</v>
      </c>
      <c r="D14" s="4" t="s">
        <v>8</v>
      </c>
      <c r="E14" s="5">
        <v>45970</v>
      </c>
      <c r="F14" s="6">
        <v>11532</v>
      </c>
      <c r="G14" s="6">
        <v>186087.01</v>
      </c>
    </row>
    <row r="15" spans="2:10" x14ac:dyDescent="0.35">
      <c r="B15" s="3" t="s">
        <v>12</v>
      </c>
      <c r="C15" s="4" t="s">
        <v>7</v>
      </c>
      <c r="D15" s="4" t="s">
        <v>27</v>
      </c>
      <c r="E15" s="5">
        <v>45971</v>
      </c>
      <c r="F15" s="6">
        <v>6500</v>
      </c>
      <c r="G15" s="6">
        <v>95296.63</v>
      </c>
      <c r="I15" s="20"/>
    </row>
    <row r="16" spans="2:10" x14ac:dyDescent="0.35">
      <c r="F16" s="40">
        <f ca="1">SUM(F3:F17)</f>
        <v>85000.774999999994</v>
      </c>
      <c r="G16" s="20">
        <f ca="1">SUM(G3:G17)</f>
        <v>1810578.6400000001</v>
      </c>
    </row>
    <row r="18" spans="2:10" ht="15" thickBot="1" x14ac:dyDescent="0.4">
      <c r="B18" s="70" t="s">
        <v>60</v>
      </c>
      <c r="C18" s="70"/>
      <c r="D18" s="70"/>
      <c r="E18" s="70"/>
      <c r="F18" s="70"/>
      <c r="G18" s="70"/>
      <c r="H18" s="70"/>
      <c r="I18" s="70"/>
      <c r="J18" s="70"/>
    </row>
    <row r="19" spans="2:10" x14ac:dyDescent="0.35">
      <c r="B19" s="1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</row>
    <row r="20" spans="2:10" x14ac:dyDescent="0.35">
      <c r="B20" s="3" t="s">
        <v>45</v>
      </c>
      <c r="C20" s="4" t="s">
        <v>44</v>
      </c>
      <c r="D20" s="4" t="s">
        <v>43</v>
      </c>
      <c r="E20" s="36">
        <v>45962</v>
      </c>
      <c r="F20" s="37">
        <v>30000</v>
      </c>
      <c r="G20" s="37">
        <v>3000000</v>
      </c>
    </row>
    <row r="21" spans="2:10" x14ac:dyDescent="0.35">
      <c r="B21" s="3" t="s">
        <v>18</v>
      </c>
      <c r="C21" s="35" t="s">
        <v>34</v>
      </c>
      <c r="D21" s="4" t="s">
        <v>35</v>
      </c>
      <c r="E21" s="5">
        <v>45971</v>
      </c>
      <c r="F21" s="39">
        <v>70000</v>
      </c>
      <c r="G21" s="37">
        <f>500000+600000</f>
        <v>1100000</v>
      </c>
    </row>
    <row r="22" spans="2:10" x14ac:dyDescent="0.35">
      <c r="B22" s="3" t="s">
        <v>18</v>
      </c>
      <c r="C22" s="4" t="s">
        <v>19</v>
      </c>
      <c r="D22" s="4" t="s">
        <v>20</v>
      </c>
      <c r="E22" s="5">
        <v>45966</v>
      </c>
      <c r="F22" s="6">
        <v>37000</v>
      </c>
      <c r="G22" s="6">
        <v>2368000</v>
      </c>
    </row>
    <row r="23" spans="2:10" x14ac:dyDescent="0.35">
      <c r="B23" s="3" t="s">
        <v>28</v>
      </c>
      <c r="C23" s="4" t="s">
        <v>19</v>
      </c>
      <c r="D23" s="4" t="s">
        <v>29</v>
      </c>
      <c r="E23" s="5">
        <v>45971</v>
      </c>
      <c r="F23" s="6">
        <v>35000</v>
      </c>
      <c r="G23" s="6">
        <v>608000</v>
      </c>
    </row>
    <row r="24" spans="2:10" x14ac:dyDescent="0.35">
      <c r="B24" s="3" t="s">
        <v>52</v>
      </c>
      <c r="C24" s="4" t="s">
        <v>7</v>
      </c>
      <c r="D24" s="4" t="s">
        <v>23</v>
      </c>
      <c r="E24" s="5">
        <v>45967</v>
      </c>
      <c r="F24" s="6">
        <v>15068</v>
      </c>
      <c r="G24" s="6">
        <v>728786</v>
      </c>
    </row>
    <row r="25" spans="2:10" x14ac:dyDescent="0.35">
      <c r="B25" s="3" t="s">
        <v>22</v>
      </c>
      <c r="C25" s="4" t="s">
        <v>19</v>
      </c>
      <c r="D25" s="4" t="s">
        <v>23</v>
      </c>
      <c r="E25" s="5">
        <v>45967</v>
      </c>
      <c r="F25" s="6">
        <v>12900</v>
      </c>
      <c r="G25" s="6">
        <v>750000</v>
      </c>
    </row>
    <row r="26" spans="2:10" x14ac:dyDescent="0.35">
      <c r="B26" s="3" t="s">
        <v>14</v>
      </c>
      <c r="C26" s="4" t="s">
        <v>19</v>
      </c>
      <c r="D26" s="4" t="s">
        <v>15</v>
      </c>
      <c r="E26" s="5">
        <v>45965</v>
      </c>
      <c r="F26" s="6">
        <v>20000</v>
      </c>
      <c r="G26" s="6">
        <v>360000</v>
      </c>
    </row>
    <row r="27" spans="2:10" x14ac:dyDescent="0.35">
      <c r="B27" s="3" t="s">
        <v>6</v>
      </c>
      <c r="C27" s="4" t="s">
        <v>19</v>
      </c>
      <c r="D27" s="4" t="s">
        <v>16</v>
      </c>
      <c r="E27" s="5">
        <v>45965</v>
      </c>
      <c r="F27" s="6">
        <v>18600</v>
      </c>
      <c r="G27" s="6">
        <v>450000</v>
      </c>
    </row>
    <row r="28" spans="2:10" x14ac:dyDescent="0.35">
      <c r="B28" s="8" t="s">
        <v>6</v>
      </c>
      <c r="C28" s="16" t="s">
        <v>19</v>
      </c>
      <c r="D28" s="10" t="s">
        <v>21</v>
      </c>
      <c r="E28" s="5">
        <v>45967</v>
      </c>
      <c r="F28" s="7">
        <v>59663</v>
      </c>
      <c r="G28" s="19">
        <v>2800000</v>
      </c>
    </row>
    <row r="29" spans="2:10" x14ac:dyDescent="0.35">
      <c r="B29" s="8" t="s">
        <v>30</v>
      </c>
      <c r="C29" s="16" t="s">
        <v>19</v>
      </c>
      <c r="D29" s="10" t="s">
        <v>31</v>
      </c>
      <c r="E29" s="5">
        <v>45971</v>
      </c>
      <c r="F29" s="38">
        <v>35000</v>
      </c>
      <c r="G29" s="19">
        <v>3400000</v>
      </c>
    </row>
    <row r="30" spans="2:10" x14ac:dyDescent="0.35">
      <c r="B30" s="8" t="s">
        <v>40</v>
      </c>
      <c r="C30" s="16" t="s">
        <v>41</v>
      </c>
      <c r="D30" s="10" t="s">
        <v>23</v>
      </c>
      <c r="E30" s="17">
        <v>45971</v>
      </c>
      <c r="F30" s="16" t="s">
        <v>42</v>
      </c>
      <c r="G30" s="12">
        <v>3000000</v>
      </c>
    </row>
    <row r="31" spans="2:10" x14ac:dyDescent="0.35">
      <c r="D31" s="10" t="s">
        <v>53</v>
      </c>
      <c r="F31" s="40">
        <f>SUM(F20:F30)</f>
        <v>333231</v>
      </c>
      <c r="G31" s="40">
        <f>SUM(G20:G30)</f>
        <v>18564786</v>
      </c>
    </row>
    <row r="32" spans="2:10" x14ac:dyDescent="0.35">
      <c r="D32" s="10" t="s">
        <v>61</v>
      </c>
      <c r="F32" s="40">
        <f>H3-F31</f>
        <v>66769</v>
      </c>
    </row>
    <row r="35" spans="2:10" ht="18.5" x14ac:dyDescent="0.35">
      <c r="B35" s="71" t="s">
        <v>62</v>
      </c>
      <c r="C35" s="71"/>
      <c r="D35" s="71"/>
      <c r="E35" s="71"/>
      <c r="F35" s="71"/>
      <c r="G35" s="71"/>
      <c r="H35" s="71"/>
      <c r="I35" s="45"/>
      <c r="J35" s="45"/>
    </row>
    <row r="36" spans="2:10" x14ac:dyDescent="0.35">
      <c r="B36" s="46" t="s">
        <v>0</v>
      </c>
      <c r="C36" s="46" t="s">
        <v>1</v>
      </c>
      <c r="D36" s="46" t="s">
        <v>2</v>
      </c>
      <c r="E36" s="46" t="s">
        <v>3</v>
      </c>
      <c r="F36" s="46" t="s">
        <v>4</v>
      </c>
      <c r="G36" s="46" t="s">
        <v>5</v>
      </c>
      <c r="H36" s="47"/>
    </row>
    <row r="37" spans="2:10" x14ac:dyDescent="0.35">
      <c r="B37" s="4" t="s">
        <v>45</v>
      </c>
      <c r="C37" s="4" t="s">
        <v>44</v>
      </c>
      <c r="D37" s="4" t="s">
        <v>43</v>
      </c>
      <c r="E37" s="36">
        <v>45962</v>
      </c>
      <c r="F37" s="37">
        <v>30000</v>
      </c>
      <c r="G37" s="37">
        <v>3000000</v>
      </c>
      <c r="H37" s="47"/>
    </row>
    <row r="38" spans="2:10" x14ac:dyDescent="0.35">
      <c r="B38" s="4" t="s">
        <v>18</v>
      </c>
      <c r="C38" s="35" t="s">
        <v>34</v>
      </c>
      <c r="D38" s="4" t="s">
        <v>35</v>
      </c>
      <c r="E38" s="5">
        <v>45971</v>
      </c>
      <c r="F38" s="39">
        <v>70000</v>
      </c>
      <c r="G38" s="37">
        <f>500000+600000</f>
        <v>1100000</v>
      </c>
      <c r="H38" s="47"/>
    </row>
    <row r="39" spans="2:10" x14ac:dyDescent="0.35">
      <c r="B39" s="26" t="s">
        <v>18</v>
      </c>
      <c r="C39" s="26" t="s">
        <v>19</v>
      </c>
      <c r="D39" s="26" t="s">
        <v>63</v>
      </c>
      <c r="E39" s="27">
        <v>45966</v>
      </c>
      <c r="F39" s="23">
        <v>22000</v>
      </c>
      <c r="G39" s="23">
        <v>2729000</v>
      </c>
      <c r="H39" s="47"/>
    </row>
    <row r="40" spans="2:10" x14ac:dyDescent="0.35">
      <c r="B40" s="42" t="s">
        <v>28</v>
      </c>
      <c r="C40" s="42" t="s">
        <v>19</v>
      </c>
      <c r="D40" s="42" t="s">
        <v>29</v>
      </c>
      <c r="E40" s="43">
        <v>45971</v>
      </c>
      <c r="F40" s="44">
        <v>0</v>
      </c>
      <c r="G40" s="44">
        <v>0</v>
      </c>
      <c r="H40" s="47">
        <v>25000</v>
      </c>
    </row>
    <row r="41" spans="2:10" x14ac:dyDescent="0.35">
      <c r="B41" s="4" t="s">
        <v>52</v>
      </c>
      <c r="C41" s="4" t="s">
        <v>7</v>
      </c>
      <c r="D41" s="4" t="s">
        <v>23</v>
      </c>
      <c r="E41" s="5">
        <v>45967</v>
      </c>
      <c r="F41" s="6">
        <v>15068</v>
      </c>
      <c r="G41" s="6">
        <v>728786</v>
      </c>
      <c r="H41" s="47"/>
    </row>
    <row r="42" spans="2:10" x14ac:dyDescent="0.35">
      <c r="B42" s="4" t="s">
        <v>22</v>
      </c>
      <c r="C42" s="4" t="s">
        <v>19</v>
      </c>
      <c r="D42" s="4" t="s">
        <v>23</v>
      </c>
      <c r="E42" s="5">
        <v>45967</v>
      </c>
      <c r="F42" s="6">
        <v>12900</v>
      </c>
      <c r="G42" s="6">
        <v>750000</v>
      </c>
      <c r="H42" s="47"/>
    </row>
    <row r="43" spans="2:10" x14ac:dyDescent="0.35">
      <c r="B43" s="4" t="s">
        <v>14</v>
      </c>
      <c r="C43" s="4" t="s">
        <v>19</v>
      </c>
      <c r="D43" s="4" t="s">
        <v>15</v>
      </c>
      <c r="E43" s="5">
        <v>45965</v>
      </c>
      <c r="F43" s="6">
        <v>20000</v>
      </c>
      <c r="G43" s="6">
        <v>360000</v>
      </c>
      <c r="H43" s="47"/>
    </row>
    <row r="44" spans="2:10" x14ac:dyDescent="0.35">
      <c r="B44" s="4" t="s">
        <v>6</v>
      </c>
      <c r="C44" s="4" t="s">
        <v>19</v>
      </c>
      <c r="D44" s="4" t="s">
        <v>16</v>
      </c>
      <c r="E44" s="5">
        <v>45965</v>
      </c>
      <c r="F44" s="6">
        <v>18600</v>
      </c>
      <c r="G44" s="6">
        <v>450000</v>
      </c>
      <c r="H44" s="47"/>
    </row>
    <row r="45" spans="2:10" x14ac:dyDescent="0.35">
      <c r="B45" s="4" t="s">
        <v>6</v>
      </c>
      <c r="C45" s="4" t="s">
        <v>19</v>
      </c>
      <c r="D45" s="4" t="s">
        <v>21</v>
      </c>
      <c r="E45" s="5">
        <v>45967</v>
      </c>
      <c r="F45" s="6">
        <v>59663</v>
      </c>
      <c r="G45" s="6">
        <v>2800000</v>
      </c>
      <c r="H45" s="47"/>
    </row>
    <row r="46" spans="2:10" x14ac:dyDescent="0.35">
      <c r="B46" s="4" t="s">
        <v>30</v>
      </c>
      <c r="C46" s="4" t="s">
        <v>19</v>
      </c>
      <c r="D46" s="4" t="s">
        <v>31</v>
      </c>
      <c r="E46" s="5">
        <v>45971</v>
      </c>
      <c r="F46" s="6">
        <v>35000</v>
      </c>
      <c r="G46" s="6">
        <v>3400000</v>
      </c>
      <c r="H46" s="47"/>
    </row>
    <row r="47" spans="2:10" x14ac:dyDescent="0.35">
      <c r="B47" s="4" t="s">
        <v>40</v>
      </c>
      <c r="C47" s="4" t="s">
        <v>41</v>
      </c>
      <c r="D47" s="4" t="s">
        <v>23</v>
      </c>
      <c r="E47" s="5">
        <v>45971</v>
      </c>
      <c r="F47" s="4" t="s">
        <v>42</v>
      </c>
      <c r="G47" s="37">
        <v>3000000</v>
      </c>
      <c r="H47" s="47"/>
    </row>
    <row r="48" spans="2:10" x14ac:dyDescent="0.35">
      <c r="B48" s="47"/>
      <c r="C48" s="47"/>
      <c r="D48" s="48" t="s">
        <v>53</v>
      </c>
      <c r="E48" s="47"/>
      <c r="F48" s="49">
        <f>SUM(F37:F47)</f>
        <v>283231</v>
      </c>
      <c r="G48" s="49">
        <f>SUM(G37:G47)</f>
        <v>18317786</v>
      </c>
      <c r="H48" s="47"/>
    </row>
    <row r="49" spans="2:9" x14ac:dyDescent="0.35">
      <c r="B49" s="47"/>
      <c r="C49" s="47"/>
      <c r="D49" s="48" t="s">
        <v>61</v>
      </c>
      <c r="E49" s="47"/>
      <c r="F49" s="49">
        <f>$H$3-F48</f>
        <v>116769</v>
      </c>
      <c r="G49" s="47"/>
      <c r="H49" s="47"/>
    </row>
    <row r="51" spans="2:9" ht="18.5" x14ac:dyDescent="0.35">
      <c r="B51" s="71" t="s">
        <v>64</v>
      </c>
      <c r="C51" s="71"/>
      <c r="D51" s="71"/>
      <c r="E51" s="71"/>
      <c r="F51" s="71"/>
      <c r="G51" s="71"/>
      <c r="H51" s="71"/>
    </row>
    <row r="52" spans="2:9" x14ac:dyDescent="0.35">
      <c r="B52" s="46" t="s">
        <v>0</v>
      </c>
      <c r="C52" s="46" t="s">
        <v>1</v>
      </c>
      <c r="D52" s="46" t="s">
        <v>2</v>
      </c>
      <c r="E52" s="46" t="s">
        <v>3</v>
      </c>
      <c r="F52" s="46" t="s">
        <v>4</v>
      </c>
      <c r="G52" s="46" t="s">
        <v>5</v>
      </c>
      <c r="H52" s="47"/>
    </row>
    <row r="53" spans="2:9" x14ac:dyDescent="0.35">
      <c r="B53" s="4" t="s">
        <v>45</v>
      </c>
      <c r="C53" s="4" t="s">
        <v>44</v>
      </c>
      <c r="D53" s="4" t="s">
        <v>43</v>
      </c>
      <c r="E53" s="36">
        <v>45962</v>
      </c>
      <c r="F53" s="37">
        <v>30000</v>
      </c>
      <c r="G53" s="37">
        <v>3000000</v>
      </c>
      <c r="H53" s="47"/>
    </row>
    <row r="54" spans="2:9" x14ac:dyDescent="0.35">
      <c r="B54" s="4" t="s">
        <v>18</v>
      </c>
      <c r="C54" s="35" t="s">
        <v>34</v>
      </c>
      <c r="D54" s="4" t="s">
        <v>35</v>
      </c>
      <c r="E54" s="5">
        <v>45971</v>
      </c>
      <c r="F54" s="39">
        <v>70000</v>
      </c>
      <c r="G54" s="37">
        <f>500000+600000</f>
        <v>1100000</v>
      </c>
      <c r="H54" s="47"/>
    </row>
    <row r="55" spans="2:9" x14ac:dyDescent="0.35">
      <c r="B55" s="26" t="s">
        <v>18</v>
      </c>
      <c r="C55" s="26" t="s">
        <v>19</v>
      </c>
      <c r="D55" s="26" t="s">
        <v>63</v>
      </c>
      <c r="E55" s="27">
        <v>45966</v>
      </c>
      <c r="F55" s="23">
        <v>36251.693709831328</v>
      </c>
      <c r="G55" s="23">
        <v>450000</v>
      </c>
      <c r="H55" s="47"/>
    </row>
    <row r="56" spans="2:9" x14ac:dyDescent="0.35">
      <c r="B56" s="42" t="s">
        <v>28</v>
      </c>
      <c r="C56" s="42" t="s">
        <v>19</v>
      </c>
      <c r="D56" s="42" t="s">
        <v>29</v>
      </c>
      <c r="E56" s="43">
        <v>45971</v>
      </c>
      <c r="F56" s="44">
        <v>0</v>
      </c>
      <c r="G56" s="44">
        <v>0</v>
      </c>
      <c r="H56" s="47">
        <v>25000</v>
      </c>
    </row>
    <row r="57" spans="2:9" x14ac:dyDescent="0.35">
      <c r="B57" s="4" t="s">
        <v>52</v>
      </c>
      <c r="C57" s="4" t="s">
        <v>7</v>
      </c>
      <c r="D57" s="4" t="s">
        <v>23</v>
      </c>
      <c r="E57" s="5">
        <v>45967</v>
      </c>
      <c r="F57" s="6">
        <v>15068</v>
      </c>
      <c r="G57" s="6">
        <v>728786</v>
      </c>
      <c r="H57" s="47"/>
    </row>
    <row r="58" spans="2:9" x14ac:dyDescent="0.35">
      <c r="B58" s="4" t="s">
        <v>22</v>
      </c>
      <c r="C58" s="4" t="s">
        <v>19</v>
      </c>
      <c r="D58" s="4" t="s">
        <v>23</v>
      </c>
      <c r="E58" s="5">
        <v>45967</v>
      </c>
      <c r="F58" s="6">
        <v>12900</v>
      </c>
      <c r="G58" s="6">
        <v>750000</v>
      </c>
      <c r="H58" s="47"/>
    </row>
    <row r="59" spans="2:9" x14ac:dyDescent="0.35">
      <c r="B59" s="4" t="s">
        <v>14</v>
      </c>
      <c r="C59" s="4" t="s">
        <v>19</v>
      </c>
      <c r="D59" s="4" t="s">
        <v>15</v>
      </c>
      <c r="E59" s="5">
        <v>45965</v>
      </c>
      <c r="F59" s="6">
        <v>20000</v>
      </c>
      <c r="G59" s="6">
        <v>360000</v>
      </c>
      <c r="H59" s="47"/>
    </row>
    <row r="60" spans="2:9" x14ac:dyDescent="0.35">
      <c r="B60" s="4" t="s">
        <v>6</v>
      </c>
      <c r="C60" s="4" t="s">
        <v>19</v>
      </c>
      <c r="D60" s="4" t="s">
        <v>16</v>
      </c>
      <c r="E60" s="5">
        <v>45965</v>
      </c>
      <c r="F60" s="6">
        <v>18600</v>
      </c>
      <c r="G60" s="6">
        <v>450000</v>
      </c>
      <c r="H60" s="47"/>
    </row>
    <row r="61" spans="2:9" x14ac:dyDescent="0.35">
      <c r="B61" s="4" t="s">
        <v>6</v>
      </c>
      <c r="C61" s="4" t="s">
        <v>19</v>
      </c>
      <c r="D61" s="4" t="s">
        <v>21</v>
      </c>
      <c r="E61" s="5">
        <v>45967</v>
      </c>
      <c r="F61" s="6">
        <v>59663</v>
      </c>
      <c r="G61" s="6">
        <v>2800000</v>
      </c>
      <c r="H61" s="47"/>
    </row>
    <row r="62" spans="2:9" x14ac:dyDescent="0.35">
      <c r="B62" s="4" t="s">
        <v>30</v>
      </c>
      <c r="C62" s="4" t="s">
        <v>19</v>
      </c>
      <c r="D62" s="4" t="s">
        <v>31</v>
      </c>
      <c r="E62" s="5">
        <v>45971</v>
      </c>
      <c r="F62" s="6">
        <v>35000</v>
      </c>
      <c r="G62" s="6">
        <v>3400000</v>
      </c>
      <c r="H62" s="47"/>
    </row>
    <row r="63" spans="2:9" ht="72.5" x14ac:dyDescent="0.35">
      <c r="B63" s="4" t="s">
        <v>40</v>
      </c>
      <c r="C63" s="4" t="s">
        <v>41</v>
      </c>
      <c r="D63" s="4" t="s">
        <v>23</v>
      </c>
      <c r="E63" s="5">
        <v>45971</v>
      </c>
      <c r="F63" s="4" t="s">
        <v>42</v>
      </c>
      <c r="G63" s="37">
        <v>1300000</v>
      </c>
      <c r="H63" s="50" t="s">
        <v>65</v>
      </c>
      <c r="I63" s="33"/>
    </row>
    <row r="64" spans="2:9" x14ac:dyDescent="0.35">
      <c r="B64" s="47"/>
      <c r="C64" s="47"/>
      <c r="D64" s="48" t="s">
        <v>53</v>
      </c>
      <c r="E64" s="47"/>
      <c r="F64" s="49">
        <f>SUM(F53:F63)</f>
        <v>297482.69370983134</v>
      </c>
      <c r="G64" s="51">
        <f>SUM(G53:G63)</f>
        <v>14338786</v>
      </c>
      <c r="H64" s="47"/>
    </row>
    <row r="65" spans="2:8" x14ac:dyDescent="0.35">
      <c r="B65" s="47"/>
      <c r="C65" s="47"/>
      <c r="D65" s="48" t="s">
        <v>61</v>
      </c>
      <c r="E65" s="47"/>
      <c r="F65" s="49">
        <f>$H$3-F64</f>
        <v>102517.30629016866</v>
      </c>
      <c r="G65" s="47"/>
      <c r="H65" s="47"/>
    </row>
  </sheetData>
  <mergeCells count="4">
    <mergeCell ref="B1:J1"/>
    <mergeCell ref="B35:H35"/>
    <mergeCell ref="B18:J18"/>
    <mergeCell ref="B51:H51"/>
  </mergeCells>
  <conditionalFormatting sqref="E2:E15">
    <cfRule type="cellIs" dxfId="27" priority="5" operator="equal">
      <formula>#REF!</formula>
    </cfRule>
    <cfRule type="cellIs" dxfId="26" priority="6" operator="equal">
      <formula>TODAY()</formula>
    </cfRule>
  </conditionalFormatting>
  <conditionalFormatting sqref="E19:E29">
    <cfRule type="cellIs" dxfId="25" priority="9" operator="equal">
      <formula>#REF!</formula>
    </cfRule>
    <cfRule type="cellIs" dxfId="24" priority="10" operator="equal">
      <formula>TODAY()</formula>
    </cfRule>
  </conditionalFormatting>
  <conditionalFormatting sqref="E36:E46">
    <cfRule type="cellIs" dxfId="23" priority="3" operator="equal">
      <formula>#REF!</formula>
    </cfRule>
    <cfRule type="cellIs" dxfId="22" priority="4" operator="equal">
      <formula>TODAY()</formula>
    </cfRule>
  </conditionalFormatting>
  <conditionalFormatting sqref="E52:E62">
    <cfRule type="cellIs" dxfId="21" priority="1" operator="equal">
      <formula>#REF!</formula>
    </cfRule>
    <cfRule type="cellIs" dxfId="20" priority="2" operator="equal">
      <formula>TODAY()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4D8B3-E41E-406B-B49C-0777A7EEEE36}">
  <dimension ref="A1:V66"/>
  <sheetViews>
    <sheetView zoomScale="80" zoomScaleNormal="80" workbookViewId="0">
      <selection activeCell="I14" sqref="I14"/>
    </sheetView>
  </sheetViews>
  <sheetFormatPr defaultRowHeight="14.5" x14ac:dyDescent="0.35"/>
  <cols>
    <col min="1" max="1" width="12.1796875" bestFit="1" customWidth="1"/>
    <col min="2" max="2" width="20.54296875" bestFit="1" customWidth="1"/>
    <col min="3" max="3" width="13.1796875" bestFit="1" customWidth="1"/>
    <col min="4" max="4" width="11.7265625" bestFit="1" customWidth="1"/>
    <col min="5" max="5" width="10.36328125" bestFit="1" customWidth="1"/>
    <col min="6" max="6" width="12.90625" customWidth="1"/>
    <col min="7" max="7" width="10.36328125" bestFit="1" customWidth="1"/>
    <col min="8" max="8" width="12.1796875" bestFit="1" customWidth="1"/>
    <col min="9" max="9" width="20.54296875" bestFit="1" customWidth="1"/>
    <col min="10" max="10" width="13.1796875" bestFit="1" customWidth="1"/>
    <col min="11" max="11" width="11.7265625" bestFit="1" customWidth="1"/>
    <col min="12" max="12" width="10.36328125" bestFit="1" customWidth="1"/>
    <col min="13" max="13" width="14.08984375" bestFit="1" customWidth="1"/>
    <col min="14" max="14" width="11.81640625" bestFit="1" customWidth="1"/>
    <col min="15" max="15" width="30.90625" bestFit="1" customWidth="1"/>
    <col min="16" max="16" width="12.90625" bestFit="1" customWidth="1"/>
    <col min="17" max="17" width="14.54296875" bestFit="1" customWidth="1"/>
    <col min="18" max="18" width="15.453125" bestFit="1" customWidth="1"/>
    <col min="19" max="19" width="11.90625" bestFit="1" customWidth="1"/>
    <col min="20" max="20" width="16.453125" bestFit="1" customWidth="1"/>
    <col min="21" max="21" width="12.453125" bestFit="1" customWidth="1"/>
  </cols>
  <sheetData>
    <row r="1" spans="1:19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3" t="s">
        <v>5</v>
      </c>
    </row>
    <row r="2" spans="1:19" x14ac:dyDescent="0.35">
      <c r="A2" s="3" t="s">
        <v>45</v>
      </c>
      <c r="B2" s="4" t="s">
        <v>44</v>
      </c>
      <c r="C2" s="4" t="s">
        <v>43</v>
      </c>
      <c r="D2" s="36">
        <v>45962</v>
      </c>
      <c r="E2" s="37">
        <v>30000</v>
      </c>
      <c r="F2" s="37">
        <v>3000000</v>
      </c>
      <c r="H2" s="1" t="s">
        <v>0</v>
      </c>
      <c r="I2" s="2" t="s">
        <v>1</v>
      </c>
      <c r="J2" s="2" t="s">
        <v>2</v>
      </c>
      <c r="K2" s="2" t="s">
        <v>3</v>
      </c>
      <c r="L2" s="2" t="s">
        <v>4</v>
      </c>
      <c r="M2" s="2" t="s">
        <v>5</v>
      </c>
    </row>
    <row r="3" spans="1:19" x14ac:dyDescent="0.35">
      <c r="A3" s="16" t="s">
        <v>6</v>
      </c>
      <c r="B3" s="16" t="s">
        <v>7</v>
      </c>
      <c r="C3" s="16" t="s">
        <v>8</v>
      </c>
      <c r="D3" s="17">
        <v>45956</v>
      </c>
      <c r="E3" s="7"/>
      <c r="F3" s="18"/>
      <c r="G3" s="18">
        <v>273000</v>
      </c>
      <c r="H3" s="16" t="s">
        <v>6</v>
      </c>
      <c r="I3" s="16" t="s">
        <v>7</v>
      </c>
      <c r="J3" s="16" t="s">
        <v>8</v>
      </c>
      <c r="K3" s="17">
        <v>45956</v>
      </c>
      <c r="L3" s="7">
        <v>6006</v>
      </c>
      <c r="M3" s="7">
        <v>273000</v>
      </c>
    </row>
    <row r="4" spans="1:19" x14ac:dyDescent="0.35">
      <c r="A4" s="3" t="s">
        <v>6</v>
      </c>
      <c r="B4" s="4" t="s">
        <v>7</v>
      </c>
      <c r="C4" s="4" t="s">
        <v>9</v>
      </c>
      <c r="D4" s="5">
        <v>45960</v>
      </c>
      <c r="E4" s="6">
        <f>F4*0.0215</f>
        <v>0</v>
      </c>
      <c r="F4" s="37"/>
      <c r="G4">
        <v>2500</v>
      </c>
      <c r="H4" s="3" t="s">
        <v>6</v>
      </c>
      <c r="I4" s="4" t="s">
        <v>7</v>
      </c>
      <c r="J4" s="4" t="s">
        <v>9</v>
      </c>
      <c r="K4" s="5">
        <v>45960</v>
      </c>
      <c r="L4" s="6">
        <v>537.5</v>
      </c>
      <c r="M4" s="37">
        <v>25000</v>
      </c>
      <c r="N4" s="23">
        <v>25000</v>
      </c>
    </row>
    <row r="5" spans="1:19" x14ac:dyDescent="0.35">
      <c r="A5" s="3" t="s">
        <v>6</v>
      </c>
      <c r="B5" s="4" t="s">
        <v>7</v>
      </c>
      <c r="C5" s="4" t="s">
        <v>11</v>
      </c>
      <c r="D5" s="5">
        <v>45965</v>
      </c>
      <c r="E5" s="6">
        <f>F5*0.025</f>
        <v>0</v>
      </c>
      <c r="F5" s="37"/>
      <c r="G5">
        <v>69000</v>
      </c>
      <c r="H5" s="3" t="s">
        <v>6</v>
      </c>
      <c r="I5" s="4" t="s">
        <v>7</v>
      </c>
      <c r="J5" s="4" t="s">
        <v>11</v>
      </c>
      <c r="K5" s="5">
        <v>45965</v>
      </c>
      <c r="L5" s="6">
        <v>1725</v>
      </c>
      <c r="M5">
        <v>69000</v>
      </c>
      <c r="N5" s="67">
        <v>69000</v>
      </c>
    </row>
    <row r="6" spans="1:19" x14ac:dyDescent="0.35">
      <c r="A6" s="3" t="s">
        <v>6</v>
      </c>
      <c r="B6" s="4" t="s">
        <v>7</v>
      </c>
      <c r="C6" s="4" t="s">
        <v>24</v>
      </c>
      <c r="D6" s="5">
        <v>45968</v>
      </c>
      <c r="E6" s="6"/>
      <c r="F6" s="37"/>
      <c r="G6" s="37">
        <v>245731</v>
      </c>
      <c r="H6" s="3" t="s">
        <v>6</v>
      </c>
      <c r="I6" s="4" t="s">
        <v>7</v>
      </c>
      <c r="J6" s="4" t="s">
        <v>24</v>
      </c>
      <c r="K6" s="5">
        <v>45968</v>
      </c>
      <c r="L6" s="6">
        <v>6143.2750000000005</v>
      </c>
      <c r="M6" s="37">
        <v>245731</v>
      </c>
      <c r="N6" s="37">
        <v>253594.39199999999</v>
      </c>
      <c r="O6" s="33">
        <f>N6*0.032</f>
        <v>8115.020544</v>
      </c>
      <c r="P6" s="33">
        <f>N6+O6</f>
        <v>261709.41254399999</v>
      </c>
      <c r="Q6" s="18"/>
    </row>
    <row r="7" spans="1:19" x14ac:dyDescent="0.35">
      <c r="A7" s="3" t="s">
        <v>6</v>
      </c>
      <c r="B7" s="4" t="s">
        <v>7</v>
      </c>
      <c r="C7" s="4" t="s">
        <v>25</v>
      </c>
      <c r="D7" s="5">
        <v>45968</v>
      </c>
      <c r="E7" s="6"/>
      <c r="F7" s="37"/>
      <c r="G7">
        <v>17000</v>
      </c>
      <c r="H7" s="3" t="s">
        <v>6</v>
      </c>
      <c r="I7" s="4" t="s">
        <v>7</v>
      </c>
      <c r="J7" s="4" t="s">
        <v>25</v>
      </c>
      <c r="K7" s="5">
        <v>45968</v>
      </c>
      <c r="L7" s="6">
        <v>1100</v>
      </c>
      <c r="M7" s="37">
        <v>17000</v>
      </c>
      <c r="N7" s="23">
        <v>17000</v>
      </c>
    </row>
    <row r="8" spans="1:19" x14ac:dyDescent="0.35">
      <c r="A8" s="3" t="s">
        <v>6</v>
      </c>
      <c r="B8" s="4" t="s">
        <v>7</v>
      </c>
      <c r="C8" s="4" t="s">
        <v>11</v>
      </c>
      <c r="D8" s="5">
        <v>45971</v>
      </c>
      <c r="E8" s="6">
        <f>F8*0.0218</f>
        <v>1635</v>
      </c>
      <c r="F8" s="37">
        <v>75000</v>
      </c>
      <c r="H8" s="3" t="s">
        <v>6</v>
      </c>
      <c r="I8" s="4" t="s">
        <v>7</v>
      </c>
      <c r="J8" s="4" t="s">
        <v>11</v>
      </c>
      <c r="K8" s="5">
        <v>45971</v>
      </c>
      <c r="L8" s="6">
        <v>1635</v>
      </c>
      <c r="M8" s="37">
        <v>75000</v>
      </c>
      <c r="N8" s="37">
        <v>75000</v>
      </c>
    </row>
    <row r="9" spans="1:19" x14ac:dyDescent="0.35">
      <c r="A9" s="3" t="s">
        <v>6</v>
      </c>
      <c r="B9" s="4" t="s">
        <v>7</v>
      </c>
      <c r="C9" s="4" t="s">
        <v>32</v>
      </c>
      <c r="D9" s="5">
        <v>45971</v>
      </c>
      <c r="E9" s="6"/>
      <c r="F9" s="37"/>
      <c r="G9" s="37">
        <v>31800</v>
      </c>
      <c r="H9" s="3" t="s">
        <v>6</v>
      </c>
      <c r="I9" s="4" t="s">
        <v>7</v>
      </c>
      <c r="J9" s="4" t="s">
        <v>32</v>
      </c>
      <c r="K9" s="5">
        <v>45971</v>
      </c>
      <c r="L9" s="6">
        <v>3891</v>
      </c>
      <c r="M9" s="37">
        <v>31800</v>
      </c>
      <c r="N9" s="37">
        <v>32817.599999999999</v>
      </c>
      <c r="O9" s="33">
        <f>N9*0.032</f>
        <v>1050.1632</v>
      </c>
      <c r="P9" s="33">
        <f>N9+O9</f>
        <v>33867.763200000001</v>
      </c>
      <c r="Q9" s="18"/>
    </row>
    <row r="10" spans="1:19" x14ac:dyDescent="0.35">
      <c r="A10" s="3" t="s">
        <v>6</v>
      </c>
      <c r="B10" s="4" t="s">
        <v>7</v>
      </c>
      <c r="C10" s="4" t="s">
        <v>33</v>
      </c>
      <c r="D10" s="5">
        <v>45971</v>
      </c>
      <c r="E10" s="6"/>
      <c r="F10" s="37"/>
      <c r="G10" s="37">
        <v>273000</v>
      </c>
      <c r="H10" s="3" t="s">
        <v>6</v>
      </c>
      <c r="I10" s="4" t="s">
        <v>7</v>
      </c>
      <c r="J10" s="4" t="s">
        <v>33</v>
      </c>
      <c r="K10" s="5">
        <v>45971</v>
      </c>
      <c r="L10" s="6">
        <v>6825</v>
      </c>
      <c r="M10" s="6">
        <v>273000</v>
      </c>
      <c r="N10" s="6">
        <v>281736</v>
      </c>
      <c r="O10" s="33">
        <f>N10*0.032</f>
        <v>9015.5519999999997</v>
      </c>
      <c r="P10" s="33">
        <f>N10+O10</f>
        <v>290751.55200000003</v>
      </c>
      <c r="Q10" s="18"/>
    </row>
    <row r="11" spans="1:19" x14ac:dyDescent="0.35">
      <c r="A11" s="3" t="s">
        <v>10</v>
      </c>
      <c r="B11" s="4" t="s">
        <v>7</v>
      </c>
      <c r="C11" s="4" t="s">
        <v>11</v>
      </c>
      <c r="D11" s="5">
        <v>45962</v>
      </c>
      <c r="E11" s="6">
        <f>F11/3</f>
        <v>0</v>
      </c>
      <c r="F11" s="23"/>
      <c r="G11">
        <v>375000</v>
      </c>
      <c r="H11" s="3" t="s">
        <v>10</v>
      </c>
      <c r="I11" s="4" t="s">
        <v>7</v>
      </c>
      <c r="J11" s="4" t="s">
        <v>11</v>
      </c>
      <c r="K11" s="5">
        <v>45962</v>
      </c>
      <c r="L11" s="6"/>
      <c r="M11">
        <v>375000</v>
      </c>
      <c r="N11" s="67">
        <v>375000</v>
      </c>
      <c r="O11" s="20"/>
      <c r="P11" s="6"/>
    </row>
    <row r="12" spans="1:19" x14ac:dyDescent="0.35">
      <c r="A12" s="3" t="s">
        <v>10</v>
      </c>
      <c r="B12" s="4" t="s">
        <v>7</v>
      </c>
      <c r="C12" s="4" t="s">
        <v>17</v>
      </c>
      <c r="D12" s="5">
        <v>45966</v>
      </c>
      <c r="E12" s="6"/>
      <c r="F12" s="37"/>
      <c r="G12" s="37">
        <v>250000</v>
      </c>
      <c r="H12" s="3" t="s">
        <v>10</v>
      </c>
      <c r="I12" s="4" t="s">
        <v>7</v>
      </c>
      <c r="J12" s="4" t="s">
        <v>17</v>
      </c>
      <c r="K12" s="5">
        <v>45966</v>
      </c>
      <c r="L12" s="6">
        <v>15068</v>
      </c>
      <c r="M12" s="65">
        <v>238849</v>
      </c>
      <c r="O12" s="20">
        <v>238849</v>
      </c>
      <c r="P12" s="6">
        <v>280000</v>
      </c>
      <c r="Q12" t="s">
        <v>51</v>
      </c>
    </row>
    <row r="13" spans="1:19" x14ac:dyDescent="0.35">
      <c r="A13" s="3" t="s">
        <v>10</v>
      </c>
      <c r="B13" s="4" t="s">
        <v>7</v>
      </c>
      <c r="C13" s="4" t="s">
        <v>8</v>
      </c>
      <c r="D13" s="5">
        <v>45967</v>
      </c>
      <c r="E13" s="6">
        <f>F13*0.0215</f>
        <v>14662.999999999998</v>
      </c>
      <c r="F13" s="37">
        <v>682000</v>
      </c>
      <c r="H13" s="3" t="s">
        <v>10</v>
      </c>
      <c r="I13" s="4" t="s">
        <v>7</v>
      </c>
      <c r="J13" s="4" t="s">
        <v>8</v>
      </c>
      <c r="K13" s="5">
        <v>45967</v>
      </c>
      <c r="L13" s="6">
        <v>14662.999999999998</v>
      </c>
      <c r="M13" s="23">
        <v>192063</v>
      </c>
      <c r="O13" s="20">
        <v>489937</v>
      </c>
      <c r="P13" s="6">
        <v>682000</v>
      </c>
      <c r="Q13" t="s">
        <v>49</v>
      </c>
      <c r="R13" s="20">
        <f>P13*0.032</f>
        <v>21824</v>
      </c>
      <c r="S13" s="20">
        <f>P13+R13</f>
        <v>703824</v>
      </c>
    </row>
    <row r="14" spans="1:19" x14ac:dyDescent="0.35">
      <c r="A14" s="3" t="s">
        <v>12</v>
      </c>
      <c r="B14" s="4" t="s">
        <v>7</v>
      </c>
      <c r="C14" s="4" t="s">
        <v>8</v>
      </c>
      <c r="D14" s="5">
        <v>45970</v>
      </c>
      <c r="E14" s="6"/>
      <c r="F14" s="37"/>
      <c r="G14" s="37">
        <v>192063</v>
      </c>
      <c r="H14" s="3" t="s">
        <v>12</v>
      </c>
      <c r="I14" s="4" t="s">
        <v>7</v>
      </c>
      <c r="J14" s="4" t="s">
        <v>8</v>
      </c>
      <c r="K14" s="5">
        <v>45970</v>
      </c>
      <c r="L14" s="6">
        <v>11532</v>
      </c>
      <c r="M14" s="6">
        <v>186087.01</v>
      </c>
      <c r="N14" s="23">
        <v>186087.01</v>
      </c>
    </row>
    <row r="15" spans="1:19" x14ac:dyDescent="0.35">
      <c r="A15" s="3" t="s">
        <v>12</v>
      </c>
      <c r="B15" s="4" t="s">
        <v>7</v>
      </c>
      <c r="C15" s="4" t="s">
        <v>27</v>
      </c>
      <c r="D15" s="5">
        <v>45971</v>
      </c>
      <c r="E15" s="6"/>
      <c r="F15" s="37"/>
      <c r="G15" s="6">
        <v>95296.63</v>
      </c>
      <c r="H15" s="3" t="s">
        <v>12</v>
      </c>
      <c r="I15" s="4" t="s">
        <v>7</v>
      </c>
      <c r="J15" s="4" t="s">
        <v>27</v>
      </c>
      <c r="K15" s="5">
        <v>45971</v>
      </c>
      <c r="L15" s="6">
        <v>6500</v>
      </c>
      <c r="M15" s="6">
        <v>95296.63</v>
      </c>
      <c r="N15" s="23">
        <v>95296.63</v>
      </c>
      <c r="O15" s="20"/>
    </row>
    <row r="16" spans="1:19" x14ac:dyDescent="0.35">
      <c r="A16" s="3" t="s">
        <v>18</v>
      </c>
      <c r="B16" s="35" t="s">
        <v>34</v>
      </c>
      <c r="C16" s="4" t="s">
        <v>35</v>
      </c>
      <c r="D16" s="5">
        <v>45971</v>
      </c>
      <c r="E16" s="39">
        <v>70000</v>
      </c>
      <c r="F16" s="37">
        <f>500000+600000</f>
        <v>1100000</v>
      </c>
      <c r="L16" s="40">
        <f ca="1">SUM(L3:L17)</f>
        <v>85000.774999999994</v>
      </c>
      <c r="M16" s="33">
        <f>SUM(M3:M15)</f>
        <v>2096826.6400000001</v>
      </c>
      <c r="N16" s="66">
        <f>SUM(N4:N15)</f>
        <v>1410531.6320000002</v>
      </c>
    </row>
    <row r="17" spans="1:22" x14ac:dyDescent="0.35">
      <c r="A17" s="3" t="s">
        <v>18</v>
      </c>
      <c r="B17" s="4" t="s">
        <v>19</v>
      </c>
      <c r="C17" s="4" t="s">
        <v>20</v>
      </c>
      <c r="D17" s="5">
        <v>45966</v>
      </c>
      <c r="E17" s="60">
        <v>36251.693709831328</v>
      </c>
      <c r="F17" s="37">
        <v>2729000</v>
      </c>
      <c r="I17" s="20">
        <f>B38-N16</f>
        <v>1132.3679999997839</v>
      </c>
      <c r="J17" s="20"/>
    </row>
    <row r="18" spans="1:22" ht="15" thickBot="1" x14ac:dyDescent="0.4">
      <c r="A18" s="8" t="s">
        <v>18</v>
      </c>
      <c r="B18" s="10" t="s">
        <v>19</v>
      </c>
      <c r="C18" s="10" t="s">
        <v>79</v>
      </c>
      <c r="F18" s="37">
        <v>1771000</v>
      </c>
      <c r="O18" s="53" t="s">
        <v>74</v>
      </c>
      <c r="P18" s="58" t="s">
        <v>4</v>
      </c>
      <c r="Q18" s="37" t="s">
        <v>54</v>
      </c>
      <c r="R18" s="37" t="s">
        <v>55</v>
      </c>
      <c r="S18" s="37" t="s">
        <v>58</v>
      </c>
      <c r="T18" s="37" t="s">
        <v>56</v>
      </c>
      <c r="U18" s="37" t="s">
        <v>59</v>
      </c>
      <c r="V18" s="47"/>
    </row>
    <row r="19" spans="1:22" x14ac:dyDescent="0.35">
      <c r="A19" s="3" t="s">
        <v>22</v>
      </c>
      <c r="B19" s="4" t="s">
        <v>19</v>
      </c>
      <c r="C19" s="4" t="s">
        <v>23</v>
      </c>
      <c r="D19" s="5">
        <v>45967</v>
      </c>
      <c r="E19" s="6">
        <v>12900</v>
      </c>
      <c r="F19" s="37">
        <v>750000</v>
      </c>
      <c r="H19" s="1" t="s">
        <v>0</v>
      </c>
      <c r="I19" s="2" t="s">
        <v>1</v>
      </c>
      <c r="J19" s="2" t="s">
        <v>2</v>
      </c>
      <c r="K19" s="2" t="s">
        <v>3</v>
      </c>
      <c r="L19" s="2" t="s">
        <v>4</v>
      </c>
      <c r="M19" s="2" t="s">
        <v>5</v>
      </c>
      <c r="O19" s="46" t="s">
        <v>75</v>
      </c>
      <c r="P19" s="37">
        <v>2368000</v>
      </c>
      <c r="Q19" s="37">
        <v>19026</v>
      </c>
      <c r="R19" s="37">
        <v>175799</v>
      </c>
      <c r="S19" s="37">
        <v>2314881.3310779324</v>
      </c>
      <c r="T19" s="37">
        <v>171675</v>
      </c>
      <c r="U19" s="37">
        <v>2257638.9218396717</v>
      </c>
      <c r="V19" s="47"/>
    </row>
    <row r="20" spans="1:22" x14ac:dyDescent="0.35">
      <c r="A20" s="3" t="s">
        <v>14</v>
      </c>
      <c r="B20" s="4" t="s">
        <v>19</v>
      </c>
      <c r="C20" s="4" t="s">
        <v>15</v>
      </c>
      <c r="D20" s="5">
        <v>45965</v>
      </c>
      <c r="E20" s="6">
        <v>20000</v>
      </c>
      <c r="F20" s="37">
        <v>360000</v>
      </c>
      <c r="H20" s="3" t="s">
        <v>45</v>
      </c>
      <c r="I20" s="4" t="s">
        <v>44</v>
      </c>
      <c r="J20" s="4" t="s">
        <v>43</v>
      </c>
      <c r="K20" s="36">
        <v>45962</v>
      </c>
      <c r="L20" s="37">
        <v>30000</v>
      </c>
      <c r="M20" s="37">
        <v>3000000</v>
      </c>
      <c r="O20" s="47" t="s">
        <v>57</v>
      </c>
      <c r="P20" s="37">
        <v>361000</v>
      </c>
      <c r="Q20" s="37">
        <v>35000</v>
      </c>
      <c r="R20" s="37">
        <v>24000</v>
      </c>
      <c r="S20" s="37"/>
      <c r="T20" s="37">
        <v>0</v>
      </c>
      <c r="U20" s="37"/>
      <c r="V20" s="47"/>
    </row>
    <row r="21" spans="1:22" x14ac:dyDescent="0.35">
      <c r="A21" s="3" t="s">
        <v>6</v>
      </c>
      <c r="B21" s="4" t="s">
        <v>19</v>
      </c>
      <c r="C21" s="4" t="s">
        <v>16</v>
      </c>
      <c r="D21" s="5">
        <v>45965</v>
      </c>
      <c r="E21" s="6">
        <v>18600</v>
      </c>
      <c r="F21" s="37">
        <v>450000</v>
      </c>
      <c r="H21" s="3" t="s">
        <v>18</v>
      </c>
      <c r="I21" s="35" t="s">
        <v>34</v>
      </c>
      <c r="J21" s="4" t="s">
        <v>35</v>
      </c>
      <c r="K21" s="5">
        <v>45971</v>
      </c>
      <c r="L21" s="39">
        <v>70000</v>
      </c>
      <c r="M21" s="37">
        <f>500000+600000</f>
        <v>1100000</v>
      </c>
      <c r="O21" s="47"/>
      <c r="P21" s="37"/>
      <c r="Q21" s="37"/>
      <c r="R21" s="37"/>
      <c r="S21" s="37"/>
      <c r="T21" s="37"/>
      <c r="U21" s="37"/>
      <c r="V21" s="47"/>
    </row>
    <row r="22" spans="1:22" x14ac:dyDescent="0.35">
      <c r="A22" s="8" t="s">
        <v>6</v>
      </c>
      <c r="B22" s="16" t="s">
        <v>19</v>
      </c>
      <c r="C22" s="10" t="s">
        <v>21</v>
      </c>
      <c r="D22" s="5">
        <v>45967</v>
      </c>
      <c r="E22" s="7">
        <v>59663</v>
      </c>
      <c r="F22" s="12">
        <v>2800000</v>
      </c>
      <c r="H22" s="3" t="s">
        <v>18</v>
      </c>
      <c r="I22" s="4" t="s">
        <v>19</v>
      </c>
      <c r="J22" s="4" t="s">
        <v>20</v>
      </c>
      <c r="K22" s="5">
        <v>45966</v>
      </c>
      <c r="L22" s="6">
        <v>37000</v>
      </c>
      <c r="M22" s="6">
        <v>2368000</v>
      </c>
      <c r="O22" s="46" t="s">
        <v>75</v>
      </c>
      <c r="P22" s="37">
        <f>SUM(P19:P21)</f>
        <v>2729000</v>
      </c>
      <c r="Q22" s="37">
        <v>21985</v>
      </c>
      <c r="R22" s="37">
        <v>202599</v>
      </c>
      <c r="S22" s="37">
        <v>2667783.4258917565</v>
      </c>
      <c r="T22" s="37">
        <v>197847</v>
      </c>
      <c r="U22" s="37">
        <v>2601814.4500424261</v>
      </c>
      <c r="V22" s="47"/>
    </row>
    <row r="23" spans="1:22" ht="29" x14ac:dyDescent="0.35">
      <c r="A23" s="8" t="s">
        <v>30</v>
      </c>
      <c r="B23" s="16" t="s">
        <v>19</v>
      </c>
      <c r="C23" s="10" t="s">
        <v>31</v>
      </c>
      <c r="D23" s="5">
        <v>45971</v>
      </c>
      <c r="E23" s="38">
        <v>35000</v>
      </c>
      <c r="F23" s="12">
        <v>3400000</v>
      </c>
      <c r="H23" s="3" t="s">
        <v>28</v>
      </c>
      <c r="I23" s="4" t="s">
        <v>19</v>
      </c>
      <c r="J23" s="4" t="s">
        <v>29</v>
      </c>
      <c r="K23" s="5">
        <v>45971</v>
      </c>
      <c r="L23" s="6">
        <v>35000</v>
      </c>
      <c r="M23" s="6">
        <v>608000</v>
      </c>
      <c r="O23" s="59" t="s">
        <v>76</v>
      </c>
      <c r="P23" s="60">
        <v>4500000</v>
      </c>
      <c r="Q23" s="60">
        <v>36251.693709831328</v>
      </c>
      <c r="R23" s="62">
        <v>334077</v>
      </c>
      <c r="S23" s="60">
        <v>4399056.5835518138</v>
      </c>
      <c r="T23" s="62">
        <v>326240</v>
      </c>
      <c r="U23" s="60">
        <v>4290276.6673473492</v>
      </c>
      <c r="V23" s="47"/>
    </row>
    <row r="24" spans="1:22" x14ac:dyDescent="0.35">
      <c r="A24" s="8" t="s">
        <v>40</v>
      </c>
      <c r="B24" s="16" t="s">
        <v>41</v>
      </c>
      <c r="C24" s="10" t="s">
        <v>23</v>
      </c>
      <c r="D24" s="17">
        <v>45971</v>
      </c>
      <c r="E24" s="16" t="s">
        <v>42</v>
      </c>
      <c r="F24" s="12">
        <v>3000000</v>
      </c>
      <c r="H24" s="3" t="s">
        <v>52</v>
      </c>
      <c r="I24" s="4" t="s">
        <v>7</v>
      </c>
      <c r="J24" s="4" t="s">
        <v>23</v>
      </c>
      <c r="K24" s="5">
        <v>45967</v>
      </c>
      <c r="L24" s="6">
        <v>15068</v>
      </c>
      <c r="M24" s="6">
        <v>728786</v>
      </c>
      <c r="O24" s="47" t="s">
        <v>77</v>
      </c>
      <c r="P24" s="37">
        <v>1700000</v>
      </c>
      <c r="Q24" s="37">
        <v>0</v>
      </c>
      <c r="R24" s="37">
        <f>P24*0.01*12</f>
        <v>204000</v>
      </c>
      <c r="S24" s="37">
        <v>1700000</v>
      </c>
      <c r="T24" s="37">
        <f>P24*0.01*12</f>
        <v>204000</v>
      </c>
      <c r="U24" s="37">
        <v>1700000</v>
      </c>
      <c r="V24" s="47"/>
    </row>
    <row r="25" spans="1:22" x14ac:dyDescent="0.35">
      <c r="H25" s="3" t="s">
        <v>22</v>
      </c>
      <c r="I25" s="4" t="s">
        <v>19</v>
      </c>
      <c r="J25" s="4" t="s">
        <v>23</v>
      </c>
      <c r="K25" s="5">
        <v>45967</v>
      </c>
      <c r="L25" s="6">
        <v>12900</v>
      </c>
      <c r="M25" s="6">
        <v>750000</v>
      </c>
      <c r="O25" s="61" t="s">
        <v>78</v>
      </c>
      <c r="P25" s="60"/>
      <c r="Q25" s="60"/>
      <c r="R25" s="62">
        <f>R19+R24</f>
        <v>379799</v>
      </c>
      <c r="S25" s="60"/>
      <c r="T25" s="62">
        <f>T19+T24</f>
        <v>375675</v>
      </c>
      <c r="U25" s="60"/>
      <c r="V25" s="47"/>
    </row>
    <row r="26" spans="1:22" x14ac:dyDescent="0.35">
      <c r="E26" s="20">
        <f>SUM(E2:E22)</f>
        <v>263712.69370983134</v>
      </c>
      <c r="F26" s="20">
        <f>SUM(F2:F25)</f>
        <v>20117000</v>
      </c>
      <c r="H26" s="3" t="s">
        <v>14</v>
      </c>
      <c r="I26" s="4" t="s">
        <v>19</v>
      </c>
      <c r="J26" s="4" t="s">
        <v>15</v>
      </c>
      <c r="K26" s="5">
        <v>45965</v>
      </c>
      <c r="L26" s="6">
        <v>20000</v>
      </c>
      <c r="M26" s="6">
        <v>360000</v>
      </c>
    </row>
    <row r="27" spans="1:22" x14ac:dyDescent="0.35">
      <c r="H27" s="3" t="s">
        <v>6</v>
      </c>
      <c r="I27" s="4" t="s">
        <v>19</v>
      </c>
      <c r="J27" s="4" t="s">
        <v>16</v>
      </c>
      <c r="K27" s="5">
        <v>45965</v>
      </c>
      <c r="L27" s="6">
        <v>18600</v>
      </c>
      <c r="M27" s="6">
        <v>450000</v>
      </c>
    </row>
    <row r="28" spans="1:22" x14ac:dyDescent="0.35">
      <c r="H28" s="8" t="s">
        <v>6</v>
      </c>
      <c r="I28" s="16" t="s">
        <v>19</v>
      </c>
      <c r="J28" s="10" t="s">
        <v>21</v>
      </c>
      <c r="K28" s="5">
        <v>45967</v>
      </c>
      <c r="L28" s="7">
        <v>59663</v>
      </c>
      <c r="M28" s="19">
        <v>2800000</v>
      </c>
      <c r="O28" s="54" t="s">
        <v>70</v>
      </c>
      <c r="P28" s="54" t="s">
        <v>4</v>
      </c>
      <c r="Q28" s="54" t="s">
        <v>67</v>
      </c>
      <c r="R28" s="54" t="s">
        <v>68</v>
      </c>
    </row>
    <row r="29" spans="1:22" x14ac:dyDescent="0.35">
      <c r="H29" s="8" t="s">
        <v>30</v>
      </c>
      <c r="I29" s="16" t="s">
        <v>19</v>
      </c>
      <c r="J29" s="10" t="s">
        <v>31</v>
      </c>
      <c r="K29" s="5">
        <v>45971</v>
      </c>
      <c r="L29" s="38">
        <v>35000</v>
      </c>
      <c r="M29" s="19">
        <v>3400000</v>
      </c>
      <c r="O29" s="4" t="s">
        <v>66</v>
      </c>
      <c r="P29" s="55">
        <v>1810578.6400000001</v>
      </c>
      <c r="Q29" s="56">
        <f>P29*0.0225</f>
        <v>40738.019400000005</v>
      </c>
      <c r="R29" s="55">
        <f>Q29*12</f>
        <v>488856.23280000006</v>
      </c>
    </row>
    <row r="30" spans="1:22" x14ac:dyDescent="0.35">
      <c r="A30" t="s">
        <v>80</v>
      </c>
      <c r="B30" s="12">
        <v>519664</v>
      </c>
      <c r="C30" s="64">
        <v>46016</v>
      </c>
      <c r="H30" s="8" t="s">
        <v>40</v>
      </c>
      <c r="I30" s="16" t="s">
        <v>41</v>
      </c>
      <c r="J30" s="10" t="s">
        <v>23</v>
      </c>
      <c r="K30" s="17">
        <v>45971</v>
      </c>
      <c r="L30" s="16" t="s">
        <v>42</v>
      </c>
      <c r="M30" s="12">
        <v>3000000</v>
      </c>
      <c r="O30" s="4"/>
      <c r="P30" s="55">
        <v>1810578.6400000001</v>
      </c>
      <c r="Q30" s="56">
        <f>P30*0.0225</f>
        <v>40738.019400000005</v>
      </c>
      <c r="R30" s="55">
        <f>Q30*12</f>
        <v>488856.23280000006</v>
      </c>
    </row>
    <row r="31" spans="1:22" x14ac:dyDescent="0.35">
      <c r="B31" s="12">
        <v>250000</v>
      </c>
      <c r="C31" s="64">
        <v>46018</v>
      </c>
      <c r="J31" s="10" t="s">
        <v>53</v>
      </c>
      <c r="L31" s="40">
        <f>SUM(L20:L30)</f>
        <v>333231</v>
      </c>
      <c r="O31" s="48" t="s">
        <v>72</v>
      </c>
      <c r="P31" s="55"/>
      <c r="Q31" s="55"/>
      <c r="R31" s="57">
        <f>SUM(R29:R30)</f>
        <v>977712.46560000011</v>
      </c>
    </row>
    <row r="32" spans="1:22" x14ac:dyDescent="0.35">
      <c r="B32" s="12">
        <v>300000</v>
      </c>
      <c r="C32" s="64">
        <v>46020</v>
      </c>
      <c r="O32" s="4" t="s">
        <v>69</v>
      </c>
      <c r="P32" s="55"/>
      <c r="Q32" s="55"/>
      <c r="R32" s="55"/>
    </row>
    <row r="33" spans="2:18" x14ac:dyDescent="0.35">
      <c r="B33" s="12">
        <v>300000</v>
      </c>
      <c r="C33" s="64">
        <v>46022</v>
      </c>
      <c r="J33" s="52">
        <f>I33*0.0225</f>
        <v>0</v>
      </c>
      <c r="O33" s="4"/>
      <c r="P33" s="55">
        <v>1810578.6400000001</v>
      </c>
      <c r="Q33" s="55">
        <f>P33*0.01</f>
        <v>18105.786400000001</v>
      </c>
      <c r="R33" s="55">
        <f>Q33*12</f>
        <v>217269.43680000002</v>
      </c>
    </row>
    <row r="34" spans="2:18" x14ac:dyDescent="0.35">
      <c r="B34" s="12">
        <v>42000</v>
      </c>
      <c r="C34" s="64">
        <v>46024</v>
      </c>
      <c r="O34" s="4"/>
      <c r="P34" s="55">
        <v>1810578.6400000001</v>
      </c>
      <c r="Q34" s="55">
        <f>P34*0.01</f>
        <v>18105.786400000001</v>
      </c>
      <c r="R34" s="55">
        <f>Q34*12</f>
        <v>217269.43680000002</v>
      </c>
    </row>
    <row r="35" spans="2:18" x14ac:dyDescent="0.35">
      <c r="B35" s="12"/>
      <c r="C35" s="64"/>
      <c r="O35" s="48" t="s">
        <v>71</v>
      </c>
      <c r="P35" s="4"/>
      <c r="Q35" s="4"/>
      <c r="R35" s="57">
        <f>SUM(R33:R34)</f>
        <v>434538.87360000005</v>
      </c>
    </row>
    <row r="36" spans="2:18" x14ac:dyDescent="0.35">
      <c r="B36" s="12"/>
      <c r="C36" s="64"/>
      <c r="O36" s="48" t="s">
        <v>73</v>
      </c>
      <c r="P36" s="53"/>
      <c r="Q36" s="53"/>
      <c r="R36" s="51">
        <f>R35-R31</f>
        <v>-543173.59200000006</v>
      </c>
    </row>
    <row r="37" spans="2:18" x14ac:dyDescent="0.35">
      <c r="B37" s="12"/>
      <c r="C37" s="64"/>
    </row>
    <row r="38" spans="2:18" x14ac:dyDescent="0.35">
      <c r="B38" s="20">
        <f>SUM(B30:B37)</f>
        <v>1411664</v>
      </c>
      <c r="D38" s="20">
        <v>1810578</v>
      </c>
    </row>
    <row r="39" spans="2:18" x14ac:dyDescent="0.35">
      <c r="B39" s="33">
        <f>D38-B38</f>
        <v>398914</v>
      </c>
    </row>
    <row r="64" spans="5:6" x14ac:dyDescent="0.35">
      <c r="E64" s="6">
        <v>35000</v>
      </c>
      <c r="F64" s="37">
        <v>608000</v>
      </c>
    </row>
    <row r="66" spans="1:4" x14ac:dyDescent="0.35">
      <c r="A66" s="3" t="s">
        <v>28</v>
      </c>
      <c r="B66" s="4" t="s">
        <v>19</v>
      </c>
      <c r="C66" s="4" t="s">
        <v>29</v>
      </c>
      <c r="D66" s="5">
        <v>45971</v>
      </c>
    </row>
  </sheetData>
  <sortState xmlns:xlrd2="http://schemas.microsoft.com/office/spreadsheetml/2017/richdata2" ref="A2:F24">
    <sortCondition ref="B2:B24"/>
  </sortState>
  <conditionalFormatting sqref="D1:D17 D19:D23 K19:K29 D66">
    <cfRule type="cellIs" dxfId="19" priority="9" operator="equal">
      <formula>#REF!</formula>
    </cfRule>
    <cfRule type="cellIs" dxfId="18" priority="10" operator="equal">
      <formula>TODAY()</formula>
    </cfRule>
  </conditionalFormatting>
  <conditionalFormatting sqref="K2:K15">
    <cfRule type="cellIs" dxfId="17" priority="3" operator="equal">
      <formula>#REF!</formula>
    </cfRule>
    <cfRule type="cellIs" dxfId="16" priority="4" operator="equal">
      <formula>TODAY()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A4172-4601-473A-9318-7FBEB29E129D}">
  <dimension ref="A1:F15"/>
  <sheetViews>
    <sheetView workbookViewId="0">
      <selection activeCell="B16" sqref="B16"/>
    </sheetView>
  </sheetViews>
  <sheetFormatPr defaultRowHeight="14.5" x14ac:dyDescent="0.35"/>
  <cols>
    <col min="1" max="1" width="11.90625" bestFit="1" customWidth="1"/>
    <col min="2" max="2" width="20.1796875" bestFit="1" customWidth="1"/>
    <col min="3" max="3" width="12.90625" bestFit="1" customWidth="1"/>
    <col min="4" max="4" width="11.1796875" bestFit="1" customWidth="1"/>
    <col min="5" max="6" width="12.54296875" bestFit="1" customWidth="1"/>
  </cols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3" t="s">
        <v>5</v>
      </c>
    </row>
    <row r="2" spans="1:6" x14ac:dyDescent="0.35">
      <c r="A2" s="3" t="s">
        <v>45</v>
      </c>
      <c r="B2" s="4" t="s">
        <v>44</v>
      </c>
      <c r="C2" s="4" t="s">
        <v>43</v>
      </c>
      <c r="D2" s="36">
        <v>45962</v>
      </c>
      <c r="E2" s="37">
        <v>30000</v>
      </c>
      <c r="F2" s="37">
        <v>3000000</v>
      </c>
    </row>
    <row r="3" spans="1:6" x14ac:dyDescent="0.35">
      <c r="A3" s="3" t="s">
        <v>6</v>
      </c>
      <c r="B3" s="4" t="s">
        <v>7</v>
      </c>
      <c r="C3" s="4" t="s">
        <v>11</v>
      </c>
      <c r="D3" s="5">
        <v>45971</v>
      </c>
      <c r="E3" s="6">
        <f>F3*0.0218</f>
        <v>1635</v>
      </c>
      <c r="F3" s="37">
        <v>75000</v>
      </c>
    </row>
    <row r="4" spans="1:6" x14ac:dyDescent="0.35">
      <c r="A4" s="3" t="s">
        <v>10</v>
      </c>
      <c r="B4" s="4" t="s">
        <v>7</v>
      </c>
      <c r="C4" s="4" t="s">
        <v>8</v>
      </c>
      <c r="D4" s="5">
        <v>45967</v>
      </c>
      <c r="E4" s="6">
        <f>F4*0.0215</f>
        <v>14662.999999999998</v>
      </c>
      <c r="F4" s="37">
        <v>682000</v>
      </c>
    </row>
    <row r="5" spans="1:6" x14ac:dyDescent="0.35">
      <c r="A5" s="3" t="s">
        <v>18</v>
      </c>
      <c r="B5" s="35" t="s">
        <v>34</v>
      </c>
      <c r="C5" s="4" t="s">
        <v>35</v>
      </c>
      <c r="D5" s="5">
        <v>45971</v>
      </c>
      <c r="E5" s="39">
        <v>70000</v>
      </c>
      <c r="F5" s="37">
        <f>500000+600000</f>
        <v>1100000</v>
      </c>
    </row>
    <row r="6" spans="1:6" x14ac:dyDescent="0.35">
      <c r="A6" s="3" t="s">
        <v>18</v>
      </c>
      <c r="B6" s="4" t="s">
        <v>19</v>
      </c>
      <c r="C6" s="4" t="s">
        <v>20</v>
      </c>
      <c r="D6" s="5">
        <v>45966</v>
      </c>
      <c r="E6" s="60">
        <v>36251.693709831328</v>
      </c>
      <c r="F6" s="37">
        <v>2729000</v>
      </c>
    </row>
    <row r="7" spans="1:6" x14ac:dyDescent="0.35">
      <c r="A7" s="8" t="s">
        <v>18</v>
      </c>
      <c r="B7" s="10" t="s">
        <v>19</v>
      </c>
      <c r="C7" s="10" t="s">
        <v>79</v>
      </c>
      <c r="E7" s="12">
        <v>100000</v>
      </c>
      <c r="F7" s="37">
        <v>1771000</v>
      </c>
    </row>
    <row r="8" spans="1:6" x14ac:dyDescent="0.35">
      <c r="A8" s="3" t="s">
        <v>22</v>
      </c>
      <c r="B8" s="4" t="s">
        <v>19</v>
      </c>
      <c r="C8" s="4" t="s">
        <v>23</v>
      </c>
      <c r="D8" s="5">
        <v>45967</v>
      </c>
      <c r="E8" s="6">
        <v>12900</v>
      </c>
      <c r="F8" s="37">
        <v>750000</v>
      </c>
    </row>
    <row r="9" spans="1:6" x14ac:dyDescent="0.35">
      <c r="A9" s="3" t="s">
        <v>14</v>
      </c>
      <c r="B9" s="4" t="s">
        <v>19</v>
      </c>
      <c r="C9" s="4" t="s">
        <v>15</v>
      </c>
      <c r="D9" s="5">
        <v>45965</v>
      </c>
      <c r="E9" s="6">
        <v>20000</v>
      </c>
      <c r="F9" s="37">
        <v>360000</v>
      </c>
    </row>
    <row r="10" spans="1:6" x14ac:dyDescent="0.35">
      <c r="A10" s="3" t="s">
        <v>6</v>
      </c>
      <c r="B10" s="4" t="s">
        <v>19</v>
      </c>
      <c r="C10" s="4" t="s">
        <v>16</v>
      </c>
      <c r="D10" s="5">
        <v>45965</v>
      </c>
      <c r="E10" s="6">
        <v>18600</v>
      </c>
      <c r="F10" s="37">
        <v>450000</v>
      </c>
    </row>
    <row r="11" spans="1:6" x14ac:dyDescent="0.35">
      <c r="A11" s="8" t="s">
        <v>6</v>
      </c>
      <c r="B11" s="16" t="s">
        <v>19</v>
      </c>
      <c r="C11" s="10" t="s">
        <v>21</v>
      </c>
      <c r="D11" s="5">
        <v>45967</v>
      </c>
      <c r="E11" s="7">
        <v>59663</v>
      </c>
      <c r="F11" s="12">
        <v>2800000</v>
      </c>
    </row>
    <row r="12" spans="1:6" x14ac:dyDescent="0.35">
      <c r="A12" s="8" t="s">
        <v>30</v>
      </c>
      <c r="B12" s="16" t="s">
        <v>19</v>
      </c>
      <c r="C12" s="10" t="s">
        <v>31</v>
      </c>
      <c r="D12" s="5">
        <v>45971</v>
      </c>
      <c r="E12" s="38">
        <v>35000</v>
      </c>
      <c r="F12" s="12">
        <v>3400000</v>
      </c>
    </row>
    <row r="13" spans="1:6" x14ac:dyDescent="0.35">
      <c r="A13" s="8" t="s">
        <v>40</v>
      </c>
      <c r="B13" s="16" t="s">
        <v>41</v>
      </c>
      <c r="C13" s="10" t="s">
        <v>23</v>
      </c>
      <c r="D13" s="17">
        <v>45971</v>
      </c>
      <c r="E13" s="12">
        <v>100000</v>
      </c>
      <c r="F13" s="12">
        <v>1300000</v>
      </c>
    </row>
    <row r="15" spans="1:6" x14ac:dyDescent="0.35">
      <c r="E15" s="20">
        <f>SUM(E2:E14)</f>
        <v>498712.69370983134</v>
      </c>
      <c r="F15" s="20">
        <f>SUM(F2:F14)</f>
        <v>18417000</v>
      </c>
    </row>
  </sheetData>
  <conditionalFormatting sqref="D1:D6 D8:D12">
    <cfRule type="cellIs" dxfId="15" priority="1" operator="equal">
      <formula>#REF!</formula>
    </cfRule>
    <cfRule type="cellIs" dxfId="14" priority="2" operator="equal">
      <formula>TODAY()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D1F7-1DA4-4EA9-A460-CD8E2FD9944E}">
  <dimension ref="A1:F14"/>
  <sheetViews>
    <sheetView zoomScaleNormal="100" workbookViewId="0">
      <selection activeCell="L12" sqref="L12"/>
    </sheetView>
  </sheetViews>
  <sheetFormatPr defaultRowHeight="14.5" x14ac:dyDescent="0.35"/>
  <cols>
    <col min="1" max="1" width="11.90625" bestFit="1" customWidth="1"/>
    <col min="2" max="2" width="20.1796875" bestFit="1" customWidth="1"/>
    <col min="3" max="3" width="10.453125" bestFit="1" customWidth="1"/>
    <col min="4" max="4" width="11.1796875" bestFit="1" customWidth="1"/>
    <col min="5" max="5" width="10" bestFit="1" customWidth="1"/>
    <col min="6" max="6" width="11.08984375" bestFit="1" customWidth="1"/>
  </cols>
  <sheetData>
    <row r="1" spans="1:6" ht="15" thickBot="1" x14ac:dyDescent="0.4">
      <c r="A1" s="41"/>
      <c r="B1" s="41"/>
      <c r="C1" s="41"/>
      <c r="D1" s="41"/>
      <c r="E1" s="41"/>
      <c r="F1" s="41"/>
    </row>
    <row r="2" spans="1:6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35">
      <c r="A3" s="3" t="s">
        <v>45</v>
      </c>
      <c r="B3" s="4" t="s">
        <v>44</v>
      </c>
      <c r="C3" s="4" t="s">
        <v>43</v>
      </c>
      <c r="D3" s="36">
        <v>45962</v>
      </c>
      <c r="E3" s="37">
        <v>30000</v>
      </c>
      <c r="F3" s="37">
        <v>3000000</v>
      </c>
    </row>
    <row r="4" spans="1:6" x14ac:dyDescent="0.35">
      <c r="A4" s="3" t="s">
        <v>18</v>
      </c>
      <c r="B4" s="35" t="s">
        <v>34</v>
      </c>
      <c r="C4" s="4" t="s">
        <v>35</v>
      </c>
      <c r="D4" s="5">
        <v>45971</v>
      </c>
      <c r="E4" s="39">
        <v>70000</v>
      </c>
      <c r="F4" s="37">
        <f>500000+600000</f>
        <v>1100000</v>
      </c>
    </row>
    <row r="5" spans="1:6" x14ac:dyDescent="0.35">
      <c r="A5" s="3" t="s">
        <v>18</v>
      </c>
      <c r="B5" s="4" t="s">
        <v>19</v>
      </c>
      <c r="C5" s="4" t="s">
        <v>20</v>
      </c>
      <c r="D5" s="5">
        <v>45966</v>
      </c>
      <c r="E5" s="6">
        <v>37000</v>
      </c>
      <c r="F5" s="6">
        <v>2368000</v>
      </c>
    </row>
    <row r="6" spans="1:6" x14ac:dyDescent="0.35">
      <c r="A6" s="3" t="s">
        <v>28</v>
      </c>
      <c r="B6" s="4" t="s">
        <v>19</v>
      </c>
      <c r="C6" s="4" t="s">
        <v>29</v>
      </c>
      <c r="D6" s="5">
        <v>45971</v>
      </c>
      <c r="E6" s="6">
        <v>35000</v>
      </c>
      <c r="F6" s="6">
        <v>608000</v>
      </c>
    </row>
    <row r="7" spans="1:6" x14ac:dyDescent="0.35">
      <c r="A7" s="3" t="s">
        <v>52</v>
      </c>
      <c r="B7" s="4" t="s">
        <v>7</v>
      </c>
      <c r="C7" s="4" t="s">
        <v>23</v>
      </c>
      <c r="D7" s="5">
        <v>45967</v>
      </c>
      <c r="E7" s="6">
        <v>15068</v>
      </c>
      <c r="F7" s="6">
        <v>728786</v>
      </c>
    </row>
    <row r="8" spans="1:6" x14ac:dyDescent="0.35">
      <c r="A8" s="3" t="s">
        <v>22</v>
      </c>
      <c r="B8" s="4" t="s">
        <v>19</v>
      </c>
      <c r="C8" s="4" t="s">
        <v>23</v>
      </c>
      <c r="D8" s="5">
        <v>45967</v>
      </c>
      <c r="E8" s="6">
        <v>12900</v>
      </c>
      <c r="F8" s="6">
        <v>750000</v>
      </c>
    </row>
    <row r="9" spans="1:6" x14ac:dyDescent="0.35">
      <c r="A9" s="3" t="s">
        <v>14</v>
      </c>
      <c r="B9" s="4" t="s">
        <v>19</v>
      </c>
      <c r="C9" s="4" t="s">
        <v>15</v>
      </c>
      <c r="D9" s="5">
        <v>45965</v>
      </c>
      <c r="E9" s="6">
        <v>20000</v>
      </c>
      <c r="F9" s="6">
        <v>360000</v>
      </c>
    </row>
    <row r="10" spans="1:6" x14ac:dyDescent="0.35">
      <c r="A10" s="3" t="s">
        <v>6</v>
      </c>
      <c r="B10" s="4" t="s">
        <v>19</v>
      </c>
      <c r="C10" s="4" t="s">
        <v>16</v>
      </c>
      <c r="D10" s="5">
        <v>45965</v>
      </c>
      <c r="E10" s="6">
        <v>18600</v>
      </c>
      <c r="F10" s="6">
        <v>450000</v>
      </c>
    </row>
    <row r="11" spans="1:6" x14ac:dyDescent="0.35">
      <c r="A11" s="8" t="s">
        <v>6</v>
      </c>
      <c r="B11" s="16" t="s">
        <v>19</v>
      </c>
      <c r="C11" s="10" t="s">
        <v>21</v>
      </c>
      <c r="D11" s="5">
        <v>45967</v>
      </c>
      <c r="E11" s="7">
        <v>59663</v>
      </c>
      <c r="F11" s="19">
        <v>2800000</v>
      </c>
    </row>
    <row r="12" spans="1:6" x14ac:dyDescent="0.35">
      <c r="A12" s="8" t="s">
        <v>30</v>
      </c>
      <c r="B12" s="16" t="s">
        <v>19</v>
      </c>
      <c r="C12" s="10" t="s">
        <v>31</v>
      </c>
      <c r="D12" s="5">
        <v>45971</v>
      </c>
      <c r="E12" s="38">
        <v>35000</v>
      </c>
      <c r="F12" s="19">
        <v>3400000</v>
      </c>
    </row>
    <row r="13" spans="1:6" x14ac:dyDescent="0.35">
      <c r="A13" s="8" t="s">
        <v>40</v>
      </c>
      <c r="B13" s="16" t="s">
        <v>41</v>
      </c>
      <c r="C13" s="10" t="s">
        <v>23</v>
      </c>
      <c r="D13" s="17">
        <v>45971</v>
      </c>
      <c r="E13" s="16" t="s">
        <v>42</v>
      </c>
      <c r="F13" s="12">
        <v>3000000</v>
      </c>
    </row>
    <row r="14" spans="1:6" x14ac:dyDescent="0.35">
      <c r="C14" s="10" t="s">
        <v>53</v>
      </c>
      <c r="E14" s="40">
        <f>SUM(E3:E13)</f>
        <v>333231</v>
      </c>
    </row>
  </sheetData>
  <conditionalFormatting sqref="D2:D12">
    <cfRule type="cellIs" dxfId="13" priority="1" operator="equal">
      <formula>#REF!</formula>
    </cfRule>
    <cfRule type="cellIs" dxfId="12" priority="2" operator="equal">
      <formula>TODAY()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41AB6-1383-49BF-BAC5-A9FCFCC8F3C6}">
  <dimension ref="A1:O28"/>
  <sheetViews>
    <sheetView topLeftCell="A4" workbookViewId="0">
      <selection activeCell="G8" sqref="G8"/>
    </sheetView>
  </sheetViews>
  <sheetFormatPr defaultRowHeight="14.5" x14ac:dyDescent="0.35"/>
  <cols>
    <col min="1" max="1" width="12" bestFit="1" customWidth="1"/>
    <col min="2" max="2" width="20.453125" bestFit="1" customWidth="1"/>
    <col min="3" max="3" width="13.26953125" bestFit="1" customWidth="1"/>
    <col min="4" max="4" width="11.26953125" bestFit="1" customWidth="1"/>
    <col min="5" max="5" width="10.26953125" bestFit="1" customWidth="1"/>
    <col min="6" max="6" width="11.26953125" bestFit="1" customWidth="1"/>
    <col min="7" max="8" width="10.26953125" bestFit="1" customWidth="1"/>
    <col min="9" max="9" width="11.26953125" bestFit="1" customWidth="1"/>
    <col min="13" max="13" width="11.26953125" bestFit="1" customWidth="1"/>
    <col min="15" max="15" width="10.26953125" bestFit="1" customWidth="1"/>
  </cols>
  <sheetData>
    <row r="1" spans="1:1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5" x14ac:dyDescent="0.35">
      <c r="A2" s="3" t="s">
        <v>18</v>
      </c>
      <c r="B2" s="4" t="s">
        <v>19</v>
      </c>
      <c r="C2" s="4" t="s">
        <v>48</v>
      </c>
      <c r="D2" s="5">
        <v>45966</v>
      </c>
      <c r="E2" s="6">
        <v>37000</v>
      </c>
      <c r="F2" s="6">
        <v>4500000</v>
      </c>
      <c r="I2" s="20">
        <f>F2-2700000</f>
        <v>1800000</v>
      </c>
    </row>
    <row r="3" spans="1:15" x14ac:dyDescent="0.35">
      <c r="A3" s="16" t="s">
        <v>18</v>
      </c>
      <c r="B3" s="9" t="s">
        <v>34</v>
      </c>
      <c r="C3" s="16" t="s">
        <v>35</v>
      </c>
      <c r="D3" s="17">
        <v>45971</v>
      </c>
      <c r="E3" s="11">
        <v>70000</v>
      </c>
      <c r="F3" s="18">
        <v>1450000</v>
      </c>
    </row>
    <row r="4" spans="1:15" x14ac:dyDescent="0.35">
      <c r="A4" s="25" t="s">
        <v>28</v>
      </c>
      <c r="B4" s="26" t="s">
        <v>19</v>
      </c>
      <c r="C4" s="26" t="s">
        <v>29</v>
      </c>
      <c r="D4" s="27">
        <v>45971</v>
      </c>
      <c r="E4" s="23">
        <v>0</v>
      </c>
      <c r="F4" s="23">
        <v>0</v>
      </c>
      <c r="G4" s="31">
        <v>35000</v>
      </c>
      <c r="H4" s="31">
        <v>608000</v>
      </c>
    </row>
    <row r="5" spans="1:15" x14ac:dyDescent="0.35">
      <c r="A5" s="3" t="s">
        <v>30</v>
      </c>
      <c r="B5" s="4" t="s">
        <v>19</v>
      </c>
      <c r="C5" s="4" t="s">
        <v>48</v>
      </c>
      <c r="D5" s="5">
        <v>45971</v>
      </c>
      <c r="E5" s="6">
        <v>37000</v>
      </c>
      <c r="F5" s="6">
        <v>4500000</v>
      </c>
      <c r="I5" s="20">
        <f>F5-3500000</f>
        <v>1000000</v>
      </c>
      <c r="J5" s="3" t="s">
        <v>12</v>
      </c>
      <c r="K5" s="4" t="s">
        <v>7</v>
      </c>
      <c r="L5" s="4" t="s">
        <v>8</v>
      </c>
      <c r="M5" s="5">
        <v>45970</v>
      </c>
      <c r="N5" s="6">
        <v>11532</v>
      </c>
      <c r="O5" s="6">
        <v>205000</v>
      </c>
    </row>
    <row r="6" spans="1:15" x14ac:dyDescent="0.35">
      <c r="A6" s="3" t="s">
        <v>22</v>
      </c>
      <c r="B6" s="4" t="s">
        <v>19</v>
      </c>
      <c r="C6" s="4" t="s">
        <v>23</v>
      </c>
      <c r="D6" s="5">
        <v>45967</v>
      </c>
      <c r="E6" s="6">
        <v>12900</v>
      </c>
      <c r="F6" s="6">
        <v>725000</v>
      </c>
      <c r="J6" s="8" t="s">
        <v>12</v>
      </c>
      <c r="K6" s="16" t="s">
        <v>7</v>
      </c>
      <c r="L6" s="10" t="s">
        <v>27</v>
      </c>
      <c r="M6" s="5">
        <v>45971</v>
      </c>
      <c r="N6" s="7">
        <v>6500</v>
      </c>
      <c r="O6" s="19">
        <v>108000</v>
      </c>
    </row>
    <row r="7" spans="1:15" x14ac:dyDescent="0.35">
      <c r="A7" s="3" t="s">
        <v>14</v>
      </c>
      <c r="B7" s="4" t="s">
        <v>19</v>
      </c>
      <c r="C7" s="4" t="s">
        <v>15</v>
      </c>
      <c r="D7" s="5">
        <v>45965</v>
      </c>
      <c r="E7" s="6">
        <v>20000</v>
      </c>
      <c r="F7" s="6">
        <v>320000</v>
      </c>
      <c r="J7" s="3" t="s">
        <v>6</v>
      </c>
      <c r="K7" s="4" t="s">
        <v>7</v>
      </c>
      <c r="L7" s="4" t="s">
        <v>11</v>
      </c>
      <c r="M7" s="5">
        <v>45965</v>
      </c>
      <c r="N7" s="6">
        <f>O7*0.025</f>
        <v>1725</v>
      </c>
      <c r="O7" s="6">
        <v>69000</v>
      </c>
    </row>
    <row r="8" spans="1:15" x14ac:dyDescent="0.35">
      <c r="A8" s="3" t="s">
        <v>6</v>
      </c>
      <c r="B8" s="4" t="s">
        <v>7</v>
      </c>
      <c r="C8" s="4" t="s">
        <v>8</v>
      </c>
      <c r="D8" s="5">
        <v>45956</v>
      </c>
      <c r="E8" s="6">
        <f>F8*0.022</f>
        <v>3586</v>
      </c>
      <c r="F8" s="6">
        <f>273000-110000</f>
        <v>163000</v>
      </c>
      <c r="G8" s="6">
        <f>H8*0.022</f>
        <v>3586</v>
      </c>
      <c r="H8" s="6">
        <f>273000-110000</f>
        <v>163000</v>
      </c>
      <c r="J8" s="3" t="s">
        <v>10</v>
      </c>
      <c r="K8" s="4" t="s">
        <v>7</v>
      </c>
      <c r="L8" s="4" t="s">
        <v>17</v>
      </c>
      <c r="M8" s="5">
        <v>45966</v>
      </c>
      <c r="N8" s="6">
        <f>6538+8530</f>
        <v>15068</v>
      </c>
      <c r="O8" s="6">
        <v>250000</v>
      </c>
    </row>
    <row r="9" spans="1:15" x14ac:dyDescent="0.35">
      <c r="A9" s="3" t="s">
        <v>6</v>
      </c>
      <c r="B9" s="4" t="s">
        <v>7</v>
      </c>
      <c r="C9" s="4" t="s">
        <v>9</v>
      </c>
      <c r="D9" s="5">
        <v>45960</v>
      </c>
      <c r="E9" s="6">
        <v>0</v>
      </c>
      <c r="F9" s="23">
        <v>0</v>
      </c>
      <c r="G9" s="28">
        <f>H9*0.0215</f>
        <v>537.5</v>
      </c>
      <c r="H9" s="28">
        <v>25000</v>
      </c>
      <c r="J9" s="3" t="s">
        <v>10</v>
      </c>
      <c r="K9" s="4" t="s">
        <v>7</v>
      </c>
      <c r="L9" s="4" t="s">
        <v>11</v>
      </c>
      <c r="M9" s="5">
        <v>45962</v>
      </c>
      <c r="N9" s="6">
        <f>O9*0.025</f>
        <v>9375</v>
      </c>
      <c r="O9" s="6">
        <v>375000</v>
      </c>
    </row>
    <row r="10" spans="1:15" x14ac:dyDescent="0.35">
      <c r="A10" s="3" t="s">
        <v>6</v>
      </c>
      <c r="B10" s="4" t="s">
        <v>7</v>
      </c>
      <c r="C10" s="4" t="s">
        <v>11</v>
      </c>
      <c r="D10" s="5">
        <v>45965</v>
      </c>
      <c r="E10" s="6"/>
      <c r="F10" s="6"/>
      <c r="G10" s="23">
        <f>H10*0.025</f>
        <v>1725</v>
      </c>
      <c r="H10" s="23">
        <v>69000</v>
      </c>
    </row>
    <row r="11" spans="1:15" x14ac:dyDescent="0.35">
      <c r="A11" s="3" t="s">
        <v>6</v>
      </c>
      <c r="B11" s="4" t="s">
        <v>19</v>
      </c>
      <c r="C11" s="4" t="s">
        <v>16</v>
      </c>
      <c r="D11" s="5">
        <v>45965</v>
      </c>
      <c r="E11" s="6">
        <v>18600</v>
      </c>
      <c r="F11" s="6">
        <v>450000</v>
      </c>
      <c r="O11" s="20">
        <f>SUM(O5:O10)</f>
        <v>1007000</v>
      </c>
    </row>
    <row r="12" spans="1:15" x14ac:dyDescent="0.35">
      <c r="A12" s="3" t="s">
        <v>6</v>
      </c>
      <c r="B12" s="4" t="s">
        <v>19</v>
      </c>
      <c r="C12" s="4" t="s">
        <v>21</v>
      </c>
      <c r="D12" s="5">
        <v>45967</v>
      </c>
      <c r="E12" s="6">
        <v>59663</v>
      </c>
      <c r="F12" s="6">
        <v>2800000</v>
      </c>
      <c r="O12" s="20">
        <f>1000000-O11</f>
        <v>-7000</v>
      </c>
    </row>
    <row r="13" spans="1:15" x14ac:dyDescent="0.35">
      <c r="A13" s="3" t="s">
        <v>6</v>
      </c>
      <c r="B13" s="4" t="s">
        <v>7</v>
      </c>
      <c r="C13" s="4" t="s">
        <v>24</v>
      </c>
      <c r="D13" s="5">
        <v>45968</v>
      </c>
      <c r="E13" s="6">
        <f>F13*0.025</f>
        <v>6143.2750000000005</v>
      </c>
      <c r="F13" s="6">
        <v>245731</v>
      </c>
    </row>
    <row r="14" spans="1:15" x14ac:dyDescent="0.35">
      <c r="A14" s="3" t="s">
        <v>6</v>
      </c>
      <c r="B14" s="4" t="s">
        <v>7</v>
      </c>
      <c r="C14" s="4" t="s">
        <v>25</v>
      </c>
      <c r="D14" s="5">
        <v>45968</v>
      </c>
      <c r="E14" s="6">
        <v>0</v>
      </c>
      <c r="F14" s="23">
        <v>0</v>
      </c>
      <c r="G14" s="28">
        <v>1100</v>
      </c>
      <c r="H14" s="28">
        <v>17000</v>
      </c>
    </row>
    <row r="15" spans="1:15" x14ac:dyDescent="0.35">
      <c r="A15" s="3" t="s">
        <v>6</v>
      </c>
      <c r="B15" s="4" t="s">
        <v>7</v>
      </c>
      <c r="C15" s="4" t="s">
        <v>11</v>
      </c>
      <c r="D15" s="5">
        <v>45971</v>
      </c>
      <c r="E15" s="6">
        <v>0</v>
      </c>
      <c r="F15" s="23">
        <v>0</v>
      </c>
      <c r="G15" s="28">
        <f>H15*0.0218</f>
        <v>1635</v>
      </c>
      <c r="H15" s="28">
        <v>75000</v>
      </c>
    </row>
    <row r="16" spans="1:15" x14ac:dyDescent="0.35">
      <c r="A16" s="3" t="s">
        <v>6</v>
      </c>
      <c r="B16" s="4" t="s">
        <v>7</v>
      </c>
      <c r="C16" s="4" t="s">
        <v>32</v>
      </c>
      <c r="D16" s="5">
        <v>45971</v>
      </c>
      <c r="E16" s="6">
        <v>0</v>
      </c>
      <c r="F16" s="23">
        <v>0</v>
      </c>
      <c r="G16" s="28">
        <v>3891</v>
      </c>
      <c r="H16" s="28">
        <v>31800</v>
      </c>
    </row>
    <row r="17" spans="1:8" x14ac:dyDescent="0.35">
      <c r="A17" s="3" t="s">
        <v>6</v>
      </c>
      <c r="B17" s="4" t="s">
        <v>7</v>
      </c>
      <c r="C17" s="4" t="s">
        <v>33</v>
      </c>
      <c r="D17" s="5">
        <v>45971</v>
      </c>
      <c r="E17" s="6">
        <f>F17*0.025</f>
        <v>6825</v>
      </c>
      <c r="F17" s="6">
        <v>273000</v>
      </c>
    </row>
    <row r="18" spans="1:8" x14ac:dyDescent="0.35">
      <c r="A18" s="3" t="s">
        <v>10</v>
      </c>
      <c r="B18" s="4" t="s">
        <v>7</v>
      </c>
      <c r="C18" s="4" t="s">
        <v>11</v>
      </c>
      <c r="D18" s="5">
        <v>45962</v>
      </c>
      <c r="E18" s="6"/>
      <c r="F18" s="6"/>
      <c r="G18" s="23">
        <v>9375</v>
      </c>
      <c r="H18" s="23">
        <v>375000</v>
      </c>
    </row>
    <row r="19" spans="1:8" x14ac:dyDescent="0.35">
      <c r="A19" s="3" t="s">
        <v>10</v>
      </c>
      <c r="B19" s="4" t="s">
        <v>7</v>
      </c>
      <c r="C19" s="4" t="s">
        <v>17</v>
      </c>
      <c r="D19" s="5">
        <v>45966</v>
      </c>
      <c r="E19" s="6"/>
      <c r="F19" s="6"/>
      <c r="G19" s="23">
        <f>6538+8530</f>
        <v>15068</v>
      </c>
      <c r="H19" s="23">
        <v>250000</v>
      </c>
    </row>
    <row r="20" spans="1:8" x14ac:dyDescent="0.35">
      <c r="A20" s="3" t="s">
        <v>10</v>
      </c>
      <c r="B20" s="4" t="s">
        <v>7</v>
      </c>
      <c r="C20" s="4" t="s">
        <v>8</v>
      </c>
      <c r="D20" s="5">
        <v>45967</v>
      </c>
      <c r="E20" s="6">
        <f>F20*0.0215</f>
        <v>14662.999999999998</v>
      </c>
      <c r="F20" s="6">
        <v>682000</v>
      </c>
    </row>
    <row r="21" spans="1:8" x14ac:dyDescent="0.35">
      <c r="A21" s="3" t="s">
        <v>12</v>
      </c>
      <c r="B21" s="4" t="s">
        <v>7</v>
      </c>
      <c r="C21" s="4" t="s">
        <v>8</v>
      </c>
      <c r="D21" s="5">
        <v>45970</v>
      </c>
      <c r="E21" s="6">
        <v>0</v>
      </c>
      <c r="F21" s="6">
        <v>0</v>
      </c>
      <c r="G21" s="23">
        <v>11532</v>
      </c>
      <c r="H21" s="23">
        <v>205000</v>
      </c>
    </row>
    <row r="22" spans="1:8" x14ac:dyDescent="0.35">
      <c r="A22" s="8" t="s">
        <v>12</v>
      </c>
      <c r="B22" s="16" t="s">
        <v>7</v>
      </c>
      <c r="C22" s="10" t="s">
        <v>27</v>
      </c>
      <c r="D22" s="5">
        <v>45971</v>
      </c>
      <c r="E22" s="6">
        <v>0</v>
      </c>
      <c r="F22" s="6">
        <v>0</v>
      </c>
      <c r="G22" s="29">
        <v>6500</v>
      </c>
      <c r="H22" s="30">
        <v>108000</v>
      </c>
    </row>
    <row r="24" spans="1:8" x14ac:dyDescent="0.35">
      <c r="E24" s="20">
        <f>SUM(E2:E23)</f>
        <v>286380.27500000002</v>
      </c>
    </row>
    <row r="25" spans="1:8" x14ac:dyDescent="0.35">
      <c r="A25" s="8" t="s">
        <v>40</v>
      </c>
      <c r="B25" s="16" t="s">
        <v>41</v>
      </c>
      <c r="C25" s="10" t="s">
        <v>23</v>
      </c>
      <c r="D25" s="5">
        <v>45971</v>
      </c>
      <c r="E25" s="21" t="s">
        <v>42</v>
      </c>
      <c r="F25" s="12">
        <v>3000000</v>
      </c>
    </row>
    <row r="26" spans="1:8" x14ac:dyDescent="0.35">
      <c r="A26" s="8" t="s">
        <v>45</v>
      </c>
      <c r="B26" s="16" t="s">
        <v>44</v>
      </c>
      <c r="C26" s="10" t="s">
        <v>43</v>
      </c>
      <c r="D26" s="22">
        <v>45962</v>
      </c>
      <c r="E26" s="18">
        <v>30000</v>
      </c>
      <c r="F26" s="12">
        <v>3000000</v>
      </c>
    </row>
    <row r="28" spans="1:8" x14ac:dyDescent="0.35">
      <c r="E28" s="20">
        <f>400000-E24</f>
        <v>113619.72499999998</v>
      </c>
      <c r="F28" s="32">
        <v>46023</v>
      </c>
    </row>
  </sheetData>
  <conditionalFormatting sqref="D1:D22">
    <cfRule type="cellIs" dxfId="11" priority="3" operator="equal">
      <formula>#REF!</formula>
    </cfRule>
    <cfRule type="cellIs" dxfId="10" priority="4" operator="equal">
      <formula>TODAY()</formula>
    </cfRule>
  </conditionalFormatting>
  <conditionalFormatting sqref="D25">
    <cfRule type="cellIs" dxfId="9" priority="9" operator="equal">
      <formula>#REF!</formula>
    </cfRule>
    <cfRule type="cellIs" dxfId="8" priority="10" operator="equal">
      <formula>TODAY()</formula>
    </cfRule>
  </conditionalFormatting>
  <conditionalFormatting sqref="M5:M9">
    <cfRule type="cellIs" dxfId="7" priority="1" operator="equal">
      <formula>#REF!</formula>
    </cfRule>
    <cfRule type="cellIs" dxfId="6" priority="2" operator="equal">
      <formula>TODAY()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9876F-73DB-4E74-B8E0-B51CA4AAF846}">
  <dimension ref="A1:T18"/>
  <sheetViews>
    <sheetView workbookViewId="0">
      <selection activeCell="D20" sqref="D20"/>
    </sheetView>
  </sheetViews>
  <sheetFormatPr defaultRowHeight="14.5" x14ac:dyDescent="0.35"/>
  <cols>
    <col min="1" max="1" width="11.90625" bestFit="1" customWidth="1"/>
    <col min="2" max="2" width="20.1796875" bestFit="1" customWidth="1"/>
    <col min="3" max="3" width="12.90625" bestFit="1" customWidth="1"/>
    <col min="4" max="4" width="11.1796875" bestFit="1" customWidth="1"/>
    <col min="5" max="5" width="11" bestFit="1" customWidth="1"/>
    <col min="6" max="6" width="11.08984375" bestFit="1" customWidth="1"/>
    <col min="7" max="16" width="12.54296875" bestFit="1" customWidth="1"/>
    <col min="17" max="20" width="11" bestFit="1" customWidth="1"/>
  </cols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2">
        <v>46023</v>
      </c>
      <c r="H1" s="32">
        <v>46054</v>
      </c>
      <c r="I1" s="32">
        <v>46082</v>
      </c>
      <c r="J1" s="32">
        <v>46113</v>
      </c>
      <c r="K1" s="32">
        <v>46143</v>
      </c>
      <c r="L1" s="32">
        <v>46174</v>
      </c>
      <c r="M1" s="32">
        <v>46204</v>
      </c>
      <c r="N1" s="32">
        <v>46235</v>
      </c>
      <c r="O1" s="32">
        <v>46266</v>
      </c>
      <c r="P1" s="32">
        <v>46296</v>
      </c>
      <c r="Q1" s="32">
        <v>46327</v>
      </c>
      <c r="R1" s="32">
        <v>46357</v>
      </c>
      <c r="S1" s="32">
        <v>46388</v>
      </c>
      <c r="T1" s="32">
        <v>46419</v>
      </c>
    </row>
    <row r="2" spans="1:20" x14ac:dyDescent="0.35">
      <c r="A2" s="3" t="s">
        <v>18</v>
      </c>
      <c r="B2" s="4" t="s">
        <v>19</v>
      </c>
      <c r="C2" s="4" t="s">
        <v>48</v>
      </c>
      <c r="D2" s="5">
        <v>45966</v>
      </c>
      <c r="E2" s="6">
        <v>70000</v>
      </c>
      <c r="F2" s="6">
        <v>4500000</v>
      </c>
      <c r="G2" s="34">
        <f>F2-E2*0.42</f>
        <v>4470600</v>
      </c>
      <c r="H2" s="20">
        <f>G2-$E$2*0.42</f>
        <v>4441200</v>
      </c>
      <c r="I2" s="20">
        <f t="shared" ref="I2:P2" si="0">H2-$E$2*0.42</f>
        <v>4411800</v>
      </c>
      <c r="J2" s="20">
        <f t="shared" si="0"/>
        <v>4382400</v>
      </c>
      <c r="K2" s="20">
        <f t="shared" si="0"/>
        <v>4353000</v>
      </c>
      <c r="L2" s="20">
        <f t="shared" si="0"/>
        <v>4323600</v>
      </c>
      <c r="M2" s="20">
        <f t="shared" si="0"/>
        <v>4294200</v>
      </c>
      <c r="N2" s="20">
        <f t="shared" si="0"/>
        <v>4264800</v>
      </c>
      <c r="O2" s="20">
        <f t="shared" si="0"/>
        <v>4235400</v>
      </c>
      <c r="P2" s="20">
        <f t="shared" si="0"/>
        <v>4206000</v>
      </c>
      <c r="Q2" s="20">
        <f t="shared" ref="Q2" si="1">P2-$E$2*0.42</f>
        <v>4176600</v>
      </c>
      <c r="R2" s="20">
        <f t="shared" ref="R2" si="2">Q2-$E$2*0.42</f>
        <v>4147200</v>
      </c>
      <c r="S2" s="20">
        <f t="shared" ref="S2" si="3">R2-$E$2*0.42</f>
        <v>4117800</v>
      </c>
      <c r="T2" s="20">
        <f t="shared" ref="T2" si="4">S2-$E$2*0.42</f>
        <v>4088400</v>
      </c>
    </row>
    <row r="3" spans="1:20" x14ac:dyDescent="0.35">
      <c r="A3" s="16" t="s">
        <v>18</v>
      </c>
      <c r="B3" s="9" t="s">
        <v>34</v>
      </c>
      <c r="C3" s="16" t="s">
        <v>35</v>
      </c>
      <c r="D3" s="17">
        <v>45971</v>
      </c>
      <c r="E3" s="11">
        <v>70000</v>
      </c>
      <c r="F3" s="18">
        <v>1450000</v>
      </c>
      <c r="G3" s="20">
        <f>F3-E3</f>
        <v>1380000</v>
      </c>
      <c r="H3" s="20">
        <f>G3-$E$3</f>
        <v>1310000</v>
      </c>
      <c r="I3" s="20">
        <f t="shared" ref="I3:P3" si="5">H3-$E$3</f>
        <v>1240000</v>
      </c>
      <c r="J3" s="20">
        <f t="shared" si="5"/>
        <v>1170000</v>
      </c>
      <c r="K3" s="20">
        <f t="shared" si="5"/>
        <v>1100000</v>
      </c>
      <c r="L3" s="20">
        <f t="shared" si="5"/>
        <v>1030000</v>
      </c>
      <c r="M3" s="20">
        <f t="shared" si="5"/>
        <v>960000</v>
      </c>
      <c r="N3" s="20">
        <f t="shared" si="5"/>
        <v>890000</v>
      </c>
      <c r="O3" s="20">
        <f t="shared" si="5"/>
        <v>820000</v>
      </c>
      <c r="P3" s="20">
        <f t="shared" si="5"/>
        <v>750000</v>
      </c>
      <c r="Q3" s="20">
        <f t="shared" ref="Q3" si="6">P3-$E$3</f>
        <v>680000</v>
      </c>
      <c r="R3" s="20">
        <f t="shared" ref="R3" si="7">Q3-$E$3</f>
        <v>610000</v>
      </c>
      <c r="S3" s="20">
        <f t="shared" ref="S3" si="8">R3-$E$3</f>
        <v>540000</v>
      </c>
      <c r="T3" s="20">
        <f t="shared" ref="T3" si="9">S3-$E$3</f>
        <v>470000</v>
      </c>
    </row>
    <row r="4" spans="1:20" x14ac:dyDescent="0.35">
      <c r="A4" s="3" t="s">
        <v>30</v>
      </c>
      <c r="B4" s="4" t="s">
        <v>19</v>
      </c>
      <c r="C4" s="4" t="s">
        <v>48</v>
      </c>
      <c r="D4" s="5">
        <v>45971</v>
      </c>
      <c r="E4" s="6">
        <v>37000</v>
      </c>
      <c r="F4" s="6">
        <v>3500000</v>
      </c>
      <c r="G4" s="34">
        <f>F4-E4*0.42</f>
        <v>3484460</v>
      </c>
      <c r="H4" s="20">
        <f>G4-$E$4*0.42</f>
        <v>3468920</v>
      </c>
      <c r="I4" s="20">
        <f t="shared" ref="I4:P4" si="10">H4-$E$4*0.42</f>
        <v>3453380</v>
      </c>
      <c r="J4" s="20">
        <f t="shared" si="10"/>
        <v>3437840</v>
      </c>
      <c r="K4" s="20">
        <f t="shared" si="10"/>
        <v>3422300</v>
      </c>
      <c r="L4" s="20">
        <f t="shared" si="10"/>
        <v>3406760</v>
      </c>
      <c r="M4" s="20">
        <f t="shared" si="10"/>
        <v>3391220</v>
      </c>
      <c r="N4" s="20">
        <f t="shared" si="10"/>
        <v>3375680</v>
      </c>
      <c r="O4" s="20">
        <f t="shared" si="10"/>
        <v>3360140</v>
      </c>
      <c r="P4" s="20">
        <f t="shared" si="10"/>
        <v>3344600</v>
      </c>
      <c r="Q4" s="20">
        <f t="shared" ref="Q4" si="11">P4-$E$4*0.42</f>
        <v>3329060</v>
      </c>
      <c r="R4" s="20">
        <f t="shared" ref="R4" si="12">Q4-$E$4*0.42</f>
        <v>3313520</v>
      </c>
      <c r="S4" s="20">
        <f t="shared" ref="S4" si="13">R4-$E$4*0.42</f>
        <v>3297980</v>
      </c>
      <c r="T4" s="20">
        <f t="shared" ref="T4" si="14">S4-$E$4*0.42</f>
        <v>3282440</v>
      </c>
    </row>
    <row r="5" spans="1:20" x14ac:dyDescent="0.35">
      <c r="A5" s="3" t="s">
        <v>22</v>
      </c>
      <c r="B5" s="4" t="s">
        <v>19</v>
      </c>
      <c r="C5" s="4" t="s">
        <v>23</v>
      </c>
      <c r="D5" s="5">
        <v>45967</v>
      </c>
      <c r="E5" s="6">
        <v>12900</v>
      </c>
      <c r="F5" s="6">
        <v>725000</v>
      </c>
      <c r="G5" s="20">
        <f>F5-E5</f>
        <v>712100</v>
      </c>
      <c r="H5" s="20">
        <f>G5-$E$5</f>
        <v>699200</v>
      </c>
      <c r="I5" s="20">
        <f t="shared" ref="I5:P5" si="15">H5-$E$5</f>
        <v>686300</v>
      </c>
      <c r="J5" s="20">
        <f t="shared" si="15"/>
        <v>673400</v>
      </c>
      <c r="K5" s="20">
        <f t="shared" si="15"/>
        <v>660500</v>
      </c>
      <c r="L5" s="20">
        <f t="shared" si="15"/>
        <v>647600</v>
      </c>
      <c r="M5" s="20">
        <f t="shared" si="15"/>
        <v>634700</v>
      </c>
      <c r="N5" s="20">
        <f t="shared" si="15"/>
        <v>621800</v>
      </c>
      <c r="O5" s="20">
        <f t="shared" si="15"/>
        <v>608900</v>
      </c>
      <c r="P5" s="20">
        <f t="shared" si="15"/>
        <v>596000</v>
      </c>
      <c r="Q5" s="20">
        <f t="shared" ref="Q5" si="16">P5-$E$5</f>
        <v>583100</v>
      </c>
      <c r="R5" s="20">
        <f t="shared" ref="R5" si="17">Q5-$E$5</f>
        <v>570200</v>
      </c>
      <c r="S5" s="20">
        <f t="shared" ref="S5" si="18">R5-$E$5</f>
        <v>557300</v>
      </c>
      <c r="T5" s="20">
        <f t="shared" ref="T5" si="19">S5-$E$5</f>
        <v>544400</v>
      </c>
    </row>
    <row r="6" spans="1:20" x14ac:dyDescent="0.35">
      <c r="A6" s="3" t="s">
        <v>14</v>
      </c>
      <c r="B6" s="4" t="s">
        <v>19</v>
      </c>
      <c r="C6" s="4" t="s">
        <v>15</v>
      </c>
      <c r="D6" s="5">
        <v>45965</v>
      </c>
      <c r="E6" s="6">
        <v>20000</v>
      </c>
      <c r="F6" s="6">
        <v>320000</v>
      </c>
      <c r="G6" s="20">
        <f>F6-E6</f>
        <v>300000</v>
      </c>
      <c r="H6" s="20">
        <f>G6-$E$6</f>
        <v>280000</v>
      </c>
      <c r="I6" s="20">
        <f t="shared" ref="I6:P6" si="20">H6-$E$6</f>
        <v>260000</v>
      </c>
      <c r="J6" s="20">
        <f t="shared" si="20"/>
        <v>240000</v>
      </c>
      <c r="K6" s="20">
        <f t="shared" si="20"/>
        <v>220000</v>
      </c>
      <c r="L6" s="20">
        <f t="shared" si="20"/>
        <v>200000</v>
      </c>
      <c r="M6" s="20">
        <f t="shared" si="20"/>
        <v>180000</v>
      </c>
      <c r="N6" s="20">
        <f t="shared" si="20"/>
        <v>160000</v>
      </c>
      <c r="O6" s="20">
        <f t="shared" si="20"/>
        <v>140000</v>
      </c>
      <c r="P6" s="20">
        <f t="shared" si="20"/>
        <v>120000</v>
      </c>
      <c r="Q6" s="20">
        <f t="shared" ref="Q6" si="21">P6-$E$6</f>
        <v>100000</v>
      </c>
      <c r="R6" s="20">
        <f t="shared" ref="R6" si="22">Q6-$E$6</f>
        <v>80000</v>
      </c>
      <c r="S6" s="20">
        <f t="shared" ref="S6" si="23">R6-$E$6</f>
        <v>60000</v>
      </c>
      <c r="T6" s="20">
        <f t="shared" ref="T6" si="24">S6-$E$6</f>
        <v>40000</v>
      </c>
    </row>
    <row r="7" spans="1:20" x14ac:dyDescent="0.35">
      <c r="A7" s="3" t="s">
        <v>6</v>
      </c>
      <c r="B7" s="4" t="s">
        <v>19</v>
      </c>
      <c r="C7" s="4" t="s">
        <v>16</v>
      </c>
      <c r="D7" s="5">
        <v>45965</v>
      </c>
      <c r="E7" s="6">
        <v>18600</v>
      </c>
      <c r="F7" s="6">
        <v>1800000</v>
      </c>
      <c r="G7" s="20">
        <f>F7-E7</f>
        <v>1781400</v>
      </c>
      <c r="H7" s="20">
        <f>G7-$E$7</f>
        <v>1762800</v>
      </c>
      <c r="I7" s="20">
        <f t="shared" ref="I7:P7" si="25">H7-$E$7</f>
        <v>1744200</v>
      </c>
      <c r="J7" s="20">
        <f t="shared" si="25"/>
        <v>1725600</v>
      </c>
      <c r="K7" s="20">
        <f t="shared" si="25"/>
        <v>1707000</v>
      </c>
      <c r="L7" s="20">
        <f t="shared" si="25"/>
        <v>1688400</v>
      </c>
      <c r="M7" s="20">
        <f t="shared" si="25"/>
        <v>1669800</v>
      </c>
      <c r="N7" s="20">
        <f t="shared" si="25"/>
        <v>1651200</v>
      </c>
      <c r="O7" s="20">
        <f t="shared" si="25"/>
        <v>1632600</v>
      </c>
      <c r="P7" s="20">
        <f t="shared" si="25"/>
        <v>1614000</v>
      </c>
      <c r="Q7" s="20">
        <f t="shared" ref="Q7" si="26">P7-$E$7</f>
        <v>1595400</v>
      </c>
      <c r="R7" s="20">
        <f t="shared" ref="R7" si="27">Q7-$E$7</f>
        <v>1576800</v>
      </c>
      <c r="S7" s="20">
        <f t="shared" ref="S7" si="28">R7-$E$7</f>
        <v>1558200</v>
      </c>
      <c r="T7" s="20">
        <f t="shared" ref="T7" si="29">S7-$E$7</f>
        <v>1539600</v>
      </c>
    </row>
    <row r="8" spans="1:20" x14ac:dyDescent="0.35">
      <c r="A8" s="3" t="s">
        <v>6</v>
      </c>
      <c r="B8" s="4" t="s">
        <v>19</v>
      </c>
      <c r="C8" s="4" t="s">
        <v>21</v>
      </c>
      <c r="D8" s="5">
        <v>45967</v>
      </c>
      <c r="E8" s="6">
        <v>59663</v>
      </c>
      <c r="F8" s="6">
        <v>2700000</v>
      </c>
      <c r="G8" s="20">
        <f>F8-E8</f>
        <v>2640337</v>
      </c>
      <c r="H8" s="20">
        <f>G8-$E$8</f>
        <v>2580674</v>
      </c>
      <c r="I8" s="20">
        <f t="shared" ref="I8:P8" si="30">H8-$E$8</f>
        <v>2521011</v>
      </c>
      <c r="J8" s="20">
        <f t="shared" si="30"/>
        <v>2461348</v>
      </c>
      <c r="K8" s="20">
        <f t="shared" si="30"/>
        <v>2401685</v>
      </c>
      <c r="L8" s="20">
        <f t="shared" si="30"/>
        <v>2342022</v>
      </c>
      <c r="M8" s="20">
        <f t="shared" si="30"/>
        <v>2282359</v>
      </c>
      <c r="N8" s="20">
        <f t="shared" si="30"/>
        <v>2222696</v>
      </c>
      <c r="O8" s="20">
        <f t="shared" si="30"/>
        <v>2163033</v>
      </c>
      <c r="P8" s="20">
        <f t="shared" si="30"/>
        <v>2103370</v>
      </c>
      <c r="Q8" s="20">
        <f t="shared" ref="Q8" si="31">P8-$E$8</f>
        <v>2043707</v>
      </c>
      <c r="R8" s="20">
        <f t="shared" ref="R8" si="32">Q8-$E$8</f>
        <v>1984044</v>
      </c>
      <c r="S8" s="20">
        <f t="shared" ref="S8" si="33">R8-$E$8</f>
        <v>1924381</v>
      </c>
      <c r="T8" s="20">
        <f t="shared" ref="T8" si="34">S8-$E$8</f>
        <v>1864718</v>
      </c>
    </row>
    <row r="9" spans="1:20" x14ac:dyDescent="0.35">
      <c r="A9" s="3" t="s">
        <v>10</v>
      </c>
      <c r="B9" s="4" t="s">
        <v>7</v>
      </c>
      <c r="C9" s="4" t="s">
        <v>8</v>
      </c>
      <c r="D9" s="5">
        <v>45967</v>
      </c>
      <c r="E9" s="6">
        <f>F9*0.022</f>
        <v>15400</v>
      </c>
      <c r="F9" s="6">
        <v>700000</v>
      </c>
      <c r="G9" s="20"/>
      <c r="H9" s="20"/>
      <c r="I9" s="20"/>
      <c r="J9" s="20"/>
      <c r="K9" s="20"/>
      <c r="L9" s="20"/>
      <c r="M9" s="20"/>
      <c r="N9" s="20"/>
      <c r="O9" s="20"/>
      <c r="P9" s="20"/>
    </row>
    <row r="10" spans="1:20" x14ac:dyDescent="0.35">
      <c r="A10" s="3" t="s">
        <v>18</v>
      </c>
      <c r="B10" s="4" t="s">
        <v>7</v>
      </c>
      <c r="C10" s="4" t="s">
        <v>82</v>
      </c>
      <c r="D10" s="5">
        <v>45967</v>
      </c>
      <c r="E10" s="6">
        <f>F10*0.05</f>
        <v>100000</v>
      </c>
      <c r="F10" s="6">
        <v>2000000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1:20" x14ac:dyDescent="0.35">
      <c r="A11" s="3"/>
      <c r="B11" s="4"/>
      <c r="C11" s="4"/>
      <c r="D11" s="5"/>
      <c r="E11" s="6">
        <f>F11*0.025</f>
        <v>0</v>
      </c>
      <c r="F11" s="6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1:20" x14ac:dyDescent="0.35">
      <c r="E12" s="6">
        <f>F12*0.0215</f>
        <v>0</v>
      </c>
      <c r="F12" s="6"/>
      <c r="G12" s="20"/>
      <c r="H12" s="20"/>
      <c r="I12" s="20"/>
      <c r="J12" s="20"/>
      <c r="K12" s="20"/>
      <c r="L12" s="20"/>
      <c r="M12" s="20"/>
      <c r="N12" s="20"/>
      <c r="O12" s="20"/>
      <c r="P12" s="20"/>
    </row>
    <row r="13" spans="1:20" x14ac:dyDescent="0.35">
      <c r="G13" s="20"/>
      <c r="H13" s="20"/>
      <c r="I13" s="20"/>
      <c r="J13" s="20"/>
      <c r="K13" s="20"/>
      <c r="L13" s="20"/>
      <c r="M13" s="20"/>
      <c r="N13" s="20"/>
      <c r="O13" s="20"/>
      <c r="P13" s="20"/>
    </row>
    <row r="14" spans="1:20" x14ac:dyDescent="0.35">
      <c r="E14" s="20">
        <f>SUM(E2:E13)</f>
        <v>403563</v>
      </c>
      <c r="G14" s="34">
        <f>SUM(G2:G13)</f>
        <v>14768897</v>
      </c>
      <c r="H14" s="34">
        <f t="shared" ref="H14:P14" si="35">SUM(H2:H13)</f>
        <v>14542794</v>
      </c>
      <c r="I14" s="34">
        <f t="shared" si="35"/>
        <v>14316691</v>
      </c>
      <c r="J14" s="34">
        <f t="shared" si="35"/>
        <v>14090588</v>
      </c>
      <c r="K14" s="34">
        <f t="shared" si="35"/>
        <v>13864485</v>
      </c>
      <c r="L14" s="34">
        <f t="shared" si="35"/>
        <v>13638382</v>
      </c>
      <c r="M14" s="34">
        <f t="shared" si="35"/>
        <v>13412279</v>
      </c>
      <c r="N14" s="34">
        <f t="shared" si="35"/>
        <v>13186176</v>
      </c>
      <c r="O14" s="34">
        <f t="shared" si="35"/>
        <v>12960073</v>
      </c>
      <c r="P14" s="34">
        <f t="shared" si="35"/>
        <v>12733970</v>
      </c>
    </row>
    <row r="15" spans="1:20" x14ac:dyDescent="0.35">
      <c r="A15" s="8" t="s">
        <v>40</v>
      </c>
      <c r="B15" s="16" t="s">
        <v>41</v>
      </c>
      <c r="C15" s="10" t="s">
        <v>23</v>
      </c>
      <c r="D15" s="5">
        <v>45971</v>
      </c>
      <c r="E15" s="21" t="s">
        <v>42</v>
      </c>
      <c r="F15" s="12" t="s">
        <v>81</v>
      </c>
      <c r="G15" s="33"/>
    </row>
    <row r="16" spans="1:20" x14ac:dyDescent="0.35">
      <c r="A16" s="8" t="s">
        <v>45</v>
      </c>
      <c r="B16" s="16" t="s">
        <v>44</v>
      </c>
      <c r="C16" s="10" t="s">
        <v>43</v>
      </c>
      <c r="D16" s="22">
        <v>45962</v>
      </c>
      <c r="E16" s="18">
        <v>30000</v>
      </c>
      <c r="F16" s="12">
        <v>3000000</v>
      </c>
    </row>
    <row r="18" spans="5:6" x14ac:dyDescent="0.35">
      <c r="E18" s="20">
        <f>400000-E14</f>
        <v>-3563</v>
      </c>
      <c r="F18" s="32">
        <v>46023</v>
      </c>
    </row>
  </sheetData>
  <conditionalFormatting sqref="D1:D11">
    <cfRule type="cellIs" dxfId="5" priority="11" operator="equal">
      <formula>#REF!</formula>
    </cfRule>
    <cfRule type="cellIs" dxfId="4" priority="12" operator="equal">
      <formula>TODAY()</formula>
    </cfRule>
  </conditionalFormatting>
  <conditionalFormatting sqref="D15">
    <cfRule type="cellIs" dxfId="3" priority="9" operator="equal">
      <formula>#REF!</formula>
    </cfRule>
    <cfRule type="cellIs" dxfId="2" priority="10" operator="equal">
      <formula>TODAY()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C81B-61FF-4464-9974-07338E1E7CEE}">
  <dimension ref="A1:X14"/>
  <sheetViews>
    <sheetView tabSelected="1" workbookViewId="0">
      <selection activeCell="G18" sqref="G18"/>
    </sheetView>
  </sheetViews>
  <sheetFormatPr defaultRowHeight="14.5" x14ac:dyDescent="0.35"/>
  <cols>
    <col min="1" max="1" width="11.90625" bestFit="1" customWidth="1"/>
    <col min="2" max="2" width="20.1796875" bestFit="1" customWidth="1"/>
    <col min="3" max="3" width="8.54296875" bestFit="1" customWidth="1"/>
    <col min="4" max="4" width="11.1796875" bestFit="1" customWidth="1"/>
    <col min="5" max="5" width="10" bestFit="1" customWidth="1"/>
    <col min="6" max="6" width="11.08984375" bestFit="1" customWidth="1"/>
    <col min="7" max="10" width="11" bestFit="1" customWidth="1"/>
    <col min="11" max="20" width="12.54296875" bestFit="1" customWidth="1"/>
    <col min="21" max="24" width="11" bestFit="1" customWidth="1"/>
    <col min="25" max="34" width="7.81640625" bestFit="1" customWidth="1"/>
  </cols>
  <sheetData>
    <row r="1" spans="1:24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2">
        <v>45901</v>
      </c>
      <c r="H1" s="32">
        <v>45931</v>
      </c>
      <c r="I1" s="32">
        <v>46113</v>
      </c>
      <c r="J1" s="32">
        <v>45992</v>
      </c>
      <c r="K1" s="32">
        <v>46023</v>
      </c>
      <c r="L1" s="32">
        <v>46054</v>
      </c>
      <c r="M1" s="32">
        <v>46082</v>
      </c>
      <c r="N1" s="32">
        <v>46113</v>
      </c>
      <c r="O1" s="32">
        <v>46143</v>
      </c>
      <c r="P1" s="32">
        <v>46174</v>
      </c>
      <c r="Q1" s="32">
        <v>46204</v>
      </c>
      <c r="R1" s="32">
        <v>46235</v>
      </c>
      <c r="S1" s="32">
        <v>46266</v>
      </c>
      <c r="T1" s="32">
        <v>46296</v>
      </c>
      <c r="U1" s="32">
        <v>46327</v>
      </c>
      <c r="V1" s="32">
        <v>46357</v>
      </c>
      <c r="W1" s="32">
        <v>46388</v>
      </c>
      <c r="X1" s="32">
        <v>46419</v>
      </c>
    </row>
    <row r="2" spans="1:24" x14ac:dyDescent="0.35">
      <c r="A2" s="3" t="s">
        <v>18</v>
      </c>
      <c r="B2" s="4" t="s">
        <v>19</v>
      </c>
      <c r="C2" s="4" t="s">
        <v>48</v>
      </c>
      <c r="D2" s="5">
        <v>46117</v>
      </c>
      <c r="E2" s="6">
        <v>70000</v>
      </c>
      <c r="F2" s="6">
        <f>2000000+1197000+1094000</f>
        <v>4291000</v>
      </c>
      <c r="G2" s="7"/>
      <c r="H2" s="7"/>
      <c r="I2" s="7"/>
      <c r="J2" s="7"/>
      <c r="K2" s="34">
        <f>F2-E2*0.42</f>
        <v>4261600</v>
      </c>
      <c r="L2" s="20">
        <f>K2-$E$2*0.42</f>
        <v>4232200</v>
      </c>
      <c r="M2" s="20">
        <f t="shared" ref="M2:X2" si="0">L2-$E$2*0.42</f>
        <v>4202800</v>
      </c>
      <c r="N2" s="20">
        <f t="shared" si="0"/>
        <v>4173400</v>
      </c>
      <c r="O2" s="20">
        <f t="shared" si="0"/>
        <v>4144000</v>
      </c>
      <c r="P2" s="20">
        <f t="shared" si="0"/>
        <v>4114600</v>
      </c>
      <c r="Q2" s="20">
        <f t="shared" si="0"/>
        <v>4085200</v>
      </c>
      <c r="R2" s="20">
        <f t="shared" si="0"/>
        <v>4055800</v>
      </c>
      <c r="S2" s="20">
        <f t="shared" si="0"/>
        <v>4026400</v>
      </c>
      <c r="T2" s="20">
        <f t="shared" si="0"/>
        <v>3997000</v>
      </c>
      <c r="U2" s="20">
        <f t="shared" si="0"/>
        <v>3967600</v>
      </c>
      <c r="V2" s="20">
        <f t="shared" si="0"/>
        <v>3938200</v>
      </c>
      <c r="W2" s="20">
        <f t="shared" si="0"/>
        <v>3908800</v>
      </c>
      <c r="X2" s="20">
        <f t="shared" si="0"/>
        <v>3879400</v>
      </c>
    </row>
    <row r="3" spans="1:24" x14ac:dyDescent="0.35">
      <c r="A3" s="16" t="s">
        <v>18</v>
      </c>
      <c r="B3" s="9" t="s">
        <v>34</v>
      </c>
      <c r="C3" s="16" t="s">
        <v>35</v>
      </c>
      <c r="D3" s="17">
        <v>46122</v>
      </c>
      <c r="E3" s="6">
        <v>70000</v>
      </c>
      <c r="F3" s="18">
        <v>700000</v>
      </c>
      <c r="G3" s="20">
        <f>F3-E3</f>
        <v>630000</v>
      </c>
      <c r="H3" s="20">
        <f>G3-$E$3</f>
        <v>560000</v>
      </c>
      <c r="I3" s="20">
        <f>H3-$E$3</f>
        <v>490000</v>
      </c>
      <c r="J3" s="20">
        <f t="shared" ref="J3:P3" si="1">I3-$E$3</f>
        <v>420000</v>
      </c>
      <c r="K3" s="20">
        <f t="shared" si="1"/>
        <v>350000</v>
      </c>
      <c r="L3" s="20">
        <f t="shared" si="1"/>
        <v>280000</v>
      </c>
      <c r="M3" s="20">
        <f t="shared" si="1"/>
        <v>210000</v>
      </c>
      <c r="N3" s="20">
        <f t="shared" si="1"/>
        <v>140000</v>
      </c>
      <c r="O3" s="20">
        <f t="shared" si="1"/>
        <v>70000</v>
      </c>
      <c r="P3" s="20">
        <f t="shared" si="1"/>
        <v>0</v>
      </c>
      <c r="Q3" s="20"/>
      <c r="R3" s="20"/>
      <c r="S3" s="20"/>
      <c r="T3" s="20"/>
      <c r="U3" s="20"/>
      <c r="V3" s="20"/>
      <c r="W3" s="20"/>
      <c r="X3" s="20"/>
    </row>
    <row r="4" spans="1:24" x14ac:dyDescent="0.35">
      <c r="A4" s="3" t="s">
        <v>30</v>
      </c>
      <c r="B4" s="4" t="s">
        <v>19</v>
      </c>
      <c r="C4" s="4" t="s">
        <v>48</v>
      </c>
      <c r="D4" s="5">
        <v>46122</v>
      </c>
      <c r="E4" s="6">
        <v>37000</v>
      </c>
      <c r="F4" s="6">
        <v>3500000</v>
      </c>
      <c r="G4" s="7"/>
      <c r="H4" s="7"/>
      <c r="I4" s="7"/>
      <c r="J4" s="7"/>
      <c r="K4" s="34">
        <f>F4-E4*0.42</f>
        <v>3484460</v>
      </c>
      <c r="L4" s="20">
        <f>K4-$E$4*0.42</f>
        <v>3468920</v>
      </c>
      <c r="M4" s="20">
        <f t="shared" ref="M4:X4" si="2">L4-$E$4*0.42</f>
        <v>3453380</v>
      </c>
      <c r="N4" s="20">
        <f t="shared" si="2"/>
        <v>3437840</v>
      </c>
      <c r="O4" s="20">
        <f t="shared" si="2"/>
        <v>3422300</v>
      </c>
      <c r="P4" s="20">
        <f t="shared" si="2"/>
        <v>3406760</v>
      </c>
      <c r="Q4" s="20">
        <f t="shared" si="2"/>
        <v>3391220</v>
      </c>
      <c r="R4" s="20">
        <f t="shared" si="2"/>
        <v>3375680</v>
      </c>
      <c r="S4" s="20">
        <f t="shared" si="2"/>
        <v>3360140</v>
      </c>
      <c r="T4" s="20">
        <f t="shared" si="2"/>
        <v>3344600</v>
      </c>
      <c r="U4" s="20">
        <f t="shared" si="2"/>
        <v>3329060</v>
      </c>
      <c r="V4" s="20">
        <f t="shared" si="2"/>
        <v>3313520</v>
      </c>
      <c r="W4" s="20">
        <f t="shared" si="2"/>
        <v>3297980</v>
      </c>
      <c r="X4" s="20">
        <f t="shared" si="2"/>
        <v>3282440</v>
      </c>
    </row>
    <row r="5" spans="1:24" x14ac:dyDescent="0.35">
      <c r="A5" s="3" t="s">
        <v>22</v>
      </c>
      <c r="B5" s="4" t="s">
        <v>19</v>
      </c>
      <c r="C5" s="4" t="s">
        <v>23</v>
      </c>
      <c r="D5" s="5">
        <v>46118</v>
      </c>
      <c r="E5" s="6">
        <v>12900</v>
      </c>
      <c r="F5" s="6">
        <v>725000</v>
      </c>
      <c r="G5" s="7"/>
      <c r="H5" s="7"/>
      <c r="I5" s="7"/>
      <c r="J5" s="7"/>
      <c r="K5" s="20">
        <f>F5-E5</f>
        <v>712100</v>
      </c>
      <c r="L5" s="20">
        <f>K5-$E$5</f>
        <v>699200</v>
      </c>
      <c r="M5" s="20">
        <f t="shared" ref="M5:X5" si="3">L5-$E$5</f>
        <v>686300</v>
      </c>
      <c r="N5" s="20">
        <f t="shared" si="3"/>
        <v>673400</v>
      </c>
      <c r="O5" s="20">
        <f t="shared" si="3"/>
        <v>660500</v>
      </c>
      <c r="P5" s="20">
        <f t="shared" si="3"/>
        <v>647600</v>
      </c>
      <c r="Q5" s="20">
        <f t="shared" si="3"/>
        <v>634700</v>
      </c>
      <c r="R5" s="20">
        <f t="shared" si="3"/>
        <v>621800</v>
      </c>
      <c r="S5" s="20">
        <f t="shared" si="3"/>
        <v>608900</v>
      </c>
      <c r="T5" s="20">
        <f t="shared" si="3"/>
        <v>596000</v>
      </c>
      <c r="U5" s="20">
        <f t="shared" si="3"/>
        <v>583100</v>
      </c>
      <c r="V5" s="20">
        <f t="shared" si="3"/>
        <v>570200</v>
      </c>
      <c r="W5" s="20">
        <f t="shared" si="3"/>
        <v>557300</v>
      </c>
      <c r="X5" s="20">
        <f t="shared" si="3"/>
        <v>544400</v>
      </c>
    </row>
    <row r="6" spans="1:24" x14ac:dyDescent="0.35">
      <c r="A6" s="3" t="s">
        <v>14</v>
      </c>
      <c r="B6" s="4" t="s">
        <v>19</v>
      </c>
      <c r="C6" s="4" t="s">
        <v>15</v>
      </c>
      <c r="D6" s="5">
        <v>46116</v>
      </c>
      <c r="E6" s="6">
        <v>20000</v>
      </c>
      <c r="F6" s="6">
        <v>400000</v>
      </c>
      <c r="G6" s="20">
        <f>F6-E6</f>
        <v>380000</v>
      </c>
      <c r="H6" s="20">
        <f>G6-$E$6</f>
        <v>360000</v>
      </c>
      <c r="I6" s="20">
        <f t="shared" ref="I6:X6" si="4">H6-$E$6</f>
        <v>340000</v>
      </c>
      <c r="J6" s="20">
        <f t="shared" si="4"/>
        <v>320000</v>
      </c>
      <c r="K6" s="20">
        <f t="shared" si="4"/>
        <v>300000</v>
      </c>
      <c r="L6" s="20">
        <f t="shared" si="4"/>
        <v>280000</v>
      </c>
      <c r="M6" s="20">
        <f t="shared" si="4"/>
        <v>260000</v>
      </c>
      <c r="N6" s="20">
        <f t="shared" si="4"/>
        <v>240000</v>
      </c>
      <c r="O6" s="20">
        <f t="shared" si="4"/>
        <v>220000</v>
      </c>
      <c r="P6" s="20">
        <f t="shared" si="4"/>
        <v>200000</v>
      </c>
      <c r="Q6" s="20">
        <f t="shared" si="4"/>
        <v>180000</v>
      </c>
      <c r="R6" s="20">
        <f t="shared" si="4"/>
        <v>160000</v>
      </c>
      <c r="S6" s="20">
        <f t="shared" si="4"/>
        <v>140000</v>
      </c>
      <c r="T6" s="20">
        <f t="shared" si="4"/>
        <v>120000</v>
      </c>
      <c r="U6" s="20">
        <f t="shared" si="4"/>
        <v>100000</v>
      </c>
      <c r="V6" s="20">
        <f t="shared" si="4"/>
        <v>80000</v>
      </c>
      <c r="W6" s="20">
        <f t="shared" si="4"/>
        <v>60000</v>
      </c>
      <c r="X6" s="20">
        <f t="shared" si="4"/>
        <v>40000</v>
      </c>
    </row>
    <row r="7" spans="1:24" x14ac:dyDescent="0.35">
      <c r="A7" s="3" t="s">
        <v>6</v>
      </c>
      <c r="B7" s="4" t="s">
        <v>19</v>
      </c>
      <c r="C7" s="4" t="s">
        <v>16</v>
      </c>
      <c r="D7" s="5">
        <v>46116</v>
      </c>
      <c r="E7" s="6">
        <v>18600</v>
      </c>
      <c r="F7" s="6">
        <f>983000+347000</f>
        <v>1330000</v>
      </c>
      <c r="G7" s="7"/>
      <c r="H7" s="7"/>
      <c r="I7" s="7"/>
      <c r="J7" s="7"/>
      <c r="K7" s="20">
        <f>F7-E7</f>
        <v>1311400</v>
      </c>
      <c r="L7" s="20">
        <f>K7-$E$7</f>
        <v>1292800</v>
      </c>
      <c r="M7" s="20">
        <f t="shared" ref="M7:X7" si="5">L7-$E$7</f>
        <v>1274200</v>
      </c>
      <c r="N7" s="20">
        <f t="shared" si="5"/>
        <v>1255600</v>
      </c>
      <c r="O7" s="20">
        <f t="shared" si="5"/>
        <v>1237000</v>
      </c>
      <c r="P7" s="20">
        <f t="shared" si="5"/>
        <v>1218400</v>
      </c>
      <c r="Q7" s="20">
        <f t="shared" si="5"/>
        <v>1199800</v>
      </c>
      <c r="R7" s="20">
        <f t="shared" si="5"/>
        <v>1181200</v>
      </c>
      <c r="S7" s="20">
        <f t="shared" si="5"/>
        <v>1162600</v>
      </c>
      <c r="T7" s="20">
        <f t="shared" si="5"/>
        <v>1144000</v>
      </c>
      <c r="U7" s="20">
        <f t="shared" si="5"/>
        <v>1125400</v>
      </c>
      <c r="V7" s="20">
        <f t="shared" si="5"/>
        <v>1106800</v>
      </c>
      <c r="W7" s="20">
        <f t="shared" si="5"/>
        <v>1088200</v>
      </c>
      <c r="X7" s="20">
        <f t="shared" si="5"/>
        <v>1069600</v>
      </c>
    </row>
    <row r="8" spans="1:24" x14ac:dyDescent="0.35">
      <c r="A8" s="3" t="s">
        <v>6</v>
      </c>
      <c r="B8" s="4" t="s">
        <v>19</v>
      </c>
      <c r="C8" s="4" t="s">
        <v>21</v>
      </c>
      <c r="D8" s="5">
        <v>46118</v>
      </c>
      <c r="E8" s="6">
        <v>59663</v>
      </c>
      <c r="F8" s="6">
        <v>2825487</v>
      </c>
      <c r="G8" s="6">
        <v>2791254</v>
      </c>
      <c r="H8" s="7">
        <v>2756712</v>
      </c>
      <c r="I8" s="7">
        <v>2721859</v>
      </c>
      <c r="J8" s="7">
        <v>2686693</v>
      </c>
      <c r="K8" s="20">
        <v>2651210</v>
      </c>
      <c r="L8" s="20">
        <v>2615407</v>
      </c>
      <c r="M8" s="20">
        <v>2579283</v>
      </c>
      <c r="N8" s="20">
        <v>2542833</v>
      </c>
      <c r="O8" s="20">
        <v>2506055</v>
      </c>
      <c r="P8" s="20">
        <v>2469946</v>
      </c>
      <c r="Q8" s="20">
        <v>2431504</v>
      </c>
      <c r="R8" s="20">
        <v>2393724</v>
      </c>
      <c r="S8" s="20">
        <v>2355604</v>
      </c>
      <c r="T8" s="20">
        <v>2317141</v>
      </c>
      <c r="U8" s="20">
        <v>2278332</v>
      </c>
      <c r="V8" s="20">
        <v>2199663</v>
      </c>
      <c r="W8" s="20">
        <v>2159797</v>
      </c>
      <c r="X8" s="20">
        <v>2119572</v>
      </c>
    </row>
    <row r="9" spans="1:24" x14ac:dyDescent="0.35">
      <c r="A9" s="3" t="s">
        <v>10</v>
      </c>
      <c r="B9" s="4" t="s">
        <v>7</v>
      </c>
      <c r="C9" s="4" t="s">
        <v>8</v>
      </c>
      <c r="D9" s="5">
        <v>46118</v>
      </c>
      <c r="E9" s="6">
        <f>F9*0.022</f>
        <v>11000</v>
      </c>
      <c r="F9" s="6">
        <v>500000</v>
      </c>
      <c r="G9" s="6">
        <v>700000</v>
      </c>
      <c r="H9" s="6">
        <v>700000</v>
      </c>
      <c r="I9" s="6">
        <v>700000</v>
      </c>
      <c r="J9" s="6">
        <v>700000</v>
      </c>
      <c r="K9" s="6">
        <v>700000</v>
      </c>
      <c r="L9" s="6">
        <v>700000</v>
      </c>
      <c r="M9" s="20">
        <v>500000</v>
      </c>
      <c r="N9" s="20">
        <v>400000</v>
      </c>
      <c r="O9" s="20">
        <v>400000</v>
      </c>
      <c r="P9" s="20">
        <v>400000</v>
      </c>
      <c r="Q9" s="20">
        <v>400000</v>
      </c>
      <c r="R9" s="20">
        <v>400000</v>
      </c>
      <c r="S9" s="20">
        <v>400000</v>
      </c>
      <c r="T9" s="20">
        <v>400000</v>
      </c>
      <c r="U9" s="20">
        <v>400000</v>
      </c>
      <c r="V9" s="20">
        <v>400000</v>
      </c>
      <c r="W9" s="20">
        <v>400000</v>
      </c>
      <c r="X9" s="20">
        <v>400000</v>
      </c>
    </row>
    <row r="10" spans="1:24" x14ac:dyDescent="0.35">
      <c r="A10" s="3" t="s">
        <v>18</v>
      </c>
      <c r="B10" s="4" t="s">
        <v>7</v>
      </c>
      <c r="C10" s="4" t="s">
        <v>82</v>
      </c>
      <c r="D10" s="5">
        <v>46118</v>
      </c>
      <c r="E10" s="6">
        <f>F10*0.05</f>
        <v>100000</v>
      </c>
      <c r="F10" s="6">
        <v>2000000</v>
      </c>
      <c r="G10" s="7"/>
      <c r="H10" s="68"/>
      <c r="I10" s="68"/>
      <c r="J10" s="68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spans="1:24" x14ac:dyDescent="0.35">
      <c r="A11" s="3" t="s">
        <v>40</v>
      </c>
      <c r="B11" s="4" t="s">
        <v>19</v>
      </c>
      <c r="C11" s="4" t="s">
        <v>83</v>
      </c>
      <c r="D11" s="5" t="s">
        <v>85</v>
      </c>
      <c r="E11" s="6"/>
      <c r="F11" s="6">
        <v>2800000</v>
      </c>
      <c r="G11" s="6">
        <v>2800000</v>
      </c>
      <c r="H11" s="6">
        <v>2800000</v>
      </c>
      <c r="I11" s="6">
        <v>2800000</v>
      </c>
      <c r="J11" s="6">
        <v>2800000</v>
      </c>
      <c r="K11" s="6">
        <v>2800000</v>
      </c>
      <c r="L11" s="6">
        <v>2800000</v>
      </c>
      <c r="M11" s="20">
        <f>L11-1700000</f>
        <v>1100000</v>
      </c>
      <c r="N11" s="20">
        <f>M11-150000</f>
        <v>950000</v>
      </c>
      <c r="O11" s="20">
        <v>950000</v>
      </c>
      <c r="P11" s="20">
        <v>950000</v>
      </c>
      <c r="Q11" s="20">
        <v>950000</v>
      </c>
      <c r="R11" s="20">
        <v>950000</v>
      </c>
      <c r="S11" s="20">
        <v>950000</v>
      </c>
      <c r="T11" s="20">
        <v>950000</v>
      </c>
      <c r="U11" s="20">
        <v>950000</v>
      </c>
      <c r="V11" s="20">
        <v>950000</v>
      </c>
    </row>
    <row r="12" spans="1:24" x14ac:dyDescent="0.35">
      <c r="A12" s="8" t="s">
        <v>84</v>
      </c>
      <c r="B12" s="10" t="s">
        <v>7</v>
      </c>
      <c r="C12" s="10" t="s">
        <v>7</v>
      </c>
      <c r="D12" s="69">
        <v>46111</v>
      </c>
      <c r="E12" s="6">
        <f>F12*0.01</f>
        <v>30000</v>
      </c>
      <c r="F12" s="6">
        <v>3000000</v>
      </c>
      <c r="G12" s="7"/>
      <c r="H12" s="7"/>
      <c r="I12" s="7"/>
      <c r="J12" s="7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spans="1:24" x14ac:dyDescent="0.35"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spans="1:24" x14ac:dyDescent="0.35">
      <c r="E14" s="20">
        <f>SUM(E2:E13)</f>
        <v>429163</v>
      </c>
      <c r="K14" s="34">
        <f>SUM(K2:K13)</f>
        <v>16570770</v>
      </c>
      <c r="L14" s="34">
        <f t="shared" ref="L14:T14" si="6">SUM(L2:L13)</f>
        <v>16368527</v>
      </c>
      <c r="M14" s="34">
        <f t="shared" si="6"/>
        <v>14265963</v>
      </c>
      <c r="N14" s="34">
        <f t="shared" si="6"/>
        <v>13813073</v>
      </c>
      <c r="O14" s="34">
        <f t="shared" si="6"/>
        <v>13609855</v>
      </c>
      <c r="P14" s="34">
        <f t="shared" si="6"/>
        <v>13407306</v>
      </c>
      <c r="Q14" s="34">
        <f t="shared" si="6"/>
        <v>13272424</v>
      </c>
      <c r="R14" s="34">
        <f t="shared" si="6"/>
        <v>13138204</v>
      </c>
      <c r="S14" s="34">
        <f t="shared" si="6"/>
        <v>13003644</v>
      </c>
      <c r="T14" s="34">
        <f t="shared" si="6"/>
        <v>12868741</v>
      </c>
    </row>
  </sheetData>
  <conditionalFormatting sqref="D1:D12">
    <cfRule type="cellIs" dxfId="1" priority="3" operator="equal">
      <formula>#REF!</formula>
    </cfRule>
    <cfRule type="cellIs" dxfId="0" priority="4" operator="equal">
      <formula>TODAY()</formula>
    </cfRule>
  </conditionalFormatting>
  <pageMargins left="0.7" right="0.7" top="0.75" bottom="0.75" header="0.3" footer="0.3"/>
  <pageSetup paperSize="9" orientation="portrait" r:id="rId1"/>
  <legacyDrawing r:id="rId2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NOV-25</vt:lpstr>
      <vt:lpstr>DEC-25  (2)</vt:lpstr>
      <vt:lpstr>DEC-25 </vt:lpstr>
      <vt:lpstr>Sheet2</vt:lpstr>
      <vt:lpstr>Sheet1</vt:lpstr>
      <vt:lpstr>Jan-2026</vt:lpstr>
      <vt:lpstr>feb-2026 </vt:lpstr>
      <vt:lpstr>Apr- 2026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Maru, Dharmesh</dc:creator>
  <cp:lastModifiedBy>Maru, Dharmesh</cp:lastModifiedBy>
  <dcterms:created xsi:type="dcterms:W3CDTF">2025-10-23T15:32:18Z</dcterms:created>
  <dcterms:modified xsi:type="dcterms:W3CDTF">2026-04-13T07:19:48Z</dcterms:modified>
</cp:coreProperties>
</file>