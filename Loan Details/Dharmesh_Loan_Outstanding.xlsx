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226" documentId="8_{455D3EDA-7E47-4B1B-ACAA-A134A44BFC73}" xr6:coauthVersionLast="47" xr6:coauthVersionMax="47" xr10:uidLastSave="{0FB465EF-72F5-41C0-9EA3-180E5A4DD9A9}"/>
  <bookViews>
    <workbookView xWindow="-110" yWindow="-110" windowWidth="19420" windowHeight="11500" firstSheet="1" activeTab="2" xr2:uid="{8779DC13-B673-4DE1-ABBA-312CBB164313}"/>
  </bookViews>
  <sheets>
    <sheet name="Income" sheetId="1" state="hidden" r:id="rId1"/>
    <sheet name="Final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  <c r="K12" i="2" s="1"/>
  <c r="D35" i="2"/>
  <c r="G11" i="2" l="1"/>
  <c r="E11" i="2"/>
  <c r="D11" i="2"/>
  <c r="L11" i="1"/>
  <c r="G11" i="1"/>
  <c r="E11" i="1"/>
  <c r="D11" i="1"/>
  <c r="O10" i="1"/>
  <c r="N10" i="1"/>
  <c r="K10" i="1"/>
  <c r="N9" i="1"/>
  <c r="I9" i="1"/>
  <c r="O9" i="1" s="1"/>
  <c r="O8" i="1"/>
  <c r="N8" i="1"/>
  <c r="K8" i="1" s="1"/>
  <c r="O7" i="1"/>
  <c r="N7" i="1"/>
  <c r="K7" i="1" s="1"/>
  <c r="O6" i="1"/>
  <c r="N6" i="1"/>
  <c r="K6" i="1"/>
  <c r="O5" i="1"/>
  <c r="N5" i="1"/>
  <c r="H5" i="1"/>
  <c r="O4" i="1"/>
  <c r="N4" i="1"/>
  <c r="O3" i="1"/>
  <c r="N3" i="1"/>
  <c r="K3" i="1" s="1"/>
  <c r="N11" i="1" l="1"/>
  <c r="K4" i="1"/>
</calcChain>
</file>

<file path=xl/sharedStrings.xml><?xml version="1.0" encoding="utf-8"?>
<sst xmlns="http://schemas.openxmlformats.org/spreadsheetml/2006/main" count="111" uniqueCount="66">
  <si>
    <t>Srno</t>
  </si>
  <si>
    <t>Customer_ID</t>
  </si>
  <si>
    <t>Bank</t>
  </si>
  <si>
    <t>Amount</t>
  </si>
  <si>
    <t>EMI</t>
  </si>
  <si>
    <t>EMI Date</t>
  </si>
  <si>
    <t>outstanding
As of 14-05-2024</t>
  </si>
  <si>
    <t>Insurance</t>
  </si>
  <si>
    <t>PF</t>
  </si>
  <si>
    <t>MISC</t>
  </si>
  <si>
    <t>PreEMI</t>
  </si>
  <si>
    <t>Net Amount</t>
  </si>
  <si>
    <t>LAN</t>
  </si>
  <si>
    <t>Diif Amount</t>
  </si>
  <si>
    <t>PF%</t>
  </si>
  <si>
    <t>ROI</t>
  </si>
  <si>
    <t>Tenure</t>
  </si>
  <si>
    <t>HDFC</t>
  </si>
  <si>
    <t>Fullerton</t>
  </si>
  <si>
    <t>067902210667325</t>
  </si>
  <si>
    <t>LMUMECA0000079482</t>
  </si>
  <si>
    <t>Edelwise</t>
  </si>
  <si>
    <t>Bajaj</t>
  </si>
  <si>
    <t>IndusInd</t>
  </si>
  <si>
    <t>Axis</t>
  </si>
  <si>
    <t xml:space="preserve">AC2020012725426 </t>
  </si>
  <si>
    <t>CLIX</t>
  </si>
  <si>
    <t>AC2020012725426</t>
  </si>
  <si>
    <t>LBN-FW1-9234496</t>
  </si>
  <si>
    <t>Citi</t>
  </si>
  <si>
    <t>Total</t>
  </si>
  <si>
    <t>outstanding
As of 20-08-2024</t>
  </si>
  <si>
    <t>Other Loan</t>
  </si>
  <si>
    <t>Home loan Guarantor</t>
  </si>
  <si>
    <t>bharat co operative</t>
  </si>
  <si>
    <t>16th of every month</t>
  </si>
  <si>
    <t>Personal Loan</t>
  </si>
  <si>
    <t>Early salry</t>
  </si>
  <si>
    <t>2nd of every month</t>
  </si>
  <si>
    <t>Gold Loan</t>
  </si>
  <si>
    <t>IIFL</t>
  </si>
  <si>
    <t>20 of every month</t>
  </si>
  <si>
    <t>KISETSU</t>
  </si>
  <si>
    <t>Consumer Loan</t>
  </si>
  <si>
    <t>Karur Vaisya</t>
  </si>
  <si>
    <t>Invalid Loan detail</t>
  </si>
  <si>
    <t>Axio</t>
  </si>
  <si>
    <t>Amazon Credit facility</t>
  </si>
  <si>
    <t>Name</t>
  </si>
  <si>
    <t>Card</t>
  </si>
  <si>
    <t>Dharmesh</t>
  </si>
  <si>
    <t>Tata</t>
  </si>
  <si>
    <t>RBL</t>
  </si>
  <si>
    <t>SBI F</t>
  </si>
  <si>
    <t>Axis Previledge</t>
  </si>
  <si>
    <t>SBI Simple</t>
  </si>
  <si>
    <t>Axis MM</t>
  </si>
  <si>
    <t>Kotak Mahindra</t>
  </si>
  <si>
    <t>closed card</t>
  </si>
  <si>
    <t>HSBC Loan</t>
  </si>
  <si>
    <t>Closed laon but still presentin the cibi</t>
  </si>
  <si>
    <t>Outstanding Amount</t>
  </si>
  <si>
    <t xml:space="preserve"> </t>
  </si>
  <si>
    <t>Current Outstanding</t>
  </si>
  <si>
    <t>Preclose Chareges</t>
  </si>
  <si>
    <t>Request Numer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</si>
</sst>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333333"/>
      <name val="&amp;quot"/>
    </font>
    <font>
      <i/>
      <sz val="12"/>
      <color rgb="FFAD275F"/>
      <name val="Calibri"/>
      <family val="2"/>
      <scheme val="minor"/>
    </font>
    <font>
      <b/>
      <sz val="8"/>
      <color rgb="FF000000"/>
      <name val="IntroRegula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/>
    <xf numFmtId="1" fontId="2" fillId="2" borderId="1" xfId="0" applyNumberFormat="1" applyFont="1" applyFill="1" applyBorder="1"/>
    <xf numFmtId="0" fontId="2" fillId="2" borderId="1" xfId="0" applyFont="1" applyFill="1" applyBorder="1" applyAlignment="1">
      <alignment wrapText="1"/>
    </xf>
    <xf numFmtId="10" fontId="2" fillId="2" borderId="1" xfId="0" applyNumberFormat="1" applyFont="1" applyFill="1" applyBorder="1"/>
    <xf numFmtId="0" fontId="0" fillId="0" borderId="1" xfId="0" applyBorder="1"/>
    <xf numFmtId="3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/>
    <xf numFmtId="10" fontId="0" fillId="0" borderId="1" xfId="0" applyNumberFormat="1" applyBorder="1"/>
    <xf numFmtId="0" fontId="3" fillId="0" borderId="1" xfId="0" applyFont="1" applyBorder="1"/>
    <xf numFmtId="49" fontId="0" fillId="0" borderId="1" xfId="1" applyNumberFormat="1" applyFont="1" applyBorder="1"/>
    <xf numFmtId="9" fontId="0" fillId="0" borderId="1" xfId="0" applyNumberFormat="1" applyBorder="1"/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" fontId="0" fillId="0" borderId="0" xfId="0" applyNumberFormat="1"/>
    <xf numFmtId="10" fontId="0" fillId="0" borderId="0" xfId="0" applyNumberFormat="1"/>
    <xf numFmtId="0" fontId="0" fillId="3" borderId="1" xfId="0" applyFill="1" applyBorder="1"/>
    <xf numFmtId="3" fontId="0" fillId="3" borderId="1" xfId="0" applyNumberFormat="1" applyFill="1" applyBorder="1"/>
    <xf numFmtId="14" fontId="0" fillId="3" borderId="1" xfId="0" applyNumberFormat="1" applyFill="1" applyBorder="1"/>
    <xf numFmtId="10" fontId="0" fillId="3" borderId="1" xfId="0" applyNumberFormat="1" applyFill="1" applyBorder="1"/>
    <xf numFmtId="0" fontId="4" fillId="3" borderId="1" xfId="0" applyFont="1" applyFill="1" applyBorder="1"/>
    <xf numFmtId="0" fontId="6" fillId="0" borderId="0" xfId="0" applyFont="1"/>
    <xf numFmtId="0" fontId="0" fillId="4" borderId="0" xfId="0" applyFill="1"/>
    <xf numFmtId="3" fontId="0" fillId="4" borderId="1" xfId="0" applyNumberFormat="1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64" fontId="0" fillId="4" borderId="0" xfId="0" applyNumberFormat="1" applyFill="1"/>
    <xf numFmtId="0" fontId="2" fillId="2" borderId="2" xfId="0" applyFont="1" applyFill="1" applyBorder="1"/>
    <xf numFmtId="4" fontId="0" fillId="0" borderId="0" xfId="0" applyNumberFormat="1"/>
    <xf numFmtId="9" fontId="0" fillId="0" borderId="0" xfId="0" applyNumberFormat="1"/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B1FE-667E-4FD0-8872-A64F7457BFEF}">
  <dimension ref="A2:Q11"/>
  <sheetViews>
    <sheetView workbookViewId="0">
      <selection activeCell="A3" sqref="A3"/>
    </sheetView>
  </sheetViews>
  <sheetFormatPr defaultRowHeight="14.5"/>
  <cols>
    <col min="1" max="1" width="8.08984375" bestFit="1" customWidth="1"/>
    <col min="2" max="2" width="19.81640625" bestFit="1" customWidth="1"/>
    <col min="3" max="3" width="10.08984375" bestFit="1" customWidth="1"/>
    <col min="4" max="4" width="10.453125" style="17" bestFit="1" customWidth="1"/>
    <col min="5" max="5" width="9.1796875" bestFit="1" customWidth="1"/>
    <col min="6" max="6" width="13.1796875" bestFit="1" customWidth="1"/>
    <col min="7" max="7" width="10.90625" bestFit="1" customWidth="1"/>
    <col min="8" max="8" width="10.08984375" bestFit="1" customWidth="1"/>
    <col min="9" max="9" width="6.08984375" customWidth="1"/>
    <col min="10" max="10" width="7.36328125" bestFit="1" customWidth="1"/>
    <col min="11" max="11" width="11.81640625" bestFit="1" customWidth="1"/>
    <col min="12" max="12" width="18.453125" bestFit="1" customWidth="1"/>
    <col min="13" max="13" width="21.26953125" bestFit="1" customWidth="1"/>
    <col min="14" max="14" width="12.26953125" style="18" bestFit="1" customWidth="1"/>
  </cols>
  <sheetData>
    <row r="2" spans="1:17" ht="43.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4" t="s">
        <v>14</v>
      </c>
      <c r="P2" s="1" t="s">
        <v>15</v>
      </c>
      <c r="Q2" s="1" t="s">
        <v>16</v>
      </c>
    </row>
    <row r="3" spans="1:17">
      <c r="A3" s="5">
        <v>1</v>
      </c>
      <c r="B3" s="5">
        <v>98827925</v>
      </c>
      <c r="C3" s="5" t="s">
        <v>17</v>
      </c>
      <c r="D3" s="6">
        <v>3016059</v>
      </c>
      <c r="E3" s="5">
        <v>65201</v>
      </c>
      <c r="F3" s="7">
        <v>44015</v>
      </c>
      <c r="G3" s="6">
        <v>1057163</v>
      </c>
      <c r="H3" s="5">
        <v>16059</v>
      </c>
      <c r="I3" s="5">
        <v>14609</v>
      </c>
      <c r="J3" s="5">
        <v>0</v>
      </c>
      <c r="K3" s="6">
        <f>N3-H3-I3-J3</f>
        <v>0</v>
      </c>
      <c r="L3" s="5">
        <v>2985391</v>
      </c>
      <c r="M3" s="8"/>
      <c r="N3" s="6">
        <f t="shared" ref="N3:N10" si="0">D3-L3</f>
        <v>30668</v>
      </c>
      <c r="O3" s="9">
        <f t="shared" ref="O3:O10" si="1">I3/D3</f>
        <v>4.8437381364223979E-3</v>
      </c>
      <c r="P3" s="9">
        <v>0.1075</v>
      </c>
      <c r="Q3" s="5">
        <v>60</v>
      </c>
    </row>
    <row r="4" spans="1:17" ht="15.5">
      <c r="A4" s="5">
        <v>2</v>
      </c>
      <c r="B4" s="10">
        <v>7455360</v>
      </c>
      <c r="C4" s="5" t="s">
        <v>18</v>
      </c>
      <c r="D4" s="6">
        <v>1744000</v>
      </c>
      <c r="E4" s="5">
        <v>41951</v>
      </c>
      <c r="F4" s="7">
        <v>43954</v>
      </c>
      <c r="G4" s="6">
        <v>737191</v>
      </c>
      <c r="H4" s="5">
        <v>10399</v>
      </c>
      <c r="I4" s="5">
        <v>30480</v>
      </c>
      <c r="J4" s="5">
        <v>1770</v>
      </c>
      <c r="K4" s="6">
        <f>N4-H4-I4-J4</f>
        <v>9851</v>
      </c>
      <c r="L4" s="5">
        <v>1691500</v>
      </c>
      <c r="M4" s="11" t="s">
        <v>19</v>
      </c>
      <c r="N4" s="6">
        <f t="shared" si="0"/>
        <v>52500</v>
      </c>
      <c r="O4" s="9">
        <f t="shared" si="1"/>
        <v>1.7477064220183487E-2</v>
      </c>
      <c r="P4" s="9">
        <v>0.155</v>
      </c>
      <c r="Q4" s="5">
        <v>60</v>
      </c>
    </row>
    <row r="5" spans="1:17">
      <c r="A5" s="5">
        <v>3</v>
      </c>
      <c r="B5" s="5" t="s">
        <v>20</v>
      </c>
      <c r="C5" s="5" t="s">
        <v>21</v>
      </c>
      <c r="D5" s="6">
        <v>1015080</v>
      </c>
      <c r="E5" s="5">
        <v>29291</v>
      </c>
      <c r="F5" s="7">
        <v>43954</v>
      </c>
      <c r="G5" s="6">
        <v>245869.27920389664</v>
      </c>
      <c r="H5" s="6">
        <f>N5-I5-K5</f>
        <v>15080</v>
      </c>
      <c r="I5" s="5">
        <v>11978</v>
      </c>
      <c r="J5" s="5">
        <v>0</v>
      </c>
      <c r="K5" s="6">
        <v>0</v>
      </c>
      <c r="L5" s="5">
        <v>988022</v>
      </c>
      <c r="M5" s="8"/>
      <c r="N5" s="6">
        <f t="shared" si="0"/>
        <v>27058</v>
      </c>
      <c r="O5" s="9">
        <f t="shared" si="1"/>
        <v>1.180005516806557E-2</v>
      </c>
      <c r="P5" s="12">
        <v>0.17</v>
      </c>
      <c r="Q5" s="5">
        <v>48</v>
      </c>
    </row>
    <row r="6" spans="1:17">
      <c r="A6" s="5">
        <v>4</v>
      </c>
      <c r="B6" s="13">
        <v>7877295</v>
      </c>
      <c r="C6" s="5" t="s">
        <v>22</v>
      </c>
      <c r="D6" s="6">
        <v>880000</v>
      </c>
      <c r="E6" s="5">
        <v>21049</v>
      </c>
      <c r="F6" s="7">
        <v>43864</v>
      </c>
      <c r="G6" s="6">
        <v>440000</v>
      </c>
      <c r="H6" s="5">
        <v>0</v>
      </c>
      <c r="I6" s="5">
        <v>14403</v>
      </c>
      <c r="J6" s="5">
        <v>4999</v>
      </c>
      <c r="K6" s="6">
        <f>N6-H6-I6-J6</f>
        <v>0</v>
      </c>
      <c r="L6" s="5">
        <v>860598</v>
      </c>
      <c r="M6" s="8"/>
      <c r="N6" s="6">
        <f t="shared" si="0"/>
        <v>19402</v>
      </c>
      <c r="O6" s="9">
        <f t="shared" si="1"/>
        <v>1.6367045454545454E-2</v>
      </c>
      <c r="P6" s="9">
        <v>0.14990000000000001</v>
      </c>
      <c r="Q6" s="5">
        <v>60</v>
      </c>
    </row>
    <row r="7" spans="1:17">
      <c r="A7" s="5">
        <v>5</v>
      </c>
      <c r="B7" s="13">
        <v>701000770530</v>
      </c>
      <c r="C7" s="5" t="s">
        <v>23</v>
      </c>
      <c r="D7" s="6">
        <v>2000000</v>
      </c>
      <c r="E7" s="5">
        <v>43485</v>
      </c>
      <c r="F7" s="7">
        <v>43924</v>
      </c>
      <c r="G7" s="6">
        <v>718537.5661114743</v>
      </c>
      <c r="H7" s="5">
        <v>0</v>
      </c>
      <c r="I7" s="5">
        <v>17700</v>
      </c>
      <c r="J7" s="5">
        <v>4000</v>
      </c>
      <c r="K7" s="6">
        <f>N7-H7-I7-J7</f>
        <v>0</v>
      </c>
      <c r="L7" s="5">
        <v>1978300</v>
      </c>
      <c r="M7" s="8"/>
      <c r="N7" s="6">
        <f t="shared" si="0"/>
        <v>21700</v>
      </c>
      <c r="O7" s="9">
        <f t="shared" si="1"/>
        <v>8.8500000000000002E-3</v>
      </c>
      <c r="P7" s="9">
        <v>0.11</v>
      </c>
      <c r="Q7" s="5">
        <v>60</v>
      </c>
    </row>
    <row r="8" spans="1:17" ht="15.5">
      <c r="A8" s="5">
        <v>6</v>
      </c>
      <c r="B8" s="14">
        <v>868057024</v>
      </c>
      <c r="C8" s="5" t="s">
        <v>24</v>
      </c>
      <c r="D8" s="6">
        <v>1500000</v>
      </c>
      <c r="E8" s="5">
        <v>32427</v>
      </c>
      <c r="F8" s="7">
        <v>44106</v>
      </c>
      <c r="G8" s="6">
        <v>479966</v>
      </c>
      <c r="H8" s="5">
        <v>0</v>
      </c>
      <c r="I8" s="5">
        <v>17523</v>
      </c>
      <c r="J8" s="5">
        <v>3010</v>
      </c>
      <c r="K8" s="6">
        <f>N8-H8-I8-J8</f>
        <v>0</v>
      </c>
      <c r="L8" s="5">
        <v>1479467</v>
      </c>
      <c r="M8" s="8"/>
      <c r="N8" s="6">
        <f t="shared" si="0"/>
        <v>20533</v>
      </c>
      <c r="O8" s="9">
        <f t="shared" si="1"/>
        <v>1.1682E-2</v>
      </c>
      <c r="P8" s="9">
        <v>0.1075</v>
      </c>
      <c r="Q8" s="5">
        <v>60</v>
      </c>
    </row>
    <row r="9" spans="1:17">
      <c r="A9" s="5">
        <v>7</v>
      </c>
      <c r="B9" s="5" t="s">
        <v>25</v>
      </c>
      <c r="C9" s="5" t="s">
        <v>26</v>
      </c>
      <c r="D9" s="6">
        <v>1018741</v>
      </c>
      <c r="E9" s="5">
        <v>24230</v>
      </c>
      <c r="F9" s="7">
        <v>44015</v>
      </c>
      <c r="G9" s="6">
        <v>475628</v>
      </c>
      <c r="H9" s="5">
        <v>18741</v>
      </c>
      <c r="I9" s="6">
        <f>N9-H9</f>
        <v>20620</v>
      </c>
      <c r="J9" s="5"/>
      <c r="K9" s="6">
        <v>2920</v>
      </c>
      <c r="L9" s="5">
        <v>979380</v>
      </c>
      <c r="M9" s="8" t="s">
        <v>27</v>
      </c>
      <c r="N9" s="6">
        <f t="shared" si="0"/>
        <v>39361</v>
      </c>
      <c r="O9" s="9">
        <f t="shared" si="1"/>
        <v>2.0240669610823554E-2</v>
      </c>
      <c r="P9" s="9">
        <v>0.14990000000000001</v>
      </c>
      <c r="Q9" s="5">
        <v>60</v>
      </c>
    </row>
    <row r="10" spans="1:17">
      <c r="A10" s="5">
        <v>8</v>
      </c>
      <c r="B10" s="5" t="s">
        <v>28</v>
      </c>
      <c r="C10" s="5" t="s">
        <v>29</v>
      </c>
      <c r="D10" s="6">
        <v>1000000</v>
      </c>
      <c r="E10" s="5">
        <v>21895</v>
      </c>
      <c r="F10" s="7">
        <v>43834</v>
      </c>
      <c r="G10" s="6">
        <v>336216</v>
      </c>
      <c r="H10" s="5">
        <v>0</v>
      </c>
      <c r="I10" s="5">
        <v>5688</v>
      </c>
      <c r="J10" s="5">
        <v>9100</v>
      </c>
      <c r="K10" s="6">
        <f>N10-H10-I10-J10</f>
        <v>0</v>
      </c>
      <c r="L10" s="5">
        <v>985212</v>
      </c>
      <c r="M10" s="8"/>
      <c r="N10" s="6">
        <f t="shared" si="0"/>
        <v>14788</v>
      </c>
      <c r="O10" s="9">
        <f t="shared" si="1"/>
        <v>5.6880000000000003E-3</v>
      </c>
      <c r="P10" s="9">
        <v>0.1075</v>
      </c>
      <c r="Q10" s="5">
        <v>60</v>
      </c>
    </row>
    <row r="11" spans="1:17">
      <c r="A11" s="15" t="s">
        <v>30</v>
      </c>
      <c r="B11" s="5"/>
      <c r="C11" s="15"/>
      <c r="D11" s="16">
        <f>SUM(D3:D10)</f>
        <v>12173880</v>
      </c>
      <c r="E11" s="5">
        <f>SUM(E3:E10)</f>
        <v>279529</v>
      </c>
      <c r="F11" s="5"/>
      <c r="G11" s="6">
        <f>SUM(G3:G10)</f>
        <v>4490570.8453153707</v>
      </c>
      <c r="H11" s="5"/>
      <c r="I11" s="5"/>
      <c r="J11" s="5"/>
      <c r="K11" s="5"/>
      <c r="L11" s="5">
        <f>SUM(L3:L10)</f>
        <v>11947870</v>
      </c>
      <c r="M11" s="8"/>
      <c r="N11" s="6">
        <f>SUM(N3:N10)</f>
        <v>226010</v>
      </c>
      <c r="O11" s="9"/>
      <c r="P11" s="5"/>
      <c r="Q1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7B65-81F3-4C4D-B809-4DA4E7303BC7}">
  <dimension ref="A2:L35"/>
  <sheetViews>
    <sheetView workbookViewId="0">
      <selection activeCell="K2" sqref="K2:K8"/>
    </sheetView>
  </sheetViews>
  <sheetFormatPr defaultRowHeight="14.5"/>
  <cols>
    <col min="1" max="1" width="11.36328125" bestFit="1" customWidth="1"/>
    <col min="2" max="2" width="19.81640625" bestFit="1" customWidth="1"/>
    <col min="3" max="3" width="17.26953125" bestFit="1" customWidth="1"/>
    <col min="4" max="4" width="19.54296875" style="17" bestFit="1" customWidth="1"/>
    <col min="5" max="5" width="9.1796875" bestFit="1" customWidth="1"/>
    <col min="6" max="6" width="17.90625" bestFit="1" customWidth="1"/>
    <col min="7" max="7" width="10.90625" bestFit="1" customWidth="1"/>
    <col min="8" max="8" width="19.08984375" bestFit="1" customWidth="1"/>
    <col min="10" max="10" width="18.26953125" bestFit="1" customWidth="1"/>
    <col min="11" max="11" width="16" bestFit="1" customWidth="1"/>
    <col min="12" max="12" width="13.90625" bestFit="1" customWidth="1"/>
  </cols>
  <sheetData>
    <row r="2" spans="1:12" ht="43.5">
      <c r="A2" s="1" t="s">
        <v>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3" t="s">
        <v>31</v>
      </c>
      <c r="H2" s="1" t="s">
        <v>15</v>
      </c>
      <c r="I2" s="1" t="s">
        <v>16</v>
      </c>
      <c r="J2" s="34" t="s">
        <v>63</v>
      </c>
      <c r="K2" s="34" t="s">
        <v>64</v>
      </c>
      <c r="L2" s="34" t="s">
        <v>65</v>
      </c>
    </row>
    <row r="3" spans="1:12">
      <c r="A3" s="5">
        <v>1</v>
      </c>
      <c r="B3" s="5">
        <v>98827925</v>
      </c>
      <c r="C3" s="5" t="s">
        <v>17</v>
      </c>
      <c r="D3" s="6">
        <v>3016059</v>
      </c>
      <c r="E3" s="5">
        <v>65201</v>
      </c>
      <c r="F3" s="7">
        <v>44015</v>
      </c>
      <c r="G3" s="6">
        <v>809407</v>
      </c>
      <c r="H3" s="9">
        <v>0.1075</v>
      </c>
      <c r="I3" s="5">
        <v>60</v>
      </c>
      <c r="J3" s="35">
        <v>773472.87</v>
      </c>
    </row>
    <row r="4" spans="1:12" ht="15.5">
      <c r="A4" s="5">
        <v>2</v>
      </c>
      <c r="B4" s="10">
        <v>7455360</v>
      </c>
      <c r="C4" s="5" t="s">
        <v>18</v>
      </c>
      <c r="D4" s="6">
        <v>1744000</v>
      </c>
      <c r="E4" s="5">
        <v>41951</v>
      </c>
      <c r="F4" s="7">
        <v>43954</v>
      </c>
      <c r="G4" s="6">
        <v>704762</v>
      </c>
      <c r="H4" s="9">
        <v>0.155</v>
      </c>
      <c r="I4" s="5">
        <v>60</v>
      </c>
      <c r="J4">
        <v>576947</v>
      </c>
      <c r="K4">
        <v>0</v>
      </c>
      <c r="L4">
        <v>17440838</v>
      </c>
    </row>
    <row r="5" spans="1:12">
      <c r="A5" s="5">
        <v>3</v>
      </c>
      <c r="B5" s="5" t="s">
        <v>20</v>
      </c>
      <c r="C5" s="5" t="s">
        <v>21</v>
      </c>
      <c r="D5" s="6">
        <v>1015080</v>
      </c>
      <c r="E5" s="5">
        <v>29291</v>
      </c>
      <c r="F5" s="7">
        <v>43954</v>
      </c>
      <c r="G5" s="6">
        <v>0</v>
      </c>
      <c r="H5" s="12">
        <v>0.17</v>
      </c>
      <c r="I5" s="5">
        <v>48</v>
      </c>
      <c r="J5">
        <v>0</v>
      </c>
    </row>
    <row r="6" spans="1:12">
      <c r="A6" s="5">
        <v>4</v>
      </c>
      <c r="B6" s="23">
        <v>7877295</v>
      </c>
      <c r="C6" s="19" t="s">
        <v>22</v>
      </c>
      <c r="D6" s="20">
        <v>880000</v>
      </c>
      <c r="E6" s="19">
        <v>21049</v>
      </c>
      <c r="F6" s="21">
        <v>43864</v>
      </c>
      <c r="G6" s="20">
        <v>330000</v>
      </c>
      <c r="H6" s="22">
        <v>0.14990000000000001</v>
      </c>
      <c r="I6" s="19">
        <v>60</v>
      </c>
      <c r="J6">
        <v>273000</v>
      </c>
    </row>
    <row r="7" spans="1:12">
      <c r="A7" s="5">
        <v>5</v>
      </c>
      <c r="B7" s="13">
        <v>701000770530</v>
      </c>
      <c r="C7" s="5" t="s">
        <v>23</v>
      </c>
      <c r="D7" s="6">
        <v>2000000</v>
      </c>
      <c r="E7" s="5">
        <v>43485</v>
      </c>
      <c r="F7" s="7">
        <v>43924</v>
      </c>
      <c r="G7" s="6">
        <v>631929</v>
      </c>
      <c r="H7" s="9">
        <v>0.11</v>
      </c>
      <c r="I7" s="5">
        <v>60</v>
      </c>
      <c r="J7">
        <v>517916</v>
      </c>
      <c r="K7" s="36">
        <v>0.04</v>
      </c>
    </row>
    <row r="8" spans="1:12" ht="15.5">
      <c r="A8" s="5">
        <v>6</v>
      </c>
      <c r="B8" s="14">
        <v>868057024</v>
      </c>
      <c r="C8" s="5" t="s">
        <v>24</v>
      </c>
      <c r="D8" s="6">
        <v>1500000</v>
      </c>
      <c r="E8" s="5">
        <v>32427</v>
      </c>
      <c r="F8" s="7">
        <v>44106</v>
      </c>
      <c r="G8" s="6" t="s">
        <v>62</v>
      </c>
      <c r="H8" s="9">
        <v>0.1075</v>
      </c>
      <c r="I8" s="5">
        <v>60</v>
      </c>
      <c r="J8">
        <v>336788</v>
      </c>
      <c r="K8">
        <v>0</v>
      </c>
      <c r="L8">
        <v>46902914</v>
      </c>
    </row>
    <row r="9" spans="1:12">
      <c r="A9" s="5">
        <v>7</v>
      </c>
      <c r="B9" s="5" t="s">
        <v>25</v>
      </c>
      <c r="C9" s="5" t="s">
        <v>26</v>
      </c>
      <c r="D9" s="6">
        <v>1018741</v>
      </c>
      <c r="E9" s="5">
        <v>24230</v>
      </c>
      <c r="F9" s="7">
        <v>44015</v>
      </c>
      <c r="G9" s="6">
        <v>404478</v>
      </c>
      <c r="H9" s="9">
        <v>0.14990000000000001</v>
      </c>
      <c r="I9" s="5">
        <v>60</v>
      </c>
      <c r="K9">
        <v>354478</v>
      </c>
    </row>
    <row r="10" spans="1:12">
      <c r="A10" s="5">
        <v>8</v>
      </c>
      <c r="B10" s="19" t="s">
        <v>28</v>
      </c>
      <c r="C10" s="19" t="s">
        <v>29</v>
      </c>
      <c r="D10" s="20">
        <v>1000000</v>
      </c>
      <c r="E10" s="19">
        <v>21895</v>
      </c>
      <c r="F10" s="21">
        <v>43834</v>
      </c>
      <c r="G10" s="20">
        <v>0</v>
      </c>
      <c r="H10" s="22">
        <v>0.1075</v>
      </c>
      <c r="I10" s="19">
        <v>60</v>
      </c>
    </row>
    <row r="11" spans="1:12">
      <c r="A11" s="15" t="s">
        <v>30</v>
      </c>
      <c r="B11" s="5"/>
      <c r="C11" s="15"/>
      <c r="D11" s="16">
        <f>SUM(D3:D10)</f>
        <v>12173880</v>
      </c>
      <c r="E11" s="5">
        <f>SUM(E3:E10)</f>
        <v>279529</v>
      </c>
      <c r="F11" s="5"/>
      <c r="G11" s="6">
        <f>SUM(G3:G10)</f>
        <v>2880576</v>
      </c>
      <c r="H11" s="5"/>
      <c r="I11" s="5"/>
    </row>
    <row r="12" spans="1:12">
      <c r="J12">
        <f>SUM(J3:J10)</f>
        <v>2478123.87</v>
      </c>
      <c r="K12">
        <f>3300000-J12</f>
        <v>821876.12999999989</v>
      </c>
    </row>
    <row r="13" spans="1:12">
      <c r="A13" t="s">
        <v>32</v>
      </c>
    </row>
    <row r="14" spans="1:12">
      <c r="A14">
        <v>1</v>
      </c>
      <c r="B14" t="s">
        <v>36</v>
      </c>
      <c r="C14" t="s">
        <v>37</v>
      </c>
      <c r="D14" s="6">
        <v>19729</v>
      </c>
      <c r="E14" s="6">
        <v>0</v>
      </c>
      <c r="F14" t="s">
        <v>38</v>
      </c>
      <c r="G14" s="6">
        <v>13458</v>
      </c>
    </row>
    <row r="15" spans="1:12">
      <c r="A15">
        <v>2</v>
      </c>
      <c r="B15" t="s">
        <v>36</v>
      </c>
      <c r="C15" s="24" t="s">
        <v>42</v>
      </c>
      <c r="D15" s="6">
        <v>500000</v>
      </c>
      <c r="E15" s="6">
        <v>0</v>
      </c>
      <c r="F15" t="s">
        <v>38</v>
      </c>
      <c r="G15" s="6">
        <v>400000</v>
      </c>
    </row>
    <row r="16" spans="1:12">
      <c r="A16">
        <v>3</v>
      </c>
      <c r="B16" t="s">
        <v>39</v>
      </c>
      <c r="C16" t="s">
        <v>40</v>
      </c>
      <c r="D16" s="6">
        <v>2000000</v>
      </c>
      <c r="E16" s="6">
        <v>0</v>
      </c>
      <c r="F16" t="s">
        <v>41</v>
      </c>
      <c r="G16" s="6">
        <v>15288</v>
      </c>
    </row>
    <row r="17" spans="1:9">
      <c r="A17">
        <v>4</v>
      </c>
      <c r="B17" t="s">
        <v>33</v>
      </c>
      <c r="C17" t="s">
        <v>34</v>
      </c>
      <c r="D17" s="6">
        <v>3750000</v>
      </c>
      <c r="E17" s="6"/>
      <c r="F17" t="s">
        <v>35</v>
      </c>
      <c r="G17" s="6">
        <v>3650000</v>
      </c>
    </row>
    <row r="18" spans="1:9">
      <c r="A18">
        <v>5</v>
      </c>
      <c r="B18" s="25" t="s">
        <v>43</v>
      </c>
      <c r="C18" s="25" t="s">
        <v>44</v>
      </c>
      <c r="D18" s="26">
        <v>64000</v>
      </c>
      <c r="E18" s="26">
        <v>0</v>
      </c>
      <c r="F18" s="25">
        <v>0</v>
      </c>
      <c r="G18" s="26">
        <v>16000</v>
      </c>
      <c r="H18" s="25" t="s">
        <v>45</v>
      </c>
      <c r="I18" s="25"/>
    </row>
    <row r="19" spans="1:9">
      <c r="A19">
        <v>6</v>
      </c>
      <c r="B19" t="s">
        <v>43</v>
      </c>
      <c r="C19" t="s">
        <v>46</v>
      </c>
      <c r="D19" s="6">
        <v>16000</v>
      </c>
      <c r="E19" s="6"/>
      <c r="G19" s="6">
        <v>4000</v>
      </c>
      <c r="H19" t="s">
        <v>47</v>
      </c>
    </row>
    <row r="20" spans="1:9">
      <c r="A20">
        <v>7</v>
      </c>
      <c r="B20" t="s">
        <v>59</v>
      </c>
      <c r="C20" t="s">
        <v>36</v>
      </c>
      <c r="D20" s="6">
        <v>386000</v>
      </c>
      <c r="E20" s="6">
        <v>0</v>
      </c>
      <c r="G20" s="6">
        <v>0</v>
      </c>
      <c r="H20" t="s">
        <v>60</v>
      </c>
    </row>
    <row r="21" spans="1:9">
      <c r="D21"/>
    </row>
    <row r="22" spans="1:9">
      <c r="D22"/>
    </row>
    <row r="23" spans="1:9">
      <c r="D23"/>
    </row>
    <row r="24" spans="1:9">
      <c r="D24"/>
    </row>
    <row r="25" spans="1:9">
      <c r="A25" s="27" t="s">
        <v>48</v>
      </c>
      <c r="B25" s="27" t="s">
        <v>49</v>
      </c>
      <c r="C25" s="28" t="s">
        <v>3</v>
      </c>
      <c r="D25" s="28" t="s">
        <v>61</v>
      </c>
    </row>
    <row r="26" spans="1:9">
      <c r="A26" s="29" t="s">
        <v>50</v>
      </c>
      <c r="B26" s="29" t="s">
        <v>17</v>
      </c>
      <c r="C26" s="30">
        <v>273000</v>
      </c>
      <c r="D26" s="30">
        <v>272000</v>
      </c>
    </row>
    <row r="27" spans="1:9">
      <c r="A27" s="29" t="s">
        <v>50</v>
      </c>
      <c r="B27" s="29" t="s">
        <v>51</v>
      </c>
      <c r="C27" s="30">
        <v>25000</v>
      </c>
      <c r="D27" s="30">
        <v>25000</v>
      </c>
    </row>
    <row r="28" spans="1:9">
      <c r="A28" s="29" t="s">
        <v>50</v>
      </c>
      <c r="B28" s="29" t="s">
        <v>52</v>
      </c>
      <c r="C28" s="30">
        <v>20000</v>
      </c>
      <c r="D28" s="30">
        <v>20000</v>
      </c>
    </row>
    <row r="29" spans="1:9">
      <c r="A29" s="29" t="s">
        <v>50</v>
      </c>
      <c r="B29" s="29" t="s">
        <v>53</v>
      </c>
      <c r="C29" s="30">
        <v>69000</v>
      </c>
      <c r="D29" s="30">
        <v>69000</v>
      </c>
    </row>
    <row r="30" spans="1:9">
      <c r="A30" s="29" t="s">
        <v>50</v>
      </c>
      <c r="B30" s="29" t="s">
        <v>29</v>
      </c>
      <c r="C30" s="30">
        <v>78000</v>
      </c>
      <c r="D30" s="30">
        <v>78000</v>
      </c>
    </row>
    <row r="31" spans="1:9">
      <c r="A31" s="29" t="s">
        <v>50</v>
      </c>
      <c r="B31" s="29" t="s">
        <v>54</v>
      </c>
      <c r="C31" s="30">
        <v>121000</v>
      </c>
      <c r="D31" s="30">
        <v>0</v>
      </c>
    </row>
    <row r="32" spans="1:9">
      <c r="A32" s="29" t="s">
        <v>50</v>
      </c>
      <c r="B32" s="29" t="s">
        <v>55</v>
      </c>
      <c r="C32" s="30">
        <v>75000</v>
      </c>
      <c r="D32" s="30">
        <v>74326</v>
      </c>
    </row>
    <row r="33" spans="1:5">
      <c r="A33" s="29" t="s">
        <v>50</v>
      </c>
      <c r="B33" s="29" t="s">
        <v>56</v>
      </c>
      <c r="C33" s="30">
        <v>271000</v>
      </c>
      <c r="D33" s="30">
        <v>251073</v>
      </c>
    </row>
    <row r="34" spans="1:5">
      <c r="A34" s="31" t="s">
        <v>50</v>
      </c>
      <c r="B34" s="32" t="s">
        <v>57</v>
      </c>
      <c r="C34" s="33">
        <v>100000</v>
      </c>
      <c r="D34" s="33">
        <v>100000</v>
      </c>
      <c r="E34" t="s">
        <v>58</v>
      </c>
    </row>
    <row r="35" spans="1:5">
      <c r="D35" s="30">
        <f>SUM(D26:D33)</f>
        <v>789399</v>
      </c>
    </row>
  </sheetData>
  <sortState xmlns:xlrd2="http://schemas.microsoft.com/office/spreadsheetml/2017/richdata2" ref="A16:G17">
    <sortCondition ref="B16:B1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4CAC-7AE6-40D4-B5C5-50CC0BE62F8A}">
  <dimension ref="A1:E6"/>
  <sheetViews>
    <sheetView tabSelected="1" workbookViewId="0">
      <selection activeCell="D7" sqref="D7"/>
    </sheetView>
  </sheetViews>
  <sheetFormatPr defaultRowHeight="14.5"/>
  <cols>
    <col min="3" max="3" width="9.7265625" style="37" bestFit="1" customWidth="1"/>
    <col min="4" max="4" width="18.26953125" style="37" bestFit="1" customWidth="1"/>
    <col min="5" max="5" width="16" style="45" bestFit="1" customWidth="1"/>
  </cols>
  <sheetData>
    <row r="1" spans="1:5">
      <c r="A1" s="38" t="s">
        <v>2</v>
      </c>
      <c r="B1" s="39" t="s">
        <v>3</v>
      </c>
      <c r="C1" s="40" t="s">
        <v>4</v>
      </c>
      <c r="D1" s="40" t="s">
        <v>63</v>
      </c>
      <c r="E1" s="38" t="s">
        <v>64</v>
      </c>
    </row>
    <row r="2" spans="1:5">
      <c r="A2" s="29" t="s">
        <v>17</v>
      </c>
      <c r="B2" s="41">
        <v>3016059</v>
      </c>
      <c r="C2" s="30">
        <v>65201</v>
      </c>
      <c r="D2" s="30">
        <v>773472.87</v>
      </c>
      <c r="E2" s="46">
        <v>0</v>
      </c>
    </row>
    <row r="3" spans="1:5">
      <c r="A3" s="29" t="s">
        <v>18</v>
      </c>
      <c r="B3" s="41">
        <v>1744000</v>
      </c>
      <c r="C3" s="30">
        <v>41951</v>
      </c>
      <c r="D3" s="30">
        <v>576947</v>
      </c>
      <c r="E3" s="46">
        <v>0</v>
      </c>
    </row>
    <row r="4" spans="1:5">
      <c r="A4" s="42" t="s">
        <v>22</v>
      </c>
      <c r="B4" s="43">
        <v>880000</v>
      </c>
      <c r="C4" s="44">
        <v>21049</v>
      </c>
      <c r="D4" s="30">
        <v>273000</v>
      </c>
      <c r="E4" s="46">
        <v>0.03</v>
      </c>
    </row>
    <row r="5" spans="1:5">
      <c r="A5" s="29" t="s">
        <v>23</v>
      </c>
      <c r="B5" s="41">
        <v>2000000</v>
      </c>
      <c r="C5" s="30">
        <v>43485</v>
      </c>
      <c r="D5" s="30">
        <v>517916</v>
      </c>
      <c r="E5" s="46">
        <v>0.04</v>
      </c>
    </row>
    <row r="6" spans="1:5">
      <c r="A6" s="29" t="s">
        <v>24</v>
      </c>
      <c r="B6" s="41">
        <v>1500000</v>
      </c>
      <c r="C6" s="30">
        <v>32427</v>
      </c>
      <c r="D6" s="30">
        <v>336788</v>
      </c>
      <c r="E6" s="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Final</vt:lpstr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2024-06-06T13:04:56Z</dcterms:created>
  <dcterms:modified xsi:type="dcterms:W3CDTF">2024-11-01T13:41:23Z</dcterms:modified>
</cp:coreProperties>
</file>