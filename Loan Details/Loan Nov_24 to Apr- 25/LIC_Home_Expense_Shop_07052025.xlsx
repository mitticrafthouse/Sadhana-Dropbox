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hamaru\OneDrive - Capgemini\Desktop\Dharmesh Personal Doc\Sadhana Dropbox\Loan Details\Loan Nov_24 to Apr- 25\"/>
    </mc:Choice>
  </mc:AlternateContent>
  <xr:revisionPtr revIDLastSave="0" documentId="13_ncr:1_{1522E06B-FB27-4BC0-8E44-BD5E732CE376}" xr6:coauthVersionLast="47" xr6:coauthVersionMax="47" xr10:uidLastSave="{00000000-0000-0000-0000-000000000000}"/>
  <bookViews>
    <workbookView xWindow="-110" yWindow="-110" windowWidth="19420" windowHeight="11500" firstSheet="1" activeTab="3" xr2:uid="{00000000-000D-0000-FFFF-FFFF00000000}"/>
  </bookViews>
  <sheets>
    <sheet name="LIC" sheetId="1" r:id="rId1"/>
    <sheet name="Home Expense" sheetId="2" r:id="rId2"/>
    <sheet name="Forecast Home Expense Nov 25" sheetId="5" r:id="rId3"/>
    <sheet name="Sadhana Account 2024-2025" sheetId="3" r:id="rId4"/>
    <sheet name="Repayment Plan till July 25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5" i="3" l="1"/>
  <c r="C50" i="3" l="1"/>
  <c r="J59" i="3"/>
  <c r="R9" i="3"/>
  <c r="S8" i="3" l="1"/>
  <c r="Q8" i="3"/>
  <c r="O13" i="2"/>
  <c r="O15" i="2" s="1"/>
  <c r="O11" i="2"/>
  <c r="O9" i="2"/>
  <c r="K25" i="2"/>
  <c r="H7" i="2" l="1"/>
  <c r="K18" i="2"/>
  <c r="K26" i="2"/>
  <c r="K20" i="2"/>
  <c r="F19" i="1"/>
  <c r="K28" i="2" l="1"/>
  <c r="K30" i="2"/>
  <c r="K22" i="2" l="1"/>
  <c r="E25" i="5"/>
  <c r="E14" i="5"/>
  <c r="E11" i="5"/>
  <c r="E7" i="5"/>
  <c r="E4" i="5"/>
  <c r="H12" i="5"/>
  <c r="C19" i="5"/>
  <c r="C27" i="5" s="1"/>
  <c r="H22" i="4"/>
  <c r="E17" i="5" l="1"/>
  <c r="C5" i="4" l="1"/>
  <c r="C13" i="4" s="1"/>
  <c r="G16" i="3"/>
  <c r="G15" i="3"/>
  <c r="G14" i="3"/>
  <c r="G11" i="3"/>
  <c r="G5" i="3"/>
  <c r="G3" i="3"/>
  <c r="F23" i="3"/>
  <c r="F19" i="3"/>
  <c r="G19" i="3" s="1"/>
  <c r="E9" i="3"/>
  <c r="U10" i="3"/>
  <c r="L51" i="3"/>
  <c r="J42" i="3"/>
  <c r="J43" i="3" s="1"/>
  <c r="J33" i="3"/>
  <c r="J34" i="3" s="1"/>
  <c r="J24" i="3"/>
  <c r="J25" i="3" s="1"/>
  <c r="J26" i="3" s="1"/>
  <c r="J9" i="3"/>
  <c r="J10" i="3" s="1"/>
  <c r="L43" i="3"/>
  <c r="L34" i="3"/>
  <c r="L26" i="3"/>
  <c r="S5" i="3"/>
  <c r="S6" i="3"/>
  <c r="S7" i="3"/>
  <c r="S9" i="3"/>
  <c r="U9" i="3" s="1"/>
  <c r="S4" i="3"/>
  <c r="J17" i="3" s="1"/>
  <c r="L10" i="3"/>
  <c r="T10" i="3"/>
  <c r="Q9" i="3"/>
  <c r="B50" i="3"/>
  <c r="D35" i="3"/>
  <c r="E8" i="3"/>
  <c r="E18" i="3"/>
  <c r="E16" i="3"/>
  <c r="F24" i="3" l="1"/>
  <c r="J51" i="3"/>
  <c r="J18" i="3"/>
  <c r="E24" i="3"/>
  <c r="E20" i="2" l="1"/>
  <c r="E12" i="2"/>
  <c r="B18" i="2"/>
  <c r="I18" i="1"/>
  <c r="L19" i="1"/>
  <c r="E19" i="1"/>
  <c r="E21" i="2" l="1"/>
  <c r="H8" i="2"/>
  <c r="L18" i="3"/>
  <c r="L59" i="3"/>
</calcChain>
</file>

<file path=xl/sharedStrings.xml><?xml version="1.0" encoding="utf-8"?>
<sst xmlns="http://schemas.openxmlformats.org/spreadsheetml/2006/main" count="529" uniqueCount="211">
  <si>
    <t>SrNo</t>
  </si>
  <si>
    <t>Organisation</t>
  </si>
  <si>
    <t>Policy Number</t>
  </si>
  <si>
    <t>Amont</t>
  </si>
  <si>
    <t>Occurance</t>
  </si>
  <si>
    <t>Total</t>
  </si>
  <si>
    <t>Policy Name</t>
  </si>
  <si>
    <t>Startdate</t>
  </si>
  <si>
    <t>LIC</t>
  </si>
  <si>
    <t>Dharmesh</t>
  </si>
  <si>
    <t>Monthly</t>
  </si>
  <si>
    <t>Jeevan saral</t>
  </si>
  <si>
    <t>Yearly</t>
  </si>
  <si>
    <t>Quaterly</t>
  </si>
  <si>
    <t>Sonal</t>
  </si>
  <si>
    <t>Arun</t>
  </si>
  <si>
    <t>Arun(khushi)</t>
  </si>
  <si>
    <t>Jeevan Chhaya</t>
  </si>
  <si>
    <t>Kanchan</t>
  </si>
  <si>
    <t>Khushi</t>
  </si>
  <si>
    <t>Child Future</t>
  </si>
  <si>
    <t>Bhoomi</t>
  </si>
  <si>
    <t>Bhakti</t>
  </si>
  <si>
    <t>Money Back</t>
  </si>
  <si>
    <t>Endownment</t>
  </si>
  <si>
    <t>Name</t>
  </si>
  <si>
    <t>Policy Status</t>
  </si>
  <si>
    <t>Surrender Value</t>
  </si>
  <si>
    <t>Pending Amount</t>
  </si>
  <si>
    <t>Closed</t>
  </si>
  <si>
    <t>Paid UP</t>
  </si>
  <si>
    <t>Not Retrival</t>
  </si>
  <si>
    <t>Ration</t>
  </si>
  <si>
    <t>Wholesale Dhanraj bhai</t>
  </si>
  <si>
    <t>Nasto</t>
  </si>
  <si>
    <t>Electric Bill</t>
  </si>
  <si>
    <t>Milk(200x30)</t>
  </si>
  <si>
    <t>Agarbatti</t>
  </si>
  <si>
    <t>Coffee/Chai Patti</t>
  </si>
  <si>
    <t>Dryfruit</t>
  </si>
  <si>
    <t>Gas</t>
  </si>
  <si>
    <t>Kamwada Ben</t>
  </si>
  <si>
    <t>Vegetables(400X30)</t>
  </si>
  <si>
    <t>Kanchan Monthly Expense</t>
  </si>
  <si>
    <t>Sonal Monthly Expense</t>
  </si>
  <si>
    <t>Particular</t>
  </si>
  <si>
    <t>Amount</t>
  </si>
  <si>
    <t>Expense as on 01-May- 2025</t>
  </si>
  <si>
    <t>Other Expense as on 01-May- 2025</t>
  </si>
  <si>
    <t>Isha Teacher Fees</t>
  </si>
  <si>
    <t>Sujeet Van</t>
  </si>
  <si>
    <t>Books</t>
  </si>
  <si>
    <t>Masala(including Vapi)</t>
  </si>
  <si>
    <t>Uniform,Shoes and Bag</t>
  </si>
  <si>
    <t>Waffers and Lasoon</t>
  </si>
  <si>
    <t>Saptah Pothi</t>
  </si>
  <si>
    <t>Dayara (Last year)</t>
  </si>
  <si>
    <t>Dilip</t>
  </si>
  <si>
    <t>Manish(Arun Friend)</t>
  </si>
  <si>
    <t>Rajubhai Tank</t>
  </si>
  <si>
    <t>Virar Tax</t>
  </si>
  <si>
    <t xml:space="preserve">Khushi Fees </t>
  </si>
  <si>
    <t>Grand Total</t>
  </si>
  <si>
    <t>Dhara Arihant Fees</t>
  </si>
  <si>
    <t>Arun Salary</t>
  </si>
  <si>
    <t>Balance</t>
  </si>
  <si>
    <t>EMI Chart Apr 2025</t>
  </si>
  <si>
    <t>Owner</t>
  </si>
  <si>
    <t>Type</t>
  </si>
  <si>
    <t>Bank</t>
  </si>
  <si>
    <t>EMI Date</t>
  </si>
  <si>
    <t>Outstanding</t>
  </si>
  <si>
    <t>CC</t>
  </si>
  <si>
    <t>HDFC CC</t>
  </si>
  <si>
    <t>Tata Card CC</t>
  </si>
  <si>
    <t>Vinod</t>
  </si>
  <si>
    <t>SBI CC</t>
  </si>
  <si>
    <t>EMI</t>
  </si>
  <si>
    <t>VIVIF</t>
  </si>
  <si>
    <t>Yagnesh</t>
  </si>
  <si>
    <t>RBL</t>
  </si>
  <si>
    <t>Cred</t>
  </si>
  <si>
    <t>Bajaj</t>
  </si>
  <si>
    <t>HDFC Jumbo</t>
  </si>
  <si>
    <t>ICICI ML</t>
  </si>
  <si>
    <t>HDFC PL</t>
  </si>
  <si>
    <t>Rajubhai</t>
  </si>
  <si>
    <t>Bharat bank</t>
  </si>
  <si>
    <t>HSBC CC</t>
  </si>
  <si>
    <t>Axis Priveldege</t>
  </si>
  <si>
    <t>ICICI CC</t>
  </si>
  <si>
    <t>AXIS Citi</t>
  </si>
  <si>
    <t xml:space="preserve">Arun </t>
  </si>
  <si>
    <t>ICICI</t>
  </si>
  <si>
    <t>Narottam</t>
  </si>
  <si>
    <t>Other Loan</t>
  </si>
  <si>
    <t>Arun/Narottam</t>
  </si>
  <si>
    <t>Gold Loan</t>
  </si>
  <si>
    <t>Chetan Devaliya</t>
  </si>
  <si>
    <t>Personal</t>
  </si>
  <si>
    <t>HDFC</t>
  </si>
  <si>
    <t>Insurance Loan</t>
  </si>
  <si>
    <t>Rahul</t>
  </si>
  <si>
    <t>OutStanding</t>
  </si>
  <si>
    <t>Vendor Name</t>
  </si>
  <si>
    <t>Balance Amount</t>
  </si>
  <si>
    <t>Deepak bhai</t>
  </si>
  <si>
    <t>HARESHBHAI</t>
  </si>
  <si>
    <t>HARSIDHI(VIRAR)</t>
  </si>
  <si>
    <t>Jameel bhai</t>
  </si>
  <si>
    <t>JIVI EXPORT-JALGAON</t>
  </si>
  <si>
    <t>Sajid Bhai</t>
  </si>
  <si>
    <t>Paresh Parmar</t>
  </si>
  <si>
    <t>Vinod Jogeshwari</t>
  </si>
  <si>
    <t>Salary</t>
  </si>
  <si>
    <t>Light bill</t>
  </si>
  <si>
    <t>Income</t>
  </si>
  <si>
    <t>Month</t>
  </si>
  <si>
    <t>Mulbhag</t>
  </si>
  <si>
    <t>Profit</t>
  </si>
  <si>
    <t>Actual</t>
  </si>
  <si>
    <t>Income - Expense Adjustment</t>
  </si>
  <si>
    <t>Expense</t>
  </si>
  <si>
    <t>Source</t>
  </si>
  <si>
    <t>Expense type</t>
  </si>
  <si>
    <t>Rent</t>
  </si>
  <si>
    <t>Mul Bhag</t>
  </si>
  <si>
    <t>Sadhana Profit</t>
  </si>
  <si>
    <t>Dharmesh Salary</t>
  </si>
  <si>
    <t>Vendor Payment</t>
  </si>
  <si>
    <t>From Vendor Payment</t>
  </si>
  <si>
    <t>From Sadhana Sales</t>
  </si>
  <si>
    <t>Due to this Vendor Payment is pending</t>
  </si>
  <si>
    <t>Dharmesh Bonus</t>
  </si>
  <si>
    <t>Kohali Advance</t>
  </si>
  <si>
    <t>Bank Charges</t>
  </si>
  <si>
    <t xml:space="preserve">Bank Audit charges </t>
  </si>
  <si>
    <t>Malaysia Advance</t>
  </si>
  <si>
    <t>Actual Sale amount</t>
  </si>
  <si>
    <t>Mira Road Flat</t>
  </si>
  <si>
    <t>Heavy Deposit</t>
  </si>
  <si>
    <t>OD Against FD</t>
  </si>
  <si>
    <t xml:space="preserve">Sadhana </t>
  </si>
  <si>
    <t>Cash Credit Loan</t>
  </si>
  <si>
    <t>BoB</t>
  </si>
  <si>
    <t>Axis MM</t>
  </si>
  <si>
    <t>Total  OS</t>
  </si>
  <si>
    <t>Remarks</t>
  </si>
  <si>
    <t>Satara Bank RD</t>
  </si>
  <si>
    <t>Haresh Bhai Than Payment Adjustment</t>
  </si>
  <si>
    <t>10-05-2025 to 31-05-2025</t>
  </si>
  <si>
    <t>Daily Sales</t>
  </si>
  <si>
    <t>Avg 15,0000 per day</t>
  </si>
  <si>
    <t>Malaysia Balance Amount</t>
  </si>
  <si>
    <t xml:space="preserve">Kohali Export Balance </t>
  </si>
  <si>
    <t>Export Sale</t>
  </si>
  <si>
    <t>Hitesh Paatel Export Order</t>
  </si>
  <si>
    <t>Avg Sale</t>
  </si>
  <si>
    <t>Jameel bhai Payment</t>
  </si>
  <si>
    <t>Haresh bhai Payment</t>
  </si>
  <si>
    <t>Other vendor</t>
  </si>
  <si>
    <t>Light Bill</t>
  </si>
  <si>
    <t xml:space="preserve">Extra Expense </t>
  </si>
  <si>
    <t>40K Each for Dhara, Ved,Trusha</t>
  </si>
  <si>
    <t>Arun Master Admision Fees</t>
  </si>
  <si>
    <t>34K Each for Dhara, Ved,Trusha</t>
  </si>
  <si>
    <t>1500 Each for Ved Trusha</t>
  </si>
  <si>
    <t xml:space="preserve">Bhomi -Bhakti Fees </t>
  </si>
  <si>
    <t>Khushi Fees</t>
  </si>
  <si>
    <t>Festival expense</t>
  </si>
  <si>
    <t xml:space="preserve">Bharat bhai Marriage and Village </t>
  </si>
  <si>
    <t>Arun Dharmesh SIP</t>
  </si>
  <si>
    <t>Arun May Salary</t>
  </si>
  <si>
    <t>Dharmesh June salary</t>
  </si>
  <si>
    <t>Dharmesh July salary</t>
  </si>
  <si>
    <t>Dharmesh Aug salary</t>
  </si>
  <si>
    <t>Dharmesh Sept salary</t>
  </si>
  <si>
    <t>Dharmesh Oct salary</t>
  </si>
  <si>
    <t>Arun Apr Salary Balance</t>
  </si>
  <si>
    <t>Monthwise Amount</t>
  </si>
  <si>
    <t>Home Expense Till Nov 2025</t>
  </si>
  <si>
    <t>Source of Income till Nov 2025</t>
  </si>
  <si>
    <t>Status</t>
  </si>
  <si>
    <t>Paid</t>
  </si>
  <si>
    <t>paid</t>
  </si>
  <si>
    <t>Pending</t>
  </si>
  <si>
    <t>SBI NRO</t>
  </si>
  <si>
    <t>SBI NRE</t>
  </si>
  <si>
    <t>Bank Balance</t>
  </si>
  <si>
    <t>Net Total</t>
  </si>
  <si>
    <t>May-2025 Month Expense tracker</t>
  </si>
  <si>
    <t>Final Balance</t>
  </si>
  <si>
    <t>Paid ---1</t>
  </si>
  <si>
    <t>Pending ----2</t>
  </si>
  <si>
    <t>Bank Balance ---3</t>
  </si>
  <si>
    <t>Expense Total(Pending + Paid)(1+2)</t>
  </si>
  <si>
    <t>Paid + Balance(1+3)</t>
  </si>
  <si>
    <t>After paying Pendings(3-2)</t>
  </si>
  <si>
    <t>Amount Received</t>
  </si>
  <si>
    <t>June-2025 Month Expense tracker</t>
  </si>
  <si>
    <t>Pending ---1</t>
  </si>
  <si>
    <t>Total Balance Amount</t>
  </si>
  <si>
    <t>Bank Balance ---2</t>
  </si>
  <si>
    <t>Dharmesh HDFC</t>
  </si>
  <si>
    <t>Bank Balance - Pending (2-1)</t>
  </si>
  <si>
    <t>AMBALAL</t>
  </si>
  <si>
    <t>Manojbhai Chitroda</t>
  </si>
  <si>
    <t>Austalia Advance</t>
  </si>
  <si>
    <t>Udhar(Till Jube 2025)</t>
  </si>
  <si>
    <t>Paid in May</t>
  </si>
  <si>
    <t>Rajukaka Matala/Manojbhai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</si>
</sst>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₹&quot;\ * #,##0.00_ ;_ &quot;₹&quot;\ * \-#,##0.00_ ;_ &quot;₹&quot;\ * &quot;-&quot;??_ ;_ @_ "/>
    <numFmt numFmtId="164" formatCode="dd/mmm/yyyy"/>
    <numFmt numFmtId="165" formatCode="_ &quot;₹&quot;\ * #,##0_ ;_ &quot;₹&quot;\ * \-#,##0_ ;_ &quot;₹&quot;\ * &quot;-&quot;??_ ;_ @_ "/>
    <numFmt numFmtId="166" formatCode="mmmm/yyyy"/>
    <numFmt numFmtId="167" formatCode="mmm/yyyy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FF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44" fontId="4" fillId="0" borderId="0" applyFont="0" applyFill="0" applyBorder="0" applyAlignment="0" applyProtection="0"/>
  </cellStyleXfs>
  <cellXfs count="123">
    <xf numFmtId="0" fontId="0" fillId="0" borderId="0" xfId="0"/>
    <xf numFmtId="0" fontId="1" fillId="0" borderId="0" xfId="1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2" fontId="2" fillId="2" borderId="2" xfId="1" applyNumberFormat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164" fontId="2" fillId="2" borderId="0" xfId="1" applyNumberFormat="1" applyFont="1" applyFill="1" applyAlignment="1">
      <alignment horizontal="center" vertical="center"/>
    </xf>
    <xf numFmtId="164" fontId="1" fillId="0" borderId="4" xfId="1" applyNumberFormat="1" applyBorder="1" applyAlignment="1">
      <alignment horizontal="center" vertical="center"/>
    </xf>
    <xf numFmtId="165" fontId="1" fillId="0" borderId="4" xfId="2" applyNumberFormat="1" applyFont="1" applyBorder="1" applyAlignment="1">
      <alignment horizontal="center" vertical="center"/>
    </xf>
    <xf numFmtId="165" fontId="3" fillId="0" borderId="4" xfId="2" applyNumberFormat="1" applyFont="1" applyBorder="1" applyAlignment="1">
      <alignment horizontal="center" vertical="center"/>
    </xf>
    <xf numFmtId="165" fontId="0" fillId="0" borderId="0" xfId="0" applyNumberFormat="1"/>
    <xf numFmtId="0" fontId="1" fillId="3" borderId="4" xfId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165" fontId="1" fillId="3" borderId="4" xfId="2" applyNumberFormat="1" applyFont="1" applyFill="1" applyBorder="1" applyAlignment="1">
      <alignment horizontal="center" vertical="center"/>
    </xf>
    <xf numFmtId="164" fontId="1" fillId="3" borderId="4" xfId="1" applyNumberForma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5" fontId="0" fillId="0" borderId="8" xfId="2" applyNumberFormat="1" applyFont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165" fontId="5" fillId="4" borderId="10" xfId="2" applyNumberFormat="1" applyFont="1" applyFill="1" applyBorder="1"/>
    <xf numFmtId="0" fontId="5" fillId="5" borderId="7" xfId="0" applyFont="1" applyFill="1" applyBorder="1" applyAlignment="1">
      <alignment horizontal="center" vertical="center"/>
    </xf>
    <xf numFmtId="165" fontId="5" fillId="5" borderId="8" xfId="2" applyNumberFormat="1" applyFont="1" applyFill="1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7" borderId="1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5" fontId="0" fillId="0" borderId="4" xfId="2" applyNumberFormat="1" applyFont="1" applyBorder="1" applyAlignment="1">
      <alignment horizontal="center" vertical="center"/>
    </xf>
    <xf numFmtId="164" fontId="0" fillId="0" borderId="0" xfId="0" applyNumberFormat="1"/>
    <xf numFmtId="165" fontId="0" fillId="0" borderId="0" xfId="2" applyNumberFormat="1" applyFont="1"/>
    <xf numFmtId="0" fontId="0" fillId="0" borderId="4" xfId="0" applyBorder="1"/>
    <xf numFmtId="0" fontId="6" fillId="8" borderId="4" xfId="0" applyFont="1" applyFill="1" applyBorder="1"/>
    <xf numFmtId="165" fontId="6" fillId="8" borderId="4" xfId="0" applyNumberFormat="1" applyFont="1" applyFill="1" applyBorder="1"/>
    <xf numFmtId="0" fontId="0" fillId="0" borderId="4" xfId="0" applyBorder="1" applyAlignment="1">
      <alignment horizontal="left"/>
    </xf>
    <xf numFmtId="165" fontId="0" fillId="0" borderId="4" xfId="0" applyNumberFormat="1" applyBorder="1"/>
    <xf numFmtId="0" fontId="5" fillId="7" borderId="4" xfId="0" applyFont="1" applyFill="1" applyBorder="1" applyAlignment="1">
      <alignment horizontal="center" vertical="center"/>
    </xf>
    <xf numFmtId="165" fontId="0" fillId="0" borderId="4" xfId="2" applyNumberFormat="1" applyFont="1" applyBorder="1"/>
    <xf numFmtId="17" fontId="0" fillId="0" borderId="4" xfId="0" applyNumberFormat="1" applyBorder="1"/>
    <xf numFmtId="165" fontId="5" fillId="0" borderId="4" xfId="0" applyNumberFormat="1" applyFont="1" applyBorder="1"/>
    <xf numFmtId="165" fontId="0" fillId="10" borderId="4" xfId="2" applyNumberFormat="1" applyFont="1" applyFill="1" applyBorder="1" applyAlignment="1">
      <alignment horizontal="center" vertical="center"/>
    </xf>
    <xf numFmtId="0" fontId="0" fillId="10" borderId="4" xfId="0" applyFill="1" applyBorder="1"/>
    <xf numFmtId="0" fontId="5" fillId="7" borderId="7" xfId="0" applyFont="1" applyFill="1" applyBorder="1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wrapText="1"/>
    </xf>
    <xf numFmtId="165" fontId="0" fillId="0" borderId="8" xfId="0" applyNumberFormat="1" applyBorder="1"/>
    <xf numFmtId="165" fontId="0" fillId="10" borderId="15" xfId="2" applyNumberFormat="1" applyFont="1" applyFill="1" applyBorder="1" applyAlignment="1">
      <alignment horizontal="center" vertical="center"/>
    </xf>
    <xf numFmtId="0" fontId="0" fillId="10" borderId="15" xfId="0" applyFill="1" applyBorder="1"/>
    <xf numFmtId="165" fontId="0" fillId="0" borderId="10" xfId="0" applyNumberFormat="1" applyBorder="1"/>
    <xf numFmtId="0" fontId="5" fillId="10" borderId="4" xfId="0" applyFont="1" applyFill="1" applyBorder="1" applyAlignment="1">
      <alignment horizontal="left"/>
    </xf>
    <xf numFmtId="165" fontId="5" fillId="10" borderId="4" xfId="0" applyNumberFormat="1" applyFont="1" applyFill="1" applyBorder="1"/>
    <xf numFmtId="165" fontId="5" fillId="10" borderId="4" xfId="2" applyNumberFormat="1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/>
    </xf>
    <xf numFmtId="165" fontId="5" fillId="10" borderId="4" xfId="2" applyNumberFormat="1" applyFont="1" applyFill="1" applyBorder="1" applyAlignment="1"/>
    <xf numFmtId="0" fontId="5" fillId="10" borderId="4" xfId="0" applyFont="1" applyFill="1" applyBorder="1"/>
    <xf numFmtId="17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165" fontId="5" fillId="12" borderId="4" xfId="2" applyNumberFormat="1" applyFont="1" applyFill="1" applyBorder="1" applyAlignment="1">
      <alignment vertical="center"/>
    </xf>
    <xf numFmtId="17" fontId="0" fillId="0" borderId="5" xfId="0" applyNumberFormat="1" applyBorder="1" applyAlignment="1">
      <alignment horizontal="center" vertical="center"/>
    </xf>
    <xf numFmtId="165" fontId="0" fillId="0" borderId="14" xfId="2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7" fontId="0" fillId="0" borderId="7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11" borderId="9" xfId="0" applyFont="1" applyFill="1" applyBorder="1" applyAlignment="1">
      <alignment horizontal="center" vertical="center"/>
    </xf>
    <xf numFmtId="165" fontId="5" fillId="11" borderId="15" xfId="2" applyNumberFormat="1" applyFont="1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5" fillId="10" borderId="24" xfId="0" applyFont="1" applyFill="1" applyBorder="1" applyAlignment="1">
      <alignment horizontal="center" vertical="center"/>
    </xf>
    <xf numFmtId="165" fontId="5" fillId="10" borderId="24" xfId="2" applyNumberFormat="1" applyFont="1" applyFill="1" applyBorder="1" applyAlignment="1">
      <alignment horizontal="center" vertical="center"/>
    </xf>
    <xf numFmtId="0" fontId="5" fillId="10" borderId="24" xfId="0" applyFont="1" applyFill="1" applyBorder="1" applyAlignment="1">
      <alignment horizontal="center" vertical="center" wrapText="1"/>
    </xf>
    <xf numFmtId="3" fontId="0" fillId="0" borderId="0" xfId="0" applyNumberFormat="1"/>
    <xf numFmtId="0" fontId="5" fillId="14" borderId="9" xfId="0" applyFont="1" applyFill="1" applyBorder="1" applyAlignment="1">
      <alignment horizontal="center" vertical="center"/>
    </xf>
    <xf numFmtId="165" fontId="5" fillId="14" borderId="10" xfId="2" applyNumberFormat="1" applyFont="1" applyFill="1" applyBorder="1"/>
    <xf numFmtId="0" fontId="5" fillId="15" borderId="7" xfId="0" applyFont="1" applyFill="1" applyBorder="1" applyAlignment="1">
      <alignment horizontal="center" vertical="center"/>
    </xf>
    <xf numFmtId="165" fontId="5" fillId="15" borderId="8" xfId="2" applyNumberFormat="1" applyFont="1" applyFill="1" applyBorder="1" applyAlignment="1">
      <alignment horizontal="center" vertical="center"/>
    </xf>
    <xf numFmtId="0" fontId="5" fillId="16" borderId="9" xfId="0" applyFont="1" applyFill="1" applyBorder="1" applyAlignment="1">
      <alignment horizontal="center" vertical="center"/>
    </xf>
    <xf numFmtId="165" fontId="5" fillId="16" borderId="10" xfId="2" applyNumberFormat="1" applyFont="1" applyFill="1" applyBorder="1"/>
    <xf numFmtId="0" fontId="5" fillId="3" borderId="7" xfId="0" applyFont="1" applyFill="1" applyBorder="1" applyAlignment="1">
      <alignment horizontal="center" vertical="center"/>
    </xf>
    <xf numFmtId="165" fontId="5" fillId="3" borderId="8" xfId="2" applyNumberFormat="1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165" fontId="5" fillId="0" borderId="27" xfId="2" applyNumberFormat="1" applyFont="1" applyFill="1" applyBorder="1" applyAlignment="1">
      <alignment horizontal="center" vertical="center"/>
    </xf>
    <xf numFmtId="165" fontId="5" fillId="0" borderId="27" xfId="2" applyNumberFormat="1" applyFont="1" applyFill="1" applyBorder="1"/>
    <xf numFmtId="0" fontId="5" fillId="0" borderId="9" xfId="0" applyFont="1" applyBorder="1" applyAlignment="1">
      <alignment horizontal="center" vertical="center"/>
    </xf>
    <xf numFmtId="165" fontId="5" fillId="0" borderId="10" xfId="2" applyNumberFormat="1" applyFont="1" applyFill="1" applyBorder="1"/>
    <xf numFmtId="0" fontId="7" fillId="3" borderId="4" xfId="1" applyFont="1" applyFill="1" applyBorder="1" applyAlignment="1">
      <alignment horizontal="center" vertical="center"/>
    </xf>
    <xf numFmtId="0" fontId="1" fillId="17" borderId="4" xfId="1" applyFill="1" applyBorder="1" applyAlignment="1">
      <alignment horizontal="center" vertical="center"/>
    </xf>
    <xf numFmtId="0" fontId="3" fillId="17" borderId="4" xfId="1" applyFont="1" applyFill="1" applyBorder="1" applyAlignment="1">
      <alignment horizontal="center" vertical="center"/>
    </xf>
    <xf numFmtId="165" fontId="1" fillId="17" borderId="4" xfId="2" applyNumberFormat="1" applyFont="1" applyFill="1" applyBorder="1" applyAlignment="1">
      <alignment horizontal="center" vertical="center"/>
    </xf>
    <xf numFmtId="164" fontId="1" fillId="17" borderId="4" xfId="1" applyNumberFormat="1" applyFill="1" applyBorder="1" applyAlignment="1">
      <alignment horizontal="center" vertical="center"/>
    </xf>
    <xf numFmtId="0" fontId="7" fillId="17" borderId="4" xfId="1" applyFont="1" applyFill="1" applyBorder="1" applyAlignment="1">
      <alignment horizontal="center" vertical="center"/>
    </xf>
    <xf numFmtId="165" fontId="1" fillId="0" borderId="0" xfId="1" applyNumberFormat="1"/>
    <xf numFmtId="0" fontId="5" fillId="5" borderId="11" xfId="0" applyFont="1" applyFill="1" applyBorder="1" applyAlignment="1">
      <alignment horizontal="center"/>
    </xf>
    <xf numFmtId="0" fontId="5" fillId="5" borderId="12" xfId="0" applyFont="1" applyFill="1" applyBorder="1" applyAlignment="1">
      <alignment horizontal="center"/>
    </xf>
    <xf numFmtId="0" fontId="5" fillId="5" borderId="16" xfId="0" applyFont="1" applyFill="1" applyBorder="1" applyAlignment="1">
      <alignment horizontal="center"/>
    </xf>
    <xf numFmtId="0" fontId="5" fillId="5" borderId="17" xfId="0" applyFont="1" applyFill="1" applyBorder="1" applyAlignment="1">
      <alignment horizontal="center"/>
    </xf>
    <xf numFmtId="165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13" borderId="11" xfId="0" applyFont="1" applyFill="1" applyBorder="1" applyAlignment="1">
      <alignment horizontal="center"/>
    </xf>
    <xf numFmtId="0" fontId="5" fillId="13" borderId="25" xfId="0" applyFont="1" applyFill="1" applyBorder="1" applyAlignment="1">
      <alignment horizontal="center"/>
    </xf>
    <xf numFmtId="0" fontId="5" fillId="13" borderId="12" xfId="0" applyFont="1" applyFill="1" applyBorder="1" applyAlignment="1">
      <alignment horizontal="center"/>
    </xf>
    <xf numFmtId="165" fontId="0" fillId="0" borderId="6" xfId="0" applyNumberFormat="1" applyBorder="1" applyAlignment="1">
      <alignment horizontal="center" vertical="center"/>
    </xf>
    <xf numFmtId="165" fontId="0" fillId="0" borderId="4" xfId="2" applyNumberFormat="1" applyFont="1" applyBorder="1" applyAlignment="1">
      <alignment horizontal="center" vertical="center"/>
    </xf>
    <xf numFmtId="167" fontId="0" fillId="0" borderId="7" xfId="0" applyNumberFormat="1" applyBorder="1" applyAlignment="1">
      <alignment horizontal="center" vertical="center"/>
    </xf>
    <xf numFmtId="167" fontId="0" fillId="0" borderId="9" xfId="0" applyNumberFormat="1" applyBorder="1" applyAlignment="1">
      <alignment horizontal="center" vertical="center"/>
    </xf>
    <xf numFmtId="0" fontId="5" fillId="6" borderId="21" xfId="0" applyFont="1" applyFill="1" applyBorder="1" applyAlignment="1">
      <alignment horizontal="center"/>
    </xf>
    <xf numFmtId="0" fontId="5" fillId="6" borderId="22" xfId="0" applyFont="1" applyFill="1" applyBorder="1" applyAlignment="1">
      <alignment horizontal="center"/>
    </xf>
    <xf numFmtId="0" fontId="5" fillId="6" borderId="23" xfId="0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6" borderId="13" xfId="0" applyFont="1" applyFill="1" applyBorder="1" applyAlignment="1">
      <alignment horizontal="center"/>
    </xf>
    <xf numFmtId="0" fontId="5" fillId="10" borderId="4" xfId="0" applyFont="1" applyFill="1" applyBorder="1" applyAlignment="1">
      <alignment horizontal="center"/>
    </xf>
    <xf numFmtId="0" fontId="5" fillId="6" borderId="16" xfId="0" applyFont="1" applyFill="1" applyBorder="1" applyAlignment="1">
      <alignment horizontal="center"/>
    </xf>
    <xf numFmtId="0" fontId="5" fillId="6" borderId="17" xfId="0" applyFont="1" applyFill="1" applyBorder="1" applyAlignment="1">
      <alignment horizontal="center"/>
    </xf>
    <xf numFmtId="0" fontId="0" fillId="10" borderId="18" xfId="0" applyFill="1" applyBorder="1" applyAlignment="1">
      <alignment horizontal="center"/>
    </xf>
    <xf numFmtId="0" fontId="0" fillId="10" borderId="19" xfId="0" applyFill="1" applyBorder="1" applyAlignment="1">
      <alignment horizontal="center"/>
    </xf>
    <xf numFmtId="0" fontId="0" fillId="10" borderId="20" xfId="0" applyFill="1" applyBorder="1" applyAlignment="1">
      <alignment horizontal="center"/>
    </xf>
    <xf numFmtId="0" fontId="5" fillId="12" borderId="4" xfId="0" applyFont="1" applyFill="1" applyBorder="1" applyAlignment="1">
      <alignment horizontal="center" vertical="center"/>
    </xf>
    <xf numFmtId="0" fontId="5" fillId="11" borderId="4" xfId="0" applyFont="1" applyFill="1" applyBorder="1" applyAlignment="1">
      <alignment horizontal="center"/>
    </xf>
    <xf numFmtId="165" fontId="5" fillId="12" borderId="4" xfId="2" applyNumberFormat="1" applyFont="1" applyFill="1" applyBorder="1" applyAlignment="1">
      <alignment horizontal="center" vertical="center"/>
    </xf>
  </cellXfs>
  <cellStyles count="3">
    <cellStyle name="Currency" xfId="2" builtinId="4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0"/>
  <sheetViews>
    <sheetView workbookViewId="0">
      <selection sqref="A1:F19"/>
    </sheetView>
  </sheetViews>
  <sheetFormatPr defaultColWidth="16.54296875" defaultRowHeight="14.5" x14ac:dyDescent="0.35"/>
  <cols>
    <col min="1" max="1" width="5.08984375" bestFit="1" customWidth="1"/>
    <col min="2" max="2" width="11.90625" bestFit="1" customWidth="1"/>
    <col min="3" max="3" width="10.6328125" bestFit="1" customWidth="1"/>
    <col min="4" max="4" width="13.36328125" bestFit="1" customWidth="1"/>
    <col min="5" max="5" width="14.81640625" bestFit="1" customWidth="1"/>
    <col min="7" max="7" width="8" bestFit="1" customWidth="1"/>
    <col min="8" max="8" width="10.1796875" bestFit="1" customWidth="1"/>
    <col min="9" max="9" width="9" bestFit="1" customWidth="1"/>
    <col min="10" max="10" width="13.08984375" bestFit="1" customWidth="1"/>
    <col min="11" max="11" width="11.26953125" bestFit="1" customWidth="1"/>
    <col min="12" max="12" width="15.08984375" bestFit="1" customWidth="1"/>
    <col min="13" max="13" width="12.08984375" bestFit="1" customWidth="1"/>
  </cols>
  <sheetData>
    <row r="1" spans="1:14" s="1" customFormat="1" ht="13" x14ac:dyDescent="0.25">
      <c r="A1" s="2" t="s">
        <v>0</v>
      </c>
      <c r="B1" s="3" t="s">
        <v>1</v>
      </c>
      <c r="C1" s="3" t="s">
        <v>25</v>
      </c>
      <c r="D1" s="3" t="s">
        <v>2</v>
      </c>
      <c r="E1" s="3" t="s">
        <v>27</v>
      </c>
      <c r="F1" s="3" t="s">
        <v>198</v>
      </c>
      <c r="G1" s="4" t="s">
        <v>3</v>
      </c>
      <c r="H1" s="3" t="s">
        <v>4</v>
      </c>
      <c r="I1" s="5" t="s">
        <v>5</v>
      </c>
      <c r="J1" s="6" t="s">
        <v>6</v>
      </c>
      <c r="K1" s="9" t="s">
        <v>7</v>
      </c>
      <c r="L1" s="3" t="s">
        <v>28</v>
      </c>
      <c r="M1" s="3" t="s">
        <v>26</v>
      </c>
    </row>
    <row r="2" spans="1:14" s="1" customFormat="1" ht="12.5" x14ac:dyDescent="0.25">
      <c r="A2" s="7">
        <v>1</v>
      </c>
      <c r="B2" s="14" t="s">
        <v>8</v>
      </c>
      <c r="C2" s="15" t="s">
        <v>9</v>
      </c>
      <c r="D2" s="88">
        <v>893639188</v>
      </c>
      <c r="E2" s="16">
        <v>28602</v>
      </c>
      <c r="F2" s="16">
        <v>28360</v>
      </c>
      <c r="G2" s="16">
        <v>1021</v>
      </c>
      <c r="H2" s="15" t="s">
        <v>10</v>
      </c>
      <c r="I2" s="16">
        <v>12252</v>
      </c>
      <c r="J2" s="15" t="s">
        <v>11</v>
      </c>
      <c r="K2" s="17">
        <v>39780</v>
      </c>
      <c r="L2" s="16"/>
      <c r="M2" s="15" t="s">
        <v>31</v>
      </c>
    </row>
    <row r="3" spans="1:14" s="1" customFormat="1" ht="12.5" x14ac:dyDescent="0.25">
      <c r="A3" s="7">
        <v>2</v>
      </c>
      <c r="B3" s="14" t="s">
        <v>8</v>
      </c>
      <c r="C3" s="15" t="s">
        <v>9</v>
      </c>
      <c r="D3" s="14">
        <v>894323482</v>
      </c>
      <c r="E3" s="16">
        <v>96345</v>
      </c>
      <c r="F3" s="16">
        <v>96789</v>
      </c>
      <c r="G3" s="16">
        <v>1021</v>
      </c>
      <c r="H3" s="15" t="s">
        <v>10</v>
      </c>
      <c r="I3" s="16">
        <v>12252</v>
      </c>
      <c r="J3" s="15" t="s">
        <v>11</v>
      </c>
      <c r="K3" s="17">
        <v>40371</v>
      </c>
      <c r="L3" s="16"/>
      <c r="M3" s="15" t="s">
        <v>31</v>
      </c>
    </row>
    <row r="4" spans="1:14" s="1" customFormat="1" ht="12.5" x14ac:dyDescent="0.25">
      <c r="A4" s="7">
        <v>3</v>
      </c>
      <c r="B4" s="14" t="s">
        <v>8</v>
      </c>
      <c r="C4" s="15" t="s">
        <v>9</v>
      </c>
      <c r="D4" s="14">
        <v>895072965</v>
      </c>
      <c r="E4" s="16">
        <v>79765</v>
      </c>
      <c r="F4" s="16">
        <v>80576</v>
      </c>
      <c r="G4" s="16">
        <v>2048</v>
      </c>
      <c r="H4" s="15" t="s">
        <v>10</v>
      </c>
      <c r="I4" s="16">
        <v>24576</v>
      </c>
      <c r="J4" s="15" t="s">
        <v>11</v>
      </c>
      <c r="K4" s="17">
        <v>41179</v>
      </c>
      <c r="L4" s="16"/>
      <c r="M4" s="15" t="s">
        <v>31</v>
      </c>
    </row>
    <row r="5" spans="1:14" s="1" customFormat="1" ht="12.5" x14ac:dyDescent="0.25">
      <c r="A5" s="7">
        <v>4</v>
      </c>
      <c r="B5" s="14" t="s">
        <v>8</v>
      </c>
      <c r="C5" s="15" t="s">
        <v>9</v>
      </c>
      <c r="D5" s="88">
        <v>894729414</v>
      </c>
      <c r="E5" s="16">
        <v>248390</v>
      </c>
      <c r="F5" s="16">
        <v>248513</v>
      </c>
      <c r="G5" s="16">
        <v>6125</v>
      </c>
      <c r="H5" s="15" t="s">
        <v>13</v>
      </c>
      <c r="I5" s="16">
        <v>24500</v>
      </c>
      <c r="J5" s="15" t="s">
        <v>11</v>
      </c>
      <c r="K5" s="17">
        <v>40872</v>
      </c>
      <c r="L5" s="16"/>
      <c r="M5" s="15" t="s">
        <v>30</v>
      </c>
    </row>
    <row r="6" spans="1:14" s="1" customFormat="1" ht="12.5" x14ac:dyDescent="0.25">
      <c r="A6" s="7">
        <v>5</v>
      </c>
      <c r="B6" s="14" t="s">
        <v>8</v>
      </c>
      <c r="C6" s="15" t="s">
        <v>14</v>
      </c>
      <c r="D6" s="88">
        <v>894729405</v>
      </c>
      <c r="E6" s="16">
        <v>116956</v>
      </c>
      <c r="F6" s="16">
        <v>117022</v>
      </c>
      <c r="G6" s="16">
        <v>3062</v>
      </c>
      <c r="H6" s="15" t="s">
        <v>13</v>
      </c>
      <c r="I6" s="16">
        <v>12248</v>
      </c>
      <c r="J6" s="15" t="s">
        <v>11</v>
      </c>
      <c r="K6" s="17">
        <v>40872</v>
      </c>
      <c r="L6" s="16">
        <v>35641</v>
      </c>
      <c r="M6" s="15" t="s">
        <v>30</v>
      </c>
    </row>
    <row r="7" spans="1:14" s="1" customFormat="1" ht="12.5" x14ac:dyDescent="0.25">
      <c r="A7" s="7">
        <v>6</v>
      </c>
      <c r="B7" s="7" t="s">
        <v>8</v>
      </c>
      <c r="C7" s="90" t="s">
        <v>15</v>
      </c>
      <c r="D7" s="89">
        <v>894729484</v>
      </c>
      <c r="E7" s="91">
        <v>46064</v>
      </c>
      <c r="F7" s="91">
        <v>46112</v>
      </c>
      <c r="G7" s="91">
        <v>1531</v>
      </c>
      <c r="H7" s="90" t="s">
        <v>13</v>
      </c>
      <c r="I7" s="91">
        <v>6124</v>
      </c>
      <c r="J7" s="90" t="s">
        <v>11</v>
      </c>
      <c r="K7" s="92">
        <v>40875</v>
      </c>
      <c r="L7" s="91">
        <v>24157</v>
      </c>
      <c r="M7" s="90" t="s">
        <v>30</v>
      </c>
    </row>
    <row r="8" spans="1:14" s="1" customFormat="1" ht="12.5" x14ac:dyDescent="0.25">
      <c r="A8" s="7">
        <v>7</v>
      </c>
      <c r="B8" s="7" t="s">
        <v>8</v>
      </c>
      <c r="C8" s="90" t="s">
        <v>15</v>
      </c>
      <c r="D8" s="89">
        <v>894729486</v>
      </c>
      <c r="E8" s="91">
        <v>46089</v>
      </c>
      <c r="F8" s="91">
        <v>46112</v>
      </c>
      <c r="G8" s="91">
        <v>1531</v>
      </c>
      <c r="H8" s="90" t="s">
        <v>13</v>
      </c>
      <c r="I8" s="91">
        <v>6124</v>
      </c>
      <c r="J8" s="90" t="s">
        <v>11</v>
      </c>
      <c r="K8" s="92">
        <v>40875</v>
      </c>
      <c r="L8" s="91">
        <v>24157</v>
      </c>
      <c r="M8" s="90" t="s">
        <v>30</v>
      </c>
    </row>
    <row r="9" spans="1:14" s="1" customFormat="1" ht="12.5" x14ac:dyDescent="0.25">
      <c r="A9" s="7">
        <v>8</v>
      </c>
      <c r="B9" s="7" t="s">
        <v>8</v>
      </c>
      <c r="C9" s="90" t="s">
        <v>15</v>
      </c>
      <c r="D9" s="89">
        <v>894729488</v>
      </c>
      <c r="E9" s="91">
        <v>46064</v>
      </c>
      <c r="F9" s="91">
        <v>46112</v>
      </c>
      <c r="G9" s="91">
        <v>1531</v>
      </c>
      <c r="H9" s="90" t="s">
        <v>13</v>
      </c>
      <c r="I9" s="91">
        <v>6124</v>
      </c>
      <c r="J9" s="90" t="s">
        <v>11</v>
      </c>
      <c r="K9" s="92">
        <v>40875</v>
      </c>
      <c r="L9" s="91">
        <v>24157</v>
      </c>
      <c r="M9" s="90" t="s">
        <v>30</v>
      </c>
    </row>
    <row r="10" spans="1:14" s="1" customFormat="1" ht="12.5" x14ac:dyDescent="0.25">
      <c r="A10" s="7">
        <v>9</v>
      </c>
      <c r="B10" s="89" t="s">
        <v>8</v>
      </c>
      <c r="C10" s="90" t="s">
        <v>15</v>
      </c>
      <c r="D10" s="89">
        <v>894729490</v>
      </c>
      <c r="E10" s="91">
        <v>46064</v>
      </c>
      <c r="F10" s="91">
        <v>46112</v>
      </c>
      <c r="G10" s="91">
        <v>1531</v>
      </c>
      <c r="H10" s="90" t="s">
        <v>13</v>
      </c>
      <c r="I10" s="91">
        <v>6124</v>
      </c>
      <c r="J10" s="90" t="s">
        <v>11</v>
      </c>
      <c r="K10" s="92">
        <v>40875</v>
      </c>
      <c r="L10" s="91">
        <v>24157</v>
      </c>
      <c r="M10" s="90" t="s">
        <v>30</v>
      </c>
    </row>
    <row r="11" spans="1:14" s="1" customFormat="1" ht="12.5" x14ac:dyDescent="0.25">
      <c r="A11" s="7">
        <v>10</v>
      </c>
      <c r="B11" s="7" t="s">
        <v>8</v>
      </c>
      <c r="C11" s="8" t="s">
        <v>16</v>
      </c>
      <c r="D11" s="7">
        <v>923203867</v>
      </c>
      <c r="E11" s="11">
        <v>765088</v>
      </c>
      <c r="F11" s="11">
        <v>282635</v>
      </c>
      <c r="G11" s="11">
        <v>6525</v>
      </c>
      <c r="H11" s="8" t="s">
        <v>13</v>
      </c>
      <c r="I11" s="11">
        <v>26100</v>
      </c>
      <c r="J11" s="8" t="s">
        <v>17</v>
      </c>
      <c r="K11" s="10">
        <v>38439</v>
      </c>
      <c r="L11" s="11">
        <v>111440</v>
      </c>
      <c r="M11" s="8" t="s">
        <v>30</v>
      </c>
      <c r="N11" s="94"/>
    </row>
    <row r="12" spans="1:14" s="1" customFormat="1" ht="12.5" x14ac:dyDescent="0.25">
      <c r="A12" s="7">
        <v>11</v>
      </c>
      <c r="B12" s="7" t="s">
        <v>8</v>
      </c>
      <c r="C12" s="8" t="s">
        <v>18</v>
      </c>
      <c r="D12" s="7">
        <v>894730191</v>
      </c>
      <c r="E12" s="11">
        <v>446822</v>
      </c>
      <c r="F12" s="11">
        <v>448600</v>
      </c>
      <c r="G12" s="11">
        <v>6125</v>
      </c>
      <c r="H12" s="8" t="s">
        <v>13</v>
      </c>
      <c r="I12" s="11">
        <v>24500</v>
      </c>
      <c r="J12" s="8" t="s">
        <v>11</v>
      </c>
      <c r="K12" s="10">
        <v>40885</v>
      </c>
      <c r="L12" s="11">
        <v>70694</v>
      </c>
      <c r="M12" s="8" t="s">
        <v>30</v>
      </c>
    </row>
    <row r="13" spans="1:14" s="1" customFormat="1" ht="12.75" customHeight="1" x14ac:dyDescent="0.25">
      <c r="A13" s="7">
        <v>12</v>
      </c>
      <c r="B13" s="7" t="s">
        <v>8</v>
      </c>
      <c r="C13" s="8" t="s">
        <v>19</v>
      </c>
      <c r="D13" s="7">
        <v>894729411</v>
      </c>
      <c r="E13" s="11">
        <v>69496</v>
      </c>
      <c r="F13" s="11">
        <v>69496</v>
      </c>
      <c r="G13" s="11">
        <v>1674</v>
      </c>
      <c r="H13" s="7" t="s">
        <v>13</v>
      </c>
      <c r="I13" s="11">
        <v>6696</v>
      </c>
      <c r="J13" s="8" t="s">
        <v>20</v>
      </c>
      <c r="K13" s="10">
        <v>40872</v>
      </c>
      <c r="L13" s="11">
        <v>19485</v>
      </c>
      <c r="M13" s="8" t="s">
        <v>30</v>
      </c>
      <c r="N13" s="94"/>
    </row>
    <row r="14" spans="1:14" s="1" customFormat="1" ht="15" customHeight="1" x14ac:dyDescent="0.25">
      <c r="A14" s="7">
        <v>13</v>
      </c>
      <c r="B14" s="7" t="s">
        <v>8</v>
      </c>
      <c r="C14" s="8" t="s">
        <v>21</v>
      </c>
      <c r="D14" s="7">
        <v>894729407</v>
      </c>
      <c r="E14" s="11">
        <v>97867</v>
      </c>
      <c r="F14" s="11">
        <v>97867</v>
      </c>
      <c r="G14" s="11">
        <v>2648</v>
      </c>
      <c r="H14" s="7" t="s">
        <v>13</v>
      </c>
      <c r="I14" s="11">
        <v>10592</v>
      </c>
      <c r="J14" s="8" t="s">
        <v>20</v>
      </c>
      <c r="K14" s="10">
        <v>40872</v>
      </c>
      <c r="L14" s="11">
        <v>41781</v>
      </c>
      <c r="M14" s="8" t="s">
        <v>30</v>
      </c>
    </row>
    <row r="15" spans="1:14" s="1" customFormat="1" ht="15" customHeight="1" x14ac:dyDescent="0.25">
      <c r="A15" s="7">
        <v>14</v>
      </c>
      <c r="B15" s="7" t="s">
        <v>8</v>
      </c>
      <c r="C15" s="8" t="s">
        <v>22</v>
      </c>
      <c r="D15" s="7">
        <v>894729427</v>
      </c>
      <c r="E15" s="11">
        <v>97867</v>
      </c>
      <c r="F15" s="11">
        <v>97867</v>
      </c>
      <c r="G15" s="11">
        <v>2648</v>
      </c>
      <c r="H15" s="7" t="s">
        <v>13</v>
      </c>
      <c r="I15" s="11">
        <v>10592</v>
      </c>
      <c r="J15" s="8" t="s">
        <v>20</v>
      </c>
      <c r="K15" s="10">
        <v>40872</v>
      </c>
      <c r="L15" s="11">
        <v>41781</v>
      </c>
      <c r="M15" s="8" t="s">
        <v>30</v>
      </c>
    </row>
    <row r="16" spans="1:14" s="1" customFormat="1" ht="15" customHeight="1" x14ac:dyDescent="0.25">
      <c r="A16" s="7">
        <v>15</v>
      </c>
      <c r="B16" s="7" t="s">
        <v>8</v>
      </c>
      <c r="C16" s="8" t="s">
        <v>15</v>
      </c>
      <c r="D16" s="7">
        <v>904522338</v>
      </c>
      <c r="E16" s="12">
        <v>0</v>
      </c>
      <c r="F16" s="12"/>
      <c r="G16" s="11">
        <v>6250</v>
      </c>
      <c r="H16" s="8" t="s">
        <v>12</v>
      </c>
      <c r="I16" s="11">
        <v>6250</v>
      </c>
      <c r="J16" s="8" t="s">
        <v>23</v>
      </c>
      <c r="K16" s="10">
        <v>36965</v>
      </c>
      <c r="L16" s="11"/>
      <c r="M16" s="8" t="s">
        <v>29</v>
      </c>
    </row>
    <row r="17" spans="1:14" s="1" customFormat="1" ht="15" customHeight="1" x14ac:dyDescent="0.25">
      <c r="A17" s="7">
        <v>16</v>
      </c>
      <c r="B17" s="89" t="s">
        <v>8</v>
      </c>
      <c r="C17" s="90" t="s">
        <v>18</v>
      </c>
      <c r="D17" s="93">
        <v>893623338</v>
      </c>
      <c r="E17" s="91">
        <v>11298</v>
      </c>
      <c r="F17" s="91">
        <v>10825</v>
      </c>
      <c r="G17" s="91">
        <v>5209</v>
      </c>
      <c r="H17" s="90" t="s">
        <v>12</v>
      </c>
      <c r="I17" s="91">
        <v>5209</v>
      </c>
      <c r="J17" s="90" t="s">
        <v>24</v>
      </c>
      <c r="K17" s="92">
        <v>37222</v>
      </c>
      <c r="L17" s="91"/>
      <c r="M17" s="90" t="s">
        <v>30</v>
      </c>
    </row>
    <row r="18" spans="1:14" s="1" customFormat="1" ht="15" customHeight="1" x14ac:dyDescent="0.25">
      <c r="A18" s="7">
        <v>16</v>
      </c>
      <c r="B18" s="7" t="s">
        <v>8</v>
      </c>
      <c r="C18" s="8" t="s">
        <v>18</v>
      </c>
      <c r="D18" s="7">
        <v>894326829</v>
      </c>
      <c r="E18" s="11">
        <v>11298</v>
      </c>
      <c r="F18" s="11"/>
      <c r="G18" s="11">
        <v>1034</v>
      </c>
      <c r="H18" s="8" t="s">
        <v>10</v>
      </c>
      <c r="I18" s="11">
        <f>G18*12</f>
        <v>12408</v>
      </c>
      <c r="J18" s="8" t="s">
        <v>24</v>
      </c>
      <c r="K18" s="10">
        <v>37222</v>
      </c>
      <c r="L18" s="11"/>
      <c r="M18" s="8" t="s">
        <v>30</v>
      </c>
      <c r="N18" s="11"/>
    </row>
    <row r="19" spans="1:14" x14ac:dyDescent="0.35">
      <c r="E19" s="13">
        <f>SUM(E2:E18)</f>
        <v>2254075</v>
      </c>
      <c r="F19" s="13">
        <f>SUM(F2:F18)</f>
        <v>1762998</v>
      </c>
      <c r="L19" s="13">
        <f>SUM(L2:L18)</f>
        <v>417450</v>
      </c>
      <c r="N19" s="13"/>
    </row>
    <row r="20" spans="1:14" x14ac:dyDescent="0.35">
      <c r="F20" s="13"/>
    </row>
  </sheetData>
  <pageMargins left="0.7" right="0.7" top="0.75" bottom="0.75" header="0.3" footer="0.3"/>
  <pageSetup scale="5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P30"/>
  <sheetViews>
    <sheetView workbookViewId="0">
      <selection activeCell="A15" sqref="A15"/>
    </sheetView>
  </sheetViews>
  <sheetFormatPr defaultRowHeight="14.5" x14ac:dyDescent="0.35"/>
  <cols>
    <col min="1" max="1" width="23" bestFit="1" customWidth="1"/>
    <col min="2" max="2" width="11.1796875" customWidth="1"/>
    <col min="3" max="3" width="4.26953125" customWidth="1"/>
    <col min="4" max="4" width="23" customWidth="1"/>
    <col min="5" max="5" width="11.26953125" bestFit="1" customWidth="1"/>
    <col min="7" max="7" width="10.81640625" bestFit="1" customWidth="1"/>
    <col min="8" max="8" width="11.26953125" bestFit="1" customWidth="1"/>
    <col min="10" max="10" width="20.36328125" bestFit="1" customWidth="1"/>
    <col min="11" max="11" width="12.6328125" bestFit="1" customWidth="1"/>
    <col min="12" max="12" width="30.7265625" bestFit="1" customWidth="1"/>
    <col min="13" max="13" width="10.7265625" bestFit="1" customWidth="1"/>
    <col min="14" max="14" width="27.26953125" bestFit="1" customWidth="1"/>
    <col min="15" max="15" width="11.26953125" bestFit="1" customWidth="1"/>
    <col min="16" max="16" width="30.7265625" bestFit="1" customWidth="1"/>
  </cols>
  <sheetData>
    <row r="2" spans="1:16" ht="15" thickBot="1" x14ac:dyDescent="0.4"/>
    <row r="3" spans="1:16" ht="15" thickBot="1" x14ac:dyDescent="0.4">
      <c r="A3" s="95" t="s">
        <v>47</v>
      </c>
      <c r="B3" s="96"/>
      <c r="D3" s="95" t="s">
        <v>48</v>
      </c>
      <c r="E3" s="96"/>
      <c r="G3" s="95" t="s">
        <v>64</v>
      </c>
      <c r="H3" s="96"/>
      <c r="J3" s="97" t="s">
        <v>190</v>
      </c>
      <c r="K3" s="98"/>
      <c r="L3" s="98"/>
      <c r="N3" s="97" t="s">
        <v>199</v>
      </c>
      <c r="O3" s="98"/>
      <c r="P3" s="98"/>
    </row>
    <row r="4" spans="1:16" x14ac:dyDescent="0.35">
      <c r="A4" s="18" t="s">
        <v>45</v>
      </c>
      <c r="B4" s="19" t="s">
        <v>46</v>
      </c>
      <c r="D4" s="18" t="s">
        <v>45</v>
      </c>
      <c r="E4" s="19" t="s">
        <v>46</v>
      </c>
      <c r="G4" s="26">
        <v>45717</v>
      </c>
      <c r="H4" s="21">
        <v>233639</v>
      </c>
      <c r="J4" s="18" t="s">
        <v>45</v>
      </c>
      <c r="K4" s="19" t="s">
        <v>46</v>
      </c>
      <c r="L4" s="18" t="s">
        <v>182</v>
      </c>
      <c r="N4" s="18" t="s">
        <v>45</v>
      </c>
      <c r="O4" s="19" t="s">
        <v>46</v>
      </c>
      <c r="P4" s="18" t="s">
        <v>182</v>
      </c>
    </row>
    <row r="5" spans="1:16" ht="15" thickBot="1" x14ac:dyDescent="0.4">
      <c r="A5" s="20" t="s">
        <v>32</v>
      </c>
      <c r="B5" s="21">
        <v>15000</v>
      </c>
      <c r="D5" s="20" t="s">
        <v>49</v>
      </c>
      <c r="E5" s="21">
        <v>27000</v>
      </c>
      <c r="G5" s="26">
        <v>45748</v>
      </c>
      <c r="H5" s="21">
        <v>798906</v>
      </c>
      <c r="J5" s="20" t="s">
        <v>49</v>
      </c>
      <c r="K5" s="21">
        <v>27000</v>
      </c>
      <c r="L5" s="20" t="s">
        <v>183</v>
      </c>
      <c r="N5" s="20" t="s">
        <v>60</v>
      </c>
      <c r="O5" s="21">
        <v>30000</v>
      </c>
      <c r="P5" s="20" t="s">
        <v>185</v>
      </c>
    </row>
    <row r="6" spans="1:16" x14ac:dyDescent="0.35">
      <c r="A6" s="20" t="s">
        <v>33</v>
      </c>
      <c r="B6" s="21">
        <v>3000</v>
      </c>
      <c r="D6" s="20" t="s">
        <v>50</v>
      </c>
      <c r="E6" s="21">
        <v>30000</v>
      </c>
      <c r="G6" s="26">
        <v>45778</v>
      </c>
      <c r="H6" s="21">
        <v>791998</v>
      </c>
      <c r="J6" s="20" t="s">
        <v>50</v>
      </c>
      <c r="K6" s="21">
        <v>30000</v>
      </c>
      <c r="L6" s="20" t="s">
        <v>183</v>
      </c>
      <c r="N6" s="63" t="s">
        <v>162</v>
      </c>
      <c r="O6" s="62">
        <v>25000</v>
      </c>
      <c r="P6" s="20" t="s">
        <v>185</v>
      </c>
    </row>
    <row r="7" spans="1:16" x14ac:dyDescent="0.35">
      <c r="A7" s="20" t="s">
        <v>34</v>
      </c>
      <c r="B7" s="21">
        <v>3000</v>
      </c>
      <c r="D7" s="20" t="s">
        <v>51</v>
      </c>
      <c r="E7" s="21">
        <v>25000</v>
      </c>
      <c r="G7" s="24" t="s">
        <v>5</v>
      </c>
      <c r="H7" s="25">
        <f>SUM(H4:H6)</f>
        <v>1824543</v>
      </c>
      <c r="J7" s="20" t="s">
        <v>51</v>
      </c>
      <c r="K7" s="21">
        <v>25000</v>
      </c>
      <c r="L7" s="20" t="s">
        <v>183</v>
      </c>
      <c r="N7" s="29" t="s">
        <v>163</v>
      </c>
      <c r="O7" s="31">
        <v>120000</v>
      </c>
      <c r="P7" s="20" t="s">
        <v>185</v>
      </c>
    </row>
    <row r="8" spans="1:16" ht="15" thickBot="1" x14ac:dyDescent="0.4">
      <c r="A8" s="20" t="s">
        <v>35</v>
      </c>
      <c r="B8" s="21">
        <v>10000</v>
      </c>
      <c r="D8" s="20" t="s">
        <v>52</v>
      </c>
      <c r="E8" s="21">
        <v>25000</v>
      </c>
      <c r="G8" s="22" t="s">
        <v>65</v>
      </c>
      <c r="H8" s="23">
        <f>H7-E21</f>
        <v>857043</v>
      </c>
      <c r="J8" s="20" t="s">
        <v>63</v>
      </c>
      <c r="K8" s="21">
        <v>10000</v>
      </c>
      <c r="L8" s="20" t="s">
        <v>183</v>
      </c>
      <c r="N8" s="29" t="s">
        <v>171</v>
      </c>
      <c r="O8" s="31">
        <v>40000</v>
      </c>
      <c r="P8" s="20" t="s">
        <v>185</v>
      </c>
    </row>
    <row r="9" spans="1:16" x14ac:dyDescent="0.35">
      <c r="A9" s="20" t="s">
        <v>36</v>
      </c>
      <c r="B9" s="21">
        <v>6000</v>
      </c>
      <c r="D9" s="20" t="s">
        <v>53</v>
      </c>
      <c r="E9" s="21">
        <v>25000</v>
      </c>
      <c r="J9" s="20" t="s">
        <v>55</v>
      </c>
      <c r="K9" s="21">
        <v>251000</v>
      </c>
      <c r="L9" s="20" t="s">
        <v>184</v>
      </c>
      <c r="N9" s="24" t="s">
        <v>5</v>
      </c>
      <c r="O9" s="25">
        <f>SUM(O5:O8)</f>
        <v>215000</v>
      </c>
      <c r="P9" s="24" t="s">
        <v>200</v>
      </c>
    </row>
    <row r="10" spans="1:16" x14ac:dyDescent="0.35">
      <c r="A10" s="20" t="s">
        <v>37</v>
      </c>
      <c r="B10" s="21">
        <v>500</v>
      </c>
      <c r="D10" s="20" t="s">
        <v>63</v>
      </c>
      <c r="E10" s="21">
        <v>10000</v>
      </c>
      <c r="J10" s="20" t="s">
        <v>56</v>
      </c>
      <c r="K10" s="21">
        <v>60000</v>
      </c>
      <c r="L10" s="20" t="s">
        <v>183</v>
      </c>
      <c r="N10" s="20" t="s">
        <v>186</v>
      </c>
      <c r="O10" s="21">
        <v>69000</v>
      </c>
      <c r="P10" s="20" t="s">
        <v>188</v>
      </c>
    </row>
    <row r="11" spans="1:16" x14ac:dyDescent="0.35">
      <c r="A11" s="20" t="s">
        <v>38</v>
      </c>
      <c r="B11" s="21">
        <v>500</v>
      </c>
      <c r="D11" s="20" t="s">
        <v>54</v>
      </c>
      <c r="E11" s="21">
        <v>5000</v>
      </c>
      <c r="J11" s="20" t="s">
        <v>54</v>
      </c>
      <c r="K11" s="21">
        <v>3500</v>
      </c>
      <c r="L11" s="20" t="s">
        <v>183</v>
      </c>
      <c r="N11" s="20" t="s">
        <v>187</v>
      </c>
      <c r="O11" s="21">
        <f>824543</f>
        <v>824543</v>
      </c>
      <c r="P11" s="20" t="s">
        <v>188</v>
      </c>
    </row>
    <row r="12" spans="1:16" x14ac:dyDescent="0.35">
      <c r="A12" s="20" t="s">
        <v>39</v>
      </c>
      <c r="B12" s="21">
        <v>2500</v>
      </c>
      <c r="D12" s="24" t="s">
        <v>5</v>
      </c>
      <c r="E12" s="25">
        <f>SUM(E5:E11)</f>
        <v>147000</v>
      </c>
      <c r="H12" s="74"/>
      <c r="J12" s="20" t="s">
        <v>57</v>
      </c>
      <c r="K12" s="21">
        <v>150000</v>
      </c>
      <c r="L12" s="20" t="s">
        <v>183</v>
      </c>
      <c r="N12" s="20" t="s">
        <v>203</v>
      </c>
      <c r="O12" s="21">
        <v>40000</v>
      </c>
      <c r="P12" s="20" t="s">
        <v>188</v>
      </c>
    </row>
    <row r="13" spans="1:16" ht="15" thickBot="1" x14ac:dyDescent="0.4">
      <c r="A13" s="20" t="s">
        <v>40</v>
      </c>
      <c r="B13" s="21">
        <v>1000</v>
      </c>
      <c r="D13" s="20" t="s">
        <v>55</v>
      </c>
      <c r="E13" s="21">
        <v>251000</v>
      </c>
      <c r="J13" s="20" t="s">
        <v>58</v>
      </c>
      <c r="K13" s="21">
        <v>200000</v>
      </c>
      <c r="L13" s="20" t="s">
        <v>183</v>
      </c>
      <c r="N13" s="22" t="s">
        <v>201</v>
      </c>
      <c r="O13" s="23">
        <f>SUM(O10:O12)</f>
        <v>933543</v>
      </c>
      <c r="P13" s="22" t="s">
        <v>202</v>
      </c>
    </row>
    <row r="14" spans="1:16" ht="15" thickBot="1" x14ac:dyDescent="0.4">
      <c r="A14" s="20" t="s">
        <v>41</v>
      </c>
      <c r="B14" s="21">
        <v>1500</v>
      </c>
      <c r="D14" s="20" t="s">
        <v>56</v>
      </c>
      <c r="E14" s="21">
        <v>60000</v>
      </c>
      <c r="J14" s="20" t="s">
        <v>59</v>
      </c>
      <c r="K14" s="21">
        <v>100000</v>
      </c>
      <c r="L14" s="20" t="s">
        <v>183</v>
      </c>
      <c r="M14" s="13"/>
      <c r="N14" s="86"/>
      <c r="O14" s="87"/>
      <c r="P14" s="86"/>
    </row>
    <row r="15" spans="1:16" ht="15" thickBot="1" x14ac:dyDescent="0.4">
      <c r="A15" s="20" t="s">
        <v>42</v>
      </c>
      <c r="B15" s="21">
        <v>12000</v>
      </c>
      <c r="D15" s="20" t="s">
        <v>57</v>
      </c>
      <c r="E15" s="21">
        <v>150000</v>
      </c>
      <c r="J15" s="20" t="s">
        <v>52</v>
      </c>
      <c r="K15" s="21">
        <v>25000</v>
      </c>
      <c r="L15" s="20" t="s">
        <v>183</v>
      </c>
      <c r="M15" s="13"/>
      <c r="N15" s="75" t="s">
        <v>62</v>
      </c>
      <c r="O15" s="76">
        <f>O13-O9</f>
        <v>718543</v>
      </c>
      <c r="P15" s="75" t="s">
        <v>204</v>
      </c>
    </row>
    <row r="16" spans="1:16" x14ac:dyDescent="0.35">
      <c r="A16" s="20" t="s">
        <v>43</v>
      </c>
      <c r="B16" s="21">
        <v>2500</v>
      </c>
      <c r="D16" s="20" t="s">
        <v>58</v>
      </c>
      <c r="E16" s="21">
        <v>200000</v>
      </c>
      <c r="J16" s="20" t="s">
        <v>53</v>
      </c>
      <c r="K16" s="21">
        <v>20000</v>
      </c>
      <c r="L16" s="20" t="s">
        <v>183</v>
      </c>
      <c r="M16" s="13"/>
    </row>
    <row r="17" spans="1:12" x14ac:dyDescent="0.35">
      <c r="A17" s="20" t="s">
        <v>44</v>
      </c>
      <c r="B17" s="21">
        <v>2500</v>
      </c>
      <c r="D17" s="20" t="s">
        <v>59</v>
      </c>
      <c r="E17" s="21">
        <v>100000</v>
      </c>
      <c r="J17" s="20" t="s">
        <v>61</v>
      </c>
      <c r="K17" s="21">
        <v>29500</v>
      </c>
      <c r="L17" s="20" t="s">
        <v>183</v>
      </c>
    </row>
    <row r="18" spans="1:12" ht="15" thickBot="1" x14ac:dyDescent="0.4">
      <c r="A18" s="22" t="s">
        <v>5</v>
      </c>
      <c r="B18" s="23">
        <f>SUM(B5:B17)</f>
        <v>60000</v>
      </c>
      <c r="D18" s="20" t="s">
        <v>60</v>
      </c>
      <c r="E18" s="21">
        <v>30000</v>
      </c>
      <c r="J18" s="24" t="s">
        <v>5</v>
      </c>
      <c r="K18" s="25">
        <f>SUM(K5:K17)</f>
        <v>931000</v>
      </c>
      <c r="L18" s="24" t="s">
        <v>192</v>
      </c>
    </row>
    <row r="19" spans="1:12" x14ac:dyDescent="0.35">
      <c r="D19" s="20" t="s">
        <v>61</v>
      </c>
      <c r="E19" s="21">
        <v>29500</v>
      </c>
      <c r="J19" s="20" t="s">
        <v>60</v>
      </c>
      <c r="K19" s="21">
        <v>30000</v>
      </c>
      <c r="L19" s="20" t="s">
        <v>185</v>
      </c>
    </row>
    <row r="20" spans="1:12" x14ac:dyDescent="0.35">
      <c r="D20" s="24" t="s">
        <v>5</v>
      </c>
      <c r="E20" s="25">
        <f>SUM(E13:E19)</f>
        <v>820500</v>
      </c>
      <c r="J20" s="77" t="s">
        <v>5</v>
      </c>
      <c r="K20" s="78">
        <f>K19</f>
        <v>30000</v>
      </c>
      <c r="L20" s="77" t="s">
        <v>193</v>
      </c>
    </row>
    <row r="21" spans="1:12" ht="15" thickBot="1" x14ac:dyDescent="0.4">
      <c r="D21" s="22" t="s">
        <v>62</v>
      </c>
      <c r="E21" s="23">
        <f>E12+E20</f>
        <v>967500</v>
      </c>
      <c r="J21" s="83"/>
      <c r="K21" s="84"/>
      <c r="L21" s="83"/>
    </row>
    <row r="22" spans="1:12" ht="15" thickBot="1" x14ac:dyDescent="0.4">
      <c r="J22" s="79" t="s">
        <v>189</v>
      </c>
      <c r="K22" s="80">
        <f>K18+K20</f>
        <v>961000</v>
      </c>
      <c r="L22" s="79" t="s">
        <v>195</v>
      </c>
    </row>
    <row r="23" spans="1:12" x14ac:dyDescent="0.35">
      <c r="J23" s="83"/>
      <c r="K23" s="85"/>
      <c r="L23" s="83"/>
    </row>
    <row r="24" spans="1:12" x14ac:dyDescent="0.35">
      <c r="J24" s="20" t="s">
        <v>186</v>
      </c>
      <c r="K24" s="21">
        <v>69000</v>
      </c>
      <c r="L24" s="20" t="s">
        <v>188</v>
      </c>
    </row>
    <row r="25" spans="1:12" x14ac:dyDescent="0.35">
      <c r="J25" s="20" t="s">
        <v>187</v>
      </c>
      <c r="K25" s="21">
        <f>824543-791998</f>
        <v>32545</v>
      </c>
      <c r="L25" s="20" t="s">
        <v>188</v>
      </c>
    </row>
    <row r="26" spans="1:12" ht="15" thickBot="1" x14ac:dyDescent="0.4">
      <c r="J26" s="22" t="s">
        <v>65</v>
      </c>
      <c r="K26" s="23">
        <f>K24+K25</f>
        <v>101545</v>
      </c>
      <c r="L26" s="22" t="s">
        <v>194</v>
      </c>
    </row>
    <row r="27" spans="1:12" ht="15" thickBot="1" x14ac:dyDescent="0.4">
      <c r="J27" s="86"/>
      <c r="K27" s="87"/>
      <c r="L27" s="86"/>
    </row>
    <row r="28" spans="1:12" ht="15" thickBot="1" x14ac:dyDescent="0.4">
      <c r="J28" s="75" t="s">
        <v>62</v>
      </c>
      <c r="K28" s="76">
        <f>K18+K26</f>
        <v>1032545</v>
      </c>
      <c r="L28" s="75" t="s">
        <v>196</v>
      </c>
    </row>
    <row r="29" spans="1:12" x14ac:dyDescent="0.35">
      <c r="J29" s="83"/>
      <c r="K29" s="85"/>
      <c r="L29" s="83"/>
    </row>
    <row r="30" spans="1:12" x14ac:dyDescent="0.35">
      <c r="J30" s="81" t="s">
        <v>191</v>
      </c>
      <c r="K30" s="82">
        <f>K26-K20</f>
        <v>71545</v>
      </c>
      <c r="L30" s="81" t="s">
        <v>197</v>
      </c>
    </row>
  </sheetData>
  <sortState xmlns:xlrd2="http://schemas.microsoft.com/office/spreadsheetml/2017/richdata2" ref="J5:L20">
    <sortCondition ref="L4:L20"/>
  </sortState>
  <mergeCells count="5">
    <mergeCell ref="A3:B3"/>
    <mergeCell ref="D3:E3"/>
    <mergeCell ref="G3:H3"/>
    <mergeCell ref="J3:L3"/>
    <mergeCell ref="N3:P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0A27F-DC4D-4D8D-BEF3-7BB5C6322AD0}">
  <sheetPr>
    <pageSetUpPr fitToPage="1"/>
  </sheetPr>
  <dimension ref="B1:I27"/>
  <sheetViews>
    <sheetView workbookViewId="0">
      <selection activeCell="C4" sqref="C4:C6"/>
    </sheetView>
  </sheetViews>
  <sheetFormatPr defaultRowHeight="14.5" x14ac:dyDescent="0.35"/>
  <cols>
    <col min="2" max="2" width="10.6328125" bestFit="1" customWidth="1"/>
    <col min="3" max="3" width="11.1796875" style="33" bestFit="1" customWidth="1"/>
    <col min="4" max="4" width="28.7265625" bestFit="1" customWidth="1"/>
    <col min="5" max="5" width="10.08984375" bestFit="1" customWidth="1"/>
    <col min="7" max="7" width="10.7265625" bestFit="1" customWidth="1"/>
    <col min="8" max="8" width="11.08984375" bestFit="1" customWidth="1"/>
    <col min="9" max="9" width="20.90625" bestFit="1" customWidth="1"/>
  </cols>
  <sheetData>
    <row r="1" spans="2:9" ht="15" thickBot="1" x14ac:dyDescent="0.4"/>
    <row r="2" spans="2:9" ht="15" thickBot="1" x14ac:dyDescent="0.4">
      <c r="B2" s="101" t="s">
        <v>180</v>
      </c>
      <c r="C2" s="102"/>
      <c r="D2" s="102"/>
      <c r="E2" s="103"/>
      <c r="G2" s="101" t="s">
        <v>181</v>
      </c>
      <c r="H2" s="102"/>
      <c r="I2" s="103"/>
    </row>
    <row r="3" spans="2:9" ht="29.5" thickBot="1" x14ac:dyDescent="0.4">
      <c r="B3" s="71" t="s">
        <v>117</v>
      </c>
      <c r="C3" s="72" t="s">
        <v>46</v>
      </c>
      <c r="D3" s="71" t="s">
        <v>147</v>
      </c>
      <c r="E3" s="73" t="s">
        <v>179</v>
      </c>
      <c r="G3" s="71" t="s">
        <v>117</v>
      </c>
      <c r="H3" s="72" t="s">
        <v>46</v>
      </c>
      <c r="I3" s="71" t="s">
        <v>123</v>
      </c>
    </row>
    <row r="4" spans="2:9" x14ac:dyDescent="0.35">
      <c r="B4" s="61">
        <v>45809</v>
      </c>
      <c r="C4" s="62">
        <v>25000</v>
      </c>
      <c r="D4" s="63" t="s">
        <v>162</v>
      </c>
      <c r="E4" s="104">
        <f>SUM(C4:C6)</f>
        <v>185000</v>
      </c>
      <c r="G4" s="61">
        <v>45778</v>
      </c>
      <c r="H4" s="62">
        <v>85000</v>
      </c>
      <c r="I4" s="63" t="s">
        <v>178</v>
      </c>
    </row>
    <row r="5" spans="2:9" x14ac:dyDescent="0.35">
      <c r="B5" s="64">
        <v>45809</v>
      </c>
      <c r="C5" s="31">
        <v>120000</v>
      </c>
      <c r="D5" s="29" t="s">
        <v>163</v>
      </c>
      <c r="E5" s="99"/>
      <c r="G5" s="64">
        <v>45809</v>
      </c>
      <c r="H5" s="31">
        <v>755000</v>
      </c>
      <c r="I5" s="29" t="s">
        <v>172</v>
      </c>
    </row>
    <row r="6" spans="2:9" x14ac:dyDescent="0.35">
      <c r="B6" s="64">
        <v>45809</v>
      </c>
      <c r="C6" s="31">
        <v>40000</v>
      </c>
      <c r="D6" s="29" t="s">
        <v>171</v>
      </c>
      <c r="E6" s="99"/>
      <c r="G6" s="64">
        <v>45809</v>
      </c>
      <c r="H6" s="31">
        <v>55000</v>
      </c>
      <c r="I6" s="29" t="s">
        <v>173</v>
      </c>
    </row>
    <row r="7" spans="2:9" x14ac:dyDescent="0.35">
      <c r="B7" s="64">
        <v>45839</v>
      </c>
      <c r="C7" s="31">
        <v>25000</v>
      </c>
      <c r="D7" s="29" t="s">
        <v>162</v>
      </c>
      <c r="E7" s="99">
        <f>SUM(C7:C10)</f>
        <v>95000</v>
      </c>
      <c r="G7" s="64">
        <v>45839</v>
      </c>
      <c r="H7" s="31">
        <v>55000</v>
      </c>
      <c r="I7" s="29" t="s">
        <v>174</v>
      </c>
    </row>
    <row r="8" spans="2:9" x14ac:dyDescent="0.35">
      <c r="B8" s="64">
        <v>45839</v>
      </c>
      <c r="C8" s="31">
        <v>20000</v>
      </c>
      <c r="D8" s="29" t="s">
        <v>167</v>
      </c>
      <c r="E8" s="100"/>
      <c r="G8" s="64">
        <v>45870</v>
      </c>
      <c r="H8" s="31">
        <v>55000</v>
      </c>
      <c r="I8" s="29" t="s">
        <v>175</v>
      </c>
    </row>
    <row r="9" spans="2:9" x14ac:dyDescent="0.35">
      <c r="B9" s="64">
        <v>45839</v>
      </c>
      <c r="C9" s="31">
        <v>10000</v>
      </c>
      <c r="D9" s="29" t="s">
        <v>168</v>
      </c>
      <c r="E9" s="100"/>
      <c r="G9" s="64">
        <v>45901</v>
      </c>
      <c r="H9" s="31">
        <v>55000</v>
      </c>
      <c r="I9" s="29" t="s">
        <v>176</v>
      </c>
    </row>
    <row r="10" spans="2:9" x14ac:dyDescent="0.35">
      <c r="B10" s="64">
        <v>45839</v>
      </c>
      <c r="C10" s="31">
        <v>40000</v>
      </c>
      <c r="D10" s="29" t="s">
        <v>171</v>
      </c>
      <c r="E10" s="100"/>
      <c r="G10" s="64">
        <v>45931</v>
      </c>
      <c r="H10" s="31">
        <v>55000</v>
      </c>
      <c r="I10" s="29" t="s">
        <v>177</v>
      </c>
    </row>
    <row r="11" spans="2:9" x14ac:dyDescent="0.35">
      <c r="B11" s="64">
        <v>45870</v>
      </c>
      <c r="C11" s="31">
        <v>25000</v>
      </c>
      <c r="D11" s="29" t="s">
        <v>162</v>
      </c>
      <c r="E11" s="99">
        <f>SUM(C11:C13)</f>
        <v>98333</v>
      </c>
      <c r="G11" s="64"/>
      <c r="H11" s="31"/>
      <c r="I11" s="29"/>
    </row>
    <row r="12" spans="2:9" ht="15" thickBot="1" x14ac:dyDescent="0.4">
      <c r="B12" s="64">
        <v>45870</v>
      </c>
      <c r="C12" s="31">
        <v>33333</v>
      </c>
      <c r="D12" s="29" t="s">
        <v>169</v>
      </c>
      <c r="E12" s="100"/>
      <c r="G12" s="67" t="s">
        <v>62</v>
      </c>
      <c r="H12" s="68">
        <f>SUM(H4:H11)</f>
        <v>1115000</v>
      </c>
      <c r="I12" s="69"/>
    </row>
    <row r="13" spans="2:9" x14ac:dyDescent="0.35">
      <c r="B13" s="64">
        <v>45870</v>
      </c>
      <c r="C13" s="31">
        <v>40000</v>
      </c>
      <c r="D13" s="29" t="s">
        <v>171</v>
      </c>
      <c r="E13" s="100"/>
    </row>
    <row r="14" spans="2:9" x14ac:dyDescent="0.35">
      <c r="B14" s="64">
        <v>45901</v>
      </c>
      <c r="C14" s="31">
        <v>25000</v>
      </c>
      <c r="D14" s="29" t="s">
        <v>162</v>
      </c>
      <c r="E14" s="99">
        <f>SUM(C14:C16)</f>
        <v>98333</v>
      </c>
    </row>
    <row r="15" spans="2:9" x14ac:dyDescent="0.35">
      <c r="B15" s="64">
        <v>45901</v>
      </c>
      <c r="C15" s="31">
        <v>33333</v>
      </c>
      <c r="D15" s="29" t="s">
        <v>169</v>
      </c>
      <c r="E15" s="100"/>
    </row>
    <row r="16" spans="2:9" x14ac:dyDescent="0.35">
      <c r="B16" s="64">
        <v>45901</v>
      </c>
      <c r="C16" s="31">
        <v>40000</v>
      </c>
      <c r="D16" s="29" t="s">
        <v>171</v>
      </c>
      <c r="E16" s="100"/>
    </row>
    <row r="17" spans="2:5" x14ac:dyDescent="0.35">
      <c r="B17" s="64">
        <v>45931</v>
      </c>
      <c r="C17" s="31">
        <v>25000</v>
      </c>
      <c r="D17" s="29" t="s">
        <v>162</v>
      </c>
      <c r="E17" s="99">
        <f>SUM(C17:C24)</f>
        <v>635334</v>
      </c>
    </row>
    <row r="18" spans="2:5" x14ac:dyDescent="0.35">
      <c r="B18" s="64">
        <v>45931</v>
      </c>
      <c r="C18" s="31">
        <v>200000</v>
      </c>
      <c r="D18" s="29" t="s">
        <v>164</v>
      </c>
      <c r="E18" s="100"/>
    </row>
    <row r="19" spans="2:5" x14ac:dyDescent="0.35">
      <c r="B19" s="64">
        <v>45931</v>
      </c>
      <c r="C19" s="31">
        <f>34000*3</f>
        <v>102000</v>
      </c>
      <c r="D19" s="29" t="s">
        <v>165</v>
      </c>
      <c r="E19" s="100"/>
    </row>
    <row r="20" spans="2:5" x14ac:dyDescent="0.35">
      <c r="B20" s="64">
        <v>45931</v>
      </c>
      <c r="C20" s="31">
        <v>15000</v>
      </c>
      <c r="D20" s="29" t="s">
        <v>166</v>
      </c>
      <c r="E20" s="100"/>
    </row>
    <row r="21" spans="2:5" x14ac:dyDescent="0.35">
      <c r="B21" s="64">
        <v>45931</v>
      </c>
      <c r="C21" s="31">
        <v>20000</v>
      </c>
      <c r="D21" s="29" t="s">
        <v>50</v>
      </c>
      <c r="E21" s="100"/>
    </row>
    <row r="22" spans="2:5" x14ac:dyDescent="0.35">
      <c r="B22" s="64">
        <v>45931</v>
      </c>
      <c r="C22" s="31">
        <v>33334</v>
      </c>
      <c r="D22" s="29" t="s">
        <v>169</v>
      </c>
      <c r="E22" s="100"/>
    </row>
    <row r="23" spans="2:5" x14ac:dyDescent="0.35">
      <c r="B23" s="64">
        <v>45931</v>
      </c>
      <c r="C23" s="31">
        <v>200000</v>
      </c>
      <c r="D23" s="29" t="s">
        <v>170</v>
      </c>
      <c r="E23" s="100"/>
    </row>
    <row r="24" spans="2:5" x14ac:dyDescent="0.35">
      <c r="B24" s="64">
        <v>45931</v>
      </c>
      <c r="C24" s="31">
        <v>40000</v>
      </c>
      <c r="D24" s="29" t="s">
        <v>171</v>
      </c>
      <c r="E24" s="100"/>
    </row>
    <row r="25" spans="2:5" x14ac:dyDescent="0.35">
      <c r="B25" s="64">
        <v>45962</v>
      </c>
      <c r="C25" s="31">
        <v>25000</v>
      </c>
      <c r="D25" s="29" t="s">
        <v>162</v>
      </c>
      <c r="E25" s="65">
        <f>C25</f>
        <v>25000</v>
      </c>
    </row>
    <row r="26" spans="2:5" x14ac:dyDescent="0.35">
      <c r="B26" s="20"/>
      <c r="C26" s="31"/>
      <c r="D26" s="29"/>
      <c r="E26" s="66"/>
    </row>
    <row r="27" spans="2:5" ht="15" thickBot="1" x14ac:dyDescent="0.4">
      <c r="B27" s="67" t="s">
        <v>62</v>
      </c>
      <c r="C27" s="68">
        <f>SUM(C4:C26)</f>
        <v>1137000</v>
      </c>
      <c r="D27" s="69"/>
      <c r="E27" s="70"/>
    </row>
  </sheetData>
  <sortState xmlns:xlrd2="http://schemas.microsoft.com/office/spreadsheetml/2017/richdata2" ref="B4:D25">
    <sortCondition ref="B3:B25"/>
  </sortState>
  <mergeCells count="7">
    <mergeCell ref="E14:E16"/>
    <mergeCell ref="E17:E24"/>
    <mergeCell ref="B2:E2"/>
    <mergeCell ref="G2:I2"/>
    <mergeCell ref="E4:E6"/>
    <mergeCell ref="E7:E10"/>
    <mergeCell ref="E11:E13"/>
  </mergeCells>
  <pageMargins left="0.7" right="0.7" top="0.75" bottom="0.75" header="0.3" footer="0.3"/>
  <pageSetup fitToWidth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1D9CE-6D59-4E97-9397-72A0B5F3CFF8}">
  <dimension ref="A1:V59"/>
  <sheetViews>
    <sheetView tabSelected="1" zoomScale="109" workbookViewId="0">
      <selection activeCell="F10" sqref="F10"/>
    </sheetView>
  </sheetViews>
  <sheetFormatPr defaultRowHeight="14.5" x14ac:dyDescent="0.35"/>
  <cols>
    <col min="1" max="1" width="24.7265625" bestFit="1" customWidth="1"/>
    <col min="2" max="2" width="15.453125" bestFit="1" customWidth="1"/>
    <col min="3" max="3" width="13.26953125" bestFit="1" customWidth="1"/>
    <col min="4" max="4" width="12.90625" bestFit="1" customWidth="1"/>
    <col min="5" max="5" width="10.26953125" bestFit="1" customWidth="1"/>
    <col min="6" max="6" width="12.90625" bestFit="1" customWidth="1"/>
    <col min="7" max="7" width="13.7265625" bestFit="1" customWidth="1"/>
    <col min="9" max="9" width="9.08984375" bestFit="1" customWidth="1"/>
    <col min="10" max="10" width="11.08984375" bestFit="1" customWidth="1"/>
    <col min="11" max="11" width="17.26953125" bestFit="1" customWidth="1"/>
    <col min="12" max="12" width="11.08984375" bestFit="1" customWidth="1"/>
    <col min="13" max="13" width="19.6328125" bestFit="1" customWidth="1"/>
    <col min="14" max="14" width="14.6328125" bestFit="1" customWidth="1"/>
    <col min="16" max="16" width="7.08984375" bestFit="1" customWidth="1"/>
    <col min="17" max="17" width="8.6328125" bestFit="1" customWidth="1"/>
    <col min="18" max="19" width="10.08984375" bestFit="1" customWidth="1"/>
    <col min="20" max="20" width="11.26953125" bestFit="1" customWidth="1"/>
    <col min="21" max="21" width="17.1796875" bestFit="1" customWidth="1"/>
    <col min="22" max="22" width="10.08984375" bestFit="1" customWidth="1"/>
  </cols>
  <sheetData>
    <row r="1" spans="1:21" x14ac:dyDescent="0.35">
      <c r="A1" s="113" t="s">
        <v>66</v>
      </c>
      <c r="B1" s="111"/>
      <c r="C1" s="111"/>
      <c r="D1" s="111"/>
      <c r="E1" s="111"/>
      <c r="F1" s="111"/>
      <c r="G1" s="111"/>
      <c r="I1" s="108" t="s">
        <v>121</v>
      </c>
      <c r="J1" s="109"/>
      <c r="K1" s="109"/>
      <c r="L1" s="109"/>
      <c r="M1" s="109"/>
      <c r="N1" s="110"/>
      <c r="P1" s="111" t="s">
        <v>116</v>
      </c>
      <c r="Q1" s="111"/>
      <c r="R1" s="111"/>
      <c r="S1" s="111"/>
      <c r="T1" s="111"/>
      <c r="U1" s="111"/>
    </row>
    <row r="2" spans="1:21" x14ac:dyDescent="0.35">
      <c r="A2" s="39" t="s">
        <v>67</v>
      </c>
      <c r="B2" s="39" t="s">
        <v>68</v>
      </c>
      <c r="C2" s="39" t="s">
        <v>69</v>
      </c>
      <c r="D2" s="39" t="s">
        <v>70</v>
      </c>
      <c r="E2" s="39" t="s">
        <v>46</v>
      </c>
      <c r="F2" s="39" t="s">
        <v>71</v>
      </c>
      <c r="G2" s="39" t="s">
        <v>146</v>
      </c>
      <c r="I2" s="45" t="s">
        <v>117</v>
      </c>
      <c r="J2" s="39" t="s">
        <v>122</v>
      </c>
      <c r="K2" s="39" t="s">
        <v>124</v>
      </c>
      <c r="L2" s="39" t="s">
        <v>116</v>
      </c>
      <c r="M2" s="39" t="s">
        <v>123</v>
      </c>
      <c r="N2" s="46"/>
      <c r="P2" s="39" t="s">
        <v>117</v>
      </c>
      <c r="Q2" s="39" t="s">
        <v>118</v>
      </c>
      <c r="R2" s="39" t="s">
        <v>119</v>
      </c>
      <c r="S2" s="39" t="s">
        <v>120</v>
      </c>
      <c r="T2" s="39" t="s">
        <v>5</v>
      </c>
      <c r="U2" s="39" t="s">
        <v>138</v>
      </c>
    </row>
    <row r="3" spans="1:21" x14ac:dyDescent="0.35">
      <c r="A3" s="29" t="s">
        <v>15</v>
      </c>
      <c r="B3" s="29" t="s">
        <v>77</v>
      </c>
      <c r="C3" s="29" t="s">
        <v>84</v>
      </c>
      <c r="D3" s="30">
        <v>45813</v>
      </c>
      <c r="E3" s="31">
        <v>37000</v>
      </c>
      <c r="F3" s="31">
        <v>2650000</v>
      </c>
      <c r="G3" s="105">
        <f>SUM(F3:F4)</f>
        <v>3300000</v>
      </c>
      <c r="I3" s="106">
        <v>45597</v>
      </c>
      <c r="J3" s="31">
        <v>388404</v>
      </c>
      <c r="K3" s="34" t="s">
        <v>77</v>
      </c>
      <c r="L3" s="31">
        <v>224238.6</v>
      </c>
      <c r="M3" s="34" t="s">
        <v>127</v>
      </c>
      <c r="N3" s="46"/>
      <c r="P3" s="41">
        <v>45597</v>
      </c>
      <c r="Q3" s="40">
        <v>74746.200000000012</v>
      </c>
      <c r="R3" s="40">
        <v>224238.6</v>
      </c>
      <c r="S3" s="40">
        <v>523223.4</v>
      </c>
      <c r="T3" s="40">
        <v>747462</v>
      </c>
      <c r="U3" s="31">
        <v>151911.59999999998</v>
      </c>
    </row>
    <row r="4" spans="1:21" x14ac:dyDescent="0.35">
      <c r="A4" s="29" t="s">
        <v>92</v>
      </c>
      <c r="B4" s="29" t="s">
        <v>77</v>
      </c>
      <c r="C4" s="29" t="s">
        <v>93</v>
      </c>
      <c r="D4" s="30">
        <v>45818</v>
      </c>
      <c r="E4" s="31">
        <v>35000</v>
      </c>
      <c r="F4" s="31">
        <v>650000</v>
      </c>
      <c r="G4" s="105"/>
      <c r="I4" s="106"/>
      <c r="J4" s="31">
        <v>105000</v>
      </c>
      <c r="K4" s="34" t="s">
        <v>125</v>
      </c>
      <c r="L4" s="31">
        <v>55000</v>
      </c>
      <c r="M4" s="34" t="s">
        <v>128</v>
      </c>
      <c r="N4" s="46"/>
      <c r="P4" s="41">
        <v>45627</v>
      </c>
      <c r="Q4" s="40">
        <v>81472.100000000006</v>
      </c>
      <c r="R4" s="40">
        <v>244416.29999999996</v>
      </c>
      <c r="S4" s="40">
        <f>T4-R4</f>
        <v>570304.70000000007</v>
      </c>
      <c r="T4" s="40">
        <v>814721</v>
      </c>
      <c r="U4" s="31">
        <v>226459.8</v>
      </c>
    </row>
    <row r="5" spans="1:21" x14ac:dyDescent="0.35">
      <c r="A5" s="29" t="s">
        <v>9</v>
      </c>
      <c r="B5" s="29" t="s">
        <v>72</v>
      </c>
      <c r="C5" s="29" t="s">
        <v>73</v>
      </c>
      <c r="D5" s="30">
        <v>45803</v>
      </c>
      <c r="E5" s="31">
        <v>9985</v>
      </c>
      <c r="F5" s="31">
        <v>257406</v>
      </c>
      <c r="G5" s="105">
        <f>SUM(F5:F10)</f>
        <v>946606</v>
      </c>
      <c r="I5" s="106"/>
      <c r="J5" s="31">
        <v>48000</v>
      </c>
      <c r="K5" s="34" t="s">
        <v>114</v>
      </c>
      <c r="L5" s="31">
        <v>200000</v>
      </c>
      <c r="M5" s="34" t="s">
        <v>15</v>
      </c>
      <c r="N5" s="46"/>
      <c r="P5" s="41">
        <v>45658</v>
      </c>
      <c r="Q5" s="40">
        <v>65232.499999999993</v>
      </c>
      <c r="R5" s="40">
        <v>195697.50000000003</v>
      </c>
      <c r="S5" s="40">
        <f t="shared" ref="S5:S9" si="0">T5-R5</f>
        <v>456627.5</v>
      </c>
      <c r="T5" s="40">
        <v>652325</v>
      </c>
      <c r="U5" s="31">
        <v>158448.90000000002</v>
      </c>
    </row>
    <row r="6" spans="1:21" x14ac:dyDescent="0.35">
      <c r="A6" s="29" t="s">
        <v>9</v>
      </c>
      <c r="B6" s="29" t="s">
        <v>72</v>
      </c>
      <c r="C6" s="29" t="s">
        <v>74</v>
      </c>
      <c r="D6" s="30">
        <v>45807</v>
      </c>
      <c r="E6" s="31">
        <v>2500</v>
      </c>
      <c r="F6" s="31">
        <v>25000</v>
      </c>
      <c r="G6" s="105"/>
      <c r="I6" s="106"/>
      <c r="J6" s="31">
        <v>15000</v>
      </c>
      <c r="K6" s="34" t="s">
        <v>115</v>
      </c>
      <c r="L6" s="31">
        <v>151911.59999999998</v>
      </c>
      <c r="M6" s="34" t="s">
        <v>130</v>
      </c>
      <c r="N6" s="46"/>
      <c r="P6" s="41">
        <v>45689</v>
      </c>
      <c r="Q6" s="40">
        <v>55399.499999999993</v>
      </c>
      <c r="R6" s="40">
        <v>166198.5</v>
      </c>
      <c r="S6" s="40">
        <f t="shared" si="0"/>
        <v>387796.5</v>
      </c>
      <c r="T6" s="40">
        <v>553995</v>
      </c>
      <c r="U6" s="31">
        <v>163229.30000000005</v>
      </c>
    </row>
    <row r="7" spans="1:21" ht="58" x14ac:dyDescent="0.35">
      <c r="A7" s="29" t="s">
        <v>9</v>
      </c>
      <c r="B7" s="29" t="s">
        <v>72</v>
      </c>
      <c r="C7" s="29" t="s">
        <v>76</v>
      </c>
      <c r="D7" s="30">
        <v>45812</v>
      </c>
      <c r="E7" s="31">
        <v>6320</v>
      </c>
      <c r="F7" s="31">
        <v>61000</v>
      </c>
      <c r="G7" s="105"/>
      <c r="I7" s="106"/>
      <c r="J7" s="40">
        <v>74746.200000000012</v>
      </c>
      <c r="K7" s="34" t="s">
        <v>126</v>
      </c>
      <c r="L7" s="31">
        <v>371311.80000000005</v>
      </c>
      <c r="M7" s="34" t="s">
        <v>131</v>
      </c>
      <c r="N7" s="47" t="s">
        <v>132</v>
      </c>
      <c r="P7" s="41">
        <v>45717</v>
      </c>
      <c r="Q7" s="40">
        <v>62522.799999999996</v>
      </c>
      <c r="R7" s="40">
        <v>187568.4</v>
      </c>
      <c r="S7" s="40">
        <f t="shared" si="0"/>
        <v>373468.6</v>
      </c>
      <c r="T7" s="40">
        <v>561037</v>
      </c>
      <c r="U7" s="31">
        <v>37280</v>
      </c>
    </row>
    <row r="8" spans="1:21" x14ac:dyDescent="0.35">
      <c r="A8" s="29" t="s">
        <v>9</v>
      </c>
      <c r="B8" s="29" t="s">
        <v>72</v>
      </c>
      <c r="C8" s="29" t="s">
        <v>89</v>
      </c>
      <c r="D8" s="30">
        <v>45815</v>
      </c>
      <c r="E8" s="31">
        <f>F8*0.025</f>
        <v>5662.5</v>
      </c>
      <c r="F8" s="31">
        <v>226500</v>
      </c>
      <c r="G8" s="105"/>
      <c r="I8" s="106"/>
      <c r="J8" s="40">
        <v>25000</v>
      </c>
      <c r="K8" s="34" t="s">
        <v>135</v>
      </c>
      <c r="L8" s="31"/>
      <c r="M8" s="34"/>
      <c r="N8" s="46"/>
      <c r="P8" s="41">
        <v>45748</v>
      </c>
      <c r="Q8" s="40">
        <f>R8/3</f>
        <v>54742.69999999999</v>
      </c>
      <c r="R8" s="40">
        <v>164228.09999999998</v>
      </c>
      <c r="S8" s="40">
        <f t="shared" ref="S8" si="1">T8-R8</f>
        <v>383198.9</v>
      </c>
      <c r="T8" s="40">
        <v>547427</v>
      </c>
      <c r="U8" s="31">
        <v>163229.30000000005</v>
      </c>
    </row>
    <row r="9" spans="1:21" x14ac:dyDescent="0.35">
      <c r="A9" s="29" t="s">
        <v>9</v>
      </c>
      <c r="B9" s="29" t="s">
        <v>72</v>
      </c>
      <c r="C9" s="29" t="s">
        <v>145</v>
      </c>
      <c r="D9" s="30">
        <v>45822</v>
      </c>
      <c r="E9" s="31">
        <f>F9*0.02</f>
        <v>5420</v>
      </c>
      <c r="F9" s="31">
        <v>271000</v>
      </c>
      <c r="G9" s="105"/>
      <c r="I9" s="106"/>
      <c r="J9" s="31">
        <f>S3-L6-J8</f>
        <v>346311.80000000005</v>
      </c>
      <c r="K9" s="34" t="s">
        <v>129</v>
      </c>
      <c r="L9" s="31"/>
      <c r="M9" s="38"/>
      <c r="N9" s="46"/>
      <c r="P9" s="41">
        <v>45778</v>
      </c>
      <c r="Q9" s="40">
        <f>R9/3</f>
        <v>54422.700000000004</v>
      </c>
      <c r="R9" s="40">
        <f>T9*0.3</f>
        <v>163268.1</v>
      </c>
      <c r="S9" s="40">
        <f t="shared" si="0"/>
        <v>380958.9</v>
      </c>
      <c r="T9" s="40">
        <v>544227</v>
      </c>
      <c r="U9" s="31">
        <f>T9-S9</f>
        <v>163268.09999999998</v>
      </c>
    </row>
    <row r="10" spans="1:21" x14ac:dyDescent="0.35">
      <c r="A10" s="29" t="s">
        <v>9</v>
      </c>
      <c r="B10" s="29" t="s">
        <v>77</v>
      </c>
      <c r="C10" s="29" t="s">
        <v>78</v>
      </c>
      <c r="D10" s="30">
        <v>45808</v>
      </c>
      <c r="E10" s="31">
        <v>5700</v>
      </c>
      <c r="F10" s="31">
        <v>105700</v>
      </c>
      <c r="G10" s="105"/>
      <c r="I10" s="106"/>
      <c r="J10" s="43">
        <f>SUM(J3:J9)</f>
        <v>1002462</v>
      </c>
      <c r="K10" s="44" t="s">
        <v>62</v>
      </c>
      <c r="L10" s="43">
        <f>SUM(L3:L9)</f>
        <v>1002462</v>
      </c>
      <c r="M10" s="44" t="s">
        <v>62</v>
      </c>
      <c r="N10" s="46"/>
      <c r="P10" s="112" t="s">
        <v>62</v>
      </c>
      <c r="Q10" s="112"/>
      <c r="R10" s="112"/>
      <c r="S10" s="112"/>
      <c r="T10" s="42">
        <f>SUM(T3:T9)</f>
        <v>4421194</v>
      </c>
      <c r="U10" s="42">
        <f>SUM(U3:U9)</f>
        <v>1063827</v>
      </c>
    </row>
    <row r="11" spans="1:21" x14ac:dyDescent="0.35">
      <c r="A11" s="29" t="s">
        <v>9</v>
      </c>
      <c r="B11" s="29" t="s">
        <v>77</v>
      </c>
      <c r="C11" s="29" t="s">
        <v>81</v>
      </c>
      <c r="D11" s="30">
        <v>45810</v>
      </c>
      <c r="E11" s="31">
        <v>17544</v>
      </c>
      <c r="F11" s="31">
        <v>305163</v>
      </c>
      <c r="G11" s="105">
        <f>SUM(F11:F13)</f>
        <v>3607339</v>
      </c>
      <c r="I11" s="106">
        <v>45627</v>
      </c>
      <c r="J11" s="31">
        <v>388404</v>
      </c>
      <c r="K11" s="34" t="s">
        <v>77</v>
      </c>
      <c r="L11" s="40">
        <v>244416.29999999996</v>
      </c>
      <c r="M11" s="34" t="s">
        <v>127</v>
      </c>
      <c r="N11" s="46"/>
    </row>
    <row r="12" spans="1:21" x14ac:dyDescent="0.35">
      <c r="A12" s="29" t="s">
        <v>9</v>
      </c>
      <c r="B12" s="29" t="s">
        <v>77</v>
      </c>
      <c r="C12" s="29" t="s">
        <v>82</v>
      </c>
      <c r="D12" s="30">
        <v>45810</v>
      </c>
      <c r="E12" s="31">
        <v>32392</v>
      </c>
      <c r="F12" s="31">
        <v>397176</v>
      </c>
      <c r="G12" s="105"/>
      <c r="I12" s="106"/>
      <c r="J12" s="31">
        <v>105000</v>
      </c>
      <c r="K12" s="34" t="s">
        <v>125</v>
      </c>
      <c r="L12" s="31">
        <v>55000</v>
      </c>
      <c r="M12" s="34" t="s">
        <v>128</v>
      </c>
      <c r="N12" s="46"/>
    </row>
    <row r="13" spans="1:21" x14ac:dyDescent="0.35">
      <c r="A13" s="29" t="s">
        <v>9</v>
      </c>
      <c r="B13" s="29" t="s">
        <v>77</v>
      </c>
      <c r="C13" s="29" t="s">
        <v>85</v>
      </c>
      <c r="D13" s="30">
        <v>45814</v>
      </c>
      <c r="E13" s="31">
        <v>79000</v>
      </c>
      <c r="F13" s="31">
        <v>2905000</v>
      </c>
      <c r="G13" s="105"/>
      <c r="I13" s="106"/>
      <c r="J13" s="31">
        <v>36000</v>
      </c>
      <c r="K13" s="34" t="s">
        <v>114</v>
      </c>
      <c r="L13" s="31">
        <v>100000</v>
      </c>
      <c r="M13" s="34" t="s">
        <v>15</v>
      </c>
      <c r="N13" s="47"/>
    </row>
    <row r="14" spans="1:21" ht="58" x14ac:dyDescent="0.35">
      <c r="A14" s="29" t="s">
        <v>94</v>
      </c>
      <c r="B14" s="29" t="s">
        <v>77</v>
      </c>
      <c r="C14" s="29" t="s">
        <v>87</v>
      </c>
      <c r="D14" s="30">
        <v>45818</v>
      </c>
      <c r="E14" s="31">
        <v>37000</v>
      </c>
      <c r="F14" s="31">
        <v>3500000</v>
      </c>
      <c r="G14" s="31">
        <f>F14</f>
        <v>3500000</v>
      </c>
      <c r="I14" s="106"/>
      <c r="J14" s="31">
        <v>12000</v>
      </c>
      <c r="K14" s="34" t="s">
        <v>115</v>
      </c>
      <c r="L14" s="31">
        <v>226459.8</v>
      </c>
      <c r="M14" s="34" t="s">
        <v>130</v>
      </c>
      <c r="N14" s="47" t="s">
        <v>132</v>
      </c>
    </row>
    <row r="15" spans="1:21" x14ac:dyDescent="0.35">
      <c r="A15" s="29" t="s">
        <v>86</v>
      </c>
      <c r="B15" s="29" t="s">
        <v>77</v>
      </c>
      <c r="C15" s="29" t="s">
        <v>87</v>
      </c>
      <c r="D15" s="30">
        <v>45814</v>
      </c>
      <c r="E15" s="31">
        <v>32500</v>
      </c>
      <c r="F15" s="31">
        <v>850000</v>
      </c>
      <c r="G15" s="31">
        <f>F15</f>
        <v>850000</v>
      </c>
      <c r="I15" s="106"/>
      <c r="J15" s="40">
        <v>81472.100000000006</v>
      </c>
      <c r="K15" s="34" t="s">
        <v>126</v>
      </c>
      <c r="L15" s="31">
        <v>343844.9</v>
      </c>
      <c r="M15" s="34" t="s">
        <v>131</v>
      </c>
      <c r="N15" s="46"/>
    </row>
    <row r="16" spans="1:21" x14ac:dyDescent="0.35">
      <c r="A16" s="29" t="s">
        <v>75</v>
      </c>
      <c r="B16" s="29" t="s">
        <v>72</v>
      </c>
      <c r="C16" s="29" t="s">
        <v>76</v>
      </c>
      <c r="D16" s="30">
        <v>45808</v>
      </c>
      <c r="E16" s="31">
        <f>F16*0.0218</f>
        <v>7630</v>
      </c>
      <c r="F16" s="31">
        <v>350000</v>
      </c>
      <c r="G16" s="105">
        <f>SUM(F16:F18)</f>
        <v>1037270</v>
      </c>
      <c r="I16" s="106"/>
      <c r="J16" s="40">
        <v>25000</v>
      </c>
      <c r="K16" s="34" t="s">
        <v>135</v>
      </c>
      <c r="L16" s="31"/>
      <c r="M16" s="34"/>
      <c r="N16" s="48"/>
    </row>
    <row r="17" spans="1:22" x14ac:dyDescent="0.35">
      <c r="A17" s="29" t="s">
        <v>75</v>
      </c>
      <c r="B17" s="29" t="s">
        <v>72</v>
      </c>
      <c r="C17" s="29" t="s">
        <v>73</v>
      </c>
      <c r="D17" s="30">
        <v>45813</v>
      </c>
      <c r="E17" s="31">
        <v>6286</v>
      </c>
      <c r="F17" s="31">
        <v>621890</v>
      </c>
      <c r="G17" s="105"/>
      <c r="I17" s="106"/>
      <c r="J17" s="40">
        <f>S4-L14-J16</f>
        <v>318844.90000000008</v>
      </c>
      <c r="K17" s="34" t="s">
        <v>129</v>
      </c>
      <c r="L17" s="31"/>
      <c r="M17" s="38"/>
      <c r="N17" s="46"/>
    </row>
    <row r="18" spans="1:22" x14ac:dyDescent="0.35">
      <c r="A18" s="29" t="s">
        <v>75</v>
      </c>
      <c r="B18" s="29" t="s">
        <v>72</v>
      </c>
      <c r="C18" s="29" t="s">
        <v>83</v>
      </c>
      <c r="D18" s="30">
        <v>45813</v>
      </c>
      <c r="E18" s="31">
        <f>6538+8530</f>
        <v>15068</v>
      </c>
      <c r="F18" s="31">
        <v>65380</v>
      </c>
      <c r="G18" s="105"/>
      <c r="I18" s="106"/>
      <c r="J18" s="43">
        <f>SUM(J11:J17)</f>
        <v>966721</v>
      </c>
      <c r="K18" s="44" t="s">
        <v>62</v>
      </c>
      <c r="L18" s="43">
        <f>SUM(L11:L17)</f>
        <v>969720.99999999988</v>
      </c>
      <c r="M18" s="44" t="s">
        <v>62</v>
      </c>
      <c r="N18" s="46"/>
    </row>
    <row r="19" spans="1:22" x14ac:dyDescent="0.35">
      <c r="A19" s="29" t="s">
        <v>79</v>
      </c>
      <c r="B19" s="29" t="s">
        <v>72</v>
      </c>
      <c r="C19" s="29" t="s">
        <v>80</v>
      </c>
      <c r="D19" s="30">
        <v>45809</v>
      </c>
      <c r="E19" s="31">
        <v>9911</v>
      </c>
      <c r="F19" s="31">
        <f>200000-22849</f>
        <v>177151</v>
      </c>
      <c r="G19" s="105">
        <f>SUM(F19:F23)</f>
        <v>876873</v>
      </c>
      <c r="I19" s="106">
        <v>45658</v>
      </c>
      <c r="J19" s="31">
        <v>388404</v>
      </c>
      <c r="K19" s="34" t="s">
        <v>77</v>
      </c>
      <c r="L19" s="40">
        <v>195697.50000000003</v>
      </c>
      <c r="M19" s="34" t="s">
        <v>127</v>
      </c>
      <c r="N19" s="46"/>
    </row>
    <row r="20" spans="1:22" x14ac:dyDescent="0.35">
      <c r="A20" s="29" t="s">
        <v>79</v>
      </c>
      <c r="B20" s="29" t="s">
        <v>72</v>
      </c>
      <c r="C20" s="29" t="s">
        <v>88</v>
      </c>
      <c r="D20" s="30">
        <v>45815</v>
      </c>
      <c r="E20" s="31">
        <v>13221</v>
      </c>
      <c r="F20" s="31">
        <v>246000</v>
      </c>
      <c r="G20" s="105"/>
      <c r="I20" s="106"/>
      <c r="J20" s="31">
        <v>105000</v>
      </c>
      <c r="K20" s="34" t="s">
        <v>125</v>
      </c>
      <c r="L20" s="31">
        <v>55000</v>
      </c>
      <c r="M20" s="34" t="s">
        <v>128</v>
      </c>
      <c r="N20" s="46"/>
    </row>
    <row r="21" spans="1:22" x14ac:dyDescent="0.35">
      <c r="A21" s="29" t="s">
        <v>79</v>
      </c>
      <c r="B21" s="29" t="s">
        <v>72</v>
      </c>
      <c r="C21" s="29" t="s">
        <v>90</v>
      </c>
      <c r="D21" s="30">
        <v>45816</v>
      </c>
      <c r="E21" s="31">
        <v>17740</v>
      </c>
      <c r="F21" s="31">
        <v>81955</v>
      </c>
      <c r="G21" s="105"/>
      <c r="I21" s="106"/>
      <c r="J21" s="31">
        <v>36000</v>
      </c>
      <c r="K21" s="34" t="s">
        <v>114</v>
      </c>
      <c r="L21" s="31">
        <v>72000</v>
      </c>
      <c r="M21" s="34" t="s">
        <v>15</v>
      </c>
      <c r="N21" s="46"/>
    </row>
    <row r="22" spans="1:22" ht="58" x14ac:dyDescent="0.35">
      <c r="A22" s="29" t="s">
        <v>79</v>
      </c>
      <c r="B22" s="29" t="s">
        <v>72</v>
      </c>
      <c r="C22" s="29" t="s">
        <v>73</v>
      </c>
      <c r="D22" s="30">
        <v>45817</v>
      </c>
      <c r="E22" s="31">
        <v>11532</v>
      </c>
      <c r="F22" s="31">
        <v>263000</v>
      </c>
      <c r="G22" s="105"/>
      <c r="I22" s="106"/>
      <c r="J22" s="31">
        <v>10000</v>
      </c>
      <c r="K22" s="34" t="s">
        <v>115</v>
      </c>
      <c r="L22" s="31">
        <v>298178.59999999998</v>
      </c>
      <c r="M22" s="34" t="s">
        <v>130</v>
      </c>
      <c r="N22" s="47" t="s">
        <v>132</v>
      </c>
    </row>
    <row r="23" spans="1:22" x14ac:dyDescent="0.35">
      <c r="A23" s="29" t="s">
        <v>79</v>
      </c>
      <c r="B23" s="29" t="s">
        <v>72</v>
      </c>
      <c r="C23" s="29" t="s">
        <v>91</v>
      </c>
      <c r="D23" s="30">
        <v>45818</v>
      </c>
      <c r="E23" s="31">
        <v>6412</v>
      </c>
      <c r="F23" s="31">
        <f>128000-(6411*3)</f>
        <v>108767</v>
      </c>
      <c r="G23" s="105"/>
      <c r="I23" s="106"/>
      <c r="J23" s="40">
        <v>81472.100000000006</v>
      </c>
      <c r="K23" s="34" t="s">
        <v>126</v>
      </c>
      <c r="L23" s="31">
        <v>158448.90000000002</v>
      </c>
      <c r="M23" s="34" t="s">
        <v>131</v>
      </c>
      <c r="N23" s="48"/>
    </row>
    <row r="24" spans="1:22" x14ac:dyDescent="0.35">
      <c r="A24" s="114" t="s">
        <v>5</v>
      </c>
      <c r="B24" s="114"/>
      <c r="C24" s="114"/>
      <c r="D24" s="55"/>
      <c r="E24" s="56">
        <f>SUM(E3:E23)</f>
        <v>393823.5</v>
      </c>
      <c r="F24" s="56">
        <f>SUM(F3:F23)</f>
        <v>14118088</v>
      </c>
      <c r="G24" s="56"/>
      <c r="I24" s="106"/>
      <c r="J24" s="40">
        <f>25000+19000</f>
        <v>44000</v>
      </c>
      <c r="K24" s="34" t="s">
        <v>135</v>
      </c>
      <c r="L24" s="31"/>
      <c r="M24" s="34"/>
      <c r="N24" s="46"/>
    </row>
    <row r="25" spans="1:22" x14ac:dyDescent="0.35">
      <c r="C25" s="32"/>
      <c r="E25" s="33"/>
      <c r="I25" s="106"/>
      <c r="J25" s="40">
        <f>158448.9-J24</f>
        <v>114448.9</v>
      </c>
      <c r="K25" s="34" t="s">
        <v>129</v>
      </c>
      <c r="L25" s="31"/>
      <c r="M25" s="38"/>
      <c r="N25" s="46"/>
    </row>
    <row r="26" spans="1:22" ht="15" thickBot="1" x14ac:dyDescent="0.4">
      <c r="A26" s="115" t="s">
        <v>95</v>
      </c>
      <c r="B26" s="116"/>
      <c r="C26" s="116"/>
      <c r="D26" s="116"/>
      <c r="I26" s="106"/>
      <c r="J26" s="43">
        <f>SUM(J19:J25)</f>
        <v>779325</v>
      </c>
      <c r="K26" s="44" t="s">
        <v>62</v>
      </c>
      <c r="L26" s="43">
        <f>SUM(L19:L25)</f>
        <v>779325</v>
      </c>
      <c r="M26" s="44" t="s">
        <v>62</v>
      </c>
      <c r="N26" s="46"/>
    </row>
    <row r="27" spans="1:22" x14ac:dyDescent="0.35">
      <c r="A27" s="27" t="s">
        <v>67</v>
      </c>
      <c r="B27" s="28" t="s">
        <v>68</v>
      </c>
      <c r="C27" s="28" t="s">
        <v>69</v>
      </c>
      <c r="D27" s="28" t="s">
        <v>103</v>
      </c>
      <c r="I27" s="106">
        <v>45689</v>
      </c>
      <c r="J27" s="31">
        <v>388404</v>
      </c>
      <c r="K27" s="34" t="s">
        <v>77</v>
      </c>
      <c r="L27" s="40">
        <v>195697.50000000003</v>
      </c>
      <c r="M27" s="34" t="s">
        <v>127</v>
      </c>
      <c r="N27" s="46"/>
    </row>
    <row r="28" spans="1:22" x14ac:dyDescent="0.35">
      <c r="A28" s="34" t="s">
        <v>96</v>
      </c>
      <c r="B28" s="34" t="s">
        <v>97</v>
      </c>
      <c r="C28" s="34" t="s">
        <v>93</v>
      </c>
      <c r="D28" s="31">
        <v>2100000</v>
      </c>
      <c r="I28" s="106"/>
      <c r="J28" s="31">
        <v>110000</v>
      </c>
      <c r="K28" s="34" t="s">
        <v>125</v>
      </c>
      <c r="L28" s="31">
        <v>55000</v>
      </c>
      <c r="M28" s="34" t="s">
        <v>128</v>
      </c>
      <c r="N28" s="46"/>
    </row>
    <row r="29" spans="1:22" x14ac:dyDescent="0.35">
      <c r="A29" s="34" t="s">
        <v>98</v>
      </c>
      <c r="B29" s="34" t="s">
        <v>99</v>
      </c>
      <c r="C29" s="34" t="s">
        <v>100</v>
      </c>
      <c r="D29" s="31">
        <v>400000</v>
      </c>
      <c r="I29" s="106"/>
      <c r="J29" s="31">
        <v>36000</v>
      </c>
      <c r="K29" s="34" t="s">
        <v>114</v>
      </c>
      <c r="L29" s="31">
        <v>80000</v>
      </c>
      <c r="M29" s="34" t="s">
        <v>133</v>
      </c>
      <c r="N29" s="46"/>
    </row>
    <row r="30" spans="1:22" ht="58" x14ac:dyDescent="0.35">
      <c r="A30" s="34" t="s">
        <v>98</v>
      </c>
      <c r="B30" s="34" t="s">
        <v>101</v>
      </c>
      <c r="C30" s="34" t="s">
        <v>100</v>
      </c>
      <c r="D30" s="31">
        <v>700000</v>
      </c>
      <c r="I30" s="106"/>
      <c r="J30" s="31">
        <v>10000</v>
      </c>
      <c r="K30" s="34" t="s">
        <v>115</v>
      </c>
      <c r="L30" s="31">
        <v>269106</v>
      </c>
      <c r="M30" s="34" t="s">
        <v>130</v>
      </c>
      <c r="N30" s="47" t="s">
        <v>132</v>
      </c>
    </row>
    <row r="31" spans="1:22" x14ac:dyDescent="0.35">
      <c r="A31" s="34" t="s">
        <v>102</v>
      </c>
      <c r="B31" s="34" t="s">
        <v>99</v>
      </c>
      <c r="C31" s="34" t="s">
        <v>93</v>
      </c>
      <c r="D31" s="31">
        <v>2100000</v>
      </c>
      <c r="I31" s="106"/>
      <c r="J31" s="40">
        <v>55399.499999999993</v>
      </c>
      <c r="K31" s="34" t="s">
        <v>126</v>
      </c>
      <c r="L31" s="31">
        <v>118690.5</v>
      </c>
      <c r="M31" s="34" t="s">
        <v>131</v>
      </c>
      <c r="N31" s="46"/>
    </row>
    <row r="32" spans="1:22" x14ac:dyDescent="0.35">
      <c r="A32" s="34" t="s">
        <v>96</v>
      </c>
      <c r="B32" s="34" t="s">
        <v>140</v>
      </c>
      <c r="C32" s="34" t="s">
        <v>139</v>
      </c>
      <c r="D32" s="31">
        <v>1000000</v>
      </c>
      <c r="I32" s="106"/>
      <c r="J32" s="40">
        <v>25000</v>
      </c>
      <c r="K32" s="34" t="s">
        <v>135</v>
      </c>
      <c r="L32" s="31"/>
      <c r="M32" s="34"/>
      <c r="N32" s="46"/>
      <c r="V32" s="13"/>
    </row>
    <row r="33" spans="1:14" x14ac:dyDescent="0.35">
      <c r="A33" s="34" t="s">
        <v>15</v>
      </c>
      <c r="B33" s="34" t="s">
        <v>141</v>
      </c>
      <c r="C33" s="34" t="s">
        <v>93</v>
      </c>
      <c r="D33" s="31">
        <v>1500000</v>
      </c>
      <c r="I33" s="106"/>
      <c r="J33" s="40">
        <f>118690.5-J32</f>
        <v>93690.5</v>
      </c>
      <c r="K33" s="34" t="s">
        <v>129</v>
      </c>
      <c r="L33" s="31"/>
      <c r="M33" s="38"/>
      <c r="N33" s="46"/>
    </row>
    <row r="34" spans="1:14" x14ac:dyDescent="0.35">
      <c r="A34" s="34" t="s">
        <v>142</v>
      </c>
      <c r="B34" s="34" t="s">
        <v>143</v>
      </c>
      <c r="C34" s="34" t="s">
        <v>144</v>
      </c>
      <c r="D34" s="31">
        <v>3000000</v>
      </c>
      <c r="I34" s="106"/>
      <c r="J34" s="43">
        <f>SUM(J27:J33)</f>
        <v>718494</v>
      </c>
      <c r="K34" s="44" t="s">
        <v>62</v>
      </c>
      <c r="L34" s="43">
        <f>SUM(L27:L33)</f>
        <v>718494</v>
      </c>
      <c r="M34" s="44" t="s">
        <v>62</v>
      </c>
      <c r="N34" s="46"/>
    </row>
    <row r="35" spans="1:14" x14ac:dyDescent="0.35">
      <c r="A35" s="117" t="s">
        <v>62</v>
      </c>
      <c r="B35" s="118"/>
      <c r="C35" s="119"/>
      <c r="D35" s="54">
        <f>SUM(D28:D34)</f>
        <v>10800000</v>
      </c>
      <c r="I35" s="106">
        <v>45717</v>
      </c>
      <c r="J35" s="31">
        <v>388404</v>
      </c>
      <c r="K35" s="34" t="s">
        <v>77</v>
      </c>
      <c r="L35" s="40">
        <v>195697.50000000003</v>
      </c>
      <c r="M35" s="34" t="s">
        <v>127</v>
      </c>
      <c r="N35" s="46"/>
    </row>
    <row r="36" spans="1:14" x14ac:dyDescent="0.35">
      <c r="I36" s="106"/>
      <c r="J36" s="31">
        <v>110000</v>
      </c>
      <c r="K36" s="34" t="s">
        <v>125</v>
      </c>
      <c r="L36" s="31">
        <v>55000</v>
      </c>
      <c r="M36" s="34" t="s">
        <v>128</v>
      </c>
      <c r="N36" s="46"/>
    </row>
    <row r="37" spans="1:14" ht="15" thickBot="1" x14ac:dyDescent="0.4">
      <c r="A37" s="115" t="s">
        <v>208</v>
      </c>
      <c r="B37" s="116"/>
      <c r="I37" s="106"/>
      <c r="J37" s="31">
        <v>21000</v>
      </c>
      <c r="K37" s="34" t="s">
        <v>114</v>
      </c>
      <c r="L37" s="31">
        <v>175000</v>
      </c>
      <c r="M37" s="34" t="s">
        <v>134</v>
      </c>
      <c r="N37" s="48"/>
    </row>
    <row r="38" spans="1:14" ht="58" x14ac:dyDescent="0.35">
      <c r="A38" s="35" t="s">
        <v>104</v>
      </c>
      <c r="B38" s="36" t="s">
        <v>105</v>
      </c>
      <c r="C38" s="36" t="s">
        <v>209</v>
      </c>
      <c r="I38" s="106"/>
      <c r="J38" s="31">
        <v>7000</v>
      </c>
      <c r="K38" s="34" t="s">
        <v>115</v>
      </c>
      <c r="L38" s="31">
        <v>163229.30000000005</v>
      </c>
      <c r="M38" s="34" t="s">
        <v>130</v>
      </c>
      <c r="N38" s="47" t="s">
        <v>132</v>
      </c>
    </row>
    <row r="39" spans="1:14" x14ac:dyDescent="0.35">
      <c r="A39" s="37" t="s">
        <v>205</v>
      </c>
      <c r="B39" s="38">
        <v>25640</v>
      </c>
      <c r="C39" s="38"/>
      <c r="I39" s="106"/>
      <c r="J39" s="40">
        <v>62522.799999999996</v>
      </c>
      <c r="K39" s="34" t="s">
        <v>126</v>
      </c>
      <c r="L39" s="31">
        <v>210239.29999999993</v>
      </c>
      <c r="M39" s="34" t="s">
        <v>131</v>
      </c>
      <c r="N39" s="46"/>
    </row>
    <row r="40" spans="1:14" x14ac:dyDescent="0.35">
      <c r="A40" s="37" t="s">
        <v>106</v>
      </c>
      <c r="B40" s="38">
        <v>17319.739999999998</v>
      </c>
      <c r="C40" s="38">
        <v>11000</v>
      </c>
      <c r="I40" s="106"/>
      <c r="J40" s="40">
        <v>35000</v>
      </c>
      <c r="K40" s="34" t="s">
        <v>136</v>
      </c>
      <c r="L40" s="31"/>
      <c r="M40" s="34"/>
      <c r="N40" s="46"/>
    </row>
    <row r="41" spans="1:14" x14ac:dyDescent="0.35">
      <c r="A41" s="37" t="s">
        <v>107</v>
      </c>
      <c r="B41" s="38">
        <v>354344.5</v>
      </c>
      <c r="C41" s="38"/>
      <c r="I41" s="106"/>
      <c r="J41" s="40">
        <v>25000</v>
      </c>
      <c r="K41" s="34" t="s">
        <v>135</v>
      </c>
      <c r="L41" s="31"/>
      <c r="M41" s="34"/>
      <c r="N41" s="46"/>
    </row>
    <row r="42" spans="1:14" x14ac:dyDescent="0.35">
      <c r="A42" s="37" t="s">
        <v>108</v>
      </c>
      <c r="B42" s="38">
        <v>41050</v>
      </c>
      <c r="C42" s="38"/>
      <c r="I42" s="106"/>
      <c r="J42" s="40">
        <f>210239.3-J41-J40</f>
        <v>150239.29999999999</v>
      </c>
      <c r="K42" s="34" t="s">
        <v>129</v>
      </c>
      <c r="L42" s="31"/>
      <c r="M42" s="38"/>
      <c r="N42" s="46"/>
    </row>
    <row r="43" spans="1:14" x14ac:dyDescent="0.35">
      <c r="A43" s="37" t="s">
        <v>109</v>
      </c>
      <c r="B43" s="38">
        <v>364171.13500000001</v>
      </c>
      <c r="C43" s="38">
        <v>40000</v>
      </c>
      <c r="I43" s="106"/>
      <c r="J43" s="43">
        <f>SUM(J35:J42)</f>
        <v>799166.10000000009</v>
      </c>
      <c r="K43" s="44" t="s">
        <v>62</v>
      </c>
      <c r="L43" s="43">
        <f>SUM(L35:L42)</f>
        <v>799166.1</v>
      </c>
      <c r="M43" s="44" t="s">
        <v>62</v>
      </c>
      <c r="N43" s="46"/>
    </row>
    <row r="44" spans="1:14" x14ac:dyDescent="0.35">
      <c r="A44" s="37" t="s">
        <v>110</v>
      </c>
      <c r="B44" s="38">
        <v>9516</v>
      </c>
      <c r="C44" s="38">
        <v>26000</v>
      </c>
      <c r="I44" s="106">
        <v>45748</v>
      </c>
      <c r="J44" s="31">
        <v>388404</v>
      </c>
      <c r="K44" s="34" t="s">
        <v>77</v>
      </c>
      <c r="L44" s="40">
        <v>164228.09999999998</v>
      </c>
      <c r="M44" s="34" t="s">
        <v>127</v>
      </c>
      <c r="N44" s="46"/>
    </row>
    <row r="45" spans="1:14" x14ac:dyDescent="0.35">
      <c r="A45" s="37" t="s">
        <v>206</v>
      </c>
      <c r="B45" s="38">
        <v>6600</v>
      </c>
      <c r="C45" s="38">
        <v>26000</v>
      </c>
      <c r="I45" s="106"/>
      <c r="J45" s="31">
        <v>110000</v>
      </c>
      <c r="K45" s="34" t="s">
        <v>125</v>
      </c>
      <c r="L45" s="31">
        <v>55000</v>
      </c>
      <c r="M45" s="34" t="s">
        <v>128</v>
      </c>
      <c r="N45" s="46"/>
    </row>
    <row r="46" spans="1:14" x14ac:dyDescent="0.35">
      <c r="A46" s="37" t="s">
        <v>210</v>
      </c>
      <c r="B46" s="38">
        <v>2645</v>
      </c>
      <c r="C46" s="38">
        <v>6600</v>
      </c>
      <c r="I46" s="106"/>
      <c r="J46" s="31">
        <v>28000</v>
      </c>
      <c r="K46" s="34" t="s">
        <v>114</v>
      </c>
      <c r="L46" s="31">
        <v>50000</v>
      </c>
      <c r="M46" s="34" t="s">
        <v>137</v>
      </c>
      <c r="N46" s="48"/>
    </row>
    <row r="47" spans="1:14" ht="58" x14ac:dyDescent="0.35">
      <c r="A47" s="37" t="s">
        <v>111</v>
      </c>
      <c r="B47" s="38">
        <v>54760</v>
      </c>
      <c r="C47" s="38"/>
      <c r="I47" s="106"/>
      <c r="J47" s="31">
        <v>9000</v>
      </c>
      <c r="K47" s="34" t="s">
        <v>115</v>
      </c>
      <c r="L47" s="31">
        <v>345918.6</v>
      </c>
      <c r="M47" s="34" t="s">
        <v>130</v>
      </c>
      <c r="N47" s="47" t="s">
        <v>132</v>
      </c>
    </row>
    <row r="48" spans="1:14" x14ac:dyDescent="0.35">
      <c r="A48" s="37" t="s">
        <v>112</v>
      </c>
      <c r="B48" s="38">
        <v>9430</v>
      </c>
      <c r="C48" s="38">
        <v>30000</v>
      </c>
      <c r="I48" s="106"/>
      <c r="J48" s="40">
        <v>54742.69999999999</v>
      </c>
      <c r="K48" s="34" t="s">
        <v>126</v>
      </c>
      <c r="L48" s="31">
        <v>37280</v>
      </c>
      <c r="M48" s="34" t="s">
        <v>131</v>
      </c>
      <c r="N48" s="46"/>
    </row>
    <row r="49" spans="1:14" x14ac:dyDescent="0.35">
      <c r="A49" s="37" t="s">
        <v>113</v>
      </c>
      <c r="B49" s="38">
        <v>6000</v>
      </c>
      <c r="C49" s="38">
        <v>30000</v>
      </c>
      <c r="I49" s="106"/>
      <c r="J49" s="40">
        <v>25000</v>
      </c>
      <c r="K49" s="34" t="s">
        <v>135</v>
      </c>
      <c r="L49" s="31"/>
      <c r="M49" s="34"/>
      <c r="N49" s="46"/>
    </row>
    <row r="50" spans="1:14" x14ac:dyDescent="0.35">
      <c r="A50" s="52" t="s">
        <v>5</v>
      </c>
      <c r="B50" s="53">
        <f>SUM(B39:B49)</f>
        <v>891476.375</v>
      </c>
      <c r="C50" s="53">
        <f>SUM(C39:C49)</f>
        <v>169600</v>
      </c>
      <c r="I50" s="106"/>
      <c r="J50" s="31">
        <v>37280</v>
      </c>
      <c r="K50" s="34" t="s">
        <v>129</v>
      </c>
      <c r="L50" s="31"/>
      <c r="M50" s="38"/>
      <c r="N50" s="46"/>
    </row>
    <row r="51" spans="1:14" ht="15" thickBot="1" x14ac:dyDescent="0.4">
      <c r="I51" s="107"/>
      <c r="J51" s="49">
        <f>SUM(J44:J50)</f>
        <v>652426.69999999995</v>
      </c>
      <c r="K51" s="50" t="s">
        <v>62</v>
      </c>
      <c r="L51" s="49">
        <f>SUM(L44:L50)</f>
        <v>652426.69999999995</v>
      </c>
      <c r="M51" s="50" t="s">
        <v>62</v>
      </c>
      <c r="N51" s="51"/>
    </row>
    <row r="52" spans="1:14" x14ac:dyDescent="0.35">
      <c r="I52" s="106">
        <v>45778</v>
      </c>
      <c r="J52" s="31">
        <v>388404</v>
      </c>
      <c r="K52" s="34" t="s">
        <v>77</v>
      </c>
      <c r="L52" s="40">
        <v>163268.1</v>
      </c>
      <c r="M52" s="34" t="s">
        <v>127</v>
      </c>
      <c r="N52" s="46"/>
    </row>
    <row r="53" spans="1:14" x14ac:dyDescent="0.35">
      <c r="I53" s="106"/>
      <c r="J53" s="31">
        <v>110000</v>
      </c>
      <c r="K53" s="34" t="s">
        <v>125</v>
      </c>
      <c r="L53" s="31">
        <v>55000</v>
      </c>
      <c r="M53" s="34" t="s">
        <v>128</v>
      </c>
      <c r="N53" s="46"/>
    </row>
    <row r="54" spans="1:14" x14ac:dyDescent="0.35">
      <c r="I54" s="106"/>
      <c r="J54" s="31">
        <v>45000</v>
      </c>
      <c r="K54" s="34" t="s">
        <v>114</v>
      </c>
      <c r="L54" s="31">
        <v>200000</v>
      </c>
      <c r="M54" s="34" t="s">
        <v>137</v>
      </c>
      <c r="N54" s="48"/>
    </row>
    <row r="55" spans="1:14" ht="58" x14ac:dyDescent="0.35">
      <c r="I55" s="106"/>
      <c r="J55" s="31">
        <v>13000</v>
      </c>
      <c r="K55" s="34" t="s">
        <v>115</v>
      </c>
      <c r="L55" s="31">
        <f>280958.9-38423</f>
        <v>242535.90000000002</v>
      </c>
      <c r="M55" s="34" t="s">
        <v>130</v>
      </c>
      <c r="N55" s="47" t="s">
        <v>132</v>
      </c>
    </row>
    <row r="56" spans="1:14" x14ac:dyDescent="0.35">
      <c r="I56" s="106"/>
      <c r="J56" s="40"/>
      <c r="K56" s="34"/>
      <c r="L56" s="31"/>
      <c r="M56" s="34"/>
      <c r="N56" s="46"/>
    </row>
    <row r="57" spans="1:14" x14ac:dyDescent="0.35">
      <c r="I57" s="106"/>
      <c r="J57" s="40">
        <v>29800</v>
      </c>
      <c r="K57" s="34" t="s">
        <v>135</v>
      </c>
      <c r="L57" s="31">
        <v>175000</v>
      </c>
      <c r="M57" s="34" t="s">
        <v>134</v>
      </c>
      <c r="N57" s="46"/>
    </row>
    <row r="58" spans="1:14" x14ac:dyDescent="0.35">
      <c r="I58" s="106"/>
      <c r="J58" s="31">
        <v>269600</v>
      </c>
      <c r="K58" s="34" t="s">
        <v>129</v>
      </c>
      <c r="L58" s="31">
        <v>20000</v>
      </c>
      <c r="M58" s="38" t="s">
        <v>207</v>
      </c>
      <c r="N58" s="46"/>
    </row>
    <row r="59" spans="1:14" ht="15" thickBot="1" x14ac:dyDescent="0.4">
      <c r="I59" s="107"/>
      <c r="J59" s="49">
        <f>SUM(J52:J58)</f>
        <v>855804</v>
      </c>
      <c r="K59" s="50" t="s">
        <v>62</v>
      </c>
      <c r="L59" s="49">
        <f>SUM(L52:L58)</f>
        <v>855804</v>
      </c>
      <c r="M59" s="50" t="s">
        <v>62</v>
      </c>
      <c r="N59" s="51"/>
    </row>
  </sheetData>
  <sortState xmlns:xlrd2="http://schemas.microsoft.com/office/spreadsheetml/2017/richdata2" ref="A3:F23">
    <sortCondition ref="A3:A23"/>
    <sortCondition ref="B3:B23"/>
  </sortState>
  <mergeCells count="20">
    <mergeCell ref="I52:I59"/>
    <mergeCell ref="A24:C24"/>
    <mergeCell ref="A26:D26"/>
    <mergeCell ref="A35:C35"/>
    <mergeCell ref="A37:B37"/>
    <mergeCell ref="G19:G23"/>
    <mergeCell ref="I44:I51"/>
    <mergeCell ref="I1:N1"/>
    <mergeCell ref="P1:U1"/>
    <mergeCell ref="I3:I10"/>
    <mergeCell ref="I11:I18"/>
    <mergeCell ref="I19:I26"/>
    <mergeCell ref="I27:I34"/>
    <mergeCell ref="I35:I43"/>
    <mergeCell ref="P10:S10"/>
    <mergeCell ref="A1:G1"/>
    <mergeCell ref="G3:G4"/>
    <mergeCell ref="G5:G10"/>
    <mergeCell ref="G11:G13"/>
    <mergeCell ref="G16:G18"/>
  </mergeCells>
  <pageMargins left="0.7" right="0.7" top="0.75" bottom="0.75" header="0.3" footer="0.3"/>
  <pageSetup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FB324-54EF-463D-A68E-CAA11EDDBAA6}">
  <dimension ref="A2:H22"/>
  <sheetViews>
    <sheetView workbookViewId="0">
      <selection activeCell="C18" sqref="C18"/>
    </sheetView>
  </sheetViews>
  <sheetFormatPr defaultRowHeight="14.5" x14ac:dyDescent="0.35"/>
  <cols>
    <col min="1" max="1" width="12.36328125" customWidth="1"/>
    <col min="2" max="2" width="22.54296875" bestFit="1" customWidth="1"/>
    <col min="3" max="3" width="12.6328125" bestFit="1" customWidth="1"/>
    <col min="4" max="4" width="19" customWidth="1"/>
    <col min="7" max="7" width="18.54296875" bestFit="1" customWidth="1"/>
    <col min="8" max="8" width="11.08984375" bestFit="1" customWidth="1"/>
  </cols>
  <sheetData>
    <row r="2" spans="1:8" x14ac:dyDescent="0.35">
      <c r="A2" s="121" t="s">
        <v>116</v>
      </c>
      <c r="B2" s="121"/>
      <c r="C2" s="121"/>
      <c r="D2" s="121"/>
      <c r="F2" s="121" t="s">
        <v>122</v>
      </c>
      <c r="G2" s="121"/>
      <c r="H2" s="121"/>
    </row>
    <row r="3" spans="1:8" x14ac:dyDescent="0.35">
      <c r="A3" s="57" t="s">
        <v>117</v>
      </c>
      <c r="B3" s="57" t="s">
        <v>123</v>
      </c>
      <c r="C3" s="57" t="s">
        <v>46</v>
      </c>
      <c r="D3" s="57" t="s">
        <v>147</v>
      </c>
      <c r="F3" s="57" t="s">
        <v>117</v>
      </c>
      <c r="G3" s="57" t="s">
        <v>123</v>
      </c>
      <c r="H3" s="57" t="s">
        <v>46</v>
      </c>
    </row>
    <row r="4" spans="1:8" ht="29" x14ac:dyDescent="0.35">
      <c r="A4" s="58">
        <v>45778</v>
      </c>
      <c r="B4" s="29" t="s">
        <v>148</v>
      </c>
      <c r="C4" s="31">
        <v>120000</v>
      </c>
      <c r="D4" s="59" t="s">
        <v>149</v>
      </c>
      <c r="F4" s="58">
        <v>45778</v>
      </c>
      <c r="G4" s="29" t="s">
        <v>158</v>
      </c>
      <c r="H4" s="31">
        <v>100000</v>
      </c>
    </row>
    <row r="5" spans="1:8" ht="29" x14ac:dyDescent="0.35">
      <c r="A5" s="59" t="s">
        <v>150</v>
      </c>
      <c r="B5" s="29" t="s">
        <v>151</v>
      </c>
      <c r="C5" s="31">
        <f>20*15000</f>
        <v>300000</v>
      </c>
      <c r="D5" s="29" t="s">
        <v>152</v>
      </c>
      <c r="F5" s="58">
        <v>45778</v>
      </c>
      <c r="G5" s="29" t="s">
        <v>159</v>
      </c>
      <c r="H5" s="31">
        <v>50000</v>
      </c>
    </row>
    <row r="6" spans="1:8" x14ac:dyDescent="0.35">
      <c r="A6" s="58">
        <v>45778</v>
      </c>
      <c r="B6" s="29" t="s">
        <v>153</v>
      </c>
      <c r="C6" s="31">
        <v>439644.1</v>
      </c>
      <c r="D6" s="29" t="s">
        <v>155</v>
      </c>
      <c r="F6" s="58">
        <v>45778</v>
      </c>
      <c r="G6" s="29" t="s">
        <v>125</v>
      </c>
      <c r="H6" s="31">
        <v>110000</v>
      </c>
    </row>
    <row r="7" spans="1:8" x14ac:dyDescent="0.35">
      <c r="A7" s="58">
        <v>45778</v>
      </c>
      <c r="B7" s="29" t="s">
        <v>154</v>
      </c>
      <c r="C7" s="31">
        <v>75000</v>
      </c>
      <c r="D7" s="29" t="s">
        <v>155</v>
      </c>
      <c r="F7" s="58">
        <v>45778</v>
      </c>
      <c r="G7" s="29" t="s">
        <v>160</v>
      </c>
      <c r="H7" s="31">
        <v>70000</v>
      </c>
    </row>
    <row r="8" spans="1:8" x14ac:dyDescent="0.35">
      <c r="A8" s="58">
        <v>45778</v>
      </c>
      <c r="B8" s="29" t="s">
        <v>156</v>
      </c>
      <c r="C8" s="31">
        <v>100000</v>
      </c>
      <c r="D8" s="29" t="s">
        <v>155</v>
      </c>
      <c r="F8" s="58">
        <v>45809</v>
      </c>
      <c r="G8" s="29" t="s">
        <v>158</v>
      </c>
      <c r="H8" s="31">
        <v>100000</v>
      </c>
    </row>
    <row r="9" spans="1:8" x14ac:dyDescent="0.35">
      <c r="A9" s="58">
        <v>45809</v>
      </c>
      <c r="B9" s="29" t="s">
        <v>157</v>
      </c>
      <c r="C9" s="31">
        <v>500000</v>
      </c>
      <c r="D9" s="29" t="s">
        <v>152</v>
      </c>
      <c r="F9" s="58">
        <v>45809</v>
      </c>
      <c r="G9" s="29" t="s">
        <v>159</v>
      </c>
      <c r="H9" s="31">
        <v>100000</v>
      </c>
    </row>
    <row r="10" spans="1:8" x14ac:dyDescent="0.35">
      <c r="A10" s="58">
        <v>45839</v>
      </c>
      <c r="B10" s="29" t="s">
        <v>157</v>
      </c>
      <c r="C10" s="31">
        <v>500000</v>
      </c>
      <c r="D10" s="29" t="s">
        <v>152</v>
      </c>
      <c r="F10" s="58">
        <v>45809</v>
      </c>
      <c r="G10" s="29" t="s">
        <v>77</v>
      </c>
      <c r="H10" s="31">
        <v>380000</v>
      </c>
    </row>
    <row r="11" spans="1:8" x14ac:dyDescent="0.35">
      <c r="A11" s="29"/>
      <c r="B11" s="29"/>
      <c r="C11" s="31"/>
      <c r="D11" s="29"/>
      <c r="F11" s="58">
        <v>45809</v>
      </c>
      <c r="G11" s="29" t="s">
        <v>114</v>
      </c>
      <c r="H11" s="31">
        <v>40000</v>
      </c>
    </row>
    <row r="12" spans="1:8" x14ac:dyDescent="0.35">
      <c r="A12" s="29"/>
      <c r="B12" s="29"/>
      <c r="C12" s="31"/>
      <c r="D12" s="29"/>
      <c r="F12" s="58">
        <v>45809</v>
      </c>
      <c r="G12" s="29" t="s">
        <v>125</v>
      </c>
      <c r="H12" s="31">
        <v>110000</v>
      </c>
    </row>
    <row r="13" spans="1:8" x14ac:dyDescent="0.35">
      <c r="A13" s="120" t="s">
        <v>62</v>
      </c>
      <c r="B13" s="120"/>
      <c r="C13" s="122">
        <f>SUM(C4:C12)</f>
        <v>2034644.1</v>
      </c>
      <c r="D13" s="122"/>
      <c r="F13" s="58">
        <v>45809</v>
      </c>
      <c r="G13" s="29" t="s">
        <v>161</v>
      </c>
      <c r="H13" s="31">
        <v>10000</v>
      </c>
    </row>
    <row r="14" spans="1:8" x14ac:dyDescent="0.35">
      <c r="C14" s="33"/>
      <c r="F14" s="58">
        <v>45809</v>
      </c>
      <c r="G14" s="29" t="s">
        <v>160</v>
      </c>
      <c r="H14" s="31">
        <v>70000</v>
      </c>
    </row>
    <row r="15" spans="1:8" x14ac:dyDescent="0.35">
      <c r="F15" s="58">
        <v>45839</v>
      </c>
      <c r="G15" s="29" t="s">
        <v>158</v>
      </c>
      <c r="H15" s="31">
        <v>100000</v>
      </c>
    </row>
    <row r="16" spans="1:8" x14ac:dyDescent="0.35">
      <c r="B16" s="13"/>
      <c r="F16" s="58">
        <v>45839</v>
      </c>
      <c r="G16" s="29" t="s">
        <v>159</v>
      </c>
      <c r="H16" s="31">
        <v>100000</v>
      </c>
    </row>
    <row r="17" spans="6:8" x14ac:dyDescent="0.35">
      <c r="F17" s="58">
        <v>45839</v>
      </c>
      <c r="G17" s="29" t="s">
        <v>77</v>
      </c>
      <c r="H17" s="31">
        <v>380000</v>
      </c>
    </row>
    <row r="18" spans="6:8" x14ac:dyDescent="0.35">
      <c r="F18" s="58">
        <v>45839</v>
      </c>
      <c r="G18" s="29" t="s">
        <v>114</v>
      </c>
      <c r="H18" s="31">
        <v>40000</v>
      </c>
    </row>
    <row r="19" spans="6:8" x14ac:dyDescent="0.35">
      <c r="F19" s="58">
        <v>45839</v>
      </c>
      <c r="G19" s="29" t="s">
        <v>125</v>
      </c>
      <c r="H19" s="31">
        <v>110000</v>
      </c>
    </row>
    <row r="20" spans="6:8" x14ac:dyDescent="0.35">
      <c r="F20" s="58">
        <v>45839</v>
      </c>
      <c r="G20" s="29" t="s">
        <v>160</v>
      </c>
      <c r="H20" s="31">
        <v>70000</v>
      </c>
    </row>
    <row r="21" spans="6:8" x14ac:dyDescent="0.35">
      <c r="F21" s="58">
        <v>45839</v>
      </c>
      <c r="G21" s="29" t="s">
        <v>161</v>
      </c>
      <c r="H21" s="31">
        <v>10000</v>
      </c>
    </row>
    <row r="22" spans="6:8" x14ac:dyDescent="0.35">
      <c r="F22" s="120" t="s">
        <v>62</v>
      </c>
      <c r="G22" s="120"/>
      <c r="H22" s="60">
        <f>SUM(H4:H21)</f>
        <v>1950000</v>
      </c>
    </row>
  </sheetData>
  <mergeCells count="5">
    <mergeCell ref="A13:B13"/>
    <mergeCell ref="A2:D2"/>
    <mergeCell ref="C13:D13"/>
    <mergeCell ref="F2:H2"/>
    <mergeCell ref="F22:G22"/>
  </mergeCells>
  <pageMargins left="0.7" right="0.7" top="0.75" bottom="0.75" header="0.3" footer="0.3"/>
  <pageSetup fitToHeight="0" orientation="landscape" r:id="rId1"/>
</worksheet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LIC</vt:lpstr>
      <vt:lpstr>Home Expense</vt:lpstr>
      <vt:lpstr>Forecast Home Expense Nov 25</vt:lpstr>
      <vt:lpstr>Sadhana Account 2024-2025</vt:lpstr>
      <vt:lpstr>Repayment Plan till July 25</vt:lpstr>
    </vt:vector>
  </TitlesOfParts>
  <Company>Sandvik 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Dharmesh Maru_c</dc:creator>
  <cp:lastModifiedBy>Maru, Dharmesh</cp:lastModifiedBy>
  <cp:lastPrinted>2025-05-07T18:19:26Z</cp:lastPrinted>
  <dcterms:created xsi:type="dcterms:W3CDTF">2014-12-30T13:15:45Z</dcterms:created>
  <dcterms:modified xsi:type="dcterms:W3CDTF">2025-06-14T09:13:26Z</dcterms:modified>
</cp:coreProperties>
</file>