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0" documentId="8_{9CBC19E3-57FD-4A9E-A0D4-2909F18F3574}" xr6:coauthVersionLast="47" xr6:coauthVersionMax="47" xr10:uidLastSave="{00000000-0000-0000-0000-000000000000}"/>
  <bookViews>
    <workbookView xWindow="-110" yWindow="-110" windowWidth="19420" windowHeight="11500" xr2:uid="{0BEACD9E-EB67-43B3-95F9-060A18AC5730}"/>
  </bookViews>
  <sheets>
    <sheet name="Diwali 2024 foreca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C13" i="1"/>
  <c r="C22" i="1" s="1"/>
</calcChain>
</file>

<file path=xl/sharedStrings.xml><?xml version="1.0" encoding="utf-8"?>
<sst xmlns="http://schemas.openxmlformats.org/spreadsheetml/2006/main" count="57" uniqueCount="35">
  <si>
    <t>Credit cards</t>
  </si>
  <si>
    <t>EMI CHART(Mar 2024)</t>
  </si>
  <si>
    <t>Name</t>
  </si>
  <si>
    <t>Card</t>
  </si>
  <si>
    <t>Amount</t>
  </si>
  <si>
    <t>Remarks</t>
  </si>
  <si>
    <t>Particular</t>
  </si>
  <si>
    <t>Dharmesh</t>
  </si>
  <si>
    <t>HDFC</t>
  </si>
  <si>
    <t>Dharmesh EMI</t>
  </si>
  <si>
    <t>Tata</t>
  </si>
  <si>
    <t>Arun Home Loan</t>
  </si>
  <si>
    <t>RBL</t>
  </si>
  <si>
    <t>Arun Mortgage Loan</t>
  </si>
  <si>
    <t>SBI F</t>
  </si>
  <si>
    <t>Rajubhai Loan</t>
  </si>
  <si>
    <t>Citi</t>
  </si>
  <si>
    <t>Arun ML</t>
  </si>
  <si>
    <t>Axis Previledge</t>
  </si>
  <si>
    <t>Naru HL</t>
  </si>
  <si>
    <t>SBI Simple</t>
  </si>
  <si>
    <t>Vinod CC PL</t>
  </si>
  <si>
    <t>Axis MM</t>
  </si>
  <si>
    <t>cc interest</t>
  </si>
  <si>
    <t xml:space="preserve">Dharmesh </t>
  </si>
  <si>
    <t>Axis Vistara</t>
  </si>
  <si>
    <t>Paid</t>
  </si>
  <si>
    <t>Dilip Interest</t>
  </si>
  <si>
    <t>Cred Loan</t>
  </si>
  <si>
    <t>Total</t>
  </si>
  <si>
    <t>Vinod</t>
  </si>
  <si>
    <t>SBI</t>
  </si>
  <si>
    <t>Yagneshbhai</t>
  </si>
  <si>
    <t>HSBC</t>
  </si>
  <si>
    <t>ICICI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</si>
</sst>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[$₹-4009]\ * #,##0_ ;_ [$₹-4009]\ * \-#,##0_ ;_ [$₹-4009]\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40C3-EC70-4CED-B66C-EC69842A9495}">
  <dimension ref="A1:I22"/>
  <sheetViews>
    <sheetView tabSelected="1" workbookViewId="0">
      <selection activeCell="H12" sqref="H12"/>
    </sheetView>
  </sheetViews>
  <sheetFormatPr defaultRowHeight="14.5" x14ac:dyDescent="0.35"/>
  <cols>
    <col min="1" max="1" width="11.36328125" bestFit="1" customWidth="1"/>
    <col min="2" max="2" width="13.26953125" bestFit="1" customWidth="1"/>
    <col min="3" max="3" width="14.7265625" bestFit="1" customWidth="1"/>
    <col min="8" max="8" width="18" bestFit="1" customWidth="1"/>
    <col min="9" max="9" width="8.81640625" bestFit="1" customWidth="1"/>
  </cols>
  <sheetData>
    <row r="1" spans="1:9" x14ac:dyDescent="0.35">
      <c r="A1" s="1" t="s">
        <v>0</v>
      </c>
      <c r="B1" s="1"/>
      <c r="C1" s="1"/>
      <c r="D1" s="1"/>
      <c r="H1" s="2" t="s">
        <v>1</v>
      </c>
      <c r="I1" s="2"/>
    </row>
    <row r="2" spans="1:9" x14ac:dyDescent="0.35">
      <c r="A2" s="3" t="s">
        <v>2</v>
      </c>
      <c r="B2" s="3" t="s">
        <v>3</v>
      </c>
      <c r="C2" s="4" t="s">
        <v>4</v>
      </c>
      <c r="D2" s="4" t="s">
        <v>5</v>
      </c>
      <c r="H2" s="5" t="s">
        <v>6</v>
      </c>
      <c r="I2" s="6" t="s">
        <v>4</v>
      </c>
    </row>
    <row r="3" spans="1:9" x14ac:dyDescent="0.35">
      <c r="A3" s="7" t="s">
        <v>7</v>
      </c>
      <c r="B3" s="7" t="s">
        <v>8</v>
      </c>
      <c r="C3" s="8">
        <v>273000</v>
      </c>
      <c r="D3" s="7"/>
      <c r="H3" s="7" t="s">
        <v>9</v>
      </c>
      <c r="I3" s="8">
        <v>207300</v>
      </c>
    </row>
    <row r="4" spans="1:9" x14ac:dyDescent="0.35">
      <c r="A4" s="7" t="s">
        <v>7</v>
      </c>
      <c r="B4" s="7" t="s">
        <v>10</v>
      </c>
      <c r="C4" s="8">
        <v>25000</v>
      </c>
      <c r="D4" s="7"/>
      <c r="H4" s="7" t="s">
        <v>11</v>
      </c>
      <c r="I4" s="9">
        <v>35000</v>
      </c>
    </row>
    <row r="5" spans="1:9" x14ac:dyDescent="0.35">
      <c r="A5" s="7" t="s">
        <v>7</v>
      </c>
      <c r="B5" s="7" t="s">
        <v>12</v>
      </c>
      <c r="C5" s="8">
        <v>20000</v>
      </c>
      <c r="D5" s="7"/>
      <c r="H5" s="7" t="s">
        <v>13</v>
      </c>
      <c r="I5" s="9">
        <v>24000</v>
      </c>
    </row>
    <row r="6" spans="1:9" x14ac:dyDescent="0.35">
      <c r="A6" s="7" t="s">
        <v>7</v>
      </c>
      <c r="B6" s="7" t="s">
        <v>14</v>
      </c>
      <c r="C6" s="8">
        <v>69000</v>
      </c>
      <c r="D6" s="7"/>
      <c r="H6" s="7" t="s">
        <v>15</v>
      </c>
      <c r="I6" s="9">
        <v>32000</v>
      </c>
    </row>
    <row r="7" spans="1:9" x14ac:dyDescent="0.35">
      <c r="A7" s="7" t="s">
        <v>7</v>
      </c>
      <c r="B7" s="7" t="s">
        <v>16</v>
      </c>
      <c r="C7" s="8">
        <v>78000</v>
      </c>
      <c r="D7" s="7"/>
      <c r="H7" s="7" t="s">
        <v>17</v>
      </c>
      <c r="I7" s="9">
        <v>16500</v>
      </c>
    </row>
    <row r="8" spans="1:9" x14ac:dyDescent="0.35">
      <c r="A8" s="7" t="s">
        <v>7</v>
      </c>
      <c r="B8" s="7" t="s">
        <v>18</v>
      </c>
      <c r="C8" s="8">
        <v>164000</v>
      </c>
      <c r="D8" s="7"/>
      <c r="H8" s="7" t="s">
        <v>19</v>
      </c>
      <c r="I8" s="9">
        <v>37000</v>
      </c>
    </row>
    <row r="9" spans="1:9" x14ac:dyDescent="0.35">
      <c r="A9" s="7" t="s">
        <v>7</v>
      </c>
      <c r="B9" s="7" t="s">
        <v>20</v>
      </c>
      <c r="C9" s="8">
        <v>75000</v>
      </c>
      <c r="D9" s="7"/>
      <c r="H9" s="7" t="s">
        <v>21</v>
      </c>
      <c r="I9" s="9">
        <v>24000</v>
      </c>
    </row>
    <row r="10" spans="1:9" x14ac:dyDescent="0.35">
      <c r="A10" s="7" t="s">
        <v>7</v>
      </c>
      <c r="B10" s="7" t="s">
        <v>22</v>
      </c>
      <c r="C10" s="8">
        <v>154000</v>
      </c>
      <c r="D10" s="7"/>
      <c r="H10" s="7" t="s">
        <v>23</v>
      </c>
      <c r="I10" s="8">
        <v>59000</v>
      </c>
    </row>
    <row r="11" spans="1:9" x14ac:dyDescent="0.35">
      <c r="A11" s="7" t="s">
        <v>24</v>
      </c>
      <c r="B11" s="7" t="s">
        <v>25</v>
      </c>
      <c r="C11" s="10">
        <v>154000</v>
      </c>
      <c r="D11" s="7" t="s">
        <v>26</v>
      </c>
      <c r="H11" s="7" t="s">
        <v>27</v>
      </c>
      <c r="I11" s="8">
        <v>22500</v>
      </c>
    </row>
    <row r="12" spans="1:9" x14ac:dyDescent="0.35">
      <c r="A12" s="7" t="s">
        <v>7</v>
      </c>
      <c r="B12" s="7" t="s">
        <v>20</v>
      </c>
      <c r="C12" s="10">
        <v>75000</v>
      </c>
      <c r="D12" s="7" t="s">
        <v>26</v>
      </c>
      <c r="H12" s="7" t="s">
        <v>28</v>
      </c>
      <c r="I12" s="8">
        <v>17500</v>
      </c>
    </row>
    <row r="13" spans="1:9" x14ac:dyDescent="0.35">
      <c r="A13" s="11" t="s">
        <v>29</v>
      </c>
      <c r="B13" s="11"/>
      <c r="C13" s="12">
        <f>SUM(C3:C10)</f>
        <v>858000</v>
      </c>
      <c r="D13" s="7"/>
      <c r="H13" s="13" t="s">
        <v>29</v>
      </c>
      <c r="I13" s="14">
        <f>SUM(I3:I12)</f>
        <v>474800</v>
      </c>
    </row>
    <row r="14" spans="1:9" x14ac:dyDescent="0.35">
      <c r="A14" s="7"/>
      <c r="B14" s="7"/>
      <c r="C14" s="8"/>
      <c r="D14" s="7"/>
    </row>
    <row r="15" spans="1:9" x14ac:dyDescent="0.35">
      <c r="A15" s="7" t="s">
        <v>30</v>
      </c>
      <c r="B15" s="7" t="s">
        <v>31</v>
      </c>
      <c r="C15" s="8">
        <v>375000</v>
      </c>
      <c r="D15" s="7"/>
    </row>
    <row r="16" spans="1:9" x14ac:dyDescent="0.35">
      <c r="A16" s="7" t="s">
        <v>30</v>
      </c>
      <c r="B16" s="7" t="s">
        <v>8</v>
      </c>
      <c r="C16" s="8">
        <v>582000</v>
      </c>
      <c r="D16" s="7"/>
    </row>
    <row r="17" spans="1:4" x14ac:dyDescent="0.35">
      <c r="A17" s="7" t="s">
        <v>32</v>
      </c>
      <c r="B17" s="7" t="s">
        <v>12</v>
      </c>
      <c r="C17" s="8">
        <v>128000</v>
      </c>
      <c r="D17" s="7"/>
    </row>
    <row r="18" spans="1:4" x14ac:dyDescent="0.35">
      <c r="A18" s="7" t="s">
        <v>32</v>
      </c>
      <c r="B18" s="7" t="s">
        <v>33</v>
      </c>
      <c r="C18" s="8">
        <v>273000</v>
      </c>
      <c r="D18" s="7"/>
    </row>
    <row r="19" spans="1:4" x14ac:dyDescent="0.35">
      <c r="A19" s="7" t="s">
        <v>32</v>
      </c>
      <c r="B19" s="7" t="s">
        <v>16</v>
      </c>
      <c r="C19" s="8">
        <v>121000</v>
      </c>
      <c r="D19" s="7"/>
    </row>
    <row r="20" spans="1:4" x14ac:dyDescent="0.35">
      <c r="A20" s="7" t="s">
        <v>32</v>
      </c>
      <c r="B20" s="7" t="s">
        <v>8</v>
      </c>
      <c r="C20" s="8">
        <v>289000</v>
      </c>
      <c r="D20" s="7">
        <v>-60000</v>
      </c>
    </row>
    <row r="21" spans="1:4" x14ac:dyDescent="0.35">
      <c r="A21" s="7" t="s">
        <v>32</v>
      </c>
      <c r="B21" s="7" t="s">
        <v>34</v>
      </c>
      <c r="C21" s="8">
        <v>90000</v>
      </c>
      <c r="D21" s="7"/>
    </row>
    <row r="22" spans="1:4" x14ac:dyDescent="0.35">
      <c r="A22" s="15" t="s">
        <v>29</v>
      </c>
      <c r="B22" s="15"/>
      <c r="C22" s="16">
        <f>SUM(C13:C21)</f>
        <v>2716000</v>
      </c>
      <c r="D22" s="7"/>
    </row>
  </sheetData>
  <mergeCells count="3">
    <mergeCell ref="A1:D1"/>
    <mergeCell ref="H1:I1"/>
    <mergeCell ref="A13:B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Diwali 2024 forecast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dcterms:created xsi:type="dcterms:W3CDTF">2024-09-23T10:56:00Z</dcterms:created>
  <dcterms:modified xsi:type="dcterms:W3CDTF">2024-09-23T10:56:57Z</dcterms:modified>
</cp:coreProperties>
</file>