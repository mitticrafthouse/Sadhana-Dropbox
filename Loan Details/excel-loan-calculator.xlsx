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filterPrivacy="1"/>
  <xr:revisionPtr revIDLastSave="70" documentId="13_ncr:1_{3F72DCD4-BF21-4BBA-BF2E-915BB86BE222}" xr6:coauthVersionLast="47" xr6:coauthVersionMax="47" xr10:uidLastSave="{4EE35FF5-79D1-49B3-9D90-6EF7F27D6306}"/>
  <bookViews>
    <workbookView xWindow="-110" yWindow="-110" windowWidth="19420" windowHeight="11500" activeTab="3" xr2:uid="{00000000-000D-0000-FFFF-FFFF00000000}"/>
  </bookViews>
  <sheets>
    <sheet name="Loan Calculator" sheetId="9" r:id="rId1"/>
    <sheet name="HDFC" sheetId="6" r:id="rId2"/>
    <sheet name="Fullerton" sheetId="4" r:id="rId3"/>
    <sheet name="Edelwise" sheetId="3" r:id="rId4"/>
    <sheet name="Bajaj" sheetId="10" r:id="rId5"/>
    <sheet name="IndusIn" sheetId="1" r:id="rId6"/>
    <sheet name="Axis" sheetId="5" r:id="rId7"/>
    <sheet name="CLIX" sheetId="7" r:id="rId8"/>
    <sheet name="Citi" sheetId="8" r:id="rId9"/>
    <sheet name="Callc" sheetId="11" r:id="rId10"/>
  </sheets>
  <definedNames>
    <definedName name="ColumnTitle1" localSheetId="6">Loan3[[#Headers],[Pmt No.]]</definedName>
    <definedName name="ColumnTitle1" localSheetId="4">Loan3[[#Headers],[Pmt No.]]</definedName>
    <definedName name="ColumnTitle1" localSheetId="8">Loan3[[#Headers],[Pmt No.]]</definedName>
    <definedName name="ColumnTitle1" localSheetId="7">Loan3[[#Headers],[Pmt No.]]</definedName>
    <definedName name="ColumnTitle1" localSheetId="3">Loan3[[#Headers],[Pmt No.]]</definedName>
    <definedName name="ColumnTitle1" localSheetId="2">Loan4[[#Headers],[Pmt No.]]</definedName>
    <definedName name="ColumnTitle1" localSheetId="1">Loan3[[#Headers],[Pmt No.]]</definedName>
    <definedName name="ColumnTitle1" localSheetId="0">Loan3[[#Headers],[Pmt No.]]</definedName>
    <definedName name="ColumnTitle1">Loan[[#Headers],[Pmt No.]]</definedName>
    <definedName name="EndingBalance" localSheetId="6">-FV(Axis!InterestRate/12,Axis!PaymentNumber,-Axis!MonthlyPayment,Axis!LoanAmount)</definedName>
    <definedName name="EndingBalance" localSheetId="4">-FV(Bajaj!InterestRate/12,Bajaj!PaymentNumber,-Bajaj!MonthlyPayment,Bajaj!LoanAmount)</definedName>
    <definedName name="EndingBalance" localSheetId="8">-FV(Citi!InterestRate/12,Citi!PaymentNumber,-Citi!MonthlyPayment,Citi!LoanAmount)</definedName>
    <definedName name="EndingBalance" localSheetId="7">-FV(CLIX!InterestRate/12,CLIX!PaymentNumber,-CLIX!MonthlyPayment,CLIX!LoanAmount)</definedName>
    <definedName name="EndingBalance" localSheetId="3">-FV(Edelwise!InterestRate/12,Edelwise!PaymentNumber,-Edelwise!MonthlyPayment,Edelwise!LoanAmount)</definedName>
    <definedName name="EndingBalance" localSheetId="2">-FV(Fullerton!InterestRate/12,Fullerton!PaymentNumber,-Fullerton!MonthlyPayment,Fullerton!LoanAmount)</definedName>
    <definedName name="EndingBalance" localSheetId="1">-FV(HDFC!InterestRate/12,HDFC!PaymentNumber,-HDFC!MonthlyPayment,HDFC!LoanAmount)</definedName>
    <definedName name="EndingBalance" localSheetId="0">-FV('Loan Calculator'!InterestRate/12,'Loan Calculator'!PaymentNumber,-'Loan Calculator'!MonthlyPayment,'Loan Calculator'!LoanAmount)</definedName>
    <definedName name="EndingBalance">-FV(InterestRate/12,PaymentNumber,-MonthlyPayment,LoanAmount)</definedName>
    <definedName name="HeaderRow" localSheetId="6">ROW(Axis!$9:$9)</definedName>
    <definedName name="HeaderRow" localSheetId="4">ROW(Bajaj!$9:$9)</definedName>
    <definedName name="HeaderRow" localSheetId="8">ROW(Citi!$9:$9)</definedName>
    <definedName name="HeaderRow" localSheetId="7">ROW(CLIX!$9:$9)</definedName>
    <definedName name="HeaderRow" localSheetId="3">ROW(Edelwise!$9:$9)</definedName>
    <definedName name="HeaderRow" localSheetId="2">ROW(Fullerton!$9:$9)</definedName>
    <definedName name="HeaderRow" localSheetId="1">ROW(HDFC!$9:$9)</definedName>
    <definedName name="HeaderRow" localSheetId="0">ROW('Loan Calculator'!$9:$9)</definedName>
    <definedName name="HeaderRow">ROW(IndusIn!$9:$9)</definedName>
    <definedName name="InterestAmt" localSheetId="6">-IPMT(Axis!InterestRate/12,Axis!PaymentNumber,Axis!NumberOfPayments,Axis!LoanAmount)</definedName>
    <definedName name="InterestAmt" localSheetId="4">-IPMT(Bajaj!InterestRate/12,Bajaj!PaymentNumber,Bajaj!NumberOfPayments,Bajaj!LoanAmount)</definedName>
    <definedName name="InterestAmt" localSheetId="8">-IPMT(Citi!InterestRate/12,Citi!PaymentNumber,Citi!NumberOfPayments,Citi!LoanAmount)</definedName>
    <definedName name="InterestAmt" localSheetId="7">-IPMT(CLIX!InterestRate/12,CLIX!PaymentNumber,CLIX!NumberOfPayments,CLIX!LoanAmount)</definedName>
    <definedName name="InterestAmt" localSheetId="3">-IPMT(Edelwise!InterestRate/12,Edelwise!PaymentNumber,Edelwise!NumberOfPayments,Edelwise!LoanAmount)</definedName>
    <definedName name="InterestAmt" localSheetId="2">-IPMT(Fullerton!InterestRate/12,Fullerton!PaymentNumber,Fullerton!NumberOfPayments,Fullerton!LoanAmount)</definedName>
    <definedName name="InterestAmt" localSheetId="1">-IPMT(HDFC!InterestRate/12,HDFC!PaymentNumber,HDFC!NumberOfPayments,HDFC!LoanAmount)</definedName>
    <definedName name="InterestAmt" localSheetId="0">-IPMT('Loan Calculator'!InterestRate/12,'Loan Calculator'!PaymentNumber,'Loan Calculator'!NumberOfPayments,'Loan Calculator'!LoanAmount)</definedName>
    <definedName name="InterestAmt">-IPMT(InterestRate/12,PaymentNumber,NumberOfPayments,LoanAmount)</definedName>
    <definedName name="InterestRate" localSheetId="6">Axis!$D$5</definedName>
    <definedName name="InterestRate" localSheetId="4">Bajaj!$D$5</definedName>
    <definedName name="InterestRate" localSheetId="8">Citi!$D$5</definedName>
    <definedName name="InterestRate" localSheetId="7">CLIX!$D$5</definedName>
    <definedName name="InterestRate" localSheetId="3">Edelwise!$D$5</definedName>
    <definedName name="InterestRate" localSheetId="2">Fullerton!$D$5</definedName>
    <definedName name="InterestRate" localSheetId="1">HDFC!$D$5</definedName>
    <definedName name="InterestRate" localSheetId="0">'Loan Calculator'!$D$5</definedName>
    <definedName name="InterestRate">IndusIn!$D$5</definedName>
    <definedName name="LastCol" localSheetId="6">COUNTA(Axis!$9:$9)</definedName>
    <definedName name="LastCol" localSheetId="4">COUNTA(Bajaj!$9:$9)</definedName>
    <definedName name="LastCol" localSheetId="8">COUNTA(Citi!$9:$9)</definedName>
    <definedName name="LastCol" localSheetId="7">COUNTA(CLIX!$9:$9)</definedName>
    <definedName name="LastCol" localSheetId="3">COUNTA(Edelwise!$9:$9)</definedName>
    <definedName name="LastCol" localSheetId="2">COUNTA(Fullerton!$9:$9)</definedName>
    <definedName name="LastCol" localSheetId="1">COUNTA(HDFC!$9:$9)</definedName>
    <definedName name="LastCol" localSheetId="0">COUNTA('Loan Calculator'!$9:$9)</definedName>
    <definedName name="LastCol">COUNTA(IndusIn!$9:$9)</definedName>
    <definedName name="LastRow" localSheetId="6">MATCH(9.99E+307,Axis!$B:$B)</definedName>
    <definedName name="LastRow" localSheetId="4">MATCH(9.99E+307,Bajaj!$B:$B)</definedName>
    <definedName name="LastRow" localSheetId="8">MATCH(9.99E+307,Citi!$B:$B)</definedName>
    <definedName name="LastRow" localSheetId="7">MATCH(9.99E+307,CLIX!$B:$B)</definedName>
    <definedName name="LastRow" localSheetId="3">MATCH(9.99E+307,Edelwise!$B:$B)</definedName>
    <definedName name="LastRow" localSheetId="2">MATCH(9.99E+307,Fullerton!$B:$B)</definedName>
    <definedName name="LastRow" localSheetId="1">MATCH(9.99E+307,HDFC!$B:$B)</definedName>
    <definedName name="LastRow" localSheetId="0">MATCH(9.99E+307,'Loan Calculator'!$B:$B)</definedName>
    <definedName name="LastRow">MATCH(9.99E+307,IndusIn!$B:$B)</definedName>
    <definedName name="LoanAmount" localSheetId="6">Axis!$D$4</definedName>
    <definedName name="LoanAmount" localSheetId="4">Bajaj!$D$4</definedName>
    <definedName name="LoanAmount" localSheetId="8">Citi!$D$4</definedName>
    <definedName name="LoanAmount" localSheetId="7">CLIX!$D$4</definedName>
    <definedName name="LoanAmount" localSheetId="3">Edelwise!$D$4</definedName>
    <definedName name="LoanAmount" localSheetId="2">Fullerton!$D$4</definedName>
    <definedName name="LoanAmount" localSheetId="1">HDFC!$D$4</definedName>
    <definedName name="LoanAmount" localSheetId="0">'Loan Calculator'!$D$4</definedName>
    <definedName name="LoanAmount">IndusIn!$D$4</definedName>
    <definedName name="LoanIsGood" localSheetId="6">IF(Axis!LoanAmount*Axis!InterestRate*Axis!LoanYears*Axis!LoanStartDate&gt;0,1,0)</definedName>
    <definedName name="LoanIsGood" localSheetId="4">IF(Bajaj!LoanAmount*Bajaj!InterestRate*Bajaj!LoanYears*Bajaj!LoanStartDate&gt;0,1,0)</definedName>
    <definedName name="LoanIsGood" localSheetId="8">IF(Citi!LoanAmount*Citi!InterestRate*Citi!LoanYears*Citi!LoanStartDate&gt;0,1,0)</definedName>
    <definedName name="LoanIsGood" localSheetId="7">IF(CLIX!LoanAmount*CLIX!InterestRate*CLIX!LoanYears*CLIX!LoanStartDate&gt;0,1,0)</definedName>
    <definedName name="LoanIsGood" localSheetId="3">IF(Edelwise!LoanAmount*Edelwise!InterestRate*Edelwise!LoanYears*Edelwise!LoanStartDate&gt;0,1,0)</definedName>
    <definedName name="LoanIsGood" localSheetId="2">IF(Fullerton!LoanAmount*Fullerton!InterestRate*Fullerton!LoanYears*Fullerton!LoanStartDate&gt;0,1,0)</definedName>
    <definedName name="LoanIsGood" localSheetId="1">IF(HDFC!LoanAmount*HDFC!InterestRate*HDFC!LoanYears*HDFC!LoanStartDate&gt;0,1,0)</definedName>
    <definedName name="LoanIsGood" localSheetId="0">IF('Loan Calculator'!LoanAmount*'Loan Calculator'!InterestRate*'Loan Calculator'!LoanYears*'Loan Calculator'!LoanStartDate&gt;0,1,0)</definedName>
    <definedName name="LoanIsGood">IF(LoanAmount*InterestRate*LoanYears*LoanStartDate&gt;0,1,0)</definedName>
    <definedName name="LoanIsNotPaid" localSheetId="6">IF(Axis!PaymentNumber&lt;=Axis!NumberOfPayments,1,0)</definedName>
    <definedName name="LoanIsNotPaid" localSheetId="4">IF(Bajaj!PaymentNumber&lt;=Bajaj!NumberOfPayments,1,0)</definedName>
    <definedName name="LoanIsNotPaid" localSheetId="8">IF(Citi!PaymentNumber&lt;=Citi!NumberOfPayments,1,0)</definedName>
    <definedName name="LoanIsNotPaid" localSheetId="7">IF(CLIX!PaymentNumber&lt;=CLIX!NumberOfPayments,1,0)</definedName>
    <definedName name="LoanIsNotPaid" localSheetId="3">IF(Edelwise!PaymentNumber&lt;=Edelwise!NumberOfPayments,1,0)</definedName>
    <definedName name="LoanIsNotPaid" localSheetId="2">IF(Fullerton!PaymentNumber&lt;=Fullerton!NumberOfPayments,1,0)</definedName>
    <definedName name="LoanIsNotPaid" localSheetId="1">IF(HDFC!PaymentNumber&lt;=HDFC!NumberOfPayments,1,0)</definedName>
    <definedName name="LoanIsNotPaid" localSheetId="0">IF('Loan Calculator'!PaymentNumber&lt;='Loan Calculator'!NumberOfPayments,1,0)</definedName>
    <definedName name="LoanIsNotPaid">IF(PaymentNumber&lt;=NumberOfPayments,1,0)</definedName>
    <definedName name="LoanStartDate" localSheetId="6">Axis!$D$7</definedName>
    <definedName name="LoanStartDate" localSheetId="4">Bajaj!$D$7</definedName>
    <definedName name="LoanStartDate" localSheetId="8">Citi!$D$7</definedName>
    <definedName name="LoanStartDate" localSheetId="7">CLIX!$D$7</definedName>
    <definedName name="LoanStartDate" localSheetId="3">Edelwise!$D$7</definedName>
    <definedName name="LoanStartDate" localSheetId="2">Fullerton!$D$7</definedName>
    <definedName name="LoanStartDate" localSheetId="1">HDFC!$D$7</definedName>
    <definedName name="LoanStartDate" localSheetId="0">'Loan Calculator'!$D$7</definedName>
    <definedName name="LoanStartDate">IndusIn!$D$7</definedName>
    <definedName name="LoanValue" localSheetId="6">-FV(Axis!InterestRate/12,Axis!PaymentNumber-1,-Axis!MonthlyPayment,Axis!LoanAmount)</definedName>
    <definedName name="LoanValue" localSheetId="4">-FV(Bajaj!InterestRate/12,Bajaj!PaymentNumber-1,-Bajaj!MonthlyPayment,Bajaj!LoanAmount)</definedName>
    <definedName name="LoanValue" localSheetId="8">-FV(Citi!InterestRate/12,Citi!PaymentNumber-1,-Citi!MonthlyPayment,Citi!LoanAmount)</definedName>
    <definedName name="LoanValue" localSheetId="7">-FV(CLIX!InterestRate/12,CLIX!PaymentNumber-1,-CLIX!MonthlyPayment,CLIX!LoanAmount)</definedName>
    <definedName name="LoanValue" localSheetId="3">-FV(Edelwise!InterestRate/12,Edelwise!PaymentNumber-1,-Edelwise!MonthlyPayment,Edelwise!LoanAmount)</definedName>
    <definedName name="LoanValue" localSheetId="2">-FV(Fullerton!InterestRate/12,Fullerton!PaymentNumber-1,-Fullerton!MonthlyPayment,Fullerton!LoanAmount)</definedName>
    <definedName name="LoanValue" localSheetId="1">-FV(HDFC!InterestRate/12,HDFC!PaymentNumber-1,-HDFC!MonthlyPayment,HDFC!LoanAmount)</definedName>
    <definedName name="LoanValue" localSheetId="0">-FV('Loan Calculator'!InterestRate/12,'Loan Calculator'!PaymentNumber-1,-'Loan Calculator'!MonthlyPayment,'Loan Calculator'!LoanAmount)</definedName>
    <definedName name="LoanValue">-FV(InterestRate/12,PaymentNumber-1,-MonthlyPayment,LoanAmount)</definedName>
    <definedName name="LoanYears" localSheetId="6">Axis!$D$6</definedName>
    <definedName name="LoanYears" localSheetId="4">Bajaj!$D$6</definedName>
    <definedName name="LoanYears" localSheetId="8">Citi!$D$6</definedName>
    <definedName name="LoanYears" localSheetId="7">CLIX!$D$6</definedName>
    <definedName name="LoanYears" localSheetId="3">Edelwise!$D$6</definedName>
    <definedName name="LoanYears" localSheetId="2">Fullerton!$D$6</definedName>
    <definedName name="LoanYears" localSheetId="1">HDFC!$D$6</definedName>
    <definedName name="LoanYears" localSheetId="0">'Loan Calculator'!$D$6</definedName>
    <definedName name="LoanYears">IndusIn!$D$6</definedName>
    <definedName name="MonthlyPayment" localSheetId="6">-PMT(Axis!InterestRate/12,Axis!NumberOfPayments,Axis!LoanAmount)</definedName>
    <definedName name="MonthlyPayment" localSheetId="4">-PMT(Bajaj!InterestRate/12,Bajaj!NumberOfPayments,Bajaj!LoanAmount)</definedName>
    <definedName name="MonthlyPayment" localSheetId="8">-PMT(Citi!InterestRate/12,Citi!NumberOfPayments,Citi!LoanAmount)</definedName>
    <definedName name="MonthlyPayment" localSheetId="7">-PMT(CLIX!InterestRate/12,CLIX!NumberOfPayments,CLIX!LoanAmount)</definedName>
    <definedName name="MonthlyPayment" localSheetId="3">-PMT(Edelwise!InterestRate/12,Edelwise!NumberOfPayments,Edelwise!LoanAmount)</definedName>
    <definedName name="MonthlyPayment" localSheetId="2">-PMT(Fullerton!InterestRate/12,Fullerton!NumberOfPayments,Fullerton!LoanAmount)</definedName>
    <definedName name="MonthlyPayment" localSheetId="1">-PMT(HDFC!InterestRate/12,HDFC!NumberOfPayments,HDFC!LoanAmount)</definedName>
    <definedName name="MonthlyPayment" localSheetId="0">-PMT('Loan Calculator'!InterestRate/12,'Loan Calculator'!NumberOfPayments,'Loan Calculator'!LoanAmount)</definedName>
    <definedName name="MonthlyPayment">-PMT(InterestRate/12,NumberOfPayments,LoanAmount)</definedName>
    <definedName name="NumberOfPayments" localSheetId="6">Axis!$H$5</definedName>
    <definedName name="NumberOfPayments" localSheetId="4">Bajaj!$H$5</definedName>
    <definedName name="NumberOfPayments" localSheetId="8">Citi!$H$5</definedName>
    <definedName name="NumberOfPayments" localSheetId="7">CLIX!$H$5</definedName>
    <definedName name="NumberOfPayments" localSheetId="3">Edelwise!$H$5</definedName>
    <definedName name="NumberOfPayments" localSheetId="2">Fullerton!$H$5</definedName>
    <definedName name="NumberOfPayments" localSheetId="1">HDFC!$H$5</definedName>
    <definedName name="NumberOfPayments" localSheetId="0">'Loan Calculator'!$H$5</definedName>
    <definedName name="NumberOfPayments">IndusIn!$H$5</definedName>
    <definedName name="PaymentDate" localSheetId="6">DATE(YEAR(Axis!LoanStartDate),MONTH(Axis!LoanStartDate)+Axis!PaymentNumber,DAY(Axis!LoanStartDate))</definedName>
    <definedName name="PaymentDate" localSheetId="4">DATE(YEAR(Bajaj!LoanStartDate),MONTH(Bajaj!LoanStartDate)+Bajaj!PaymentNumber,DAY(Bajaj!LoanStartDate))</definedName>
    <definedName name="PaymentDate" localSheetId="8">DATE(YEAR(Citi!LoanStartDate),MONTH(Citi!LoanStartDate)+Citi!PaymentNumber,DAY(Citi!LoanStartDate))</definedName>
    <definedName name="PaymentDate" localSheetId="7">DATE(YEAR(CLIX!LoanStartDate),MONTH(CLIX!LoanStartDate)+CLIX!PaymentNumber,DAY(CLIX!LoanStartDate))</definedName>
    <definedName name="PaymentDate" localSheetId="3">DATE(YEAR(Edelwise!LoanStartDate),MONTH(Edelwise!LoanStartDate)+Edelwise!PaymentNumber,DAY(Edelwise!LoanStartDate))</definedName>
    <definedName name="PaymentDate" localSheetId="2">DATE(YEAR(Fullerton!LoanStartDate),MONTH(Fullerton!LoanStartDate)+Fullerton!PaymentNumber,DAY(Fullerton!LoanStartDate))</definedName>
    <definedName name="PaymentDate" localSheetId="1">DATE(YEAR(HDFC!LoanStartDate),MONTH(HDFC!LoanStartDate)+HDFC!PaymentNumber,DAY(HDFC!LoanStartDate))</definedName>
    <definedName name="PaymentDate" localSheetId="0">DATE(YEAR('Loan Calculator'!LoanStartDate),MONTH('Loan Calculator'!LoanStartDate)+'Loan Calculator'!PaymentNumber,DAY('Loan Calculator'!LoanStartDate))</definedName>
    <definedName name="PaymentDate">DATE(YEAR(LoanStartDate),MONTH(LoanStartDate)+PaymentNumber,DAY(LoanStartDate))</definedName>
    <definedName name="PaymentNumber" localSheetId="6">ROW()-Axis!HeaderRow</definedName>
    <definedName name="PaymentNumber" localSheetId="4">ROW()-Bajaj!HeaderRow</definedName>
    <definedName name="PaymentNumber" localSheetId="8">ROW()-Citi!HeaderRow</definedName>
    <definedName name="PaymentNumber" localSheetId="7">ROW()-CLIX!HeaderRow</definedName>
    <definedName name="PaymentNumber" localSheetId="3">ROW()-Edelwise!HeaderRow</definedName>
    <definedName name="PaymentNumber" localSheetId="2">ROW()-Fullerton!HeaderRow</definedName>
    <definedName name="PaymentNumber" localSheetId="1">ROW()-HDFC!HeaderRow</definedName>
    <definedName name="PaymentNumber" localSheetId="0">ROW()-'Loan Calculator'!HeaderRow</definedName>
    <definedName name="PaymentNumber">ROW()-HeaderRow</definedName>
    <definedName name="Principal" localSheetId="6">-PPMT(Axis!InterestRate/12,Axis!PaymentNumber,Axis!NumberOfPayments,Axis!LoanAmount)</definedName>
    <definedName name="Principal" localSheetId="4">-PPMT(Bajaj!InterestRate/12,Bajaj!PaymentNumber,Bajaj!NumberOfPayments,Bajaj!LoanAmount)</definedName>
    <definedName name="Principal" localSheetId="8">-PPMT(Citi!InterestRate/12,Citi!PaymentNumber,Citi!NumberOfPayments,Citi!LoanAmount)</definedName>
    <definedName name="Principal" localSheetId="7">-PPMT(CLIX!InterestRate/12,CLIX!PaymentNumber,CLIX!NumberOfPayments,CLIX!LoanAmount)</definedName>
    <definedName name="Principal" localSheetId="3">-PPMT(Edelwise!InterestRate/12,Edelwise!PaymentNumber,Edelwise!NumberOfPayments,Edelwise!LoanAmount)</definedName>
    <definedName name="Principal" localSheetId="2">-PPMT(Fullerton!InterestRate/12,Fullerton!PaymentNumber,Fullerton!NumberOfPayments,Fullerton!LoanAmount)</definedName>
    <definedName name="Principal" localSheetId="1">-PPMT(HDFC!InterestRate/12,HDFC!PaymentNumber,HDFC!NumberOfPayments,HDFC!LoanAmount)</definedName>
    <definedName name="Principal" localSheetId="0">-PPMT('Loan Calculator'!InterestRate/12,'Loan Calculator'!PaymentNumber,'Loan Calculator'!NumberOfPayments,'Loan Calculator'!LoanAmount)</definedName>
    <definedName name="Principal">-PPMT(InterestRate/12,PaymentNumber,NumberOfPayments,LoanAmount)</definedName>
    <definedName name="_xlnm.Print_Titles" localSheetId="6">Axis!$9:$9</definedName>
    <definedName name="_xlnm.Print_Titles" localSheetId="4">Bajaj!$9:$9</definedName>
    <definedName name="_xlnm.Print_Titles" localSheetId="8">Citi!$9:$9</definedName>
    <definedName name="_xlnm.Print_Titles" localSheetId="7">CLIX!$9:$9</definedName>
    <definedName name="_xlnm.Print_Titles" localSheetId="3">Edelwise!$9:$9</definedName>
    <definedName name="_xlnm.Print_Titles" localSheetId="2">Fullerton!$9:$9</definedName>
    <definedName name="_xlnm.Print_Titles" localSheetId="1">HDFC!$9:$9</definedName>
    <definedName name="_xlnm.Print_Titles" localSheetId="5">IndusIn!$9:$9</definedName>
    <definedName name="_xlnm.Print_Titles" localSheetId="0">'Loan Calculator'!$9:$9</definedName>
    <definedName name="PrintArea_SET" localSheetId="6">OFFSET(Axis!$B$1,,,Axis!LastRow,Axis!LastCol)</definedName>
    <definedName name="PrintArea_SET" localSheetId="4">OFFSET(Bajaj!$B$1,,,Bajaj!LastRow,Bajaj!LastCol)</definedName>
    <definedName name="PrintArea_SET" localSheetId="8">OFFSET(Citi!$B$1,,,Citi!LastRow,Citi!LastCol)</definedName>
    <definedName name="PrintArea_SET" localSheetId="7">OFFSET(CLIX!$B$1,,,CLIX!LastRow,CLIX!LastCol)</definedName>
    <definedName name="PrintArea_SET" localSheetId="3">OFFSET(Edelwise!$B$1,,,Edelwise!LastRow,Edelwise!LastCol)</definedName>
    <definedName name="PrintArea_SET" localSheetId="2">OFFSET(Fullerton!$B$1,,,Fullerton!LastRow,Fullerton!LastCol)</definedName>
    <definedName name="PrintArea_SET" localSheetId="1">OFFSET(HDFC!$B$1,,,HDFC!LastRow,HDFC!LastCol)</definedName>
    <definedName name="PrintArea_SET" localSheetId="0">OFFSET('Loan Calculator'!$B$1,,,'Loan Calculator'!LastRow,'Loan Calculator'!LastCol)</definedName>
    <definedName name="PrintArea_SET">OFFSET(IndusIn!$B$1,,,LastRow,LastCol)</definedName>
    <definedName name="RowTitleRegion1..D6" localSheetId="6">Axis!$B$4</definedName>
    <definedName name="RowTitleRegion1..D6" localSheetId="4">Bajaj!$B$4</definedName>
    <definedName name="RowTitleRegion1..D6" localSheetId="8">Citi!$B$4</definedName>
    <definedName name="RowTitleRegion1..D6" localSheetId="7">CLIX!$B$4</definedName>
    <definedName name="RowTitleRegion1..D6" localSheetId="3">Edelwise!$B$4</definedName>
    <definedName name="RowTitleRegion1..D6" localSheetId="2">Fullerton!$B$4</definedName>
    <definedName name="RowTitleRegion1..D6" localSheetId="1">HDFC!$B$4</definedName>
    <definedName name="RowTitleRegion1..D6" localSheetId="0">'Loan Calculator'!$B$4</definedName>
    <definedName name="RowTitleRegion1..D6">IndusIn!$B$4</definedName>
    <definedName name="RowTitleRegion2..H6" localSheetId="6">Axis!$F$4</definedName>
    <definedName name="RowTitleRegion2..H6" localSheetId="4">Bajaj!$F$4</definedName>
    <definedName name="RowTitleRegion2..H6" localSheetId="8">Citi!$F$4</definedName>
    <definedName name="RowTitleRegion2..H6" localSheetId="7">CLIX!$F$4</definedName>
    <definedName name="RowTitleRegion2..H6" localSheetId="3">Edelwise!$F$4</definedName>
    <definedName name="RowTitleRegion2..H6" localSheetId="2">Fullerton!$F$4</definedName>
    <definedName name="RowTitleRegion2..H6" localSheetId="1">HDFC!$F$4</definedName>
    <definedName name="RowTitleRegion2..H6" localSheetId="0">'Loan Calculator'!$F$4</definedName>
    <definedName name="RowTitleRegion2..H6">IndusIn!$F$4</definedName>
    <definedName name="Total_Interest" localSheetId="6">Axis!$H$6</definedName>
    <definedName name="Total_Interest" localSheetId="4">Bajaj!$H$6</definedName>
    <definedName name="Total_Interest" localSheetId="8">Citi!$H$6</definedName>
    <definedName name="Total_Interest" localSheetId="7">CLIX!$H$6</definedName>
    <definedName name="Total_Interest" localSheetId="3">Edelwise!$H$6</definedName>
    <definedName name="Total_Interest" localSheetId="2">Fullerton!$H$6</definedName>
    <definedName name="Total_Interest" localSheetId="1">HDFC!$H$6</definedName>
    <definedName name="Total_Interest" localSheetId="0">'Loan Calculator'!$H$6</definedName>
    <definedName name="Total_Interest">IndusIn!$H$6</definedName>
    <definedName name="TotalLoanCost" localSheetId="6">Axis!$H$7</definedName>
    <definedName name="TotalLoanCost" localSheetId="4">Bajaj!$H$7</definedName>
    <definedName name="TotalLoanCost" localSheetId="8">Citi!$H$7</definedName>
    <definedName name="TotalLoanCost" localSheetId="7">CLIX!$H$7</definedName>
    <definedName name="TotalLoanCost" localSheetId="3">Edelwise!$H$7</definedName>
    <definedName name="TotalLoanCost" localSheetId="2">Fullerton!$H$7</definedName>
    <definedName name="TotalLoanCost" localSheetId="1">HDFC!$H$7</definedName>
    <definedName name="TotalLoanCost" localSheetId="0">'Loan Calculator'!$H$7</definedName>
    <definedName name="TotalLoanCost">IndusIn!$H$7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" i="11" l="1"/>
  <c r="O7" i="11" s="1"/>
  <c r="O5" i="11"/>
  <c r="O6" i="11"/>
  <c r="O3" i="11"/>
  <c r="I27" i="11"/>
  <c r="M7" i="11"/>
  <c r="J15" i="11"/>
  <c r="B24" i="11" l="1"/>
  <c r="B11" i="11"/>
  <c r="C11" i="11"/>
  <c r="F10" i="11"/>
  <c r="F8" i="11"/>
  <c r="F7" i="11"/>
  <c r="F6" i="11"/>
  <c r="F5" i="11"/>
  <c r="F4" i="11"/>
  <c r="F3" i="11"/>
  <c r="E10" i="11"/>
  <c r="E8" i="11"/>
  <c r="E7" i="11"/>
  <c r="E6" i="11"/>
  <c r="E5" i="11"/>
  <c r="E4" i="11"/>
  <c r="H369" i="10"/>
  <c r="G369" i="10"/>
  <c r="F369" i="10"/>
  <c r="E369" i="10"/>
  <c r="D369" i="10"/>
  <c r="C369" i="10"/>
  <c r="B369" i="10"/>
  <c r="H368" i="10"/>
  <c r="G368" i="10"/>
  <c r="F368" i="10"/>
  <c r="E368" i="10"/>
  <c r="D368" i="10"/>
  <c r="C368" i="10"/>
  <c r="B368" i="10"/>
  <c r="H367" i="10"/>
  <c r="G367" i="10"/>
  <c r="F367" i="10"/>
  <c r="E367" i="10"/>
  <c r="D367" i="10"/>
  <c r="C367" i="10"/>
  <c r="B367" i="10"/>
  <c r="H366" i="10"/>
  <c r="G366" i="10"/>
  <c r="F366" i="10"/>
  <c r="E366" i="10"/>
  <c r="D366" i="10"/>
  <c r="C366" i="10"/>
  <c r="B366" i="10"/>
  <c r="H365" i="10"/>
  <c r="G365" i="10"/>
  <c r="F365" i="10"/>
  <c r="E365" i="10"/>
  <c r="D365" i="10"/>
  <c r="C365" i="10"/>
  <c r="B365" i="10"/>
  <c r="H364" i="10"/>
  <c r="G364" i="10"/>
  <c r="F364" i="10"/>
  <c r="E364" i="10"/>
  <c r="D364" i="10"/>
  <c r="C364" i="10"/>
  <c r="B364" i="10"/>
  <c r="H363" i="10"/>
  <c r="G363" i="10"/>
  <c r="F363" i="10"/>
  <c r="E363" i="10"/>
  <c r="D363" i="10"/>
  <c r="C363" i="10"/>
  <c r="B363" i="10"/>
  <c r="H362" i="10"/>
  <c r="G362" i="10"/>
  <c r="F362" i="10"/>
  <c r="E362" i="10"/>
  <c r="D362" i="10"/>
  <c r="C362" i="10"/>
  <c r="B362" i="10"/>
  <c r="H361" i="10"/>
  <c r="G361" i="10"/>
  <c r="F361" i="10"/>
  <c r="E361" i="10"/>
  <c r="D361" i="10"/>
  <c r="C361" i="10"/>
  <c r="B361" i="10"/>
  <c r="H360" i="10"/>
  <c r="G360" i="10"/>
  <c r="F360" i="10"/>
  <c r="E360" i="10"/>
  <c r="D360" i="10"/>
  <c r="C360" i="10"/>
  <c r="B360" i="10"/>
  <c r="H359" i="10"/>
  <c r="G359" i="10"/>
  <c r="F359" i="10"/>
  <c r="E359" i="10"/>
  <c r="D359" i="10"/>
  <c r="C359" i="10"/>
  <c r="B359" i="10"/>
  <c r="H358" i="10"/>
  <c r="G358" i="10"/>
  <c r="F358" i="10"/>
  <c r="E358" i="10"/>
  <c r="D358" i="10"/>
  <c r="C358" i="10"/>
  <c r="B358" i="10"/>
  <c r="H357" i="10"/>
  <c r="G357" i="10"/>
  <c r="F357" i="10"/>
  <c r="E357" i="10"/>
  <c r="D357" i="10"/>
  <c r="C357" i="10"/>
  <c r="B357" i="10"/>
  <c r="H356" i="10"/>
  <c r="G356" i="10"/>
  <c r="F356" i="10"/>
  <c r="E356" i="10"/>
  <c r="D356" i="10"/>
  <c r="C356" i="10"/>
  <c r="B356" i="10"/>
  <c r="H355" i="10"/>
  <c r="G355" i="10"/>
  <c r="F355" i="10"/>
  <c r="E355" i="10"/>
  <c r="D355" i="10"/>
  <c r="C355" i="10"/>
  <c r="B355" i="10"/>
  <c r="H354" i="10"/>
  <c r="G354" i="10"/>
  <c r="F354" i="10"/>
  <c r="E354" i="10"/>
  <c r="D354" i="10"/>
  <c r="C354" i="10"/>
  <c r="B354" i="10"/>
  <c r="H353" i="10"/>
  <c r="G353" i="10"/>
  <c r="F353" i="10"/>
  <c r="E353" i="10"/>
  <c r="D353" i="10"/>
  <c r="C353" i="10"/>
  <c r="B353" i="10"/>
  <c r="H352" i="10"/>
  <c r="G352" i="10"/>
  <c r="F352" i="10"/>
  <c r="E352" i="10"/>
  <c r="D352" i="10"/>
  <c r="C352" i="10"/>
  <c r="B352" i="10"/>
  <c r="H351" i="10"/>
  <c r="G351" i="10"/>
  <c r="F351" i="10"/>
  <c r="E351" i="10"/>
  <c r="D351" i="10"/>
  <c r="C351" i="10"/>
  <c r="B351" i="10"/>
  <c r="H350" i="10"/>
  <c r="G350" i="10"/>
  <c r="F350" i="10"/>
  <c r="E350" i="10"/>
  <c r="D350" i="10"/>
  <c r="C350" i="10"/>
  <c r="B350" i="10"/>
  <c r="H349" i="10"/>
  <c r="G349" i="10"/>
  <c r="F349" i="10"/>
  <c r="E349" i="10"/>
  <c r="D349" i="10"/>
  <c r="C349" i="10"/>
  <c r="B349" i="10"/>
  <c r="H348" i="10"/>
  <c r="G348" i="10"/>
  <c r="F348" i="10"/>
  <c r="E348" i="10"/>
  <c r="D348" i="10"/>
  <c r="C348" i="10"/>
  <c r="B348" i="10"/>
  <c r="H347" i="10"/>
  <c r="G347" i="10"/>
  <c r="F347" i="10"/>
  <c r="E347" i="10"/>
  <c r="D347" i="10"/>
  <c r="C347" i="10"/>
  <c r="B347" i="10"/>
  <c r="H346" i="10"/>
  <c r="G346" i="10"/>
  <c r="F346" i="10"/>
  <c r="E346" i="10"/>
  <c r="D346" i="10"/>
  <c r="C346" i="10"/>
  <c r="B346" i="10"/>
  <c r="H345" i="10"/>
  <c r="G345" i="10"/>
  <c r="F345" i="10"/>
  <c r="E345" i="10"/>
  <c r="D345" i="10"/>
  <c r="C345" i="10"/>
  <c r="B345" i="10"/>
  <c r="H344" i="10"/>
  <c r="G344" i="10"/>
  <c r="F344" i="10"/>
  <c r="E344" i="10"/>
  <c r="D344" i="10"/>
  <c r="C344" i="10"/>
  <c r="B344" i="10"/>
  <c r="H343" i="10"/>
  <c r="G343" i="10"/>
  <c r="F343" i="10"/>
  <c r="E343" i="10"/>
  <c r="D343" i="10"/>
  <c r="C343" i="10"/>
  <c r="B343" i="10"/>
  <c r="H342" i="10"/>
  <c r="G342" i="10"/>
  <c r="F342" i="10"/>
  <c r="E342" i="10"/>
  <c r="D342" i="10"/>
  <c r="C342" i="10"/>
  <c r="B342" i="10"/>
  <c r="H341" i="10"/>
  <c r="G341" i="10"/>
  <c r="F341" i="10"/>
  <c r="E341" i="10"/>
  <c r="D341" i="10"/>
  <c r="C341" i="10"/>
  <c r="B341" i="10"/>
  <c r="H340" i="10"/>
  <c r="G340" i="10"/>
  <c r="F340" i="10"/>
  <c r="E340" i="10"/>
  <c r="D340" i="10"/>
  <c r="C340" i="10"/>
  <c r="B340" i="10"/>
  <c r="H339" i="10"/>
  <c r="G339" i="10"/>
  <c r="F339" i="10"/>
  <c r="E339" i="10"/>
  <c r="D339" i="10"/>
  <c r="C339" i="10"/>
  <c r="B339" i="10"/>
  <c r="H338" i="10"/>
  <c r="G338" i="10"/>
  <c r="F338" i="10"/>
  <c r="E338" i="10"/>
  <c r="D338" i="10"/>
  <c r="C338" i="10"/>
  <c r="B338" i="10"/>
  <c r="H337" i="10"/>
  <c r="G337" i="10"/>
  <c r="F337" i="10"/>
  <c r="E337" i="10"/>
  <c r="D337" i="10"/>
  <c r="C337" i="10"/>
  <c r="B337" i="10"/>
  <c r="H336" i="10"/>
  <c r="G336" i="10"/>
  <c r="F336" i="10"/>
  <c r="E336" i="10"/>
  <c r="D336" i="10"/>
  <c r="C336" i="10"/>
  <c r="B336" i="10"/>
  <c r="H335" i="10"/>
  <c r="G335" i="10"/>
  <c r="F335" i="10"/>
  <c r="E335" i="10"/>
  <c r="D335" i="10"/>
  <c r="C335" i="10"/>
  <c r="B335" i="10"/>
  <c r="H334" i="10"/>
  <c r="G334" i="10"/>
  <c r="F334" i="10"/>
  <c r="E334" i="10"/>
  <c r="D334" i="10"/>
  <c r="C334" i="10"/>
  <c r="B334" i="10"/>
  <c r="H333" i="10"/>
  <c r="G333" i="10"/>
  <c r="F333" i="10"/>
  <c r="E333" i="10"/>
  <c r="D333" i="10"/>
  <c r="C333" i="10"/>
  <c r="B333" i="10"/>
  <c r="H332" i="10"/>
  <c r="G332" i="10"/>
  <c r="F332" i="10"/>
  <c r="E332" i="10"/>
  <c r="D332" i="10"/>
  <c r="C332" i="10"/>
  <c r="B332" i="10"/>
  <c r="H331" i="10"/>
  <c r="G331" i="10"/>
  <c r="F331" i="10"/>
  <c r="E331" i="10"/>
  <c r="D331" i="10"/>
  <c r="C331" i="10"/>
  <c r="B331" i="10"/>
  <c r="H330" i="10"/>
  <c r="G330" i="10"/>
  <c r="F330" i="10"/>
  <c r="E330" i="10"/>
  <c r="D330" i="10"/>
  <c r="C330" i="10"/>
  <c r="B330" i="10"/>
  <c r="H329" i="10"/>
  <c r="G329" i="10"/>
  <c r="F329" i="10"/>
  <c r="E329" i="10"/>
  <c r="D329" i="10"/>
  <c r="C329" i="10"/>
  <c r="B329" i="10"/>
  <c r="H328" i="10"/>
  <c r="G328" i="10"/>
  <c r="F328" i="10"/>
  <c r="E328" i="10"/>
  <c r="D328" i="10"/>
  <c r="C328" i="10"/>
  <c r="B328" i="10"/>
  <c r="H327" i="10"/>
  <c r="G327" i="10"/>
  <c r="F327" i="10"/>
  <c r="E327" i="10"/>
  <c r="D327" i="10"/>
  <c r="C327" i="10"/>
  <c r="B327" i="10"/>
  <c r="H326" i="10"/>
  <c r="G326" i="10"/>
  <c r="F326" i="10"/>
  <c r="E326" i="10"/>
  <c r="D326" i="10"/>
  <c r="C326" i="10"/>
  <c r="B326" i="10"/>
  <c r="H325" i="10"/>
  <c r="G325" i="10"/>
  <c r="F325" i="10"/>
  <c r="E325" i="10"/>
  <c r="D325" i="10"/>
  <c r="C325" i="10"/>
  <c r="B325" i="10"/>
  <c r="H324" i="10"/>
  <c r="G324" i="10"/>
  <c r="F324" i="10"/>
  <c r="E324" i="10"/>
  <c r="D324" i="10"/>
  <c r="C324" i="10"/>
  <c r="B324" i="10"/>
  <c r="H323" i="10"/>
  <c r="G323" i="10"/>
  <c r="F323" i="10"/>
  <c r="E323" i="10"/>
  <c r="D323" i="10"/>
  <c r="C323" i="10"/>
  <c r="B323" i="10"/>
  <c r="H322" i="10"/>
  <c r="G322" i="10"/>
  <c r="F322" i="10"/>
  <c r="E322" i="10"/>
  <c r="D322" i="10"/>
  <c r="C322" i="10"/>
  <c r="B322" i="10"/>
  <c r="H321" i="10"/>
  <c r="G321" i="10"/>
  <c r="F321" i="10"/>
  <c r="E321" i="10"/>
  <c r="D321" i="10"/>
  <c r="C321" i="10"/>
  <c r="B321" i="10"/>
  <c r="H320" i="10"/>
  <c r="G320" i="10"/>
  <c r="F320" i="10"/>
  <c r="E320" i="10"/>
  <c r="D320" i="10"/>
  <c r="C320" i="10"/>
  <c r="B320" i="10"/>
  <c r="H319" i="10"/>
  <c r="G319" i="10"/>
  <c r="F319" i="10"/>
  <c r="E319" i="10"/>
  <c r="D319" i="10"/>
  <c r="C319" i="10"/>
  <c r="B319" i="10"/>
  <c r="H318" i="10"/>
  <c r="G318" i="10"/>
  <c r="F318" i="10"/>
  <c r="E318" i="10"/>
  <c r="D318" i="10"/>
  <c r="C318" i="10"/>
  <c r="B318" i="10"/>
  <c r="H317" i="10"/>
  <c r="G317" i="10"/>
  <c r="F317" i="10"/>
  <c r="E317" i="10"/>
  <c r="D317" i="10"/>
  <c r="C317" i="10"/>
  <c r="B317" i="10"/>
  <c r="H316" i="10"/>
  <c r="G316" i="10"/>
  <c r="F316" i="10"/>
  <c r="E316" i="10"/>
  <c r="D316" i="10"/>
  <c r="C316" i="10"/>
  <c r="B316" i="10"/>
  <c r="H315" i="10"/>
  <c r="G315" i="10"/>
  <c r="F315" i="10"/>
  <c r="E315" i="10"/>
  <c r="D315" i="10"/>
  <c r="C315" i="10"/>
  <c r="B315" i="10"/>
  <c r="H314" i="10"/>
  <c r="G314" i="10"/>
  <c r="F314" i="10"/>
  <c r="E314" i="10"/>
  <c r="D314" i="10"/>
  <c r="C314" i="10"/>
  <c r="B314" i="10"/>
  <c r="H313" i="10"/>
  <c r="G313" i="10"/>
  <c r="F313" i="10"/>
  <c r="E313" i="10"/>
  <c r="D313" i="10"/>
  <c r="C313" i="10"/>
  <c r="B313" i="10"/>
  <c r="H312" i="10"/>
  <c r="G312" i="10"/>
  <c r="F312" i="10"/>
  <c r="E312" i="10"/>
  <c r="D312" i="10"/>
  <c r="C312" i="10"/>
  <c r="B312" i="10"/>
  <c r="H311" i="10"/>
  <c r="G311" i="10"/>
  <c r="F311" i="10"/>
  <c r="E311" i="10"/>
  <c r="D311" i="10"/>
  <c r="C311" i="10"/>
  <c r="B311" i="10"/>
  <c r="H310" i="10"/>
  <c r="G310" i="10"/>
  <c r="F310" i="10"/>
  <c r="E310" i="10"/>
  <c r="D310" i="10"/>
  <c r="C310" i="10"/>
  <c r="B310" i="10"/>
  <c r="H309" i="10"/>
  <c r="G309" i="10"/>
  <c r="F309" i="10"/>
  <c r="E309" i="10"/>
  <c r="D309" i="10"/>
  <c r="C309" i="10"/>
  <c r="B309" i="10"/>
  <c r="H308" i="10"/>
  <c r="G308" i="10"/>
  <c r="F308" i="10"/>
  <c r="E308" i="10"/>
  <c r="D308" i="10"/>
  <c r="C308" i="10"/>
  <c r="B308" i="10"/>
  <c r="H307" i="10"/>
  <c r="G307" i="10"/>
  <c r="F307" i="10"/>
  <c r="E307" i="10"/>
  <c r="D307" i="10"/>
  <c r="C307" i="10"/>
  <c r="B307" i="10"/>
  <c r="H306" i="10"/>
  <c r="G306" i="10"/>
  <c r="F306" i="10"/>
  <c r="E306" i="10"/>
  <c r="D306" i="10"/>
  <c r="C306" i="10"/>
  <c r="B306" i="10"/>
  <c r="H305" i="10"/>
  <c r="G305" i="10"/>
  <c r="F305" i="10"/>
  <c r="E305" i="10"/>
  <c r="D305" i="10"/>
  <c r="C305" i="10"/>
  <c r="B305" i="10"/>
  <c r="H304" i="10"/>
  <c r="G304" i="10"/>
  <c r="F304" i="10"/>
  <c r="E304" i="10"/>
  <c r="D304" i="10"/>
  <c r="C304" i="10"/>
  <c r="B304" i="10"/>
  <c r="H303" i="10"/>
  <c r="G303" i="10"/>
  <c r="F303" i="10"/>
  <c r="E303" i="10"/>
  <c r="D303" i="10"/>
  <c r="C303" i="10"/>
  <c r="B303" i="10"/>
  <c r="H302" i="10"/>
  <c r="G302" i="10"/>
  <c r="F302" i="10"/>
  <c r="E302" i="10"/>
  <c r="D302" i="10"/>
  <c r="C302" i="10"/>
  <c r="B302" i="10"/>
  <c r="H301" i="10"/>
  <c r="G301" i="10"/>
  <c r="F301" i="10"/>
  <c r="E301" i="10"/>
  <c r="D301" i="10"/>
  <c r="C301" i="10"/>
  <c r="B301" i="10"/>
  <c r="H300" i="10"/>
  <c r="G300" i="10"/>
  <c r="F300" i="10"/>
  <c r="E300" i="10"/>
  <c r="D300" i="10"/>
  <c r="C300" i="10"/>
  <c r="B300" i="10"/>
  <c r="H299" i="10"/>
  <c r="G299" i="10"/>
  <c r="F299" i="10"/>
  <c r="E299" i="10"/>
  <c r="D299" i="10"/>
  <c r="C299" i="10"/>
  <c r="B299" i="10"/>
  <c r="H298" i="10"/>
  <c r="G298" i="10"/>
  <c r="F298" i="10"/>
  <c r="E298" i="10"/>
  <c r="D298" i="10"/>
  <c r="C298" i="10"/>
  <c r="B298" i="10"/>
  <c r="H297" i="10"/>
  <c r="G297" i="10"/>
  <c r="F297" i="10"/>
  <c r="E297" i="10"/>
  <c r="D297" i="10"/>
  <c r="C297" i="10"/>
  <c r="B297" i="10"/>
  <c r="H296" i="10"/>
  <c r="G296" i="10"/>
  <c r="F296" i="10"/>
  <c r="E296" i="10"/>
  <c r="D296" i="10"/>
  <c r="C296" i="10"/>
  <c r="B296" i="10"/>
  <c r="H295" i="10"/>
  <c r="G295" i="10"/>
  <c r="F295" i="10"/>
  <c r="E295" i="10"/>
  <c r="D295" i="10"/>
  <c r="C295" i="10"/>
  <c r="B295" i="10"/>
  <c r="H294" i="10"/>
  <c r="G294" i="10"/>
  <c r="F294" i="10"/>
  <c r="E294" i="10"/>
  <c r="D294" i="10"/>
  <c r="C294" i="10"/>
  <c r="B294" i="10"/>
  <c r="H293" i="10"/>
  <c r="G293" i="10"/>
  <c r="F293" i="10"/>
  <c r="E293" i="10"/>
  <c r="D293" i="10"/>
  <c r="C293" i="10"/>
  <c r="B293" i="10"/>
  <c r="H292" i="10"/>
  <c r="G292" i="10"/>
  <c r="F292" i="10"/>
  <c r="E292" i="10"/>
  <c r="D292" i="10"/>
  <c r="C292" i="10"/>
  <c r="B292" i="10"/>
  <c r="H291" i="10"/>
  <c r="G291" i="10"/>
  <c r="F291" i="10"/>
  <c r="E291" i="10"/>
  <c r="D291" i="10"/>
  <c r="C291" i="10"/>
  <c r="B291" i="10"/>
  <c r="H290" i="10"/>
  <c r="G290" i="10"/>
  <c r="F290" i="10"/>
  <c r="E290" i="10"/>
  <c r="D290" i="10"/>
  <c r="C290" i="10"/>
  <c r="B290" i="10"/>
  <c r="H289" i="10"/>
  <c r="G289" i="10"/>
  <c r="F289" i="10"/>
  <c r="E289" i="10"/>
  <c r="D289" i="10"/>
  <c r="C289" i="10"/>
  <c r="B289" i="10"/>
  <c r="H288" i="10"/>
  <c r="G288" i="10"/>
  <c r="F288" i="10"/>
  <c r="E288" i="10"/>
  <c r="D288" i="10"/>
  <c r="C288" i="10"/>
  <c r="B288" i="10"/>
  <c r="H287" i="10"/>
  <c r="G287" i="10"/>
  <c r="F287" i="10"/>
  <c r="E287" i="10"/>
  <c r="D287" i="10"/>
  <c r="C287" i="10"/>
  <c r="B287" i="10"/>
  <c r="H286" i="10"/>
  <c r="G286" i="10"/>
  <c r="F286" i="10"/>
  <c r="E286" i="10"/>
  <c r="D286" i="10"/>
  <c r="C286" i="10"/>
  <c r="B286" i="10"/>
  <c r="H285" i="10"/>
  <c r="G285" i="10"/>
  <c r="F285" i="10"/>
  <c r="E285" i="10"/>
  <c r="D285" i="10"/>
  <c r="C285" i="10"/>
  <c r="B285" i="10"/>
  <c r="H284" i="10"/>
  <c r="G284" i="10"/>
  <c r="F284" i="10"/>
  <c r="E284" i="10"/>
  <c r="D284" i="10"/>
  <c r="C284" i="10"/>
  <c r="B284" i="10"/>
  <c r="H283" i="10"/>
  <c r="G283" i="10"/>
  <c r="F283" i="10"/>
  <c r="E283" i="10"/>
  <c r="D283" i="10"/>
  <c r="C283" i="10"/>
  <c r="B283" i="10"/>
  <c r="H282" i="10"/>
  <c r="G282" i="10"/>
  <c r="F282" i="10"/>
  <c r="E282" i="10"/>
  <c r="D282" i="10"/>
  <c r="C282" i="10"/>
  <c r="B282" i="10"/>
  <c r="H281" i="10"/>
  <c r="G281" i="10"/>
  <c r="F281" i="10"/>
  <c r="E281" i="10"/>
  <c r="D281" i="10"/>
  <c r="C281" i="10"/>
  <c r="B281" i="10"/>
  <c r="H280" i="10"/>
  <c r="G280" i="10"/>
  <c r="F280" i="10"/>
  <c r="E280" i="10"/>
  <c r="D280" i="10"/>
  <c r="C280" i="10"/>
  <c r="B280" i="10"/>
  <c r="H279" i="10"/>
  <c r="G279" i="10"/>
  <c r="F279" i="10"/>
  <c r="E279" i="10"/>
  <c r="D279" i="10"/>
  <c r="C279" i="10"/>
  <c r="B279" i="10"/>
  <c r="H278" i="10"/>
  <c r="G278" i="10"/>
  <c r="F278" i="10"/>
  <c r="E278" i="10"/>
  <c r="D278" i="10"/>
  <c r="C278" i="10"/>
  <c r="B278" i="10"/>
  <c r="H277" i="10"/>
  <c r="G277" i="10"/>
  <c r="F277" i="10"/>
  <c r="E277" i="10"/>
  <c r="D277" i="10"/>
  <c r="C277" i="10"/>
  <c r="B277" i="10"/>
  <c r="H276" i="10"/>
  <c r="G276" i="10"/>
  <c r="F276" i="10"/>
  <c r="E276" i="10"/>
  <c r="D276" i="10"/>
  <c r="C276" i="10"/>
  <c r="B276" i="10"/>
  <c r="H275" i="10"/>
  <c r="G275" i="10"/>
  <c r="F275" i="10"/>
  <c r="E275" i="10"/>
  <c r="D275" i="10"/>
  <c r="C275" i="10"/>
  <c r="B275" i="10"/>
  <c r="H274" i="10"/>
  <c r="G274" i="10"/>
  <c r="F274" i="10"/>
  <c r="E274" i="10"/>
  <c r="D274" i="10"/>
  <c r="C274" i="10"/>
  <c r="B274" i="10"/>
  <c r="H273" i="10"/>
  <c r="G273" i="10"/>
  <c r="F273" i="10"/>
  <c r="E273" i="10"/>
  <c r="D273" i="10"/>
  <c r="C273" i="10"/>
  <c r="B273" i="10"/>
  <c r="H272" i="10"/>
  <c r="G272" i="10"/>
  <c r="F272" i="10"/>
  <c r="E272" i="10"/>
  <c r="D272" i="10"/>
  <c r="C272" i="10"/>
  <c r="B272" i="10"/>
  <c r="H271" i="10"/>
  <c r="G271" i="10"/>
  <c r="F271" i="10"/>
  <c r="E271" i="10"/>
  <c r="D271" i="10"/>
  <c r="C271" i="10"/>
  <c r="B271" i="10"/>
  <c r="H270" i="10"/>
  <c r="G270" i="10"/>
  <c r="F270" i="10"/>
  <c r="E270" i="10"/>
  <c r="D270" i="10"/>
  <c r="C270" i="10"/>
  <c r="B270" i="10"/>
  <c r="H269" i="10"/>
  <c r="G269" i="10"/>
  <c r="F269" i="10"/>
  <c r="E269" i="10"/>
  <c r="D269" i="10"/>
  <c r="C269" i="10"/>
  <c r="B269" i="10"/>
  <c r="H268" i="10"/>
  <c r="G268" i="10"/>
  <c r="F268" i="10"/>
  <c r="E268" i="10"/>
  <c r="D268" i="10"/>
  <c r="C268" i="10"/>
  <c r="B268" i="10"/>
  <c r="H267" i="10"/>
  <c r="G267" i="10"/>
  <c r="F267" i="10"/>
  <c r="E267" i="10"/>
  <c r="D267" i="10"/>
  <c r="C267" i="10"/>
  <c r="B267" i="10"/>
  <c r="H266" i="10"/>
  <c r="G266" i="10"/>
  <c r="F266" i="10"/>
  <c r="E266" i="10"/>
  <c r="D266" i="10"/>
  <c r="C266" i="10"/>
  <c r="B266" i="10"/>
  <c r="H265" i="10"/>
  <c r="G265" i="10"/>
  <c r="F265" i="10"/>
  <c r="E265" i="10"/>
  <c r="D265" i="10"/>
  <c r="C265" i="10"/>
  <c r="B265" i="10"/>
  <c r="H264" i="10"/>
  <c r="G264" i="10"/>
  <c r="F264" i="10"/>
  <c r="E264" i="10"/>
  <c r="D264" i="10"/>
  <c r="C264" i="10"/>
  <c r="B264" i="10"/>
  <c r="H263" i="10"/>
  <c r="G263" i="10"/>
  <c r="F263" i="10"/>
  <c r="E263" i="10"/>
  <c r="D263" i="10"/>
  <c r="C263" i="10"/>
  <c r="B263" i="10"/>
  <c r="H262" i="10"/>
  <c r="G262" i="10"/>
  <c r="F262" i="10"/>
  <c r="E262" i="10"/>
  <c r="D262" i="10"/>
  <c r="C262" i="10"/>
  <c r="B262" i="10"/>
  <c r="H261" i="10"/>
  <c r="G261" i="10"/>
  <c r="F261" i="10"/>
  <c r="E261" i="10"/>
  <c r="D261" i="10"/>
  <c r="C261" i="10"/>
  <c r="B261" i="10"/>
  <c r="H260" i="10"/>
  <c r="G260" i="10"/>
  <c r="F260" i="10"/>
  <c r="E260" i="10"/>
  <c r="D260" i="10"/>
  <c r="C260" i="10"/>
  <c r="B260" i="10"/>
  <c r="H259" i="10"/>
  <c r="G259" i="10"/>
  <c r="F259" i="10"/>
  <c r="E259" i="10"/>
  <c r="D259" i="10"/>
  <c r="C259" i="10"/>
  <c r="B259" i="10"/>
  <c r="H258" i="10"/>
  <c r="G258" i="10"/>
  <c r="F258" i="10"/>
  <c r="E258" i="10"/>
  <c r="D258" i="10"/>
  <c r="C258" i="10"/>
  <c r="B258" i="10"/>
  <c r="H257" i="10"/>
  <c r="G257" i="10"/>
  <c r="F257" i="10"/>
  <c r="E257" i="10"/>
  <c r="D257" i="10"/>
  <c r="C257" i="10"/>
  <c r="B257" i="10"/>
  <c r="H256" i="10"/>
  <c r="G256" i="10"/>
  <c r="F256" i="10"/>
  <c r="E256" i="10"/>
  <c r="D256" i="10"/>
  <c r="C256" i="10"/>
  <c r="B256" i="10"/>
  <c r="H255" i="10"/>
  <c r="G255" i="10"/>
  <c r="F255" i="10"/>
  <c r="E255" i="10"/>
  <c r="D255" i="10"/>
  <c r="C255" i="10"/>
  <c r="B255" i="10"/>
  <c r="H254" i="10"/>
  <c r="G254" i="10"/>
  <c r="F254" i="10"/>
  <c r="E254" i="10"/>
  <c r="D254" i="10"/>
  <c r="C254" i="10"/>
  <c r="B254" i="10"/>
  <c r="H253" i="10"/>
  <c r="G253" i="10"/>
  <c r="F253" i="10"/>
  <c r="E253" i="10"/>
  <c r="D253" i="10"/>
  <c r="C253" i="10"/>
  <c r="B253" i="10"/>
  <c r="H252" i="10"/>
  <c r="G252" i="10"/>
  <c r="F252" i="10"/>
  <c r="E252" i="10"/>
  <c r="D252" i="10"/>
  <c r="C252" i="10"/>
  <c r="B252" i="10"/>
  <c r="H251" i="10"/>
  <c r="G251" i="10"/>
  <c r="F251" i="10"/>
  <c r="E251" i="10"/>
  <c r="D251" i="10"/>
  <c r="C251" i="10"/>
  <c r="B251" i="10"/>
  <c r="H250" i="10"/>
  <c r="G250" i="10"/>
  <c r="F250" i="10"/>
  <c r="E250" i="10"/>
  <c r="D250" i="10"/>
  <c r="C250" i="10"/>
  <c r="B250" i="10"/>
  <c r="H249" i="10"/>
  <c r="G249" i="10"/>
  <c r="F249" i="10"/>
  <c r="E249" i="10"/>
  <c r="D249" i="10"/>
  <c r="C249" i="10"/>
  <c r="B249" i="10"/>
  <c r="H248" i="10"/>
  <c r="G248" i="10"/>
  <c r="F248" i="10"/>
  <c r="E248" i="10"/>
  <c r="D248" i="10"/>
  <c r="C248" i="10"/>
  <c r="B248" i="10"/>
  <c r="H247" i="10"/>
  <c r="G247" i="10"/>
  <c r="F247" i="10"/>
  <c r="E247" i="10"/>
  <c r="D247" i="10"/>
  <c r="C247" i="10"/>
  <c r="B247" i="10"/>
  <c r="H246" i="10"/>
  <c r="G246" i="10"/>
  <c r="F246" i="10"/>
  <c r="E246" i="10"/>
  <c r="D246" i="10"/>
  <c r="C246" i="10"/>
  <c r="B246" i="10"/>
  <c r="H245" i="10"/>
  <c r="G245" i="10"/>
  <c r="F245" i="10"/>
  <c r="E245" i="10"/>
  <c r="D245" i="10"/>
  <c r="C245" i="10"/>
  <c r="B245" i="10"/>
  <c r="H244" i="10"/>
  <c r="G244" i="10"/>
  <c r="F244" i="10"/>
  <c r="E244" i="10"/>
  <c r="D244" i="10"/>
  <c r="C244" i="10"/>
  <c r="B244" i="10"/>
  <c r="H243" i="10"/>
  <c r="G243" i="10"/>
  <c r="F243" i="10"/>
  <c r="E243" i="10"/>
  <c r="D243" i="10"/>
  <c r="C243" i="10"/>
  <c r="B243" i="10"/>
  <c r="H242" i="10"/>
  <c r="G242" i="10"/>
  <c r="F242" i="10"/>
  <c r="E242" i="10"/>
  <c r="D242" i="10"/>
  <c r="C242" i="10"/>
  <c r="B242" i="10"/>
  <c r="H241" i="10"/>
  <c r="G241" i="10"/>
  <c r="F241" i="10"/>
  <c r="E241" i="10"/>
  <c r="D241" i="10"/>
  <c r="C241" i="10"/>
  <c r="B241" i="10"/>
  <c r="H240" i="10"/>
  <c r="G240" i="10"/>
  <c r="F240" i="10"/>
  <c r="E240" i="10"/>
  <c r="D240" i="10"/>
  <c r="C240" i="10"/>
  <c r="B240" i="10"/>
  <c r="H239" i="10"/>
  <c r="G239" i="10"/>
  <c r="F239" i="10"/>
  <c r="E239" i="10"/>
  <c r="D239" i="10"/>
  <c r="C239" i="10"/>
  <c r="B239" i="10"/>
  <c r="H238" i="10"/>
  <c r="G238" i="10"/>
  <c r="F238" i="10"/>
  <c r="E238" i="10"/>
  <c r="D238" i="10"/>
  <c r="C238" i="10"/>
  <c r="B238" i="10"/>
  <c r="H237" i="10"/>
  <c r="G237" i="10"/>
  <c r="F237" i="10"/>
  <c r="E237" i="10"/>
  <c r="D237" i="10"/>
  <c r="C237" i="10"/>
  <c r="B237" i="10"/>
  <c r="H236" i="10"/>
  <c r="G236" i="10"/>
  <c r="F236" i="10"/>
  <c r="E236" i="10"/>
  <c r="D236" i="10"/>
  <c r="C236" i="10"/>
  <c r="B236" i="10"/>
  <c r="H235" i="10"/>
  <c r="G235" i="10"/>
  <c r="F235" i="10"/>
  <c r="E235" i="10"/>
  <c r="D235" i="10"/>
  <c r="C235" i="10"/>
  <c r="B235" i="10"/>
  <c r="H234" i="10"/>
  <c r="G234" i="10"/>
  <c r="F234" i="10"/>
  <c r="E234" i="10"/>
  <c r="D234" i="10"/>
  <c r="C234" i="10"/>
  <c r="B234" i="10"/>
  <c r="H233" i="10"/>
  <c r="G233" i="10"/>
  <c r="F233" i="10"/>
  <c r="E233" i="10"/>
  <c r="D233" i="10"/>
  <c r="C233" i="10"/>
  <c r="B233" i="10"/>
  <c r="H232" i="10"/>
  <c r="G232" i="10"/>
  <c r="F232" i="10"/>
  <c r="E232" i="10"/>
  <c r="D232" i="10"/>
  <c r="C232" i="10"/>
  <c r="B232" i="10"/>
  <c r="H231" i="10"/>
  <c r="G231" i="10"/>
  <c r="F231" i="10"/>
  <c r="E231" i="10"/>
  <c r="D231" i="10"/>
  <c r="C231" i="10"/>
  <c r="B231" i="10"/>
  <c r="H230" i="10"/>
  <c r="G230" i="10"/>
  <c r="F230" i="10"/>
  <c r="E230" i="10"/>
  <c r="D230" i="10"/>
  <c r="C230" i="10"/>
  <c r="B230" i="10"/>
  <c r="H229" i="10"/>
  <c r="G229" i="10"/>
  <c r="F229" i="10"/>
  <c r="E229" i="10"/>
  <c r="D229" i="10"/>
  <c r="C229" i="10"/>
  <c r="B229" i="10"/>
  <c r="H228" i="10"/>
  <c r="G228" i="10"/>
  <c r="F228" i="10"/>
  <c r="E228" i="10"/>
  <c r="D228" i="10"/>
  <c r="C228" i="10"/>
  <c r="B228" i="10"/>
  <c r="H227" i="10"/>
  <c r="G227" i="10"/>
  <c r="F227" i="10"/>
  <c r="E227" i="10"/>
  <c r="D227" i="10"/>
  <c r="C227" i="10"/>
  <c r="B227" i="10"/>
  <c r="H226" i="10"/>
  <c r="G226" i="10"/>
  <c r="F226" i="10"/>
  <c r="E226" i="10"/>
  <c r="D226" i="10"/>
  <c r="C226" i="10"/>
  <c r="B226" i="10"/>
  <c r="H225" i="10"/>
  <c r="G225" i="10"/>
  <c r="F225" i="10"/>
  <c r="E225" i="10"/>
  <c r="D225" i="10"/>
  <c r="C225" i="10"/>
  <c r="B225" i="10"/>
  <c r="H224" i="10"/>
  <c r="G224" i="10"/>
  <c r="F224" i="10"/>
  <c r="E224" i="10"/>
  <c r="D224" i="10"/>
  <c r="C224" i="10"/>
  <c r="B224" i="10"/>
  <c r="H223" i="10"/>
  <c r="G223" i="10"/>
  <c r="F223" i="10"/>
  <c r="E223" i="10"/>
  <c r="D223" i="10"/>
  <c r="C223" i="10"/>
  <c r="B223" i="10"/>
  <c r="H222" i="10"/>
  <c r="G222" i="10"/>
  <c r="F222" i="10"/>
  <c r="E222" i="10"/>
  <c r="D222" i="10"/>
  <c r="C222" i="10"/>
  <c r="B222" i="10"/>
  <c r="H221" i="10"/>
  <c r="G221" i="10"/>
  <c r="F221" i="10"/>
  <c r="E221" i="10"/>
  <c r="D221" i="10"/>
  <c r="C221" i="10"/>
  <c r="B221" i="10"/>
  <c r="H220" i="10"/>
  <c r="G220" i="10"/>
  <c r="F220" i="10"/>
  <c r="E220" i="10"/>
  <c r="D220" i="10"/>
  <c r="C220" i="10"/>
  <c r="B220" i="10"/>
  <c r="H219" i="10"/>
  <c r="G219" i="10"/>
  <c r="F219" i="10"/>
  <c r="E219" i="10"/>
  <c r="D219" i="10"/>
  <c r="C219" i="10"/>
  <c r="B219" i="10"/>
  <c r="H218" i="10"/>
  <c r="G218" i="10"/>
  <c r="F218" i="10"/>
  <c r="E218" i="10"/>
  <c r="D218" i="10"/>
  <c r="C218" i="10"/>
  <c r="B218" i="10"/>
  <c r="H217" i="10"/>
  <c r="G217" i="10"/>
  <c r="F217" i="10"/>
  <c r="E217" i="10"/>
  <c r="D217" i="10"/>
  <c r="C217" i="10"/>
  <c r="B217" i="10"/>
  <c r="H216" i="10"/>
  <c r="G216" i="10"/>
  <c r="F216" i="10"/>
  <c r="E216" i="10"/>
  <c r="D216" i="10"/>
  <c r="C216" i="10"/>
  <c r="B216" i="10"/>
  <c r="H215" i="10"/>
  <c r="G215" i="10"/>
  <c r="F215" i="10"/>
  <c r="E215" i="10"/>
  <c r="D215" i="10"/>
  <c r="C215" i="10"/>
  <c r="B215" i="10"/>
  <c r="H214" i="10"/>
  <c r="G214" i="10"/>
  <c r="F214" i="10"/>
  <c r="E214" i="10"/>
  <c r="D214" i="10"/>
  <c r="C214" i="10"/>
  <c r="B214" i="10"/>
  <c r="H213" i="10"/>
  <c r="G213" i="10"/>
  <c r="F213" i="10"/>
  <c r="E213" i="10"/>
  <c r="D213" i="10"/>
  <c r="C213" i="10"/>
  <c r="B213" i="10"/>
  <c r="H212" i="10"/>
  <c r="G212" i="10"/>
  <c r="F212" i="10"/>
  <c r="E212" i="10"/>
  <c r="D212" i="10"/>
  <c r="C212" i="10"/>
  <c r="B212" i="10"/>
  <c r="H211" i="10"/>
  <c r="G211" i="10"/>
  <c r="F211" i="10"/>
  <c r="E211" i="10"/>
  <c r="D211" i="10"/>
  <c r="C211" i="10"/>
  <c r="B211" i="10"/>
  <c r="H210" i="10"/>
  <c r="G210" i="10"/>
  <c r="F210" i="10"/>
  <c r="E210" i="10"/>
  <c r="D210" i="10"/>
  <c r="C210" i="10"/>
  <c r="B210" i="10"/>
  <c r="H209" i="10"/>
  <c r="G209" i="10"/>
  <c r="F209" i="10"/>
  <c r="E209" i="10"/>
  <c r="D209" i="10"/>
  <c r="C209" i="10"/>
  <c r="B209" i="10"/>
  <c r="H208" i="10"/>
  <c r="G208" i="10"/>
  <c r="F208" i="10"/>
  <c r="E208" i="10"/>
  <c r="D208" i="10"/>
  <c r="C208" i="10"/>
  <c r="B208" i="10"/>
  <c r="H207" i="10"/>
  <c r="G207" i="10"/>
  <c r="F207" i="10"/>
  <c r="E207" i="10"/>
  <c r="D207" i="10"/>
  <c r="C207" i="10"/>
  <c r="B207" i="10"/>
  <c r="H206" i="10"/>
  <c r="G206" i="10"/>
  <c r="F206" i="10"/>
  <c r="E206" i="10"/>
  <c r="D206" i="10"/>
  <c r="C206" i="10"/>
  <c r="B206" i="10"/>
  <c r="H205" i="10"/>
  <c r="G205" i="10"/>
  <c r="F205" i="10"/>
  <c r="E205" i="10"/>
  <c r="D205" i="10"/>
  <c r="C205" i="10"/>
  <c r="B205" i="10"/>
  <c r="H204" i="10"/>
  <c r="G204" i="10"/>
  <c r="F204" i="10"/>
  <c r="E204" i="10"/>
  <c r="D204" i="10"/>
  <c r="C204" i="10"/>
  <c r="B204" i="10"/>
  <c r="H203" i="10"/>
  <c r="G203" i="10"/>
  <c r="F203" i="10"/>
  <c r="E203" i="10"/>
  <c r="D203" i="10"/>
  <c r="C203" i="10"/>
  <c r="B203" i="10"/>
  <c r="H202" i="10"/>
  <c r="G202" i="10"/>
  <c r="F202" i="10"/>
  <c r="E202" i="10"/>
  <c r="D202" i="10"/>
  <c r="C202" i="10"/>
  <c r="B202" i="10"/>
  <c r="H201" i="10"/>
  <c r="G201" i="10"/>
  <c r="F201" i="10"/>
  <c r="E201" i="10"/>
  <c r="D201" i="10"/>
  <c r="C201" i="10"/>
  <c r="B201" i="10"/>
  <c r="H200" i="10"/>
  <c r="G200" i="10"/>
  <c r="F200" i="10"/>
  <c r="E200" i="10"/>
  <c r="D200" i="10"/>
  <c r="C200" i="10"/>
  <c r="B200" i="10"/>
  <c r="H199" i="10"/>
  <c r="G199" i="10"/>
  <c r="F199" i="10"/>
  <c r="E199" i="10"/>
  <c r="D199" i="10"/>
  <c r="C199" i="10"/>
  <c r="B199" i="10"/>
  <c r="H198" i="10"/>
  <c r="G198" i="10"/>
  <c r="F198" i="10"/>
  <c r="E198" i="10"/>
  <c r="D198" i="10"/>
  <c r="C198" i="10"/>
  <c r="B198" i="10"/>
  <c r="H197" i="10"/>
  <c r="G197" i="10"/>
  <c r="F197" i="10"/>
  <c r="E197" i="10"/>
  <c r="D197" i="10"/>
  <c r="C197" i="10"/>
  <c r="B197" i="10"/>
  <c r="H196" i="10"/>
  <c r="G196" i="10"/>
  <c r="F196" i="10"/>
  <c r="E196" i="10"/>
  <c r="D196" i="10"/>
  <c r="C196" i="10"/>
  <c r="B196" i="10"/>
  <c r="H195" i="10"/>
  <c r="G195" i="10"/>
  <c r="F195" i="10"/>
  <c r="E195" i="10"/>
  <c r="D195" i="10"/>
  <c r="C195" i="10"/>
  <c r="B195" i="10"/>
  <c r="H194" i="10"/>
  <c r="G194" i="10"/>
  <c r="F194" i="10"/>
  <c r="E194" i="10"/>
  <c r="D194" i="10"/>
  <c r="C194" i="10"/>
  <c r="B194" i="10"/>
  <c r="H193" i="10"/>
  <c r="G193" i="10"/>
  <c r="F193" i="10"/>
  <c r="E193" i="10"/>
  <c r="D193" i="10"/>
  <c r="C193" i="10"/>
  <c r="B193" i="10"/>
  <c r="H192" i="10"/>
  <c r="G192" i="10"/>
  <c r="F192" i="10"/>
  <c r="E192" i="10"/>
  <c r="D192" i="10"/>
  <c r="C192" i="10"/>
  <c r="B192" i="10"/>
  <c r="H191" i="10"/>
  <c r="G191" i="10"/>
  <c r="F191" i="10"/>
  <c r="E191" i="10"/>
  <c r="D191" i="10"/>
  <c r="C191" i="10"/>
  <c r="B191" i="10"/>
  <c r="H190" i="10"/>
  <c r="G190" i="10"/>
  <c r="F190" i="10"/>
  <c r="E190" i="10"/>
  <c r="D190" i="10"/>
  <c r="C190" i="10"/>
  <c r="B190" i="10"/>
  <c r="H189" i="10"/>
  <c r="G189" i="10"/>
  <c r="F189" i="10"/>
  <c r="E189" i="10"/>
  <c r="D189" i="10"/>
  <c r="C189" i="10"/>
  <c r="B189" i="10"/>
  <c r="H188" i="10"/>
  <c r="G188" i="10"/>
  <c r="F188" i="10"/>
  <c r="E188" i="10"/>
  <c r="D188" i="10"/>
  <c r="C188" i="10"/>
  <c r="B188" i="10"/>
  <c r="H187" i="10"/>
  <c r="G187" i="10"/>
  <c r="F187" i="10"/>
  <c r="E187" i="10"/>
  <c r="D187" i="10"/>
  <c r="C187" i="10"/>
  <c r="B187" i="10"/>
  <c r="H186" i="10"/>
  <c r="G186" i="10"/>
  <c r="F186" i="10"/>
  <c r="E186" i="10"/>
  <c r="D186" i="10"/>
  <c r="C186" i="10"/>
  <c r="B186" i="10"/>
  <c r="H185" i="10"/>
  <c r="G185" i="10"/>
  <c r="F185" i="10"/>
  <c r="E185" i="10"/>
  <c r="D185" i="10"/>
  <c r="C185" i="10"/>
  <c r="B185" i="10"/>
  <c r="H184" i="10"/>
  <c r="G184" i="10"/>
  <c r="F184" i="10"/>
  <c r="E184" i="10"/>
  <c r="D184" i="10"/>
  <c r="C184" i="10"/>
  <c r="B184" i="10"/>
  <c r="H183" i="10"/>
  <c r="G183" i="10"/>
  <c r="F183" i="10"/>
  <c r="E183" i="10"/>
  <c r="D183" i="10"/>
  <c r="C183" i="10"/>
  <c r="B183" i="10"/>
  <c r="H182" i="10"/>
  <c r="G182" i="10"/>
  <c r="F182" i="10"/>
  <c r="E182" i="10"/>
  <c r="D182" i="10"/>
  <c r="C182" i="10"/>
  <c r="B182" i="10"/>
  <c r="H181" i="10"/>
  <c r="G181" i="10"/>
  <c r="F181" i="10"/>
  <c r="E181" i="10"/>
  <c r="D181" i="10"/>
  <c r="C181" i="10"/>
  <c r="B181" i="10"/>
  <c r="H180" i="10"/>
  <c r="G180" i="10"/>
  <c r="F180" i="10"/>
  <c r="E180" i="10"/>
  <c r="D180" i="10"/>
  <c r="C180" i="10"/>
  <c r="B180" i="10"/>
  <c r="H179" i="10"/>
  <c r="G179" i="10"/>
  <c r="F179" i="10"/>
  <c r="E179" i="10"/>
  <c r="D179" i="10"/>
  <c r="C179" i="10"/>
  <c r="B179" i="10"/>
  <c r="H178" i="10"/>
  <c r="G178" i="10"/>
  <c r="F178" i="10"/>
  <c r="E178" i="10"/>
  <c r="D178" i="10"/>
  <c r="C178" i="10"/>
  <c r="B178" i="10"/>
  <c r="H177" i="10"/>
  <c r="G177" i="10"/>
  <c r="F177" i="10"/>
  <c r="E177" i="10"/>
  <c r="D177" i="10"/>
  <c r="C177" i="10"/>
  <c r="B177" i="10"/>
  <c r="H176" i="10"/>
  <c r="G176" i="10"/>
  <c r="F176" i="10"/>
  <c r="E176" i="10"/>
  <c r="D176" i="10"/>
  <c r="C176" i="10"/>
  <c r="B176" i="10"/>
  <c r="H175" i="10"/>
  <c r="G175" i="10"/>
  <c r="F175" i="10"/>
  <c r="E175" i="10"/>
  <c r="D175" i="10"/>
  <c r="C175" i="10"/>
  <c r="B175" i="10"/>
  <c r="H174" i="10"/>
  <c r="G174" i="10"/>
  <c r="F174" i="10"/>
  <c r="E174" i="10"/>
  <c r="D174" i="10"/>
  <c r="C174" i="10"/>
  <c r="B174" i="10"/>
  <c r="H173" i="10"/>
  <c r="G173" i="10"/>
  <c r="F173" i="10"/>
  <c r="E173" i="10"/>
  <c r="D173" i="10"/>
  <c r="C173" i="10"/>
  <c r="B173" i="10"/>
  <c r="H172" i="10"/>
  <c r="G172" i="10"/>
  <c r="F172" i="10"/>
  <c r="E172" i="10"/>
  <c r="D172" i="10"/>
  <c r="C172" i="10"/>
  <c r="B172" i="10"/>
  <c r="H171" i="10"/>
  <c r="G171" i="10"/>
  <c r="F171" i="10"/>
  <c r="E171" i="10"/>
  <c r="D171" i="10"/>
  <c r="C171" i="10"/>
  <c r="B171" i="10"/>
  <c r="H170" i="10"/>
  <c r="G170" i="10"/>
  <c r="F170" i="10"/>
  <c r="E170" i="10"/>
  <c r="D170" i="10"/>
  <c r="C170" i="10"/>
  <c r="B170" i="10"/>
  <c r="H169" i="10"/>
  <c r="G169" i="10"/>
  <c r="F169" i="10"/>
  <c r="E169" i="10"/>
  <c r="D169" i="10"/>
  <c r="C169" i="10"/>
  <c r="B169" i="10"/>
  <c r="H168" i="10"/>
  <c r="G168" i="10"/>
  <c r="F168" i="10"/>
  <c r="E168" i="10"/>
  <c r="D168" i="10"/>
  <c r="C168" i="10"/>
  <c r="B168" i="10"/>
  <c r="H167" i="10"/>
  <c r="G167" i="10"/>
  <c r="F167" i="10"/>
  <c r="E167" i="10"/>
  <c r="D167" i="10"/>
  <c r="C167" i="10"/>
  <c r="B167" i="10"/>
  <c r="H166" i="10"/>
  <c r="G166" i="10"/>
  <c r="F166" i="10"/>
  <c r="E166" i="10"/>
  <c r="D166" i="10"/>
  <c r="C166" i="10"/>
  <c r="B166" i="10"/>
  <c r="H165" i="10"/>
  <c r="G165" i="10"/>
  <c r="F165" i="10"/>
  <c r="E165" i="10"/>
  <c r="D165" i="10"/>
  <c r="C165" i="10"/>
  <c r="B165" i="10"/>
  <c r="H164" i="10"/>
  <c r="G164" i="10"/>
  <c r="F164" i="10"/>
  <c r="E164" i="10"/>
  <c r="D164" i="10"/>
  <c r="C164" i="10"/>
  <c r="B164" i="10"/>
  <c r="H163" i="10"/>
  <c r="G163" i="10"/>
  <c r="F163" i="10"/>
  <c r="E163" i="10"/>
  <c r="D163" i="10"/>
  <c r="C163" i="10"/>
  <c r="B163" i="10"/>
  <c r="H162" i="10"/>
  <c r="G162" i="10"/>
  <c r="F162" i="10"/>
  <c r="E162" i="10"/>
  <c r="D162" i="10"/>
  <c r="C162" i="10"/>
  <c r="B162" i="10"/>
  <c r="H161" i="10"/>
  <c r="G161" i="10"/>
  <c r="F161" i="10"/>
  <c r="E161" i="10"/>
  <c r="D161" i="10"/>
  <c r="C161" i="10"/>
  <c r="B161" i="10"/>
  <c r="H160" i="10"/>
  <c r="G160" i="10"/>
  <c r="F160" i="10"/>
  <c r="E160" i="10"/>
  <c r="D160" i="10"/>
  <c r="C160" i="10"/>
  <c r="B160" i="10"/>
  <c r="H159" i="10"/>
  <c r="G159" i="10"/>
  <c r="F159" i="10"/>
  <c r="E159" i="10"/>
  <c r="D159" i="10"/>
  <c r="C159" i="10"/>
  <c r="B159" i="10"/>
  <c r="H158" i="10"/>
  <c r="G158" i="10"/>
  <c r="F158" i="10"/>
  <c r="E158" i="10"/>
  <c r="D158" i="10"/>
  <c r="C158" i="10"/>
  <c r="B158" i="10"/>
  <c r="H157" i="10"/>
  <c r="G157" i="10"/>
  <c r="F157" i="10"/>
  <c r="E157" i="10"/>
  <c r="D157" i="10"/>
  <c r="C157" i="10"/>
  <c r="B157" i="10"/>
  <c r="H156" i="10"/>
  <c r="G156" i="10"/>
  <c r="F156" i="10"/>
  <c r="E156" i="10"/>
  <c r="D156" i="10"/>
  <c r="C156" i="10"/>
  <c r="B156" i="10"/>
  <c r="H155" i="10"/>
  <c r="G155" i="10"/>
  <c r="F155" i="10"/>
  <c r="E155" i="10"/>
  <c r="D155" i="10"/>
  <c r="C155" i="10"/>
  <c r="B155" i="10"/>
  <c r="H154" i="10"/>
  <c r="G154" i="10"/>
  <c r="F154" i="10"/>
  <c r="E154" i="10"/>
  <c r="D154" i="10"/>
  <c r="C154" i="10"/>
  <c r="B154" i="10"/>
  <c r="H153" i="10"/>
  <c r="G153" i="10"/>
  <c r="F153" i="10"/>
  <c r="E153" i="10"/>
  <c r="D153" i="10"/>
  <c r="C153" i="10"/>
  <c r="B153" i="10"/>
  <c r="H152" i="10"/>
  <c r="G152" i="10"/>
  <c r="F152" i="10"/>
  <c r="E152" i="10"/>
  <c r="D152" i="10"/>
  <c r="C152" i="10"/>
  <c r="B152" i="10"/>
  <c r="H151" i="10"/>
  <c r="G151" i="10"/>
  <c r="F151" i="10"/>
  <c r="E151" i="10"/>
  <c r="D151" i="10"/>
  <c r="C151" i="10"/>
  <c r="B151" i="10"/>
  <c r="H150" i="10"/>
  <c r="G150" i="10"/>
  <c r="F150" i="10"/>
  <c r="E150" i="10"/>
  <c r="D150" i="10"/>
  <c r="C150" i="10"/>
  <c r="B150" i="10"/>
  <c r="H149" i="10"/>
  <c r="G149" i="10"/>
  <c r="F149" i="10"/>
  <c r="E149" i="10"/>
  <c r="D149" i="10"/>
  <c r="C149" i="10"/>
  <c r="B149" i="10"/>
  <c r="H148" i="10"/>
  <c r="G148" i="10"/>
  <c r="F148" i="10"/>
  <c r="E148" i="10"/>
  <c r="D148" i="10"/>
  <c r="C148" i="10"/>
  <c r="B148" i="10"/>
  <c r="H147" i="10"/>
  <c r="G147" i="10"/>
  <c r="F147" i="10"/>
  <c r="E147" i="10"/>
  <c r="D147" i="10"/>
  <c r="C147" i="10"/>
  <c r="B147" i="10"/>
  <c r="H146" i="10"/>
  <c r="G146" i="10"/>
  <c r="F146" i="10"/>
  <c r="E146" i="10"/>
  <c r="D146" i="10"/>
  <c r="C146" i="10"/>
  <c r="B146" i="10"/>
  <c r="H145" i="10"/>
  <c r="G145" i="10"/>
  <c r="F145" i="10"/>
  <c r="E145" i="10"/>
  <c r="D145" i="10"/>
  <c r="C145" i="10"/>
  <c r="B145" i="10"/>
  <c r="H144" i="10"/>
  <c r="G144" i="10"/>
  <c r="F144" i="10"/>
  <c r="E144" i="10"/>
  <c r="D144" i="10"/>
  <c r="C144" i="10"/>
  <c r="B144" i="10"/>
  <c r="H143" i="10"/>
  <c r="G143" i="10"/>
  <c r="F143" i="10"/>
  <c r="E143" i="10"/>
  <c r="D143" i="10"/>
  <c r="C143" i="10"/>
  <c r="B143" i="10"/>
  <c r="H142" i="10"/>
  <c r="G142" i="10"/>
  <c r="F142" i="10"/>
  <c r="E142" i="10"/>
  <c r="D142" i="10"/>
  <c r="C142" i="10"/>
  <c r="B142" i="10"/>
  <c r="H141" i="10"/>
  <c r="G141" i="10"/>
  <c r="F141" i="10"/>
  <c r="E141" i="10"/>
  <c r="D141" i="10"/>
  <c r="C141" i="10"/>
  <c r="B141" i="10"/>
  <c r="H140" i="10"/>
  <c r="G140" i="10"/>
  <c r="F140" i="10"/>
  <c r="E140" i="10"/>
  <c r="D140" i="10"/>
  <c r="C140" i="10"/>
  <c r="B140" i="10"/>
  <c r="H139" i="10"/>
  <c r="G139" i="10"/>
  <c r="F139" i="10"/>
  <c r="E139" i="10"/>
  <c r="D139" i="10"/>
  <c r="C139" i="10"/>
  <c r="B139" i="10"/>
  <c r="H138" i="10"/>
  <c r="G138" i="10"/>
  <c r="F138" i="10"/>
  <c r="E138" i="10"/>
  <c r="D138" i="10"/>
  <c r="C138" i="10"/>
  <c r="B138" i="10"/>
  <c r="H137" i="10"/>
  <c r="G137" i="10"/>
  <c r="F137" i="10"/>
  <c r="E137" i="10"/>
  <c r="D137" i="10"/>
  <c r="C137" i="10"/>
  <c r="B137" i="10"/>
  <c r="H136" i="10"/>
  <c r="G136" i="10"/>
  <c r="F136" i="10"/>
  <c r="E136" i="10"/>
  <c r="D136" i="10"/>
  <c r="C136" i="10"/>
  <c r="B136" i="10"/>
  <c r="H135" i="10"/>
  <c r="G135" i="10"/>
  <c r="F135" i="10"/>
  <c r="E135" i="10"/>
  <c r="D135" i="10"/>
  <c r="C135" i="10"/>
  <c r="B135" i="10"/>
  <c r="H134" i="10"/>
  <c r="G134" i="10"/>
  <c r="F134" i="10"/>
  <c r="E134" i="10"/>
  <c r="D134" i="10"/>
  <c r="C134" i="10"/>
  <c r="B134" i="10"/>
  <c r="H133" i="10"/>
  <c r="G133" i="10"/>
  <c r="F133" i="10"/>
  <c r="E133" i="10"/>
  <c r="D133" i="10"/>
  <c r="C133" i="10"/>
  <c r="B133" i="10"/>
  <c r="H132" i="10"/>
  <c r="G132" i="10"/>
  <c r="F132" i="10"/>
  <c r="E132" i="10"/>
  <c r="D132" i="10"/>
  <c r="C132" i="10"/>
  <c r="B132" i="10"/>
  <c r="H131" i="10"/>
  <c r="G131" i="10"/>
  <c r="F131" i="10"/>
  <c r="E131" i="10"/>
  <c r="D131" i="10"/>
  <c r="C131" i="10"/>
  <c r="B131" i="10"/>
  <c r="H130" i="10"/>
  <c r="G130" i="10"/>
  <c r="F130" i="10"/>
  <c r="E130" i="10"/>
  <c r="D130" i="10"/>
  <c r="C130" i="10"/>
  <c r="B130" i="10"/>
  <c r="H129" i="10"/>
  <c r="G129" i="10"/>
  <c r="F129" i="10"/>
  <c r="E129" i="10"/>
  <c r="D129" i="10"/>
  <c r="C129" i="10"/>
  <c r="B129" i="10"/>
  <c r="H128" i="10"/>
  <c r="G128" i="10"/>
  <c r="F128" i="10"/>
  <c r="E128" i="10"/>
  <c r="D128" i="10"/>
  <c r="C128" i="10"/>
  <c r="B128" i="10"/>
  <c r="H127" i="10"/>
  <c r="G127" i="10"/>
  <c r="F127" i="10"/>
  <c r="E127" i="10"/>
  <c r="D127" i="10"/>
  <c r="C127" i="10"/>
  <c r="B127" i="10"/>
  <c r="H126" i="10"/>
  <c r="G126" i="10"/>
  <c r="F126" i="10"/>
  <c r="E126" i="10"/>
  <c r="D126" i="10"/>
  <c r="C126" i="10"/>
  <c r="B126" i="10"/>
  <c r="H125" i="10"/>
  <c r="G125" i="10"/>
  <c r="F125" i="10"/>
  <c r="E125" i="10"/>
  <c r="D125" i="10"/>
  <c r="C125" i="10"/>
  <c r="B125" i="10"/>
  <c r="H124" i="10"/>
  <c r="G124" i="10"/>
  <c r="F124" i="10"/>
  <c r="E124" i="10"/>
  <c r="D124" i="10"/>
  <c r="C124" i="10"/>
  <c r="B124" i="10"/>
  <c r="H123" i="10"/>
  <c r="G123" i="10"/>
  <c r="F123" i="10"/>
  <c r="E123" i="10"/>
  <c r="D123" i="10"/>
  <c r="C123" i="10"/>
  <c r="B123" i="10"/>
  <c r="H122" i="10"/>
  <c r="G122" i="10"/>
  <c r="F122" i="10"/>
  <c r="E122" i="10"/>
  <c r="D122" i="10"/>
  <c r="C122" i="10"/>
  <c r="B122" i="10"/>
  <c r="H121" i="10"/>
  <c r="G121" i="10"/>
  <c r="F121" i="10"/>
  <c r="E121" i="10"/>
  <c r="D121" i="10"/>
  <c r="C121" i="10"/>
  <c r="B121" i="10"/>
  <c r="H120" i="10"/>
  <c r="G120" i="10"/>
  <c r="F120" i="10"/>
  <c r="E120" i="10"/>
  <c r="D120" i="10"/>
  <c r="C120" i="10"/>
  <c r="B120" i="10"/>
  <c r="H119" i="10"/>
  <c r="G119" i="10"/>
  <c r="F119" i="10"/>
  <c r="E119" i="10"/>
  <c r="D119" i="10"/>
  <c r="C119" i="10"/>
  <c r="B119" i="10"/>
  <c r="H118" i="10"/>
  <c r="G118" i="10"/>
  <c r="F118" i="10"/>
  <c r="E118" i="10"/>
  <c r="D118" i="10"/>
  <c r="C118" i="10"/>
  <c r="B118" i="10"/>
  <c r="H117" i="10"/>
  <c r="G117" i="10"/>
  <c r="F117" i="10"/>
  <c r="E117" i="10"/>
  <c r="D117" i="10"/>
  <c r="C117" i="10"/>
  <c r="B117" i="10"/>
  <c r="H116" i="10"/>
  <c r="G116" i="10"/>
  <c r="F116" i="10"/>
  <c r="E116" i="10"/>
  <c r="D116" i="10"/>
  <c r="C116" i="10"/>
  <c r="B116" i="10"/>
  <c r="H115" i="10"/>
  <c r="G115" i="10"/>
  <c r="F115" i="10"/>
  <c r="E115" i="10"/>
  <c r="D115" i="10"/>
  <c r="C115" i="10"/>
  <c r="B115" i="10"/>
  <c r="H114" i="10"/>
  <c r="G114" i="10"/>
  <c r="F114" i="10"/>
  <c r="E114" i="10"/>
  <c r="D114" i="10"/>
  <c r="C114" i="10"/>
  <c r="B114" i="10"/>
  <c r="H113" i="10"/>
  <c r="G113" i="10"/>
  <c r="F113" i="10"/>
  <c r="E113" i="10"/>
  <c r="D113" i="10"/>
  <c r="C113" i="10"/>
  <c r="B113" i="10"/>
  <c r="H112" i="10"/>
  <c r="G112" i="10"/>
  <c r="F112" i="10"/>
  <c r="E112" i="10"/>
  <c r="D112" i="10"/>
  <c r="C112" i="10"/>
  <c r="B112" i="10"/>
  <c r="H111" i="10"/>
  <c r="G111" i="10"/>
  <c r="F111" i="10"/>
  <c r="E111" i="10"/>
  <c r="D111" i="10"/>
  <c r="C111" i="10"/>
  <c r="B111" i="10"/>
  <c r="H110" i="10"/>
  <c r="G110" i="10"/>
  <c r="F110" i="10"/>
  <c r="E110" i="10"/>
  <c r="D110" i="10"/>
  <c r="C110" i="10"/>
  <c r="B110" i="10"/>
  <c r="H109" i="10"/>
  <c r="G109" i="10"/>
  <c r="F109" i="10"/>
  <c r="E109" i="10"/>
  <c r="D109" i="10"/>
  <c r="C109" i="10"/>
  <c r="B109" i="10"/>
  <c r="H108" i="10"/>
  <c r="G108" i="10"/>
  <c r="F108" i="10"/>
  <c r="E108" i="10"/>
  <c r="D108" i="10"/>
  <c r="C108" i="10"/>
  <c r="B108" i="10"/>
  <c r="H107" i="10"/>
  <c r="G107" i="10"/>
  <c r="F107" i="10"/>
  <c r="E107" i="10"/>
  <c r="D107" i="10"/>
  <c r="C107" i="10"/>
  <c r="B107" i="10"/>
  <c r="H106" i="10"/>
  <c r="G106" i="10"/>
  <c r="F106" i="10"/>
  <c r="E106" i="10"/>
  <c r="D106" i="10"/>
  <c r="C106" i="10"/>
  <c r="B106" i="10"/>
  <c r="H105" i="10"/>
  <c r="G105" i="10"/>
  <c r="F105" i="10"/>
  <c r="E105" i="10"/>
  <c r="D105" i="10"/>
  <c r="C105" i="10"/>
  <c r="B105" i="10"/>
  <c r="H104" i="10"/>
  <c r="G104" i="10"/>
  <c r="F104" i="10"/>
  <c r="E104" i="10"/>
  <c r="D104" i="10"/>
  <c r="C104" i="10"/>
  <c r="B104" i="10"/>
  <c r="H103" i="10"/>
  <c r="G103" i="10"/>
  <c r="F103" i="10"/>
  <c r="E103" i="10"/>
  <c r="D103" i="10"/>
  <c r="C103" i="10"/>
  <c r="B103" i="10"/>
  <c r="H102" i="10"/>
  <c r="G102" i="10"/>
  <c r="F102" i="10"/>
  <c r="E102" i="10"/>
  <c r="D102" i="10"/>
  <c r="C102" i="10"/>
  <c r="B102" i="10"/>
  <c r="H101" i="10"/>
  <c r="G101" i="10"/>
  <c r="F101" i="10"/>
  <c r="E101" i="10"/>
  <c r="D101" i="10"/>
  <c r="C101" i="10"/>
  <c r="B101" i="10"/>
  <c r="H100" i="10"/>
  <c r="G100" i="10"/>
  <c r="F100" i="10"/>
  <c r="E100" i="10"/>
  <c r="D100" i="10"/>
  <c r="C100" i="10"/>
  <c r="B100" i="10"/>
  <c r="H99" i="10"/>
  <c r="G99" i="10"/>
  <c r="F99" i="10"/>
  <c r="E99" i="10"/>
  <c r="D99" i="10"/>
  <c r="C99" i="10"/>
  <c r="B99" i="10"/>
  <c r="H98" i="10"/>
  <c r="G98" i="10"/>
  <c r="F98" i="10"/>
  <c r="E98" i="10"/>
  <c r="D98" i="10"/>
  <c r="C98" i="10"/>
  <c r="B98" i="10"/>
  <c r="H97" i="10"/>
  <c r="G97" i="10"/>
  <c r="F97" i="10"/>
  <c r="E97" i="10"/>
  <c r="D97" i="10"/>
  <c r="C97" i="10"/>
  <c r="B97" i="10"/>
  <c r="H96" i="10"/>
  <c r="G96" i="10"/>
  <c r="F96" i="10"/>
  <c r="E96" i="10"/>
  <c r="D96" i="10"/>
  <c r="C96" i="10"/>
  <c r="B96" i="10"/>
  <c r="H95" i="10"/>
  <c r="G95" i="10"/>
  <c r="F95" i="10"/>
  <c r="E95" i="10"/>
  <c r="D95" i="10"/>
  <c r="C95" i="10"/>
  <c r="B95" i="10"/>
  <c r="H94" i="10"/>
  <c r="G94" i="10"/>
  <c r="F94" i="10"/>
  <c r="E94" i="10"/>
  <c r="D94" i="10"/>
  <c r="C94" i="10"/>
  <c r="B94" i="10"/>
  <c r="H93" i="10"/>
  <c r="G93" i="10"/>
  <c r="F93" i="10"/>
  <c r="E93" i="10"/>
  <c r="D93" i="10"/>
  <c r="C93" i="10"/>
  <c r="B93" i="10"/>
  <c r="H92" i="10"/>
  <c r="G92" i="10"/>
  <c r="F92" i="10"/>
  <c r="E92" i="10"/>
  <c r="D92" i="10"/>
  <c r="C92" i="10"/>
  <c r="B92" i="10"/>
  <c r="H91" i="10"/>
  <c r="G91" i="10"/>
  <c r="F91" i="10"/>
  <c r="E91" i="10"/>
  <c r="D91" i="10"/>
  <c r="C91" i="10"/>
  <c r="B91" i="10"/>
  <c r="H90" i="10"/>
  <c r="G90" i="10"/>
  <c r="F90" i="10"/>
  <c r="E90" i="10"/>
  <c r="D90" i="10"/>
  <c r="C90" i="10"/>
  <c r="B90" i="10"/>
  <c r="H89" i="10"/>
  <c r="G89" i="10"/>
  <c r="F89" i="10"/>
  <c r="E89" i="10"/>
  <c r="D89" i="10"/>
  <c r="C89" i="10"/>
  <c r="B89" i="10"/>
  <c r="H88" i="10"/>
  <c r="G88" i="10"/>
  <c r="F88" i="10"/>
  <c r="E88" i="10"/>
  <c r="D88" i="10"/>
  <c r="C88" i="10"/>
  <c r="B88" i="10"/>
  <c r="H87" i="10"/>
  <c r="G87" i="10"/>
  <c r="F87" i="10"/>
  <c r="E87" i="10"/>
  <c r="D87" i="10"/>
  <c r="C87" i="10"/>
  <c r="B87" i="10"/>
  <c r="H86" i="10"/>
  <c r="G86" i="10"/>
  <c r="F86" i="10"/>
  <c r="E86" i="10"/>
  <c r="D86" i="10"/>
  <c r="C86" i="10"/>
  <c r="B86" i="10"/>
  <c r="H85" i="10"/>
  <c r="G85" i="10"/>
  <c r="F85" i="10"/>
  <c r="E85" i="10"/>
  <c r="D85" i="10"/>
  <c r="C85" i="10"/>
  <c r="B85" i="10"/>
  <c r="H84" i="10"/>
  <c r="G84" i="10"/>
  <c r="F84" i="10"/>
  <c r="E84" i="10"/>
  <c r="D84" i="10"/>
  <c r="C84" i="10"/>
  <c r="B84" i="10"/>
  <c r="H83" i="10"/>
  <c r="G83" i="10"/>
  <c r="F83" i="10"/>
  <c r="E83" i="10"/>
  <c r="D83" i="10"/>
  <c r="C83" i="10"/>
  <c r="B83" i="10"/>
  <c r="H82" i="10"/>
  <c r="G82" i="10"/>
  <c r="F82" i="10"/>
  <c r="E82" i="10"/>
  <c r="D82" i="10"/>
  <c r="C82" i="10"/>
  <c r="B82" i="10"/>
  <c r="H81" i="10"/>
  <c r="G81" i="10"/>
  <c r="F81" i="10"/>
  <c r="E81" i="10"/>
  <c r="D81" i="10"/>
  <c r="C81" i="10"/>
  <c r="B81" i="10"/>
  <c r="H80" i="10"/>
  <c r="G80" i="10"/>
  <c r="F80" i="10"/>
  <c r="E80" i="10"/>
  <c r="D80" i="10"/>
  <c r="C80" i="10"/>
  <c r="B80" i="10"/>
  <c r="H79" i="10"/>
  <c r="G79" i="10"/>
  <c r="F79" i="10"/>
  <c r="E79" i="10"/>
  <c r="D79" i="10"/>
  <c r="C79" i="10"/>
  <c r="B79" i="10"/>
  <c r="H78" i="10"/>
  <c r="G78" i="10"/>
  <c r="F78" i="10"/>
  <c r="E78" i="10"/>
  <c r="D78" i="10"/>
  <c r="C78" i="10"/>
  <c r="B78" i="10"/>
  <c r="H77" i="10"/>
  <c r="G77" i="10"/>
  <c r="F77" i="10"/>
  <c r="E77" i="10"/>
  <c r="D77" i="10"/>
  <c r="C77" i="10"/>
  <c r="B77" i="10"/>
  <c r="H76" i="10"/>
  <c r="G76" i="10"/>
  <c r="F76" i="10"/>
  <c r="E76" i="10"/>
  <c r="D76" i="10"/>
  <c r="C76" i="10"/>
  <c r="B76" i="10"/>
  <c r="H75" i="10"/>
  <c r="G75" i="10"/>
  <c r="F75" i="10"/>
  <c r="E75" i="10"/>
  <c r="D75" i="10"/>
  <c r="C75" i="10"/>
  <c r="B75" i="10"/>
  <c r="H74" i="10"/>
  <c r="G74" i="10"/>
  <c r="F74" i="10"/>
  <c r="E74" i="10"/>
  <c r="D74" i="10"/>
  <c r="C74" i="10"/>
  <c r="B74" i="10"/>
  <c r="H73" i="10"/>
  <c r="G73" i="10"/>
  <c r="F73" i="10"/>
  <c r="E73" i="10"/>
  <c r="D73" i="10"/>
  <c r="C73" i="10"/>
  <c r="B73" i="10"/>
  <c r="H72" i="10"/>
  <c r="G72" i="10"/>
  <c r="F72" i="10"/>
  <c r="E72" i="10"/>
  <c r="D72" i="10"/>
  <c r="C72" i="10"/>
  <c r="B72" i="10"/>
  <c r="H71" i="10"/>
  <c r="G71" i="10"/>
  <c r="F71" i="10"/>
  <c r="E71" i="10"/>
  <c r="D71" i="10"/>
  <c r="C71" i="10"/>
  <c r="B71" i="10"/>
  <c r="H70" i="10"/>
  <c r="G70" i="10"/>
  <c r="F70" i="10"/>
  <c r="E70" i="10"/>
  <c r="D70" i="10"/>
  <c r="C70" i="10"/>
  <c r="B70" i="10"/>
  <c r="H69" i="10"/>
  <c r="G69" i="10"/>
  <c r="F69" i="10"/>
  <c r="E69" i="10"/>
  <c r="D69" i="10"/>
  <c r="C69" i="10"/>
  <c r="B69" i="10"/>
  <c r="H68" i="10"/>
  <c r="G68" i="10"/>
  <c r="F68" i="10"/>
  <c r="E68" i="10"/>
  <c r="D68" i="10"/>
  <c r="C68" i="10"/>
  <c r="B68" i="10"/>
  <c r="H67" i="10"/>
  <c r="G67" i="10"/>
  <c r="F67" i="10"/>
  <c r="E67" i="10"/>
  <c r="D67" i="10"/>
  <c r="C67" i="10"/>
  <c r="B67" i="10"/>
  <c r="H66" i="10"/>
  <c r="G66" i="10"/>
  <c r="F66" i="10"/>
  <c r="E66" i="10"/>
  <c r="D66" i="10"/>
  <c r="C66" i="10"/>
  <c r="B66" i="10"/>
  <c r="H65" i="10"/>
  <c r="G65" i="10"/>
  <c r="F65" i="10"/>
  <c r="E65" i="10"/>
  <c r="D65" i="10"/>
  <c r="C65" i="10"/>
  <c r="B65" i="10"/>
  <c r="H64" i="10"/>
  <c r="G64" i="10"/>
  <c r="F64" i="10"/>
  <c r="E64" i="10"/>
  <c r="D64" i="10"/>
  <c r="C64" i="10"/>
  <c r="B64" i="10"/>
  <c r="H63" i="10"/>
  <c r="G63" i="10"/>
  <c r="F63" i="10"/>
  <c r="E63" i="10"/>
  <c r="D63" i="10"/>
  <c r="C63" i="10"/>
  <c r="B63" i="10"/>
  <c r="H62" i="10"/>
  <c r="G62" i="10"/>
  <c r="F62" i="10"/>
  <c r="E62" i="10"/>
  <c r="D62" i="10"/>
  <c r="C62" i="10"/>
  <c r="B62" i="10"/>
  <c r="H61" i="10"/>
  <c r="G61" i="10"/>
  <c r="F61" i="10"/>
  <c r="E61" i="10"/>
  <c r="D61" i="10"/>
  <c r="C61" i="10"/>
  <c r="B61" i="10"/>
  <c r="H60" i="10"/>
  <c r="G60" i="10"/>
  <c r="F60" i="10"/>
  <c r="E60" i="10"/>
  <c r="D60" i="10"/>
  <c r="C60" i="10"/>
  <c r="B60" i="10"/>
  <c r="H59" i="10"/>
  <c r="G59" i="10"/>
  <c r="F59" i="10"/>
  <c r="E59" i="10"/>
  <c r="D59" i="10"/>
  <c r="C59" i="10"/>
  <c r="B59" i="10"/>
  <c r="H58" i="10"/>
  <c r="G58" i="10"/>
  <c r="F58" i="10"/>
  <c r="E58" i="10"/>
  <c r="D58" i="10"/>
  <c r="C58" i="10"/>
  <c r="B58" i="10"/>
  <c r="H57" i="10"/>
  <c r="G57" i="10"/>
  <c r="F57" i="10"/>
  <c r="E57" i="10"/>
  <c r="D57" i="10"/>
  <c r="C57" i="10"/>
  <c r="B57" i="10"/>
  <c r="H56" i="10"/>
  <c r="G56" i="10"/>
  <c r="F56" i="10"/>
  <c r="E56" i="10"/>
  <c r="D56" i="10"/>
  <c r="C56" i="10"/>
  <c r="B56" i="10"/>
  <c r="H55" i="10"/>
  <c r="G55" i="10"/>
  <c r="F55" i="10"/>
  <c r="E55" i="10"/>
  <c r="D55" i="10"/>
  <c r="C55" i="10"/>
  <c r="B55" i="10"/>
  <c r="H54" i="10"/>
  <c r="G54" i="10"/>
  <c r="F54" i="10"/>
  <c r="E54" i="10"/>
  <c r="D54" i="10"/>
  <c r="C54" i="10"/>
  <c r="B54" i="10"/>
  <c r="H53" i="10"/>
  <c r="G53" i="10"/>
  <c r="F53" i="10"/>
  <c r="E53" i="10"/>
  <c r="D53" i="10"/>
  <c r="C53" i="10"/>
  <c r="B53" i="10"/>
  <c r="H52" i="10"/>
  <c r="G52" i="10"/>
  <c r="F52" i="10"/>
  <c r="E52" i="10"/>
  <c r="D52" i="10"/>
  <c r="C52" i="10"/>
  <c r="B52" i="10"/>
  <c r="H51" i="10"/>
  <c r="G51" i="10"/>
  <c r="F51" i="10"/>
  <c r="E51" i="10"/>
  <c r="D51" i="10"/>
  <c r="C51" i="10"/>
  <c r="B51" i="10"/>
  <c r="H50" i="10"/>
  <c r="G50" i="10"/>
  <c r="F50" i="10"/>
  <c r="E50" i="10"/>
  <c r="D50" i="10"/>
  <c r="C50" i="10"/>
  <c r="B50" i="10"/>
  <c r="H49" i="10"/>
  <c r="G49" i="10"/>
  <c r="F49" i="10"/>
  <c r="E49" i="10"/>
  <c r="D49" i="10"/>
  <c r="C49" i="10"/>
  <c r="B49" i="10"/>
  <c r="H48" i="10"/>
  <c r="G48" i="10"/>
  <c r="F48" i="10"/>
  <c r="E48" i="10"/>
  <c r="D48" i="10"/>
  <c r="C48" i="10"/>
  <c r="B48" i="10"/>
  <c r="H47" i="10"/>
  <c r="G47" i="10"/>
  <c r="F47" i="10"/>
  <c r="E47" i="10"/>
  <c r="D47" i="10"/>
  <c r="C47" i="10"/>
  <c r="B47" i="10"/>
  <c r="H46" i="10"/>
  <c r="G46" i="10"/>
  <c r="F46" i="10"/>
  <c r="E46" i="10"/>
  <c r="D46" i="10"/>
  <c r="C46" i="10"/>
  <c r="B46" i="10"/>
  <c r="H45" i="10"/>
  <c r="G45" i="10"/>
  <c r="F45" i="10"/>
  <c r="E45" i="10"/>
  <c r="D45" i="10"/>
  <c r="C45" i="10"/>
  <c r="B45" i="10"/>
  <c r="H44" i="10"/>
  <c r="G44" i="10"/>
  <c r="F44" i="10"/>
  <c r="E44" i="10"/>
  <c r="D44" i="10"/>
  <c r="C44" i="10"/>
  <c r="B44" i="10"/>
  <c r="H43" i="10"/>
  <c r="G43" i="10"/>
  <c r="F43" i="10"/>
  <c r="E43" i="10"/>
  <c r="D43" i="10"/>
  <c r="C43" i="10"/>
  <c r="B43" i="10"/>
  <c r="H42" i="10"/>
  <c r="G42" i="10"/>
  <c r="F42" i="10"/>
  <c r="E42" i="10"/>
  <c r="D42" i="10"/>
  <c r="C42" i="10"/>
  <c r="B42" i="10"/>
  <c r="H41" i="10"/>
  <c r="G41" i="10"/>
  <c r="F41" i="10"/>
  <c r="E41" i="10"/>
  <c r="D41" i="10"/>
  <c r="C41" i="10"/>
  <c r="B41" i="10"/>
  <c r="H40" i="10"/>
  <c r="G40" i="10"/>
  <c r="F40" i="10"/>
  <c r="E40" i="10"/>
  <c r="D40" i="10"/>
  <c r="C40" i="10"/>
  <c r="B40" i="10"/>
  <c r="H39" i="10"/>
  <c r="G39" i="10"/>
  <c r="F39" i="10"/>
  <c r="E39" i="10"/>
  <c r="D39" i="10"/>
  <c r="C39" i="10"/>
  <c r="B39" i="10"/>
  <c r="H38" i="10"/>
  <c r="G38" i="10"/>
  <c r="F38" i="10"/>
  <c r="E38" i="10"/>
  <c r="D38" i="10"/>
  <c r="C38" i="10"/>
  <c r="B38" i="10"/>
  <c r="H37" i="10"/>
  <c r="G37" i="10"/>
  <c r="F37" i="10"/>
  <c r="E37" i="10"/>
  <c r="D37" i="10"/>
  <c r="C37" i="10"/>
  <c r="B37" i="10"/>
  <c r="H36" i="10"/>
  <c r="G36" i="10"/>
  <c r="F36" i="10"/>
  <c r="E36" i="10"/>
  <c r="D36" i="10"/>
  <c r="C36" i="10"/>
  <c r="B36" i="10"/>
  <c r="H35" i="10"/>
  <c r="G35" i="10"/>
  <c r="F35" i="10"/>
  <c r="E35" i="10"/>
  <c r="D35" i="10"/>
  <c r="C35" i="10"/>
  <c r="B35" i="10"/>
  <c r="H34" i="10"/>
  <c r="G34" i="10"/>
  <c r="F34" i="10"/>
  <c r="E34" i="10"/>
  <c r="D34" i="10"/>
  <c r="C34" i="10"/>
  <c r="B34" i="10"/>
  <c r="H33" i="10"/>
  <c r="G33" i="10"/>
  <c r="F33" i="10"/>
  <c r="E33" i="10"/>
  <c r="D33" i="10"/>
  <c r="C33" i="10"/>
  <c r="B33" i="10"/>
  <c r="H32" i="10"/>
  <c r="G32" i="10"/>
  <c r="F32" i="10"/>
  <c r="E32" i="10"/>
  <c r="D32" i="10"/>
  <c r="C32" i="10"/>
  <c r="B32" i="10"/>
  <c r="H31" i="10"/>
  <c r="G31" i="10"/>
  <c r="F31" i="10"/>
  <c r="E31" i="10"/>
  <c r="D31" i="10"/>
  <c r="C31" i="10"/>
  <c r="B31" i="10"/>
  <c r="H30" i="10"/>
  <c r="G30" i="10"/>
  <c r="F30" i="10"/>
  <c r="E30" i="10"/>
  <c r="D30" i="10"/>
  <c r="C30" i="10"/>
  <c r="B30" i="10"/>
  <c r="H29" i="10"/>
  <c r="G29" i="10"/>
  <c r="F29" i="10"/>
  <c r="E29" i="10"/>
  <c r="D29" i="10"/>
  <c r="C29" i="10"/>
  <c r="B29" i="10"/>
  <c r="H28" i="10"/>
  <c r="G28" i="10"/>
  <c r="F28" i="10"/>
  <c r="E28" i="10"/>
  <c r="D28" i="10"/>
  <c r="C28" i="10"/>
  <c r="B28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H25" i="10"/>
  <c r="G25" i="10"/>
  <c r="F25" i="10"/>
  <c r="E25" i="10"/>
  <c r="D25" i="10"/>
  <c r="C25" i="10"/>
  <c r="B25" i="10"/>
  <c r="H24" i="10"/>
  <c r="G24" i="10"/>
  <c r="F24" i="10"/>
  <c r="E24" i="10"/>
  <c r="D24" i="10"/>
  <c r="C24" i="10"/>
  <c r="B24" i="10"/>
  <c r="H23" i="10"/>
  <c r="G23" i="10"/>
  <c r="F23" i="10"/>
  <c r="E23" i="10"/>
  <c r="D23" i="10"/>
  <c r="C23" i="10"/>
  <c r="B23" i="10"/>
  <c r="H22" i="10"/>
  <c r="G22" i="10"/>
  <c r="F22" i="10"/>
  <c r="E22" i="10"/>
  <c r="D22" i="10"/>
  <c r="C22" i="10"/>
  <c r="B22" i="10"/>
  <c r="H21" i="10"/>
  <c r="G21" i="10"/>
  <c r="F21" i="10"/>
  <c r="E21" i="10"/>
  <c r="D21" i="10"/>
  <c r="C21" i="10"/>
  <c r="B21" i="10"/>
  <c r="H20" i="10"/>
  <c r="G20" i="10"/>
  <c r="F20" i="10"/>
  <c r="E20" i="10"/>
  <c r="D20" i="10"/>
  <c r="C20" i="10"/>
  <c r="B20" i="10"/>
  <c r="H19" i="10"/>
  <c r="G19" i="10"/>
  <c r="F19" i="10"/>
  <c r="E19" i="10"/>
  <c r="D19" i="10"/>
  <c r="C19" i="10"/>
  <c r="B19" i="10"/>
  <c r="H18" i="10"/>
  <c r="G18" i="10"/>
  <c r="F18" i="10"/>
  <c r="E18" i="10"/>
  <c r="D18" i="10"/>
  <c r="C18" i="10"/>
  <c r="B18" i="10"/>
  <c r="H17" i="10"/>
  <c r="G17" i="10"/>
  <c r="F17" i="10"/>
  <c r="E17" i="10"/>
  <c r="D17" i="10"/>
  <c r="C17" i="10"/>
  <c r="B17" i="10"/>
  <c r="H16" i="10"/>
  <c r="G16" i="10"/>
  <c r="F16" i="10"/>
  <c r="E16" i="10"/>
  <c r="D16" i="10"/>
  <c r="C16" i="10"/>
  <c r="B16" i="10"/>
  <c r="H15" i="10"/>
  <c r="G15" i="10"/>
  <c r="F15" i="10"/>
  <c r="E15" i="10"/>
  <c r="D15" i="10"/>
  <c r="C15" i="10"/>
  <c r="B15" i="10"/>
  <c r="H14" i="10"/>
  <c r="G14" i="10"/>
  <c r="F14" i="10"/>
  <c r="E14" i="10"/>
  <c r="D14" i="10"/>
  <c r="C14" i="10"/>
  <c r="B14" i="10"/>
  <c r="H13" i="10"/>
  <c r="G13" i="10"/>
  <c r="F13" i="10"/>
  <c r="E13" i="10"/>
  <c r="D13" i="10"/>
  <c r="C13" i="10"/>
  <c r="B13" i="10"/>
  <c r="H12" i="10"/>
  <c r="G12" i="10"/>
  <c r="F12" i="10"/>
  <c r="E12" i="10"/>
  <c r="D12" i="10"/>
  <c r="C12" i="10"/>
  <c r="B12" i="10"/>
  <c r="H11" i="10"/>
  <c r="G11" i="10"/>
  <c r="F11" i="10"/>
  <c r="E11" i="10"/>
  <c r="D11" i="10"/>
  <c r="C11" i="10"/>
  <c r="B11" i="10"/>
  <c r="H10" i="10"/>
  <c r="G10" i="10"/>
  <c r="F10" i="10"/>
  <c r="E10" i="10"/>
  <c r="D10" i="10"/>
  <c r="C10" i="10"/>
  <c r="B10" i="10"/>
  <c r="H7" i="10"/>
  <c r="H6" i="10" s="1"/>
  <c r="H4" i="10"/>
  <c r="H369" i="9"/>
  <c r="G369" i="9"/>
  <c r="F369" i="9"/>
  <c r="E369" i="9"/>
  <c r="D369" i="9"/>
  <c r="C369" i="9"/>
  <c r="B369" i="9"/>
  <c r="H368" i="9"/>
  <c r="G368" i="9"/>
  <c r="F368" i="9"/>
  <c r="E368" i="9"/>
  <c r="D368" i="9"/>
  <c r="C368" i="9"/>
  <c r="B368" i="9"/>
  <c r="H367" i="9"/>
  <c r="G367" i="9"/>
  <c r="F367" i="9"/>
  <c r="E367" i="9"/>
  <c r="D367" i="9"/>
  <c r="C367" i="9"/>
  <c r="B367" i="9"/>
  <c r="H366" i="9"/>
  <c r="G366" i="9"/>
  <c r="F366" i="9"/>
  <c r="E366" i="9"/>
  <c r="D366" i="9"/>
  <c r="C366" i="9"/>
  <c r="B366" i="9"/>
  <c r="H365" i="9"/>
  <c r="G365" i="9"/>
  <c r="F365" i="9"/>
  <c r="E365" i="9"/>
  <c r="D365" i="9"/>
  <c r="C365" i="9"/>
  <c r="B365" i="9"/>
  <c r="H364" i="9"/>
  <c r="G364" i="9"/>
  <c r="F364" i="9"/>
  <c r="E364" i="9"/>
  <c r="D364" i="9"/>
  <c r="C364" i="9"/>
  <c r="B364" i="9"/>
  <c r="H363" i="9"/>
  <c r="G363" i="9"/>
  <c r="F363" i="9"/>
  <c r="E363" i="9"/>
  <c r="D363" i="9"/>
  <c r="C363" i="9"/>
  <c r="B363" i="9"/>
  <c r="H362" i="9"/>
  <c r="G362" i="9"/>
  <c r="F362" i="9"/>
  <c r="E362" i="9"/>
  <c r="D362" i="9"/>
  <c r="C362" i="9"/>
  <c r="B362" i="9"/>
  <c r="H361" i="9"/>
  <c r="G361" i="9"/>
  <c r="F361" i="9"/>
  <c r="E361" i="9"/>
  <c r="D361" i="9"/>
  <c r="C361" i="9"/>
  <c r="B361" i="9"/>
  <c r="H360" i="9"/>
  <c r="G360" i="9"/>
  <c r="F360" i="9"/>
  <c r="E360" i="9"/>
  <c r="D360" i="9"/>
  <c r="C360" i="9"/>
  <c r="B360" i="9"/>
  <c r="H359" i="9"/>
  <c r="G359" i="9"/>
  <c r="F359" i="9"/>
  <c r="E359" i="9"/>
  <c r="D359" i="9"/>
  <c r="C359" i="9"/>
  <c r="B359" i="9"/>
  <c r="H358" i="9"/>
  <c r="G358" i="9"/>
  <c r="F358" i="9"/>
  <c r="E358" i="9"/>
  <c r="D358" i="9"/>
  <c r="C358" i="9"/>
  <c r="B358" i="9"/>
  <c r="H357" i="9"/>
  <c r="G357" i="9"/>
  <c r="F357" i="9"/>
  <c r="E357" i="9"/>
  <c r="D357" i="9"/>
  <c r="C357" i="9"/>
  <c r="B357" i="9"/>
  <c r="H356" i="9"/>
  <c r="G356" i="9"/>
  <c r="F356" i="9"/>
  <c r="E356" i="9"/>
  <c r="D356" i="9"/>
  <c r="C356" i="9"/>
  <c r="B356" i="9"/>
  <c r="H355" i="9"/>
  <c r="G355" i="9"/>
  <c r="F355" i="9"/>
  <c r="E355" i="9"/>
  <c r="D355" i="9"/>
  <c r="C355" i="9"/>
  <c r="B355" i="9"/>
  <c r="H354" i="9"/>
  <c r="G354" i="9"/>
  <c r="F354" i="9"/>
  <c r="E354" i="9"/>
  <c r="D354" i="9"/>
  <c r="C354" i="9"/>
  <c r="B354" i="9"/>
  <c r="H353" i="9"/>
  <c r="G353" i="9"/>
  <c r="F353" i="9"/>
  <c r="E353" i="9"/>
  <c r="D353" i="9"/>
  <c r="C353" i="9"/>
  <c r="B353" i="9"/>
  <c r="H352" i="9"/>
  <c r="G352" i="9"/>
  <c r="F352" i="9"/>
  <c r="E352" i="9"/>
  <c r="D352" i="9"/>
  <c r="C352" i="9"/>
  <c r="B352" i="9"/>
  <c r="H351" i="9"/>
  <c r="G351" i="9"/>
  <c r="F351" i="9"/>
  <c r="E351" i="9"/>
  <c r="D351" i="9"/>
  <c r="C351" i="9"/>
  <c r="B351" i="9"/>
  <c r="H350" i="9"/>
  <c r="G350" i="9"/>
  <c r="F350" i="9"/>
  <c r="E350" i="9"/>
  <c r="D350" i="9"/>
  <c r="C350" i="9"/>
  <c r="B350" i="9"/>
  <c r="H349" i="9"/>
  <c r="G349" i="9"/>
  <c r="F349" i="9"/>
  <c r="E349" i="9"/>
  <c r="D349" i="9"/>
  <c r="C349" i="9"/>
  <c r="B349" i="9"/>
  <c r="H348" i="9"/>
  <c r="G348" i="9"/>
  <c r="F348" i="9"/>
  <c r="E348" i="9"/>
  <c r="D348" i="9"/>
  <c r="C348" i="9"/>
  <c r="B348" i="9"/>
  <c r="H347" i="9"/>
  <c r="G347" i="9"/>
  <c r="F347" i="9"/>
  <c r="E347" i="9"/>
  <c r="D347" i="9"/>
  <c r="C347" i="9"/>
  <c r="B347" i="9"/>
  <c r="H346" i="9"/>
  <c r="G346" i="9"/>
  <c r="F346" i="9"/>
  <c r="E346" i="9"/>
  <c r="D346" i="9"/>
  <c r="C346" i="9"/>
  <c r="B346" i="9"/>
  <c r="H345" i="9"/>
  <c r="G345" i="9"/>
  <c r="F345" i="9"/>
  <c r="E345" i="9"/>
  <c r="D345" i="9"/>
  <c r="C345" i="9"/>
  <c r="B345" i="9"/>
  <c r="H344" i="9"/>
  <c r="G344" i="9"/>
  <c r="F344" i="9"/>
  <c r="E344" i="9"/>
  <c r="D344" i="9"/>
  <c r="C344" i="9"/>
  <c r="B344" i="9"/>
  <c r="H343" i="9"/>
  <c r="G343" i="9"/>
  <c r="F343" i="9"/>
  <c r="E343" i="9"/>
  <c r="D343" i="9"/>
  <c r="C343" i="9"/>
  <c r="B343" i="9"/>
  <c r="H342" i="9"/>
  <c r="G342" i="9"/>
  <c r="F342" i="9"/>
  <c r="E342" i="9"/>
  <c r="D342" i="9"/>
  <c r="C342" i="9"/>
  <c r="B342" i="9"/>
  <c r="H341" i="9"/>
  <c r="G341" i="9"/>
  <c r="F341" i="9"/>
  <c r="E341" i="9"/>
  <c r="D341" i="9"/>
  <c r="C341" i="9"/>
  <c r="B341" i="9"/>
  <c r="H340" i="9"/>
  <c r="G340" i="9"/>
  <c r="F340" i="9"/>
  <c r="E340" i="9"/>
  <c r="D340" i="9"/>
  <c r="C340" i="9"/>
  <c r="B340" i="9"/>
  <c r="H339" i="9"/>
  <c r="G339" i="9"/>
  <c r="F339" i="9"/>
  <c r="E339" i="9"/>
  <c r="D339" i="9"/>
  <c r="C339" i="9"/>
  <c r="B339" i="9"/>
  <c r="H338" i="9"/>
  <c r="G338" i="9"/>
  <c r="F338" i="9"/>
  <c r="E338" i="9"/>
  <c r="D338" i="9"/>
  <c r="C338" i="9"/>
  <c r="B338" i="9"/>
  <c r="H337" i="9"/>
  <c r="G337" i="9"/>
  <c r="F337" i="9"/>
  <c r="E337" i="9"/>
  <c r="D337" i="9"/>
  <c r="C337" i="9"/>
  <c r="B337" i="9"/>
  <c r="H336" i="9"/>
  <c r="G336" i="9"/>
  <c r="F336" i="9"/>
  <c r="E336" i="9"/>
  <c r="D336" i="9"/>
  <c r="C336" i="9"/>
  <c r="B336" i="9"/>
  <c r="H335" i="9"/>
  <c r="G335" i="9"/>
  <c r="F335" i="9"/>
  <c r="E335" i="9"/>
  <c r="D335" i="9"/>
  <c r="C335" i="9"/>
  <c r="B335" i="9"/>
  <c r="H334" i="9"/>
  <c r="G334" i="9"/>
  <c r="F334" i="9"/>
  <c r="E334" i="9"/>
  <c r="D334" i="9"/>
  <c r="C334" i="9"/>
  <c r="B334" i="9"/>
  <c r="H333" i="9"/>
  <c r="G333" i="9"/>
  <c r="F333" i="9"/>
  <c r="E333" i="9"/>
  <c r="D333" i="9"/>
  <c r="C333" i="9"/>
  <c r="B333" i="9"/>
  <c r="H332" i="9"/>
  <c r="G332" i="9"/>
  <c r="F332" i="9"/>
  <c r="E332" i="9"/>
  <c r="D332" i="9"/>
  <c r="C332" i="9"/>
  <c r="B332" i="9"/>
  <c r="H331" i="9"/>
  <c r="G331" i="9"/>
  <c r="F331" i="9"/>
  <c r="E331" i="9"/>
  <c r="D331" i="9"/>
  <c r="C331" i="9"/>
  <c r="B331" i="9"/>
  <c r="H330" i="9"/>
  <c r="G330" i="9"/>
  <c r="F330" i="9"/>
  <c r="E330" i="9"/>
  <c r="D330" i="9"/>
  <c r="C330" i="9"/>
  <c r="B330" i="9"/>
  <c r="H329" i="9"/>
  <c r="G329" i="9"/>
  <c r="F329" i="9"/>
  <c r="E329" i="9"/>
  <c r="D329" i="9"/>
  <c r="C329" i="9"/>
  <c r="B329" i="9"/>
  <c r="H328" i="9"/>
  <c r="G328" i="9"/>
  <c r="F328" i="9"/>
  <c r="E328" i="9"/>
  <c r="D328" i="9"/>
  <c r="C328" i="9"/>
  <c r="B328" i="9"/>
  <c r="H327" i="9"/>
  <c r="G327" i="9"/>
  <c r="F327" i="9"/>
  <c r="E327" i="9"/>
  <c r="D327" i="9"/>
  <c r="C327" i="9"/>
  <c r="B327" i="9"/>
  <c r="H326" i="9"/>
  <c r="G326" i="9"/>
  <c r="F326" i="9"/>
  <c r="E326" i="9"/>
  <c r="D326" i="9"/>
  <c r="C326" i="9"/>
  <c r="B326" i="9"/>
  <c r="H325" i="9"/>
  <c r="G325" i="9"/>
  <c r="F325" i="9"/>
  <c r="E325" i="9"/>
  <c r="D325" i="9"/>
  <c r="C325" i="9"/>
  <c r="B325" i="9"/>
  <c r="H324" i="9"/>
  <c r="G324" i="9"/>
  <c r="F324" i="9"/>
  <c r="E324" i="9"/>
  <c r="D324" i="9"/>
  <c r="C324" i="9"/>
  <c r="B324" i="9"/>
  <c r="H323" i="9"/>
  <c r="G323" i="9"/>
  <c r="F323" i="9"/>
  <c r="E323" i="9"/>
  <c r="D323" i="9"/>
  <c r="C323" i="9"/>
  <c r="B323" i="9"/>
  <c r="H322" i="9"/>
  <c r="G322" i="9"/>
  <c r="F322" i="9"/>
  <c r="E322" i="9"/>
  <c r="D322" i="9"/>
  <c r="C322" i="9"/>
  <c r="B322" i="9"/>
  <c r="H321" i="9"/>
  <c r="G321" i="9"/>
  <c r="F321" i="9"/>
  <c r="E321" i="9"/>
  <c r="D321" i="9"/>
  <c r="C321" i="9"/>
  <c r="B321" i="9"/>
  <c r="H320" i="9"/>
  <c r="G320" i="9"/>
  <c r="F320" i="9"/>
  <c r="E320" i="9"/>
  <c r="D320" i="9"/>
  <c r="C320" i="9"/>
  <c r="B320" i="9"/>
  <c r="H319" i="9"/>
  <c r="G319" i="9"/>
  <c r="F319" i="9"/>
  <c r="E319" i="9"/>
  <c r="D319" i="9"/>
  <c r="C319" i="9"/>
  <c r="B319" i="9"/>
  <c r="H318" i="9"/>
  <c r="G318" i="9"/>
  <c r="F318" i="9"/>
  <c r="E318" i="9"/>
  <c r="D318" i="9"/>
  <c r="C318" i="9"/>
  <c r="B318" i="9"/>
  <c r="H317" i="9"/>
  <c r="G317" i="9"/>
  <c r="F317" i="9"/>
  <c r="E317" i="9"/>
  <c r="D317" i="9"/>
  <c r="C317" i="9"/>
  <c r="B317" i="9"/>
  <c r="H316" i="9"/>
  <c r="G316" i="9"/>
  <c r="F316" i="9"/>
  <c r="E316" i="9"/>
  <c r="D316" i="9"/>
  <c r="C316" i="9"/>
  <c r="B316" i="9"/>
  <c r="H315" i="9"/>
  <c r="G315" i="9"/>
  <c r="F315" i="9"/>
  <c r="E315" i="9"/>
  <c r="D315" i="9"/>
  <c r="C315" i="9"/>
  <c r="B315" i="9"/>
  <c r="H314" i="9"/>
  <c r="G314" i="9"/>
  <c r="F314" i="9"/>
  <c r="E314" i="9"/>
  <c r="D314" i="9"/>
  <c r="C314" i="9"/>
  <c r="B314" i="9"/>
  <c r="H313" i="9"/>
  <c r="G313" i="9"/>
  <c r="F313" i="9"/>
  <c r="E313" i="9"/>
  <c r="D313" i="9"/>
  <c r="C313" i="9"/>
  <c r="B313" i="9"/>
  <c r="H312" i="9"/>
  <c r="G312" i="9"/>
  <c r="F312" i="9"/>
  <c r="E312" i="9"/>
  <c r="D312" i="9"/>
  <c r="C312" i="9"/>
  <c r="B312" i="9"/>
  <c r="H311" i="9"/>
  <c r="G311" i="9"/>
  <c r="F311" i="9"/>
  <c r="E311" i="9"/>
  <c r="D311" i="9"/>
  <c r="C311" i="9"/>
  <c r="B311" i="9"/>
  <c r="H310" i="9"/>
  <c r="G310" i="9"/>
  <c r="F310" i="9"/>
  <c r="E310" i="9"/>
  <c r="D310" i="9"/>
  <c r="C310" i="9"/>
  <c r="B310" i="9"/>
  <c r="H309" i="9"/>
  <c r="G309" i="9"/>
  <c r="F309" i="9"/>
  <c r="E309" i="9"/>
  <c r="D309" i="9"/>
  <c r="C309" i="9"/>
  <c r="B309" i="9"/>
  <c r="H308" i="9"/>
  <c r="G308" i="9"/>
  <c r="F308" i="9"/>
  <c r="E308" i="9"/>
  <c r="D308" i="9"/>
  <c r="C308" i="9"/>
  <c r="B308" i="9"/>
  <c r="H307" i="9"/>
  <c r="G307" i="9"/>
  <c r="F307" i="9"/>
  <c r="E307" i="9"/>
  <c r="D307" i="9"/>
  <c r="C307" i="9"/>
  <c r="B307" i="9"/>
  <c r="H306" i="9"/>
  <c r="G306" i="9"/>
  <c r="F306" i="9"/>
  <c r="E306" i="9"/>
  <c r="D306" i="9"/>
  <c r="C306" i="9"/>
  <c r="B306" i="9"/>
  <c r="H305" i="9"/>
  <c r="G305" i="9"/>
  <c r="F305" i="9"/>
  <c r="E305" i="9"/>
  <c r="D305" i="9"/>
  <c r="C305" i="9"/>
  <c r="B305" i="9"/>
  <c r="H304" i="9"/>
  <c r="G304" i="9"/>
  <c r="F304" i="9"/>
  <c r="E304" i="9"/>
  <c r="D304" i="9"/>
  <c r="C304" i="9"/>
  <c r="B304" i="9"/>
  <c r="H303" i="9"/>
  <c r="G303" i="9"/>
  <c r="F303" i="9"/>
  <c r="E303" i="9"/>
  <c r="D303" i="9"/>
  <c r="C303" i="9"/>
  <c r="B303" i="9"/>
  <c r="H302" i="9"/>
  <c r="G302" i="9"/>
  <c r="F302" i="9"/>
  <c r="E302" i="9"/>
  <c r="D302" i="9"/>
  <c r="C302" i="9"/>
  <c r="B302" i="9"/>
  <c r="H301" i="9"/>
  <c r="G301" i="9"/>
  <c r="F301" i="9"/>
  <c r="E301" i="9"/>
  <c r="D301" i="9"/>
  <c r="C301" i="9"/>
  <c r="B301" i="9"/>
  <c r="H300" i="9"/>
  <c r="G300" i="9"/>
  <c r="F300" i="9"/>
  <c r="E300" i="9"/>
  <c r="D300" i="9"/>
  <c r="C300" i="9"/>
  <c r="B300" i="9"/>
  <c r="H299" i="9"/>
  <c r="G299" i="9"/>
  <c r="F299" i="9"/>
  <c r="E299" i="9"/>
  <c r="D299" i="9"/>
  <c r="C299" i="9"/>
  <c r="B299" i="9"/>
  <c r="H298" i="9"/>
  <c r="G298" i="9"/>
  <c r="F298" i="9"/>
  <c r="E298" i="9"/>
  <c r="D298" i="9"/>
  <c r="C298" i="9"/>
  <c r="B298" i="9"/>
  <c r="H297" i="9"/>
  <c r="G297" i="9"/>
  <c r="F297" i="9"/>
  <c r="E297" i="9"/>
  <c r="D297" i="9"/>
  <c r="C297" i="9"/>
  <c r="B297" i="9"/>
  <c r="H296" i="9"/>
  <c r="G296" i="9"/>
  <c r="F296" i="9"/>
  <c r="E296" i="9"/>
  <c r="D296" i="9"/>
  <c r="C296" i="9"/>
  <c r="B296" i="9"/>
  <c r="H295" i="9"/>
  <c r="G295" i="9"/>
  <c r="F295" i="9"/>
  <c r="E295" i="9"/>
  <c r="D295" i="9"/>
  <c r="C295" i="9"/>
  <c r="B295" i="9"/>
  <c r="H294" i="9"/>
  <c r="G294" i="9"/>
  <c r="F294" i="9"/>
  <c r="E294" i="9"/>
  <c r="D294" i="9"/>
  <c r="C294" i="9"/>
  <c r="B294" i="9"/>
  <c r="H293" i="9"/>
  <c r="G293" i="9"/>
  <c r="F293" i="9"/>
  <c r="E293" i="9"/>
  <c r="D293" i="9"/>
  <c r="C293" i="9"/>
  <c r="B293" i="9"/>
  <c r="H292" i="9"/>
  <c r="G292" i="9"/>
  <c r="F292" i="9"/>
  <c r="E292" i="9"/>
  <c r="D292" i="9"/>
  <c r="C292" i="9"/>
  <c r="B292" i="9"/>
  <c r="H291" i="9"/>
  <c r="G291" i="9"/>
  <c r="F291" i="9"/>
  <c r="E291" i="9"/>
  <c r="D291" i="9"/>
  <c r="C291" i="9"/>
  <c r="B291" i="9"/>
  <c r="H290" i="9"/>
  <c r="G290" i="9"/>
  <c r="F290" i="9"/>
  <c r="E290" i="9"/>
  <c r="D290" i="9"/>
  <c r="C290" i="9"/>
  <c r="B290" i="9"/>
  <c r="H289" i="9"/>
  <c r="G289" i="9"/>
  <c r="F289" i="9"/>
  <c r="E289" i="9"/>
  <c r="D289" i="9"/>
  <c r="C289" i="9"/>
  <c r="B289" i="9"/>
  <c r="H288" i="9"/>
  <c r="G288" i="9"/>
  <c r="F288" i="9"/>
  <c r="E288" i="9"/>
  <c r="D288" i="9"/>
  <c r="C288" i="9"/>
  <c r="B288" i="9"/>
  <c r="H287" i="9"/>
  <c r="G287" i="9"/>
  <c r="F287" i="9"/>
  <c r="E287" i="9"/>
  <c r="D287" i="9"/>
  <c r="C287" i="9"/>
  <c r="B287" i="9"/>
  <c r="H286" i="9"/>
  <c r="G286" i="9"/>
  <c r="F286" i="9"/>
  <c r="E286" i="9"/>
  <c r="D286" i="9"/>
  <c r="C286" i="9"/>
  <c r="B286" i="9"/>
  <c r="H285" i="9"/>
  <c r="G285" i="9"/>
  <c r="F285" i="9"/>
  <c r="E285" i="9"/>
  <c r="D285" i="9"/>
  <c r="C285" i="9"/>
  <c r="B285" i="9"/>
  <c r="H284" i="9"/>
  <c r="G284" i="9"/>
  <c r="F284" i="9"/>
  <c r="E284" i="9"/>
  <c r="D284" i="9"/>
  <c r="C284" i="9"/>
  <c r="B284" i="9"/>
  <c r="H283" i="9"/>
  <c r="G283" i="9"/>
  <c r="F283" i="9"/>
  <c r="E283" i="9"/>
  <c r="D283" i="9"/>
  <c r="C283" i="9"/>
  <c r="B283" i="9"/>
  <c r="H282" i="9"/>
  <c r="G282" i="9"/>
  <c r="F282" i="9"/>
  <c r="E282" i="9"/>
  <c r="D282" i="9"/>
  <c r="C282" i="9"/>
  <c r="B282" i="9"/>
  <c r="H281" i="9"/>
  <c r="G281" i="9"/>
  <c r="F281" i="9"/>
  <c r="E281" i="9"/>
  <c r="D281" i="9"/>
  <c r="C281" i="9"/>
  <c r="B281" i="9"/>
  <c r="H280" i="9"/>
  <c r="G280" i="9"/>
  <c r="F280" i="9"/>
  <c r="E280" i="9"/>
  <c r="D280" i="9"/>
  <c r="C280" i="9"/>
  <c r="B280" i="9"/>
  <c r="H279" i="9"/>
  <c r="G279" i="9"/>
  <c r="F279" i="9"/>
  <c r="E279" i="9"/>
  <c r="D279" i="9"/>
  <c r="C279" i="9"/>
  <c r="B279" i="9"/>
  <c r="H278" i="9"/>
  <c r="G278" i="9"/>
  <c r="F278" i="9"/>
  <c r="E278" i="9"/>
  <c r="D278" i="9"/>
  <c r="C278" i="9"/>
  <c r="B278" i="9"/>
  <c r="H277" i="9"/>
  <c r="G277" i="9"/>
  <c r="F277" i="9"/>
  <c r="E277" i="9"/>
  <c r="D277" i="9"/>
  <c r="C277" i="9"/>
  <c r="B277" i="9"/>
  <c r="H276" i="9"/>
  <c r="G276" i="9"/>
  <c r="F276" i="9"/>
  <c r="E276" i="9"/>
  <c r="D276" i="9"/>
  <c r="C276" i="9"/>
  <c r="B276" i="9"/>
  <c r="H275" i="9"/>
  <c r="G275" i="9"/>
  <c r="F275" i="9"/>
  <c r="E275" i="9"/>
  <c r="D275" i="9"/>
  <c r="C275" i="9"/>
  <c r="B275" i="9"/>
  <c r="H274" i="9"/>
  <c r="G274" i="9"/>
  <c r="F274" i="9"/>
  <c r="E274" i="9"/>
  <c r="D274" i="9"/>
  <c r="C274" i="9"/>
  <c r="B274" i="9"/>
  <c r="H273" i="9"/>
  <c r="G273" i="9"/>
  <c r="F273" i="9"/>
  <c r="E273" i="9"/>
  <c r="D273" i="9"/>
  <c r="C273" i="9"/>
  <c r="B273" i="9"/>
  <c r="H272" i="9"/>
  <c r="G272" i="9"/>
  <c r="F272" i="9"/>
  <c r="E272" i="9"/>
  <c r="D272" i="9"/>
  <c r="C272" i="9"/>
  <c r="B272" i="9"/>
  <c r="H271" i="9"/>
  <c r="G271" i="9"/>
  <c r="F271" i="9"/>
  <c r="E271" i="9"/>
  <c r="D271" i="9"/>
  <c r="C271" i="9"/>
  <c r="B271" i="9"/>
  <c r="H270" i="9"/>
  <c r="G270" i="9"/>
  <c r="F270" i="9"/>
  <c r="E270" i="9"/>
  <c r="D270" i="9"/>
  <c r="C270" i="9"/>
  <c r="B270" i="9"/>
  <c r="H269" i="9"/>
  <c r="G269" i="9"/>
  <c r="F269" i="9"/>
  <c r="E269" i="9"/>
  <c r="D269" i="9"/>
  <c r="C269" i="9"/>
  <c r="B269" i="9"/>
  <c r="H268" i="9"/>
  <c r="G268" i="9"/>
  <c r="F268" i="9"/>
  <c r="E268" i="9"/>
  <c r="D268" i="9"/>
  <c r="C268" i="9"/>
  <c r="B268" i="9"/>
  <c r="H267" i="9"/>
  <c r="G267" i="9"/>
  <c r="F267" i="9"/>
  <c r="E267" i="9"/>
  <c r="D267" i="9"/>
  <c r="C267" i="9"/>
  <c r="B267" i="9"/>
  <c r="H266" i="9"/>
  <c r="G266" i="9"/>
  <c r="F266" i="9"/>
  <c r="E266" i="9"/>
  <c r="D266" i="9"/>
  <c r="C266" i="9"/>
  <c r="B266" i="9"/>
  <c r="H265" i="9"/>
  <c r="G265" i="9"/>
  <c r="F265" i="9"/>
  <c r="E265" i="9"/>
  <c r="D265" i="9"/>
  <c r="C265" i="9"/>
  <c r="B265" i="9"/>
  <c r="H264" i="9"/>
  <c r="G264" i="9"/>
  <c r="F264" i="9"/>
  <c r="E264" i="9"/>
  <c r="D264" i="9"/>
  <c r="C264" i="9"/>
  <c r="B264" i="9"/>
  <c r="H263" i="9"/>
  <c r="G263" i="9"/>
  <c r="F263" i="9"/>
  <c r="E263" i="9"/>
  <c r="D263" i="9"/>
  <c r="C263" i="9"/>
  <c r="B263" i="9"/>
  <c r="H262" i="9"/>
  <c r="G262" i="9"/>
  <c r="F262" i="9"/>
  <c r="E262" i="9"/>
  <c r="D262" i="9"/>
  <c r="C262" i="9"/>
  <c r="B262" i="9"/>
  <c r="H261" i="9"/>
  <c r="G261" i="9"/>
  <c r="F261" i="9"/>
  <c r="E261" i="9"/>
  <c r="D261" i="9"/>
  <c r="C261" i="9"/>
  <c r="B261" i="9"/>
  <c r="H260" i="9"/>
  <c r="G260" i="9"/>
  <c r="F260" i="9"/>
  <c r="E260" i="9"/>
  <c r="D260" i="9"/>
  <c r="C260" i="9"/>
  <c r="B260" i="9"/>
  <c r="H259" i="9"/>
  <c r="G259" i="9"/>
  <c r="F259" i="9"/>
  <c r="E259" i="9"/>
  <c r="D259" i="9"/>
  <c r="C259" i="9"/>
  <c r="B259" i="9"/>
  <c r="H258" i="9"/>
  <c r="G258" i="9"/>
  <c r="F258" i="9"/>
  <c r="E258" i="9"/>
  <c r="D258" i="9"/>
  <c r="C258" i="9"/>
  <c r="B258" i="9"/>
  <c r="H257" i="9"/>
  <c r="G257" i="9"/>
  <c r="F257" i="9"/>
  <c r="E257" i="9"/>
  <c r="D257" i="9"/>
  <c r="C257" i="9"/>
  <c r="B257" i="9"/>
  <c r="H256" i="9"/>
  <c r="G256" i="9"/>
  <c r="F256" i="9"/>
  <c r="E256" i="9"/>
  <c r="D256" i="9"/>
  <c r="C256" i="9"/>
  <c r="B256" i="9"/>
  <c r="H255" i="9"/>
  <c r="G255" i="9"/>
  <c r="F255" i="9"/>
  <c r="E255" i="9"/>
  <c r="D255" i="9"/>
  <c r="C255" i="9"/>
  <c r="B255" i="9"/>
  <c r="H254" i="9"/>
  <c r="G254" i="9"/>
  <c r="F254" i="9"/>
  <c r="E254" i="9"/>
  <c r="D254" i="9"/>
  <c r="C254" i="9"/>
  <c r="B254" i="9"/>
  <c r="H253" i="9"/>
  <c r="G253" i="9"/>
  <c r="F253" i="9"/>
  <c r="E253" i="9"/>
  <c r="D253" i="9"/>
  <c r="C253" i="9"/>
  <c r="B253" i="9"/>
  <c r="H252" i="9"/>
  <c r="G252" i="9"/>
  <c r="F252" i="9"/>
  <c r="E252" i="9"/>
  <c r="D252" i="9"/>
  <c r="C252" i="9"/>
  <c r="B252" i="9"/>
  <c r="H251" i="9"/>
  <c r="G251" i="9"/>
  <c r="F251" i="9"/>
  <c r="E251" i="9"/>
  <c r="D251" i="9"/>
  <c r="C251" i="9"/>
  <c r="B251" i="9"/>
  <c r="H250" i="9"/>
  <c r="G250" i="9"/>
  <c r="F250" i="9"/>
  <c r="E250" i="9"/>
  <c r="D250" i="9"/>
  <c r="C250" i="9"/>
  <c r="B250" i="9"/>
  <c r="H249" i="9"/>
  <c r="G249" i="9"/>
  <c r="F249" i="9"/>
  <c r="E249" i="9"/>
  <c r="D249" i="9"/>
  <c r="C249" i="9"/>
  <c r="B249" i="9"/>
  <c r="H248" i="9"/>
  <c r="G248" i="9"/>
  <c r="F248" i="9"/>
  <c r="E248" i="9"/>
  <c r="D248" i="9"/>
  <c r="C248" i="9"/>
  <c r="B248" i="9"/>
  <c r="H247" i="9"/>
  <c r="G247" i="9"/>
  <c r="F247" i="9"/>
  <c r="E247" i="9"/>
  <c r="D247" i="9"/>
  <c r="C247" i="9"/>
  <c r="B247" i="9"/>
  <c r="H246" i="9"/>
  <c r="G246" i="9"/>
  <c r="F246" i="9"/>
  <c r="E246" i="9"/>
  <c r="D246" i="9"/>
  <c r="C246" i="9"/>
  <c r="B246" i="9"/>
  <c r="H245" i="9"/>
  <c r="G245" i="9"/>
  <c r="F245" i="9"/>
  <c r="E245" i="9"/>
  <c r="D245" i="9"/>
  <c r="C245" i="9"/>
  <c r="B245" i="9"/>
  <c r="H244" i="9"/>
  <c r="G244" i="9"/>
  <c r="F244" i="9"/>
  <c r="E244" i="9"/>
  <c r="D244" i="9"/>
  <c r="C244" i="9"/>
  <c r="B244" i="9"/>
  <c r="H243" i="9"/>
  <c r="G243" i="9"/>
  <c r="F243" i="9"/>
  <c r="E243" i="9"/>
  <c r="D243" i="9"/>
  <c r="C243" i="9"/>
  <c r="B243" i="9"/>
  <c r="H242" i="9"/>
  <c r="G242" i="9"/>
  <c r="F242" i="9"/>
  <c r="E242" i="9"/>
  <c r="D242" i="9"/>
  <c r="C242" i="9"/>
  <c r="B242" i="9"/>
  <c r="H241" i="9"/>
  <c r="G241" i="9"/>
  <c r="F241" i="9"/>
  <c r="E241" i="9"/>
  <c r="D241" i="9"/>
  <c r="C241" i="9"/>
  <c r="B241" i="9"/>
  <c r="H240" i="9"/>
  <c r="G240" i="9"/>
  <c r="F240" i="9"/>
  <c r="E240" i="9"/>
  <c r="D240" i="9"/>
  <c r="C240" i="9"/>
  <c r="B240" i="9"/>
  <c r="H239" i="9"/>
  <c r="G239" i="9"/>
  <c r="F239" i="9"/>
  <c r="E239" i="9"/>
  <c r="D239" i="9"/>
  <c r="C239" i="9"/>
  <c r="B239" i="9"/>
  <c r="H238" i="9"/>
  <c r="G238" i="9"/>
  <c r="F238" i="9"/>
  <c r="E238" i="9"/>
  <c r="D238" i="9"/>
  <c r="C238" i="9"/>
  <c r="B238" i="9"/>
  <c r="H237" i="9"/>
  <c r="G237" i="9"/>
  <c r="F237" i="9"/>
  <c r="E237" i="9"/>
  <c r="D237" i="9"/>
  <c r="C237" i="9"/>
  <c r="B237" i="9"/>
  <c r="H236" i="9"/>
  <c r="G236" i="9"/>
  <c r="F236" i="9"/>
  <c r="E236" i="9"/>
  <c r="D236" i="9"/>
  <c r="C236" i="9"/>
  <c r="B236" i="9"/>
  <c r="H235" i="9"/>
  <c r="G235" i="9"/>
  <c r="F235" i="9"/>
  <c r="E235" i="9"/>
  <c r="D235" i="9"/>
  <c r="C235" i="9"/>
  <c r="B235" i="9"/>
  <c r="H234" i="9"/>
  <c r="G234" i="9"/>
  <c r="F234" i="9"/>
  <c r="E234" i="9"/>
  <c r="D234" i="9"/>
  <c r="C234" i="9"/>
  <c r="B234" i="9"/>
  <c r="H233" i="9"/>
  <c r="G233" i="9"/>
  <c r="F233" i="9"/>
  <c r="E233" i="9"/>
  <c r="D233" i="9"/>
  <c r="C233" i="9"/>
  <c r="B233" i="9"/>
  <c r="H232" i="9"/>
  <c r="G232" i="9"/>
  <c r="F232" i="9"/>
  <c r="E232" i="9"/>
  <c r="D232" i="9"/>
  <c r="C232" i="9"/>
  <c r="B232" i="9"/>
  <c r="H231" i="9"/>
  <c r="G231" i="9"/>
  <c r="F231" i="9"/>
  <c r="E231" i="9"/>
  <c r="D231" i="9"/>
  <c r="C231" i="9"/>
  <c r="B231" i="9"/>
  <c r="H230" i="9"/>
  <c r="G230" i="9"/>
  <c r="F230" i="9"/>
  <c r="E230" i="9"/>
  <c r="D230" i="9"/>
  <c r="C230" i="9"/>
  <c r="B230" i="9"/>
  <c r="H229" i="9"/>
  <c r="G229" i="9"/>
  <c r="F229" i="9"/>
  <c r="E229" i="9"/>
  <c r="D229" i="9"/>
  <c r="C229" i="9"/>
  <c r="B229" i="9"/>
  <c r="H228" i="9"/>
  <c r="G228" i="9"/>
  <c r="F228" i="9"/>
  <c r="E228" i="9"/>
  <c r="D228" i="9"/>
  <c r="C228" i="9"/>
  <c r="B228" i="9"/>
  <c r="H227" i="9"/>
  <c r="G227" i="9"/>
  <c r="F227" i="9"/>
  <c r="E227" i="9"/>
  <c r="D227" i="9"/>
  <c r="C227" i="9"/>
  <c r="B227" i="9"/>
  <c r="H226" i="9"/>
  <c r="G226" i="9"/>
  <c r="F226" i="9"/>
  <c r="E226" i="9"/>
  <c r="D226" i="9"/>
  <c r="C226" i="9"/>
  <c r="B226" i="9"/>
  <c r="H225" i="9"/>
  <c r="G225" i="9"/>
  <c r="F225" i="9"/>
  <c r="E225" i="9"/>
  <c r="D225" i="9"/>
  <c r="C225" i="9"/>
  <c r="B225" i="9"/>
  <c r="H224" i="9"/>
  <c r="G224" i="9"/>
  <c r="F224" i="9"/>
  <c r="E224" i="9"/>
  <c r="D224" i="9"/>
  <c r="C224" i="9"/>
  <c r="B224" i="9"/>
  <c r="H223" i="9"/>
  <c r="G223" i="9"/>
  <c r="F223" i="9"/>
  <c r="E223" i="9"/>
  <c r="D223" i="9"/>
  <c r="C223" i="9"/>
  <c r="B223" i="9"/>
  <c r="H222" i="9"/>
  <c r="G222" i="9"/>
  <c r="F222" i="9"/>
  <c r="E222" i="9"/>
  <c r="D222" i="9"/>
  <c r="C222" i="9"/>
  <c r="B222" i="9"/>
  <c r="H221" i="9"/>
  <c r="G221" i="9"/>
  <c r="F221" i="9"/>
  <c r="E221" i="9"/>
  <c r="D221" i="9"/>
  <c r="C221" i="9"/>
  <c r="B221" i="9"/>
  <c r="H220" i="9"/>
  <c r="G220" i="9"/>
  <c r="F220" i="9"/>
  <c r="E220" i="9"/>
  <c r="D220" i="9"/>
  <c r="C220" i="9"/>
  <c r="B220" i="9"/>
  <c r="H219" i="9"/>
  <c r="G219" i="9"/>
  <c r="F219" i="9"/>
  <c r="E219" i="9"/>
  <c r="D219" i="9"/>
  <c r="C219" i="9"/>
  <c r="B219" i="9"/>
  <c r="H218" i="9"/>
  <c r="G218" i="9"/>
  <c r="F218" i="9"/>
  <c r="E218" i="9"/>
  <c r="D218" i="9"/>
  <c r="C218" i="9"/>
  <c r="B218" i="9"/>
  <c r="H217" i="9"/>
  <c r="G217" i="9"/>
  <c r="F217" i="9"/>
  <c r="E217" i="9"/>
  <c r="D217" i="9"/>
  <c r="C217" i="9"/>
  <c r="B217" i="9"/>
  <c r="H216" i="9"/>
  <c r="G216" i="9"/>
  <c r="F216" i="9"/>
  <c r="E216" i="9"/>
  <c r="D216" i="9"/>
  <c r="C216" i="9"/>
  <c r="B216" i="9"/>
  <c r="H215" i="9"/>
  <c r="G215" i="9"/>
  <c r="F215" i="9"/>
  <c r="E215" i="9"/>
  <c r="D215" i="9"/>
  <c r="C215" i="9"/>
  <c r="B215" i="9"/>
  <c r="H214" i="9"/>
  <c r="G214" i="9"/>
  <c r="F214" i="9"/>
  <c r="E214" i="9"/>
  <c r="D214" i="9"/>
  <c r="C214" i="9"/>
  <c r="B214" i="9"/>
  <c r="H213" i="9"/>
  <c r="G213" i="9"/>
  <c r="F213" i="9"/>
  <c r="E213" i="9"/>
  <c r="D213" i="9"/>
  <c r="C213" i="9"/>
  <c r="B213" i="9"/>
  <c r="H212" i="9"/>
  <c r="G212" i="9"/>
  <c r="F212" i="9"/>
  <c r="E212" i="9"/>
  <c r="D212" i="9"/>
  <c r="C212" i="9"/>
  <c r="B212" i="9"/>
  <c r="H211" i="9"/>
  <c r="G211" i="9"/>
  <c r="F211" i="9"/>
  <c r="E211" i="9"/>
  <c r="D211" i="9"/>
  <c r="C211" i="9"/>
  <c r="B211" i="9"/>
  <c r="H210" i="9"/>
  <c r="G210" i="9"/>
  <c r="F210" i="9"/>
  <c r="E210" i="9"/>
  <c r="D210" i="9"/>
  <c r="C210" i="9"/>
  <c r="B210" i="9"/>
  <c r="H209" i="9"/>
  <c r="G209" i="9"/>
  <c r="F209" i="9"/>
  <c r="E209" i="9"/>
  <c r="D209" i="9"/>
  <c r="C209" i="9"/>
  <c r="B209" i="9"/>
  <c r="H208" i="9"/>
  <c r="G208" i="9"/>
  <c r="F208" i="9"/>
  <c r="E208" i="9"/>
  <c r="D208" i="9"/>
  <c r="C208" i="9"/>
  <c r="B208" i="9"/>
  <c r="H207" i="9"/>
  <c r="G207" i="9"/>
  <c r="F207" i="9"/>
  <c r="E207" i="9"/>
  <c r="D207" i="9"/>
  <c r="C207" i="9"/>
  <c r="B207" i="9"/>
  <c r="H206" i="9"/>
  <c r="G206" i="9"/>
  <c r="F206" i="9"/>
  <c r="E206" i="9"/>
  <c r="D206" i="9"/>
  <c r="C206" i="9"/>
  <c r="B206" i="9"/>
  <c r="H205" i="9"/>
  <c r="G205" i="9"/>
  <c r="F205" i="9"/>
  <c r="E205" i="9"/>
  <c r="D205" i="9"/>
  <c r="C205" i="9"/>
  <c r="B205" i="9"/>
  <c r="H204" i="9"/>
  <c r="G204" i="9"/>
  <c r="F204" i="9"/>
  <c r="E204" i="9"/>
  <c r="D204" i="9"/>
  <c r="C204" i="9"/>
  <c r="B204" i="9"/>
  <c r="H203" i="9"/>
  <c r="G203" i="9"/>
  <c r="F203" i="9"/>
  <c r="E203" i="9"/>
  <c r="D203" i="9"/>
  <c r="C203" i="9"/>
  <c r="B203" i="9"/>
  <c r="H202" i="9"/>
  <c r="G202" i="9"/>
  <c r="F202" i="9"/>
  <c r="E202" i="9"/>
  <c r="D202" i="9"/>
  <c r="C202" i="9"/>
  <c r="B202" i="9"/>
  <c r="H201" i="9"/>
  <c r="G201" i="9"/>
  <c r="F201" i="9"/>
  <c r="E201" i="9"/>
  <c r="D201" i="9"/>
  <c r="C201" i="9"/>
  <c r="B201" i="9"/>
  <c r="H200" i="9"/>
  <c r="G200" i="9"/>
  <c r="F200" i="9"/>
  <c r="E200" i="9"/>
  <c r="D200" i="9"/>
  <c r="C200" i="9"/>
  <c r="B200" i="9"/>
  <c r="H199" i="9"/>
  <c r="G199" i="9"/>
  <c r="F199" i="9"/>
  <c r="E199" i="9"/>
  <c r="D199" i="9"/>
  <c r="C199" i="9"/>
  <c r="B199" i="9"/>
  <c r="H198" i="9"/>
  <c r="G198" i="9"/>
  <c r="F198" i="9"/>
  <c r="E198" i="9"/>
  <c r="D198" i="9"/>
  <c r="C198" i="9"/>
  <c r="B198" i="9"/>
  <c r="H197" i="9"/>
  <c r="G197" i="9"/>
  <c r="F197" i="9"/>
  <c r="E197" i="9"/>
  <c r="D197" i="9"/>
  <c r="C197" i="9"/>
  <c r="B197" i="9"/>
  <c r="H196" i="9"/>
  <c r="G196" i="9"/>
  <c r="F196" i="9"/>
  <c r="E196" i="9"/>
  <c r="D196" i="9"/>
  <c r="C196" i="9"/>
  <c r="B196" i="9"/>
  <c r="H195" i="9"/>
  <c r="G195" i="9"/>
  <c r="F195" i="9"/>
  <c r="E195" i="9"/>
  <c r="D195" i="9"/>
  <c r="C195" i="9"/>
  <c r="B195" i="9"/>
  <c r="H194" i="9"/>
  <c r="G194" i="9"/>
  <c r="F194" i="9"/>
  <c r="E194" i="9"/>
  <c r="D194" i="9"/>
  <c r="C194" i="9"/>
  <c r="B194" i="9"/>
  <c r="H193" i="9"/>
  <c r="G193" i="9"/>
  <c r="F193" i="9"/>
  <c r="E193" i="9"/>
  <c r="D193" i="9"/>
  <c r="C193" i="9"/>
  <c r="B193" i="9"/>
  <c r="H192" i="9"/>
  <c r="G192" i="9"/>
  <c r="F192" i="9"/>
  <c r="E192" i="9"/>
  <c r="D192" i="9"/>
  <c r="C192" i="9"/>
  <c r="B192" i="9"/>
  <c r="H191" i="9"/>
  <c r="G191" i="9"/>
  <c r="F191" i="9"/>
  <c r="E191" i="9"/>
  <c r="D191" i="9"/>
  <c r="C191" i="9"/>
  <c r="B191" i="9"/>
  <c r="H190" i="9"/>
  <c r="G190" i="9"/>
  <c r="F190" i="9"/>
  <c r="E190" i="9"/>
  <c r="D190" i="9"/>
  <c r="C190" i="9"/>
  <c r="B190" i="9"/>
  <c r="H189" i="9"/>
  <c r="G189" i="9"/>
  <c r="F189" i="9"/>
  <c r="E189" i="9"/>
  <c r="D189" i="9"/>
  <c r="C189" i="9"/>
  <c r="B189" i="9"/>
  <c r="H188" i="9"/>
  <c r="G188" i="9"/>
  <c r="F188" i="9"/>
  <c r="E188" i="9"/>
  <c r="D188" i="9"/>
  <c r="C188" i="9"/>
  <c r="B188" i="9"/>
  <c r="H187" i="9"/>
  <c r="G187" i="9"/>
  <c r="F187" i="9"/>
  <c r="E187" i="9"/>
  <c r="D187" i="9"/>
  <c r="C187" i="9"/>
  <c r="B187" i="9"/>
  <c r="H186" i="9"/>
  <c r="G186" i="9"/>
  <c r="F186" i="9"/>
  <c r="E186" i="9"/>
  <c r="D186" i="9"/>
  <c r="C186" i="9"/>
  <c r="B186" i="9"/>
  <c r="H185" i="9"/>
  <c r="G185" i="9"/>
  <c r="F185" i="9"/>
  <c r="E185" i="9"/>
  <c r="D185" i="9"/>
  <c r="C185" i="9"/>
  <c r="B185" i="9"/>
  <c r="H184" i="9"/>
  <c r="G184" i="9"/>
  <c r="F184" i="9"/>
  <c r="E184" i="9"/>
  <c r="D184" i="9"/>
  <c r="C184" i="9"/>
  <c r="B184" i="9"/>
  <c r="H183" i="9"/>
  <c r="G183" i="9"/>
  <c r="F183" i="9"/>
  <c r="E183" i="9"/>
  <c r="D183" i="9"/>
  <c r="C183" i="9"/>
  <c r="B183" i="9"/>
  <c r="H182" i="9"/>
  <c r="G182" i="9"/>
  <c r="F182" i="9"/>
  <c r="E182" i="9"/>
  <c r="D182" i="9"/>
  <c r="C182" i="9"/>
  <c r="B182" i="9"/>
  <c r="H181" i="9"/>
  <c r="G181" i="9"/>
  <c r="F181" i="9"/>
  <c r="E181" i="9"/>
  <c r="D181" i="9"/>
  <c r="C181" i="9"/>
  <c r="B181" i="9"/>
  <c r="H180" i="9"/>
  <c r="G180" i="9"/>
  <c r="F180" i="9"/>
  <c r="E180" i="9"/>
  <c r="D180" i="9"/>
  <c r="C180" i="9"/>
  <c r="B180" i="9"/>
  <c r="H179" i="9"/>
  <c r="G179" i="9"/>
  <c r="F179" i="9"/>
  <c r="E179" i="9"/>
  <c r="D179" i="9"/>
  <c r="C179" i="9"/>
  <c r="B179" i="9"/>
  <c r="H178" i="9"/>
  <c r="G178" i="9"/>
  <c r="F178" i="9"/>
  <c r="E178" i="9"/>
  <c r="D178" i="9"/>
  <c r="C178" i="9"/>
  <c r="B178" i="9"/>
  <c r="H177" i="9"/>
  <c r="G177" i="9"/>
  <c r="F177" i="9"/>
  <c r="E177" i="9"/>
  <c r="D177" i="9"/>
  <c r="C177" i="9"/>
  <c r="B177" i="9"/>
  <c r="H176" i="9"/>
  <c r="G176" i="9"/>
  <c r="F176" i="9"/>
  <c r="E176" i="9"/>
  <c r="D176" i="9"/>
  <c r="C176" i="9"/>
  <c r="B176" i="9"/>
  <c r="H175" i="9"/>
  <c r="G175" i="9"/>
  <c r="F175" i="9"/>
  <c r="E175" i="9"/>
  <c r="D175" i="9"/>
  <c r="C175" i="9"/>
  <c r="B175" i="9"/>
  <c r="H174" i="9"/>
  <c r="G174" i="9"/>
  <c r="F174" i="9"/>
  <c r="E174" i="9"/>
  <c r="D174" i="9"/>
  <c r="C174" i="9"/>
  <c r="B174" i="9"/>
  <c r="H173" i="9"/>
  <c r="G173" i="9"/>
  <c r="F173" i="9"/>
  <c r="E173" i="9"/>
  <c r="D173" i="9"/>
  <c r="C173" i="9"/>
  <c r="B173" i="9"/>
  <c r="H172" i="9"/>
  <c r="G172" i="9"/>
  <c r="F172" i="9"/>
  <c r="E172" i="9"/>
  <c r="D172" i="9"/>
  <c r="C172" i="9"/>
  <c r="B172" i="9"/>
  <c r="H171" i="9"/>
  <c r="G171" i="9"/>
  <c r="F171" i="9"/>
  <c r="E171" i="9"/>
  <c r="D171" i="9"/>
  <c r="C171" i="9"/>
  <c r="B171" i="9"/>
  <c r="H170" i="9"/>
  <c r="G170" i="9"/>
  <c r="F170" i="9"/>
  <c r="E170" i="9"/>
  <c r="D170" i="9"/>
  <c r="C170" i="9"/>
  <c r="B170" i="9"/>
  <c r="H169" i="9"/>
  <c r="G169" i="9"/>
  <c r="F169" i="9"/>
  <c r="E169" i="9"/>
  <c r="D169" i="9"/>
  <c r="C169" i="9"/>
  <c r="B169" i="9"/>
  <c r="H168" i="9"/>
  <c r="G168" i="9"/>
  <c r="F168" i="9"/>
  <c r="E168" i="9"/>
  <c r="D168" i="9"/>
  <c r="C168" i="9"/>
  <c r="B168" i="9"/>
  <c r="H167" i="9"/>
  <c r="G167" i="9"/>
  <c r="F167" i="9"/>
  <c r="E167" i="9"/>
  <c r="D167" i="9"/>
  <c r="C167" i="9"/>
  <c r="B167" i="9"/>
  <c r="H166" i="9"/>
  <c r="G166" i="9"/>
  <c r="F166" i="9"/>
  <c r="E166" i="9"/>
  <c r="D166" i="9"/>
  <c r="C166" i="9"/>
  <c r="B166" i="9"/>
  <c r="H165" i="9"/>
  <c r="G165" i="9"/>
  <c r="F165" i="9"/>
  <c r="E165" i="9"/>
  <c r="D165" i="9"/>
  <c r="C165" i="9"/>
  <c r="B165" i="9"/>
  <c r="H164" i="9"/>
  <c r="G164" i="9"/>
  <c r="F164" i="9"/>
  <c r="E164" i="9"/>
  <c r="D164" i="9"/>
  <c r="C164" i="9"/>
  <c r="B164" i="9"/>
  <c r="H163" i="9"/>
  <c r="G163" i="9"/>
  <c r="F163" i="9"/>
  <c r="E163" i="9"/>
  <c r="D163" i="9"/>
  <c r="C163" i="9"/>
  <c r="B163" i="9"/>
  <c r="H162" i="9"/>
  <c r="G162" i="9"/>
  <c r="F162" i="9"/>
  <c r="E162" i="9"/>
  <c r="D162" i="9"/>
  <c r="C162" i="9"/>
  <c r="B162" i="9"/>
  <c r="H161" i="9"/>
  <c r="G161" i="9"/>
  <c r="F161" i="9"/>
  <c r="E161" i="9"/>
  <c r="D161" i="9"/>
  <c r="C161" i="9"/>
  <c r="B161" i="9"/>
  <c r="H160" i="9"/>
  <c r="G160" i="9"/>
  <c r="F160" i="9"/>
  <c r="E160" i="9"/>
  <c r="D160" i="9"/>
  <c r="C160" i="9"/>
  <c r="B160" i="9"/>
  <c r="H159" i="9"/>
  <c r="G159" i="9"/>
  <c r="F159" i="9"/>
  <c r="E159" i="9"/>
  <c r="D159" i="9"/>
  <c r="C159" i="9"/>
  <c r="B159" i="9"/>
  <c r="H158" i="9"/>
  <c r="G158" i="9"/>
  <c r="F158" i="9"/>
  <c r="E158" i="9"/>
  <c r="D158" i="9"/>
  <c r="C158" i="9"/>
  <c r="B158" i="9"/>
  <c r="H157" i="9"/>
  <c r="G157" i="9"/>
  <c r="F157" i="9"/>
  <c r="E157" i="9"/>
  <c r="D157" i="9"/>
  <c r="C157" i="9"/>
  <c r="B157" i="9"/>
  <c r="H156" i="9"/>
  <c r="G156" i="9"/>
  <c r="F156" i="9"/>
  <c r="E156" i="9"/>
  <c r="D156" i="9"/>
  <c r="C156" i="9"/>
  <c r="B156" i="9"/>
  <c r="H155" i="9"/>
  <c r="G155" i="9"/>
  <c r="F155" i="9"/>
  <c r="E155" i="9"/>
  <c r="D155" i="9"/>
  <c r="C155" i="9"/>
  <c r="B155" i="9"/>
  <c r="H154" i="9"/>
  <c r="G154" i="9"/>
  <c r="F154" i="9"/>
  <c r="E154" i="9"/>
  <c r="D154" i="9"/>
  <c r="C154" i="9"/>
  <c r="B154" i="9"/>
  <c r="H153" i="9"/>
  <c r="G153" i="9"/>
  <c r="F153" i="9"/>
  <c r="E153" i="9"/>
  <c r="D153" i="9"/>
  <c r="C153" i="9"/>
  <c r="B153" i="9"/>
  <c r="H152" i="9"/>
  <c r="G152" i="9"/>
  <c r="F152" i="9"/>
  <c r="E152" i="9"/>
  <c r="D152" i="9"/>
  <c r="C152" i="9"/>
  <c r="B152" i="9"/>
  <c r="H151" i="9"/>
  <c r="G151" i="9"/>
  <c r="F151" i="9"/>
  <c r="E151" i="9"/>
  <c r="D151" i="9"/>
  <c r="C151" i="9"/>
  <c r="B151" i="9"/>
  <c r="H150" i="9"/>
  <c r="G150" i="9"/>
  <c r="F150" i="9"/>
  <c r="E150" i="9"/>
  <c r="D150" i="9"/>
  <c r="C150" i="9"/>
  <c r="B150" i="9"/>
  <c r="H149" i="9"/>
  <c r="G149" i="9"/>
  <c r="F149" i="9"/>
  <c r="E149" i="9"/>
  <c r="D149" i="9"/>
  <c r="C149" i="9"/>
  <c r="B149" i="9"/>
  <c r="H148" i="9"/>
  <c r="G148" i="9"/>
  <c r="F148" i="9"/>
  <c r="E148" i="9"/>
  <c r="D148" i="9"/>
  <c r="C148" i="9"/>
  <c r="B148" i="9"/>
  <c r="H147" i="9"/>
  <c r="G147" i="9"/>
  <c r="F147" i="9"/>
  <c r="E147" i="9"/>
  <c r="D147" i="9"/>
  <c r="C147" i="9"/>
  <c r="B147" i="9"/>
  <c r="H146" i="9"/>
  <c r="G146" i="9"/>
  <c r="F146" i="9"/>
  <c r="E146" i="9"/>
  <c r="D146" i="9"/>
  <c r="C146" i="9"/>
  <c r="B146" i="9"/>
  <c r="H145" i="9"/>
  <c r="G145" i="9"/>
  <c r="F145" i="9"/>
  <c r="E145" i="9"/>
  <c r="D145" i="9"/>
  <c r="C145" i="9"/>
  <c r="B145" i="9"/>
  <c r="H144" i="9"/>
  <c r="G144" i="9"/>
  <c r="F144" i="9"/>
  <c r="E144" i="9"/>
  <c r="D144" i="9"/>
  <c r="C144" i="9"/>
  <c r="B144" i="9"/>
  <c r="H143" i="9"/>
  <c r="G143" i="9"/>
  <c r="F143" i="9"/>
  <c r="E143" i="9"/>
  <c r="D143" i="9"/>
  <c r="C143" i="9"/>
  <c r="B143" i="9"/>
  <c r="H142" i="9"/>
  <c r="G142" i="9"/>
  <c r="F142" i="9"/>
  <c r="E142" i="9"/>
  <c r="D142" i="9"/>
  <c r="C142" i="9"/>
  <c r="B142" i="9"/>
  <c r="H141" i="9"/>
  <c r="G141" i="9"/>
  <c r="F141" i="9"/>
  <c r="E141" i="9"/>
  <c r="D141" i="9"/>
  <c r="C141" i="9"/>
  <c r="B141" i="9"/>
  <c r="H140" i="9"/>
  <c r="G140" i="9"/>
  <c r="F140" i="9"/>
  <c r="E140" i="9"/>
  <c r="D140" i="9"/>
  <c r="C140" i="9"/>
  <c r="B140" i="9"/>
  <c r="H139" i="9"/>
  <c r="G139" i="9"/>
  <c r="F139" i="9"/>
  <c r="E139" i="9"/>
  <c r="D139" i="9"/>
  <c r="C139" i="9"/>
  <c r="B139" i="9"/>
  <c r="H138" i="9"/>
  <c r="G138" i="9"/>
  <c r="F138" i="9"/>
  <c r="E138" i="9"/>
  <c r="D138" i="9"/>
  <c r="C138" i="9"/>
  <c r="B138" i="9"/>
  <c r="H137" i="9"/>
  <c r="G137" i="9"/>
  <c r="F137" i="9"/>
  <c r="E137" i="9"/>
  <c r="D137" i="9"/>
  <c r="C137" i="9"/>
  <c r="B137" i="9"/>
  <c r="H136" i="9"/>
  <c r="G136" i="9"/>
  <c r="F136" i="9"/>
  <c r="E136" i="9"/>
  <c r="D136" i="9"/>
  <c r="C136" i="9"/>
  <c r="B136" i="9"/>
  <c r="H135" i="9"/>
  <c r="G135" i="9"/>
  <c r="F135" i="9"/>
  <c r="E135" i="9"/>
  <c r="D135" i="9"/>
  <c r="C135" i="9"/>
  <c r="B135" i="9"/>
  <c r="H134" i="9"/>
  <c r="G134" i="9"/>
  <c r="F134" i="9"/>
  <c r="E134" i="9"/>
  <c r="D134" i="9"/>
  <c r="C134" i="9"/>
  <c r="B134" i="9"/>
  <c r="H133" i="9"/>
  <c r="G133" i="9"/>
  <c r="F133" i="9"/>
  <c r="E133" i="9"/>
  <c r="D133" i="9"/>
  <c r="C133" i="9"/>
  <c r="B133" i="9"/>
  <c r="H132" i="9"/>
  <c r="G132" i="9"/>
  <c r="F132" i="9"/>
  <c r="E132" i="9"/>
  <c r="D132" i="9"/>
  <c r="C132" i="9"/>
  <c r="B132" i="9"/>
  <c r="H131" i="9"/>
  <c r="G131" i="9"/>
  <c r="F131" i="9"/>
  <c r="E131" i="9"/>
  <c r="D131" i="9"/>
  <c r="C131" i="9"/>
  <c r="B131" i="9"/>
  <c r="H130" i="9"/>
  <c r="G130" i="9"/>
  <c r="F130" i="9"/>
  <c r="E130" i="9"/>
  <c r="D130" i="9"/>
  <c r="C130" i="9"/>
  <c r="B130" i="9"/>
  <c r="H129" i="9"/>
  <c r="G129" i="9"/>
  <c r="F129" i="9"/>
  <c r="E129" i="9"/>
  <c r="D129" i="9"/>
  <c r="C129" i="9"/>
  <c r="B129" i="9"/>
  <c r="H128" i="9"/>
  <c r="G128" i="9"/>
  <c r="F128" i="9"/>
  <c r="E128" i="9"/>
  <c r="D128" i="9"/>
  <c r="C128" i="9"/>
  <c r="B128" i="9"/>
  <c r="H127" i="9"/>
  <c r="G127" i="9"/>
  <c r="F127" i="9"/>
  <c r="E127" i="9"/>
  <c r="D127" i="9"/>
  <c r="C127" i="9"/>
  <c r="B127" i="9"/>
  <c r="H126" i="9"/>
  <c r="G126" i="9"/>
  <c r="F126" i="9"/>
  <c r="E126" i="9"/>
  <c r="D126" i="9"/>
  <c r="C126" i="9"/>
  <c r="B126" i="9"/>
  <c r="H125" i="9"/>
  <c r="G125" i="9"/>
  <c r="F125" i="9"/>
  <c r="E125" i="9"/>
  <c r="D125" i="9"/>
  <c r="C125" i="9"/>
  <c r="B125" i="9"/>
  <c r="H124" i="9"/>
  <c r="G124" i="9"/>
  <c r="F124" i="9"/>
  <c r="E124" i="9"/>
  <c r="D124" i="9"/>
  <c r="C124" i="9"/>
  <c r="B124" i="9"/>
  <c r="H123" i="9"/>
  <c r="G123" i="9"/>
  <c r="F123" i="9"/>
  <c r="E123" i="9"/>
  <c r="D123" i="9"/>
  <c r="C123" i="9"/>
  <c r="B123" i="9"/>
  <c r="H122" i="9"/>
  <c r="G122" i="9"/>
  <c r="F122" i="9"/>
  <c r="E122" i="9"/>
  <c r="D122" i="9"/>
  <c r="C122" i="9"/>
  <c r="B122" i="9"/>
  <c r="H121" i="9"/>
  <c r="G121" i="9"/>
  <c r="F121" i="9"/>
  <c r="E121" i="9"/>
  <c r="D121" i="9"/>
  <c r="C121" i="9"/>
  <c r="B121" i="9"/>
  <c r="H120" i="9"/>
  <c r="G120" i="9"/>
  <c r="F120" i="9"/>
  <c r="E120" i="9"/>
  <c r="D120" i="9"/>
  <c r="C120" i="9"/>
  <c r="B120" i="9"/>
  <c r="H119" i="9"/>
  <c r="G119" i="9"/>
  <c r="F119" i="9"/>
  <c r="E119" i="9"/>
  <c r="D119" i="9"/>
  <c r="C119" i="9"/>
  <c r="B119" i="9"/>
  <c r="H118" i="9"/>
  <c r="G118" i="9"/>
  <c r="F118" i="9"/>
  <c r="E118" i="9"/>
  <c r="D118" i="9"/>
  <c r="C118" i="9"/>
  <c r="B118" i="9"/>
  <c r="H117" i="9"/>
  <c r="G117" i="9"/>
  <c r="F117" i="9"/>
  <c r="E117" i="9"/>
  <c r="D117" i="9"/>
  <c r="C117" i="9"/>
  <c r="B117" i="9"/>
  <c r="H116" i="9"/>
  <c r="G116" i="9"/>
  <c r="F116" i="9"/>
  <c r="E116" i="9"/>
  <c r="D116" i="9"/>
  <c r="C116" i="9"/>
  <c r="B116" i="9"/>
  <c r="H115" i="9"/>
  <c r="G115" i="9"/>
  <c r="F115" i="9"/>
  <c r="E115" i="9"/>
  <c r="D115" i="9"/>
  <c r="C115" i="9"/>
  <c r="B115" i="9"/>
  <c r="H114" i="9"/>
  <c r="G114" i="9"/>
  <c r="F114" i="9"/>
  <c r="E114" i="9"/>
  <c r="D114" i="9"/>
  <c r="C114" i="9"/>
  <c r="B114" i="9"/>
  <c r="H113" i="9"/>
  <c r="G113" i="9"/>
  <c r="F113" i="9"/>
  <c r="E113" i="9"/>
  <c r="D113" i="9"/>
  <c r="C113" i="9"/>
  <c r="B113" i="9"/>
  <c r="H112" i="9"/>
  <c r="G112" i="9"/>
  <c r="F112" i="9"/>
  <c r="E112" i="9"/>
  <c r="D112" i="9"/>
  <c r="C112" i="9"/>
  <c r="B112" i="9"/>
  <c r="H111" i="9"/>
  <c r="G111" i="9"/>
  <c r="F111" i="9"/>
  <c r="E111" i="9"/>
  <c r="D111" i="9"/>
  <c r="C111" i="9"/>
  <c r="B111" i="9"/>
  <c r="H110" i="9"/>
  <c r="G110" i="9"/>
  <c r="F110" i="9"/>
  <c r="E110" i="9"/>
  <c r="D110" i="9"/>
  <c r="C110" i="9"/>
  <c r="B110" i="9"/>
  <c r="H109" i="9"/>
  <c r="G109" i="9"/>
  <c r="F109" i="9"/>
  <c r="E109" i="9"/>
  <c r="D109" i="9"/>
  <c r="C109" i="9"/>
  <c r="B109" i="9"/>
  <c r="H108" i="9"/>
  <c r="G108" i="9"/>
  <c r="F108" i="9"/>
  <c r="E108" i="9"/>
  <c r="D108" i="9"/>
  <c r="C108" i="9"/>
  <c r="B108" i="9"/>
  <c r="H107" i="9"/>
  <c r="G107" i="9"/>
  <c r="F107" i="9"/>
  <c r="E107" i="9"/>
  <c r="D107" i="9"/>
  <c r="C107" i="9"/>
  <c r="B107" i="9"/>
  <c r="H106" i="9"/>
  <c r="G106" i="9"/>
  <c r="F106" i="9"/>
  <c r="E106" i="9"/>
  <c r="D106" i="9"/>
  <c r="C106" i="9"/>
  <c r="B106" i="9"/>
  <c r="H105" i="9"/>
  <c r="G105" i="9"/>
  <c r="F105" i="9"/>
  <c r="E105" i="9"/>
  <c r="D105" i="9"/>
  <c r="C105" i="9"/>
  <c r="B105" i="9"/>
  <c r="H104" i="9"/>
  <c r="G104" i="9"/>
  <c r="F104" i="9"/>
  <c r="E104" i="9"/>
  <c r="D104" i="9"/>
  <c r="C104" i="9"/>
  <c r="B104" i="9"/>
  <c r="H103" i="9"/>
  <c r="G103" i="9"/>
  <c r="F103" i="9"/>
  <c r="E103" i="9"/>
  <c r="D103" i="9"/>
  <c r="C103" i="9"/>
  <c r="B103" i="9"/>
  <c r="H102" i="9"/>
  <c r="G102" i="9"/>
  <c r="F102" i="9"/>
  <c r="E102" i="9"/>
  <c r="D102" i="9"/>
  <c r="C102" i="9"/>
  <c r="B102" i="9"/>
  <c r="H101" i="9"/>
  <c r="G101" i="9"/>
  <c r="F101" i="9"/>
  <c r="E101" i="9"/>
  <c r="D101" i="9"/>
  <c r="C101" i="9"/>
  <c r="B101" i="9"/>
  <c r="H100" i="9"/>
  <c r="G100" i="9"/>
  <c r="F100" i="9"/>
  <c r="E100" i="9"/>
  <c r="D100" i="9"/>
  <c r="C100" i="9"/>
  <c r="B100" i="9"/>
  <c r="H99" i="9"/>
  <c r="G99" i="9"/>
  <c r="F99" i="9"/>
  <c r="E99" i="9"/>
  <c r="D99" i="9"/>
  <c r="C99" i="9"/>
  <c r="B99" i="9"/>
  <c r="H98" i="9"/>
  <c r="G98" i="9"/>
  <c r="F98" i="9"/>
  <c r="E98" i="9"/>
  <c r="D98" i="9"/>
  <c r="C98" i="9"/>
  <c r="B98" i="9"/>
  <c r="H97" i="9"/>
  <c r="G97" i="9"/>
  <c r="F97" i="9"/>
  <c r="E97" i="9"/>
  <c r="D97" i="9"/>
  <c r="C97" i="9"/>
  <c r="B97" i="9"/>
  <c r="H96" i="9"/>
  <c r="G96" i="9"/>
  <c r="F96" i="9"/>
  <c r="E96" i="9"/>
  <c r="D96" i="9"/>
  <c r="C96" i="9"/>
  <c r="B96" i="9"/>
  <c r="H95" i="9"/>
  <c r="G95" i="9"/>
  <c r="F95" i="9"/>
  <c r="E95" i="9"/>
  <c r="D95" i="9"/>
  <c r="C95" i="9"/>
  <c r="B95" i="9"/>
  <c r="H94" i="9"/>
  <c r="G94" i="9"/>
  <c r="F94" i="9"/>
  <c r="E94" i="9"/>
  <c r="D94" i="9"/>
  <c r="C94" i="9"/>
  <c r="B94" i="9"/>
  <c r="H93" i="9"/>
  <c r="G93" i="9"/>
  <c r="F93" i="9"/>
  <c r="E93" i="9"/>
  <c r="D93" i="9"/>
  <c r="C93" i="9"/>
  <c r="B93" i="9"/>
  <c r="H92" i="9"/>
  <c r="G92" i="9"/>
  <c r="F92" i="9"/>
  <c r="E92" i="9"/>
  <c r="D92" i="9"/>
  <c r="C92" i="9"/>
  <c r="B92" i="9"/>
  <c r="H91" i="9"/>
  <c r="G91" i="9"/>
  <c r="F91" i="9"/>
  <c r="E91" i="9"/>
  <c r="D91" i="9"/>
  <c r="C91" i="9"/>
  <c r="B91" i="9"/>
  <c r="H90" i="9"/>
  <c r="G90" i="9"/>
  <c r="F90" i="9"/>
  <c r="E90" i="9"/>
  <c r="D90" i="9"/>
  <c r="C90" i="9"/>
  <c r="B90" i="9"/>
  <c r="H89" i="9"/>
  <c r="G89" i="9"/>
  <c r="F89" i="9"/>
  <c r="E89" i="9"/>
  <c r="D89" i="9"/>
  <c r="C89" i="9"/>
  <c r="B89" i="9"/>
  <c r="H88" i="9"/>
  <c r="G88" i="9"/>
  <c r="F88" i="9"/>
  <c r="E88" i="9"/>
  <c r="D88" i="9"/>
  <c r="C88" i="9"/>
  <c r="B88" i="9"/>
  <c r="H87" i="9"/>
  <c r="G87" i="9"/>
  <c r="F87" i="9"/>
  <c r="E87" i="9"/>
  <c r="D87" i="9"/>
  <c r="C87" i="9"/>
  <c r="B87" i="9"/>
  <c r="H86" i="9"/>
  <c r="G86" i="9"/>
  <c r="F86" i="9"/>
  <c r="E86" i="9"/>
  <c r="D86" i="9"/>
  <c r="C86" i="9"/>
  <c r="B86" i="9"/>
  <c r="H85" i="9"/>
  <c r="G85" i="9"/>
  <c r="F85" i="9"/>
  <c r="E85" i="9"/>
  <c r="D85" i="9"/>
  <c r="C85" i="9"/>
  <c r="B85" i="9"/>
  <c r="H84" i="9"/>
  <c r="G84" i="9"/>
  <c r="F84" i="9"/>
  <c r="E84" i="9"/>
  <c r="D84" i="9"/>
  <c r="C84" i="9"/>
  <c r="B84" i="9"/>
  <c r="H83" i="9"/>
  <c r="G83" i="9"/>
  <c r="F83" i="9"/>
  <c r="E83" i="9"/>
  <c r="D83" i="9"/>
  <c r="C83" i="9"/>
  <c r="B83" i="9"/>
  <c r="H82" i="9"/>
  <c r="G82" i="9"/>
  <c r="F82" i="9"/>
  <c r="E82" i="9"/>
  <c r="D82" i="9"/>
  <c r="C82" i="9"/>
  <c r="B82" i="9"/>
  <c r="H81" i="9"/>
  <c r="G81" i="9"/>
  <c r="F81" i="9"/>
  <c r="E81" i="9"/>
  <c r="D81" i="9"/>
  <c r="C81" i="9"/>
  <c r="B81" i="9"/>
  <c r="H80" i="9"/>
  <c r="G80" i="9"/>
  <c r="F80" i="9"/>
  <c r="E80" i="9"/>
  <c r="D80" i="9"/>
  <c r="C80" i="9"/>
  <c r="B80" i="9"/>
  <c r="H79" i="9"/>
  <c r="G79" i="9"/>
  <c r="F79" i="9"/>
  <c r="E79" i="9"/>
  <c r="D79" i="9"/>
  <c r="C79" i="9"/>
  <c r="B79" i="9"/>
  <c r="H78" i="9"/>
  <c r="G78" i="9"/>
  <c r="F78" i="9"/>
  <c r="E78" i="9"/>
  <c r="D78" i="9"/>
  <c r="C78" i="9"/>
  <c r="B78" i="9"/>
  <c r="H77" i="9"/>
  <c r="G77" i="9"/>
  <c r="F77" i="9"/>
  <c r="E77" i="9"/>
  <c r="D77" i="9"/>
  <c r="C77" i="9"/>
  <c r="B77" i="9"/>
  <c r="H76" i="9"/>
  <c r="G76" i="9"/>
  <c r="F76" i="9"/>
  <c r="E76" i="9"/>
  <c r="D76" i="9"/>
  <c r="C76" i="9"/>
  <c r="B76" i="9"/>
  <c r="H75" i="9"/>
  <c r="G75" i="9"/>
  <c r="F75" i="9"/>
  <c r="E75" i="9"/>
  <c r="D75" i="9"/>
  <c r="C75" i="9"/>
  <c r="B75" i="9"/>
  <c r="H74" i="9"/>
  <c r="G74" i="9"/>
  <c r="F74" i="9"/>
  <c r="E74" i="9"/>
  <c r="D74" i="9"/>
  <c r="C74" i="9"/>
  <c r="B74" i="9"/>
  <c r="H73" i="9"/>
  <c r="G73" i="9"/>
  <c r="F73" i="9"/>
  <c r="E73" i="9"/>
  <c r="D73" i="9"/>
  <c r="C73" i="9"/>
  <c r="B73" i="9"/>
  <c r="H72" i="9"/>
  <c r="G72" i="9"/>
  <c r="F72" i="9"/>
  <c r="E72" i="9"/>
  <c r="D72" i="9"/>
  <c r="C72" i="9"/>
  <c r="B72" i="9"/>
  <c r="H71" i="9"/>
  <c r="G71" i="9"/>
  <c r="F71" i="9"/>
  <c r="E71" i="9"/>
  <c r="D71" i="9"/>
  <c r="C71" i="9"/>
  <c r="B71" i="9"/>
  <c r="H70" i="9"/>
  <c r="G70" i="9"/>
  <c r="F70" i="9"/>
  <c r="E70" i="9"/>
  <c r="D70" i="9"/>
  <c r="C70" i="9"/>
  <c r="B70" i="9"/>
  <c r="H69" i="9"/>
  <c r="G69" i="9"/>
  <c r="F69" i="9"/>
  <c r="E69" i="9"/>
  <c r="D69" i="9"/>
  <c r="C69" i="9"/>
  <c r="B69" i="9"/>
  <c r="H68" i="9"/>
  <c r="G68" i="9"/>
  <c r="F68" i="9"/>
  <c r="E68" i="9"/>
  <c r="D68" i="9"/>
  <c r="C68" i="9"/>
  <c r="B68" i="9"/>
  <c r="H67" i="9"/>
  <c r="G67" i="9"/>
  <c r="F67" i="9"/>
  <c r="E67" i="9"/>
  <c r="D67" i="9"/>
  <c r="C67" i="9"/>
  <c r="B67" i="9"/>
  <c r="H66" i="9"/>
  <c r="G66" i="9"/>
  <c r="F66" i="9"/>
  <c r="E66" i="9"/>
  <c r="D66" i="9"/>
  <c r="C66" i="9"/>
  <c r="B66" i="9"/>
  <c r="H65" i="9"/>
  <c r="G65" i="9"/>
  <c r="F65" i="9"/>
  <c r="E65" i="9"/>
  <c r="D65" i="9"/>
  <c r="C65" i="9"/>
  <c r="B65" i="9"/>
  <c r="H64" i="9"/>
  <c r="G64" i="9"/>
  <c r="F64" i="9"/>
  <c r="E64" i="9"/>
  <c r="D64" i="9"/>
  <c r="C64" i="9"/>
  <c r="B64" i="9"/>
  <c r="H63" i="9"/>
  <c r="G63" i="9"/>
  <c r="F63" i="9"/>
  <c r="E63" i="9"/>
  <c r="D63" i="9"/>
  <c r="C63" i="9"/>
  <c r="B63" i="9"/>
  <c r="H62" i="9"/>
  <c r="G62" i="9"/>
  <c r="F62" i="9"/>
  <c r="E62" i="9"/>
  <c r="D62" i="9"/>
  <c r="C62" i="9"/>
  <c r="B62" i="9"/>
  <c r="H61" i="9"/>
  <c r="G61" i="9"/>
  <c r="F61" i="9"/>
  <c r="E61" i="9"/>
  <c r="D61" i="9"/>
  <c r="C61" i="9"/>
  <c r="B61" i="9"/>
  <c r="H60" i="9"/>
  <c r="G60" i="9"/>
  <c r="F60" i="9"/>
  <c r="E60" i="9"/>
  <c r="D60" i="9"/>
  <c r="C60" i="9"/>
  <c r="B60" i="9"/>
  <c r="H59" i="9"/>
  <c r="G59" i="9"/>
  <c r="F59" i="9"/>
  <c r="E59" i="9"/>
  <c r="D59" i="9"/>
  <c r="C59" i="9"/>
  <c r="B59" i="9"/>
  <c r="H58" i="9"/>
  <c r="G58" i="9"/>
  <c r="F58" i="9"/>
  <c r="E58" i="9"/>
  <c r="D58" i="9"/>
  <c r="C58" i="9"/>
  <c r="B58" i="9"/>
  <c r="H57" i="9"/>
  <c r="G57" i="9"/>
  <c r="F57" i="9"/>
  <c r="E57" i="9"/>
  <c r="D57" i="9"/>
  <c r="C57" i="9"/>
  <c r="B57" i="9"/>
  <c r="H56" i="9"/>
  <c r="G56" i="9"/>
  <c r="F56" i="9"/>
  <c r="E56" i="9"/>
  <c r="D56" i="9"/>
  <c r="C56" i="9"/>
  <c r="B56" i="9"/>
  <c r="H55" i="9"/>
  <c r="G55" i="9"/>
  <c r="F55" i="9"/>
  <c r="E55" i="9"/>
  <c r="D55" i="9"/>
  <c r="C55" i="9"/>
  <c r="B55" i="9"/>
  <c r="H54" i="9"/>
  <c r="G54" i="9"/>
  <c r="F54" i="9"/>
  <c r="E54" i="9"/>
  <c r="D54" i="9"/>
  <c r="C54" i="9"/>
  <c r="B54" i="9"/>
  <c r="H53" i="9"/>
  <c r="G53" i="9"/>
  <c r="F53" i="9"/>
  <c r="E53" i="9"/>
  <c r="D53" i="9"/>
  <c r="C53" i="9"/>
  <c r="B53" i="9"/>
  <c r="H52" i="9"/>
  <c r="G52" i="9"/>
  <c r="F52" i="9"/>
  <c r="E52" i="9"/>
  <c r="D52" i="9"/>
  <c r="C52" i="9"/>
  <c r="B52" i="9"/>
  <c r="H51" i="9"/>
  <c r="G51" i="9"/>
  <c r="F51" i="9"/>
  <c r="E51" i="9"/>
  <c r="D51" i="9"/>
  <c r="C51" i="9"/>
  <c r="B51" i="9"/>
  <c r="H50" i="9"/>
  <c r="G50" i="9"/>
  <c r="F50" i="9"/>
  <c r="E50" i="9"/>
  <c r="D50" i="9"/>
  <c r="C50" i="9"/>
  <c r="B50" i="9"/>
  <c r="H49" i="9"/>
  <c r="G49" i="9"/>
  <c r="F49" i="9"/>
  <c r="E49" i="9"/>
  <c r="D49" i="9"/>
  <c r="C49" i="9"/>
  <c r="B49" i="9"/>
  <c r="H48" i="9"/>
  <c r="G48" i="9"/>
  <c r="F48" i="9"/>
  <c r="E48" i="9"/>
  <c r="D48" i="9"/>
  <c r="C48" i="9"/>
  <c r="B48" i="9"/>
  <c r="H47" i="9"/>
  <c r="G47" i="9"/>
  <c r="F47" i="9"/>
  <c r="E47" i="9"/>
  <c r="D47" i="9"/>
  <c r="C47" i="9"/>
  <c r="B47" i="9"/>
  <c r="H46" i="9"/>
  <c r="G46" i="9"/>
  <c r="F46" i="9"/>
  <c r="E46" i="9"/>
  <c r="D46" i="9"/>
  <c r="C46" i="9"/>
  <c r="B46" i="9"/>
  <c r="H45" i="9"/>
  <c r="G45" i="9"/>
  <c r="F45" i="9"/>
  <c r="E45" i="9"/>
  <c r="D45" i="9"/>
  <c r="C45" i="9"/>
  <c r="B45" i="9"/>
  <c r="H44" i="9"/>
  <c r="G44" i="9"/>
  <c r="F44" i="9"/>
  <c r="E44" i="9"/>
  <c r="D44" i="9"/>
  <c r="C44" i="9"/>
  <c r="B44" i="9"/>
  <c r="H43" i="9"/>
  <c r="G43" i="9"/>
  <c r="F43" i="9"/>
  <c r="E43" i="9"/>
  <c r="D43" i="9"/>
  <c r="C43" i="9"/>
  <c r="B43" i="9"/>
  <c r="H42" i="9"/>
  <c r="G42" i="9"/>
  <c r="F42" i="9"/>
  <c r="E42" i="9"/>
  <c r="D42" i="9"/>
  <c r="C42" i="9"/>
  <c r="B42" i="9"/>
  <c r="H41" i="9"/>
  <c r="G41" i="9"/>
  <c r="F41" i="9"/>
  <c r="E41" i="9"/>
  <c r="D41" i="9"/>
  <c r="C41" i="9"/>
  <c r="B41" i="9"/>
  <c r="H40" i="9"/>
  <c r="G40" i="9"/>
  <c r="F40" i="9"/>
  <c r="E40" i="9"/>
  <c r="D40" i="9"/>
  <c r="C40" i="9"/>
  <c r="B40" i="9"/>
  <c r="H39" i="9"/>
  <c r="G39" i="9"/>
  <c r="F39" i="9"/>
  <c r="E39" i="9"/>
  <c r="D39" i="9"/>
  <c r="C39" i="9"/>
  <c r="B39" i="9"/>
  <c r="H38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H36" i="9"/>
  <c r="G36" i="9"/>
  <c r="F36" i="9"/>
  <c r="E36" i="9"/>
  <c r="D36" i="9"/>
  <c r="C36" i="9"/>
  <c r="B36" i="9"/>
  <c r="H35" i="9"/>
  <c r="G35" i="9"/>
  <c r="F35" i="9"/>
  <c r="E35" i="9"/>
  <c r="D35" i="9"/>
  <c r="C35" i="9"/>
  <c r="B35" i="9"/>
  <c r="H34" i="9"/>
  <c r="G34" i="9"/>
  <c r="F34" i="9"/>
  <c r="E34" i="9"/>
  <c r="D34" i="9"/>
  <c r="C34" i="9"/>
  <c r="B34" i="9"/>
  <c r="H33" i="9"/>
  <c r="G33" i="9"/>
  <c r="F33" i="9"/>
  <c r="E33" i="9"/>
  <c r="D33" i="9"/>
  <c r="C33" i="9"/>
  <c r="B33" i="9"/>
  <c r="H32" i="9"/>
  <c r="G32" i="9"/>
  <c r="F32" i="9"/>
  <c r="E32" i="9"/>
  <c r="D32" i="9"/>
  <c r="C32" i="9"/>
  <c r="B32" i="9"/>
  <c r="H31" i="9"/>
  <c r="G31" i="9"/>
  <c r="F31" i="9"/>
  <c r="E31" i="9"/>
  <c r="D31" i="9"/>
  <c r="C31" i="9"/>
  <c r="B31" i="9"/>
  <c r="H30" i="9"/>
  <c r="G30" i="9"/>
  <c r="F30" i="9"/>
  <c r="E30" i="9"/>
  <c r="D30" i="9"/>
  <c r="C30" i="9"/>
  <c r="B30" i="9"/>
  <c r="H29" i="9"/>
  <c r="G29" i="9"/>
  <c r="F29" i="9"/>
  <c r="E29" i="9"/>
  <c r="D29" i="9"/>
  <c r="C29" i="9"/>
  <c r="B29" i="9"/>
  <c r="H28" i="9"/>
  <c r="G28" i="9"/>
  <c r="F28" i="9"/>
  <c r="E28" i="9"/>
  <c r="D28" i="9"/>
  <c r="C28" i="9"/>
  <c r="B28" i="9"/>
  <c r="H27" i="9"/>
  <c r="G27" i="9"/>
  <c r="F27" i="9"/>
  <c r="E27" i="9"/>
  <c r="D27" i="9"/>
  <c r="C27" i="9"/>
  <c r="B27" i="9"/>
  <c r="H26" i="9"/>
  <c r="G26" i="9"/>
  <c r="F26" i="9"/>
  <c r="E26" i="9"/>
  <c r="D26" i="9"/>
  <c r="C26" i="9"/>
  <c r="B26" i="9"/>
  <c r="H25" i="9"/>
  <c r="G25" i="9"/>
  <c r="F25" i="9"/>
  <c r="E25" i="9"/>
  <c r="D25" i="9"/>
  <c r="C25" i="9"/>
  <c r="B25" i="9"/>
  <c r="H24" i="9"/>
  <c r="G24" i="9"/>
  <c r="F24" i="9"/>
  <c r="E24" i="9"/>
  <c r="D24" i="9"/>
  <c r="C24" i="9"/>
  <c r="B24" i="9"/>
  <c r="H23" i="9"/>
  <c r="G23" i="9"/>
  <c r="F23" i="9"/>
  <c r="E23" i="9"/>
  <c r="D23" i="9"/>
  <c r="C23" i="9"/>
  <c r="B23" i="9"/>
  <c r="H22" i="9"/>
  <c r="G22" i="9"/>
  <c r="F22" i="9"/>
  <c r="E22" i="9"/>
  <c r="D22" i="9"/>
  <c r="C22" i="9"/>
  <c r="B22" i="9"/>
  <c r="H21" i="9"/>
  <c r="G21" i="9"/>
  <c r="F21" i="9"/>
  <c r="E21" i="9"/>
  <c r="D21" i="9"/>
  <c r="C21" i="9"/>
  <c r="B21" i="9"/>
  <c r="H20" i="9"/>
  <c r="G20" i="9"/>
  <c r="F20" i="9"/>
  <c r="E20" i="9"/>
  <c r="D20" i="9"/>
  <c r="C20" i="9"/>
  <c r="B20" i="9"/>
  <c r="H19" i="9"/>
  <c r="G19" i="9"/>
  <c r="F19" i="9"/>
  <c r="E19" i="9"/>
  <c r="D19" i="9"/>
  <c r="C19" i="9"/>
  <c r="B19" i="9"/>
  <c r="H18" i="9"/>
  <c r="G18" i="9"/>
  <c r="F18" i="9"/>
  <c r="E18" i="9"/>
  <c r="D18" i="9"/>
  <c r="C18" i="9"/>
  <c r="B18" i="9"/>
  <c r="H17" i="9"/>
  <c r="G17" i="9"/>
  <c r="F17" i="9"/>
  <c r="E17" i="9"/>
  <c r="D17" i="9"/>
  <c r="C17" i="9"/>
  <c r="B17" i="9"/>
  <c r="H16" i="9"/>
  <c r="G16" i="9"/>
  <c r="F16" i="9"/>
  <c r="E16" i="9"/>
  <c r="D16" i="9"/>
  <c r="C16" i="9"/>
  <c r="B16" i="9"/>
  <c r="H15" i="9"/>
  <c r="G15" i="9"/>
  <c r="F15" i="9"/>
  <c r="E15" i="9"/>
  <c r="D15" i="9"/>
  <c r="C15" i="9"/>
  <c r="B15" i="9"/>
  <c r="H14" i="9"/>
  <c r="G14" i="9"/>
  <c r="F14" i="9"/>
  <c r="E14" i="9"/>
  <c r="D14" i="9"/>
  <c r="C14" i="9"/>
  <c r="B14" i="9"/>
  <c r="H13" i="9"/>
  <c r="G13" i="9"/>
  <c r="F13" i="9"/>
  <c r="E13" i="9"/>
  <c r="D13" i="9"/>
  <c r="C13" i="9"/>
  <c r="B13" i="9"/>
  <c r="H12" i="9"/>
  <c r="G12" i="9"/>
  <c r="F12" i="9"/>
  <c r="E12" i="9"/>
  <c r="D12" i="9"/>
  <c r="C12" i="9"/>
  <c r="B12" i="9"/>
  <c r="H11" i="9"/>
  <c r="G11" i="9"/>
  <c r="F11" i="9"/>
  <c r="E11" i="9"/>
  <c r="D11" i="9"/>
  <c r="C11" i="9"/>
  <c r="B11" i="9"/>
  <c r="H10" i="9"/>
  <c r="G10" i="9"/>
  <c r="F10" i="9"/>
  <c r="E10" i="9"/>
  <c r="D10" i="9"/>
  <c r="C10" i="9"/>
  <c r="B10" i="9"/>
  <c r="H7" i="9"/>
  <c r="H6" i="9" s="1"/>
  <c r="H4" i="9"/>
  <c r="H369" i="8"/>
  <c r="G369" i="8"/>
  <c r="F369" i="8"/>
  <c r="E369" i="8"/>
  <c r="D369" i="8"/>
  <c r="C369" i="8"/>
  <c r="B369" i="8"/>
  <c r="H368" i="8"/>
  <c r="G368" i="8"/>
  <c r="F368" i="8"/>
  <c r="E368" i="8"/>
  <c r="D368" i="8"/>
  <c r="C368" i="8"/>
  <c r="B368" i="8"/>
  <c r="H367" i="8"/>
  <c r="G367" i="8"/>
  <c r="F367" i="8"/>
  <c r="E367" i="8"/>
  <c r="D367" i="8"/>
  <c r="C367" i="8"/>
  <c r="B367" i="8"/>
  <c r="H366" i="8"/>
  <c r="G366" i="8"/>
  <c r="F366" i="8"/>
  <c r="E366" i="8"/>
  <c r="D366" i="8"/>
  <c r="C366" i="8"/>
  <c r="B366" i="8"/>
  <c r="H365" i="8"/>
  <c r="G365" i="8"/>
  <c r="F365" i="8"/>
  <c r="E365" i="8"/>
  <c r="D365" i="8"/>
  <c r="C365" i="8"/>
  <c r="B365" i="8"/>
  <c r="H364" i="8"/>
  <c r="G364" i="8"/>
  <c r="F364" i="8"/>
  <c r="E364" i="8"/>
  <c r="D364" i="8"/>
  <c r="C364" i="8"/>
  <c r="B364" i="8"/>
  <c r="H363" i="8"/>
  <c r="G363" i="8"/>
  <c r="F363" i="8"/>
  <c r="E363" i="8"/>
  <c r="D363" i="8"/>
  <c r="C363" i="8"/>
  <c r="B363" i="8"/>
  <c r="H362" i="8"/>
  <c r="G362" i="8"/>
  <c r="F362" i="8"/>
  <c r="E362" i="8"/>
  <c r="D362" i="8"/>
  <c r="C362" i="8"/>
  <c r="B362" i="8"/>
  <c r="H361" i="8"/>
  <c r="G361" i="8"/>
  <c r="F361" i="8"/>
  <c r="E361" i="8"/>
  <c r="D361" i="8"/>
  <c r="C361" i="8"/>
  <c r="B361" i="8"/>
  <c r="H360" i="8"/>
  <c r="G360" i="8"/>
  <c r="F360" i="8"/>
  <c r="E360" i="8"/>
  <c r="D360" i="8"/>
  <c r="C360" i="8"/>
  <c r="B360" i="8"/>
  <c r="H359" i="8"/>
  <c r="G359" i="8"/>
  <c r="F359" i="8"/>
  <c r="E359" i="8"/>
  <c r="D359" i="8"/>
  <c r="C359" i="8"/>
  <c r="B359" i="8"/>
  <c r="H358" i="8"/>
  <c r="G358" i="8"/>
  <c r="F358" i="8"/>
  <c r="E358" i="8"/>
  <c r="D358" i="8"/>
  <c r="C358" i="8"/>
  <c r="B358" i="8"/>
  <c r="H357" i="8"/>
  <c r="G357" i="8"/>
  <c r="F357" i="8"/>
  <c r="E357" i="8"/>
  <c r="D357" i="8"/>
  <c r="C357" i="8"/>
  <c r="B357" i="8"/>
  <c r="H356" i="8"/>
  <c r="G356" i="8"/>
  <c r="F356" i="8"/>
  <c r="E356" i="8"/>
  <c r="D356" i="8"/>
  <c r="C356" i="8"/>
  <c r="B356" i="8"/>
  <c r="H355" i="8"/>
  <c r="G355" i="8"/>
  <c r="F355" i="8"/>
  <c r="E355" i="8"/>
  <c r="D355" i="8"/>
  <c r="C355" i="8"/>
  <c r="B355" i="8"/>
  <c r="H354" i="8"/>
  <c r="G354" i="8"/>
  <c r="F354" i="8"/>
  <c r="E354" i="8"/>
  <c r="D354" i="8"/>
  <c r="C354" i="8"/>
  <c r="B354" i="8"/>
  <c r="H353" i="8"/>
  <c r="G353" i="8"/>
  <c r="F353" i="8"/>
  <c r="E353" i="8"/>
  <c r="D353" i="8"/>
  <c r="C353" i="8"/>
  <c r="B353" i="8"/>
  <c r="H352" i="8"/>
  <c r="G352" i="8"/>
  <c r="F352" i="8"/>
  <c r="E352" i="8"/>
  <c r="D352" i="8"/>
  <c r="C352" i="8"/>
  <c r="B352" i="8"/>
  <c r="H351" i="8"/>
  <c r="G351" i="8"/>
  <c r="F351" i="8"/>
  <c r="E351" i="8"/>
  <c r="D351" i="8"/>
  <c r="C351" i="8"/>
  <c r="B351" i="8"/>
  <c r="H350" i="8"/>
  <c r="G350" i="8"/>
  <c r="F350" i="8"/>
  <c r="E350" i="8"/>
  <c r="D350" i="8"/>
  <c r="C350" i="8"/>
  <c r="B350" i="8"/>
  <c r="H349" i="8"/>
  <c r="G349" i="8"/>
  <c r="F349" i="8"/>
  <c r="E349" i="8"/>
  <c r="D349" i="8"/>
  <c r="C349" i="8"/>
  <c r="B349" i="8"/>
  <c r="H348" i="8"/>
  <c r="G348" i="8"/>
  <c r="F348" i="8"/>
  <c r="E348" i="8"/>
  <c r="D348" i="8"/>
  <c r="C348" i="8"/>
  <c r="B348" i="8"/>
  <c r="H347" i="8"/>
  <c r="G347" i="8"/>
  <c r="F347" i="8"/>
  <c r="E347" i="8"/>
  <c r="D347" i="8"/>
  <c r="C347" i="8"/>
  <c r="B347" i="8"/>
  <c r="H346" i="8"/>
  <c r="G346" i="8"/>
  <c r="F346" i="8"/>
  <c r="E346" i="8"/>
  <c r="D346" i="8"/>
  <c r="C346" i="8"/>
  <c r="B346" i="8"/>
  <c r="H345" i="8"/>
  <c r="G345" i="8"/>
  <c r="F345" i="8"/>
  <c r="E345" i="8"/>
  <c r="D345" i="8"/>
  <c r="C345" i="8"/>
  <c r="B345" i="8"/>
  <c r="H344" i="8"/>
  <c r="G344" i="8"/>
  <c r="F344" i="8"/>
  <c r="E344" i="8"/>
  <c r="D344" i="8"/>
  <c r="C344" i="8"/>
  <c r="B344" i="8"/>
  <c r="H343" i="8"/>
  <c r="G343" i="8"/>
  <c r="F343" i="8"/>
  <c r="E343" i="8"/>
  <c r="D343" i="8"/>
  <c r="C343" i="8"/>
  <c r="B343" i="8"/>
  <c r="H342" i="8"/>
  <c r="G342" i="8"/>
  <c r="F342" i="8"/>
  <c r="E342" i="8"/>
  <c r="D342" i="8"/>
  <c r="C342" i="8"/>
  <c r="B342" i="8"/>
  <c r="H341" i="8"/>
  <c r="G341" i="8"/>
  <c r="F341" i="8"/>
  <c r="E341" i="8"/>
  <c r="D341" i="8"/>
  <c r="C341" i="8"/>
  <c r="B341" i="8"/>
  <c r="H340" i="8"/>
  <c r="G340" i="8"/>
  <c r="F340" i="8"/>
  <c r="E340" i="8"/>
  <c r="D340" i="8"/>
  <c r="C340" i="8"/>
  <c r="B340" i="8"/>
  <c r="H339" i="8"/>
  <c r="G339" i="8"/>
  <c r="F339" i="8"/>
  <c r="E339" i="8"/>
  <c r="D339" i="8"/>
  <c r="C339" i="8"/>
  <c r="B339" i="8"/>
  <c r="H338" i="8"/>
  <c r="G338" i="8"/>
  <c r="F338" i="8"/>
  <c r="E338" i="8"/>
  <c r="D338" i="8"/>
  <c r="C338" i="8"/>
  <c r="B338" i="8"/>
  <c r="H337" i="8"/>
  <c r="G337" i="8"/>
  <c r="F337" i="8"/>
  <c r="E337" i="8"/>
  <c r="D337" i="8"/>
  <c r="C337" i="8"/>
  <c r="B337" i="8"/>
  <c r="H336" i="8"/>
  <c r="G336" i="8"/>
  <c r="F336" i="8"/>
  <c r="E336" i="8"/>
  <c r="D336" i="8"/>
  <c r="C336" i="8"/>
  <c r="B336" i="8"/>
  <c r="H335" i="8"/>
  <c r="G335" i="8"/>
  <c r="F335" i="8"/>
  <c r="E335" i="8"/>
  <c r="D335" i="8"/>
  <c r="C335" i="8"/>
  <c r="B335" i="8"/>
  <c r="H334" i="8"/>
  <c r="G334" i="8"/>
  <c r="F334" i="8"/>
  <c r="E334" i="8"/>
  <c r="D334" i="8"/>
  <c r="C334" i="8"/>
  <c r="B334" i="8"/>
  <c r="H333" i="8"/>
  <c r="G333" i="8"/>
  <c r="F333" i="8"/>
  <c r="E333" i="8"/>
  <c r="D333" i="8"/>
  <c r="C333" i="8"/>
  <c r="B333" i="8"/>
  <c r="H332" i="8"/>
  <c r="G332" i="8"/>
  <c r="F332" i="8"/>
  <c r="E332" i="8"/>
  <c r="D332" i="8"/>
  <c r="C332" i="8"/>
  <c r="B332" i="8"/>
  <c r="H331" i="8"/>
  <c r="G331" i="8"/>
  <c r="F331" i="8"/>
  <c r="E331" i="8"/>
  <c r="D331" i="8"/>
  <c r="C331" i="8"/>
  <c r="B331" i="8"/>
  <c r="H330" i="8"/>
  <c r="G330" i="8"/>
  <c r="F330" i="8"/>
  <c r="E330" i="8"/>
  <c r="D330" i="8"/>
  <c r="C330" i="8"/>
  <c r="B330" i="8"/>
  <c r="H329" i="8"/>
  <c r="G329" i="8"/>
  <c r="F329" i="8"/>
  <c r="E329" i="8"/>
  <c r="D329" i="8"/>
  <c r="C329" i="8"/>
  <c r="B329" i="8"/>
  <c r="H328" i="8"/>
  <c r="G328" i="8"/>
  <c r="F328" i="8"/>
  <c r="E328" i="8"/>
  <c r="D328" i="8"/>
  <c r="C328" i="8"/>
  <c r="B328" i="8"/>
  <c r="H327" i="8"/>
  <c r="G327" i="8"/>
  <c r="F327" i="8"/>
  <c r="E327" i="8"/>
  <c r="D327" i="8"/>
  <c r="C327" i="8"/>
  <c r="B327" i="8"/>
  <c r="H326" i="8"/>
  <c r="G326" i="8"/>
  <c r="F326" i="8"/>
  <c r="E326" i="8"/>
  <c r="D326" i="8"/>
  <c r="C326" i="8"/>
  <c r="B326" i="8"/>
  <c r="H325" i="8"/>
  <c r="G325" i="8"/>
  <c r="F325" i="8"/>
  <c r="E325" i="8"/>
  <c r="D325" i="8"/>
  <c r="C325" i="8"/>
  <c r="B325" i="8"/>
  <c r="H324" i="8"/>
  <c r="G324" i="8"/>
  <c r="F324" i="8"/>
  <c r="E324" i="8"/>
  <c r="D324" i="8"/>
  <c r="C324" i="8"/>
  <c r="B324" i="8"/>
  <c r="H323" i="8"/>
  <c r="G323" i="8"/>
  <c r="F323" i="8"/>
  <c r="E323" i="8"/>
  <c r="D323" i="8"/>
  <c r="C323" i="8"/>
  <c r="B323" i="8"/>
  <c r="H322" i="8"/>
  <c r="G322" i="8"/>
  <c r="F322" i="8"/>
  <c r="E322" i="8"/>
  <c r="D322" i="8"/>
  <c r="C322" i="8"/>
  <c r="B322" i="8"/>
  <c r="H321" i="8"/>
  <c r="G321" i="8"/>
  <c r="F321" i="8"/>
  <c r="E321" i="8"/>
  <c r="D321" i="8"/>
  <c r="C321" i="8"/>
  <c r="B321" i="8"/>
  <c r="H320" i="8"/>
  <c r="G320" i="8"/>
  <c r="F320" i="8"/>
  <c r="E320" i="8"/>
  <c r="D320" i="8"/>
  <c r="C320" i="8"/>
  <c r="B320" i="8"/>
  <c r="H319" i="8"/>
  <c r="G319" i="8"/>
  <c r="F319" i="8"/>
  <c r="E319" i="8"/>
  <c r="D319" i="8"/>
  <c r="C319" i="8"/>
  <c r="B319" i="8"/>
  <c r="H318" i="8"/>
  <c r="G318" i="8"/>
  <c r="F318" i="8"/>
  <c r="E318" i="8"/>
  <c r="D318" i="8"/>
  <c r="C318" i="8"/>
  <c r="B318" i="8"/>
  <c r="H317" i="8"/>
  <c r="G317" i="8"/>
  <c r="F317" i="8"/>
  <c r="E317" i="8"/>
  <c r="D317" i="8"/>
  <c r="C317" i="8"/>
  <c r="B317" i="8"/>
  <c r="H316" i="8"/>
  <c r="G316" i="8"/>
  <c r="F316" i="8"/>
  <c r="E316" i="8"/>
  <c r="D316" i="8"/>
  <c r="C316" i="8"/>
  <c r="B316" i="8"/>
  <c r="H315" i="8"/>
  <c r="G315" i="8"/>
  <c r="F315" i="8"/>
  <c r="E315" i="8"/>
  <c r="D315" i="8"/>
  <c r="C315" i="8"/>
  <c r="B315" i="8"/>
  <c r="H314" i="8"/>
  <c r="G314" i="8"/>
  <c r="F314" i="8"/>
  <c r="E314" i="8"/>
  <c r="D314" i="8"/>
  <c r="C314" i="8"/>
  <c r="B314" i="8"/>
  <c r="H313" i="8"/>
  <c r="G313" i="8"/>
  <c r="F313" i="8"/>
  <c r="E313" i="8"/>
  <c r="D313" i="8"/>
  <c r="C313" i="8"/>
  <c r="B313" i="8"/>
  <c r="H312" i="8"/>
  <c r="G312" i="8"/>
  <c r="F312" i="8"/>
  <c r="E312" i="8"/>
  <c r="D312" i="8"/>
  <c r="C312" i="8"/>
  <c r="B312" i="8"/>
  <c r="H311" i="8"/>
  <c r="G311" i="8"/>
  <c r="F311" i="8"/>
  <c r="E311" i="8"/>
  <c r="D311" i="8"/>
  <c r="C311" i="8"/>
  <c r="B311" i="8"/>
  <c r="H310" i="8"/>
  <c r="G310" i="8"/>
  <c r="F310" i="8"/>
  <c r="E310" i="8"/>
  <c r="D310" i="8"/>
  <c r="C310" i="8"/>
  <c r="B310" i="8"/>
  <c r="H309" i="8"/>
  <c r="G309" i="8"/>
  <c r="F309" i="8"/>
  <c r="E309" i="8"/>
  <c r="D309" i="8"/>
  <c r="C309" i="8"/>
  <c r="B309" i="8"/>
  <c r="H308" i="8"/>
  <c r="G308" i="8"/>
  <c r="F308" i="8"/>
  <c r="E308" i="8"/>
  <c r="D308" i="8"/>
  <c r="C308" i="8"/>
  <c r="B308" i="8"/>
  <c r="H307" i="8"/>
  <c r="G307" i="8"/>
  <c r="F307" i="8"/>
  <c r="E307" i="8"/>
  <c r="D307" i="8"/>
  <c r="C307" i="8"/>
  <c r="B307" i="8"/>
  <c r="H306" i="8"/>
  <c r="G306" i="8"/>
  <c r="F306" i="8"/>
  <c r="E306" i="8"/>
  <c r="D306" i="8"/>
  <c r="C306" i="8"/>
  <c r="B306" i="8"/>
  <c r="H305" i="8"/>
  <c r="G305" i="8"/>
  <c r="F305" i="8"/>
  <c r="E305" i="8"/>
  <c r="D305" i="8"/>
  <c r="C305" i="8"/>
  <c r="B305" i="8"/>
  <c r="H304" i="8"/>
  <c r="G304" i="8"/>
  <c r="F304" i="8"/>
  <c r="E304" i="8"/>
  <c r="D304" i="8"/>
  <c r="C304" i="8"/>
  <c r="B304" i="8"/>
  <c r="H303" i="8"/>
  <c r="G303" i="8"/>
  <c r="F303" i="8"/>
  <c r="E303" i="8"/>
  <c r="D303" i="8"/>
  <c r="C303" i="8"/>
  <c r="B303" i="8"/>
  <c r="H302" i="8"/>
  <c r="G302" i="8"/>
  <c r="F302" i="8"/>
  <c r="E302" i="8"/>
  <c r="D302" i="8"/>
  <c r="C302" i="8"/>
  <c r="B302" i="8"/>
  <c r="H301" i="8"/>
  <c r="G301" i="8"/>
  <c r="F301" i="8"/>
  <c r="E301" i="8"/>
  <c r="D301" i="8"/>
  <c r="C301" i="8"/>
  <c r="B301" i="8"/>
  <c r="H300" i="8"/>
  <c r="G300" i="8"/>
  <c r="F300" i="8"/>
  <c r="E300" i="8"/>
  <c r="D300" i="8"/>
  <c r="C300" i="8"/>
  <c r="B300" i="8"/>
  <c r="H299" i="8"/>
  <c r="G299" i="8"/>
  <c r="F299" i="8"/>
  <c r="E299" i="8"/>
  <c r="D299" i="8"/>
  <c r="C299" i="8"/>
  <c r="B299" i="8"/>
  <c r="H298" i="8"/>
  <c r="G298" i="8"/>
  <c r="F298" i="8"/>
  <c r="E298" i="8"/>
  <c r="D298" i="8"/>
  <c r="C298" i="8"/>
  <c r="B298" i="8"/>
  <c r="H297" i="8"/>
  <c r="G297" i="8"/>
  <c r="F297" i="8"/>
  <c r="E297" i="8"/>
  <c r="D297" i="8"/>
  <c r="C297" i="8"/>
  <c r="B297" i="8"/>
  <c r="H296" i="8"/>
  <c r="G296" i="8"/>
  <c r="F296" i="8"/>
  <c r="E296" i="8"/>
  <c r="D296" i="8"/>
  <c r="C296" i="8"/>
  <c r="B296" i="8"/>
  <c r="H295" i="8"/>
  <c r="G295" i="8"/>
  <c r="F295" i="8"/>
  <c r="E295" i="8"/>
  <c r="D295" i="8"/>
  <c r="C295" i="8"/>
  <c r="B295" i="8"/>
  <c r="H294" i="8"/>
  <c r="G294" i="8"/>
  <c r="F294" i="8"/>
  <c r="E294" i="8"/>
  <c r="D294" i="8"/>
  <c r="C294" i="8"/>
  <c r="B294" i="8"/>
  <c r="H293" i="8"/>
  <c r="G293" i="8"/>
  <c r="F293" i="8"/>
  <c r="E293" i="8"/>
  <c r="D293" i="8"/>
  <c r="C293" i="8"/>
  <c r="B293" i="8"/>
  <c r="H292" i="8"/>
  <c r="G292" i="8"/>
  <c r="F292" i="8"/>
  <c r="E292" i="8"/>
  <c r="D292" i="8"/>
  <c r="C292" i="8"/>
  <c r="B292" i="8"/>
  <c r="H291" i="8"/>
  <c r="G291" i="8"/>
  <c r="F291" i="8"/>
  <c r="E291" i="8"/>
  <c r="D291" i="8"/>
  <c r="C291" i="8"/>
  <c r="B291" i="8"/>
  <c r="H290" i="8"/>
  <c r="G290" i="8"/>
  <c r="F290" i="8"/>
  <c r="E290" i="8"/>
  <c r="D290" i="8"/>
  <c r="C290" i="8"/>
  <c r="B290" i="8"/>
  <c r="H289" i="8"/>
  <c r="G289" i="8"/>
  <c r="F289" i="8"/>
  <c r="E289" i="8"/>
  <c r="D289" i="8"/>
  <c r="C289" i="8"/>
  <c r="B289" i="8"/>
  <c r="H288" i="8"/>
  <c r="G288" i="8"/>
  <c r="F288" i="8"/>
  <c r="E288" i="8"/>
  <c r="D288" i="8"/>
  <c r="C288" i="8"/>
  <c r="B288" i="8"/>
  <c r="H287" i="8"/>
  <c r="G287" i="8"/>
  <c r="F287" i="8"/>
  <c r="E287" i="8"/>
  <c r="D287" i="8"/>
  <c r="C287" i="8"/>
  <c r="B287" i="8"/>
  <c r="H286" i="8"/>
  <c r="G286" i="8"/>
  <c r="F286" i="8"/>
  <c r="E286" i="8"/>
  <c r="D286" i="8"/>
  <c r="C286" i="8"/>
  <c r="B286" i="8"/>
  <c r="H285" i="8"/>
  <c r="G285" i="8"/>
  <c r="F285" i="8"/>
  <c r="E285" i="8"/>
  <c r="D285" i="8"/>
  <c r="C285" i="8"/>
  <c r="B285" i="8"/>
  <c r="H284" i="8"/>
  <c r="G284" i="8"/>
  <c r="F284" i="8"/>
  <c r="E284" i="8"/>
  <c r="D284" i="8"/>
  <c r="C284" i="8"/>
  <c r="B284" i="8"/>
  <c r="H283" i="8"/>
  <c r="G283" i="8"/>
  <c r="F283" i="8"/>
  <c r="E283" i="8"/>
  <c r="D283" i="8"/>
  <c r="C283" i="8"/>
  <c r="B283" i="8"/>
  <c r="H282" i="8"/>
  <c r="G282" i="8"/>
  <c r="F282" i="8"/>
  <c r="E282" i="8"/>
  <c r="D282" i="8"/>
  <c r="C282" i="8"/>
  <c r="B282" i="8"/>
  <c r="H281" i="8"/>
  <c r="G281" i="8"/>
  <c r="F281" i="8"/>
  <c r="E281" i="8"/>
  <c r="D281" i="8"/>
  <c r="C281" i="8"/>
  <c r="B281" i="8"/>
  <c r="H280" i="8"/>
  <c r="G280" i="8"/>
  <c r="F280" i="8"/>
  <c r="E280" i="8"/>
  <c r="D280" i="8"/>
  <c r="C280" i="8"/>
  <c r="B280" i="8"/>
  <c r="H279" i="8"/>
  <c r="G279" i="8"/>
  <c r="F279" i="8"/>
  <c r="E279" i="8"/>
  <c r="D279" i="8"/>
  <c r="C279" i="8"/>
  <c r="B279" i="8"/>
  <c r="H278" i="8"/>
  <c r="G278" i="8"/>
  <c r="F278" i="8"/>
  <c r="E278" i="8"/>
  <c r="D278" i="8"/>
  <c r="C278" i="8"/>
  <c r="B278" i="8"/>
  <c r="H277" i="8"/>
  <c r="G277" i="8"/>
  <c r="F277" i="8"/>
  <c r="E277" i="8"/>
  <c r="D277" i="8"/>
  <c r="C277" i="8"/>
  <c r="B277" i="8"/>
  <c r="H276" i="8"/>
  <c r="G276" i="8"/>
  <c r="F276" i="8"/>
  <c r="E276" i="8"/>
  <c r="D276" i="8"/>
  <c r="C276" i="8"/>
  <c r="B276" i="8"/>
  <c r="H275" i="8"/>
  <c r="G275" i="8"/>
  <c r="F275" i="8"/>
  <c r="E275" i="8"/>
  <c r="D275" i="8"/>
  <c r="C275" i="8"/>
  <c r="B275" i="8"/>
  <c r="H274" i="8"/>
  <c r="G274" i="8"/>
  <c r="F274" i="8"/>
  <c r="E274" i="8"/>
  <c r="D274" i="8"/>
  <c r="C274" i="8"/>
  <c r="B274" i="8"/>
  <c r="H273" i="8"/>
  <c r="G273" i="8"/>
  <c r="F273" i="8"/>
  <c r="E273" i="8"/>
  <c r="D273" i="8"/>
  <c r="C273" i="8"/>
  <c r="B273" i="8"/>
  <c r="H272" i="8"/>
  <c r="G272" i="8"/>
  <c r="F272" i="8"/>
  <c r="E272" i="8"/>
  <c r="D272" i="8"/>
  <c r="C272" i="8"/>
  <c r="B272" i="8"/>
  <c r="H271" i="8"/>
  <c r="G271" i="8"/>
  <c r="F271" i="8"/>
  <c r="E271" i="8"/>
  <c r="D271" i="8"/>
  <c r="C271" i="8"/>
  <c r="B271" i="8"/>
  <c r="H270" i="8"/>
  <c r="G270" i="8"/>
  <c r="F270" i="8"/>
  <c r="E270" i="8"/>
  <c r="D270" i="8"/>
  <c r="C270" i="8"/>
  <c r="B270" i="8"/>
  <c r="H269" i="8"/>
  <c r="G269" i="8"/>
  <c r="F269" i="8"/>
  <c r="E269" i="8"/>
  <c r="D269" i="8"/>
  <c r="C269" i="8"/>
  <c r="B269" i="8"/>
  <c r="H268" i="8"/>
  <c r="G268" i="8"/>
  <c r="F268" i="8"/>
  <c r="E268" i="8"/>
  <c r="D268" i="8"/>
  <c r="C268" i="8"/>
  <c r="B268" i="8"/>
  <c r="H267" i="8"/>
  <c r="G267" i="8"/>
  <c r="F267" i="8"/>
  <c r="E267" i="8"/>
  <c r="D267" i="8"/>
  <c r="C267" i="8"/>
  <c r="B267" i="8"/>
  <c r="H266" i="8"/>
  <c r="G266" i="8"/>
  <c r="F266" i="8"/>
  <c r="E266" i="8"/>
  <c r="D266" i="8"/>
  <c r="C266" i="8"/>
  <c r="B266" i="8"/>
  <c r="H265" i="8"/>
  <c r="G265" i="8"/>
  <c r="F265" i="8"/>
  <c r="E265" i="8"/>
  <c r="D265" i="8"/>
  <c r="C265" i="8"/>
  <c r="B265" i="8"/>
  <c r="H264" i="8"/>
  <c r="G264" i="8"/>
  <c r="F264" i="8"/>
  <c r="E264" i="8"/>
  <c r="D264" i="8"/>
  <c r="C264" i="8"/>
  <c r="B264" i="8"/>
  <c r="H263" i="8"/>
  <c r="G263" i="8"/>
  <c r="F263" i="8"/>
  <c r="E263" i="8"/>
  <c r="D263" i="8"/>
  <c r="C263" i="8"/>
  <c r="B263" i="8"/>
  <c r="H262" i="8"/>
  <c r="G262" i="8"/>
  <c r="F262" i="8"/>
  <c r="E262" i="8"/>
  <c r="D262" i="8"/>
  <c r="C262" i="8"/>
  <c r="B262" i="8"/>
  <c r="H261" i="8"/>
  <c r="G261" i="8"/>
  <c r="F261" i="8"/>
  <c r="E261" i="8"/>
  <c r="D261" i="8"/>
  <c r="C261" i="8"/>
  <c r="B261" i="8"/>
  <c r="H260" i="8"/>
  <c r="G260" i="8"/>
  <c r="F260" i="8"/>
  <c r="E260" i="8"/>
  <c r="D260" i="8"/>
  <c r="C260" i="8"/>
  <c r="B260" i="8"/>
  <c r="H259" i="8"/>
  <c r="G259" i="8"/>
  <c r="F259" i="8"/>
  <c r="E259" i="8"/>
  <c r="D259" i="8"/>
  <c r="C259" i="8"/>
  <c r="B259" i="8"/>
  <c r="H258" i="8"/>
  <c r="G258" i="8"/>
  <c r="F258" i="8"/>
  <c r="E258" i="8"/>
  <c r="D258" i="8"/>
  <c r="C258" i="8"/>
  <c r="B258" i="8"/>
  <c r="H257" i="8"/>
  <c r="G257" i="8"/>
  <c r="F257" i="8"/>
  <c r="E257" i="8"/>
  <c r="D257" i="8"/>
  <c r="C257" i="8"/>
  <c r="B257" i="8"/>
  <c r="H256" i="8"/>
  <c r="G256" i="8"/>
  <c r="F256" i="8"/>
  <c r="E256" i="8"/>
  <c r="D256" i="8"/>
  <c r="C256" i="8"/>
  <c r="B256" i="8"/>
  <c r="H255" i="8"/>
  <c r="G255" i="8"/>
  <c r="F255" i="8"/>
  <c r="E255" i="8"/>
  <c r="D255" i="8"/>
  <c r="C255" i="8"/>
  <c r="B255" i="8"/>
  <c r="H254" i="8"/>
  <c r="G254" i="8"/>
  <c r="F254" i="8"/>
  <c r="E254" i="8"/>
  <c r="D254" i="8"/>
  <c r="C254" i="8"/>
  <c r="B254" i="8"/>
  <c r="H253" i="8"/>
  <c r="G253" i="8"/>
  <c r="F253" i="8"/>
  <c r="E253" i="8"/>
  <c r="D253" i="8"/>
  <c r="C253" i="8"/>
  <c r="B253" i="8"/>
  <c r="H252" i="8"/>
  <c r="G252" i="8"/>
  <c r="F252" i="8"/>
  <c r="E252" i="8"/>
  <c r="D252" i="8"/>
  <c r="C252" i="8"/>
  <c r="B252" i="8"/>
  <c r="H251" i="8"/>
  <c r="G251" i="8"/>
  <c r="F251" i="8"/>
  <c r="E251" i="8"/>
  <c r="D251" i="8"/>
  <c r="C251" i="8"/>
  <c r="B251" i="8"/>
  <c r="H250" i="8"/>
  <c r="G250" i="8"/>
  <c r="F250" i="8"/>
  <c r="E250" i="8"/>
  <c r="D250" i="8"/>
  <c r="C250" i="8"/>
  <c r="B250" i="8"/>
  <c r="H249" i="8"/>
  <c r="G249" i="8"/>
  <c r="F249" i="8"/>
  <c r="E249" i="8"/>
  <c r="D249" i="8"/>
  <c r="C249" i="8"/>
  <c r="B249" i="8"/>
  <c r="H248" i="8"/>
  <c r="G248" i="8"/>
  <c r="F248" i="8"/>
  <c r="E248" i="8"/>
  <c r="D248" i="8"/>
  <c r="C248" i="8"/>
  <c r="B248" i="8"/>
  <c r="H247" i="8"/>
  <c r="G247" i="8"/>
  <c r="F247" i="8"/>
  <c r="E247" i="8"/>
  <c r="D247" i="8"/>
  <c r="C247" i="8"/>
  <c r="B247" i="8"/>
  <c r="H246" i="8"/>
  <c r="G246" i="8"/>
  <c r="F246" i="8"/>
  <c r="E246" i="8"/>
  <c r="D246" i="8"/>
  <c r="C246" i="8"/>
  <c r="B246" i="8"/>
  <c r="H245" i="8"/>
  <c r="G245" i="8"/>
  <c r="F245" i="8"/>
  <c r="E245" i="8"/>
  <c r="D245" i="8"/>
  <c r="C245" i="8"/>
  <c r="B245" i="8"/>
  <c r="H244" i="8"/>
  <c r="G244" i="8"/>
  <c r="F244" i="8"/>
  <c r="E244" i="8"/>
  <c r="D244" i="8"/>
  <c r="C244" i="8"/>
  <c r="B244" i="8"/>
  <c r="H243" i="8"/>
  <c r="G243" i="8"/>
  <c r="F243" i="8"/>
  <c r="E243" i="8"/>
  <c r="D243" i="8"/>
  <c r="C243" i="8"/>
  <c r="B243" i="8"/>
  <c r="H242" i="8"/>
  <c r="G242" i="8"/>
  <c r="F242" i="8"/>
  <c r="E242" i="8"/>
  <c r="D242" i="8"/>
  <c r="C242" i="8"/>
  <c r="B242" i="8"/>
  <c r="H241" i="8"/>
  <c r="G241" i="8"/>
  <c r="F241" i="8"/>
  <c r="E241" i="8"/>
  <c r="D241" i="8"/>
  <c r="C241" i="8"/>
  <c r="B241" i="8"/>
  <c r="H240" i="8"/>
  <c r="G240" i="8"/>
  <c r="F240" i="8"/>
  <c r="E240" i="8"/>
  <c r="D240" i="8"/>
  <c r="C240" i="8"/>
  <c r="B240" i="8"/>
  <c r="H239" i="8"/>
  <c r="G239" i="8"/>
  <c r="F239" i="8"/>
  <c r="E239" i="8"/>
  <c r="D239" i="8"/>
  <c r="C239" i="8"/>
  <c r="B239" i="8"/>
  <c r="H238" i="8"/>
  <c r="G238" i="8"/>
  <c r="F238" i="8"/>
  <c r="E238" i="8"/>
  <c r="D238" i="8"/>
  <c r="C238" i="8"/>
  <c r="B238" i="8"/>
  <c r="H237" i="8"/>
  <c r="G237" i="8"/>
  <c r="F237" i="8"/>
  <c r="E237" i="8"/>
  <c r="D237" i="8"/>
  <c r="C237" i="8"/>
  <c r="B237" i="8"/>
  <c r="H236" i="8"/>
  <c r="G236" i="8"/>
  <c r="F236" i="8"/>
  <c r="E236" i="8"/>
  <c r="D236" i="8"/>
  <c r="C236" i="8"/>
  <c r="B236" i="8"/>
  <c r="H235" i="8"/>
  <c r="G235" i="8"/>
  <c r="F235" i="8"/>
  <c r="E235" i="8"/>
  <c r="D235" i="8"/>
  <c r="C235" i="8"/>
  <c r="B235" i="8"/>
  <c r="H234" i="8"/>
  <c r="G234" i="8"/>
  <c r="F234" i="8"/>
  <c r="E234" i="8"/>
  <c r="D234" i="8"/>
  <c r="C234" i="8"/>
  <c r="B234" i="8"/>
  <c r="H233" i="8"/>
  <c r="G233" i="8"/>
  <c r="F233" i="8"/>
  <c r="E233" i="8"/>
  <c r="D233" i="8"/>
  <c r="C233" i="8"/>
  <c r="B233" i="8"/>
  <c r="H232" i="8"/>
  <c r="G232" i="8"/>
  <c r="F232" i="8"/>
  <c r="E232" i="8"/>
  <c r="D232" i="8"/>
  <c r="C232" i="8"/>
  <c r="B232" i="8"/>
  <c r="H231" i="8"/>
  <c r="G231" i="8"/>
  <c r="F231" i="8"/>
  <c r="E231" i="8"/>
  <c r="D231" i="8"/>
  <c r="C231" i="8"/>
  <c r="B231" i="8"/>
  <c r="H230" i="8"/>
  <c r="G230" i="8"/>
  <c r="F230" i="8"/>
  <c r="E230" i="8"/>
  <c r="D230" i="8"/>
  <c r="C230" i="8"/>
  <c r="B230" i="8"/>
  <c r="H229" i="8"/>
  <c r="G229" i="8"/>
  <c r="F229" i="8"/>
  <c r="E229" i="8"/>
  <c r="D229" i="8"/>
  <c r="C229" i="8"/>
  <c r="B229" i="8"/>
  <c r="H228" i="8"/>
  <c r="G228" i="8"/>
  <c r="F228" i="8"/>
  <c r="E228" i="8"/>
  <c r="D228" i="8"/>
  <c r="C228" i="8"/>
  <c r="B228" i="8"/>
  <c r="H227" i="8"/>
  <c r="G227" i="8"/>
  <c r="F227" i="8"/>
  <c r="E227" i="8"/>
  <c r="D227" i="8"/>
  <c r="C227" i="8"/>
  <c r="B227" i="8"/>
  <c r="H226" i="8"/>
  <c r="G226" i="8"/>
  <c r="F226" i="8"/>
  <c r="E226" i="8"/>
  <c r="D226" i="8"/>
  <c r="C226" i="8"/>
  <c r="B226" i="8"/>
  <c r="H225" i="8"/>
  <c r="G225" i="8"/>
  <c r="F225" i="8"/>
  <c r="E225" i="8"/>
  <c r="D225" i="8"/>
  <c r="C225" i="8"/>
  <c r="B225" i="8"/>
  <c r="H224" i="8"/>
  <c r="G224" i="8"/>
  <c r="F224" i="8"/>
  <c r="E224" i="8"/>
  <c r="D224" i="8"/>
  <c r="C224" i="8"/>
  <c r="B224" i="8"/>
  <c r="H223" i="8"/>
  <c r="G223" i="8"/>
  <c r="F223" i="8"/>
  <c r="E223" i="8"/>
  <c r="D223" i="8"/>
  <c r="C223" i="8"/>
  <c r="B223" i="8"/>
  <c r="H222" i="8"/>
  <c r="G222" i="8"/>
  <c r="F222" i="8"/>
  <c r="E222" i="8"/>
  <c r="D222" i="8"/>
  <c r="C222" i="8"/>
  <c r="B222" i="8"/>
  <c r="H221" i="8"/>
  <c r="G221" i="8"/>
  <c r="F221" i="8"/>
  <c r="E221" i="8"/>
  <c r="D221" i="8"/>
  <c r="C221" i="8"/>
  <c r="B221" i="8"/>
  <c r="H220" i="8"/>
  <c r="G220" i="8"/>
  <c r="F220" i="8"/>
  <c r="E220" i="8"/>
  <c r="D220" i="8"/>
  <c r="C220" i="8"/>
  <c r="B220" i="8"/>
  <c r="H219" i="8"/>
  <c r="G219" i="8"/>
  <c r="F219" i="8"/>
  <c r="E219" i="8"/>
  <c r="D219" i="8"/>
  <c r="C219" i="8"/>
  <c r="B219" i="8"/>
  <c r="H218" i="8"/>
  <c r="G218" i="8"/>
  <c r="F218" i="8"/>
  <c r="E218" i="8"/>
  <c r="D218" i="8"/>
  <c r="C218" i="8"/>
  <c r="B218" i="8"/>
  <c r="H217" i="8"/>
  <c r="G217" i="8"/>
  <c r="F217" i="8"/>
  <c r="E217" i="8"/>
  <c r="D217" i="8"/>
  <c r="C217" i="8"/>
  <c r="B217" i="8"/>
  <c r="H216" i="8"/>
  <c r="G216" i="8"/>
  <c r="F216" i="8"/>
  <c r="E216" i="8"/>
  <c r="D216" i="8"/>
  <c r="C216" i="8"/>
  <c r="B216" i="8"/>
  <c r="H215" i="8"/>
  <c r="G215" i="8"/>
  <c r="F215" i="8"/>
  <c r="E215" i="8"/>
  <c r="D215" i="8"/>
  <c r="C215" i="8"/>
  <c r="B215" i="8"/>
  <c r="H214" i="8"/>
  <c r="G214" i="8"/>
  <c r="F214" i="8"/>
  <c r="E214" i="8"/>
  <c r="D214" i="8"/>
  <c r="C214" i="8"/>
  <c r="B214" i="8"/>
  <c r="H213" i="8"/>
  <c r="G213" i="8"/>
  <c r="F213" i="8"/>
  <c r="E213" i="8"/>
  <c r="D213" i="8"/>
  <c r="C213" i="8"/>
  <c r="B213" i="8"/>
  <c r="H212" i="8"/>
  <c r="G212" i="8"/>
  <c r="F212" i="8"/>
  <c r="E212" i="8"/>
  <c r="D212" i="8"/>
  <c r="C212" i="8"/>
  <c r="B212" i="8"/>
  <c r="H211" i="8"/>
  <c r="G211" i="8"/>
  <c r="F211" i="8"/>
  <c r="E211" i="8"/>
  <c r="D211" i="8"/>
  <c r="C211" i="8"/>
  <c r="B211" i="8"/>
  <c r="H210" i="8"/>
  <c r="G210" i="8"/>
  <c r="F210" i="8"/>
  <c r="E210" i="8"/>
  <c r="D210" i="8"/>
  <c r="C210" i="8"/>
  <c r="B210" i="8"/>
  <c r="H209" i="8"/>
  <c r="G209" i="8"/>
  <c r="F209" i="8"/>
  <c r="E209" i="8"/>
  <c r="D209" i="8"/>
  <c r="C209" i="8"/>
  <c r="B209" i="8"/>
  <c r="H208" i="8"/>
  <c r="G208" i="8"/>
  <c r="F208" i="8"/>
  <c r="E208" i="8"/>
  <c r="D208" i="8"/>
  <c r="C208" i="8"/>
  <c r="B208" i="8"/>
  <c r="H207" i="8"/>
  <c r="G207" i="8"/>
  <c r="F207" i="8"/>
  <c r="E207" i="8"/>
  <c r="D207" i="8"/>
  <c r="C207" i="8"/>
  <c r="B207" i="8"/>
  <c r="H206" i="8"/>
  <c r="G206" i="8"/>
  <c r="F206" i="8"/>
  <c r="E206" i="8"/>
  <c r="D206" i="8"/>
  <c r="C206" i="8"/>
  <c r="B206" i="8"/>
  <c r="H205" i="8"/>
  <c r="G205" i="8"/>
  <c r="F205" i="8"/>
  <c r="E205" i="8"/>
  <c r="D205" i="8"/>
  <c r="C205" i="8"/>
  <c r="B205" i="8"/>
  <c r="H204" i="8"/>
  <c r="G204" i="8"/>
  <c r="F204" i="8"/>
  <c r="E204" i="8"/>
  <c r="D204" i="8"/>
  <c r="C204" i="8"/>
  <c r="B204" i="8"/>
  <c r="H203" i="8"/>
  <c r="G203" i="8"/>
  <c r="F203" i="8"/>
  <c r="E203" i="8"/>
  <c r="D203" i="8"/>
  <c r="C203" i="8"/>
  <c r="B203" i="8"/>
  <c r="H202" i="8"/>
  <c r="G202" i="8"/>
  <c r="F202" i="8"/>
  <c r="E202" i="8"/>
  <c r="D202" i="8"/>
  <c r="C202" i="8"/>
  <c r="B202" i="8"/>
  <c r="H201" i="8"/>
  <c r="G201" i="8"/>
  <c r="F201" i="8"/>
  <c r="E201" i="8"/>
  <c r="D201" i="8"/>
  <c r="C201" i="8"/>
  <c r="B201" i="8"/>
  <c r="H200" i="8"/>
  <c r="G200" i="8"/>
  <c r="F200" i="8"/>
  <c r="E200" i="8"/>
  <c r="D200" i="8"/>
  <c r="C200" i="8"/>
  <c r="B200" i="8"/>
  <c r="H199" i="8"/>
  <c r="G199" i="8"/>
  <c r="F199" i="8"/>
  <c r="E199" i="8"/>
  <c r="D199" i="8"/>
  <c r="C199" i="8"/>
  <c r="B199" i="8"/>
  <c r="H198" i="8"/>
  <c r="G198" i="8"/>
  <c r="F198" i="8"/>
  <c r="E198" i="8"/>
  <c r="D198" i="8"/>
  <c r="C198" i="8"/>
  <c r="B198" i="8"/>
  <c r="H197" i="8"/>
  <c r="G197" i="8"/>
  <c r="F197" i="8"/>
  <c r="E197" i="8"/>
  <c r="D197" i="8"/>
  <c r="C197" i="8"/>
  <c r="B197" i="8"/>
  <c r="H196" i="8"/>
  <c r="G196" i="8"/>
  <c r="F196" i="8"/>
  <c r="E196" i="8"/>
  <c r="D196" i="8"/>
  <c r="C196" i="8"/>
  <c r="B196" i="8"/>
  <c r="H195" i="8"/>
  <c r="G195" i="8"/>
  <c r="F195" i="8"/>
  <c r="E195" i="8"/>
  <c r="D195" i="8"/>
  <c r="C195" i="8"/>
  <c r="B195" i="8"/>
  <c r="H194" i="8"/>
  <c r="G194" i="8"/>
  <c r="F194" i="8"/>
  <c r="E194" i="8"/>
  <c r="D194" i="8"/>
  <c r="C194" i="8"/>
  <c r="B194" i="8"/>
  <c r="H193" i="8"/>
  <c r="G193" i="8"/>
  <c r="F193" i="8"/>
  <c r="E193" i="8"/>
  <c r="D193" i="8"/>
  <c r="C193" i="8"/>
  <c r="B193" i="8"/>
  <c r="H192" i="8"/>
  <c r="G192" i="8"/>
  <c r="F192" i="8"/>
  <c r="E192" i="8"/>
  <c r="D192" i="8"/>
  <c r="C192" i="8"/>
  <c r="B192" i="8"/>
  <c r="H191" i="8"/>
  <c r="G191" i="8"/>
  <c r="F191" i="8"/>
  <c r="E191" i="8"/>
  <c r="D191" i="8"/>
  <c r="C191" i="8"/>
  <c r="B191" i="8"/>
  <c r="H190" i="8"/>
  <c r="G190" i="8"/>
  <c r="F190" i="8"/>
  <c r="E190" i="8"/>
  <c r="D190" i="8"/>
  <c r="C190" i="8"/>
  <c r="B190" i="8"/>
  <c r="H189" i="8"/>
  <c r="G189" i="8"/>
  <c r="F189" i="8"/>
  <c r="E189" i="8"/>
  <c r="D189" i="8"/>
  <c r="C189" i="8"/>
  <c r="B189" i="8"/>
  <c r="H188" i="8"/>
  <c r="G188" i="8"/>
  <c r="F188" i="8"/>
  <c r="E188" i="8"/>
  <c r="D188" i="8"/>
  <c r="C188" i="8"/>
  <c r="B188" i="8"/>
  <c r="H187" i="8"/>
  <c r="G187" i="8"/>
  <c r="F187" i="8"/>
  <c r="E187" i="8"/>
  <c r="D187" i="8"/>
  <c r="C187" i="8"/>
  <c r="B187" i="8"/>
  <c r="H186" i="8"/>
  <c r="G186" i="8"/>
  <c r="F186" i="8"/>
  <c r="E186" i="8"/>
  <c r="D186" i="8"/>
  <c r="C186" i="8"/>
  <c r="B186" i="8"/>
  <c r="H185" i="8"/>
  <c r="G185" i="8"/>
  <c r="F185" i="8"/>
  <c r="E185" i="8"/>
  <c r="D185" i="8"/>
  <c r="C185" i="8"/>
  <c r="B185" i="8"/>
  <c r="H184" i="8"/>
  <c r="G184" i="8"/>
  <c r="F184" i="8"/>
  <c r="E184" i="8"/>
  <c r="D184" i="8"/>
  <c r="C184" i="8"/>
  <c r="B184" i="8"/>
  <c r="H183" i="8"/>
  <c r="G183" i="8"/>
  <c r="F183" i="8"/>
  <c r="E183" i="8"/>
  <c r="D183" i="8"/>
  <c r="C183" i="8"/>
  <c r="B183" i="8"/>
  <c r="H182" i="8"/>
  <c r="G182" i="8"/>
  <c r="F182" i="8"/>
  <c r="E182" i="8"/>
  <c r="D182" i="8"/>
  <c r="C182" i="8"/>
  <c r="B182" i="8"/>
  <c r="H181" i="8"/>
  <c r="G181" i="8"/>
  <c r="F181" i="8"/>
  <c r="E181" i="8"/>
  <c r="D181" i="8"/>
  <c r="C181" i="8"/>
  <c r="B181" i="8"/>
  <c r="H180" i="8"/>
  <c r="G180" i="8"/>
  <c r="F180" i="8"/>
  <c r="E180" i="8"/>
  <c r="D180" i="8"/>
  <c r="C180" i="8"/>
  <c r="B180" i="8"/>
  <c r="H179" i="8"/>
  <c r="G179" i="8"/>
  <c r="F179" i="8"/>
  <c r="E179" i="8"/>
  <c r="D179" i="8"/>
  <c r="C179" i="8"/>
  <c r="B179" i="8"/>
  <c r="H178" i="8"/>
  <c r="G178" i="8"/>
  <c r="F178" i="8"/>
  <c r="E178" i="8"/>
  <c r="D178" i="8"/>
  <c r="C178" i="8"/>
  <c r="B178" i="8"/>
  <c r="H177" i="8"/>
  <c r="G177" i="8"/>
  <c r="F177" i="8"/>
  <c r="E177" i="8"/>
  <c r="D177" i="8"/>
  <c r="C177" i="8"/>
  <c r="B177" i="8"/>
  <c r="H176" i="8"/>
  <c r="G176" i="8"/>
  <c r="F176" i="8"/>
  <c r="E176" i="8"/>
  <c r="D176" i="8"/>
  <c r="C176" i="8"/>
  <c r="B176" i="8"/>
  <c r="H175" i="8"/>
  <c r="G175" i="8"/>
  <c r="F175" i="8"/>
  <c r="E175" i="8"/>
  <c r="D175" i="8"/>
  <c r="C175" i="8"/>
  <c r="B175" i="8"/>
  <c r="H174" i="8"/>
  <c r="G174" i="8"/>
  <c r="F174" i="8"/>
  <c r="E174" i="8"/>
  <c r="D174" i="8"/>
  <c r="C174" i="8"/>
  <c r="B174" i="8"/>
  <c r="H173" i="8"/>
  <c r="G173" i="8"/>
  <c r="F173" i="8"/>
  <c r="E173" i="8"/>
  <c r="D173" i="8"/>
  <c r="C173" i="8"/>
  <c r="B173" i="8"/>
  <c r="H172" i="8"/>
  <c r="G172" i="8"/>
  <c r="F172" i="8"/>
  <c r="E172" i="8"/>
  <c r="D172" i="8"/>
  <c r="C172" i="8"/>
  <c r="B172" i="8"/>
  <c r="H171" i="8"/>
  <c r="G171" i="8"/>
  <c r="F171" i="8"/>
  <c r="E171" i="8"/>
  <c r="D171" i="8"/>
  <c r="C171" i="8"/>
  <c r="B171" i="8"/>
  <c r="H170" i="8"/>
  <c r="G170" i="8"/>
  <c r="F170" i="8"/>
  <c r="E170" i="8"/>
  <c r="D170" i="8"/>
  <c r="C170" i="8"/>
  <c r="B170" i="8"/>
  <c r="H169" i="8"/>
  <c r="G169" i="8"/>
  <c r="F169" i="8"/>
  <c r="E169" i="8"/>
  <c r="D169" i="8"/>
  <c r="C169" i="8"/>
  <c r="B169" i="8"/>
  <c r="H168" i="8"/>
  <c r="G168" i="8"/>
  <c r="F168" i="8"/>
  <c r="E168" i="8"/>
  <c r="D168" i="8"/>
  <c r="C168" i="8"/>
  <c r="B168" i="8"/>
  <c r="H167" i="8"/>
  <c r="G167" i="8"/>
  <c r="F167" i="8"/>
  <c r="E167" i="8"/>
  <c r="D167" i="8"/>
  <c r="C167" i="8"/>
  <c r="B167" i="8"/>
  <c r="H166" i="8"/>
  <c r="G166" i="8"/>
  <c r="F166" i="8"/>
  <c r="E166" i="8"/>
  <c r="D166" i="8"/>
  <c r="C166" i="8"/>
  <c r="B166" i="8"/>
  <c r="H165" i="8"/>
  <c r="G165" i="8"/>
  <c r="F165" i="8"/>
  <c r="E165" i="8"/>
  <c r="D165" i="8"/>
  <c r="C165" i="8"/>
  <c r="B165" i="8"/>
  <c r="H164" i="8"/>
  <c r="G164" i="8"/>
  <c r="F164" i="8"/>
  <c r="E164" i="8"/>
  <c r="D164" i="8"/>
  <c r="C164" i="8"/>
  <c r="B164" i="8"/>
  <c r="H163" i="8"/>
  <c r="G163" i="8"/>
  <c r="F163" i="8"/>
  <c r="E163" i="8"/>
  <c r="D163" i="8"/>
  <c r="C163" i="8"/>
  <c r="B163" i="8"/>
  <c r="H162" i="8"/>
  <c r="G162" i="8"/>
  <c r="F162" i="8"/>
  <c r="E162" i="8"/>
  <c r="D162" i="8"/>
  <c r="C162" i="8"/>
  <c r="B162" i="8"/>
  <c r="H161" i="8"/>
  <c r="G161" i="8"/>
  <c r="F161" i="8"/>
  <c r="E161" i="8"/>
  <c r="D161" i="8"/>
  <c r="C161" i="8"/>
  <c r="B161" i="8"/>
  <c r="H160" i="8"/>
  <c r="G160" i="8"/>
  <c r="F160" i="8"/>
  <c r="E160" i="8"/>
  <c r="D160" i="8"/>
  <c r="C160" i="8"/>
  <c r="B160" i="8"/>
  <c r="H159" i="8"/>
  <c r="G159" i="8"/>
  <c r="F159" i="8"/>
  <c r="E159" i="8"/>
  <c r="D159" i="8"/>
  <c r="C159" i="8"/>
  <c r="B159" i="8"/>
  <c r="H158" i="8"/>
  <c r="G158" i="8"/>
  <c r="F158" i="8"/>
  <c r="E158" i="8"/>
  <c r="D158" i="8"/>
  <c r="C158" i="8"/>
  <c r="B158" i="8"/>
  <c r="H157" i="8"/>
  <c r="G157" i="8"/>
  <c r="F157" i="8"/>
  <c r="E157" i="8"/>
  <c r="D157" i="8"/>
  <c r="C157" i="8"/>
  <c r="B157" i="8"/>
  <c r="H156" i="8"/>
  <c r="G156" i="8"/>
  <c r="F156" i="8"/>
  <c r="E156" i="8"/>
  <c r="D156" i="8"/>
  <c r="C156" i="8"/>
  <c r="B156" i="8"/>
  <c r="H155" i="8"/>
  <c r="G155" i="8"/>
  <c r="F155" i="8"/>
  <c r="E155" i="8"/>
  <c r="D155" i="8"/>
  <c r="C155" i="8"/>
  <c r="B155" i="8"/>
  <c r="H154" i="8"/>
  <c r="G154" i="8"/>
  <c r="F154" i="8"/>
  <c r="E154" i="8"/>
  <c r="D154" i="8"/>
  <c r="C154" i="8"/>
  <c r="B154" i="8"/>
  <c r="H153" i="8"/>
  <c r="G153" i="8"/>
  <c r="F153" i="8"/>
  <c r="E153" i="8"/>
  <c r="D153" i="8"/>
  <c r="C153" i="8"/>
  <c r="B153" i="8"/>
  <c r="H152" i="8"/>
  <c r="G152" i="8"/>
  <c r="F152" i="8"/>
  <c r="E152" i="8"/>
  <c r="D152" i="8"/>
  <c r="C152" i="8"/>
  <c r="B152" i="8"/>
  <c r="H151" i="8"/>
  <c r="G151" i="8"/>
  <c r="F151" i="8"/>
  <c r="E151" i="8"/>
  <c r="D151" i="8"/>
  <c r="C151" i="8"/>
  <c r="B151" i="8"/>
  <c r="H150" i="8"/>
  <c r="G150" i="8"/>
  <c r="F150" i="8"/>
  <c r="E150" i="8"/>
  <c r="D150" i="8"/>
  <c r="C150" i="8"/>
  <c r="B150" i="8"/>
  <c r="H149" i="8"/>
  <c r="G149" i="8"/>
  <c r="F149" i="8"/>
  <c r="E149" i="8"/>
  <c r="D149" i="8"/>
  <c r="C149" i="8"/>
  <c r="B149" i="8"/>
  <c r="H148" i="8"/>
  <c r="G148" i="8"/>
  <c r="F148" i="8"/>
  <c r="E148" i="8"/>
  <c r="D148" i="8"/>
  <c r="C148" i="8"/>
  <c r="B148" i="8"/>
  <c r="H147" i="8"/>
  <c r="G147" i="8"/>
  <c r="F147" i="8"/>
  <c r="E147" i="8"/>
  <c r="D147" i="8"/>
  <c r="C147" i="8"/>
  <c r="B147" i="8"/>
  <c r="H146" i="8"/>
  <c r="G146" i="8"/>
  <c r="F146" i="8"/>
  <c r="E146" i="8"/>
  <c r="D146" i="8"/>
  <c r="C146" i="8"/>
  <c r="B146" i="8"/>
  <c r="H145" i="8"/>
  <c r="G145" i="8"/>
  <c r="F145" i="8"/>
  <c r="E145" i="8"/>
  <c r="D145" i="8"/>
  <c r="C145" i="8"/>
  <c r="B145" i="8"/>
  <c r="H144" i="8"/>
  <c r="G144" i="8"/>
  <c r="F144" i="8"/>
  <c r="E144" i="8"/>
  <c r="D144" i="8"/>
  <c r="C144" i="8"/>
  <c r="B144" i="8"/>
  <c r="H143" i="8"/>
  <c r="G143" i="8"/>
  <c r="F143" i="8"/>
  <c r="E143" i="8"/>
  <c r="D143" i="8"/>
  <c r="C143" i="8"/>
  <c r="B143" i="8"/>
  <c r="H142" i="8"/>
  <c r="G142" i="8"/>
  <c r="F142" i="8"/>
  <c r="E142" i="8"/>
  <c r="D142" i="8"/>
  <c r="C142" i="8"/>
  <c r="B142" i="8"/>
  <c r="H141" i="8"/>
  <c r="G141" i="8"/>
  <c r="F141" i="8"/>
  <c r="E141" i="8"/>
  <c r="D141" i="8"/>
  <c r="C141" i="8"/>
  <c r="B141" i="8"/>
  <c r="H140" i="8"/>
  <c r="G140" i="8"/>
  <c r="F140" i="8"/>
  <c r="E140" i="8"/>
  <c r="D140" i="8"/>
  <c r="C140" i="8"/>
  <c r="B140" i="8"/>
  <c r="H139" i="8"/>
  <c r="G139" i="8"/>
  <c r="F139" i="8"/>
  <c r="E139" i="8"/>
  <c r="D139" i="8"/>
  <c r="C139" i="8"/>
  <c r="B139" i="8"/>
  <c r="H138" i="8"/>
  <c r="G138" i="8"/>
  <c r="F138" i="8"/>
  <c r="E138" i="8"/>
  <c r="D138" i="8"/>
  <c r="C138" i="8"/>
  <c r="B138" i="8"/>
  <c r="H137" i="8"/>
  <c r="G137" i="8"/>
  <c r="F137" i="8"/>
  <c r="E137" i="8"/>
  <c r="D137" i="8"/>
  <c r="C137" i="8"/>
  <c r="B137" i="8"/>
  <c r="H136" i="8"/>
  <c r="G136" i="8"/>
  <c r="F136" i="8"/>
  <c r="E136" i="8"/>
  <c r="D136" i="8"/>
  <c r="C136" i="8"/>
  <c r="B136" i="8"/>
  <c r="H135" i="8"/>
  <c r="G135" i="8"/>
  <c r="F135" i="8"/>
  <c r="E135" i="8"/>
  <c r="D135" i="8"/>
  <c r="C135" i="8"/>
  <c r="B135" i="8"/>
  <c r="H134" i="8"/>
  <c r="G134" i="8"/>
  <c r="F134" i="8"/>
  <c r="E134" i="8"/>
  <c r="D134" i="8"/>
  <c r="C134" i="8"/>
  <c r="B134" i="8"/>
  <c r="H133" i="8"/>
  <c r="G133" i="8"/>
  <c r="F133" i="8"/>
  <c r="E133" i="8"/>
  <c r="D133" i="8"/>
  <c r="C133" i="8"/>
  <c r="B133" i="8"/>
  <c r="H132" i="8"/>
  <c r="G132" i="8"/>
  <c r="F132" i="8"/>
  <c r="E132" i="8"/>
  <c r="D132" i="8"/>
  <c r="C132" i="8"/>
  <c r="B132" i="8"/>
  <c r="H131" i="8"/>
  <c r="G131" i="8"/>
  <c r="F131" i="8"/>
  <c r="E131" i="8"/>
  <c r="D131" i="8"/>
  <c r="C131" i="8"/>
  <c r="B131" i="8"/>
  <c r="H130" i="8"/>
  <c r="G130" i="8"/>
  <c r="F130" i="8"/>
  <c r="E130" i="8"/>
  <c r="D130" i="8"/>
  <c r="C130" i="8"/>
  <c r="B130" i="8"/>
  <c r="H129" i="8"/>
  <c r="G129" i="8"/>
  <c r="F129" i="8"/>
  <c r="E129" i="8"/>
  <c r="D129" i="8"/>
  <c r="C129" i="8"/>
  <c r="B129" i="8"/>
  <c r="H128" i="8"/>
  <c r="G128" i="8"/>
  <c r="F128" i="8"/>
  <c r="E128" i="8"/>
  <c r="D128" i="8"/>
  <c r="C128" i="8"/>
  <c r="B128" i="8"/>
  <c r="H127" i="8"/>
  <c r="G127" i="8"/>
  <c r="F127" i="8"/>
  <c r="E127" i="8"/>
  <c r="D127" i="8"/>
  <c r="C127" i="8"/>
  <c r="B127" i="8"/>
  <c r="H126" i="8"/>
  <c r="G126" i="8"/>
  <c r="F126" i="8"/>
  <c r="E126" i="8"/>
  <c r="D126" i="8"/>
  <c r="C126" i="8"/>
  <c r="B126" i="8"/>
  <c r="H125" i="8"/>
  <c r="G125" i="8"/>
  <c r="F125" i="8"/>
  <c r="E125" i="8"/>
  <c r="D125" i="8"/>
  <c r="C125" i="8"/>
  <c r="B125" i="8"/>
  <c r="H124" i="8"/>
  <c r="G124" i="8"/>
  <c r="F124" i="8"/>
  <c r="E124" i="8"/>
  <c r="D124" i="8"/>
  <c r="C124" i="8"/>
  <c r="B124" i="8"/>
  <c r="H123" i="8"/>
  <c r="G123" i="8"/>
  <c r="F123" i="8"/>
  <c r="E123" i="8"/>
  <c r="D123" i="8"/>
  <c r="C123" i="8"/>
  <c r="B123" i="8"/>
  <c r="H122" i="8"/>
  <c r="G122" i="8"/>
  <c r="F122" i="8"/>
  <c r="E122" i="8"/>
  <c r="D122" i="8"/>
  <c r="C122" i="8"/>
  <c r="B122" i="8"/>
  <c r="H121" i="8"/>
  <c r="G121" i="8"/>
  <c r="F121" i="8"/>
  <c r="E121" i="8"/>
  <c r="D121" i="8"/>
  <c r="C121" i="8"/>
  <c r="B121" i="8"/>
  <c r="H120" i="8"/>
  <c r="G120" i="8"/>
  <c r="F120" i="8"/>
  <c r="E120" i="8"/>
  <c r="D120" i="8"/>
  <c r="C120" i="8"/>
  <c r="B120" i="8"/>
  <c r="H119" i="8"/>
  <c r="G119" i="8"/>
  <c r="F119" i="8"/>
  <c r="E119" i="8"/>
  <c r="D119" i="8"/>
  <c r="C119" i="8"/>
  <c r="B119" i="8"/>
  <c r="H118" i="8"/>
  <c r="G118" i="8"/>
  <c r="F118" i="8"/>
  <c r="E118" i="8"/>
  <c r="D118" i="8"/>
  <c r="C118" i="8"/>
  <c r="B118" i="8"/>
  <c r="H117" i="8"/>
  <c r="G117" i="8"/>
  <c r="F117" i="8"/>
  <c r="E117" i="8"/>
  <c r="D117" i="8"/>
  <c r="C117" i="8"/>
  <c r="B117" i="8"/>
  <c r="H116" i="8"/>
  <c r="G116" i="8"/>
  <c r="F116" i="8"/>
  <c r="E116" i="8"/>
  <c r="D116" i="8"/>
  <c r="C116" i="8"/>
  <c r="B116" i="8"/>
  <c r="H115" i="8"/>
  <c r="G115" i="8"/>
  <c r="F115" i="8"/>
  <c r="E115" i="8"/>
  <c r="D115" i="8"/>
  <c r="C115" i="8"/>
  <c r="B115" i="8"/>
  <c r="H114" i="8"/>
  <c r="G114" i="8"/>
  <c r="F114" i="8"/>
  <c r="E114" i="8"/>
  <c r="D114" i="8"/>
  <c r="C114" i="8"/>
  <c r="B114" i="8"/>
  <c r="H113" i="8"/>
  <c r="G113" i="8"/>
  <c r="F113" i="8"/>
  <c r="E113" i="8"/>
  <c r="D113" i="8"/>
  <c r="C113" i="8"/>
  <c r="B113" i="8"/>
  <c r="H112" i="8"/>
  <c r="G112" i="8"/>
  <c r="F112" i="8"/>
  <c r="E112" i="8"/>
  <c r="D112" i="8"/>
  <c r="C112" i="8"/>
  <c r="B112" i="8"/>
  <c r="H111" i="8"/>
  <c r="G111" i="8"/>
  <c r="F111" i="8"/>
  <c r="E111" i="8"/>
  <c r="D111" i="8"/>
  <c r="C111" i="8"/>
  <c r="B111" i="8"/>
  <c r="H110" i="8"/>
  <c r="G110" i="8"/>
  <c r="F110" i="8"/>
  <c r="E110" i="8"/>
  <c r="D110" i="8"/>
  <c r="C110" i="8"/>
  <c r="B110" i="8"/>
  <c r="H109" i="8"/>
  <c r="G109" i="8"/>
  <c r="F109" i="8"/>
  <c r="E109" i="8"/>
  <c r="D109" i="8"/>
  <c r="C109" i="8"/>
  <c r="B109" i="8"/>
  <c r="H108" i="8"/>
  <c r="G108" i="8"/>
  <c r="F108" i="8"/>
  <c r="E108" i="8"/>
  <c r="D108" i="8"/>
  <c r="C108" i="8"/>
  <c r="B108" i="8"/>
  <c r="H107" i="8"/>
  <c r="G107" i="8"/>
  <c r="F107" i="8"/>
  <c r="E107" i="8"/>
  <c r="D107" i="8"/>
  <c r="C107" i="8"/>
  <c r="B107" i="8"/>
  <c r="H106" i="8"/>
  <c r="G106" i="8"/>
  <c r="F106" i="8"/>
  <c r="E106" i="8"/>
  <c r="D106" i="8"/>
  <c r="C106" i="8"/>
  <c r="B106" i="8"/>
  <c r="H105" i="8"/>
  <c r="G105" i="8"/>
  <c r="F105" i="8"/>
  <c r="E105" i="8"/>
  <c r="D105" i="8"/>
  <c r="C105" i="8"/>
  <c r="B105" i="8"/>
  <c r="H104" i="8"/>
  <c r="G104" i="8"/>
  <c r="F104" i="8"/>
  <c r="E104" i="8"/>
  <c r="D104" i="8"/>
  <c r="C104" i="8"/>
  <c r="B104" i="8"/>
  <c r="H103" i="8"/>
  <c r="G103" i="8"/>
  <c r="F103" i="8"/>
  <c r="E103" i="8"/>
  <c r="D103" i="8"/>
  <c r="C103" i="8"/>
  <c r="B103" i="8"/>
  <c r="H102" i="8"/>
  <c r="G102" i="8"/>
  <c r="F102" i="8"/>
  <c r="E102" i="8"/>
  <c r="D102" i="8"/>
  <c r="C102" i="8"/>
  <c r="B102" i="8"/>
  <c r="H101" i="8"/>
  <c r="G101" i="8"/>
  <c r="F101" i="8"/>
  <c r="E101" i="8"/>
  <c r="D101" i="8"/>
  <c r="C101" i="8"/>
  <c r="B101" i="8"/>
  <c r="H100" i="8"/>
  <c r="G100" i="8"/>
  <c r="F100" i="8"/>
  <c r="E100" i="8"/>
  <c r="D100" i="8"/>
  <c r="C100" i="8"/>
  <c r="B100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H97" i="8"/>
  <c r="G97" i="8"/>
  <c r="F97" i="8"/>
  <c r="E97" i="8"/>
  <c r="D97" i="8"/>
  <c r="C97" i="8"/>
  <c r="B97" i="8"/>
  <c r="H96" i="8"/>
  <c r="G96" i="8"/>
  <c r="F96" i="8"/>
  <c r="E96" i="8"/>
  <c r="D96" i="8"/>
  <c r="C96" i="8"/>
  <c r="B96" i="8"/>
  <c r="H95" i="8"/>
  <c r="G95" i="8"/>
  <c r="F95" i="8"/>
  <c r="E95" i="8"/>
  <c r="D95" i="8"/>
  <c r="C95" i="8"/>
  <c r="B95" i="8"/>
  <c r="H94" i="8"/>
  <c r="G94" i="8"/>
  <c r="F94" i="8"/>
  <c r="E94" i="8"/>
  <c r="D94" i="8"/>
  <c r="C94" i="8"/>
  <c r="B94" i="8"/>
  <c r="H93" i="8"/>
  <c r="G93" i="8"/>
  <c r="F93" i="8"/>
  <c r="E93" i="8"/>
  <c r="D93" i="8"/>
  <c r="C93" i="8"/>
  <c r="B93" i="8"/>
  <c r="H92" i="8"/>
  <c r="G92" i="8"/>
  <c r="F92" i="8"/>
  <c r="E92" i="8"/>
  <c r="D92" i="8"/>
  <c r="C92" i="8"/>
  <c r="B92" i="8"/>
  <c r="H91" i="8"/>
  <c r="G91" i="8"/>
  <c r="F91" i="8"/>
  <c r="E91" i="8"/>
  <c r="D91" i="8"/>
  <c r="C91" i="8"/>
  <c r="B91" i="8"/>
  <c r="H90" i="8"/>
  <c r="G90" i="8"/>
  <c r="F90" i="8"/>
  <c r="E90" i="8"/>
  <c r="D90" i="8"/>
  <c r="C90" i="8"/>
  <c r="B90" i="8"/>
  <c r="H89" i="8"/>
  <c r="G89" i="8"/>
  <c r="F89" i="8"/>
  <c r="E89" i="8"/>
  <c r="D89" i="8"/>
  <c r="C89" i="8"/>
  <c r="B89" i="8"/>
  <c r="H88" i="8"/>
  <c r="G88" i="8"/>
  <c r="F88" i="8"/>
  <c r="E88" i="8"/>
  <c r="D88" i="8"/>
  <c r="C88" i="8"/>
  <c r="B88" i="8"/>
  <c r="H87" i="8"/>
  <c r="G87" i="8"/>
  <c r="F87" i="8"/>
  <c r="E87" i="8"/>
  <c r="D87" i="8"/>
  <c r="C87" i="8"/>
  <c r="B87" i="8"/>
  <c r="H86" i="8"/>
  <c r="G86" i="8"/>
  <c r="F86" i="8"/>
  <c r="E86" i="8"/>
  <c r="D86" i="8"/>
  <c r="C86" i="8"/>
  <c r="B86" i="8"/>
  <c r="H85" i="8"/>
  <c r="G85" i="8"/>
  <c r="F85" i="8"/>
  <c r="E85" i="8"/>
  <c r="D85" i="8"/>
  <c r="C85" i="8"/>
  <c r="B85" i="8"/>
  <c r="H84" i="8"/>
  <c r="G84" i="8"/>
  <c r="F84" i="8"/>
  <c r="E84" i="8"/>
  <c r="D84" i="8"/>
  <c r="C84" i="8"/>
  <c r="B84" i="8"/>
  <c r="H83" i="8"/>
  <c r="G83" i="8"/>
  <c r="F83" i="8"/>
  <c r="E83" i="8"/>
  <c r="D83" i="8"/>
  <c r="C83" i="8"/>
  <c r="B83" i="8"/>
  <c r="H82" i="8"/>
  <c r="G82" i="8"/>
  <c r="F82" i="8"/>
  <c r="E82" i="8"/>
  <c r="D82" i="8"/>
  <c r="C82" i="8"/>
  <c r="B82" i="8"/>
  <c r="H81" i="8"/>
  <c r="G81" i="8"/>
  <c r="F81" i="8"/>
  <c r="E81" i="8"/>
  <c r="D81" i="8"/>
  <c r="C81" i="8"/>
  <c r="B81" i="8"/>
  <c r="H80" i="8"/>
  <c r="G80" i="8"/>
  <c r="F80" i="8"/>
  <c r="E80" i="8"/>
  <c r="D80" i="8"/>
  <c r="C80" i="8"/>
  <c r="B80" i="8"/>
  <c r="H79" i="8"/>
  <c r="G79" i="8"/>
  <c r="F79" i="8"/>
  <c r="E79" i="8"/>
  <c r="D79" i="8"/>
  <c r="C79" i="8"/>
  <c r="B79" i="8"/>
  <c r="H78" i="8"/>
  <c r="G78" i="8"/>
  <c r="F78" i="8"/>
  <c r="E78" i="8"/>
  <c r="D78" i="8"/>
  <c r="C78" i="8"/>
  <c r="B78" i="8"/>
  <c r="H77" i="8"/>
  <c r="G77" i="8"/>
  <c r="F77" i="8"/>
  <c r="E77" i="8"/>
  <c r="D77" i="8"/>
  <c r="C77" i="8"/>
  <c r="B77" i="8"/>
  <c r="H76" i="8"/>
  <c r="G76" i="8"/>
  <c r="F76" i="8"/>
  <c r="E76" i="8"/>
  <c r="D76" i="8"/>
  <c r="C76" i="8"/>
  <c r="B76" i="8"/>
  <c r="H75" i="8"/>
  <c r="G75" i="8"/>
  <c r="F75" i="8"/>
  <c r="E75" i="8"/>
  <c r="D75" i="8"/>
  <c r="C75" i="8"/>
  <c r="B75" i="8"/>
  <c r="H74" i="8"/>
  <c r="G74" i="8"/>
  <c r="F74" i="8"/>
  <c r="E74" i="8"/>
  <c r="D74" i="8"/>
  <c r="C74" i="8"/>
  <c r="B74" i="8"/>
  <c r="H73" i="8"/>
  <c r="G73" i="8"/>
  <c r="F73" i="8"/>
  <c r="E73" i="8"/>
  <c r="D73" i="8"/>
  <c r="C73" i="8"/>
  <c r="B73" i="8"/>
  <c r="H72" i="8"/>
  <c r="G72" i="8"/>
  <c r="F72" i="8"/>
  <c r="E72" i="8"/>
  <c r="D72" i="8"/>
  <c r="C72" i="8"/>
  <c r="B72" i="8"/>
  <c r="H71" i="8"/>
  <c r="G71" i="8"/>
  <c r="F71" i="8"/>
  <c r="E71" i="8"/>
  <c r="D71" i="8"/>
  <c r="C71" i="8"/>
  <c r="B71" i="8"/>
  <c r="H70" i="8"/>
  <c r="G70" i="8"/>
  <c r="F70" i="8"/>
  <c r="E70" i="8"/>
  <c r="D70" i="8"/>
  <c r="C70" i="8"/>
  <c r="B70" i="8"/>
  <c r="H69" i="8"/>
  <c r="G69" i="8"/>
  <c r="F69" i="8"/>
  <c r="E69" i="8"/>
  <c r="D69" i="8"/>
  <c r="C69" i="8"/>
  <c r="B69" i="8"/>
  <c r="H68" i="8"/>
  <c r="G68" i="8"/>
  <c r="F68" i="8"/>
  <c r="E68" i="8"/>
  <c r="D68" i="8"/>
  <c r="C68" i="8"/>
  <c r="B68" i="8"/>
  <c r="H67" i="8"/>
  <c r="G67" i="8"/>
  <c r="F67" i="8"/>
  <c r="E67" i="8"/>
  <c r="D67" i="8"/>
  <c r="C67" i="8"/>
  <c r="B67" i="8"/>
  <c r="H66" i="8"/>
  <c r="G66" i="8"/>
  <c r="F66" i="8"/>
  <c r="E66" i="8"/>
  <c r="D66" i="8"/>
  <c r="C66" i="8"/>
  <c r="B66" i="8"/>
  <c r="H65" i="8"/>
  <c r="G65" i="8"/>
  <c r="F65" i="8"/>
  <c r="E65" i="8"/>
  <c r="D65" i="8"/>
  <c r="C65" i="8"/>
  <c r="B65" i="8"/>
  <c r="H64" i="8"/>
  <c r="G64" i="8"/>
  <c r="F64" i="8"/>
  <c r="E64" i="8"/>
  <c r="D64" i="8"/>
  <c r="C64" i="8"/>
  <c r="B64" i="8"/>
  <c r="H63" i="8"/>
  <c r="G63" i="8"/>
  <c r="F63" i="8"/>
  <c r="E63" i="8"/>
  <c r="D63" i="8"/>
  <c r="C63" i="8"/>
  <c r="B63" i="8"/>
  <c r="H62" i="8"/>
  <c r="G62" i="8"/>
  <c r="F62" i="8"/>
  <c r="E62" i="8"/>
  <c r="D62" i="8"/>
  <c r="C62" i="8"/>
  <c r="B62" i="8"/>
  <c r="H61" i="8"/>
  <c r="G61" i="8"/>
  <c r="F61" i="8"/>
  <c r="E61" i="8"/>
  <c r="D61" i="8"/>
  <c r="C61" i="8"/>
  <c r="B61" i="8"/>
  <c r="H60" i="8"/>
  <c r="G60" i="8"/>
  <c r="F60" i="8"/>
  <c r="E60" i="8"/>
  <c r="D60" i="8"/>
  <c r="C60" i="8"/>
  <c r="B60" i="8"/>
  <c r="H59" i="8"/>
  <c r="G59" i="8"/>
  <c r="F59" i="8"/>
  <c r="E59" i="8"/>
  <c r="D59" i="8"/>
  <c r="C59" i="8"/>
  <c r="B59" i="8"/>
  <c r="H58" i="8"/>
  <c r="G58" i="8"/>
  <c r="F58" i="8"/>
  <c r="E58" i="8"/>
  <c r="D58" i="8"/>
  <c r="C58" i="8"/>
  <c r="B58" i="8"/>
  <c r="H57" i="8"/>
  <c r="G57" i="8"/>
  <c r="F57" i="8"/>
  <c r="E57" i="8"/>
  <c r="D57" i="8"/>
  <c r="C57" i="8"/>
  <c r="B57" i="8"/>
  <c r="H56" i="8"/>
  <c r="G56" i="8"/>
  <c r="F56" i="8"/>
  <c r="E56" i="8"/>
  <c r="D56" i="8"/>
  <c r="C56" i="8"/>
  <c r="B56" i="8"/>
  <c r="H55" i="8"/>
  <c r="G55" i="8"/>
  <c r="F55" i="8"/>
  <c r="E55" i="8"/>
  <c r="D55" i="8"/>
  <c r="C55" i="8"/>
  <c r="B55" i="8"/>
  <c r="H54" i="8"/>
  <c r="G54" i="8"/>
  <c r="F54" i="8"/>
  <c r="E54" i="8"/>
  <c r="D54" i="8"/>
  <c r="C54" i="8"/>
  <c r="B54" i="8"/>
  <c r="H53" i="8"/>
  <c r="G53" i="8"/>
  <c r="F53" i="8"/>
  <c r="E53" i="8"/>
  <c r="D53" i="8"/>
  <c r="C53" i="8"/>
  <c r="B53" i="8"/>
  <c r="H52" i="8"/>
  <c r="G52" i="8"/>
  <c r="F52" i="8"/>
  <c r="E52" i="8"/>
  <c r="D52" i="8"/>
  <c r="C52" i="8"/>
  <c r="B52" i="8"/>
  <c r="H51" i="8"/>
  <c r="G51" i="8"/>
  <c r="F51" i="8"/>
  <c r="E51" i="8"/>
  <c r="D51" i="8"/>
  <c r="C51" i="8"/>
  <c r="B51" i="8"/>
  <c r="H50" i="8"/>
  <c r="G50" i="8"/>
  <c r="F50" i="8"/>
  <c r="E50" i="8"/>
  <c r="D50" i="8"/>
  <c r="C50" i="8"/>
  <c r="B50" i="8"/>
  <c r="H49" i="8"/>
  <c r="G49" i="8"/>
  <c r="F49" i="8"/>
  <c r="E49" i="8"/>
  <c r="D49" i="8"/>
  <c r="C49" i="8"/>
  <c r="B49" i="8"/>
  <c r="H48" i="8"/>
  <c r="G48" i="8"/>
  <c r="F48" i="8"/>
  <c r="E48" i="8"/>
  <c r="D48" i="8"/>
  <c r="C48" i="8"/>
  <c r="B48" i="8"/>
  <c r="H47" i="8"/>
  <c r="G47" i="8"/>
  <c r="F47" i="8"/>
  <c r="E47" i="8"/>
  <c r="D47" i="8"/>
  <c r="C47" i="8"/>
  <c r="B47" i="8"/>
  <c r="H46" i="8"/>
  <c r="G46" i="8"/>
  <c r="F46" i="8"/>
  <c r="E46" i="8"/>
  <c r="D46" i="8"/>
  <c r="C46" i="8"/>
  <c r="B46" i="8"/>
  <c r="H45" i="8"/>
  <c r="G45" i="8"/>
  <c r="F45" i="8"/>
  <c r="E45" i="8"/>
  <c r="D45" i="8"/>
  <c r="C45" i="8"/>
  <c r="B45" i="8"/>
  <c r="H44" i="8"/>
  <c r="G44" i="8"/>
  <c r="F44" i="8"/>
  <c r="E44" i="8"/>
  <c r="D44" i="8"/>
  <c r="C44" i="8"/>
  <c r="B44" i="8"/>
  <c r="H43" i="8"/>
  <c r="G43" i="8"/>
  <c r="F43" i="8"/>
  <c r="E43" i="8"/>
  <c r="D43" i="8"/>
  <c r="C43" i="8"/>
  <c r="B43" i="8"/>
  <c r="H42" i="8"/>
  <c r="G42" i="8"/>
  <c r="F42" i="8"/>
  <c r="E42" i="8"/>
  <c r="D42" i="8"/>
  <c r="C42" i="8"/>
  <c r="B42" i="8"/>
  <c r="H41" i="8"/>
  <c r="G41" i="8"/>
  <c r="F41" i="8"/>
  <c r="E41" i="8"/>
  <c r="D41" i="8"/>
  <c r="C41" i="8"/>
  <c r="B41" i="8"/>
  <c r="H40" i="8"/>
  <c r="G40" i="8"/>
  <c r="F40" i="8"/>
  <c r="E40" i="8"/>
  <c r="D40" i="8"/>
  <c r="C40" i="8"/>
  <c r="B40" i="8"/>
  <c r="H39" i="8"/>
  <c r="G39" i="8"/>
  <c r="F39" i="8"/>
  <c r="E39" i="8"/>
  <c r="D39" i="8"/>
  <c r="C39" i="8"/>
  <c r="B39" i="8"/>
  <c r="H38" i="8"/>
  <c r="G38" i="8"/>
  <c r="F38" i="8"/>
  <c r="E38" i="8"/>
  <c r="D38" i="8"/>
  <c r="C38" i="8"/>
  <c r="B38" i="8"/>
  <c r="H37" i="8"/>
  <c r="G37" i="8"/>
  <c r="F37" i="8"/>
  <c r="E37" i="8"/>
  <c r="D37" i="8"/>
  <c r="C37" i="8"/>
  <c r="B37" i="8"/>
  <c r="H36" i="8"/>
  <c r="G36" i="8"/>
  <c r="F36" i="8"/>
  <c r="E36" i="8"/>
  <c r="D36" i="8"/>
  <c r="C36" i="8"/>
  <c r="B36" i="8"/>
  <c r="H35" i="8"/>
  <c r="G35" i="8"/>
  <c r="F35" i="8"/>
  <c r="E35" i="8"/>
  <c r="D35" i="8"/>
  <c r="C35" i="8"/>
  <c r="B35" i="8"/>
  <c r="H34" i="8"/>
  <c r="G34" i="8"/>
  <c r="F34" i="8"/>
  <c r="E34" i="8"/>
  <c r="D34" i="8"/>
  <c r="C34" i="8"/>
  <c r="B34" i="8"/>
  <c r="H33" i="8"/>
  <c r="G33" i="8"/>
  <c r="F33" i="8"/>
  <c r="E33" i="8"/>
  <c r="D33" i="8"/>
  <c r="C33" i="8"/>
  <c r="B33" i="8"/>
  <c r="H32" i="8"/>
  <c r="G32" i="8"/>
  <c r="F32" i="8"/>
  <c r="E32" i="8"/>
  <c r="D32" i="8"/>
  <c r="C32" i="8"/>
  <c r="B32" i="8"/>
  <c r="H31" i="8"/>
  <c r="G31" i="8"/>
  <c r="F31" i="8"/>
  <c r="E31" i="8"/>
  <c r="D31" i="8"/>
  <c r="C31" i="8"/>
  <c r="B31" i="8"/>
  <c r="H30" i="8"/>
  <c r="G30" i="8"/>
  <c r="F30" i="8"/>
  <c r="E30" i="8"/>
  <c r="D30" i="8"/>
  <c r="C30" i="8"/>
  <c r="B30" i="8"/>
  <c r="H29" i="8"/>
  <c r="G29" i="8"/>
  <c r="F29" i="8"/>
  <c r="E29" i="8"/>
  <c r="D29" i="8"/>
  <c r="C29" i="8"/>
  <c r="B29" i="8"/>
  <c r="H28" i="8"/>
  <c r="G28" i="8"/>
  <c r="F28" i="8"/>
  <c r="E28" i="8"/>
  <c r="D28" i="8"/>
  <c r="C28" i="8"/>
  <c r="B28" i="8"/>
  <c r="H27" i="8"/>
  <c r="G27" i="8"/>
  <c r="F27" i="8"/>
  <c r="E27" i="8"/>
  <c r="D27" i="8"/>
  <c r="C27" i="8"/>
  <c r="B27" i="8"/>
  <c r="H26" i="8"/>
  <c r="G26" i="8"/>
  <c r="F26" i="8"/>
  <c r="E26" i="8"/>
  <c r="D26" i="8"/>
  <c r="C26" i="8"/>
  <c r="B26" i="8"/>
  <c r="H25" i="8"/>
  <c r="G25" i="8"/>
  <c r="F25" i="8"/>
  <c r="E25" i="8"/>
  <c r="D25" i="8"/>
  <c r="C25" i="8"/>
  <c r="B25" i="8"/>
  <c r="H24" i="8"/>
  <c r="G24" i="8"/>
  <c r="F24" i="8"/>
  <c r="E24" i="8"/>
  <c r="D24" i="8"/>
  <c r="C24" i="8"/>
  <c r="B24" i="8"/>
  <c r="H23" i="8"/>
  <c r="G23" i="8"/>
  <c r="F23" i="8"/>
  <c r="E23" i="8"/>
  <c r="D23" i="8"/>
  <c r="C23" i="8"/>
  <c r="B23" i="8"/>
  <c r="H22" i="8"/>
  <c r="G22" i="8"/>
  <c r="F22" i="8"/>
  <c r="E22" i="8"/>
  <c r="D22" i="8"/>
  <c r="C22" i="8"/>
  <c r="B22" i="8"/>
  <c r="H21" i="8"/>
  <c r="G21" i="8"/>
  <c r="F21" i="8"/>
  <c r="E21" i="8"/>
  <c r="D21" i="8"/>
  <c r="C21" i="8"/>
  <c r="B21" i="8"/>
  <c r="H20" i="8"/>
  <c r="G20" i="8"/>
  <c r="F20" i="8"/>
  <c r="E20" i="8"/>
  <c r="D20" i="8"/>
  <c r="C20" i="8"/>
  <c r="B20" i="8"/>
  <c r="H19" i="8"/>
  <c r="G19" i="8"/>
  <c r="F19" i="8"/>
  <c r="E19" i="8"/>
  <c r="D19" i="8"/>
  <c r="C19" i="8"/>
  <c r="B19" i="8"/>
  <c r="H18" i="8"/>
  <c r="G18" i="8"/>
  <c r="F18" i="8"/>
  <c r="E18" i="8"/>
  <c r="D18" i="8"/>
  <c r="C18" i="8"/>
  <c r="B18" i="8"/>
  <c r="H17" i="8"/>
  <c r="G17" i="8"/>
  <c r="F17" i="8"/>
  <c r="E17" i="8"/>
  <c r="D17" i="8"/>
  <c r="C17" i="8"/>
  <c r="B17" i="8"/>
  <c r="H16" i="8"/>
  <c r="G16" i="8"/>
  <c r="F16" i="8"/>
  <c r="E16" i="8"/>
  <c r="D16" i="8"/>
  <c r="C16" i="8"/>
  <c r="B16" i="8"/>
  <c r="H15" i="8"/>
  <c r="G15" i="8"/>
  <c r="F15" i="8"/>
  <c r="E15" i="8"/>
  <c r="D15" i="8"/>
  <c r="C15" i="8"/>
  <c r="B15" i="8"/>
  <c r="H14" i="8"/>
  <c r="G14" i="8"/>
  <c r="F14" i="8"/>
  <c r="E14" i="8"/>
  <c r="D14" i="8"/>
  <c r="C14" i="8"/>
  <c r="B14" i="8"/>
  <c r="H13" i="8"/>
  <c r="G13" i="8"/>
  <c r="F13" i="8"/>
  <c r="E13" i="8"/>
  <c r="D13" i="8"/>
  <c r="C13" i="8"/>
  <c r="B13" i="8"/>
  <c r="H12" i="8"/>
  <c r="G12" i="8"/>
  <c r="F12" i="8"/>
  <c r="E12" i="8"/>
  <c r="D12" i="8"/>
  <c r="C12" i="8"/>
  <c r="B12" i="8"/>
  <c r="H11" i="8"/>
  <c r="G11" i="8"/>
  <c r="F11" i="8"/>
  <c r="E11" i="8"/>
  <c r="D11" i="8"/>
  <c r="C11" i="8"/>
  <c r="B11" i="8"/>
  <c r="H10" i="8"/>
  <c r="G10" i="8"/>
  <c r="F10" i="8"/>
  <c r="E10" i="8"/>
  <c r="D10" i="8"/>
  <c r="C10" i="8"/>
  <c r="B10" i="8"/>
  <c r="H7" i="8"/>
  <c r="H6" i="8" s="1"/>
  <c r="H4" i="8"/>
  <c r="H369" i="7"/>
  <c r="G369" i="7"/>
  <c r="F369" i="7"/>
  <c r="E369" i="7"/>
  <c r="D369" i="7"/>
  <c r="C369" i="7"/>
  <c r="B369" i="7"/>
  <c r="H368" i="7"/>
  <c r="G368" i="7"/>
  <c r="F368" i="7"/>
  <c r="E368" i="7"/>
  <c r="D368" i="7"/>
  <c r="C368" i="7"/>
  <c r="B368" i="7"/>
  <c r="H367" i="7"/>
  <c r="G367" i="7"/>
  <c r="F367" i="7"/>
  <c r="E367" i="7"/>
  <c r="D367" i="7"/>
  <c r="C367" i="7"/>
  <c r="B367" i="7"/>
  <c r="H366" i="7"/>
  <c r="G366" i="7"/>
  <c r="F366" i="7"/>
  <c r="E366" i="7"/>
  <c r="D366" i="7"/>
  <c r="C366" i="7"/>
  <c r="B366" i="7"/>
  <c r="H365" i="7"/>
  <c r="G365" i="7"/>
  <c r="F365" i="7"/>
  <c r="E365" i="7"/>
  <c r="D365" i="7"/>
  <c r="C365" i="7"/>
  <c r="B365" i="7"/>
  <c r="H364" i="7"/>
  <c r="G364" i="7"/>
  <c r="F364" i="7"/>
  <c r="E364" i="7"/>
  <c r="D364" i="7"/>
  <c r="C364" i="7"/>
  <c r="B364" i="7"/>
  <c r="H363" i="7"/>
  <c r="G363" i="7"/>
  <c r="F363" i="7"/>
  <c r="E363" i="7"/>
  <c r="D363" i="7"/>
  <c r="C363" i="7"/>
  <c r="B363" i="7"/>
  <c r="H362" i="7"/>
  <c r="G362" i="7"/>
  <c r="F362" i="7"/>
  <c r="E362" i="7"/>
  <c r="D362" i="7"/>
  <c r="C362" i="7"/>
  <c r="B362" i="7"/>
  <c r="H361" i="7"/>
  <c r="G361" i="7"/>
  <c r="F361" i="7"/>
  <c r="E361" i="7"/>
  <c r="D361" i="7"/>
  <c r="C361" i="7"/>
  <c r="B361" i="7"/>
  <c r="H360" i="7"/>
  <c r="G360" i="7"/>
  <c r="F360" i="7"/>
  <c r="E360" i="7"/>
  <c r="D360" i="7"/>
  <c r="C360" i="7"/>
  <c r="B360" i="7"/>
  <c r="H359" i="7"/>
  <c r="G359" i="7"/>
  <c r="F359" i="7"/>
  <c r="E359" i="7"/>
  <c r="D359" i="7"/>
  <c r="C359" i="7"/>
  <c r="B359" i="7"/>
  <c r="H358" i="7"/>
  <c r="G358" i="7"/>
  <c r="F358" i="7"/>
  <c r="E358" i="7"/>
  <c r="D358" i="7"/>
  <c r="C358" i="7"/>
  <c r="B358" i="7"/>
  <c r="H357" i="7"/>
  <c r="G357" i="7"/>
  <c r="F357" i="7"/>
  <c r="E357" i="7"/>
  <c r="D357" i="7"/>
  <c r="C357" i="7"/>
  <c r="B357" i="7"/>
  <c r="H356" i="7"/>
  <c r="G356" i="7"/>
  <c r="F356" i="7"/>
  <c r="E356" i="7"/>
  <c r="D356" i="7"/>
  <c r="C356" i="7"/>
  <c r="B356" i="7"/>
  <c r="H355" i="7"/>
  <c r="G355" i="7"/>
  <c r="F355" i="7"/>
  <c r="E355" i="7"/>
  <c r="D355" i="7"/>
  <c r="C355" i="7"/>
  <c r="B355" i="7"/>
  <c r="H354" i="7"/>
  <c r="G354" i="7"/>
  <c r="F354" i="7"/>
  <c r="E354" i="7"/>
  <c r="D354" i="7"/>
  <c r="C354" i="7"/>
  <c r="B354" i="7"/>
  <c r="H353" i="7"/>
  <c r="G353" i="7"/>
  <c r="F353" i="7"/>
  <c r="E353" i="7"/>
  <c r="D353" i="7"/>
  <c r="C353" i="7"/>
  <c r="B353" i="7"/>
  <c r="H352" i="7"/>
  <c r="G352" i="7"/>
  <c r="F352" i="7"/>
  <c r="E352" i="7"/>
  <c r="D352" i="7"/>
  <c r="C352" i="7"/>
  <c r="B352" i="7"/>
  <c r="H351" i="7"/>
  <c r="G351" i="7"/>
  <c r="F351" i="7"/>
  <c r="E351" i="7"/>
  <c r="D351" i="7"/>
  <c r="C351" i="7"/>
  <c r="B351" i="7"/>
  <c r="H350" i="7"/>
  <c r="G350" i="7"/>
  <c r="F350" i="7"/>
  <c r="E350" i="7"/>
  <c r="D350" i="7"/>
  <c r="C350" i="7"/>
  <c r="B350" i="7"/>
  <c r="H349" i="7"/>
  <c r="G349" i="7"/>
  <c r="F349" i="7"/>
  <c r="E349" i="7"/>
  <c r="D349" i="7"/>
  <c r="C349" i="7"/>
  <c r="B349" i="7"/>
  <c r="H348" i="7"/>
  <c r="G348" i="7"/>
  <c r="F348" i="7"/>
  <c r="E348" i="7"/>
  <c r="D348" i="7"/>
  <c r="C348" i="7"/>
  <c r="B348" i="7"/>
  <c r="H347" i="7"/>
  <c r="G347" i="7"/>
  <c r="F347" i="7"/>
  <c r="E347" i="7"/>
  <c r="D347" i="7"/>
  <c r="C347" i="7"/>
  <c r="B347" i="7"/>
  <c r="H346" i="7"/>
  <c r="G346" i="7"/>
  <c r="F346" i="7"/>
  <c r="E346" i="7"/>
  <c r="D346" i="7"/>
  <c r="C346" i="7"/>
  <c r="B346" i="7"/>
  <c r="H345" i="7"/>
  <c r="G345" i="7"/>
  <c r="F345" i="7"/>
  <c r="E345" i="7"/>
  <c r="D345" i="7"/>
  <c r="C345" i="7"/>
  <c r="B345" i="7"/>
  <c r="H344" i="7"/>
  <c r="G344" i="7"/>
  <c r="F344" i="7"/>
  <c r="E344" i="7"/>
  <c r="D344" i="7"/>
  <c r="C344" i="7"/>
  <c r="B344" i="7"/>
  <c r="H343" i="7"/>
  <c r="G343" i="7"/>
  <c r="F343" i="7"/>
  <c r="E343" i="7"/>
  <c r="D343" i="7"/>
  <c r="C343" i="7"/>
  <c r="B343" i="7"/>
  <c r="H342" i="7"/>
  <c r="G342" i="7"/>
  <c r="F342" i="7"/>
  <c r="E342" i="7"/>
  <c r="D342" i="7"/>
  <c r="C342" i="7"/>
  <c r="B342" i="7"/>
  <c r="H341" i="7"/>
  <c r="G341" i="7"/>
  <c r="F341" i="7"/>
  <c r="E341" i="7"/>
  <c r="D341" i="7"/>
  <c r="C341" i="7"/>
  <c r="B341" i="7"/>
  <c r="H340" i="7"/>
  <c r="G340" i="7"/>
  <c r="F340" i="7"/>
  <c r="E340" i="7"/>
  <c r="D340" i="7"/>
  <c r="C340" i="7"/>
  <c r="B340" i="7"/>
  <c r="H339" i="7"/>
  <c r="G339" i="7"/>
  <c r="F339" i="7"/>
  <c r="E339" i="7"/>
  <c r="D339" i="7"/>
  <c r="C339" i="7"/>
  <c r="B339" i="7"/>
  <c r="H338" i="7"/>
  <c r="G338" i="7"/>
  <c r="F338" i="7"/>
  <c r="E338" i="7"/>
  <c r="D338" i="7"/>
  <c r="C338" i="7"/>
  <c r="B338" i="7"/>
  <c r="H337" i="7"/>
  <c r="G337" i="7"/>
  <c r="F337" i="7"/>
  <c r="E337" i="7"/>
  <c r="D337" i="7"/>
  <c r="C337" i="7"/>
  <c r="B337" i="7"/>
  <c r="H336" i="7"/>
  <c r="G336" i="7"/>
  <c r="F336" i="7"/>
  <c r="E336" i="7"/>
  <c r="D336" i="7"/>
  <c r="C336" i="7"/>
  <c r="B336" i="7"/>
  <c r="H335" i="7"/>
  <c r="G335" i="7"/>
  <c r="F335" i="7"/>
  <c r="E335" i="7"/>
  <c r="D335" i="7"/>
  <c r="C335" i="7"/>
  <c r="B335" i="7"/>
  <c r="H334" i="7"/>
  <c r="G334" i="7"/>
  <c r="F334" i="7"/>
  <c r="E334" i="7"/>
  <c r="D334" i="7"/>
  <c r="C334" i="7"/>
  <c r="B334" i="7"/>
  <c r="H333" i="7"/>
  <c r="G333" i="7"/>
  <c r="F333" i="7"/>
  <c r="E333" i="7"/>
  <c r="D333" i="7"/>
  <c r="C333" i="7"/>
  <c r="B333" i="7"/>
  <c r="H332" i="7"/>
  <c r="G332" i="7"/>
  <c r="F332" i="7"/>
  <c r="E332" i="7"/>
  <c r="D332" i="7"/>
  <c r="C332" i="7"/>
  <c r="B332" i="7"/>
  <c r="H331" i="7"/>
  <c r="G331" i="7"/>
  <c r="F331" i="7"/>
  <c r="E331" i="7"/>
  <c r="D331" i="7"/>
  <c r="C331" i="7"/>
  <c r="B331" i="7"/>
  <c r="H330" i="7"/>
  <c r="G330" i="7"/>
  <c r="F330" i="7"/>
  <c r="E330" i="7"/>
  <c r="D330" i="7"/>
  <c r="C330" i="7"/>
  <c r="B330" i="7"/>
  <c r="H329" i="7"/>
  <c r="G329" i="7"/>
  <c r="F329" i="7"/>
  <c r="E329" i="7"/>
  <c r="D329" i="7"/>
  <c r="C329" i="7"/>
  <c r="B329" i="7"/>
  <c r="H328" i="7"/>
  <c r="G328" i="7"/>
  <c r="F328" i="7"/>
  <c r="E328" i="7"/>
  <c r="D328" i="7"/>
  <c r="C328" i="7"/>
  <c r="B328" i="7"/>
  <c r="H327" i="7"/>
  <c r="G327" i="7"/>
  <c r="F327" i="7"/>
  <c r="E327" i="7"/>
  <c r="D327" i="7"/>
  <c r="C327" i="7"/>
  <c r="B327" i="7"/>
  <c r="H326" i="7"/>
  <c r="G326" i="7"/>
  <c r="F326" i="7"/>
  <c r="E326" i="7"/>
  <c r="D326" i="7"/>
  <c r="C326" i="7"/>
  <c r="B326" i="7"/>
  <c r="H325" i="7"/>
  <c r="G325" i="7"/>
  <c r="F325" i="7"/>
  <c r="E325" i="7"/>
  <c r="D325" i="7"/>
  <c r="C325" i="7"/>
  <c r="B325" i="7"/>
  <c r="H324" i="7"/>
  <c r="G324" i="7"/>
  <c r="F324" i="7"/>
  <c r="E324" i="7"/>
  <c r="D324" i="7"/>
  <c r="C324" i="7"/>
  <c r="B324" i="7"/>
  <c r="H323" i="7"/>
  <c r="G323" i="7"/>
  <c r="F323" i="7"/>
  <c r="E323" i="7"/>
  <c r="D323" i="7"/>
  <c r="C323" i="7"/>
  <c r="B323" i="7"/>
  <c r="H322" i="7"/>
  <c r="G322" i="7"/>
  <c r="F322" i="7"/>
  <c r="E322" i="7"/>
  <c r="D322" i="7"/>
  <c r="C322" i="7"/>
  <c r="B322" i="7"/>
  <c r="H321" i="7"/>
  <c r="G321" i="7"/>
  <c r="F321" i="7"/>
  <c r="E321" i="7"/>
  <c r="D321" i="7"/>
  <c r="C321" i="7"/>
  <c r="B321" i="7"/>
  <c r="H320" i="7"/>
  <c r="G320" i="7"/>
  <c r="F320" i="7"/>
  <c r="E320" i="7"/>
  <c r="D320" i="7"/>
  <c r="C320" i="7"/>
  <c r="B320" i="7"/>
  <c r="H319" i="7"/>
  <c r="G319" i="7"/>
  <c r="F319" i="7"/>
  <c r="E319" i="7"/>
  <c r="D319" i="7"/>
  <c r="C319" i="7"/>
  <c r="B319" i="7"/>
  <c r="H318" i="7"/>
  <c r="G318" i="7"/>
  <c r="F318" i="7"/>
  <c r="E318" i="7"/>
  <c r="D318" i="7"/>
  <c r="C318" i="7"/>
  <c r="B318" i="7"/>
  <c r="H317" i="7"/>
  <c r="G317" i="7"/>
  <c r="F317" i="7"/>
  <c r="E317" i="7"/>
  <c r="D317" i="7"/>
  <c r="C317" i="7"/>
  <c r="B317" i="7"/>
  <c r="H316" i="7"/>
  <c r="G316" i="7"/>
  <c r="F316" i="7"/>
  <c r="E316" i="7"/>
  <c r="D316" i="7"/>
  <c r="C316" i="7"/>
  <c r="B316" i="7"/>
  <c r="H315" i="7"/>
  <c r="G315" i="7"/>
  <c r="F315" i="7"/>
  <c r="E315" i="7"/>
  <c r="D315" i="7"/>
  <c r="C315" i="7"/>
  <c r="B315" i="7"/>
  <c r="H314" i="7"/>
  <c r="G314" i="7"/>
  <c r="F314" i="7"/>
  <c r="E314" i="7"/>
  <c r="D314" i="7"/>
  <c r="C314" i="7"/>
  <c r="B314" i="7"/>
  <c r="H313" i="7"/>
  <c r="G313" i="7"/>
  <c r="F313" i="7"/>
  <c r="E313" i="7"/>
  <c r="D313" i="7"/>
  <c r="C313" i="7"/>
  <c r="B313" i="7"/>
  <c r="H312" i="7"/>
  <c r="G312" i="7"/>
  <c r="F312" i="7"/>
  <c r="E312" i="7"/>
  <c r="D312" i="7"/>
  <c r="C312" i="7"/>
  <c r="B312" i="7"/>
  <c r="H311" i="7"/>
  <c r="G311" i="7"/>
  <c r="F311" i="7"/>
  <c r="E311" i="7"/>
  <c r="D311" i="7"/>
  <c r="C311" i="7"/>
  <c r="B311" i="7"/>
  <c r="H310" i="7"/>
  <c r="G310" i="7"/>
  <c r="F310" i="7"/>
  <c r="E310" i="7"/>
  <c r="D310" i="7"/>
  <c r="C310" i="7"/>
  <c r="B310" i="7"/>
  <c r="H309" i="7"/>
  <c r="G309" i="7"/>
  <c r="F309" i="7"/>
  <c r="E309" i="7"/>
  <c r="D309" i="7"/>
  <c r="C309" i="7"/>
  <c r="B309" i="7"/>
  <c r="H308" i="7"/>
  <c r="G308" i="7"/>
  <c r="F308" i="7"/>
  <c r="E308" i="7"/>
  <c r="D308" i="7"/>
  <c r="C308" i="7"/>
  <c r="B308" i="7"/>
  <c r="H307" i="7"/>
  <c r="G307" i="7"/>
  <c r="F307" i="7"/>
  <c r="E307" i="7"/>
  <c r="D307" i="7"/>
  <c r="C307" i="7"/>
  <c r="B307" i="7"/>
  <c r="H306" i="7"/>
  <c r="G306" i="7"/>
  <c r="F306" i="7"/>
  <c r="E306" i="7"/>
  <c r="D306" i="7"/>
  <c r="C306" i="7"/>
  <c r="B306" i="7"/>
  <c r="H305" i="7"/>
  <c r="G305" i="7"/>
  <c r="F305" i="7"/>
  <c r="E305" i="7"/>
  <c r="D305" i="7"/>
  <c r="C305" i="7"/>
  <c r="B305" i="7"/>
  <c r="H304" i="7"/>
  <c r="G304" i="7"/>
  <c r="F304" i="7"/>
  <c r="E304" i="7"/>
  <c r="D304" i="7"/>
  <c r="C304" i="7"/>
  <c r="B304" i="7"/>
  <c r="H303" i="7"/>
  <c r="G303" i="7"/>
  <c r="F303" i="7"/>
  <c r="E303" i="7"/>
  <c r="D303" i="7"/>
  <c r="C303" i="7"/>
  <c r="B303" i="7"/>
  <c r="H302" i="7"/>
  <c r="G302" i="7"/>
  <c r="F302" i="7"/>
  <c r="E302" i="7"/>
  <c r="D302" i="7"/>
  <c r="C302" i="7"/>
  <c r="B302" i="7"/>
  <c r="H301" i="7"/>
  <c r="G301" i="7"/>
  <c r="F301" i="7"/>
  <c r="E301" i="7"/>
  <c r="D301" i="7"/>
  <c r="C301" i="7"/>
  <c r="B301" i="7"/>
  <c r="H300" i="7"/>
  <c r="G300" i="7"/>
  <c r="F300" i="7"/>
  <c r="E300" i="7"/>
  <c r="D300" i="7"/>
  <c r="C300" i="7"/>
  <c r="B300" i="7"/>
  <c r="H299" i="7"/>
  <c r="G299" i="7"/>
  <c r="F299" i="7"/>
  <c r="E299" i="7"/>
  <c r="D299" i="7"/>
  <c r="C299" i="7"/>
  <c r="B299" i="7"/>
  <c r="H298" i="7"/>
  <c r="G298" i="7"/>
  <c r="F298" i="7"/>
  <c r="E298" i="7"/>
  <c r="D298" i="7"/>
  <c r="C298" i="7"/>
  <c r="B298" i="7"/>
  <c r="H297" i="7"/>
  <c r="G297" i="7"/>
  <c r="F297" i="7"/>
  <c r="E297" i="7"/>
  <c r="D297" i="7"/>
  <c r="C297" i="7"/>
  <c r="B297" i="7"/>
  <c r="H296" i="7"/>
  <c r="G296" i="7"/>
  <c r="F296" i="7"/>
  <c r="E296" i="7"/>
  <c r="D296" i="7"/>
  <c r="C296" i="7"/>
  <c r="B296" i="7"/>
  <c r="H295" i="7"/>
  <c r="G295" i="7"/>
  <c r="F295" i="7"/>
  <c r="E295" i="7"/>
  <c r="D295" i="7"/>
  <c r="C295" i="7"/>
  <c r="B295" i="7"/>
  <c r="H294" i="7"/>
  <c r="G294" i="7"/>
  <c r="F294" i="7"/>
  <c r="E294" i="7"/>
  <c r="D294" i="7"/>
  <c r="C294" i="7"/>
  <c r="B294" i="7"/>
  <c r="H293" i="7"/>
  <c r="G293" i="7"/>
  <c r="F293" i="7"/>
  <c r="E293" i="7"/>
  <c r="D293" i="7"/>
  <c r="C293" i="7"/>
  <c r="B293" i="7"/>
  <c r="H292" i="7"/>
  <c r="G292" i="7"/>
  <c r="F292" i="7"/>
  <c r="E292" i="7"/>
  <c r="D292" i="7"/>
  <c r="C292" i="7"/>
  <c r="B292" i="7"/>
  <c r="H291" i="7"/>
  <c r="G291" i="7"/>
  <c r="F291" i="7"/>
  <c r="E291" i="7"/>
  <c r="D291" i="7"/>
  <c r="C291" i="7"/>
  <c r="B291" i="7"/>
  <c r="H290" i="7"/>
  <c r="G290" i="7"/>
  <c r="F290" i="7"/>
  <c r="E290" i="7"/>
  <c r="D290" i="7"/>
  <c r="C290" i="7"/>
  <c r="B290" i="7"/>
  <c r="H289" i="7"/>
  <c r="G289" i="7"/>
  <c r="F289" i="7"/>
  <c r="E289" i="7"/>
  <c r="D289" i="7"/>
  <c r="C289" i="7"/>
  <c r="B289" i="7"/>
  <c r="H288" i="7"/>
  <c r="G288" i="7"/>
  <c r="F288" i="7"/>
  <c r="E288" i="7"/>
  <c r="D288" i="7"/>
  <c r="C288" i="7"/>
  <c r="B288" i="7"/>
  <c r="H287" i="7"/>
  <c r="G287" i="7"/>
  <c r="F287" i="7"/>
  <c r="E287" i="7"/>
  <c r="D287" i="7"/>
  <c r="C287" i="7"/>
  <c r="B287" i="7"/>
  <c r="H286" i="7"/>
  <c r="G286" i="7"/>
  <c r="F286" i="7"/>
  <c r="E286" i="7"/>
  <c r="D286" i="7"/>
  <c r="C286" i="7"/>
  <c r="B286" i="7"/>
  <c r="H285" i="7"/>
  <c r="G285" i="7"/>
  <c r="F285" i="7"/>
  <c r="E285" i="7"/>
  <c r="D285" i="7"/>
  <c r="C285" i="7"/>
  <c r="B285" i="7"/>
  <c r="H284" i="7"/>
  <c r="G284" i="7"/>
  <c r="F284" i="7"/>
  <c r="E284" i="7"/>
  <c r="D284" i="7"/>
  <c r="C284" i="7"/>
  <c r="B284" i="7"/>
  <c r="H283" i="7"/>
  <c r="G283" i="7"/>
  <c r="F283" i="7"/>
  <c r="E283" i="7"/>
  <c r="D283" i="7"/>
  <c r="C283" i="7"/>
  <c r="B283" i="7"/>
  <c r="H282" i="7"/>
  <c r="G282" i="7"/>
  <c r="F282" i="7"/>
  <c r="E282" i="7"/>
  <c r="D282" i="7"/>
  <c r="C282" i="7"/>
  <c r="B282" i="7"/>
  <c r="H281" i="7"/>
  <c r="G281" i="7"/>
  <c r="F281" i="7"/>
  <c r="E281" i="7"/>
  <c r="D281" i="7"/>
  <c r="C281" i="7"/>
  <c r="B281" i="7"/>
  <c r="H280" i="7"/>
  <c r="G280" i="7"/>
  <c r="F280" i="7"/>
  <c r="E280" i="7"/>
  <c r="D280" i="7"/>
  <c r="C280" i="7"/>
  <c r="B280" i="7"/>
  <c r="H279" i="7"/>
  <c r="G279" i="7"/>
  <c r="F279" i="7"/>
  <c r="E279" i="7"/>
  <c r="D279" i="7"/>
  <c r="C279" i="7"/>
  <c r="B279" i="7"/>
  <c r="H278" i="7"/>
  <c r="G278" i="7"/>
  <c r="F278" i="7"/>
  <c r="E278" i="7"/>
  <c r="D278" i="7"/>
  <c r="C278" i="7"/>
  <c r="B278" i="7"/>
  <c r="H277" i="7"/>
  <c r="G277" i="7"/>
  <c r="F277" i="7"/>
  <c r="E277" i="7"/>
  <c r="D277" i="7"/>
  <c r="C277" i="7"/>
  <c r="B277" i="7"/>
  <c r="H276" i="7"/>
  <c r="G276" i="7"/>
  <c r="F276" i="7"/>
  <c r="E276" i="7"/>
  <c r="D276" i="7"/>
  <c r="C276" i="7"/>
  <c r="B276" i="7"/>
  <c r="H275" i="7"/>
  <c r="G275" i="7"/>
  <c r="F275" i="7"/>
  <c r="E275" i="7"/>
  <c r="D275" i="7"/>
  <c r="C275" i="7"/>
  <c r="B275" i="7"/>
  <c r="H274" i="7"/>
  <c r="G274" i="7"/>
  <c r="F274" i="7"/>
  <c r="E274" i="7"/>
  <c r="D274" i="7"/>
  <c r="C274" i="7"/>
  <c r="B274" i="7"/>
  <c r="H273" i="7"/>
  <c r="G273" i="7"/>
  <c r="F273" i="7"/>
  <c r="E273" i="7"/>
  <c r="D273" i="7"/>
  <c r="C273" i="7"/>
  <c r="B273" i="7"/>
  <c r="H272" i="7"/>
  <c r="G272" i="7"/>
  <c r="F272" i="7"/>
  <c r="E272" i="7"/>
  <c r="D272" i="7"/>
  <c r="C272" i="7"/>
  <c r="B272" i="7"/>
  <c r="H271" i="7"/>
  <c r="G271" i="7"/>
  <c r="F271" i="7"/>
  <c r="E271" i="7"/>
  <c r="D271" i="7"/>
  <c r="C271" i="7"/>
  <c r="B271" i="7"/>
  <c r="H270" i="7"/>
  <c r="G270" i="7"/>
  <c r="F270" i="7"/>
  <c r="E270" i="7"/>
  <c r="D270" i="7"/>
  <c r="C270" i="7"/>
  <c r="B270" i="7"/>
  <c r="H269" i="7"/>
  <c r="G269" i="7"/>
  <c r="F269" i="7"/>
  <c r="E269" i="7"/>
  <c r="D269" i="7"/>
  <c r="C269" i="7"/>
  <c r="B269" i="7"/>
  <c r="H268" i="7"/>
  <c r="G268" i="7"/>
  <c r="F268" i="7"/>
  <c r="E268" i="7"/>
  <c r="D268" i="7"/>
  <c r="C268" i="7"/>
  <c r="B268" i="7"/>
  <c r="H267" i="7"/>
  <c r="G267" i="7"/>
  <c r="F267" i="7"/>
  <c r="E267" i="7"/>
  <c r="D267" i="7"/>
  <c r="C267" i="7"/>
  <c r="B267" i="7"/>
  <c r="H266" i="7"/>
  <c r="G266" i="7"/>
  <c r="F266" i="7"/>
  <c r="E266" i="7"/>
  <c r="D266" i="7"/>
  <c r="C266" i="7"/>
  <c r="B266" i="7"/>
  <c r="H265" i="7"/>
  <c r="G265" i="7"/>
  <c r="F265" i="7"/>
  <c r="E265" i="7"/>
  <c r="D265" i="7"/>
  <c r="C265" i="7"/>
  <c r="B265" i="7"/>
  <c r="H264" i="7"/>
  <c r="G264" i="7"/>
  <c r="F264" i="7"/>
  <c r="E264" i="7"/>
  <c r="D264" i="7"/>
  <c r="C264" i="7"/>
  <c r="B264" i="7"/>
  <c r="H263" i="7"/>
  <c r="G263" i="7"/>
  <c r="F263" i="7"/>
  <c r="E263" i="7"/>
  <c r="D263" i="7"/>
  <c r="C263" i="7"/>
  <c r="B263" i="7"/>
  <c r="H262" i="7"/>
  <c r="G262" i="7"/>
  <c r="F262" i="7"/>
  <c r="E262" i="7"/>
  <c r="D262" i="7"/>
  <c r="C262" i="7"/>
  <c r="B262" i="7"/>
  <c r="H261" i="7"/>
  <c r="G261" i="7"/>
  <c r="F261" i="7"/>
  <c r="E261" i="7"/>
  <c r="D261" i="7"/>
  <c r="C261" i="7"/>
  <c r="B261" i="7"/>
  <c r="H260" i="7"/>
  <c r="G260" i="7"/>
  <c r="F260" i="7"/>
  <c r="E260" i="7"/>
  <c r="D260" i="7"/>
  <c r="C260" i="7"/>
  <c r="B260" i="7"/>
  <c r="H259" i="7"/>
  <c r="G259" i="7"/>
  <c r="F259" i="7"/>
  <c r="E259" i="7"/>
  <c r="D259" i="7"/>
  <c r="C259" i="7"/>
  <c r="B259" i="7"/>
  <c r="H258" i="7"/>
  <c r="G258" i="7"/>
  <c r="F258" i="7"/>
  <c r="E258" i="7"/>
  <c r="D258" i="7"/>
  <c r="C258" i="7"/>
  <c r="B258" i="7"/>
  <c r="H257" i="7"/>
  <c r="G257" i="7"/>
  <c r="F257" i="7"/>
  <c r="E257" i="7"/>
  <c r="D257" i="7"/>
  <c r="C257" i="7"/>
  <c r="B257" i="7"/>
  <c r="H256" i="7"/>
  <c r="G256" i="7"/>
  <c r="F256" i="7"/>
  <c r="E256" i="7"/>
  <c r="D256" i="7"/>
  <c r="C256" i="7"/>
  <c r="B256" i="7"/>
  <c r="H255" i="7"/>
  <c r="G255" i="7"/>
  <c r="F255" i="7"/>
  <c r="E255" i="7"/>
  <c r="D255" i="7"/>
  <c r="C255" i="7"/>
  <c r="B255" i="7"/>
  <c r="H254" i="7"/>
  <c r="G254" i="7"/>
  <c r="F254" i="7"/>
  <c r="E254" i="7"/>
  <c r="D254" i="7"/>
  <c r="C254" i="7"/>
  <c r="B254" i="7"/>
  <c r="H253" i="7"/>
  <c r="G253" i="7"/>
  <c r="F253" i="7"/>
  <c r="E253" i="7"/>
  <c r="D253" i="7"/>
  <c r="C253" i="7"/>
  <c r="B253" i="7"/>
  <c r="H252" i="7"/>
  <c r="G252" i="7"/>
  <c r="F252" i="7"/>
  <c r="E252" i="7"/>
  <c r="D252" i="7"/>
  <c r="C252" i="7"/>
  <c r="B252" i="7"/>
  <c r="H251" i="7"/>
  <c r="G251" i="7"/>
  <c r="F251" i="7"/>
  <c r="E251" i="7"/>
  <c r="D251" i="7"/>
  <c r="C251" i="7"/>
  <c r="B251" i="7"/>
  <c r="H250" i="7"/>
  <c r="G250" i="7"/>
  <c r="F250" i="7"/>
  <c r="E250" i="7"/>
  <c r="D250" i="7"/>
  <c r="C250" i="7"/>
  <c r="B250" i="7"/>
  <c r="H249" i="7"/>
  <c r="G249" i="7"/>
  <c r="F249" i="7"/>
  <c r="E249" i="7"/>
  <c r="D249" i="7"/>
  <c r="C249" i="7"/>
  <c r="B249" i="7"/>
  <c r="H248" i="7"/>
  <c r="G248" i="7"/>
  <c r="F248" i="7"/>
  <c r="E248" i="7"/>
  <c r="D248" i="7"/>
  <c r="C248" i="7"/>
  <c r="B248" i="7"/>
  <c r="H247" i="7"/>
  <c r="G247" i="7"/>
  <c r="F247" i="7"/>
  <c r="E247" i="7"/>
  <c r="D247" i="7"/>
  <c r="C247" i="7"/>
  <c r="B247" i="7"/>
  <c r="H246" i="7"/>
  <c r="G246" i="7"/>
  <c r="F246" i="7"/>
  <c r="E246" i="7"/>
  <c r="D246" i="7"/>
  <c r="C246" i="7"/>
  <c r="B246" i="7"/>
  <c r="H245" i="7"/>
  <c r="G245" i="7"/>
  <c r="F245" i="7"/>
  <c r="E245" i="7"/>
  <c r="D245" i="7"/>
  <c r="C245" i="7"/>
  <c r="B245" i="7"/>
  <c r="H244" i="7"/>
  <c r="G244" i="7"/>
  <c r="F244" i="7"/>
  <c r="E244" i="7"/>
  <c r="D244" i="7"/>
  <c r="C244" i="7"/>
  <c r="B244" i="7"/>
  <c r="H243" i="7"/>
  <c r="G243" i="7"/>
  <c r="F243" i="7"/>
  <c r="E243" i="7"/>
  <c r="D243" i="7"/>
  <c r="C243" i="7"/>
  <c r="B243" i="7"/>
  <c r="H242" i="7"/>
  <c r="G242" i="7"/>
  <c r="F242" i="7"/>
  <c r="E242" i="7"/>
  <c r="D242" i="7"/>
  <c r="C242" i="7"/>
  <c r="B242" i="7"/>
  <c r="H241" i="7"/>
  <c r="G241" i="7"/>
  <c r="F241" i="7"/>
  <c r="E241" i="7"/>
  <c r="D241" i="7"/>
  <c r="C241" i="7"/>
  <c r="B241" i="7"/>
  <c r="H240" i="7"/>
  <c r="G240" i="7"/>
  <c r="F240" i="7"/>
  <c r="E240" i="7"/>
  <c r="D240" i="7"/>
  <c r="C240" i="7"/>
  <c r="B240" i="7"/>
  <c r="H239" i="7"/>
  <c r="G239" i="7"/>
  <c r="F239" i="7"/>
  <c r="E239" i="7"/>
  <c r="D239" i="7"/>
  <c r="C239" i="7"/>
  <c r="B239" i="7"/>
  <c r="H238" i="7"/>
  <c r="G238" i="7"/>
  <c r="F238" i="7"/>
  <c r="E238" i="7"/>
  <c r="D238" i="7"/>
  <c r="C238" i="7"/>
  <c r="B238" i="7"/>
  <c r="H237" i="7"/>
  <c r="G237" i="7"/>
  <c r="F237" i="7"/>
  <c r="E237" i="7"/>
  <c r="D237" i="7"/>
  <c r="C237" i="7"/>
  <c r="B237" i="7"/>
  <c r="H236" i="7"/>
  <c r="G236" i="7"/>
  <c r="F236" i="7"/>
  <c r="E236" i="7"/>
  <c r="D236" i="7"/>
  <c r="C236" i="7"/>
  <c r="B236" i="7"/>
  <c r="H235" i="7"/>
  <c r="G235" i="7"/>
  <c r="F235" i="7"/>
  <c r="E235" i="7"/>
  <c r="D235" i="7"/>
  <c r="C235" i="7"/>
  <c r="B235" i="7"/>
  <c r="H234" i="7"/>
  <c r="G234" i="7"/>
  <c r="F234" i="7"/>
  <c r="E234" i="7"/>
  <c r="D234" i="7"/>
  <c r="C234" i="7"/>
  <c r="B234" i="7"/>
  <c r="H233" i="7"/>
  <c r="G233" i="7"/>
  <c r="F233" i="7"/>
  <c r="E233" i="7"/>
  <c r="D233" i="7"/>
  <c r="C233" i="7"/>
  <c r="B233" i="7"/>
  <c r="H232" i="7"/>
  <c r="G232" i="7"/>
  <c r="F232" i="7"/>
  <c r="E232" i="7"/>
  <c r="D232" i="7"/>
  <c r="C232" i="7"/>
  <c r="B232" i="7"/>
  <c r="H231" i="7"/>
  <c r="G231" i="7"/>
  <c r="F231" i="7"/>
  <c r="E231" i="7"/>
  <c r="D231" i="7"/>
  <c r="C231" i="7"/>
  <c r="B231" i="7"/>
  <c r="H230" i="7"/>
  <c r="G230" i="7"/>
  <c r="F230" i="7"/>
  <c r="E230" i="7"/>
  <c r="D230" i="7"/>
  <c r="C230" i="7"/>
  <c r="B230" i="7"/>
  <c r="H229" i="7"/>
  <c r="G229" i="7"/>
  <c r="F229" i="7"/>
  <c r="E229" i="7"/>
  <c r="D229" i="7"/>
  <c r="C229" i="7"/>
  <c r="B229" i="7"/>
  <c r="H228" i="7"/>
  <c r="G228" i="7"/>
  <c r="F228" i="7"/>
  <c r="E228" i="7"/>
  <c r="D228" i="7"/>
  <c r="C228" i="7"/>
  <c r="B228" i="7"/>
  <c r="H227" i="7"/>
  <c r="G227" i="7"/>
  <c r="F227" i="7"/>
  <c r="E227" i="7"/>
  <c r="D227" i="7"/>
  <c r="C227" i="7"/>
  <c r="B227" i="7"/>
  <c r="H226" i="7"/>
  <c r="G226" i="7"/>
  <c r="F226" i="7"/>
  <c r="E226" i="7"/>
  <c r="D226" i="7"/>
  <c r="C226" i="7"/>
  <c r="B226" i="7"/>
  <c r="H225" i="7"/>
  <c r="G225" i="7"/>
  <c r="F225" i="7"/>
  <c r="E225" i="7"/>
  <c r="D225" i="7"/>
  <c r="C225" i="7"/>
  <c r="B225" i="7"/>
  <c r="H224" i="7"/>
  <c r="G224" i="7"/>
  <c r="F224" i="7"/>
  <c r="E224" i="7"/>
  <c r="D224" i="7"/>
  <c r="C224" i="7"/>
  <c r="B224" i="7"/>
  <c r="H223" i="7"/>
  <c r="G223" i="7"/>
  <c r="F223" i="7"/>
  <c r="E223" i="7"/>
  <c r="D223" i="7"/>
  <c r="C223" i="7"/>
  <c r="B223" i="7"/>
  <c r="H222" i="7"/>
  <c r="G222" i="7"/>
  <c r="F222" i="7"/>
  <c r="E222" i="7"/>
  <c r="D222" i="7"/>
  <c r="C222" i="7"/>
  <c r="B222" i="7"/>
  <c r="H221" i="7"/>
  <c r="G221" i="7"/>
  <c r="F221" i="7"/>
  <c r="E221" i="7"/>
  <c r="D221" i="7"/>
  <c r="C221" i="7"/>
  <c r="B221" i="7"/>
  <c r="H220" i="7"/>
  <c r="G220" i="7"/>
  <c r="F220" i="7"/>
  <c r="E220" i="7"/>
  <c r="D220" i="7"/>
  <c r="C220" i="7"/>
  <c r="B220" i="7"/>
  <c r="H219" i="7"/>
  <c r="G219" i="7"/>
  <c r="F219" i="7"/>
  <c r="E219" i="7"/>
  <c r="D219" i="7"/>
  <c r="C219" i="7"/>
  <c r="B219" i="7"/>
  <c r="H218" i="7"/>
  <c r="G218" i="7"/>
  <c r="F218" i="7"/>
  <c r="E218" i="7"/>
  <c r="D218" i="7"/>
  <c r="C218" i="7"/>
  <c r="B218" i="7"/>
  <c r="H217" i="7"/>
  <c r="G217" i="7"/>
  <c r="F217" i="7"/>
  <c r="E217" i="7"/>
  <c r="D217" i="7"/>
  <c r="C217" i="7"/>
  <c r="B217" i="7"/>
  <c r="H216" i="7"/>
  <c r="G216" i="7"/>
  <c r="F216" i="7"/>
  <c r="E216" i="7"/>
  <c r="D216" i="7"/>
  <c r="C216" i="7"/>
  <c r="B216" i="7"/>
  <c r="H215" i="7"/>
  <c r="G215" i="7"/>
  <c r="F215" i="7"/>
  <c r="E215" i="7"/>
  <c r="D215" i="7"/>
  <c r="C215" i="7"/>
  <c r="B215" i="7"/>
  <c r="H214" i="7"/>
  <c r="G214" i="7"/>
  <c r="F214" i="7"/>
  <c r="E214" i="7"/>
  <c r="D214" i="7"/>
  <c r="C214" i="7"/>
  <c r="B214" i="7"/>
  <c r="H213" i="7"/>
  <c r="G213" i="7"/>
  <c r="F213" i="7"/>
  <c r="E213" i="7"/>
  <c r="D213" i="7"/>
  <c r="C213" i="7"/>
  <c r="B213" i="7"/>
  <c r="H212" i="7"/>
  <c r="G212" i="7"/>
  <c r="F212" i="7"/>
  <c r="E212" i="7"/>
  <c r="D212" i="7"/>
  <c r="C212" i="7"/>
  <c r="B212" i="7"/>
  <c r="H211" i="7"/>
  <c r="G211" i="7"/>
  <c r="F211" i="7"/>
  <c r="E211" i="7"/>
  <c r="D211" i="7"/>
  <c r="C211" i="7"/>
  <c r="B211" i="7"/>
  <c r="H210" i="7"/>
  <c r="G210" i="7"/>
  <c r="F210" i="7"/>
  <c r="E210" i="7"/>
  <c r="D210" i="7"/>
  <c r="C210" i="7"/>
  <c r="B210" i="7"/>
  <c r="H209" i="7"/>
  <c r="G209" i="7"/>
  <c r="F209" i="7"/>
  <c r="E209" i="7"/>
  <c r="D209" i="7"/>
  <c r="C209" i="7"/>
  <c r="B209" i="7"/>
  <c r="H208" i="7"/>
  <c r="G208" i="7"/>
  <c r="F208" i="7"/>
  <c r="E208" i="7"/>
  <c r="D208" i="7"/>
  <c r="C208" i="7"/>
  <c r="B208" i="7"/>
  <c r="H207" i="7"/>
  <c r="G207" i="7"/>
  <c r="F207" i="7"/>
  <c r="E207" i="7"/>
  <c r="D207" i="7"/>
  <c r="C207" i="7"/>
  <c r="B207" i="7"/>
  <c r="H206" i="7"/>
  <c r="G206" i="7"/>
  <c r="F206" i="7"/>
  <c r="E206" i="7"/>
  <c r="D206" i="7"/>
  <c r="C206" i="7"/>
  <c r="B206" i="7"/>
  <c r="H205" i="7"/>
  <c r="G205" i="7"/>
  <c r="F205" i="7"/>
  <c r="E205" i="7"/>
  <c r="D205" i="7"/>
  <c r="C205" i="7"/>
  <c r="B205" i="7"/>
  <c r="H204" i="7"/>
  <c r="G204" i="7"/>
  <c r="F204" i="7"/>
  <c r="E204" i="7"/>
  <c r="D204" i="7"/>
  <c r="C204" i="7"/>
  <c r="B204" i="7"/>
  <c r="H203" i="7"/>
  <c r="G203" i="7"/>
  <c r="F203" i="7"/>
  <c r="E203" i="7"/>
  <c r="D203" i="7"/>
  <c r="C203" i="7"/>
  <c r="B203" i="7"/>
  <c r="H202" i="7"/>
  <c r="G202" i="7"/>
  <c r="F202" i="7"/>
  <c r="E202" i="7"/>
  <c r="D202" i="7"/>
  <c r="C202" i="7"/>
  <c r="B202" i="7"/>
  <c r="H201" i="7"/>
  <c r="G201" i="7"/>
  <c r="F201" i="7"/>
  <c r="E201" i="7"/>
  <c r="D201" i="7"/>
  <c r="C201" i="7"/>
  <c r="B201" i="7"/>
  <c r="H200" i="7"/>
  <c r="G200" i="7"/>
  <c r="F200" i="7"/>
  <c r="E200" i="7"/>
  <c r="D200" i="7"/>
  <c r="C200" i="7"/>
  <c r="B200" i="7"/>
  <c r="H199" i="7"/>
  <c r="G199" i="7"/>
  <c r="F199" i="7"/>
  <c r="E199" i="7"/>
  <c r="D199" i="7"/>
  <c r="C199" i="7"/>
  <c r="B199" i="7"/>
  <c r="H198" i="7"/>
  <c r="G198" i="7"/>
  <c r="F198" i="7"/>
  <c r="E198" i="7"/>
  <c r="D198" i="7"/>
  <c r="C198" i="7"/>
  <c r="B198" i="7"/>
  <c r="H197" i="7"/>
  <c r="G197" i="7"/>
  <c r="F197" i="7"/>
  <c r="E197" i="7"/>
  <c r="D197" i="7"/>
  <c r="C197" i="7"/>
  <c r="B197" i="7"/>
  <c r="H196" i="7"/>
  <c r="G196" i="7"/>
  <c r="F196" i="7"/>
  <c r="E196" i="7"/>
  <c r="D196" i="7"/>
  <c r="C196" i="7"/>
  <c r="B196" i="7"/>
  <c r="H195" i="7"/>
  <c r="G195" i="7"/>
  <c r="F195" i="7"/>
  <c r="E195" i="7"/>
  <c r="D195" i="7"/>
  <c r="C195" i="7"/>
  <c r="B195" i="7"/>
  <c r="H194" i="7"/>
  <c r="G194" i="7"/>
  <c r="F194" i="7"/>
  <c r="E194" i="7"/>
  <c r="D194" i="7"/>
  <c r="C194" i="7"/>
  <c r="B194" i="7"/>
  <c r="H193" i="7"/>
  <c r="G193" i="7"/>
  <c r="F193" i="7"/>
  <c r="E193" i="7"/>
  <c r="D193" i="7"/>
  <c r="C193" i="7"/>
  <c r="B193" i="7"/>
  <c r="H192" i="7"/>
  <c r="G192" i="7"/>
  <c r="F192" i="7"/>
  <c r="E192" i="7"/>
  <c r="D192" i="7"/>
  <c r="C192" i="7"/>
  <c r="B192" i="7"/>
  <c r="H191" i="7"/>
  <c r="G191" i="7"/>
  <c r="F191" i="7"/>
  <c r="E191" i="7"/>
  <c r="D191" i="7"/>
  <c r="C191" i="7"/>
  <c r="B191" i="7"/>
  <c r="H190" i="7"/>
  <c r="G190" i="7"/>
  <c r="F190" i="7"/>
  <c r="E190" i="7"/>
  <c r="D190" i="7"/>
  <c r="C190" i="7"/>
  <c r="B190" i="7"/>
  <c r="H189" i="7"/>
  <c r="G189" i="7"/>
  <c r="F189" i="7"/>
  <c r="E189" i="7"/>
  <c r="D189" i="7"/>
  <c r="C189" i="7"/>
  <c r="B189" i="7"/>
  <c r="H188" i="7"/>
  <c r="G188" i="7"/>
  <c r="F188" i="7"/>
  <c r="E188" i="7"/>
  <c r="D188" i="7"/>
  <c r="C188" i="7"/>
  <c r="B188" i="7"/>
  <c r="H187" i="7"/>
  <c r="G187" i="7"/>
  <c r="F187" i="7"/>
  <c r="E187" i="7"/>
  <c r="D187" i="7"/>
  <c r="C187" i="7"/>
  <c r="B187" i="7"/>
  <c r="H186" i="7"/>
  <c r="G186" i="7"/>
  <c r="F186" i="7"/>
  <c r="E186" i="7"/>
  <c r="D186" i="7"/>
  <c r="C186" i="7"/>
  <c r="B186" i="7"/>
  <c r="H185" i="7"/>
  <c r="G185" i="7"/>
  <c r="F185" i="7"/>
  <c r="E185" i="7"/>
  <c r="D185" i="7"/>
  <c r="C185" i="7"/>
  <c r="B185" i="7"/>
  <c r="H184" i="7"/>
  <c r="G184" i="7"/>
  <c r="F184" i="7"/>
  <c r="E184" i="7"/>
  <c r="D184" i="7"/>
  <c r="C184" i="7"/>
  <c r="B184" i="7"/>
  <c r="H183" i="7"/>
  <c r="G183" i="7"/>
  <c r="F183" i="7"/>
  <c r="E183" i="7"/>
  <c r="D183" i="7"/>
  <c r="C183" i="7"/>
  <c r="B183" i="7"/>
  <c r="H182" i="7"/>
  <c r="G182" i="7"/>
  <c r="F182" i="7"/>
  <c r="E182" i="7"/>
  <c r="D182" i="7"/>
  <c r="C182" i="7"/>
  <c r="B182" i="7"/>
  <c r="H181" i="7"/>
  <c r="G181" i="7"/>
  <c r="F181" i="7"/>
  <c r="E181" i="7"/>
  <c r="D181" i="7"/>
  <c r="C181" i="7"/>
  <c r="B181" i="7"/>
  <c r="H180" i="7"/>
  <c r="G180" i="7"/>
  <c r="F180" i="7"/>
  <c r="E180" i="7"/>
  <c r="D180" i="7"/>
  <c r="C180" i="7"/>
  <c r="B180" i="7"/>
  <c r="H179" i="7"/>
  <c r="G179" i="7"/>
  <c r="F179" i="7"/>
  <c r="E179" i="7"/>
  <c r="D179" i="7"/>
  <c r="C179" i="7"/>
  <c r="B179" i="7"/>
  <c r="H178" i="7"/>
  <c r="G178" i="7"/>
  <c r="F178" i="7"/>
  <c r="E178" i="7"/>
  <c r="D178" i="7"/>
  <c r="C178" i="7"/>
  <c r="B178" i="7"/>
  <c r="H177" i="7"/>
  <c r="G177" i="7"/>
  <c r="F177" i="7"/>
  <c r="E177" i="7"/>
  <c r="D177" i="7"/>
  <c r="C177" i="7"/>
  <c r="B177" i="7"/>
  <c r="H176" i="7"/>
  <c r="G176" i="7"/>
  <c r="F176" i="7"/>
  <c r="E176" i="7"/>
  <c r="D176" i="7"/>
  <c r="C176" i="7"/>
  <c r="B176" i="7"/>
  <c r="H175" i="7"/>
  <c r="G175" i="7"/>
  <c r="F175" i="7"/>
  <c r="E175" i="7"/>
  <c r="D175" i="7"/>
  <c r="C175" i="7"/>
  <c r="B175" i="7"/>
  <c r="H174" i="7"/>
  <c r="G174" i="7"/>
  <c r="F174" i="7"/>
  <c r="E174" i="7"/>
  <c r="D174" i="7"/>
  <c r="C174" i="7"/>
  <c r="B174" i="7"/>
  <c r="H173" i="7"/>
  <c r="G173" i="7"/>
  <c r="F173" i="7"/>
  <c r="E173" i="7"/>
  <c r="D173" i="7"/>
  <c r="C173" i="7"/>
  <c r="B173" i="7"/>
  <c r="H172" i="7"/>
  <c r="G172" i="7"/>
  <c r="F172" i="7"/>
  <c r="E172" i="7"/>
  <c r="D172" i="7"/>
  <c r="C172" i="7"/>
  <c r="B172" i="7"/>
  <c r="H171" i="7"/>
  <c r="G171" i="7"/>
  <c r="F171" i="7"/>
  <c r="E171" i="7"/>
  <c r="D171" i="7"/>
  <c r="C171" i="7"/>
  <c r="B171" i="7"/>
  <c r="H170" i="7"/>
  <c r="G170" i="7"/>
  <c r="F170" i="7"/>
  <c r="E170" i="7"/>
  <c r="D170" i="7"/>
  <c r="C170" i="7"/>
  <c r="B170" i="7"/>
  <c r="H169" i="7"/>
  <c r="G169" i="7"/>
  <c r="F169" i="7"/>
  <c r="E169" i="7"/>
  <c r="D169" i="7"/>
  <c r="C169" i="7"/>
  <c r="B169" i="7"/>
  <c r="H168" i="7"/>
  <c r="G168" i="7"/>
  <c r="F168" i="7"/>
  <c r="E168" i="7"/>
  <c r="D168" i="7"/>
  <c r="C168" i="7"/>
  <c r="B168" i="7"/>
  <c r="H167" i="7"/>
  <c r="G167" i="7"/>
  <c r="F167" i="7"/>
  <c r="E167" i="7"/>
  <c r="D167" i="7"/>
  <c r="C167" i="7"/>
  <c r="B167" i="7"/>
  <c r="H166" i="7"/>
  <c r="G166" i="7"/>
  <c r="F166" i="7"/>
  <c r="E166" i="7"/>
  <c r="D166" i="7"/>
  <c r="C166" i="7"/>
  <c r="B166" i="7"/>
  <c r="H165" i="7"/>
  <c r="G165" i="7"/>
  <c r="F165" i="7"/>
  <c r="E165" i="7"/>
  <c r="D165" i="7"/>
  <c r="C165" i="7"/>
  <c r="B165" i="7"/>
  <c r="H164" i="7"/>
  <c r="G164" i="7"/>
  <c r="F164" i="7"/>
  <c r="E164" i="7"/>
  <c r="D164" i="7"/>
  <c r="C164" i="7"/>
  <c r="B164" i="7"/>
  <c r="H163" i="7"/>
  <c r="G163" i="7"/>
  <c r="F163" i="7"/>
  <c r="E163" i="7"/>
  <c r="D163" i="7"/>
  <c r="C163" i="7"/>
  <c r="B163" i="7"/>
  <c r="H162" i="7"/>
  <c r="G162" i="7"/>
  <c r="F162" i="7"/>
  <c r="E162" i="7"/>
  <c r="D162" i="7"/>
  <c r="C162" i="7"/>
  <c r="B162" i="7"/>
  <c r="H161" i="7"/>
  <c r="G161" i="7"/>
  <c r="F161" i="7"/>
  <c r="E161" i="7"/>
  <c r="D161" i="7"/>
  <c r="C161" i="7"/>
  <c r="B161" i="7"/>
  <c r="H160" i="7"/>
  <c r="G160" i="7"/>
  <c r="F160" i="7"/>
  <c r="E160" i="7"/>
  <c r="D160" i="7"/>
  <c r="C160" i="7"/>
  <c r="B160" i="7"/>
  <c r="H159" i="7"/>
  <c r="G159" i="7"/>
  <c r="F159" i="7"/>
  <c r="E159" i="7"/>
  <c r="D159" i="7"/>
  <c r="C159" i="7"/>
  <c r="B159" i="7"/>
  <c r="H158" i="7"/>
  <c r="G158" i="7"/>
  <c r="F158" i="7"/>
  <c r="E158" i="7"/>
  <c r="D158" i="7"/>
  <c r="C158" i="7"/>
  <c r="B158" i="7"/>
  <c r="H157" i="7"/>
  <c r="G157" i="7"/>
  <c r="F157" i="7"/>
  <c r="E157" i="7"/>
  <c r="D157" i="7"/>
  <c r="C157" i="7"/>
  <c r="B157" i="7"/>
  <c r="H156" i="7"/>
  <c r="G156" i="7"/>
  <c r="F156" i="7"/>
  <c r="E156" i="7"/>
  <c r="D156" i="7"/>
  <c r="C156" i="7"/>
  <c r="B156" i="7"/>
  <c r="H155" i="7"/>
  <c r="G155" i="7"/>
  <c r="F155" i="7"/>
  <c r="E155" i="7"/>
  <c r="D155" i="7"/>
  <c r="C155" i="7"/>
  <c r="B155" i="7"/>
  <c r="H154" i="7"/>
  <c r="G154" i="7"/>
  <c r="F154" i="7"/>
  <c r="E154" i="7"/>
  <c r="D154" i="7"/>
  <c r="C154" i="7"/>
  <c r="B154" i="7"/>
  <c r="H153" i="7"/>
  <c r="G153" i="7"/>
  <c r="F153" i="7"/>
  <c r="E153" i="7"/>
  <c r="D153" i="7"/>
  <c r="C153" i="7"/>
  <c r="B153" i="7"/>
  <c r="H152" i="7"/>
  <c r="G152" i="7"/>
  <c r="F152" i="7"/>
  <c r="E152" i="7"/>
  <c r="D152" i="7"/>
  <c r="C152" i="7"/>
  <c r="B152" i="7"/>
  <c r="H151" i="7"/>
  <c r="G151" i="7"/>
  <c r="F151" i="7"/>
  <c r="E151" i="7"/>
  <c r="D151" i="7"/>
  <c r="C151" i="7"/>
  <c r="B151" i="7"/>
  <c r="H150" i="7"/>
  <c r="G150" i="7"/>
  <c r="F150" i="7"/>
  <c r="E150" i="7"/>
  <c r="D150" i="7"/>
  <c r="C150" i="7"/>
  <c r="B150" i="7"/>
  <c r="H149" i="7"/>
  <c r="G149" i="7"/>
  <c r="F149" i="7"/>
  <c r="E149" i="7"/>
  <c r="D149" i="7"/>
  <c r="C149" i="7"/>
  <c r="B149" i="7"/>
  <c r="H148" i="7"/>
  <c r="G148" i="7"/>
  <c r="F148" i="7"/>
  <c r="E148" i="7"/>
  <c r="D148" i="7"/>
  <c r="C148" i="7"/>
  <c r="B148" i="7"/>
  <c r="H147" i="7"/>
  <c r="G147" i="7"/>
  <c r="F147" i="7"/>
  <c r="E147" i="7"/>
  <c r="D147" i="7"/>
  <c r="C147" i="7"/>
  <c r="B147" i="7"/>
  <c r="H146" i="7"/>
  <c r="G146" i="7"/>
  <c r="F146" i="7"/>
  <c r="E146" i="7"/>
  <c r="D146" i="7"/>
  <c r="C146" i="7"/>
  <c r="B146" i="7"/>
  <c r="H145" i="7"/>
  <c r="G145" i="7"/>
  <c r="F145" i="7"/>
  <c r="E145" i="7"/>
  <c r="D145" i="7"/>
  <c r="C145" i="7"/>
  <c r="B145" i="7"/>
  <c r="H144" i="7"/>
  <c r="G144" i="7"/>
  <c r="F144" i="7"/>
  <c r="E144" i="7"/>
  <c r="D144" i="7"/>
  <c r="C144" i="7"/>
  <c r="B144" i="7"/>
  <c r="H143" i="7"/>
  <c r="G143" i="7"/>
  <c r="F143" i="7"/>
  <c r="E143" i="7"/>
  <c r="D143" i="7"/>
  <c r="C143" i="7"/>
  <c r="B143" i="7"/>
  <c r="H142" i="7"/>
  <c r="G142" i="7"/>
  <c r="F142" i="7"/>
  <c r="E142" i="7"/>
  <c r="D142" i="7"/>
  <c r="C142" i="7"/>
  <c r="B142" i="7"/>
  <c r="H141" i="7"/>
  <c r="G141" i="7"/>
  <c r="F141" i="7"/>
  <c r="E141" i="7"/>
  <c r="D141" i="7"/>
  <c r="C141" i="7"/>
  <c r="B141" i="7"/>
  <c r="H140" i="7"/>
  <c r="G140" i="7"/>
  <c r="F140" i="7"/>
  <c r="E140" i="7"/>
  <c r="D140" i="7"/>
  <c r="C140" i="7"/>
  <c r="B140" i="7"/>
  <c r="H139" i="7"/>
  <c r="G139" i="7"/>
  <c r="F139" i="7"/>
  <c r="E139" i="7"/>
  <c r="D139" i="7"/>
  <c r="C139" i="7"/>
  <c r="B139" i="7"/>
  <c r="H138" i="7"/>
  <c r="G138" i="7"/>
  <c r="F138" i="7"/>
  <c r="E138" i="7"/>
  <c r="D138" i="7"/>
  <c r="C138" i="7"/>
  <c r="B138" i="7"/>
  <c r="H137" i="7"/>
  <c r="G137" i="7"/>
  <c r="F137" i="7"/>
  <c r="E137" i="7"/>
  <c r="D137" i="7"/>
  <c r="C137" i="7"/>
  <c r="B137" i="7"/>
  <c r="H136" i="7"/>
  <c r="G136" i="7"/>
  <c r="F136" i="7"/>
  <c r="E136" i="7"/>
  <c r="D136" i="7"/>
  <c r="C136" i="7"/>
  <c r="B136" i="7"/>
  <c r="H135" i="7"/>
  <c r="G135" i="7"/>
  <c r="F135" i="7"/>
  <c r="E135" i="7"/>
  <c r="D135" i="7"/>
  <c r="C135" i="7"/>
  <c r="B135" i="7"/>
  <c r="H134" i="7"/>
  <c r="G134" i="7"/>
  <c r="F134" i="7"/>
  <c r="E134" i="7"/>
  <c r="D134" i="7"/>
  <c r="C134" i="7"/>
  <c r="B134" i="7"/>
  <c r="H133" i="7"/>
  <c r="G133" i="7"/>
  <c r="F133" i="7"/>
  <c r="E133" i="7"/>
  <c r="D133" i="7"/>
  <c r="C133" i="7"/>
  <c r="B133" i="7"/>
  <c r="H132" i="7"/>
  <c r="G132" i="7"/>
  <c r="F132" i="7"/>
  <c r="E132" i="7"/>
  <c r="D132" i="7"/>
  <c r="C132" i="7"/>
  <c r="B132" i="7"/>
  <c r="H131" i="7"/>
  <c r="G131" i="7"/>
  <c r="F131" i="7"/>
  <c r="E131" i="7"/>
  <c r="D131" i="7"/>
  <c r="C131" i="7"/>
  <c r="B131" i="7"/>
  <c r="H130" i="7"/>
  <c r="G130" i="7"/>
  <c r="F130" i="7"/>
  <c r="E130" i="7"/>
  <c r="D130" i="7"/>
  <c r="C130" i="7"/>
  <c r="B130" i="7"/>
  <c r="H129" i="7"/>
  <c r="G129" i="7"/>
  <c r="F129" i="7"/>
  <c r="E129" i="7"/>
  <c r="D129" i="7"/>
  <c r="C129" i="7"/>
  <c r="B129" i="7"/>
  <c r="H128" i="7"/>
  <c r="G128" i="7"/>
  <c r="F128" i="7"/>
  <c r="E128" i="7"/>
  <c r="D128" i="7"/>
  <c r="C128" i="7"/>
  <c r="B128" i="7"/>
  <c r="H127" i="7"/>
  <c r="G127" i="7"/>
  <c r="F127" i="7"/>
  <c r="E127" i="7"/>
  <c r="D127" i="7"/>
  <c r="C127" i="7"/>
  <c r="B127" i="7"/>
  <c r="H126" i="7"/>
  <c r="G126" i="7"/>
  <c r="F126" i="7"/>
  <c r="E126" i="7"/>
  <c r="D126" i="7"/>
  <c r="C126" i="7"/>
  <c r="B126" i="7"/>
  <c r="H125" i="7"/>
  <c r="G125" i="7"/>
  <c r="F125" i="7"/>
  <c r="E125" i="7"/>
  <c r="D125" i="7"/>
  <c r="C125" i="7"/>
  <c r="B125" i="7"/>
  <c r="H124" i="7"/>
  <c r="G124" i="7"/>
  <c r="F124" i="7"/>
  <c r="E124" i="7"/>
  <c r="D124" i="7"/>
  <c r="C124" i="7"/>
  <c r="B124" i="7"/>
  <c r="H123" i="7"/>
  <c r="G123" i="7"/>
  <c r="F123" i="7"/>
  <c r="E123" i="7"/>
  <c r="D123" i="7"/>
  <c r="C123" i="7"/>
  <c r="B123" i="7"/>
  <c r="H122" i="7"/>
  <c r="G122" i="7"/>
  <c r="F122" i="7"/>
  <c r="E122" i="7"/>
  <c r="D122" i="7"/>
  <c r="C122" i="7"/>
  <c r="B122" i="7"/>
  <c r="H121" i="7"/>
  <c r="G121" i="7"/>
  <c r="F121" i="7"/>
  <c r="E121" i="7"/>
  <c r="D121" i="7"/>
  <c r="C121" i="7"/>
  <c r="B121" i="7"/>
  <c r="H120" i="7"/>
  <c r="G120" i="7"/>
  <c r="F120" i="7"/>
  <c r="E120" i="7"/>
  <c r="D120" i="7"/>
  <c r="C120" i="7"/>
  <c r="B120" i="7"/>
  <c r="H119" i="7"/>
  <c r="G119" i="7"/>
  <c r="F119" i="7"/>
  <c r="E119" i="7"/>
  <c r="D119" i="7"/>
  <c r="C119" i="7"/>
  <c r="B119" i="7"/>
  <c r="H118" i="7"/>
  <c r="G118" i="7"/>
  <c r="F118" i="7"/>
  <c r="E118" i="7"/>
  <c r="D118" i="7"/>
  <c r="C118" i="7"/>
  <c r="B118" i="7"/>
  <c r="H117" i="7"/>
  <c r="G117" i="7"/>
  <c r="F117" i="7"/>
  <c r="E117" i="7"/>
  <c r="D117" i="7"/>
  <c r="C117" i="7"/>
  <c r="B117" i="7"/>
  <c r="H116" i="7"/>
  <c r="G116" i="7"/>
  <c r="F116" i="7"/>
  <c r="E116" i="7"/>
  <c r="D116" i="7"/>
  <c r="C116" i="7"/>
  <c r="B116" i="7"/>
  <c r="H115" i="7"/>
  <c r="G115" i="7"/>
  <c r="F115" i="7"/>
  <c r="E115" i="7"/>
  <c r="D115" i="7"/>
  <c r="C115" i="7"/>
  <c r="B115" i="7"/>
  <c r="H114" i="7"/>
  <c r="G114" i="7"/>
  <c r="F114" i="7"/>
  <c r="E114" i="7"/>
  <c r="D114" i="7"/>
  <c r="C114" i="7"/>
  <c r="B114" i="7"/>
  <c r="H113" i="7"/>
  <c r="G113" i="7"/>
  <c r="F113" i="7"/>
  <c r="E113" i="7"/>
  <c r="D113" i="7"/>
  <c r="C113" i="7"/>
  <c r="B113" i="7"/>
  <c r="H112" i="7"/>
  <c r="G112" i="7"/>
  <c r="F112" i="7"/>
  <c r="E112" i="7"/>
  <c r="D112" i="7"/>
  <c r="C112" i="7"/>
  <c r="B112" i="7"/>
  <c r="H111" i="7"/>
  <c r="G111" i="7"/>
  <c r="F111" i="7"/>
  <c r="E111" i="7"/>
  <c r="D111" i="7"/>
  <c r="C111" i="7"/>
  <c r="B111" i="7"/>
  <c r="H110" i="7"/>
  <c r="G110" i="7"/>
  <c r="F110" i="7"/>
  <c r="E110" i="7"/>
  <c r="D110" i="7"/>
  <c r="C110" i="7"/>
  <c r="B110" i="7"/>
  <c r="H109" i="7"/>
  <c r="G109" i="7"/>
  <c r="F109" i="7"/>
  <c r="E109" i="7"/>
  <c r="D109" i="7"/>
  <c r="C109" i="7"/>
  <c r="B109" i="7"/>
  <c r="H108" i="7"/>
  <c r="G108" i="7"/>
  <c r="F108" i="7"/>
  <c r="E108" i="7"/>
  <c r="D108" i="7"/>
  <c r="C108" i="7"/>
  <c r="B108" i="7"/>
  <c r="H107" i="7"/>
  <c r="G107" i="7"/>
  <c r="F107" i="7"/>
  <c r="E107" i="7"/>
  <c r="D107" i="7"/>
  <c r="C107" i="7"/>
  <c r="B107" i="7"/>
  <c r="H106" i="7"/>
  <c r="G106" i="7"/>
  <c r="F106" i="7"/>
  <c r="E106" i="7"/>
  <c r="D106" i="7"/>
  <c r="C106" i="7"/>
  <c r="B106" i="7"/>
  <c r="H105" i="7"/>
  <c r="G105" i="7"/>
  <c r="F105" i="7"/>
  <c r="E105" i="7"/>
  <c r="D105" i="7"/>
  <c r="C105" i="7"/>
  <c r="B105" i="7"/>
  <c r="H104" i="7"/>
  <c r="G104" i="7"/>
  <c r="F104" i="7"/>
  <c r="E104" i="7"/>
  <c r="D104" i="7"/>
  <c r="C104" i="7"/>
  <c r="B104" i="7"/>
  <c r="H103" i="7"/>
  <c r="G103" i="7"/>
  <c r="F103" i="7"/>
  <c r="E103" i="7"/>
  <c r="D103" i="7"/>
  <c r="C103" i="7"/>
  <c r="B103" i="7"/>
  <c r="H102" i="7"/>
  <c r="G102" i="7"/>
  <c r="F102" i="7"/>
  <c r="E102" i="7"/>
  <c r="D102" i="7"/>
  <c r="C102" i="7"/>
  <c r="B102" i="7"/>
  <c r="H101" i="7"/>
  <c r="G101" i="7"/>
  <c r="F101" i="7"/>
  <c r="E101" i="7"/>
  <c r="D101" i="7"/>
  <c r="C101" i="7"/>
  <c r="B101" i="7"/>
  <c r="H100" i="7"/>
  <c r="G100" i="7"/>
  <c r="F100" i="7"/>
  <c r="E100" i="7"/>
  <c r="D100" i="7"/>
  <c r="C100" i="7"/>
  <c r="B100" i="7"/>
  <c r="H99" i="7"/>
  <c r="G99" i="7"/>
  <c r="F99" i="7"/>
  <c r="E99" i="7"/>
  <c r="D99" i="7"/>
  <c r="C99" i="7"/>
  <c r="B99" i="7"/>
  <c r="H98" i="7"/>
  <c r="G98" i="7"/>
  <c r="F98" i="7"/>
  <c r="E98" i="7"/>
  <c r="D98" i="7"/>
  <c r="C98" i="7"/>
  <c r="B98" i="7"/>
  <c r="H97" i="7"/>
  <c r="G97" i="7"/>
  <c r="F97" i="7"/>
  <c r="E97" i="7"/>
  <c r="D97" i="7"/>
  <c r="C97" i="7"/>
  <c r="B97" i="7"/>
  <c r="H96" i="7"/>
  <c r="G96" i="7"/>
  <c r="F96" i="7"/>
  <c r="E96" i="7"/>
  <c r="D96" i="7"/>
  <c r="C96" i="7"/>
  <c r="B96" i="7"/>
  <c r="H95" i="7"/>
  <c r="G95" i="7"/>
  <c r="F95" i="7"/>
  <c r="E95" i="7"/>
  <c r="D95" i="7"/>
  <c r="C95" i="7"/>
  <c r="B95" i="7"/>
  <c r="H94" i="7"/>
  <c r="G94" i="7"/>
  <c r="F94" i="7"/>
  <c r="E94" i="7"/>
  <c r="D94" i="7"/>
  <c r="C94" i="7"/>
  <c r="B94" i="7"/>
  <c r="H93" i="7"/>
  <c r="G93" i="7"/>
  <c r="F93" i="7"/>
  <c r="E93" i="7"/>
  <c r="D93" i="7"/>
  <c r="C93" i="7"/>
  <c r="B93" i="7"/>
  <c r="H92" i="7"/>
  <c r="G92" i="7"/>
  <c r="F92" i="7"/>
  <c r="E92" i="7"/>
  <c r="D92" i="7"/>
  <c r="C92" i="7"/>
  <c r="B92" i="7"/>
  <c r="H91" i="7"/>
  <c r="G91" i="7"/>
  <c r="F91" i="7"/>
  <c r="E91" i="7"/>
  <c r="D91" i="7"/>
  <c r="C91" i="7"/>
  <c r="B91" i="7"/>
  <c r="H90" i="7"/>
  <c r="G90" i="7"/>
  <c r="F90" i="7"/>
  <c r="E90" i="7"/>
  <c r="D90" i="7"/>
  <c r="C90" i="7"/>
  <c r="B90" i="7"/>
  <c r="H89" i="7"/>
  <c r="G89" i="7"/>
  <c r="F89" i="7"/>
  <c r="E89" i="7"/>
  <c r="D89" i="7"/>
  <c r="C89" i="7"/>
  <c r="B89" i="7"/>
  <c r="H88" i="7"/>
  <c r="G88" i="7"/>
  <c r="F88" i="7"/>
  <c r="E88" i="7"/>
  <c r="D88" i="7"/>
  <c r="C88" i="7"/>
  <c r="B88" i="7"/>
  <c r="H87" i="7"/>
  <c r="G87" i="7"/>
  <c r="F87" i="7"/>
  <c r="E87" i="7"/>
  <c r="D87" i="7"/>
  <c r="C87" i="7"/>
  <c r="B87" i="7"/>
  <c r="H86" i="7"/>
  <c r="G86" i="7"/>
  <c r="F86" i="7"/>
  <c r="E86" i="7"/>
  <c r="D86" i="7"/>
  <c r="C86" i="7"/>
  <c r="B86" i="7"/>
  <c r="H85" i="7"/>
  <c r="G85" i="7"/>
  <c r="F85" i="7"/>
  <c r="E85" i="7"/>
  <c r="D85" i="7"/>
  <c r="C85" i="7"/>
  <c r="B85" i="7"/>
  <c r="H84" i="7"/>
  <c r="G84" i="7"/>
  <c r="F84" i="7"/>
  <c r="E84" i="7"/>
  <c r="D84" i="7"/>
  <c r="C84" i="7"/>
  <c r="B84" i="7"/>
  <c r="H83" i="7"/>
  <c r="G83" i="7"/>
  <c r="F83" i="7"/>
  <c r="E83" i="7"/>
  <c r="D83" i="7"/>
  <c r="C83" i="7"/>
  <c r="B83" i="7"/>
  <c r="H82" i="7"/>
  <c r="G82" i="7"/>
  <c r="F82" i="7"/>
  <c r="E82" i="7"/>
  <c r="D82" i="7"/>
  <c r="C82" i="7"/>
  <c r="B82" i="7"/>
  <c r="H81" i="7"/>
  <c r="G81" i="7"/>
  <c r="F81" i="7"/>
  <c r="E81" i="7"/>
  <c r="D81" i="7"/>
  <c r="C81" i="7"/>
  <c r="B81" i="7"/>
  <c r="H80" i="7"/>
  <c r="G80" i="7"/>
  <c r="F80" i="7"/>
  <c r="E80" i="7"/>
  <c r="D80" i="7"/>
  <c r="C80" i="7"/>
  <c r="B80" i="7"/>
  <c r="H79" i="7"/>
  <c r="G79" i="7"/>
  <c r="F79" i="7"/>
  <c r="E79" i="7"/>
  <c r="D79" i="7"/>
  <c r="C79" i="7"/>
  <c r="B79" i="7"/>
  <c r="H78" i="7"/>
  <c r="G78" i="7"/>
  <c r="F78" i="7"/>
  <c r="E78" i="7"/>
  <c r="D78" i="7"/>
  <c r="C78" i="7"/>
  <c r="B78" i="7"/>
  <c r="H77" i="7"/>
  <c r="G77" i="7"/>
  <c r="F77" i="7"/>
  <c r="E77" i="7"/>
  <c r="D77" i="7"/>
  <c r="C77" i="7"/>
  <c r="B77" i="7"/>
  <c r="H76" i="7"/>
  <c r="G76" i="7"/>
  <c r="F76" i="7"/>
  <c r="E76" i="7"/>
  <c r="D76" i="7"/>
  <c r="C76" i="7"/>
  <c r="B76" i="7"/>
  <c r="H75" i="7"/>
  <c r="G75" i="7"/>
  <c r="F75" i="7"/>
  <c r="E75" i="7"/>
  <c r="D75" i="7"/>
  <c r="C75" i="7"/>
  <c r="B75" i="7"/>
  <c r="H74" i="7"/>
  <c r="G74" i="7"/>
  <c r="F74" i="7"/>
  <c r="E74" i="7"/>
  <c r="D74" i="7"/>
  <c r="C74" i="7"/>
  <c r="B74" i="7"/>
  <c r="H73" i="7"/>
  <c r="G73" i="7"/>
  <c r="F73" i="7"/>
  <c r="E73" i="7"/>
  <c r="D73" i="7"/>
  <c r="C73" i="7"/>
  <c r="B73" i="7"/>
  <c r="H72" i="7"/>
  <c r="G72" i="7"/>
  <c r="F72" i="7"/>
  <c r="E72" i="7"/>
  <c r="D72" i="7"/>
  <c r="C72" i="7"/>
  <c r="B72" i="7"/>
  <c r="H71" i="7"/>
  <c r="G71" i="7"/>
  <c r="F71" i="7"/>
  <c r="E71" i="7"/>
  <c r="D71" i="7"/>
  <c r="C71" i="7"/>
  <c r="B71" i="7"/>
  <c r="H70" i="7"/>
  <c r="G70" i="7"/>
  <c r="F70" i="7"/>
  <c r="E70" i="7"/>
  <c r="D70" i="7"/>
  <c r="C70" i="7"/>
  <c r="B70" i="7"/>
  <c r="H69" i="7"/>
  <c r="G69" i="7"/>
  <c r="F69" i="7"/>
  <c r="E69" i="7"/>
  <c r="D69" i="7"/>
  <c r="C69" i="7"/>
  <c r="B69" i="7"/>
  <c r="H68" i="7"/>
  <c r="G68" i="7"/>
  <c r="F68" i="7"/>
  <c r="E68" i="7"/>
  <c r="D68" i="7"/>
  <c r="C68" i="7"/>
  <c r="B68" i="7"/>
  <c r="H67" i="7"/>
  <c r="G67" i="7"/>
  <c r="F67" i="7"/>
  <c r="E67" i="7"/>
  <c r="D67" i="7"/>
  <c r="C67" i="7"/>
  <c r="B67" i="7"/>
  <c r="H66" i="7"/>
  <c r="G66" i="7"/>
  <c r="F66" i="7"/>
  <c r="E66" i="7"/>
  <c r="D66" i="7"/>
  <c r="C66" i="7"/>
  <c r="B66" i="7"/>
  <c r="H65" i="7"/>
  <c r="G65" i="7"/>
  <c r="F65" i="7"/>
  <c r="E65" i="7"/>
  <c r="D65" i="7"/>
  <c r="C65" i="7"/>
  <c r="B65" i="7"/>
  <c r="H64" i="7"/>
  <c r="G64" i="7"/>
  <c r="F64" i="7"/>
  <c r="E64" i="7"/>
  <c r="D64" i="7"/>
  <c r="C64" i="7"/>
  <c r="B64" i="7"/>
  <c r="H63" i="7"/>
  <c r="G63" i="7"/>
  <c r="F63" i="7"/>
  <c r="E63" i="7"/>
  <c r="D63" i="7"/>
  <c r="C63" i="7"/>
  <c r="B63" i="7"/>
  <c r="H62" i="7"/>
  <c r="G62" i="7"/>
  <c r="F62" i="7"/>
  <c r="E62" i="7"/>
  <c r="D62" i="7"/>
  <c r="C62" i="7"/>
  <c r="B62" i="7"/>
  <c r="H61" i="7"/>
  <c r="G61" i="7"/>
  <c r="F61" i="7"/>
  <c r="E61" i="7"/>
  <c r="D61" i="7"/>
  <c r="C61" i="7"/>
  <c r="B61" i="7"/>
  <c r="H60" i="7"/>
  <c r="G60" i="7"/>
  <c r="F60" i="7"/>
  <c r="E60" i="7"/>
  <c r="D60" i="7"/>
  <c r="C60" i="7"/>
  <c r="B60" i="7"/>
  <c r="H59" i="7"/>
  <c r="G59" i="7"/>
  <c r="F59" i="7"/>
  <c r="E59" i="7"/>
  <c r="D59" i="7"/>
  <c r="C59" i="7"/>
  <c r="B59" i="7"/>
  <c r="H58" i="7"/>
  <c r="G58" i="7"/>
  <c r="F58" i="7"/>
  <c r="E58" i="7"/>
  <c r="D58" i="7"/>
  <c r="C58" i="7"/>
  <c r="B58" i="7"/>
  <c r="H57" i="7"/>
  <c r="G57" i="7"/>
  <c r="F57" i="7"/>
  <c r="E57" i="7"/>
  <c r="D57" i="7"/>
  <c r="C57" i="7"/>
  <c r="B57" i="7"/>
  <c r="H56" i="7"/>
  <c r="G56" i="7"/>
  <c r="F56" i="7"/>
  <c r="E56" i="7"/>
  <c r="D56" i="7"/>
  <c r="C56" i="7"/>
  <c r="B56" i="7"/>
  <c r="H55" i="7"/>
  <c r="G55" i="7"/>
  <c r="F55" i="7"/>
  <c r="E55" i="7"/>
  <c r="D55" i="7"/>
  <c r="C55" i="7"/>
  <c r="B55" i="7"/>
  <c r="H54" i="7"/>
  <c r="G54" i="7"/>
  <c r="F54" i="7"/>
  <c r="E54" i="7"/>
  <c r="D54" i="7"/>
  <c r="C54" i="7"/>
  <c r="B54" i="7"/>
  <c r="H53" i="7"/>
  <c r="G53" i="7"/>
  <c r="F53" i="7"/>
  <c r="E53" i="7"/>
  <c r="D53" i="7"/>
  <c r="C53" i="7"/>
  <c r="B53" i="7"/>
  <c r="H52" i="7"/>
  <c r="G52" i="7"/>
  <c r="F52" i="7"/>
  <c r="E52" i="7"/>
  <c r="D52" i="7"/>
  <c r="C52" i="7"/>
  <c r="B52" i="7"/>
  <c r="H51" i="7"/>
  <c r="G51" i="7"/>
  <c r="F51" i="7"/>
  <c r="E51" i="7"/>
  <c r="D51" i="7"/>
  <c r="C51" i="7"/>
  <c r="B51" i="7"/>
  <c r="H50" i="7"/>
  <c r="G50" i="7"/>
  <c r="F50" i="7"/>
  <c r="E50" i="7"/>
  <c r="D50" i="7"/>
  <c r="C50" i="7"/>
  <c r="B50" i="7"/>
  <c r="H49" i="7"/>
  <c r="G49" i="7"/>
  <c r="F49" i="7"/>
  <c r="E49" i="7"/>
  <c r="D49" i="7"/>
  <c r="C49" i="7"/>
  <c r="B49" i="7"/>
  <c r="H48" i="7"/>
  <c r="G48" i="7"/>
  <c r="F48" i="7"/>
  <c r="E48" i="7"/>
  <c r="D48" i="7"/>
  <c r="C48" i="7"/>
  <c r="B48" i="7"/>
  <c r="H47" i="7"/>
  <c r="G47" i="7"/>
  <c r="F47" i="7"/>
  <c r="E47" i="7"/>
  <c r="D47" i="7"/>
  <c r="C47" i="7"/>
  <c r="B47" i="7"/>
  <c r="H46" i="7"/>
  <c r="G46" i="7"/>
  <c r="F46" i="7"/>
  <c r="E46" i="7"/>
  <c r="D46" i="7"/>
  <c r="C46" i="7"/>
  <c r="B46" i="7"/>
  <c r="H45" i="7"/>
  <c r="G45" i="7"/>
  <c r="F45" i="7"/>
  <c r="E45" i="7"/>
  <c r="D45" i="7"/>
  <c r="C45" i="7"/>
  <c r="B45" i="7"/>
  <c r="H44" i="7"/>
  <c r="G44" i="7"/>
  <c r="F44" i="7"/>
  <c r="E44" i="7"/>
  <c r="D44" i="7"/>
  <c r="C44" i="7"/>
  <c r="B44" i="7"/>
  <c r="H43" i="7"/>
  <c r="G43" i="7"/>
  <c r="F43" i="7"/>
  <c r="E43" i="7"/>
  <c r="D43" i="7"/>
  <c r="C43" i="7"/>
  <c r="B43" i="7"/>
  <c r="H42" i="7"/>
  <c r="G42" i="7"/>
  <c r="F42" i="7"/>
  <c r="E42" i="7"/>
  <c r="D42" i="7"/>
  <c r="C42" i="7"/>
  <c r="B42" i="7"/>
  <c r="H41" i="7"/>
  <c r="G41" i="7"/>
  <c r="F41" i="7"/>
  <c r="E41" i="7"/>
  <c r="D41" i="7"/>
  <c r="C41" i="7"/>
  <c r="B41" i="7"/>
  <c r="H40" i="7"/>
  <c r="G40" i="7"/>
  <c r="F40" i="7"/>
  <c r="E40" i="7"/>
  <c r="D40" i="7"/>
  <c r="C40" i="7"/>
  <c r="B40" i="7"/>
  <c r="H39" i="7"/>
  <c r="G39" i="7"/>
  <c r="F39" i="7"/>
  <c r="E39" i="7"/>
  <c r="D39" i="7"/>
  <c r="C39" i="7"/>
  <c r="B39" i="7"/>
  <c r="H38" i="7"/>
  <c r="G38" i="7"/>
  <c r="F38" i="7"/>
  <c r="E38" i="7"/>
  <c r="D38" i="7"/>
  <c r="C38" i="7"/>
  <c r="B38" i="7"/>
  <c r="H37" i="7"/>
  <c r="G37" i="7"/>
  <c r="F37" i="7"/>
  <c r="E37" i="7"/>
  <c r="D37" i="7"/>
  <c r="C37" i="7"/>
  <c r="B37" i="7"/>
  <c r="H36" i="7"/>
  <c r="G36" i="7"/>
  <c r="F36" i="7"/>
  <c r="E36" i="7"/>
  <c r="D36" i="7"/>
  <c r="C36" i="7"/>
  <c r="B36" i="7"/>
  <c r="H35" i="7"/>
  <c r="G35" i="7"/>
  <c r="F35" i="7"/>
  <c r="E35" i="7"/>
  <c r="D35" i="7"/>
  <c r="C35" i="7"/>
  <c r="B35" i="7"/>
  <c r="H34" i="7"/>
  <c r="G34" i="7"/>
  <c r="F34" i="7"/>
  <c r="E34" i="7"/>
  <c r="D34" i="7"/>
  <c r="C34" i="7"/>
  <c r="B34" i="7"/>
  <c r="H33" i="7"/>
  <c r="G33" i="7"/>
  <c r="F33" i="7"/>
  <c r="E33" i="7"/>
  <c r="D33" i="7"/>
  <c r="C33" i="7"/>
  <c r="B33" i="7"/>
  <c r="H32" i="7"/>
  <c r="G32" i="7"/>
  <c r="F32" i="7"/>
  <c r="E32" i="7"/>
  <c r="D32" i="7"/>
  <c r="C32" i="7"/>
  <c r="B32" i="7"/>
  <c r="H31" i="7"/>
  <c r="G31" i="7"/>
  <c r="F31" i="7"/>
  <c r="E31" i="7"/>
  <c r="D31" i="7"/>
  <c r="C31" i="7"/>
  <c r="B31" i="7"/>
  <c r="H30" i="7"/>
  <c r="G30" i="7"/>
  <c r="F30" i="7"/>
  <c r="E30" i="7"/>
  <c r="D30" i="7"/>
  <c r="C30" i="7"/>
  <c r="B30" i="7"/>
  <c r="H29" i="7"/>
  <c r="G29" i="7"/>
  <c r="F29" i="7"/>
  <c r="E29" i="7"/>
  <c r="D29" i="7"/>
  <c r="C29" i="7"/>
  <c r="B29" i="7"/>
  <c r="H28" i="7"/>
  <c r="G28" i="7"/>
  <c r="F28" i="7"/>
  <c r="E28" i="7"/>
  <c r="D28" i="7"/>
  <c r="C28" i="7"/>
  <c r="B28" i="7"/>
  <c r="H27" i="7"/>
  <c r="G27" i="7"/>
  <c r="F27" i="7"/>
  <c r="E27" i="7"/>
  <c r="D27" i="7"/>
  <c r="C27" i="7"/>
  <c r="B27" i="7"/>
  <c r="H26" i="7"/>
  <c r="G26" i="7"/>
  <c r="F26" i="7"/>
  <c r="E26" i="7"/>
  <c r="D26" i="7"/>
  <c r="C26" i="7"/>
  <c r="B26" i="7"/>
  <c r="H25" i="7"/>
  <c r="G25" i="7"/>
  <c r="F25" i="7"/>
  <c r="E25" i="7"/>
  <c r="D25" i="7"/>
  <c r="C25" i="7"/>
  <c r="B25" i="7"/>
  <c r="H24" i="7"/>
  <c r="G24" i="7"/>
  <c r="F24" i="7"/>
  <c r="E24" i="7"/>
  <c r="D24" i="7"/>
  <c r="C24" i="7"/>
  <c r="B24" i="7"/>
  <c r="H23" i="7"/>
  <c r="G23" i="7"/>
  <c r="F23" i="7"/>
  <c r="E23" i="7"/>
  <c r="D23" i="7"/>
  <c r="C23" i="7"/>
  <c r="B23" i="7"/>
  <c r="H22" i="7"/>
  <c r="G22" i="7"/>
  <c r="F22" i="7"/>
  <c r="E22" i="7"/>
  <c r="D22" i="7"/>
  <c r="C22" i="7"/>
  <c r="B22" i="7"/>
  <c r="H21" i="7"/>
  <c r="G21" i="7"/>
  <c r="F21" i="7"/>
  <c r="E21" i="7"/>
  <c r="D21" i="7"/>
  <c r="C21" i="7"/>
  <c r="B21" i="7"/>
  <c r="H20" i="7"/>
  <c r="G20" i="7"/>
  <c r="F20" i="7"/>
  <c r="E20" i="7"/>
  <c r="D20" i="7"/>
  <c r="C20" i="7"/>
  <c r="B20" i="7"/>
  <c r="H19" i="7"/>
  <c r="G19" i="7"/>
  <c r="F19" i="7"/>
  <c r="E19" i="7"/>
  <c r="D19" i="7"/>
  <c r="C19" i="7"/>
  <c r="B19" i="7"/>
  <c r="H18" i="7"/>
  <c r="G18" i="7"/>
  <c r="F18" i="7"/>
  <c r="E18" i="7"/>
  <c r="D18" i="7"/>
  <c r="C18" i="7"/>
  <c r="B18" i="7"/>
  <c r="H17" i="7"/>
  <c r="G17" i="7"/>
  <c r="F17" i="7"/>
  <c r="E17" i="7"/>
  <c r="D17" i="7"/>
  <c r="C17" i="7"/>
  <c r="B17" i="7"/>
  <c r="H16" i="7"/>
  <c r="G16" i="7"/>
  <c r="F16" i="7"/>
  <c r="E16" i="7"/>
  <c r="D16" i="7"/>
  <c r="C16" i="7"/>
  <c r="B16" i="7"/>
  <c r="H15" i="7"/>
  <c r="G15" i="7"/>
  <c r="F15" i="7"/>
  <c r="E15" i="7"/>
  <c r="D15" i="7"/>
  <c r="C15" i="7"/>
  <c r="B15" i="7"/>
  <c r="H14" i="7"/>
  <c r="G14" i="7"/>
  <c r="F14" i="7"/>
  <c r="E14" i="7"/>
  <c r="D14" i="7"/>
  <c r="C14" i="7"/>
  <c r="B14" i="7"/>
  <c r="H13" i="7"/>
  <c r="G13" i="7"/>
  <c r="F13" i="7"/>
  <c r="E13" i="7"/>
  <c r="D13" i="7"/>
  <c r="C13" i="7"/>
  <c r="B13" i="7"/>
  <c r="H12" i="7"/>
  <c r="G12" i="7"/>
  <c r="F12" i="7"/>
  <c r="E12" i="7"/>
  <c r="D12" i="7"/>
  <c r="C12" i="7"/>
  <c r="B12" i="7"/>
  <c r="H11" i="7"/>
  <c r="G11" i="7"/>
  <c r="F11" i="7"/>
  <c r="E11" i="7"/>
  <c r="D11" i="7"/>
  <c r="C11" i="7"/>
  <c r="B11" i="7"/>
  <c r="H10" i="7"/>
  <c r="G10" i="7"/>
  <c r="F10" i="7"/>
  <c r="E10" i="7"/>
  <c r="D10" i="7"/>
  <c r="C10" i="7"/>
  <c r="B10" i="7"/>
  <c r="H7" i="7"/>
  <c r="H6" i="7" s="1"/>
  <c r="F9" i="11" s="1"/>
  <c r="H4" i="7"/>
  <c r="H369" i="6"/>
  <c r="G369" i="6"/>
  <c r="F369" i="6"/>
  <c r="E369" i="6"/>
  <c r="D369" i="6"/>
  <c r="C369" i="6"/>
  <c r="B369" i="6"/>
  <c r="H368" i="6"/>
  <c r="G368" i="6"/>
  <c r="F368" i="6"/>
  <c r="E368" i="6"/>
  <c r="D368" i="6"/>
  <c r="C368" i="6"/>
  <c r="B368" i="6"/>
  <c r="H367" i="6"/>
  <c r="G367" i="6"/>
  <c r="F367" i="6"/>
  <c r="E367" i="6"/>
  <c r="D367" i="6"/>
  <c r="C367" i="6"/>
  <c r="B367" i="6"/>
  <c r="H366" i="6"/>
  <c r="G366" i="6"/>
  <c r="F366" i="6"/>
  <c r="E366" i="6"/>
  <c r="D366" i="6"/>
  <c r="C366" i="6"/>
  <c r="B366" i="6"/>
  <c r="H365" i="6"/>
  <c r="G365" i="6"/>
  <c r="F365" i="6"/>
  <c r="E365" i="6"/>
  <c r="D365" i="6"/>
  <c r="C365" i="6"/>
  <c r="B365" i="6"/>
  <c r="H364" i="6"/>
  <c r="G364" i="6"/>
  <c r="F364" i="6"/>
  <c r="E364" i="6"/>
  <c r="D364" i="6"/>
  <c r="C364" i="6"/>
  <c r="B364" i="6"/>
  <c r="H363" i="6"/>
  <c r="G363" i="6"/>
  <c r="F363" i="6"/>
  <c r="E363" i="6"/>
  <c r="D363" i="6"/>
  <c r="C363" i="6"/>
  <c r="B363" i="6"/>
  <c r="H362" i="6"/>
  <c r="G362" i="6"/>
  <c r="F362" i="6"/>
  <c r="E362" i="6"/>
  <c r="D362" i="6"/>
  <c r="C362" i="6"/>
  <c r="B362" i="6"/>
  <c r="H361" i="6"/>
  <c r="G361" i="6"/>
  <c r="F361" i="6"/>
  <c r="E361" i="6"/>
  <c r="D361" i="6"/>
  <c r="C361" i="6"/>
  <c r="B361" i="6"/>
  <c r="H360" i="6"/>
  <c r="G360" i="6"/>
  <c r="F360" i="6"/>
  <c r="E360" i="6"/>
  <c r="D360" i="6"/>
  <c r="C360" i="6"/>
  <c r="B360" i="6"/>
  <c r="H359" i="6"/>
  <c r="G359" i="6"/>
  <c r="F359" i="6"/>
  <c r="E359" i="6"/>
  <c r="D359" i="6"/>
  <c r="C359" i="6"/>
  <c r="B359" i="6"/>
  <c r="H358" i="6"/>
  <c r="G358" i="6"/>
  <c r="F358" i="6"/>
  <c r="E358" i="6"/>
  <c r="D358" i="6"/>
  <c r="C358" i="6"/>
  <c r="B358" i="6"/>
  <c r="H357" i="6"/>
  <c r="G357" i="6"/>
  <c r="F357" i="6"/>
  <c r="E357" i="6"/>
  <c r="D357" i="6"/>
  <c r="C357" i="6"/>
  <c r="B357" i="6"/>
  <c r="H356" i="6"/>
  <c r="G356" i="6"/>
  <c r="F356" i="6"/>
  <c r="E356" i="6"/>
  <c r="D356" i="6"/>
  <c r="C356" i="6"/>
  <c r="B356" i="6"/>
  <c r="H355" i="6"/>
  <c r="G355" i="6"/>
  <c r="F355" i="6"/>
  <c r="E355" i="6"/>
  <c r="D355" i="6"/>
  <c r="C355" i="6"/>
  <c r="B355" i="6"/>
  <c r="H354" i="6"/>
  <c r="G354" i="6"/>
  <c r="F354" i="6"/>
  <c r="E354" i="6"/>
  <c r="D354" i="6"/>
  <c r="C354" i="6"/>
  <c r="B354" i="6"/>
  <c r="H353" i="6"/>
  <c r="G353" i="6"/>
  <c r="F353" i="6"/>
  <c r="E353" i="6"/>
  <c r="D353" i="6"/>
  <c r="C353" i="6"/>
  <c r="B353" i="6"/>
  <c r="H352" i="6"/>
  <c r="G352" i="6"/>
  <c r="F352" i="6"/>
  <c r="E352" i="6"/>
  <c r="D352" i="6"/>
  <c r="C352" i="6"/>
  <c r="B352" i="6"/>
  <c r="H351" i="6"/>
  <c r="G351" i="6"/>
  <c r="F351" i="6"/>
  <c r="E351" i="6"/>
  <c r="D351" i="6"/>
  <c r="C351" i="6"/>
  <c r="B351" i="6"/>
  <c r="H350" i="6"/>
  <c r="G350" i="6"/>
  <c r="F350" i="6"/>
  <c r="E350" i="6"/>
  <c r="D350" i="6"/>
  <c r="C350" i="6"/>
  <c r="B350" i="6"/>
  <c r="H349" i="6"/>
  <c r="G349" i="6"/>
  <c r="F349" i="6"/>
  <c r="E349" i="6"/>
  <c r="D349" i="6"/>
  <c r="C349" i="6"/>
  <c r="B349" i="6"/>
  <c r="H348" i="6"/>
  <c r="G348" i="6"/>
  <c r="F348" i="6"/>
  <c r="E348" i="6"/>
  <c r="D348" i="6"/>
  <c r="C348" i="6"/>
  <c r="B348" i="6"/>
  <c r="H347" i="6"/>
  <c r="G347" i="6"/>
  <c r="F347" i="6"/>
  <c r="E347" i="6"/>
  <c r="D347" i="6"/>
  <c r="C347" i="6"/>
  <c r="B347" i="6"/>
  <c r="H346" i="6"/>
  <c r="G346" i="6"/>
  <c r="F346" i="6"/>
  <c r="E346" i="6"/>
  <c r="D346" i="6"/>
  <c r="C346" i="6"/>
  <c r="B346" i="6"/>
  <c r="H345" i="6"/>
  <c r="G345" i="6"/>
  <c r="F345" i="6"/>
  <c r="E345" i="6"/>
  <c r="D345" i="6"/>
  <c r="C345" i="6"/>
  <c r="B345" i="6"/>
  <c r="H344" i="6"/>
  <c r="G344" i="6"/>
  <c r="F344" i="6"/>
  <c r="E344" i="6"/>
  <c r="D344" i="6"/>
  <c r="C344" i="6"/>
  <c r="B344" i="6"/>
  <c r="H343" i="6"/>
  <c r="G343" i="6"/>
  <c r="F343" i="6"/>
  <c r="E343" i="6"/>
  <c r="D343" i="6"/>
  <c r="C343" i="6"/>
  <c r="B343" i="6"/>
  <c r="H342" i="6"/>
  <c r="G342" i="6"/>
  <c r="F342" i="6"/>
  <c r="E342" i="6"/>
  <c r="D342" i="6"/>
  <c r="C342" i="6"/>
  <c r="B342" i="6"/>
  <c r="H341" i="6"/>
  <c r="G341" i="6"/>
  <c r="F341" i="6"/>
  <c r="E341" i="6"/>
  <c r="D341" i="6"/>
  <c r="C341" i="6"/>
  <c r="B341" i="6"/>
  <c r="H340" i="6"/>
  <c r="G340" i="6"/>
  <c r="F340" i="6"/>
  <c r="E340" i="6"/>
  <c r="D340" i="6"/>
  <c r="C340" i="6"/>
  <c r="B340" i="6"/>
  <c r="H339" i="6"/>
  <c r="G339" i="6"/>
  <c r="F339" i="6"/>
  <c r="E339" i="6"/>
  <c r="D339" i="6"/>
  <c r="C339" i="6"/>
  <c r="B339" i="6"/>
  <c r="H338" i="6"/>
  <c r="G338" i="6"/>
  <c r="F338" i="6"/>
  <c r="E338" i="6"/>
  <c r="D338" i="6"/>
  <c r="C338" i="6"/>
  <c r="B338" i="6"/>
  <c r="H337" i="6"/>
  <c r="G337" i="6"/>
  <c r="F337" i="6"/>
  <c r="E337" i="6"/>
  <c r="D337" i="6"/>
  <c r="C337" i="6"/>
  <c r="B337" i="6"/>
  <c r="H336" i="6"/>
  <c r="G336" i="6"/>
  <c r="F336" i="6"/>
  <c r="E336" i="6"/>
  <c r="D336" i="6"/>
  <c r="C336" i="6"/>
  <c r="B336" i="6"/>
  <c r="H335" i="6"/>
  <c r="G335" i="6"/>
  <c r="F335" i="6"/>
  <c r="E335" i="6"/>
  <c r="D335" i="6"/>
  <c r="C335" i="6"/>
  <c r="B335" i="6"/>
  <c r="H334" i="6"/>
  <c r="G334" i="6"/>
  <c r="F334" i="6"/>
  <c r="E334" i="6"/>
  <c r="D334" i="6"/>
  <c r="C334" i="6"/>
  <c r="B334" i="6"/>
  <c r="H333" i="6"/>
  <c r="G333" i="6"/>
  <c r="F333" i="6"/>
  <c r="E333" i="6"/>
  <c r="D333" i="6"/>
  <c r="C333" i="6"/>
  <c r="B333" i="6"/>
  <c r="H332" i="6"/>
  <c r="G332" i="6"/>
  <c r="F332" i="6"/>
  <c r="E332" i="6"/>
  <c r="D332" i="6"/>
  <c r="C332" i="6"/>
  <c r="B332" i="6"/>
  <c r="H331" i="6"/>
  <c r="G331" i="6"/>
  <c r="F331" i="6"/>
  <c r="E331" i="6"/>
  <c r="D331" i="6"/>
  <c r="C331" i="6"/>
  <c r="B331" i="6"/>
  <c r="H330" i="6"/>
  <c r="G330" i="6"/>
  <c r="F330" i="6"/>
  <c r="E330" i="6"/>
  <c r="D330" i="6"/>
  <c r="C330" i="6"/>
  <c r="B330" i="6"/>
  <c r="H329" i="6"/>
  <c r="G329" i="6"/>
  <c r="F329" i="6"/>
  <c r="E329" i="6"/>
  <c r="D329" i="6"/>
  <c r="C329" i="6"/>
  <c r="B329" i="6"/>
  <c r="H328" i="6"/>
  <c r="G328" i="6"/>
  <c r="F328" i="6"/>
  <c r="E328" i="6"/>
  <c r="D328" i="6"/>
  <c r="C328" i="6"/>
  <c r="B328" i="6"/>
  <c r="H327" i="6"/>
  <c r="G327" i="6"/>
  <c r="F327" i="6"/>
  <c r="E327" i="6"/>
  <c r="D327" i="6"/>
  <c r="C327" i="6"/>
  <c r="B327" i="6"/>
  <c r="H326" i="6"/>
  <c r="G326" i="6"/>
  <c r="F326" i="6"/>
  <c r="E326" i="6"/>
  <c r="D326" i="6"/>
  <c r="C326" i="6"/>
  <c r="B326" i="6"/>
  <c r="H325" i="6"/>
  <c r="G325" i="6"/>
  <c r="F325" i="6"/>
  <c r="E325" i="6"/>
  <c r="D325" i="6"/>
  <c r="C325" i="6"/>
  <c r="B325" i="6"/>
  <c r="H324" i="6"/>
  <c r="G324" i="6"/>
  <c r="F324" i="6"/>
  <c r="E324" i="6"/>
  <c r="D324" i="6"/>
  <c r="C324" i="6"/>
  <c r="B324" i="6"/>
  <c r="H323" i="6"/>
  <c r="G323" i="6"/>
  <c r="F323" i="6"/>
  <c r="E323" i="6"/>
  <c r="D323" i="6"/>
  <c r="C323" i="6"/>
  <c r="B323" i="6"/>
  <c r="H322" i="6"/>
  <c r="G322" i="6"/>
  <c r="F322" i="6"/>
  <c r="E322" i="6"/>
  <c r="D322" i="6"/>
  <c r="C322" i="6"/>
  <c r="B322" i="6"/>
  <c r="H321" i="6"/>
  <c r="G321" i="6"/>
  <c r="F321" i="6"/>
  <c r="E321" i="6"/>
  <c r="D321" i="6"/>
  <c r="C321" i="6"/>
  <c r="B321" i="6"/>
  <c r="H320" i="6"/>
  <c r="G320" i="6"/>
  <c r="F320" i="6"/>
  <c r="E320" i="6"/>
  <c r="D320" i="6"/>
  <c r="C320" i="6"/>
  <c r="B320" i="6"/>
  <c r="H319" i="6"/>
  <c r="G319" i="6"/>
  <c r="F319" i="6"/>
  <c r="E319" i="6"/>
  <c r="D319" i="6"/>
  <c r="C319" i="6"/>
  <c r="B319" i="6"/>
  <c r="H318" i="6"/>
  <c r="G318" i="6"/>
  <c r="F318" i="6"/>
  <c r="E318" i="6"/>
  <c r="D318" i="6"/>
  <c r="C318" i="6"/>
  <c r="B318" i="6"/>
  <c r="H317" i="6"/>
  <c r="G317" i="6"/>
  <c r="F317" i="6"/>
  <c r="E317" i="6"/>
  <c r="D317" i="6"/>
  <c r="C317" i="6"/>
  <c r="B317" i="6"/>
  <c r="H316" i="6"/>
  <c r="G316" i="6"/>
  <c r="F316" i="6"/>
  <c r="E316" i="6"/>
  <c r="D316" i="6"/>
  <c r="C316" i="6"/>
  <c r="B316" i="6"/>
  <c r="H315" i="6"/>
  <c r="G315" i="6"/>
  <c r="F315" i="6"/>
  <c r="E315" i="6"/>
  <c r="D315" i="6"/>
  <c r="C315" i="6"/>
  <c r="B315" i="6"/>
  <c r="H314" i="6"/>
  <c r="G314" i="6"/>
  <c r="F314" i="6"/>
  <c r="E314" i="6"/>
  <c r="D314" i="6"/>
  <c r="C314" i="6"/>
  <c r="B314" i="6"/>
  <c r="H313" i="6"/>
  <c r="G313" i="6"/>
  <c r="F313" i="6"/>
  <c r="E313" i="6"/>
  <c r="D313" i="6"/>
  <c r="C313" i="6"/>
  <c r="B313" i="6"/>
  <c r="H312" i="6"/>
  <c r="G312" i="6"/>
  <c r="F312" i="6"/>
  <c r="E312" i="6"/>
  <c r="D312" i="6"/>
  <c r="C312" i="6"/>
  <c r="B312" i="6"/>
  <c r="H311" i="6"/>
  <c r="G311" i="6"/>
  <c r="F311" i="6"/>
  <c r="E311" i="6"/>
  <c r="D311" i="6"/>
  <c r="C311" i="6"/>
  <c r="B311" i="6"/>
  <c r="H310" i="6"/>
  <c r="G310" i="6"/>
  <c r="F310" i="6"/>
  <c r="E310" i="6"/>
  <c r="D310" i="6"/>
  <c r="C310" i="6"/>
  <c r="B310" i="6"/>
  <c r="H309" i="6"/>
  <c r="G309" i="6"/>
  <c r="F309" i="6"/>
  <c r="E309" i="6"/>
  <c r="D309" i="6"/>
  <c r="C309" i="6"/>
  <c r="B309" i="6"/>
  <c r="H308" i="6"/>
  <c r="G308" i="6"/>
  <c r="F308" i="6"/>
  <c r="E308" i="6"/>
  <c r="D308" i="6"/>
  <c r="C308" i="6"/>
  <c r="B308" i="6"/>
  <c r="H307" i="6"/>
  <c r="G307" i="6"/>
  <c r="F307" i="6"/>
  <c r="E307" i="6"/>
  <c r="D307" i="6"/>
  <c r="C307" i="6"/>
  <c r="B307" i="6"/>
  <c r="H306" i="6"/>
  <c r="G306" i="6"/>
  <c r="F306" i="6"/>
  <c r="E306" i="6"/>
  <c r="D306" i="6"/>
  <c r="C306" i="6"/>
  <c r="B306" i="6"/>
  <c r="H305" i="6"/>
  <c r="G305" i="6"/>
  <c r="F305" i="6"/>
  <c r="E305" i="6"/>
  <c r="D305" i="6"/>
  <c r="C305" i="6"/>
  <c r="B305" i="6"/>
  <c r="H304" i="6"/>
  <c r="G304" i="6"/>
  <c r="F304" i="6"/>
  <c r="E304" i="6"/>
  <c r="D304" i="6"/>
  <c r="C304" i="6"/>
  <c r="B304" i="6"/>
  <c r="H303" i="6"/>
  <c r="G303" i="6"/>
  <c r="F303" i="6"/>
  <c r="E303" i="6"/>
  <c r="D303" i="6"/>
  <c r="C303" i="6"/>
  <c r="B303" i="6"/>
  <c r="H302" i="6"/>
  <c r="G302" i="6"/>
  <c r="F302" i="6"/>
  <c r="E302" i="6"/>
  <c r="D302" i="6"/>
  <c r="C302" i="6"/>
  <c r="B302" i="6"/>
  <c r="H301" i="6"/>
  <c r="G301" i="6"/>
  <c r="F301" i="6"/>
  <c r="E301" i="6"/>
  <c r="D301" i="6"/>
  <c r="C301" i="6"/>
  <c r="B301" i="6"/>
  <c r="H300" i="6"/>
  <c r="G300" i="6"/>
  <c r="F300" i="6"/>
  <c r="E300" i="6"/>
  <c r="D300" i="6"/>
  <c r="C300" i="6"/>
  <c r="B300" i="6"/>
  <c r="H299" i="6"/>
  <c r="G299" i="6"/>
  <c r="F299" i="6"/>
  <c r="E299" i="6"/>
  <c r="D299" i="6"/>
  <c r="C299" i="6"/>
  <c r="B299" i="6"/>
  <c r="H298" i="6"/>
  <c r="G298" i="6"/>
  <c r="F298" i="6"/>
  <c r="E298" i="6"/>
  <c r="D298" i="6"/>
  <c r="C298" i="6"/>
  <c r="B298" i="6"/>
  <c r="H297" i="6"/>
  <c r="G297" i="6"/>
  <c r="F297" i="6"/>
  <c r="E297" i="6"/>
  <c r="D297" i="6"/>
  <c r="C297" i="6"/>
  <c r="B297" i="6"/>
  <c r="H296" i="6"/>
  <c r="G296" i="6"/>
  <c r="F296" i="6"/>
  <c r="E296" i="6"/>
  <c r="D296" i="6"/>
  <c r="C296" i="6"/>
  <c r="B296" i="6"/>
  <c r="H295" i="6"/>
  <c r="G295" i="6"/>
  <c r="F295" i="6"/>
  <c r="E295" i="6"/>
  <c r="D295" i="6"/>
  <c r="C295" i="6"/>
  <c r="B295" i="6"/>
  <c r="H294" i="6"/>
  <c r="G294" i="6"/>
  <c r="F294" i="6"/>
  <c r="E294" i="6"/>
  <c r="D294" i="6"/>
  <c r="C294" i="6"/>
  <c r="B294" i="6"/>
  <c r="H293" i="6"/>
  <c r="G293" i="6"/>
  <c r="F293" i="6"/>
  <c r="E293" i="6"/>
  <c r="D293" i="6"/>
  <c r="C293" i="6"/>
  <c r="B293" i="6"/>
  <c r="H292" i="6"/>
  <c r="G292" i="6"/>
  <c r="F292" i="6"/>
  <c r="E292" i="6"/>
  <c r="D292" i="6"/>
  <c r="C292" i="6"/>
  <c r="B292" i="6"/>
  <c r="H291" i="6"/>
  <c r="G291" i="6"/>
  <c r="F291" i="6"/>
  <c r="E291" i="6"/>
  <c r="D291" i="6"/>
  <c r="C291" i="6"/>
  <c r="B291" i="6"/>
  <c r="H290" i="6"/>
  <c r="G290" i="6"/>
  <c r="F290" i="6"/>
  <c r="E290" i="6"/>
  <c r="D290" i="6"/>
  <c r="C290" i="6"/>
  <c r="B290" i="6"/>
  <c r="H289" i="6"/>
  <c r="G289" i="6"/>
  <c r="F289" i="6"/>
  <c r="E289" i="6"/>
  <c r="D289" i="6"/>
  <c r="C289" i="6"/>
  <c r="B289" i="6"/>
  <c r="H288" i="6"/>
  <c r="G288" i="6"/>
  <c r="F288" i="6"/>
  <c r="E288" i="6"/>
  <c r="D288" i="6"/>
  <c r="C288" i="6"/>
  <c r="B288" i="6"/>
  <c r="H287" i="6"/>
  <c r="G287" i="6"/>
  <c r="F287" i="6"/>
  <c r="E287" i="6"/>
  <c r="D287" i="6"/>
  <c r="C287" i="6"/>
  <c r="B287" i="6"/>
  <c r="H286" i="6"/>
  <c r="G286" i="6"/>
  <c r="F286" i="6"/>
  <c r="E286" i="6"/>
  <c r="D286" i="6"/>
  <c r="C286" i="6"/>
  <c r="B286" i="6"/>
  <c r="H285" i="6"/>
  <c r="G285" i="6"/>
  <c r="F285" i="6"/>
  <c r="E285" i="6"/>
  <c r="D285" i="6"/>
  <c r="C285" i="6"/>
  <c r="B285" i="6"/>
  <c r="H284" i="6"/>
  <c r="G284" i="6"/>
  <c r="F284" i="6"/>
  <c r="E284" i="6"/>
  <c r="D284" i="6"/>
  <c r="C284" i="6"/>
  <c r="B284" i="6"/>
  <c r="H283" i="6"/>
  <c r="G283" i="6"/>
  <c r="F283" i="6"/>
  <c r="E283" i="6"/>
  <c r="D283" i="6"/>
  <c r="C283" i="6"/>
  <c r="B283" i="6"/>
  <c r="H282" i="6"/>
  <c r="G282" i="6"/>
  <c r="F282" i="6"/>
  <c r="E282" i="6"/>
  <c r="D282" i="6"/>
  <c r="C282" i="6"/>
  <c r="B282" i="6"/>
  <c r="H281" i="6"/>
  <c r="G281" i="6"/>
  <c r="F281" i="6"/>
  <c r="E281" i="6"/>
  <c r="D281" i="6"/>
  <c r="C281" i="6"/>
  <c r="B281" i="6"/>
  <c r="H280" i="6"/>
  <c r="G280" i="6"/>
  <c r="F280" i="6"/>
  <c r="E280" i="6"/>
  <c r="D280" i="6"/>
  <c r="C280" i="6"/>
  <c r="B280" i="6"/>
  <c r="H279" i="6"/>
  <c r="G279" i="6"/>
  <c r="F279" i="6"/>
  <c r="E279" i="6"/>
  <c r="D279" i="6"/>
  <c r="C279" i="6"/>
  <c r="B279" i="6"/>
  <c r="H278" i="6"/>
  <c r="G278" i="6"/>
  <c r="F278" i="6"/>
  <c r="E278" i="6"/>
  <c r="D278" i="6"/>
  <c r="C278" i="6"/>
  <c r="B278" i="6"/>
  <c r="H277" i="6"/>
  <c r="G277" i="6"/>
  <c r="F277" i="6"/>
  <c r="E277" i="6"/>
  <c r="D277" i="6"/>
  <c r="C277" i="6"/>
  <c r="B277" i="6"/>
  <c r="H276" i="6"/>
  <c r="G276" i="6"/>
  <c r="F276" i="6"/>
  <c r="E276" i="6"/>
  <c r="D276" i="6"/>
  <c r="C276" i="6"/>
  <c r="B276" i="6"/>
  <c r="H275" i="6"/>
  <c r="G275" i="6"/>
  <c r="F275" i="6"/>
  <c r="E275" i="6"/>
  <c r="D275" i="6"/>
  <c r="C275" i="6"/>
  <c r="B275" i="6"/>
  <c r="H274" i="6"/>
  <c r="G274" i="6"/>
  <c r="F274" i="6"/>
  <c r="E274" i="6"/>
  <c r="D274" i="6"/>
  <c r="C274" i="6"/>
  <c r="B274" i="6"/>
  <c r="H273" i="6"/>
  <c r="G273" i="6"/>
  <c r="F273" i="6"/>
  <c r="E273" i="6"/>
  <c r="D273" i="6"/>
  <c r="C273" i="6"/>
  <c r="B273" i="6"/>
  <c r="H272" i="6"/>
  <c r="G272" i="6"/>
  <c r="F272" i="6"/>
  <c r="E272" i="6"/>
  <c r="D272" i="6"/>
  <c r="C272" i="6"/>
  <c r="B272" i="6"/>
  <c r="H271" i="6"/>
  <c r="G271" i="6"/>
  <c r="F271" i="6"/>
  <c r="E271" i="6"/>
  <c r="D271" i="6"/>
  <c r="C271" i="6"/>
  <c r="B271" i="6"/>
  <c r="H270" i="6"/>
  <c r="G270" i="6"/>
  <c r="F270" i="6"/>
  <c r="E270" i="6"/>
  <c r="D270" i="6"/>
  <c r="C270" i="6"/>
  <c r="B270" i="6"/>
  <c r="H269" i="6"/>
  <c r="G269" i="6"/>
  <c r="F269" i="6"/>
  <c r="E269" i="6"/>
  <c r="D269" i="6"/>
  <c r="C269" i="6"/>
  <c r="B269" i="6"/>
  <c r="H268" i="6"/>
  <c r="G268" i="6"/>
  <c r="F268" i="6"/>
  <c r="E268" i="6"/>
  <c r="D268" i="6"/>
  <c r="C268" i="6"/>
  <c r="B268" i="6"/>
  <c r="H267" i="6"/>
  <c r="G267" i="6"/>
  <c r="F267" i="6"/>
  <c r="E267" i="6"/>
  <c r="D267" i="6"/>
  <c r="C267" i="6"/>
  <c r="B267" i="6"/>
  <c r="H266" i="6"/>
  <c r="G266" i="6"/>
  <c r="F266" i="6"/>
  <c r="E266" i="6"/>
  <c r="D266" i="6"/>
  <c r="C266" i="6"/>
  <c r="B266" i="6"/>
  <c r="H265" i="6"/>
  <c r="G265" i="6"/>
  <c r="F265" i="6"/>
  <c r="E265" i="6"/>
  <c r="D265" i="6"/>
  <c r="C265" i="6"/>
  <c r="B265" i="6"/>
  <c r="H264" i="6"/>
  <c r="G264" i="6"/>
  <c r="F264" i="6"/>
  <c r="E264" i="6"/>
  <c r="D264" i="6"/>
  <c r="C264" i="6"/>
  <c r="B264" i="6"/>
  <c r="H263" i="6"/>
  <c r="G263" i="6"/>
  <c r="F263" i="6"/>
  <c r="E263" i="6"/>
  <c r="D263" i="6"/>
  <c r="C263" i="6"/>
  <c r="B263" i="6"/>
  <c r="H262" i="6"/>
  <c r="G262" i="6"/>
  <c r="F262" i="6"/>
  <c r="E262" i="6"/>
  <c r="D262" i="6"/>
  <c r="C262" i="6"/>
  <c r="B262" i="6"/>
  <c r="H261" i="6"/>
  <c r="G261" i="6"/>
  <c r="F261" i="6"/>
  <c r="E261" i="6"/>
  <c r="D261" i="6"/>
  <c r="C261" i="6"/>
  <c r="B261" i="6"/>
  <c r="H260" i="6"/>
  <c r="G260" i="6"/>
  <c r="F260" i="6"/>
  <c r="E260" i="6"/>
  <c r="D260" i="6"/>
  <c r="C260" i="6"/>
  <c r="B260" i="6"/>
  <c r="H259" i="6"/>
  <c r="G259" i="6"/>
  <c r="F259" i="6"/>
  <c r="E259" i="6"/>
  <c r="D259" i="6"/>
  <c r="C259" i="6"/>
  <c r="B259" i="6"/>
  <c r="H258" i="6"/>
  <c r="G258" i="6"/>
  <c r="F258" i="6"/>
  <c r="E258" i="6"/>
  <c r="D258" i="6"/>
  <c r="C258" i="6"/>
  <c r="B258" i="6"/>
  <c r="H257" i="6"/>
  <c r="G257" i="6"/>
  <c r="F257" i="6"/>
  <c r="E257" i="6"/>
  <c r="D257" i="6"/>
  <c r="C257" i="6"/>
  <c r="B257" i="6"/>
  <c r="H256" i="6"/>
  <c r="G256" i="6"/>
  <c r="F256" i="6"/>
  <c r="E256" i="6"/>
  <c r="D256" i="6"/>
  <c r="C256" i="6"/>
  <c r="B256" i="6"/>
  <c r="H255" i="6"/>
  <c r="G255" i="6"/>
  <c r="F255" i="6"/>
  <c r="E255" i="6"/>
  <c r="D255" i="6"/>
  <c r="C255" i="6"/>
  <c r="B255" i="6"/>
  <c r="H254" i="6"/>
  <c r="G254" i="6"/>
  <c r="F254" i="6"/>
  <c r="E254" i="6"/>
  <c r="D254" i="6"/>
  <c r="C254" i="6"/>
  <c r="B254" i="6"/>
  <c r="H253" i="6"/>
  <c r="G253" i="6"/>
  <c r="F253" i="6"/>
  <c r="E253" i="6"/>
  <c r="D253" i="6"/>
  <c r="C253" i="6"/>
  <c r="B253" i="6"/>
  <c r="H252" i="6"/>
  <c r="G252" i="6"/>
  <c r="F252" i="6"/>
  <c r="E252" i="6"/>
  <c r="D252" i="6"/>
  <c r="C252" i="6"/>
  <c r="B252" i="6"/>
  <c r="H251" i="6"/>
  <c r="G251" i="6"/>
  <c r="F251" i="6"/>
  <c r="E251" i="6"/>
  <c r="D251" i="6"/>
  <c r="C251" i="6"/>
  <c r="B251" i="6"/>
  <c r="H250" i="6"/>
  <c r="G250" i="6"/>
  <c r="F250" i="6"/>
  <c r="E250" i="6"/>
  <c r="D250" i="6"/>
  <c r="C250" i="6"/>
  <c r="B250" i="6"/>
  <c r="H249" i="6"/>
  <c r="G249" i="6"/>
  <c r="F249" i="6"/>
  <c r="E249" i="6"/>
  <c r="D249" i="6"/>
  <c r="C249" i="6"/>
  <c r="B249" i="6"/>
  <c r="H248" i="6"/>
  <c r="G248" i="6"/>
  <c r="F248" i="6"/>
  <c r="E248" i="6"/>
  <c r="D248" i="6"/>
  <c r="C248" i="6"/>
  <c r="B248" i="6"/>
  <c r="H247" i="6"/>
  <c r="G247" i="6"/>
  <c r="F247" i="6"/>
  <c r="E247" i="6"/>
  <c r="D247" i="6"/>
  <c r="C247" i="6"/>
  <c r="B247" i="6"/>
  <c r="H246" i="6"/>
  <c r="G246" i="6"/>
  <c r="F246" i="6"/>
  <c r="E246" i="6"/>
  <c r="D246" i="6"/>
  <c r="C246" i="6"/>
  <c r="B246" i="6"/>
  <c r="H245" i="6"/>
  <c r="G245" i="6"/>
  <c r="F245" i="6"/>
  <c r="E245" i="6"/>
  <c r="D245" i="6"/>
  <c r="C245" i="6"/>
  <c r="B245" i="6"/>
  <c r="H244" i="6"/>
  <c r="G244" i="6"/>
  <c r="F244" i="6"/>
  <c r="E244" i="6"/>
  <c r="D244" i="6"/>
  <c r="C244" i="6"/>
  <c r="B244" i="6"/>
  <c r="H243" i="6"/>
  <c r="G243" i="6"/>
  <c r="F243" i="6"/>
  <c r="E243" i="6"/>
  <c r="D243" i="6"/>
  <c r="C243" i="6"/>
  <c r="B243" i="6"/>
  <c r="H242" i="6"/>
  <c r="G242" i="6"/>
  <c r="F242" i="6"/>
  <c r="E242" i="6"/>
  <c r="D242" i="6"/>
  <c r="C242" i="6"/>
  <c r="B242" i="6"/>
  <c r="H241" i="6"/>
  <c r="G241" i="6"/>
  <c r="F241" i="6"/>
  <c r="E241" i="6"/>
  <c r="D241" i="6"/>
  <c r="C241" i="6"/>
  <c r="B241" i="6"/>
  <c r="H240" i="6"/>
  <c r="G240" i="6"/>
  <c r="F240" i="6"/>
  <c r="E240" i="6"/>
  <c r="D240" i="6"/>
  <c r="C240" i="6"/>
  <c r="B240" i="6"/>
  <c r="H239" i="6"/>
  <c r="G239" i="6"/>
  <c r="F239" i="6"/>
  <c r="E239" i="6"/>
  <c r="D239" i="6"/>
  <c r="C239" i="6"/>
  <c r="B239" i="6"/>
  <c r="H238" i="6"/>
  <c r="G238" i="6"/>
  <c r="F238" i="6"/>
  <c r="E238" i="6"/>
  <c r="D238" i="6"/>
  <c r="C238" i="6"/>
  <c r="B238" i="6"/>
  <c r="H237" i="6"/>
  <c r="G237" i="6"/>
  <c r="F237" i="6"/>
  <c r="E237" i="6"/>
  <c r="D237" i="6"/>
  <c r="C237" i="6"/>
  <c r="B237" i="6"/>
  <c r="H236" i="6"/>
  <c r="G236" i="6"/>
  <c r="F236" i="6"/>
  <c r="E236" i="6"/>
  <c r="D236" i="6"/>
  <c r="C236" i="6"/>
  <c r="B236" i="6"/>
  <c r="H235" i="6"/>
  <c r="G235" i="6"/>
  <c r="F235" i="6"/>
  <c r="E235" i="6"/>
  <c r="D235" i="6"/>
  <c r="C235" i="6"/>
  <c r="B235" i="6"/>
  <c r="H234" i="6"/>
  <c r="G234" i="6"/>
  <c r="F234" i="6"/>
  <c r="E234" i="6"/>
  <c r="D234" i="6"/>
  <c r="C234" i="6"/>
  <c r="B234" i="6"/>
  <c r="H233" i="6"/>
  <c r="G233" i="6"/>
  <c r="F233" i="6"/>
  <c r="E233" i="6"/>
  <c r="D233" i="6"/>
  <c r="C233" i="6"/>
  <c r="B233" i="6"/>
  <c r="H232" i="6"/>
  <c r="G232" i="6"/>
  <c r="F232" i="6"/>
  <c r="E232" i="6"/>
  <c r="D232" i="6"/>
  <c r="C232" i="6"/>
  <c r="B232" i="6"/>
  <c r="H231" i="6"/>
  <c r="G231" i="6"/>
  <c r="F231" i="6"/>
  <c r="E231" i="6"/>
  <c r="D231" i="6"/>
  <c r="C231" i="6"/>
  <c r="B231" i="6"/>
  <c r="H230" i="6"/>
  <c r="G230" i="6"/>
  <c r="F230" i="6"/>
  <c r="E230" i="6"/>
  <c r="D230" i="6"/>
  <c r="C230" i="6"/>
  <c r="B230" i="6"/>
  <c r="H229" i="6"/>
  <c r="G229" i="6"/>
  <c r="F229" i="6"/>
  <c r="E229" i="6"/>
  <c r="D229" i="6"/>
  <c r="C229" i="6"/>
  <c r="B229" i="6"/>
  <c r="H228" i="6"/>
  <c r="G228" i="6"/>
  <c r="F228" i="6"/>
  <c r="E228" i="6"/>
  <c r="D228" i="6"/>
  <c r="C228" i="6"/>
  <c r="B228" i="6"/>
  <c r="H227" i="6"/>
  <c r="G227" i="6"/>
  <c r="F227" i="6"/>
  <c r="E227" i="6"/>
  <c r="D227" i="6"/>
  <c r="C227" i="6"/>
  <c r="B227" i="6"/>
  <c r="H226" i="6"/>
  <c r="G226" i="6"/>
  <c r="F226" i="6"/>
  <c r="E226" i="6"/>
  <c r="D226" i="6"/>
  <c r="C226" i="6"/>
  <c r="B226" i="6"/>
  <c r="H225" i="6"/>
  <c r="G225" i="6"/>
  <c r="F225" i="6"/>
  <c r="E225" i="6"/>
  <c r="D225" i="6"/>
  <c r="C225" i="6"/>
  <c r="B225" i="6"/>
  <c r="H224" i="6"/>
  <c r="G224" i="6"/>
  <c r="F224" i="6"/>
  <c r="E224" i="6"/>
  <c r="D224" i="6"/>
  <c r="C224" i="6"/>
  <c r="B224" i="6"/>
  <c r="H223" i="6"/>
  <c r="G223" i="6"/>
  <c r="F223" i="6"/>
  <c r="E223" i="6"/>
  <c r="D223" i="6"/>
  <c r="C223" i="6"/>
  <c r="B223" i="6"/>
  <c r="H222" i="6"/>
  <c r="G222" i="6"/>
  <c r="F222" i="6"/>
  <c r="E222" i="6"/>
  <c r="D222" i="6"/>
  <c r="C222" i="6"/>
  <c r="B222" i="6"/>
  <c r="H221" i="6"/>
  <c r="G221" i="6"/>
  <c r="F221" i="6"/>
  <c r="E221" i="6"/>
  <c r="D221" i="6"/>
  <c r="C221" i="6"/>
  <c r="B221" i="6"/>
  <c r="H220" i="6"/>
  <c r="G220" i="6"/>
  <c r="F220" i="6"/>
  <c r="E220" i="6"/>
  <c r="D220" i="6"/>
  <c r="C220" i="6"/>
  <c r="B220" i="6"/>
  <c r="H219" i="6"/>
  <c r="G219" i="6"/>
  <c r="F219" i="6"/>
  <c r="E219" i="6"/>
  <c r="D219" i="6"/>
  <c r="C219" i="6"/>
  <c r="B219" i="6"/>
  <c r="H218" i="6"/>
  <c r="G218" i="6"/>
  <c r="F218" i="6"/>
  <c r="E218" i="6"/>
  <c r="D218" i="6"/>
  <c r="C218" i="6"/>
  <c r="B218" i="6"/>
  <c r="H217" i="6"/>
  <c r="G217" i="6"/>
  <c r="F217" i="6"/>
  <c r="E217" i="6"/>
  <c r="D217" i="6"/>
  <c r="C217" i="6"/>
  <c r="B217" i="6"/>
  <c r="H216" i="6"/>
  <c r="G216" i="6"/>
  <c r="F216" i="6"/>
  <c r="E216" i="6"/>
  <c r="D216" i="6"/>
  <c r="C216" i="6"/>
  <c r="B216" i="6"/>
  <c r="H215" i="6"/>
  <c r="G215" i="6"/>
  <c r="F215" i="6"/>
  <c r="E215" i="6"/>
  <c r="D215" i="6"/>
  <c r="C215" i="6"/>
  <c r="B215" i="6"/>
  <c r="H214" i="6"/>
  <c r="G214" i="6"/>
  <c r="F214" i="6"/>
  <c r="E214" i="6"/>
  <c r="D214" i="6"/>
  <c r="C214" i="6"/>
  <c r="B214" i="6"/>
  <c r="H213" i="6"/>
  <c r="G213" i="6"/>
  <c r="F213" i="6"/>
  <c r="E213" i="6"/>
  <c r="D213" i="6"/>
  <c r="C213" i="6"/>
  <c r="B213" i="6"/>
  <c r="H212" i="6"/>
  <c r="G212" i="6"/>
  <c r="F212" i="6"/>
  <c r="E212" i="6"/>
  <c r="D212" i="6"/>
  <c r="C212" i="6"/>
  <c r="B212" i="6"/>
  <c r="H211" i="6"/>
  <c r="G211" i="6"/>
  <c r="F211" i="6"/>
  <c r="E211" i="6"/>
  <c r="D211" i="6"/>
  <c r="C211" i="6"/>
  <c r="B211" i="6"/>
  <c r="H210" i="6"/>
  <c r="G210" i="6"/>
  <c r="F210" i="6"/>
  <c r="E210" i="6"/>
  <c r="D210" i="6"/>
  <c r="C210" i="6"/>
  <c r="B210" i="6"/>
  <c r="H209" i="6"/>
  <c r="G209" i="6"/>
  <c r="F209" i="6"/>
  <c r="E209" i="6"/>
  <c r="D209" i="6"/>
  <c r="C209" i="6"/>
  <c r="B209" i="6"/>
  <c r="H208" i="6"/>
  <c r="G208" i="6"/>
  <c r="F208" i="6"/>
  <c r="E208" i="6"/>
  <c r="D208" i="6"/>
  <c r="C208" i="6"/>
  <c r="B208" i="6"/>
  <c r="H207" i="6"/>
  <c r="G207" i="6"/>
  <c r="F207" i="6"/>
  <c r="E207" i="6"/>
  <c r="D207" i="6"/>
  <c r="C207" i="6"/>
  <c r="B207" i="6"/>
  <c r="H206" i="6"/>
  <c r="G206" i="6"/>
  <c r="F206" i="6"/>
  <c r="E206" i="6"/>
  <c r="D206" i="6"/>
  <c r="C206" i="6"/>
  <c r="B206" i="6"/>
  <c r="H205" i="6"/>
  <c r="G205" i="6"/>
  <c r="F205" i="6"/>
  <c r="E205" i="6"/>
  <c r="D205" i="6"/>
  <c r="C205" i="6"/>
  <c r="B205" i="6"/>
  <c r="H204" i="6"/>
  <c r="G204" i="6"/>
  <c r="F204" i="6"/>
  <c r="E204" i="6"/>
  <c r="D204" i="6"/>
  <c r="C204" i="6"/>
  <c r="B204" i="6"/>
  <c r="H203" i="6"/>
  <c r="G203" i="6"/>
  <c r="F203" i="6"/>
  <c r="E203" i="6"/>
  <c r="D203" i="6"/>
  <c r="C203" i="6"/>
  <c r="B203" i="6"/>
  <c r="H202" i="6"/>
  <c r="G202" i="6"/>
  <c r="F202" i="6"/>
  <c r="E202" i="6"/>
  <c r="D202" i="6"/>
  <c r="C202" i="6"/>
  <c r="B202" i="6"/>
  <c r="H201" i="6"/>
  <c r="G201" i="6"/>
  <c r="F201" i="6"/>
  <c r="E201" i="6"/>
  <c r="D201" i="6"/>
  <c r="C201" i="6"/>
  <c r="B201" i="6"/>
  <c r="H200" i="6"/>
  <c r="G200" i="6"/>
  <c r="F200" i="6"/>
  <c r="E200" i="6"/>
  <c r="D200" i="6"/>
  <c r="C200" i="6"/>
  <c r="B200" i="6"/>
  <c r="H199" i="6"/>
  <c r="G199" i="6"/>
  <c r="F199" i="6"/>
  <c r="E199" i="6"/>
  <c r="D199" i="6"/>
  <c r="C199" i="6"/>
  <c r="B199" i="6"/>
  <c r="H198" i="6"/>
  <c r="G198" i="6"/>
  <c r="F198" i="6"/>
  <c r="E198" i="6"/>
  <c r="D198" i="6"/>
  <c r="C198" i="6"/>
  <c r="B198" i="6"/>
  <c r="H197" i="6"/>
  <c r="G197" i="6"/>
  <c r="F197" i="6"/>
  <c r="E197" i="6"/>
  <c r="D197" i="6"/>
  <c r="C197" i="6"/>
  <c r="B197" i="6"/>
  <c r="H196" i="6"/>
  <c r="G196" i="6"/>
  <c r="F196" i="6"/>
  <c r="E196" i="6"/>
  <c r="D196" i="6"/>
  <c r="C196" i="6"/>
  <c r="B196" i="6"/>
  <c r="H195" i="6"/>
  <c r="G195" i="6"/>
  <c r="F195" i="6"/>
  <c r="E195" i="6"/>
  <c r="D195" i="6"/>
  <c r="C195" i="6"/>
  <c r="B195" i="6"/>
  <c r="H194" i="6"/>
  <c r="G194" i="6"/>
  <c r="F194" i="6"/>
  <c r="E194" i="6"/>
  <c r="D194" i="6"/>
  <c r="C194" i="6"/>
  <c r="B194" i="6"/>
  <c r="H193" i="6"/>
  <c r="G193" i="6"/>
  <c r="F193" i="6"/>
  <c r="E193" i="6"/>
  <c r="D193" i="6"/>
  <c r="C193" i="6"/>
  <c r="B193" i="6"/>
  <c r="H192" i="6"/>
  <c r="G192" i="6"/>
  <c r="F192" i="6"/>
  <c r="E192" i="6"/>
  <c r="D192" i="6"/>
  <c r="C192" i="6"/>
  <c r="B192" i="6"/>
  <c r="H191" i="6"/>
  <c r="G191" i="6"/>
  <c r="F191" i="6"/>
  <c r="E191" i="6"/>
  <c r="D191" i="6"/>
  <c r="C191" i="6"/>
  <c r="B191" i="6"/>
  <c r="H190" i="6"/>
  <c r="G190" i="6"/>
  <c r="F190" i="6"/>
  <c r="E190" i="6"/>
  <c r="D190" i="6"/>
  <c r="C190" i="6"/>
  <c r="B190" i="6"/>
  <c r="H189" i="6"/>
  <c r="G189" i="6"/>
  <c r="F189" i="6"/>
  <c r="E189" i="6"/>
  <c r="D189" i="6"/>
  <c r="C189" i="6"/>
  <c r="B189" i="6"/>
  <c r="H188" i="6"/>
  <c r="G188" i="6"/>
  <c r="F188" i="6"/>
  <c r="E188" i="6"/>
  <c r="D188" i="6"/>
  <c r="C188" i="6"/>
  <c r="B188" i="6"/>
  <c r="H187" i="6"/>
  <c r="G187" i="6"/>
  <c r="F187" i="6"/>
  <c r="E187" i="6"/>
  <c r="D187" i="6"/>
  <c r="C187" i="6"/>
  <c r="B187" i="6"/>
  <c r="H186" i="6"/>
  <c r="G186" i="6"/>
  <c r="F186" i="6"/>
  <c r="E186" i="6"/>
  <c r="D186" i="6"/>
  <c r="C186" i="6"/>
  <c r="B186" i="6"/>
  <c r="H185" i="6"/>
  <c r="G185" i="6"/>
  <c r="F185" i="6"/>
  <c r="E185" i="6"/>
  <c r="D185" i="6"/>
  <c r="C185" i="6"/>
  <c r="B185" i="6"/>
  <c r="H184" i="6"/>
  <c r="G184" i="6"/>
  <c r="F184" i="6"/>
  <c r="E184" i="6"/>
  <c r="D184" i="6"/>
  <c r="C184" i="6"/>
  <c r="B184" i="6"/>
  <c r="H183" i="6"/>
  <c r="G183" i="6"/>
  <c r="F183" i="6"/>
  <c r="E183" i="6"/>
  <c r="D183" i="6"/>
  <c r="C183" i="6"/>
  <c r="B183" i="6"/>
  <c r="H182" i="6"/>
  <c r="G182" i="6"/>
  <c r="F182" i="6"/>
  <c r="E182" i="6"/>
  <c r="D182" i="6"/>
  <c r="C182" i="6"/>
  <c r="B182" i="6"/>
  <c r="H181" i="6"/>
  <c r="G181" i="6"/>
  <c r="F181" i="6"/>
  <c r="E181" i="6"/>
  <c r="D181" i="6"/>
  <c r="C181" i="6"/>
  <c r="B181" i="6"/>
  <c r="H180" i="6"/>
  <c r="G180" i="6"/>
  <c r="F180" i="6"/>
  <c r="E180" i="6"/>
  <c r="D180" i="6"/>
  <c r="C180" i="6"/>
  <c r="B180" i="6"/>
  <c r="H179" i="6"/>
  <c r="G179" i="6"/>
  <c r="F179" i="6"/>
  <c r="E179" i="6"/>
  <c r="D179" i="6"/>
  <c r="C179" i="6"/>
  <c r="B179" i="6"/>
  <c r="H178" i="6"/>
  <c r="G178" i="6"/>
  <c r="F178" i="6"/>
  <c r="E178" i="6"/>
  <c r="D178" i="6"/>
  <c r="C178" i="6"/>
  <c r="B178" i="6"/>
  <c r="H177" i="6"/>
  <c r="G177" i="6"/>
  <c r="F177" i="6"/>
  <c r="E177" i="6"/>
  <c r="D177" i="6"/>
  <c r="C177" i="6"/>
  <c r="B177" i="6"/>
  <c r="H176" i="6"/>
  <c r="G176" i="6"/>
  <c r="F176" i="6"/>
  <c r="E176" i="6"/>
  <c r="D176" i="6"/>
  <c r="C176" i="6"/>
  <c r="B176" i="6"/>
  <c r="H175" i="6"/>
  <c r="G175" i="6"/>
  <c r="F175" i="6"/>
  <c r="E175" i="6"/>
  <c r="D175" i="6"/>
  <c r="C175" i="6"/>
  <c r="B175" i="6"/>
  <c r="H174" i="6"/>
  <c r="G174" i="6"/>
  <c r="F174" i="6"/>
  <c r="E174" i="6"/>
  <c r="D174" i="6"/>
  <c r="C174" i="6"/>
  <c r="B174" i="6"/>
  <c r="H173" i="6"/>
  <c r="G173" i="6"/>
  <c r="F173" i="6"/>
  <c r="E173" i="6"/>
  <c r="D173" i="6"/>
  <c r="C173" i="6"/>
  <c r="B173" i="6"/>
  <c r="H172" i="6"/>
  <c r="G172" i="6"/>
  <c r="F172" i="6"/>
  <c r="E172" i="6"/>
  <c r="D172" i="6"/>
  <c r="C172" i="6"/>
  <c r="B172" i="6"/>
  <c r="H171" i="6"/>
  <c r="G171" i="6"/>
  <c r="F171" i="6"/>
  <c r="E171" i="6"/>
  <c r="D171" i="6"/>
  <c r="C171" i="6"/>
  <c r="B171" i="6"/>
  <c r="H170" i="6"/>
  <c r="G170" i="6"/>
  <c r="F170" i="6"/>
  <c r="E170" i="6"/>
  <c r="D170" i="6"/>
  <c r="C170" i="6"/>
  <c r="B170" i="6"/>
  <c r="H169" i="6"/>
  <c r="G169" i="6"/>
  <c r="F169" i="6"/>
  <c r="E169" i="6"/>
  <c r="D169" i="6"/>
  <c r="C169" i="6"/>
  <c r="B169" i="6"/>
  <c r="H168" i="6"/>
  <c r="G168" i="6"/>
  <c r="F168" i="6"/>
  <c r="E168" i="6"/>
  <c r="D168" i="6"/>
  <c r="C168" i="6"/>
  <c r="B168" i="6"/>
  <c r="H167" i="6"/>
  <c r="G167" i="6"/>
  <c r="F167" i="6"/>
  <c r="E167" i="6"/>
  <c r="D167" i="6"/>
  <c r="C167" i="6"/>
  <c r="B167" i="6"/>
  <c r="H166" i="6"/>
  <c r="G166" i="6"/>
  <c r="F166" i="6"/>
  <c r="E166" i="6"/>
  <c r="D166" i="6"/>
  <c r="C166" i="6"/>
  <c r="B166" i="6"/>
  <c r="H165" i="6"/>
  <c r="G165" i="6"/>
  <c r="F165" i="6"/>
  <c r="E165" i="6"/>
  <c r="D165" i="6"/>
  <c r="C165" i="6"/>
  <c r="B165" i="6"/>
  <c r="H164" i="6"/>
  <c r="G164" i="6"/>
  <c r="F164" i="6"/>
  <c r="E164" i="6"/>
  <c r="D164" i="6"/>
  <c r="C164" i="6"/>
  <c r="B164" i="6"/>
  <c r="H163" i="6"/>
  <c r="G163" i="6"/>
  <c r="F163" i="6"/>
  <c r="E163" i="6"/>
  <c r="D163" i="6"/>
  <c r="C163" i="6"/>
  <c r="B163" i="6"/>
  <c r="H162" i="6"/>
  <c r="G162" i="6"/>
  <c r="F162" i="6"/>
  <c r="E162" i="6"/>
  <c r="D162" i="6"/>
  <c r="C162" i="6"/>
  <c r="B162" i="6"/>
  <c r="H161" i="6"/>
  <c r="G161" i="6"/>
  <c r="F161" i="6"/>
  <c r="E161" i="6"/>
  <c r="D161" i="6"/>
  <c r="C161" i="6"/>
  <c r="B161" i="6"/>
  <c r="H160" i="6"/>
  <c r="G160" i="6"/>
  <c r="F160" i="6"/>
  <c r="E160" i="6"/>
  <c r="D160" i="6"/>
  <c r="C160" i="6"/>
  <c r="B160" i="6"/>
  <c r="H159" i="6"/>
  <c r="G159" i="6"/>
  <c r="F159" i="6"/>
  <c r="E159" i="6"/>
  <c r="D159" i="6"/>
  <c r="C159" i="6"/>
  <c r="B159" i="6"/>
  <c r="H158" i="6"/>
  <c r="G158" i="6"/>
  <c r="F158" i="6"/>
  <c r="E158" i="6"/>
  <c r="D158" i="6"/>
  <c r="C158" i="6"/>
  <c r="B158" i="6"/>
  <c r="H157" i="6"/>
  <c r="G157" i="6"/>
  <c r="F157" i="6"/>
  <c r="E157" i="6"/>
  <c r="D157" i="6"/>
  <c r="C157" i="6"/>
  <c r="B157" i="6"/>
  <c r="H156" i="6"/>
  <c r="G156" i="6"/>
  <c r="F156" i="6"/>
  <c r="E156" i="6"/>
  <c r="D156" i="6"/>
  <c r="C156" i="6"/>
  <c r="B156" i="6"/>
  <c r="H155" i="6"/>
  <c r="G155" i="6"/>
  <c r="F155" i="6"/>
  <c r="E155" i="6"/>
  <c r="D155" i="6"/>
  <c r="C155" i="6"/>
  <c r="B155" i="6"/>
  <c r="H154" i="6"/>
  <c r="G154" i="6"/>
  <c r="F154" i="6"/>
  <c r="E154" i="6"/>
  <c r="D154" i="6"/>
  <c r="C154" i="6"/>
  <c r="B154" i="6"/>
  <c r="H153" i="6"/>
  <c r="G153" i="6"/>
  <c r="F153" i="6"/>
  <c r="E153" i="6"/>
  <c r="D153" i="6"/>
  <c r="C153" i="6"/>
  <c r="B153" i="6"/>
  <c r="H152" i="6"/>
  <c r="G152" i="6"/>
  <c r="F152" i="6"/>
  <c r="E152" i="6"/>
  <c r="D152" i="6"/>
  <c r="C152" i="6"/>
  <c r="B152" i="6"/>
  <c r="H151" i="6"/>
  <c r="G151" i="6"/>
  <c r="F151" i="6"/>
  <c r="E151" i="6"/>
  <c r="D151" i="6"/>
  <c r="C151" i="6"/>
  <c r="B151" i="6"/>
  <c r="H150" i="6"/>
  <c r="G150" i="6"/>
  <c r="F150" i="6"/>
  <c r="E150" i="6"/>
  <c r="D150" i="6"/>
  <c r="C150" i="6"/>
  <c r="B150" i="6"/>
  <c r="H149" i="6"/>
  <c r="G149" i="6"/>
  <c r="F149" i="6"/>
  <c r="E149" i="6"/>
  <c r="D149" i="6"/>
  <c r="C149" i="6"/>
  <c r="B149" i="6"/>
  <c r="H148" i="6"/>
  <c r="G148" i="6"/>
  <c r="F148" i="6"/>
  <c r="E148" i="6"/>
  <c r="D148" i="6"/>
  <c r="C148" i="6"/>
  <c r="B148" i="6"/>
  <c r="H147" i="6"/>
  <c r="G147" i="6"/>
  <c r="F147" i="6"/>
  <c r="E147" i="6"/>
  <c r="D147" i="6"/>
  <c r="C147" i="6"/>
  <c r="B147" i="6"/>
  <c r="H146" i="6"/>
  <c r="G146" i="6"/>
  <c r="F146" i="6"/>
  <c r="E146" i="6"/>
  <c r="D146" i="6"/>
  <c r="C146" i="6"/>
  <c r="B146" i="6"/>
  <c r="H145" i="6"/>
  <c r="G145" i="6"/>
  <c r="F145" i="6"/>
  <c r="E145" i="6"/>
  <c r="D145" i="6"/>
  <c r="C145" i="6"/>
  <c r="B145" i="6"/>
  <c r="H144" i="6"/>
  <c r="G144" i="6"/>
  <c r="F144" i="6"/>
  <c r="E144" i="6"/>
  <c r="D144" i="6"/>
  <c r="C144" i="6"/>
  <c r="B144" i="6"/>
  <c r="H143" i="6"/>
  <c r="G143" i="6"/>
  <c r="F143" i="6"/>
  <c r="E143" i="6"/>
  <c r="D143" i="6"/>
  <c r="C143" i="6"/>
  <c r="B143" i="6"/>
  <c r="H142" i="6"/>
  <c r="G142" i="6"/>
  <c r="F142" i="6"/>
  <c r="E142" i="6"/>
  <c r="D142" i="6"/>
  <c r="C142" i="6"/>
  <c r="B142" i="6"/>
  <c r="H141" i="6"/>
  <c r="G141" i="6"/>
  <c r="F141" i="6"/>
  <c r="E141" i="6"/>
  <c r="D141" i="6"/>
  <c r="C141" i="6"/>
  <c r="B141" i="6"/>
  <c r="H140" i="6"/>
  <c r="G140" i="6"/>
  <c r="F140" i="6"/>
  <c r="E140" i="6"/>
  <c r="D140" i="6"/>
  <c r="C140" i="6"/>
  <c r="B140" i="6"/>
  <c r="H139" i="6"/>
  <c r="G139" i="6"/>
  <c r="F139" i="6"/>
  <c r="E139" i="6"/>
  <c r="D139" i="6"/>
  <c r="C139" i="6"/>
  <c r="B139" i="6"/>
  <c r="H138" i="6"/>
  <c r="G138" i="6"/>
  <c r="F138" i="6"/>
  <c r="E138" i="6"/>
  <c r="D138" i="6"/>
  <c r="C138" i="6"/>
  <c r="B138" i="6"/>
  <c r="H137" i="6"/>
  <c r="G137" i="6"/>
  <c r="F137" i="6"/>
  <c r="E137" i="6"/>
  <c r="D137" i="6"/>
  <c r="C137" i="6"/>
  <c r="B137" i="6"/>
  <c r="H136" i="6"/>
  <c r="G136" i="6"/>
  <c r="F136" i="6"/>
  <c r="E136" i="6"/>
  <c r="D136" i="6"/>
  <c r="C136" i="6"/>
  <c r="B136" i="6"/>
  <c r="H135" i="6"/>
  <c r="G135" i="6"/>
  <c r="F135" i="6"/>
  <c r="E135" i="6"/>
  <c r="D135" i="6"/>
  <c r="C135" i="6"/>
  <c r="B135" i="6"/>
  <c r="H134" i="6"/>
  <c r="G134" i="6"/>
  <c r="F134" i="6"/>
  <c r="E134" i="6"/>
  <c r="D134" i="6"/>
  <c r="C134" i="6"/>
  <c r="B134" i="6"/>
  <c r="H133" i="6"/>
  <c r="G133" i="6"/>
  <c r="F133" i="6"/>
  <c r="E133" i="6"/>
  <c r="D133" i="6"/>
  <c r="C133" i="6"/>
  <c r="B133" i="6"/>
  <c r="H132" i="6"/>
  <c r="G132" i="6"/>
  <c r="F132" i="6"/>
  <c r="E132" i="6"/>
  <c r="D132" i="6"/>
  <c r="C132" i="6"/>
  <c r="B132" i="6"/>
  <c r="H131" i="6"/>
  <c r="G131" i="6"/>
  <c r="F131" i="6"/>
  <c r="E131" i="6"/>
  <c r="D131" i="6"/>
  <c r="C131" i="6"/>
  <c r="B131" i="6"/>
  <c r="H130" i="6"/>
  <c r="G130" i="6"/>
  <c r="F130" i="6"/>
  <c r="E130" i="6"/>
  <c r="D130" i="6"/>
  <c r="C130" i="6"/>
  <c r="B130" i="6"/>
  <c r="H129" i="6"/>
  <c r="G129" i="6"/>
  <c r="F129" i="6"/>
  <c r="E129" i="6"/>
  <c r="D129" i="6"/>
  <c r="C129" i="6"/>
  <c r="B129" i="6"/>
  <c r="H128" i="6"/>
  <c r="G128" i="6"/>
  <c r="F128" i="6"/>
  <c r="E128" i="6"/>
  <c r="D128" i="6"/>
  <c r="C128" i="6"/>
  <c r="B128" i="6"/>
  <c r="H127" i="6"/>
  <c r="G127" i="6"/>
  <c r="F127" i="6"/>
  <c r="E127" i="6"/>
  <c r="D127" i="6"/>
  <c r="C127" i="6"/>
  <c r="B127" i="6"/>
  <c r="H126" i="6"/>
  <c r="G126" i="6"/>
  <c r="F126" i="6"/>
  <c r="E126" i="6"/>
  <c r="D126" i="6"/>
  <c r="C126" i="6"/>
  <c r="B126" i="6"/>
  <c r="H125" i="6"/>
  <c r="G125" i="6"/>
  <c r="F125" i="6"/>
  <c r="E125" i="6"/>
  <c r="D125" i="6"/>
  <c r="C125" i="6"/>
  <c r="B125" i="6"/>
  <c r="H124" i="6"/>
  <c r="G124" i="6"/>
  <c r="F124" i="6"/>
  <c r="E124" i="6"/>
  <c r="D124" i="6"/>
  <c r="C124" i="6"/>
  <c r="B124" i="6"/>
  <c r="H123" i="6"/>
  <c r="G123" i="6"/>
  <c r="F123" i="6"/>
  <c r="E123" i="6"/>
  <c r="D123" i="6"/>
  <c r="C123" i="6"/>
  <c r="B123" i="6"/>
  <c r="H122" i="6"/>
  <c r="G122" i="6"/>
  <c r="F122" i="6"/>
  <c r="E122" i="6"/>
  <c r="D122" i="6"/>
  <c r="C122" i="6"/>
  <c r="B122" i="6"/>
  <c r="H121" i="6"/>
  <c r="G121" i="6"/>
  <c r="F121" i="6"/>
  <c r="E121" i="6"/>
  <c r="D121" i="6"/>
  <c r="C121" i="6"/>
  <c r="B121" i="6"/>
  <c r="H120" i="6"/>
  <c r="G120" i="6"/>
  <c r="F120" i="6"/>
  <c r="E120" i="6"/>
  <c r="D120" i="6"/>
  <c r="C120" i="6"/>
  <c r="B120" i="6"/>
  <c r="H119" i="6"/>
  <c r="G119" i="6"/>
  <c r="F119" i="6"/>
  <c r="E119" i="6"/>
  <c r="D119" i="6"/>
  <c r="C119" i="6"/>
  <c r="B119" i="6"/>
  <c r="H118" i="6"/>
  <c r="G118" i="6"/>
  <c r="F118" i="6"/>
  <c r="E118" i="6"/>
  <c r="D118" i="6"/>
  <c r="C118" i="6"/>
  <c r="B118" i="6"/>
  <c r="H117" i="6"/>
  <c r="G117" i="6"/>
  <c r="F117" i="6"/>
  <c r="E117" i="6"/>
  <c r="D117" i="6"/>
  <c r="C117" i="6"/>
  <c r="B117" i="6"/>
  <c r="H116" i="6"/>
  <c r="G116" i="6"/>
  <c r="F116" i="6"/>
  <c r="E116" i="6"/>
  <c r="D116" i="6"/>
  <c r="C116" i="6"/>
  <c r="B116" i="6"/>
  <c r="H115" i="6"/>
  <c r="G115" i="6"/>
  <c r="F115" i="6"/>
  <c r="E115" i="6"/>
  <c r="D115" i="6"/>
  <c r="C115" i="6"/>
  <c r="B115" i="6"/>
  <c r="H114" i="6"/>
  <c r="G114" i="6"/>
  <c r="F114" i="6"/>
  <c r="E114" i="6"/>
  <c r="D114" i="6"/>
  <c r="C114" i="6"/>
  <c r="B114" i="6"/>
  <c r="H113" i="6"/>
  <c r="G113" i="6"/>
  <c r="F113" i="6"/>
  <c r="E113" i="6"/>
  <c r="D113" i="6"/>
  <c r="C113" i="6"/>
  <c r="B113" i="6"/>
  <c r="H112" i="6"/>
  <c r="G112" i="6"/>
  <c r="F112" i="6"/>
  <c r="E112" i="6"/>
  <c r="D112" i="6"/>
  <c r="C112" i="6"/>
  <c r="B112" i="6"/>
  <c r="H111" i="6"/>
  <c r="G111" i="6"/>
  <c r="F111" i="6"/>
  <c r="E111" i="6"/>
  <c r="D111" i="6"/>
  <c r="C111" i="6"/>
  <c r="B111" i="6"/>
  <c r="H110" i="6"/>
  <c r="G110" i="6"/>
  <c r="F110" i="6"/>
  <c r="E110" i="6"/>
  <c r="D110" i="6"/>
  <c r="C110" i="6"/>
  <c r="B110" i="6"/>
  <c r="H109" i="6"/>
  <c r="G109" i="6"/>
  <c r="F109" i="6"/>
  <c r="E109" i="6"/>
  <c r="D109" i="6"/>
  <c r="C109" i="6"/>
  <c r="B109" i="6"/>
  <c r="H108" i="6"/>
  <c r="G108" i="6"/>
  <c r="F108" i="6"/>
  <c r="E108" i="6"/>
  <c r="D108" i="6"/>
  <c r="C108" i="6"/>
  <c r="B108" i="6"/>
  <c r="H107" i="6"/>
  <c r="G107" i="6"/>
  <c r="F107" i="6"/>
  <c r="E107" i="6"/>
  <c r="D107" i="6"/>
  <c r="C107" i="6"/>
  <c r="B107" i="6"/>
  <c r="H106" i="6"/>
  <c r="G106" i="6"/>
  <c r="F106" i="6"/>
  <c r="E106" i="6"/>
  <c r="D106" i="6"/>
  <c r="C106" i="6"/>
  <c r="B106" i="6"/>
  <c r="H105" i="6"/>
  <c r="G105" i="6"/>
  <c r="F105" i="6"/>
  <c r="E105" i="6"/>
  <c r="D105" i="6"/>
  <c r="C105" i="6"/>
  <c r="B105" i="6"/>
  <c r="H104" i="6"/>
  <c r="G104" i="6"/>
  <c r="F104" i="6"/>
  <c r="E104" i="6"/>
  <c r="D104" i="6"/>
  <c r="C104" i="6"/>
  <c r="B104" i="6"/>
  <c r="H103" i="6"/>
  <c r="G103" i="6"/>
  <c r="F103" i="6"/>
  <c r="E103" i="6"/>
  <c r="D103" i="6"/>
  <c r="C103" i="6"/>
  <c r="B103" i="6"/>
  <c r="H102" i="6"/>
  <c r="G102" i="6"/>
  <c r="F102" i="6"/>
  <c r="E102" i="6"/>
  <c r="D102" i="6"/>
  <c r="C102" i="6"/>
  <c r="B102" i="6"/>
  <c r="H101" i="6"/>
  <c r="G101" i="6"/>
  <c r="F101" i="6"/>
  <c r="E101" i="6"/>
  <c r="D101" i="6"/>
  <c r="C101" i="6"/>
  <c r="B101" i="6"/>
  <c r="H100" i="6"/>
  <c r="G100" i="6"/>
  <c r="F100" i="6"/>
  <c r="E100" i="6"/>
  <c r="D100" i="6"/>
  <c r="C100" i="6"/>
  <c r="B100" i="6"/>
  <c r="H99" i="6"/>
  <c r="G99" i="6"/>
  <c r="F99" i="6"/>
  <c r="E99" i="6"/>
  <c r="D99" i="6"/>
  <c r="C99" i="6"/>
  <c r="B99" i="6"/>
  <c r="H98" i="6"/>
  <c r="G98" i="6"/>
  <c r="F98" i="6"/>
  <c r="E98" i="6"/>
  <c r="D98" i="6"/>
  <c r="C98" i="6"/>
  <c r="B98" i="6"/>
  <c r="H97" i="6"/>
  <c r="G97" i="6"/>
  <c r="F97" i="6"/>
  <c r="E97" i="6"/>
  <c r="D97" i="6"/>
  <c r="C97" i="6"/>
  <c r="B97" i="6"/>
  <c r="H96" i="6"/>
  <c r="G96" i="6"/>
  <c r="F96" i="6"/>
  <c r="E96" i="6"/>
  <c r="D96" i="6"/>
  <c r="C96" i="6"/>
  <c r="B96" i="6"/>
  <c r="H95" i="6"/>
  <c r="G95" i="6"/>
  <c r="F95" i="6"/>
  <c r="E95" i="6"/>
  <c r="D95" i="6"/>
  <c r="C95" i="6"/>
  <c r="B95" i="6"/>
  <c r="H94" i="6"/>
  <c r="G94" i="6"/>
  <c r="F94" i="6"/>
  <c r="E94" i="6"/>
  <c r="D94" i="6"/>
  <c r="C94" i="6"/>
  <c r="B94" i="6"/>
  <c r="H93" i="6"/>
  <c r="G93" i="6"/>
  <c r="F93" i="6"/>
  <c r="E93" i="6"/>
  <c r="D93" i="6"/>
  <c r="C93" i="6"/>
  <c r="B93" i="6"/>
  <c r="H92" i="6"/>
  <c r="G92" i="6"/>
  <c r="F92" i="6"/>
  <c r="E92" i="6"/>
  <c r="D92" i="6"/>
  <c r="C92" i="6"/>
  <c r="B92" i="6"/>
  <c r="H91" i="6"/>
  <c r="G91" i="6"/>
  <c r="F91" i="6"/>
  <c r="E91" i="6"/>
  <c r="D91" i="6"/>
  <c r="C91" i="6"/>
  <c r="B91" i="6"/>
  <c r="H90" i="6"/>
  <c r="G90" i="6"/>
  <c r="F90" i="6"/>
  <c r="E90" i="6"/>
  <c r="D90" i="6"/>
  <c r="C90" i="6"/>
  <c r="B90" i="6"/>
  <c r="H89" i="6"/>
  <c r="G89" i="6"/>
  <c r="F89" i="6"/>
  <c r="E89" i="6"/>
  <c r="D89" i="6"/>
  <c r="C89" i="6"/>
  <c r="B89" i="6"/>
  <c r="H88" i="6"/>
  <c r="G88" i="6"/>
  <c r="F88" i="6"/>
  <c r="E88" i="6"/>
  <c r="D88" i="6"/>
  <c r="C88" i="6"/>
  <c r="B88" i="6"/>
  <c r="H87" i="6"/>
  <c r="G87" i="6"/>
  <c r="F87" i="6"/>
  <c r="E87" i="6"/>
  <c r="D87" i="6"/>
  <c r="C87" i="6"/>
  <c r="B87" i="6"/>
  <c r="H86" i="6"/>
  <c r="G86" i="6"/>
  <c r="F86" i="6"/>
  <c r="E86" i="6"/>
  <c r="D86" i="6"/>
  <c r="C86" i="6"/>
  <c r="B86" i="6"/>
  <c r="H85" i="6"/>
  <c r="G85" i="6"/>
  <c r="F85" i="6"/>
  <c r="E85" i="6"/>
  <c r="D85" i="6"/>
  <c r="C85" i="6"/>
  <c r="B85" i="6"/>
  <c r="H84" i="6"/>
  <c r="G84" i="6"/>
  <c r="F84" i="6"/>
  <c r="E84" i="6"/>
  <c r="D84" i="6"/>
  <c r="C84" i="6"/>
  <c r="B84" i="6"/>
  <c r="H83" i="6"/>
  <c r="G83" i="6"/>
  <c r="F83" i="6"/>
  <c r="E83" i="6"/>
  <c r="D83" i="6"/>
  <c r="C83" i="6"/>
  <c r="B83" i="6"/>
  <c r="H82" i="6"/>
  <c r="G82" i="6"/>
  <c r="F82" i="6"/>
  <c r="E82" i="6"/>
  <c r="D82" i="6"/>
  <c r="C82" i="6"/>
  <c r="B82" i="6"/>
  <c r="H81" i="6"/>
  <c r="G81" i="6"/>
  <c r="F81" i="6"/>
  <c r="E81" i="6"/>
  <c r="D81" i="6"/>
  <c r="C81" i="6"/>
  <c r="B81" i="6"/>
  <c r="H80" i="6"/>
  <c r="G80" i="6"/>
  <c r="F80" i="6"/>
  <c r="E80" i="6"/>
  <c r="D80" i="6"/>
  <c r="C80" i="6"/>
  <c r="B80" i="6"/>
  <c r="H79" i="6"/>
  <c r="G79" i="6"/>
  <c r="F79" i="6"/>
  <c r="E79" i="6"/>
  <c r="D79" i="6"/>
  <c r="C79" i="6"/>
  <c r="B79" i="6"/>
  <c r="H78" i="6"/>
  <c r="G78" i="6"/>
  <c r="F78" i="6"/>
  <c r="E78" i="6"/>
  <c r="D78" i="6"/>
  <c r="C78" i="6"/>
  <c r="B78" i="6"/>
  <c r="H77" i="6"/>
  <c r="G77" i="6"/>
  <c r="F77" i="6"/>
  <c r="E77" i="6"/>
  <c r="D77" i="6"/>
  <c r="C77" i="6"/>
  <c r="B77" i="6"/>
  <c r="H76" i="6"/>
  <c r="G76" i="6"/>
  <c r="F76" i="6"/>
  <c r="E76" i="6"/>
  <c r="D76" i="6"/>
  <c r="C76" i="6"/>
  <c r="B76" i="6"/>
  <c r="H75" i="6"/>
  <c r="G75" i="6"/>
  <c r="F75" i="6"/>
  <c r="E75" i="6"/>
  <c r="D75" i="6"/>
  <c r="C75" i="6"/>
  <c r="B75" i="6"/>
  <c r="H74" i="6"/>
  <c r="G74" i="6"/>
  <c r="F74" i="6"/>
  <c r="E74" i="6"/>
  <c r="D74" i="6"/>
  <c r="C74" i="6"/>
  <c r="B74" i="6"/>
  <c r="H73" i="6"/>
  <c r="G73" i="6"/>
  <c r="F73" i="6"/>
  <c r="E73" i="6"/>
  <c r="D73" i="6"/>
  <c r="C73" i="6"/>
  <c r="B73" i="6"/>
  <c r="H72" i="6"/>
  <c r="G72" i="6"/>
  <c r="F72" i="6"/>
  <c r="E72" i="6"/>
  <c r="D72" i="6"/>
  <c r="C72" i="6"/>
  <c r="B72" i="6"/>
  <c r="H71" i="6"/>
  <c r="G71" i="6"/>
  <c r="F71" i="6"/>
  <c r="E71" i="6"/>
  <c r="D71" i="6"/>
  <c r="C71" i="6"/>
  <c r="B71" i="6"/>
  <c r="H70" i="6"/>
  <c r="G70" i="6"/>
  <c r="F70" i="6"/>
  <c r="E70" i="6"/>
  <c r="D70" i="6"/>
  <c r="C70" i="6"/>
  <c r="B70" i="6"/>
  <c r="H69" i="6"/>
  <c r="G69" i="6"/>
  <c r="F69" i="6"/>
  <c r="E69" i="6"/>
  <c r="D69" i="6"/>
  <c r="C69" i="6"/>
  <c r="B69" i="6"/>
  <c r="H68" i="6"/>
  <c r="G68" i="6"/>
  <c r="F68" i="6"/>
  <c r="E68" i="6"/>
  <c r="D68" i="6"/>
  <c r="C68" i="6"/>
  <c r="B68" i="6"/>
  <c r="H67" i="6"/>
  <c r="G67" i="6"/>
  <c r="F67" i="6"/>
  <c r="E67" i="6"/>
  <c r="D67" i="6"/>
  <c r="C67" i="6"/>
  <c r="B67" i="6"/>
  <c r="H66" i="6"/>
  <c r="G66" i="6"/>
  <c r="F66" i="6"/>
  <c r="E66" i="6"/>
  <c r="D66" i="6"/>
  <c r="C66" i="6"/>
  <c r="B66" i="6"/>
  <c r="H65" i="6"/>
  <c r="G65" i="6"/>
  <c r="F65" i="6"/>
  <c r="E65" i="6"/>
  <c r="D65" i="6"/>
  <c r="C65" i="6"/>
  <c r="B65" i="6"/>
  <c r="H64" i="6"/>
  <c r="G64" i="6"/>
  <c r="F64" i="6"/>
  <c r="E64" i="6"/>
  <c r="D64" i="6"/>
  <c r="C64" i="6"/>
  <c r="B64" i="6"/>
  <c r="H63" i="6"/>
  <c r="G63" i="6"/>
  <c r="F63" i="6"/>
  <c r="E63" i="6"/>
  <c r="D63" i="6"/>
  <c r="C63" i="6"/>
  <c r="B63" i="6"/>
  <c r="H62" i="6"/>
  <c r="G62" i="6"/>
  <c r="F62" i="6"/>
  <c r="E62" i="6"/>
  <c r="D62" i="6"/>
  <c r="C62" i="6"/>
  <c r="B62" i="6"/>
  <c r="H61" i="6"/>
  <c r="G61" i="6"/>
  <c r="F61" i="6"/>
  <c r="E61" i="6"/>
  <c r="D61" i="6"/>
  <c r="C61" i="6"/>
  <c r="B61" i="6"/>
  <c r="H60" i="6"/>
  <c r="G60" i="6"/>
  <c r="F60" i="6"/>
  <c r="E60" i="6"/>
  <c r="D60" i="6"/>
  <c r="C60" i="6"/>
  <c r="B60" i="6"/>
  <c r="H59" i="6"/>
  <c r="G59" i="6"/>
  <c r="F59" i="6"/>
  <c r="E59" i="6"/>
  <c r="D59" i="6"/>
  <c r="C59" i="6"/>
  <c r="B59" i="6"/>
  <c r="H58" i="6"/>
  <c r="G58" i="6"/>
  <c r="F58" i="6"/>
  <c r="E58" i="6"/>
  <c r="D58" i="6"/>
  <c r="C58" i="6"/>
  <c r="B58" i="6"/>
  <c r="H57" i="6"/>
  <c r="G57" i="6"/>
  <c r="F57" i="6"/>
  <c r="E57" i="6"/>
  <c r="D57" i="6"/>
  <c r="C57" i="6"/>
  <c r="B57" i="6"/>
  <c r="H56" i="6"/>
  <c r="G56" i="6"/>
  <c r="F56" i="6"/>
  <c r="E56" i="6"/>
  <c r="D56" i="6"/>
  <c r="C56" i="6"/>
  <c r="B56" i="6"/>
  <c r="H55" i="6"/>
  <c r="G55" i="6"/>
  <c r="F55" i="6"/>
  <c r="E55" i="6"/>
  <c r="D55" i="6"/>
  <c r="C55" i="6"/>
  <c r="B55" i="6"/>
  <c r="H54" i="6"/>
  <c r="G54" i="6"/>
  <c r="F54" i="6"/>
  <c r="E54" i="6"/>
  <c r="D54" i="6"/>
  <c r="C54" i="6"/>
  <c r="B54" i="6"/>
  <c r="H53" i="6"/>
  <c r="G53" i="6"/>
  <c r="F53" i="6"/>
  <c r="E53" i="6"/>
  <c r="D53" i="6"/>
  <c r="C53" i="6"/>
  <c r="B53" i="6"/>
  <c r="H52" i="6"/>
  <c r="G52" i="6"/>
  <c r="F52" i="6"/>
  <c r="E52" i="6"/>
  <c r="D52" i="6"/>
  <c r="C52" i="6"/>
  <c r="B52" i="6"/>
  <c r="H51" i="6"/>
  <c r="G51" i="6"/>
  <c r="F51" i="6"/>
  <c r="E51" i="6"/>
  <c r="D51" i="6"/>
  <c r="C51" i="6"/>
  <c r="B51" i="6"/>
  <c r="H50" i="6"/>
  <c r="G50" i="6"/>
  <c r="F50" i="6"/>
  <c r="E50" i="6"/>
  <c r="D50" i="6"/>
  <c r="C50" i="6"/>
  <c r="B50" i="6"/>
  <c r="H49" i="6"/>
  <c r="G49" i="6"/>
  <c r="F49" i="6"/>
  <c r="E49" i="6"/>
  <c r="D49" i="6"/>
  <c r="C49" i="6"/>
  <c r="B49" i="6"/>
  <c r="H48" i="6"/>
  <c r="G48" i="6"/>
  <c r="F48" i="6"/>
  <c r="E48" i="6"/>
  <c r="D48" i="6"/>
  <c r="C48" i="6"/>
  <c r="B48" i="6"/>
  <c r="H47" i="6"/>
  <c r="G47" i="6"/>
  <c r="F47" i="6"/>
  <c r="E47" i="6"/>
  <c r="D47" i="6"/>
  <c r="C47" i="6"/>
  <c r="B47" i="6"/>
  <c r="H46" i="6"/>
  <c r="G46" i="6"/>
  <c r="F46" i="6"/>
  <c r="E46" i="6"/>
  <c r="D46" i="6"/>
  <c r="C46" i="6"/>
  <c r="B46" i="6"/>
  <c r="H45" i="6"/>
  <c r="G45" i="6"/>
  <c r="F45" i="6"/>
  <c r="E45" i="6"/>
  <c r="D45" i="6"/>
  <c r="C45" i="6"/>
  <c r="B45" i="6"/>
  <c r="H44" i="6"/>
  <c r="G44" i="6"/>
  <c r="F44" i="6"/>
  <c r="E44" i="6"/>
  <c r="D44" i="6"/>
  <c r="C44" i="6"/>
  <c r="B44" i="6"/>
  <c r="H43" i="6"/>
  <c r="G43" i="6"/>
  <c r="F43" i="6"/>
  <c r="E43" i="6"/>
  <c r="D43" i="6"/>
  <c r="C43" i="6"/>
  <c r="B43" i="6"/>
  <c r="H42" i="6"/>
  <c r="G42" i="6"/>
  <c r="F42" i="6"/>
  <c r="E42" i="6"/>
  <c r="D42" i="6"/>
  <c r="C42" i="6"/>
  <c r="B42" i="6"/>
  <c r="H41" i="6"/>
  <c r="G41" i="6"/>
  <c r="F41" i="6"/>
  <c r="E41" i="6"/>
  <c r="D41" i="6"/>
  <c r="C41" i="6"/>
  <c r="B41" i="6"/>
  <c r="H40" i="6"/>
  <c r="G40" i="6"/>
  <c r="F40" i="6"/>
  <c r="E40" i="6"/>
  <c r="D40" i="6"/>
  <c r="C40" i="6"/>
  <c r="B40" i="6"/>
  <c r="H39" i="6"/>
  <c r="G39" i="6"/>
  <c r="F39" i="6"/>
  <c r="E39" i="6"/>
  <c r="D39" i="6"/>
  <c r="C39" i="6"/>
  <c r="B39" i="6"/>
  <c r="H38" i="6"/>
  <c r="G38" i="6"/>
  <c r="F38" i="6"/>
  <c r="E38" i="6"/>
  <c r="D38" i="6"/>
  <c r="C38" i="6"/>
  <c r="B38" i="6"/>
  <c r="H37" i="6"/>
  <c r="G37" i="6"/>
  <c r="F37" i="6"/>
  <c r="E37" i="6"/>
  <c r="D37" i="6"/>
  <c r="C37" i="6"/>
  <c r="B37" i="6"/>
  <c r="H36" i="6"/>
  <c r="G36" i="6"/>
  <c r="F36" i="6"/>
  <c r="E36" i="6"/>
  <c r="D36" i="6"/>
  <c r="C36" i="6"/>
  <c r="B36" i="6"/>
  <c r="H35" i="6"/>
  <c r="G35" i="6"/>
  <c r="F35" i="6"/>
  <c r="E35" i="6"/>
  <c r="D35" i="6"/>
  <c r="C35" i="6"/>
  <c r="B35" i="6"/>
  <c r="H34" i="6"/>
  <c r="G34" i="6"/>
  <c r="F34" i="6"/>
  <c r="E34" i="6"/>
  <c r="D34" i="6"/>
  <c r="C34" i="6"/>
  <c r="B34" i="6"/>
  <c r="H33" i="6"/>
  <c r="G33" i="6"/>
  <c r="F33" i="6"/>
  <c r="E33" i="6"/>
  <c r="D33" i="6"/>
  <c r="C33" i="6"/>
  <c r="B33" i="6"/>
  <c r="H32" i="6"/>
  <c r="G32" i="6"/>
  <c r="F32" i="6"/>
  <c r="E32" i="6"/>
  <c r="D32" i="6"/>
  <c r="C32" i="6"/>
  <c r="B32" i="6"/>
  <c r="H31" i="6"/>
  <c r="G31" i="6"/>
  <c r="F31" i="6"/>
  <c r="E31" i="6"/>
  <c r="D31" i="6"/>
  <c r="C31" i="6"/>
  <c r="B31" i="6"/>
  <c r="H30" i="6"/>
  <c r="G30" i="6"/>
  <c r="F30" i="6"/>
  <c r="E30" i="6"/>
  <c r="D30" i="6"/>
  <c r="C30" i="6"/>
  <c r="B30" i="6"/>
  <c r="H29" i="6"/>
  <c r="G29" i="6"/>
  <c r="F29" i="6"/>
  <c r="E29" i="6"/>
  <c r="D29" i="6"/>
  <c r="C29" i="6"/>
  <c r="B29" i="6"/>
  <c r="H28" i="6"/>
  <c r="G28" i="6"/>
  <c r="F28" i="6"/>
  <c r="E28" i="6"/>
  <c r="D28" i="6"/>
  <c r="C28" i="6"/>
  <c r="B28" i="6"/>
  <c r="H27" i="6"/>
  <c r="G27" i="6"/>
  <c r="F27" i="6"/>
  <c r="E27" i="6"/>
  <c r="D27" i="6"/>
  <c r="C27" i="6"/>
  <c r="B27" i="6"/>
  <c r="H26" i="6"/>
  <c r="G26" i="6"/>
  <c r="F26" i="6"/>
  <c r="E26" i="6"/>
  <c r="D26" i="6"/>
  <c r="C26" i="6"/>
  <c r="B26" i="6"/>
  <c r="H25" i="6"/>
  <c r="G25" i="6"/>
  <c r="F25" i="6"/>
  <c r="E25" i="6"/>
  <c r="D25" i="6"/>
  <c r="C25" i="6"/>
  <c r="B25" i="6"/>
  <c r="H24" i="6"/>
  <c r="G24" i="6"/>
  <c r="F24" i="6"/>
  <c r="E24" i="6"/>
  <c r="D24" i="6"/>
  <c r="C24" i="6"/>
  <c r="B24" i="6"/>
  <c r="H23" i="6"/>
  <c r="G23" i="6"/>
  <c r="F23" i="6"/>
  <c r="E23" i="6"/>
  <c r="D23" i="6"/>
  <c r="C23" i="6"/>
  <c r="B23" i="6"/>
  <c r="H22" i="6"/>
  <c r="G22" i="6"/>
  <c r="F22" i="6"/>
  <c r="E22" i="6"/>
  <c r="D22" i="6"/>
  <c r="C22" i="6"/>
  <c r="B22" i="6"/>
  <c r="H21" i="6"/>
  <c r="G21" i="6"/>
  <c r="F21" i="6"/>
  <c r="E21" i="6"/>
  <c r="D21" i="6"/>
  <c r="C21" i="6"/>
  <c r="B21" i="6"/>
  <c r="H20" i="6"/>
  <c r="G20" i="6"/>
  <c r="F20" i="6"/>
  <c r="E20" i="6"/>
  <c r="D20" i="6"/>
  <c r="C20" i="6"/>
  <c r="B20" i="6"/>
  <c r="H19" i="6"/>
  <c r="G19" i="6"/>
  <c r="F19" i="6"/>
  <c r="E19" i="6"/>
  <c r="D19" i="6"/>
  <c r="C19" i="6"/>
  <c r="B19" i="6"/>
  <c r="H18" i="6"/>
  <c r="G18" i="6"/>
  <c r="F18" i="6"/>
  <c r="E18" i="6"/>
  <c r="D18" i="6"/>
  <c r="C18" i="6"/>
  <c r="B18" i="6"/>
  <c r="H17" i="6"/>
  <c r="G17" i="6"/>
  <c r="F17" i="6"/>
  <c r="E17" i="6"/>
  <c r="D17" i="6"/>
  <c r="C17" i="6"/>
  <c r="B17" i="6"/>
  <c r="H16" i="6"/>
  <c r="G16" i="6"/>
  <c r="F16" i="6"/>
  <c r="E16" i="6"/>
  <c r="D16" i="6"/>
  <c r="C16" i="6"/>
  <c r="B16" i="6"/>
  <c r="H15" i="6"/>
  <c r="G15" i="6"/>
  <c r="F15" i="6"/>
  <c r="E15" i="6"/>
  <c r="D15" i="6"/>
  <c r="C15" i="6"/>
  <c r="B15" i="6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H7" i="6"/>
  <c r="H6" i="6" s="1"/>
  <c r="H4" i="6"/>
  <c r="H369" i="5"/>
  <c r="G369" i="5"/>
  <c r="F369" i="5"/>
  <c r="E369" i="5"/>
  <c r="D369" i="5"/>
  <c r="C369" i="5"/>
  <c r="B369" i="5"/>
  <c r="H368" i="5"/>
  <c r="G368" i="5"/>
  <c r="F368" i="5"/>
  <c r="E368" i="5"/>
  <c r="D368" i="5"/>
  <c r="C368" i="5"/>
  <c r="B368" i="5"/>
  <c r="H367" i="5"/>
  <c r="G367" i="5"/>
  <c r="F367" i="5"/>
  <c r="E367" i="5"/>
  <c r="D367" i="5"/>
  <c r="C367" i="5"/>
  <c r="B367" i="5"/>
  <c r="H366" i="5"/>
  <c r="G366" i="5"/>
  <c r="F366" i="5"/>
  <c r="E366" i="5"/>
  <c r="D366" i="5"/>
  <c r="C366" i="5"/>
  <c r="B366" i="5"/>
  <c r="H365" i="5"/>
  <c r="G365" i="5"/>
  <c r="F365" i="5"/>
  <c r="E365" i="5"/>
  <c r="D365" i="5"/>
  <c r="C365" i="5"/>
  <c r="B365" i="5"/>
  <c r="H364" i="5"/>
  <c r="G364" i="5"/>
  <c r="F364" i="5"/>
  <c r="E364" i="5"/>
  <c r="D364" i="5"/>
  <c r="C364" i="5"/>
  <c r="B364" i="5"/>
  <c r="H363" i="5"/>
  <c r="G363" i="5"/>
  <c r="F363" i="5"/>
  <c r="E363" i="5"/>
  <c r="D363" i="5"/>
  <c r="C363" i="5"/>
  <c r="B363" i="5"/>
  <c r="H362" i="5"/>
  <c r="G362" i="5"/>
  <c r="F362" i="5"/>
  <c r="E362" i="5"/>
  <c r="D362" i="5"/>
  <c r="C362" i="5"/>
  <c r="B362" i="5"/>
  <c r="H361" i="5"/>
  <c r="G361" i="5"/>
  <c r="F361" i="5"/>
  <c r="E361" i="5"/>
  <c r="D361" i="5"/>
  <c r="C361" i="5"/>
  <c r="B361" i="5"/>
  <c r="H360" i="5"/>
  <c r="G360" i="5"/>
  <c r="F360" i="5"/>
  <c r="E360" i="5"/>
  <c r="D360" i="5"/>
  <c r="C360" i="5"/>
  <c r="B360" i="5"/>
  <c r="H359" i="5"/>
  <c r="G359" i="5"/>
  <c r="F359" i="5"/>
  <c r="E359" i="5"/>
  <c r="D359" i="5"/>
  <c r="C359" i="5"/>
  <c r="B359" i="5"/>
  <c r="H358" i="5"/>
  <c r="G358" i="5"/>
  <c r="F358" i="5"/>
  <c r="E358" i="5"/>
  <c r="D358" i="5"/>
  <c r="C358" i="5"/>
  <c r="B358" i="5"/>
  <c r="H357" i="5"/>
  <c r="G357" i="5"/>
  <c r="F357" i="5"/>
  <c r="E357" i="5"/>
  <c r="D357" i="5"/>
  <c r="C357" i="5"/>
  <c r="B357" i="5"/>
  <c r="H356" i="5"/>
  <c r="G356" i="5"/>
  <c r="F356" i="5"/>
  <c r="E356" i="5"/>
  <c r="D356" i="5"/>
  <c r="C356" i="5"/>
  <c r="B356" i="5"/>
  <c r="H355" i="5"/>
  <c r="G355" i="5"/>
  <c r="F355" i="5"/>
  <c r="E355" i="5"/>
  <c r="D355" i="5"/>
  <c r="C355" i="5"/>
  <c r="B355" i="5"/>
  <c r="H354" i="5"/>
  <c r="G354" i="5"/>
  <c r="F354" i="5"/>
  <c r="E354" i="5"/>
  <c r="D354" i="5"/>
  <c r="C354" i="5"/>
  <c r="B354" i="5"/>
  <c r="H353" i="5"/>
  <c r="G353" i="5"/>
  <c r="F353" i="5"/>
  <c r="E353" i="5"/>
  <c r="D353" i="5"/>
  <c r="C353" i="5"/>
  <c r="B353" i="5"/>
  <c r="H352" i="5"/>
  <c r="G352" i="5"/>
  <c r="F352" i="5"/>
  <c r="E352" i="5"/>
  <c r="D352" i="5"/>
  <c r="C352" i="5"/>
  <c r="B352" i="5"/>
  <c r="H351" i="5"/>
  <c r="G351" i="5"/>
  <c r="F351" i="5"/>
  <c r="E351" i="5"/>
  <c r="D351" i="5"/>
  <c r="C351" i="5"/>
  <c r="B351" i="5"/>
  <c r="H350" i="5"/>
  <c r="G350" i="5"/>
  <c r="F350" i="5"/>
  <c r="E350" i="5"/>
  <c r="D350" i="5"/>
  <c r="C350" i="5"/>
  <c r="B350" i="5"/>
  <c r="H349" i="5"/>
  <c r="G349" i="5"/>
  <c r="F349" i="5"/>
  <c r="E349" i="5"/>
  <c r="D349" i="5"/>
  <c r="C349" i="5"/>
  <c r="B349" i="5"/>
  <c r="H348" i="5"/>
  <c r="G348" i="5"/>
  <c r="F348" i="5"/>
  <c r="E348" i="5"/>
  <c r="D348" i="5"/>
  <c r="C348" i="5"/>
  <c r="B348" i="5"/>
  <c r="H347" i="5"/>
  <c r="G347" i="5"/>
  <c r="F347" i="5"/>
  <c r="E347" i="5"/>
  <c r="D347" i="5"/>
  <c r="C347" i="5"/>
  <c r="B347" i="5"/>
  <c r="H346" i="5"/>
  <c r="G346" i="5"/>
  <c r="F346" i="5"/>
  <c r="E346" i="5"/>
  <c r="D346" i="5"/>
  <c r="C346" i="5"/>
  <c r="B346" i="5"/>
  <c r="H345" i="5"/>
  <c r="G345" i="5"/>
  <c r="F345" i="5"/>
  <c r="E345" i="5"/>
  <c r="D345" i="5"/>
  <c r="C345" i="5"/>
  <c r="B345" i="5"/>
  <c r="H344" i="5"/>
  <c r="G344" i="5"/>
  <c r="F344" i="5"/>
  <c r="E344" i="5"/>
  <c r="D344" i="5"/>
  <c r="C344" i="5"/>
  <c r="B344" i="5"/>
  <c r="H343" i="5"/>
  <c r="G343" i="5"/>
  <c r="F343" i="5"/>
  <c r="E343" i="5"/>
  <c r="D343" i="5"/>
  <c r="C343" i="5"/>
  <c r="B343" i="5"/>
  <c r="H342" i="5"/>
  <c r="G342" i="5"/>
  <c r="F342" i="5"/>
  <c r="E342" i="5"/>
  <c r="D342" i="5"/>
  <c r="C342" i="5"/>
  <c r="B342" i="5"/>
  <c r="H341" i="5"/>
  <c r="G341" i="5"/>
  <c r="F341" i="5"/>
  <c r="E341" i="5"/>
  <c r="D341" i="5"/>
  <c r="C341" i="5"/>
  <c r="B341" i="5"/>
  <c r="H340" i="5"/>
  <c r="G340" i="5"/>
  <c r="F340" i="5"/>
  <c r="E340" i="5"/>
  <c r="D340" i="5"/>
  <c r="C340" i="5"/>
  <c r="B340" i="5"/>
  <c r="H339" i="5"/>
  <c r="G339" i="5"/>
  <c r="F339" i="5"/>
  <c r="E339" i="5"/>
  <c r="D339" i="5"/>
  <c r="C339" i="5"/>
  <c r="B339" i="5"/>
  <c r="H338" i="5"/>
  <c r="G338" i="5"/>
  <c r="F338" i="5"/>
  <c r="E338" i="5"/>
  <c r="D338" i="5"/>
  <c r="C338" i="5"/>
  <c r="B338" i="5"/>
  <c r="H337" i="5"/>
  <c r="G337" i="5"/>
  <c r="F337" i="5"/>
  <c r="E337" i="5"/>
  <c r="D337" i="5"/>
  <c r="C337" i="5"/>
  <c r="B337" i="5"/>
  <c r="H336" i="5"/>
  <c r="G336" i="5"/>
  <c r="F336" i="5"/>
  <c r="E336" i="5"/>
  <c r="D336" i="5"/>
  <c r="C336" i="5"/>
  <c r="B336" i="5"/>
  <c r="H335" i="5"/>
  <c r="G335" i="5"/>
  <c r="F335" i="5"/>
  <c r="E335" i="5"/>
  <c r="D335" i="5"/>
  <c r="C335" i="5"/>
  <c r="B335" i="5"/>
  <c r="H334" i="5"/>
  <c r="G334" i="5"/>
  <c r="F334" i="5"/>
  <c r="E334" i="5"/>
  <c r="D334" i="5"/>
  <c r="C334" i="5"/>
  <c r="B334" i="5"/>
  <c r="H333" i="5"/>
  <c r="G333" i="5"/>
  <c r="F333" i="5"/>
  <c r="E333" i="5"/>
  <c r="D333" i="5"/>
  <c r="C333" i="5"/>
  <c r="B333" i="5"/>
  <c r="H332" i="5"/>
  <c r="G332" i="5"/>
  <c r="F332" i="5"/>
  <c r="E332" i="5"/>
  <c r="D332" i="5"/>
  <c r="C332" i="5"/>
  <c r="B332" i="5"/>
  <c r="H331" i="5"/>
  <c r="G331" i="5"/>
  <c r="F331" i="5"/>
  <c r="E331" i="5"/>
  <c r="D331" i="5"/>
  <c r="C331" i="5"/>
  <c r="B331" i="5"/>
  <c r="H330" i="5"/>
  <c r="G330" i="5"/>
  <c r="F330" i="5"/>
  <c r="E330" i="5"/>
  <c r="D330" i="5"/>
  <c r="C330" i="5"/>
  <c r="B330" i="5"/>
  <c r="H329" i="5"/>
  <c r="G329" i="5"/>
  <c r="F329" i="5"/>
  <c r="E329" i="5"/>
  <c r="D329" i="5"/>
  <c r="C329" i="5"/>
  <c r="B329" i="5"/>
  <c r="H328" i="5"/>
  <c r="G328" i="5"/>
  <c r="F328" i="5"/>
  <c r="E328" i="5"/>
  <c r="D328" i="5"/>
  <c r="C328" i="5"/>
  <c r="B328" i="5"/>
  <c r="H327" i="5"/>
  <c r="G327" i="5"/>
  <c r="F327" i="5"/>
  <c r="E327" i="5"/>
  <c r="D327" i="5"/>
  <c r="C327" i="5"/>
  <c r="B327" i="5"/>
  <c r="H326" i="5"/>
  <c r="G326" i="5"/>
  <c r="F326" i="5"/>
  <c r="E326" i="5"/>
  <c r="D326" i="5"/>
  <c r="C326" i="5"/>
  <c r="B326" i="5"/>
  <c r="H325" i="5"/>
  <c r="G325" i="5"/>
  <c r="F325" i="5"/>
  <c r="E325" i="5"/>
  <c r="D325" i="5"/>
  <c r="C325" i="5"/>
  <c r="B325" i="5"/>
  <c r="H324" i="5"/>
  <c r="G324" i="5"/>
  <c r="F324" i="5"/>
  <c r="E324" i="5"/>
  <c r="D324" i="5"/>
  <c r="C324" i="5"/>
  <c r="B324" i="5"/>
  <c r="H323" i="5"/>
  <c r="G323" i="5"/>
  <c r="F323" i="5"/>
  <c r="E323" i="5"/>
  <c r="D323" i="5"/>
  <c r="C323" i="5"/>
  <c r="B323" i="5"/>
  <c r="H322" i="5"/>
  <c r="G322" i="5"/>
  <c r="F322" i="5"/>
  <c r="E322" i="5"/>
  <c r="D322" i="5"/>
  <c r="C322" i="5"/>
  <c r="B322" i="5"/>
  <c r="H321" i="5"/>
  <c r="G321" i="5"/>
  <c r="F321" i="5"/>
  <c r="E321" i="5"/>
  <c r="D321" i="5"/>
  <c r="C321" i="5"/>
  <c r="B321" i="5"/>
  <c r="H320" i="5"/>
  <c r="G320" i="5"/>
  <c r="F320" i="5"/>
  <c r="E320" i="5"/>
  <c r="D320" i="5"/>
  <c r="C320" i="5"/>
  <c r="B320" i="5"/>
  <c r="H319" i="5"/>
  <c r="G319" i="5"/>
  <c r="F319" i="5"/>
  <c r="E319" i="5"/>
  <c r="D319" i="5"/>
  <c r="C319" i="5"/>
  <c r="B319" i="5"/>
  <c r="H318" i="5"/>
  <c r="G318" i="5"/>
  <c r="F318" i="5"/>
  <c r="E318" i="5"/>
  <c r="D318" i="5"/>
  <c r="C318" i="5"/>
  <c r="B318" i="5"/>
  <c r="H317" i="5"/>
  <c r="G317" i="5"/>
  <c r="F317" i="5"/>
  <c r="E317" i="5"/>
  <c r="D317" i="5"/>
  <c r="C317" i="5"/>
  <c r="B317" i="5"/>
  <c r="H316" i="5"/>
  <c r="G316" i="5"/>
  <c r="F316" i="5"/>
  <c r="E316" i="5"/>
  <c r="D316" i="5"/>
  <c r="C316" i="5"/>
  <c r="B316" i="5"/>
  <c r="H315" i="5"/>
  <c r="G315" i="5"/>
  <c r="F315" i="5"/>
  <c r="E315" i="5"/>
  <c r="D315" i="5"/>
  <c r="C315" i="5"/>
  <c r="B315" i="5"/>
  <c r="H314" i="5"/>
  <c r="G314" i="5"/>
  <c r="F314" i="5"/>
  <c r="E314" i="5"/>
  <c r="D314" i="5"/>
  <c r="C314" i="5"/>
  <c r="B314" i="5"/>
  <c r="H313" i="5"/>
  <c r="G313" i="5"/>
  <c r="F313" i="5"/>
  <c r="E313" i="5"/>
  <c r="D313" i="5"/>
  <c r="C313" i="5"/>
  <c r="B313" i="5"/>
  <c r="H312" i="5"/>
  <c r="G312" i="5"/>
  <c r="F312" i="5"/>
  <c r="E312" i="5"/>
  <c r="D312" i="5"/>
  <c r="C312" i="5"/>
  <c r="B312" i="5"/>
  <c r="H311" i="5"/>
  <c r="G311" i="5"/>
  <c r="F311" i="5"/>
  <c r="E311" i="5"/>
  <c r="D311" i="5"/>
  <c r="C311" i="5"/>
  <c r="B311" i="5"/>
  <c r="H310" i="5"/>
  <c r="G310" i="5"/>
  <c r="F310" i="5"/>
  <c r="E310" i="5"/>
  <c r="D310" i="5"/>
  <c r="C310" i="5"/>
  <c r="B310" i="5"/>
  <c r="H309" i="5"/>
  <c r="G309" i="5"/>
  <c r="F309" i="5"/>
  <c r="E309" i="5"/>
  <c r="D309" i="5"/>
  <c r="C309" i="5"/>
  <c r="B309" i="5"/>
  <c r="H308" i="5"/>
  <c r="G308" i="5"/>
  <c r="F308" i="5"/>
  <c r="E308" i="5"/>
  <c r="D308" i="5"/>
  <c r="C308" i="5"/>
  <c r="B308" i="5"/>
  <c r="H307" i="5"/>
  <c r="G307" i="5"/>
  <c r="F307" i="5"/>
  <c r="E307" i="5"/>
  <c r="D307" i="5"/>
  <c r="C307" i="5"/>
  <c r="B307" i="5"/>
  <c r="H306" i="5"/>
  <c r="G306" i="5"/>
  <c r="F306" i="5"/>
  <c r="E306" i="5"/>
  <c r="D306" i="5"/>
  <c r="C306" i="5"/>
  <c r="B306" i="5"/>
  <c r="H305" i="5"/>
  <c r="G305" i="5"/>
  <c r="F305" i="5"/>
  <c r="E305" i="5"/>
  <c r="D305" i="5"/>
  <c r="C305" i="5"/>
  <c r="B305" i="5"/>
  <c r="H304" i="5"/>
  <c r="G304" i="5"/>
  <c r="F304" i="5"/>
  <c r="E304" i="5"/>
  <c r="D304" i="5"/>
  <c r="C304" i="5"/>
  <c r="B304" i="5"/>
  <c r="H303" i="5"/>
  <c r="G303" i="5"/>
  <c r="F303" i="5"/>
  <c r="E303" i="5"/>
  <c r="D303" i="5"/>
  <c r="C303" i="5"/>
  <c r="B303" i="5"/>
  <c r="H302" i="5"/>
  <c r="G302" i="5"/>
  <c r="F302" i="5"/>
  <c r="E302" i="5"/>
  <c r="D302" i="5"/>
  <c r="C302" i="5"/>
  <c r="B302" i="5"/>
  <c r="H301" i="5"/>
  <c r="G301" i="5"/>
  <c r="F301" i="5"/>
  <c r="E301" i="5"/>
  <c r="D301" i="5"/>
  <c r="C301" i="5"/>
  <c r="B301" i="5"/>
  <c r="H300" i="5"/>
  <c r="G300" i="5"/>
  <c r="F300" i="5"/>
  <c r="E300" i="5"/>
  <c r="D300" i="5"/>
  <c r="C300" i="5"/>
  <c r="B300" i="5"/>
  <c r="H299" i="5"/>
  <c r="G299" i="5"/>
  <c r="F299" i="5"/>
  <c r="E299" i="5"/>
  <c r="D299" i="5"/>
  <c r="C299" i="5"/>
  <c r="B299" i="5"/>
  <c r="H298" i="5"/>
  <c r="G298" i="5"/>
  <c r="F298" i="5"/>
  <c r="E298" i="5"/>
  <c r="D298" i="5"/>
  <c r="C298" i="5"/>
  <c r="B298" i="5"/>
  <c r="H297" i="5"/>
  <c r="G297" i="5"/>
  <c r="F297" i="5"/>
  <c r="E297" i="5"/>
  <c r="D297" i="5"/>
  <c r="C297" i="5"/>
  <c r="B297" i="5"/>
  <c r="H296" i="5"/>
  <c r="G296" i="5"/>
  <c r="F296" i="5"/>
  <c r="E296" i="5"/>
  <c r="D296" i="5"/>
  <c r="C296" i="5"/>
  <c r="B296" i="5"/>
  <c r="H295" i="5"/>
  <c r="G295" i="5"/>
  <c r="F295" i="5"/>
  <c r="E295" i="5"/>
  <c r="D295" i="5"/>
  <c r="C295" i="5"/>
  <c r="B295" i="5"/>
  <c r="H294" i="5"/>
  <c r="G294" i="5"/>
  <c r="F294" i="5"/>
  <c r="E294" i="5"/>
  <c r="D294" i="5"/>
  <c r="C294" i="5"/>
  <c r="B294" i="5"/>
  <c r="H293" i="5"/>
  <c r="G293" i="5"/>
  <c r="F293" i="5"/>
  <c r="E293" i="5"/>
  <c r="D293" i="5"/>
  <c r="C293" i="5"/>
  <c r="B293" i="5"/>
  <c r="H292" i="5"/>
  <c r="G292" i="5"/>
  <c r="F292" i="5"/>
  <c r="E292" i="5"/>
  <c r="D292" i="5"/>
  <c r="C292" i="5"/>
  <c r="B292" i="5"/>
  <c r="H291" i="5"/>
  <c r="G291" i="5"/>
  <c r="F291" i="5"/>
  <c r="E291" i="5"/>
  <c r="D291" i="5"/>
  <c r="C291" i="5"/>
  <c r="B291" i="5"/>
  <c r="H290" i="5"/>
  <c r="G290" i="5"/>
  <c r="F290" i="5"/>
  <c r="E290" i="5"/>
  <c r="D290" i="5"/>
  <c r="C290" i="5"/>
  <c r="B290" i="5"/>
  <c r="H289" i="5"/>
  <c r="G289" i="5"/>
  <c r="F289" i="5"/>
  <c r="E289" i="5"/>
  <c r="D289" i="5"/>
  <c r="C289" i="5"/>
  <c r="B289" i="5"/>
  <c r="H288" i="5"/>
  <c r="G288" i="5"/>
  <c r="F288" i="5"/>
  <c r="E288" i="5"/>
  <c r="D288" i="5"/>
  <c r="C288" i="5"/>
  <c r="B288" i="5"/>
  <c r="H287" i="5"/>
  <c r="G287" i="5"/>
  <c r="F287" i="5"/>
  <c r="E287" i="5"/>
  <c r="D287" i="5"/>
  <c r="C287" i="5"/>
  <c r="B287" i="5"/>
  <c r="H286" i="5"/>
  <c r="G286" i="5"/>
  <c r="F286" i="5"/>
  <c r="E286" i="5"/>
  <c r="D286" i="5"/>
  <c r="C286" i="5"/>
  <c r="B286" i="5"/>
  <c r="H285" i="5"/>
  <c r="G285" i="5"/>
  <c r="F285" i="5"/>
  <c r="E285" i="5"/>
  <c r="D285" i="5"/>
  <c r="C285" i="5"/>
  <c r="B285" i="5"/>
  <c r="H284" i="5"/>
  <c r="G284" i="5"/>
  <c r="F284" i="5"/>
  <c r="E284" i="5"/>
  <c r="D284" i="5"/>
  <c r="C284" i="5"/>
  <c r="B284" i="5"/>
  <c r="H283" i="5"/>
  <c r="G283" i="5"/>
  <c r="F283" i="5"/>
  <c r="E283" i="5"/>
  <c r="D283" i="5"/>
  <c r="C283" i="5"/>
  <c r="B283" i="5"/>
  <c r="H282" i="5"/>
  <c r="G282" i="5"/>
  <c r="F282" i="5"/>
  <c r="E282" i="5"/>
  <c r="D282" i="5"/>
  <c r="C282" i="5"/>
  <c r="B282" i="5"/>
  <c r="H281" i="5"/>
  <c r="G281" i="5"/>
  <c r="F281" i="5"/>
  <c r="E281" i="5"/>
  <c r="D281" i="5"/>
  <c r="C281" i="5"/>
  <c r="B281" i="5"/>
  <c r="H280" i="5"/>
  <c r="G280" i="5"/>
  <c r="F280" i="5"/>
  <c r="E280" i="5"/>
  <c r="D280" i="5"/>
  <c r="C280" i="5"/>
  <c r="B280" i="5"/>
  <c r="H279" i="5"/>
  <c r="G279" i="5"/>
  <c r="F279" i="5"/>
  <c r="E279" i="5"/>
  <c r="D279" i="5"/>
  <c r="C279" i="5"/>
  <c r="B279" i="5"/>
  <c r="H278" i="5"/>
  <c r="G278" i="5"/>
  <c r="F278" i="5"/>
  <c r="E278" i="5"/>
  <c r="D278" i="5"/>
  <c r="C278" i="5"/>
  <c r="B278" i="5"/>
  <c r="H277" i="5"/>
  <c r="G277" i="5"/>
  <c r="F277" i="5"/>
  <c r="E277" i="5"/>
  <c r="D277" i="5"/>
  <c r="C277" i="5"/>
  <c r="B277" i="5"/>
  <c r="H276" i="5"/>
  <c r="G276" i="5"/>
  <c r="F276" i="5"/>
  <c r="E276" i="5"/>
  <c r="D276" i="5"/>
  <c r="C276" i="5"/>
  <c r="B276" i="5"/>
  <c r="H275" i="5"/>
  <c r="G275" i="5"/>
  <c r="F275" i="5"/>
  <c r="E275" i="5"/>
  <c r="D275" i="5"/>
  <c r="C275" i="5"/>
  <c r="B275" i="5"/>
  <c r="H274" i="5"/>
  <c r="G274" i="5"/>
  <c r="F274" i="5"/>
  <c r="E274" i="5"/>
  <c r="D274" i="5"/>
  <c r="C274" i="5"/>
  <c r="B274" i="5"/>
  <c r="H273" i="5"/>
  <c r="G273" i="5"/>
  <c r="F273" i="5"/>
  <c r="E273" i="5"/>
  <c r="D273" i="5"/>
  <c r="C273" i="5"/>
  <c r="B273" i="5"/>
  <c r="H272" i="5"/>
  <c r="G272" i="5"/>
  <c r="F272" i="5"/>
  <c r="E272" i="5"/>
  <c r="D272" i="5"/>
  <c r="C272" i="5"/>
  <c r="B272" i="5"/>
  <c r="H271" i="5"/>
  <c r="G271" i="5"/>
  <c r="F271" i="5"/>
  <c r="E271" i="5"/>
  <c r="D271" i="5"/>
  <c r="C271" i="5"/>
  <c r="B271" i="5"/>
  <c r="H270" i="5"/>
  <c r="G270" i="5"/>
  <c r="F270" i="5"/>
  <c r="E270" i="5"/>
  <c r="D270" i="5"/>
  <c r="C270" i="5"/>
  <c r="B270" i="5"/>
  <c r="H269" i="5"/>
  <c r="G269" i="5"/>
  <c r="F269" i="5"/>
  <c r="E269" i="5"/>
  <c r="D269" i="5"/>
  <c r="C269" i="5"/>
  <c r="B269" i="5"/>
  <c r="H268" i="5"/>
  <c r="G268" i="5"/>
  <c r="F268" i="5"/>
  <c r="E268" i="5"/>
  <c r="D268" i="5"/>
  <c r="C268" i="5"/>
  <c r="B268" i="5"/>
  <c r="H267" i="5"/>
  <c r="G267" i="5"/>
  <c r="F267" i="5"/>
  <c r="E267" i="5"/>
  <c r="D267" i="5"/>
  <c r="C267" i="5"/>
  <c r="B267" i="5"/>
  <c r="H266" i="5"/>
  <c r="G266" i="5"/>
  <c r="F266" i="5"/>
  <c r="E266" i="5"/>
  <c r="D266" i="5"/>
  <c r="C266" i="5"/>
  <c r="B266" i="5"/>
  <c r="H265" i="5"/>
  <c r="G265" i="5"/>
  <c r="F265" i="5"/>
  <c r="E265" i="5"/>
  <c r="D265" i="5"/>
  <c r="C265" i="5"/>
  <c r="B265" i="5"/>
  <c r="H264" i="5"/>
  <c r="G264" i="5"/>
  <c r="F264" i="5"/>
  <c r="E264" i="5"/>
  <c r="D264" i="5"/>
  <c r="C264" i="5"/>
  <c r="B264" i="5"/>
  <c r="H263" i="5"/>
  <c r="G263" i="5"/>
  <c r="F263" i="5"/>
  <c r="E263" i="5"/>
  <c r="D263" i="5"/>
  <c r="C263" i="5"/>
  <c r="B263" i="5"/>
  <c r="H262" i="5"/>
  <c r="G262" i="5"/>
  <c r="F262" i="5"/>
  <c r="E262" i="5"/>
  <c r="D262" i="5"/>
  <c r="C262" i="5"/>
  <c r="B262" i="5"/>
  <c r="H261" i="5"/>
  <c r="G261" i="5"/>
  <c r="F261" i="5"/>
  <c r="E261" i="5"/>
  <c r="D261" i="5"/>
  <c r="C261" i="5"/>
  <c r="B261" i="5"/>
  <c r="H260" i="5"/>
  <c r="G260" i="5"/>
  <c r="F260" i="5"/>
  <c r="E260" i="5"/>
  <c r="D260" i="5"/>
  <c r="C260" i="5"/>
  <c r="B260" i="5"/>
  <c r="H259" i="5"/>
  <c r="G259" i="5"/>
  <c r="F259" i="5"/>
  <c r="E259" i="5"/>
  <c r="D259" i="5"/>
  <c r="C259" i="5"/>
  <c r="B259" i="5"/>
  <c r="H258" i="5"/>
  <c r="G258" i="5"/>
  <c r="F258" i="5"/>
  <c r="E258" i="5"/>
  <c r="D258" i="5"/>
  <c r="C258" i="5"/>
  <c r="B258" i="5"/>
  <c r="H257" i="5"/>
  <c r="G257" i="5"/>
  <c r="F257" i="5"/>
  <c r="E257" i="5"/>
  <c r="D257" i="5"/>
  <c r="C257" i="5"/>
  <c r="B257" i="5"/>
  <c r="H256" i="5"/>
  <c r="G256" i="5"/>
  <c r="F256" i="5"/>
  <c r="E256" i="5"/>
  <c r="D256" i="5"/>
  <c r="C256" i="5"/>
  <c r="B256" i="5"/>
  <c r="H255" i="5"/>
  <c r="G255" i="5"/>
  <c r="F255" i="5"/>
  <c r="E255" i="5"/>
  <c r="D255" i="5"/>
  <c r="C255" i="5"/>
  <c r="B255" i="5"/>
  <c r="H254" i="5"/>
  <c r="G254" i="5"/>
  <c r="F254" i="5"/>
  <c r="E254" i="5"/>
  <c r="D254" i="5"/>
  <c r="C254" i="5"/>
  <c r="B254" i="5"/>
  <c r="H253" i="5"/>
  <c r="G253" i="5"/>
  <c r="F253" i="5"/>
  <c r="E253" i="5"/>
  <c r="D253" i="5"/>
  <c r="C253" i="5"/>
  <c r="B253" i="5"/>
  <c r="H252" i="5"/>
  <c r="G252" i="5"/>
  <c r="F252" i="5"/>
  <c r="E252" i="5"/>
  <c r="D252" i="5"/>
  <c r="C252" i="5"/>
  <c r="B252" i="5"/>
  <c r="H251" i="5"/>
  <c r="G251" i="5"/>
  <c r="F251" i="5"/>
  <c r="E251" i="5"/>
  <c r="D251" i="5"/>
  <c r="C251" i="5"/>
  <c r="B251" i="5"/>
  <c r="H250" i="5"/>
  <c r="G250" i="5"/>
  <c r="F250" i="5"/>
  <c r="E250" i="5"/>
  <c r="D250" i="5"/>
  <c r="C250" i="5"/>
  <c r="B250" i="5"/>
  <c r="H249" i="5"/>
  <c r="G249" i="5"/>
  <c r="F249" i="5"/>
  <c r="E249" i="5"/>
  <c r="D249" i="5"/>
  <c r="C249" i="5"/>
  <c r="B249" i="5"/>
  <c r="H248" i="5"/>
  <c r="G248" i="5"/>
  <c r="F248" i="5"/>
  <c r="E248" i="5"/>
  <c r="D248" i="5"/>
  <c r="C248" i="5"/>
  <c r="B248" i="5"/>
  <c r="H247" i="5"/>
  <c r="G247" i="5"/>
  <c r="F247" i="5"/>
  <c r="E247" i="5"/>
  <c r="D247" i="5"/>
  <c r="C247" i="5"/>
  <c r="B247" i="5"/>
  <c r="H246" i="5"/>
  <c r="G246" i="5"/>
  <c r="F246" i="5"/>
  <c r="E246" i="5"/>
  <c r="D246" i="5"/>
  <c r="C246" i="5"/>
  <c r="B246" i="5"/>
  <c r="H245" i="5"/>
  <c r="G245" i="5"/>
  <c r="F245" i="5"/>
  <c r="E245" i="5"/>
  <c r="D245" i="5"/>
  <c r="C245" i="5"/>
  <c r="B245" i="5"/>
  <c r="H244" i="5"/>
  <c r="G244" i="5"/>
  <c r="F244" i="5"/>
  <c r="E244" i="5"/>
  <c r="D244" i="5"/>
  <c r="C244" i="5"/>
  <c r="B244" i="5"/>
  <c r="H243" i="5"/>
  <c r="G243" i="5"/>
  <c r="F243" i="5"/>
  <c r="E243" i="5"/>
  <c r="D243" i="5"/>
  <c r="C243" i="5"/>
  <c r="B243" i="5"/>
  <c r="H242" i="5"/>
  <c r="G242" i="5"/>
  <c r="F242" i="5"/>
  <c r="E242" i="5"/>
  <c r="D242" i="5"/>
  <c r="C242" i="5"/>
  <c r="B242" i="5"/>
  <c r="H241" i="5"/>
  <c r="G241" i="5"/>
  <c r="F241" i="5"/>
  <c r="E241" i="5"/>
  <c r="D241" i="5"/>
  <c r="C241" i="5"/>
  <c r="B241" i="5"/>
  <c r="H240" i="5"/>
  <c r="G240" i="5"/>
  <c r="F240" i="5"/>
  <c r="E240" i="5"/>
  <c r="D240" i="5"/>
  <c r="C240" i="5"/>
  <c r="B240" i="5"/>
  <c r="H239" i="5"/>
  <c r="G239" i="5"/>
  <c r="F239" i="5"/>
  <c r="E239" i="5"/>
  <c r="D239" i="5"/>
  <c r="C239" i="5"/>
  <c r="B239" i="5"/>
  <c r="H238" i="5"/>
  <c r="G238" i="5"/>
  <c r="F238" i="5"/>
  <c r="E238" i="5"/>
  <c r="D238" i="5"/>
  <c r="C238" i="5"/>
  <c r="B238" i="5"/>
  <c r="H237" i="5"/>
  <c r="G237" i="5"/>
  <c r="F237" i="5"/>
  <c r="E237" i="5"/>
  <c r="D237" i="5"/>
  <c r="C237" i="5"/>
  <c r="B237" i="5"/>
  <c r="H236" i="5"/>
  <c r="G236" i="5"/>
  <c r="F236" i="5"/>
  <c r="E236" i="5"/>
  <c r="D236" i="5"/>
  <c r="C236" i="5"/>
  <c r="B236" i="5"/>
  <c r="H235" i="5"/>
  <c r="G235" i="5"/>
  <c r="F235" i="5"/>
  <c r="E235" i="5"/>
  <c r="D235" i="5"/>
  <c r="C235" i="5"/>
  <c r="B235" i="5"/>
  <c r="H234" i="5"/>
  <c r="G234" i="5"/>
  <c r="F234" i="5"/>
  <c r="E234" i="5"/>
  <c r="D234" i="5"/>
  <c r="C234" i="5"/>
  <c r="B234" i="5"/>
  <c r="H233" i="5"/>
  <c r="G233" i="5"/>
  <c r="F233" i="5"/>
  <c r="E233" i="5"/>
  <c r="D233" i="5"/>
  <c r="C233" i="5"/>
  <c r="B233" i="5"/>
  <c r="H232" i="5"/>
  <c r="G232" i="5"/>
  <c r="F232" i="5"/>
  <c r="E232" i="5"/>
  <c r="D232" i="5"/>
  <c r="C232" i="5"/>
  <c r="B232" i="5"/>
  <c r="H231" i="5"/>
  <c r="G231" i="5"/>
  <c r="F231" i="5"/>
  <c r="E231" i="5"/>
  <c r="D231" i="5"/>
  <c r="C231" i="5"/>
  <c r="B231" i="5"/>
  <c r="H230" i="5"/>
  <c r="G230" i="5"/>
  <c r="F230" i="5"/>
  <c r="E230" i="5"/>
  <c r="D230" i="5"/>
  <c r="C230" i="5"/>
  <c r="B230" i="5"/>
  <c r="H229" i="5"/>
  <c r="G229" i="5"/>
  <c r="F229" i="5"/>
  <c r="E229" i="5"/>
  <c r="D229" i="5"/>
  <c r="C229" i="5"/>
  <c r="B229" i="5"/>
  <c r="H228" i="5"/>
  <c r="G228" i="5"/>
  <c r="F228" i="5"/>
  <c r="E228" i="5"/>
  <c r="D228" i="5"/>
  <c r="C228" i="5"/>
  <c r="B228" i="5"/>
  <c r="H227" i="5"/>
  <c r="G227" i="5"/>
  <c r="F227" i="5"/>
  <c r="E227" i="5"/>
  <c r="D227" i="5"/>
  <c r="C227" i="5"/>
  <c r="B227" i="5"/>
  <c r="H226" i="5"/>
  <c r="G226" i="5"/>
  <c r="F226" i="5"/>
  <c r="E226" i="5"/>
  <c r="D226" i="5"/>
  <c r="C226" i="5"/>
  <c r="B226" i="5"/>
  <c r="H225" i="5"/>
  <c r="G225" i="5"/>
  <c r="F225" i="5"/>
  <c r="E225" i="5"/>
  <c r="D225" i="5"/>
  <c r="C225" i="5"/>
  <c r="B225" i="5"/>
  <c r="H224" i="5"/>
  <c r="G224" i="5"/>
  <c r="F224" i="5"/>
  <c r="E224" i="5"/>
  <c r="D224" i="5"/>
  <c r="C224" i="5"/>
  <c r="B224" i="5"/>
  <c r="H223" i="5"/>
  <c r="G223" i="5"/>
  <c r="F223" i="5"/>
  <c r="E223" i="5"/>
  <c r="D223" i="5"/>
  <c r="C223" i="5"/>
  <c r="B223" i="5"/>
  <c r="H222" i="5"/>
  <c r="G222" i="5"/>
  <c r="F222" i="5"/>
  <c r="E222" i="5"/>
  <c r="D222" i="5"/>
  <c r="C222" i="5"/>
  <c r="B222" i="5"/>
  <c r="H221" i="5"/>
  <c r="G221" i="5"/>
  <c r="F221" i="5"/>
  <c r="E221" i="5"/>
  <c r="D221" i="5"/>
  <c r="C221" i="5"/>
  <c r="B221" i="5"/>
  <c r="H220" i="5"/>
  <c r="G220" i="5"/>
  <c r="F220" i="5"/>
  <c r="E220" i="5"/>
  <c r="D220" i="5"/>
  <c r="C220" i="5"/>
  <c r="B220" i="5"/>
  <c r="H219" i="5"/>
  <c r="G219" i="5"/>
  <c r="F219" i="5"/>
  <c r="E219" i="5"/>
  <c r="D219" i="5"/>
  <c r="C219" i="5"/>
  <c r="B219" i="5"/>
  <c r="H218" i="5"/>
  <c r="G218" i="5"/>
  <c r="F218" i="5"/>
  <c r="E218" i="5"/>
  <c r="D218" i="5"/>
  <c r="C218" i="5"/>
  <c r="B218" i="5"/>
  <c r="H217" i="5"/>
  <c r="G217" i="5"/>
  <c r="F217" i="5"/>
  <c r="E217" i="5"/>
  <c r="D217" i="5"/>
  <c r="C217" i="5"/>
  <c r="B217" i="5"/>
  <c r="H216" i="5"/>
  <c r="G216" i="5"/>
  <c r="F216" i="5"/>
  <c r="E216" i="5"/>
  <c r="D216" i="5"/>
  <c r="C216" i="5"/>
  <c r="B216" i="5"/>
  <c r="H215" i="5"/>
  <c r="G215" i="5"/>
  <c r="F215" i="5"/>
  <c r="E215" i="5"/>
  <c r="D215" i="5"/>
  <c r="C215" i="5"/>
  <c r="B215" i="5"/>
  <c r="H214" i="5"/>
  <c r="G214" i="5"/>
  <c r="F214" i="5"/>
  <c r="E214" i="5"/>
  <c r="D214" i="5"/>
  <c r="C214" i="5"/>
  <c r="B214" i="5"/>
  <c r="H213" i="5"/>
  <c r="G213" i="5"/>
  <c r="F213" i="5"/>
  <c r="E213" i="5"/>
  <c r="D213" i="5"/>
  <c r="C213" i="5"/>
  <c r="B213" i="5"/>
  <c r="H212" i="5"/>
  <c r="G212" i="5"/>
  <c r="F212" i="5"/>
  <c r="E212" i="5"/>
  <c r="D212" i="5"/>
  <c r="C212" i="5"/>
  <c r="B212" i="5"/>
  <c r="H211" i="5"/>
  <c r="G211" i="5"/>
  <c r="F211" i="5"/>
  <c r="E211" i="5"/>
  <c r="D211" i="5"/>
  <c r="C211" i="5"/>
  <c r="B211" i="5"/>
  <c r="H210" i="5"/>
  <c r="G210" i="5"/>
  <c r="F210" i="5"/>
  <c r="E210" i="5"/>
  <c r="D210" i="5"/>
  <c r="C210" i="5"/>
  <c r="B210" i="5"/>
  <c r="H209" i="5"/>
  <c r="G209" i="5"/>
  <c r="F209" i="5"/>
  <c r="E209" i="5"/>
  <c r="D209" i="5"/>
  <c r="C209" i="5"/>
  <c r="B209" i="5"/>
  <c r="H208" i="5"/>
  <c r="G208" i="5"/>
  <c r="F208" i="5"/>
  <c r="E208" i="5"/>
  <c r="D208" i="5"/>
  <c r="C208" i="5"/>
  <c r="B208" i="5"/>
  <c r="H207" i="5"/>
  <c r="G207" i="5"/>
  <c r="F207" i="5"/>
  <c r="E207" i="5"/>
  <c r="D207" i="5"/>
  <c r="C207" i="5"/>
  <c r="B207" i="5"/>
  <c r="H206" i="5"/>
  <c r="G206" i="5"/>
  <c r="F206" i="5"/>
  <c r="E206" i="5"/>
  <c r="D206" i="5"/>
  <c r="C206" i="5"/>
  <c r="B206" i="5"/>
  <c r="H205" i="5"/>
  <c r="G205" i="5"/>
  <c r="F205" i="5"/>
  <c r="E205" i="5"/>
  <c r="D205" i="5"/>
  <c r="C205" i="5"/>
  <c r="B205" i="5"/>
  <c r="H204" i="5"/>
  <c r="G204" i="5"/>
  <c r="F204" i="5"/>
  <c r="E204" i="5"/>
  <c r="D204" i="5"/>
  <c r="C204" i="5"/>
  <c r="B204" i="5"/>
  <c r="H203" i="5"/>
  <c r="G203" i="5"/>
  <c r="F203" i="5"/>
  <c r="E203" i="5"/>
  <c r="D203" i="5"/>
  <c r="C203" i="5"/>
  <c r="B203" i="5"/>
  <c r="H202" i="5"/>
  <c r="G202" i="5"/>
  <c r="F202" i="5"/>
  <c r="E202" i="5"/>
  <c r="D202" i="5"/>
  <c r="C202" i="5"/>
  <c r="B202" i="5"/>
  <c r="H201" i="5"/>
  <c r="G201" i="5"/>
  <c r="F201" i="5"/>
  <c r="E201" i="5"/>
  <c r="D201" i="5"/>
  <c r="C201" i="5"/>
  <c r="B201" i="5"/>
  <c r="H200" i="5"/>
  <c r="G200" i="5"/>
  <c r="F200" i="5"/>
  <c r="E200" i="5"/>
  <c r="D200" i="5"/>
  <c r="C200" i="5"/>
  <c r="B200" i="5"/>
  <c r="H199" i="5"/>
  <c r="G199" i="5"/>
  <c r="F199" i="5"/>
  <c r="E199" i="5"/>
  <c r="D199" i="5"/>
  <c r="C199" i="5"/>
  <c r="B199" i="5"/>
  <c r="H198" i="5"/>
  <c r="G198" i="5"/>
  <c r="F198" i="5"/>
  <c r="E198" i="5"/>
  <c r="D198" i="5"/>
  <c r="C198" i="5"/>
  <c r="B198" i="5"/>
  <c r="H197" i="5"/>
  <c r="G197" i="5"/>
  <c r="F197" i="5"/>
  <c r="E197" i="5"/>
  <c r="D197" i="5"/>
  <c r="C197" i="5"/>
  <c r="B197" i="5"/>
  <c r="H196" i="5"/>
  <c r="G196" i="5"/>
  <c r="F196" i="5"/>
  <c r="E196" i="5"/>
  <c r="D196" i="5"/>
  <c r="C196" i="5"/>
  <c r="B196" i="5"/>
  <c r="H195" i="5"/>
  <c r="G195" i="5"/>
  <c r="F195" i="5"/>
  <c r="E195" i="5"/>
  <c r="D195" i="5"/>
  <c r="C195" i="5"/>
  <c r="B195" i="5"/>
  <c r="H194" i="5"/>
  <c r="G194" i="5"/>
  <c r="F194" i="5"/>
  <c r="E194" i="5"/>
  <c r="D194" i="5"/>
  <c r="C194" i="5"/>
  <c r="B194" i="5"/>
  <c r="H193" i="5"/>
  <c r="G193" i="5"/>
  <c r="F193" i="5"/>
  <c r="E193" i="5"/>
  <c r="D193" i="5"/>
  <c r="C193" i="5"/>
  <c r="B193" i="5"/>
  <c r="H192" i="5"/>
  <c r="G192" i="5"/>
  <c r="F192" i="5"/>
  <c r="E192" i="5"/>
  <c r="D192" i="5"/>
  <c r="C192" i="5"/>
  <c r="B192" i="5"/>
  <c r="H191" i="5"/>
  <c r="G191" i="5"/>
  <c r="F191" i="5"/>
  <c r="E191" i="5"/>
  <c r="D191" i="5"/>
  <c r="C191" i="5"/>
  <c r="B191" i="5"/>
  <c r="H190" i="5"/>
  <c r="G190" i="5"/>
  <c r="F190" i="5"/>
  <c r="E190" i="5"/>
  <c r="D190" i="5"/>
  <c r="C190" i="5"/>
  <c r="B190" i="5"/>
  <c r="H189" i="5"/>
  <c r="G189" i="5"/>
  <c r="F189" i="5"/>
  <c r="E189" i="5"/>
  <c r="D189" i="5"/>
  <c r="C189" i="5"/>
  <c r="B189" i="5"/>
  <c r="H188" i="5"/>
  <c r="G188" i="5"/>
  <c r="F188" i="5"/>
  <c r="E188" i="5"/>
  <c r="D188" i="5"/>
  <c r="C188" i="5"/>
  <c r="B188" i="5"/>
  <c r="H187" i="5"/>
  <c r="G187" i="5"/>
  <c r="F187" i="5"/>
  <c r="E187" i="5"/>
  <c r="D187" i="5"/>
  <c r="C187" i="5"/>
  <c r="B187" i="5"/>
  <c r="H186" i="5"/>
  <c r="G186" i="5"/>
  <c r="F186" i="5"/>
  <c r="E186" i="5"/>
  <c r="D186" i="5"/>
  <c r="C186" i="5"/>
  <c r="B186" i="5"/>
  <c r="H185" i="5"/>
  <c r="G185" i="5"/>
  <c r="F185" i="5"/>
  <c r="E185" i="5"/>
  <c r="D185" i="5"/>
  <c r="C185" i="5"/>
  <c r="B185" i="5"/>
  <c r="H184" i="5"/>
  <c r="G184" i="5"/>
  <c r="F184" i="5"/>
  <c r="E184" i="5"/>
  <c r="D184" i="5"/>
  <c r="C184" i="5"/>
  <c r="B184" i="5"/>
  <c r="H183" i="5"/>
  <c r="G183" i="5"/>
  <c r="F183" i="5"/>
  <c r="E183" i="5"/>
  <c r="D183" i="5"/>
  <c r="C183" i="5"/>
  <c r="B183" i="5"/>
  <c r="H182" i="5"/>
  <c r="G182" i="5"/>
  <c r="F182" i="5"/>
  <c r="E182" i="5"/>
  <c r="D182" i="5"/>
  <c r="C182" i="5"/>
  <c r="B182" i="5"/>
  <c r="H181" i="5"/>
  <c r="G181" i="5"/>
  <c r="F181" i="5"/>
  <c r="E181" i="5"/>
  <c r="D181" i="5"/>
  <c r="C181" i="5"/>
  <c r="B181" i="5"/>
  <c r="H180" i="5"/>
  <c r="G180" i="5"/>
  <c r="F180" i="5"/>
  <c r="E180" i="5"/>
  <c r="D180" i="5"/>
  <c r="C180" i="5"/>
  <c r="B180" i="5"/>
  <c r="H179" i="5"/>
  <c r="G179" i="5"/>
  <c r="F179" i="5"/>
  <c r="E179" i="5"/>
  <c r="D179" i="5"/>
  <c r="C179" i="5"/>
  <c r="B179" i="5"/>
  <c r="H178" i="5"/>
  <c r="G178" i="5"/>
  <c r="F178" i="5"/>
  <c r="E178" i="5"/>
  <c r="D178" i="5"/>
  <c r="C178" i="5"/>
  <c r="B178" i="5"/>
  <c r="H177" i="5"/>
  <c r="G177" i="5"/>
  <c r="F177" i="5"/>
  <c r="E177" i="5"/>
  <c r="D177" i="5"/>
  <c r="C177" i="5"/>
  <c r="B177" i="5"/>
  <c r="H176" i="5"/>
  <c r="G176" i="5"/>
  <c r="F176" i="5"/>
  <c r="E176" i="5"/>
  <c r="D176" i="5"/>
  <c r="C176" i="5"/>
  <c r="B176" i="5"/>
  <c r="H175" i="5"/>
  <c r="G175" i="5"/>
  <c r="F175" i="5"/>
  <c r="E175" i="5"/>
  <c r="D175" i="5"/>
  <c r="C175" i="5"/>
  <c r="B175" i="5"/>
  <c r="H174" i="5"/>
  <c r="G174" i="5"/>
  <c r="F174" i="5"/>
  <c r="E174" i="5"/>
  <c r="D174" i="5"/>
  <c r="C174" i="5"/>
  <c r="B174" i="5"/>
  <c r="H173" i="5"/>
  <c r="G173" i="5"/>
  <c r="F173" i="5"/>
  <c r="E173" i="5"/>
  <c r="D173" i="5"/>
  <c r="C173" i="5"/>
  <c r="B173" i="5"/>
  <c r="H172" i="5"/>
  <c r="G172" i="5"/>
  <c r="F172" i="5"/>
  <c r="E172" i="5"/>
  <c r="D172" i="5"/>
  <c r="C172" i="5"/>
  <c r="B172" i="5"/>
  <c r="H171" i="5"/>
  <c r="G171" i="5"/>
  <c r="F171" i="5"/>
  <c r="E171" i="5"/>
  <c r="D171" i="5"/>
  <c r="C171" i="5"/>
  <c r="B171" i="5"/>
  <c r="H170" i="5"/>
  <c r="G170" i="5"/>
  <c r="F170" i="5"/>
  <c r="E170" i="5"/>
  <c r="D170" i="5"/>
  <c r="C170" i="5"/>
  <c r="B170" i="5"/>
  <c r="H169" i="5"/>
  <c r="G169" i="5"/>
  <c r="F169" i="5"/>
  <c r="E169" i="5"/>
  <c r="D169" i="5"/>
  <c r="C169" i="5"/>
  <c r="B169" i="5"/>
  <c r="H168" i="5"/>
  <c r="G168" i="5"/>
  <c r="F168" i="5"/>
  <c r="E168" i="5"/>
  <c r="D168" i="5"/>
  <c r="C168" i="5"/>
  <c r="B168" i="5"/>
  <c r="H167" i="5"/>
  <c r="G167" i="5"/>
  <c r="F167" i="5"/>
  <c r="E167" i="5"/>
  <c r="D167" i="5"/>
  <c r="C167" i="5"/>
  <c r="B167" i="5"/>
  <c r="H166" i="5"/>
  <c r="G166" i="5"/>
  <c r="F166" i="5"/>
  <c r="E166" i="5"/>
  <c r="D166" i="5"/>
  <c r="C166" i="5"/>
  <c r="B166" i="5"/>
  <c r="H165" i="5"/>
  <c r="G165" i="5"/>
  <c r="F165" i="5"/>
  <c r="E165" i="5"/>
  <c r="D165" i="5"/>
  <c r="C165" i="5"/>
  <c r="B165" i="5"/>
  <c r="H164" i="5"/>
  <c r="G164" i="5"/>
  <c r="F164" i="5"/>
  <c r="E164" i="5"/>
  <c r="D164" i="5"/>
  <c r="C164" i="5"/>
  <c r="B164" i="5"/>
  <c r="H163" i="5"/>
  <c r="G163" i="5"/>
  <c r="F163" i="5"/>
  <c r="E163" i="5"/>
  <c r="D163" i="5"/>
  <c r="C163" i="5"/>
  <c r="B163" i="5"/>
  <c r="H162" i="5"/>
  <c r="G162" i="5"/>
  <c r="F162" i="5"/>
  <c r="E162" i="5"/>
  <c r="D162" i="5"/>
  <c r="C162" i="5"/>
  <c r="B162" i="5"/>
  <c r="H161" i="5"/>
  <c r="G161" i="5"/>
  <c r="F161" i="5"/>
  <c r="E161" i="5"/>
  <c r="D161" i="5"/>
  <c r="C161" i="5"/>
  <c r="B161" i="5"/>
  <c r="H160" i="5"/>
  <c r="G160" i="5"/>
  <c r="F160" i="5"/>
  <c r="E160" i="5"/>
  <c r="D160" i="5"/>
  <c r="C160" i="5"/>
  <c r="B160" i="5"/>
  <c r="H159" i="5"/>
  <c r="G159" i="5"/>
  <c r="F159" i="5"/>
  <c r="E159" i="5"/>
  <c r="D159" i="5"/>
  <c r="C159" i="5"/>
  <c r="B159" i="5"/>
  <c r="H158" i="5"/>
  <c r="G158" i="5"/>
  <c r="F158" i="5"/>
  <c r="E158" i="5"/>
  <c r="D158" i="5"/>
  <c r="C158" i="5"/>
  <c r="B158" i="5"/>
  <c r="H157" i="5"/>
  <c r="G157" i="5"/>
  <c r="F157" i="5"/>
  <c r="E157" i="5"/>
  <c r="D157" i="5"/>
  <c r="C157" i="5"/>
  <c r="B157" i="5"/>
  <c r="H156" i="5"/>
  <c r="G156" i="5"/>
  <c r="F156" i="5"/>
  <c r="E156" i="5"/>
  <c r="D156" i="5"/>
  <c r="C156" i="5"/>
  <c r="B156" i="5"/>
  <c r="H155" i="5"/>
  <c r="G155" i="5"/>
  <c r="F155" i="5"/>
  <c r="E155" i="5"/>
  <c r="D155" i="5"/>
  <c r="C155" i="5"/>
  <c r="B155" i="5"/>
  <c r="H154" i="5"/>
  <c r="G154" i="5"/>
  <c r="F154" i="5"/>
  <c r="E154" i="5"/>
  <c r="D154" i="5"/>
  <c r="C154" i="5"/>
  <c r="B154" i="5"/>
  <c r="H153" i="5"/>
  <c r="G153" i="5"/>
  <c r="F153" i="5"/>
  <c r="E153" i="5"/>
  <c r="D153" i="5"/>
  <c r="C153" i="5"/>
  <c r="B153" i="5"/>
  <c r="H152" i="5"/>
  <c r="G152" i="5"/>
  <c r="F152" i="5"/>
  <c r="E152" i="5"/>
  <c r="D152" i="5"/>
  <c r="C152" i="5"/>
  <c r="B152" i="5"/>
  <c r="H151" i="5"/>
  <c r="G151" i="5"/>
  <c r="F151" i="5"/>
  <c r="E151" i="5"/>
  <c r="D151" i="5"/>
  <c r="C151" i="5"/>
  <c r="B151" i="5"/>
  <c r="H150" i="5"/>
  <c r="G150" i="5"/>
  <c r="F150" i="5"/>
  <c r="E150" i="5"/>
  <c r="D150" i="5"/>
  <c r="C150" i="5"/>
  <c r="B150" i="5"/>
  <c r="H149" i="5"/>
  <c r="G149" i="5"/>
  <c r="F149" i="5"/>
  <c r="E149" i="5"/>
  <c r="D149" i="5"/>
  <c r="C149" i="5"/>
  <c r="B149" i="5"/>
  <c r="H148" i="5"/>
  <c r="G148" i="5"/>
  <c r="F148" i="5"/>
  <c r="E148" i="5"/>
  <c r="D148" i="5"/>
  <c r="C148" i="5"/>
  <c r="B148" i="5"/>
  <c r="H147" i="5"/>
  <c r="G147" i="5"/>
  <c r="F147" i="5"/>
  <c r="E147" i="5"/>
  <c r="D147" i="5"/>
  <c r="C147" i="5"/>
  <c r="B147" i="5"/>
  <c r="H146" i="5"/>
  <c r="G146" i="5"/>
  <c r="F146" i="5"/>
  <c r="E146" i="5"/>
  <c r="D146" i="5"/>
  <c r="C146" i="5"/>
  <c r="B146" i="5"/>
  <c r="H145" i="5"/>
  <c r="G145" i="5"/>
  <c r="F145" i="5"/>
  <c r="E145" i="5"/>
  <c r="D145" i="5"/>
  <c r="C145" i="5"/>
  <c r="B145" i="5"/>
  <c r="H144" i="5"/>
  <c r="G144" i="5"/>
  <c r="F144" i="5"/>
  <c r="E144" i="5"/>
  <c r="D144" i="5"/>
  <c r="C144" i="5"/>
  <c r="B144" i="5"/>
  <c r="H143" i="5"/>
  <c r="G143" i="5"/>
  <c r="F143" i="5"/>
  <c r="E143" i="5"/>
  <c r="D143" i="5"/>
  <c r="C143" i="5"/>
  <c r="B143" i="5"/>
  <c r="H142" i="5"/>
  <c r="G142" i="5"/>
  <c r="F142" i="5"/>
  <c r="E142" i="5"/>
  <c r="D142" i="5"/>
  <c r="C142" i="5"/>
  <c r="B142" i="5"/>
  <c r="H141" i="5"/>
  <c r="G141" i="5"/>
  <c r="F141" i="5"/>
  <c r="E141" i="5"/>
  <c r="D141" i="5"/>
  <c r="C141" i="5"/>
  <c r="B141" i="5"/>
  <c r="H140" i="5"/>
  <c r="G140" i="5"/>
  <c r="F140" i="5"/>
  <c r="E140" i="5"/>
  <c r="D140" i="5"/>
  <c r="C140" i="5"/>
  <c r="B140" i="5"/>
  <c r="H139" i="5"/>
  <c r="G139" i="5"/>
  <c r="F139" i="5"/>
  <c r="E139" i="5"/>
  <c r="D139" i="5"/>
  <c r="C139" i="5"/>
  <c r="B139" i="5"/>
  <c r="H138" i="5"/>
  <c r="G138" i="5"/>
  <c r="F138" i="5"/>
  <c r="E138" i="5"/>
  <c r="D138" i="5"/>
  <c r="C138" i="5"/>
  <c r="B138" i="5"/>
  <c r="H137" i="5"/>
  <c r="G137" i="5"/>
  <c r="F137" i="5"/>
  <c r="E137" i="5"/>
  <c r="D137" i="5"/>
  <c r="C137" i="5"/>
  <c r="B137" i="5"/>
  <c r="H136" i="5"/>
  <c r="G136" i="5"/>
  <c r="F136" i="5"/>
  <c r="E136" i="5"/>
  <c r="D136" i="5"/>
  <c r="C136" i="5"/>
  <c r="B136" i="5"/>
  <c r="H135" i="5"/>
  <c r="G135" i="5"/>
  <c r="F135" i="5"/>
  <c r="E135" i="5"/>
  <c r="D135" i="5"/>
  <c r="C135" i="5"/>
  <c r="B135" i="5"/>
  <c r="H134" i="5"/>
  <c r="G134" i="5"/>
  <c r="F134" i="5"/>
  <c r="E134" i="5"/>
  <c r="D134" i="5"/>
  <c r="C134" i="5"/>
  <c r="B134" i="5"/>
  <c r="H133" i="5"/>
  <c r="G133" i="5"/>
  <c r="F133" i="5"/>
  <c r="E133" i="5"/>
  <c r="D133" i="5"/>
  <c r="C133" i="5"/>
  <c r="B133" i="5"/>
  <c r="H132" i="5"/>
  <c r="G132" i="5"/>
  <c r="F132" i="5"/>
  <c r="E132" i="5"/>
  <c r="D132" i="5"/>
  <c r="C132" i="5"/>
  <c r="B132" i="5"/>
  <c r="H131" i="5"/>
  <c r="G131" i="5"/>
  <c r="F131" i="5"/>
  <c r="E131" i="5"/>
  <c r="D131" i="5"/>
  <c r="C131" i="5"/>
  <c r="B131" i="5"/>
  <c r="H130" i="5"/>
  <c r="G130" i="5"/>
  <c r="F130" i="5"/>
  <c r="E130" i="5"/>
  <c r="D130" i="5"/>
  <c r="C130" i="5"/>
  <c r="B130" i="5"/>
  <c r="H129" i="5"/>
  <c r="G129" i="5"/>
  <c r="F129" i="5"/>
  <c r="E129" i="5"/>
  <c r="D129" i="5"/>
  <c r="C129" i="5"/>
  <c r="B129" i="5"/>
  <c r="H128" i="5"/>
  <c r="G128" i="5"/>
  <c r="F128" i="5"/>
  <c r="E128" i="5"/>
  <c r="D128" i="5"/>
  <c r="C128" i="5"/>
  <c r="B128" i="5"/>
  <c r="H127" i="5"/>
  <c r="G127" i="5"/>
  <c r="F127" i="5"/>
  <c r="E127" i="5"/>
  <c r="D127" i="5"/>
  <c r="C127" i="5"/>
  <c r="B127" i="5"/>
  <c r="H126" i="5"/>
  <c r="G126" i="5"/>
  <c r="F126" i="5"/>
  <c r="E126" i="5"/>
  <c r="D126" i="5"/>
  <c r="C126" i="5"/>
  <c r="B126" i="5"/>
  <c r="H125" i="5"/>
  <c r="G125" i="5"/>
  <c r="F125" i="5"/>
  <c r="E125" i="5"/>
  <c r="D125" i="5"/>
  <c r="C125" i="5"/>
  <c r="B125" i="5"/>
  <c r="H124" i="5"/>
  <c r="G124" i="5"/>
  <c r="F124" i="5"/>
  <c r="E124" i="5"/>
  <c r="D124" i="5"/>
  <c r="C124" i="5"/>
  <c r="B124" i="5"/>
  <c r="H123" i="5"/>
  <c r="G123" i="5"/>
  <c r="F123" i="5"/>
  <c r="E123" i="5"/>
  <c r="D123" i="5"/>
  <c r="C123" i="5"/>
  <c r="B123" i="5"/>
  <c r="H122" i="5"/>
  <c r="G122" i="5"/>
  <c r="F122" i="5"/>
  <c r="E122" i="5"/>
  <c r="D122" i="5"/>
  <c r="C122" i="5"/>
  <c r="B122" i="5"/>
  <c r="H121" i="5"/>
  <c r="G121" i="5"/>
  <c r="F121" i="5"/>
  <c r="E121" i="5"/>
  <c r="D121" i="5"/>
  <c r="C121" i="5"/>
  <c r="B121" i="5"/>
  <c r="H120" i="5"/>
  <c r="G120" i="5"/>
  <c r="F120" i="5"/>
  <c r="E120" i="5"/>
  <c r="D120" i="5"/>
  <c r="C120" i="5"/>
  <c r="B120" i="5"/>
  <c r="H119" i="5"/>
  <c r="G119" i="5"/>
  <c r="F119" i="5"/>
  <c r="E119" i="5"/>
  <c r="D119" i="5"/>
  <c r="C119" i="5"/>
  <c r="B119" i="5"/>
  <c r="H118" i="5"/>
  <c r="G118" i="5"/>
  <c r="F118" i="5"/>
  <c r="E118" i="5"/>
  <c r="D118" i="5"/>
  <c r="C118" i="5"/>
  <c r="B118" i="5"/>
  <c r="H117" i="5"/>
  <c r="G117" i="5"/>
  <c r="F117" i="5"/>
  <c r="E117" i="5"/>
  <c r="D117" i="5"/>
  <c r="C117" i="5"/>
  <c r="B117" i="5"/>
  <c r="H116" i="5"/>
  <c r="G116" i="5"/>
  <c r="F116" i="5"/>
  <c r="E116" i="5"/>
  <c r="D116" i="5"/>
  <c r="C116" i="5"/>
  <c r="B116" i="5"/>
  <c r="H115" i="5"/>
  <c r="G115" i="5"/>
  <c r="F115" i="5"/>
  <c r="E115" i="5"/>
  <c r="D115" i="5"/>
  <c r="C115" i="5"/>
  <c r="B115" i="5"/>
  <c r="H114" i="5"/>
  <c r="G114" i="5"/>
  <c r="F114" i="5"/>
  <c r="E114" i="5"/>
  <c r="D114" i="5"/>
  <c r="C114" i="5"/>
  <c r="B114" i="5"/>
  <c r="H113" i="5"/>
  <c r="G113" i="5"/>
  <c r="F113" i="5"/>
  <c r="E113" i="5"/>
  <c r="D113" i="5"/>
  <c r="C113" i="5"/>
  <c r="B113" i="5"/>
  <c r="H112" i="5"/>
  <c r="G112" i="5"/>
  <c r="F112" i="5"/>
  <c r="E112" i="5"/>
  <c r="D112" i="5"/>
  <c r="C112" i="5"/>
  <c r="B112" i="5"/>
  <c r="H111" i="5"/>
  <c r="G111" i="5"/>
  <c r="F111" i="5"/>
  <c r="E111" i="5"/>
  <c r="D111" i="5"/>
  <c r="C111" i="5"/>
  <c r="B111" i="5"/>
  <c r="H110" i="5"/>
  <c r="G110" i="5"/>
  <c r="F110" i="5"/>
  <c r="E110" i="5"/>
  <c r="D110" i="5"/>
  <c r="C110" i="5"/>
  <c r="B110" i="5"/>
  <c r="H109" i="5"/>
  <c r="G109" i="5"/>
  <c r="F109" i="5"/>
  <c r="E109" i="5"/>
  <c r="D109" i="5"/>
  <c r="C109" i="5"/>
  <c r="B109" i="5"/>
  <c r="H108" i="5"/>
  <c r="G108" i="5"/>
  <c r="F108" i="5"/>
  <c r="E108" i="5"/>
  <c r="D108" i="5"/>
  <c r="C108" i="5"/>
  <c r="B108" i="5"/>
  <c r="H107" i="5"/>
  <c r="G107" i="5"/>
  <c r="F107" i="5"/>
  <c r="E107" i="5"/>
  <c r="D107" i="5"/>
  <c r="C107" i="5"/>
  <c r="B107" i="5"/>
  <c r="H106" i="5"/>
  <c r="G106" i="5"/>
  <c r="F106" i="5"/>
  <c r="E106" i="5"/>
  <c r="D106" i="5"/>
  <c r="C106" i="5"/>
  <c r="B106" i="5"/>
  <c r="H105" i="5"/>
  <c r="G105" i="5"/>
  <c r="F105" i="5"/>
  <c r="E105" i="5"/>
  <c r="D105" i="5"/>
  <c r="C105" i="5"/>
  <c r="B105" i="5"/>
  <c r="H104" i="5"/>
  <c r="G104" i="5"/>
  <c r="F104" i="5"/>
  <c r="E104" i="5"/>
  <c r="D104" i="5"/>
  <c r="C104" i="5"/>
  <c r="B104" i="5"/>
  <c r="H103" i="5"/>
  <c r="G103" i="5"/>
  <c r="F103" i="5"/>
  <c r="E103" i="5"/>
  <c r="D103" i="5"/>
  <c r="C103" i="5"/>
  <c r="B103" i="5"/>
  <c r="H102" i="5"/>
  <c r="G102" i="5"/>
  <c r="F102" i="5"/>
  <c r="E102" i="5"/>
  <c r="D102" i="5"/>
  <c r="C102" i="5"/>
  <c r="B102" i="5"/>
  <c r="H101" i="5"/>
  <c r="G101" i="5"/>
  <c r="F101" i="5"/>
  <c r="E101" i="5"/>
  <c r="D101" i="5"/>
  <c r="C101" i="5"/>
  <c r="B101" i="5"/>
  <c r="H100" i="5"/>
  <c r="G100" i="5"/>
  <c r="F100" i="5"/>
  <c r="E100" i="5"/>
  <c r="D100" i="5"/>
  <c r="C100" i="5"/>
  <c r="B100" i="5"/>
  <c r="H99" i="5"/>
  <c r="G99" i="5"/>
  <c r="F99" i="5"/>
  <c r="E99" i="5"/>
  <c r="D99" i="5"/>
  <c r="C99" i="5"/>
  <c r="B99" i="5"/>
  <c r="H98" i="5"/>
  <c r="G98" i="5"/>
  <c r="F98" i="5"/>
  <c r="E98" i="5"/>
  <c r="D98" i="5"/>
  <c r="C98" i="5"/>
  <c r="B98" i="5"/>
  <c r="H97" i="5"/>
  <c r="G97" i="5"/>
  <c r="F97" i="5"/>
  <c r="E97" i="5"/>
  <c r="D97" i="5"/>
  <c r="C97" i="5"/>
  <c r="B97" i="5"/>
  <c r="H96" i="5"/>
  <c r="G96" i="5"/>
  <c r="F96" i="5"/>
  <c r="E96" i="5"/>
  <c r="D96" i="5"/>
  <c r="C96" i="5"/>
  <c r="B96" i="5"/>
  <c r="H95" i="5"/>
  <c r="G95" i="5"/>
  <c r="F95" i="5"/>
  <c r="E95" i="5"/>
  <c r="D95" i="5"/>
  <c r="C95" i="5"/>
  <c r="B95" i="5"/>
  <c r="H94" i="5"/>
  <c r="G94" i="5"/>
  <c r="F94" i="5"/>
  <c r="E94" i="5"/>
  <c r="D94" i="5"/>
  <c r="C94" i="5"/>
  <c r="B94" i="5"/>
  <c r="H93" i="5"/>
  <c r="G93" i="5"/>
  <c r="F93" i="5"/>
  <c r="E93" i="5"/>
  <c r="D93" i="5"/>
  <c r="C93" i="5"/>
  <c r="B93" i="5"/>
  <c r="H92" i="5"/>
  <c r="G92" i="5"/>
  <c r="F92" i="5"/>
  <c r="E92" i="5"/>
  <c r="D92" i="5"/>
  <c r="C92" i="5"/>
  <c r="B92" i="5"/>
  <c r="H91" i="5"/>
  <c r="G91" i="5"/>
  <c r="F91" i="5"/>
  <c r="E91" i="5"/>
  <c r="D91" i="5"/>
  <c r="C91" i="5"/>
  <c r="B91" i="5"/>
  <c r="H90" i="5"/>
  <c r="G90" i="5"/>
  <c r="F90" i="5"/>
  <c r="E90" i="5"/>
  <c r="D90" i="5"/>
  <c r="C90" i="5"/>
  <c r="B90" i="5"/>
  <c r="H89" i="5"/>
  <c r="G89" i="5"/>
  <c r="F89" i="5"/>
  <c r="E89" i="5"/>
  <c r="D89" i="5"/>
  <c r="C89" i="5"/>
  <c r="B89" i="5"/>
  <c r="H88" i="5"/>
  <c r="G88" i="5"/>
  <c r="F88" i="5"/>
  <c r="E88" i="5"/>
  <c r="D88" i="5"/>
  <c r="C88" i="5"/>
  <c r="B88" i="5"/>
  <c r="H87" i="5"/>
  <c r="G87" i="5"/>
  <c r="F87" i="5"/>
  <c r="E87" i="5"/>
  <c r="D87" i="5"/>
  <c r="C87" i="5"/>
  <c r="B87" i="5"/>
  <c r="H86" i="5"/>
  <c r="G86" i="5"/>
  <c r="F86" i="5"/>
  <c r="E86" i="5"/>
  <c r="D86" i="5"/>
  <c r="C86" i="5"/>
  <c r="B86" i="5"/>
  <c r="H85" i="5"/>
  <c r="G85" i="5"/>
  <c r="F85" i="5"/>
  <c r="E85" i="5"/>
  <c r="D85" i="5"/>
  <c r="C85" i="5"/>
  <c r="B85" i="5"/>
  <c r="H84" i="5"/>
  <c r="G84" i="5"/>
  <c r="F84" i="5"/>
  <c r="E84" i="5"/>
  <c r="D84" i="5"/>
  <c r="C84" i="5"/>
  <c r="B84" i="5"/>
  <c r="H83" i="5"/>
  <c r="G83" i="5"/>
  <c r="F83" i="5"/>
  <c r="E83" i="5"/>
  <c r="D83" i="5"/>
  <c r="C83" i="5"/>
  <c r="B83" i="5"/>
  <c r="H82" i="5"/>
  <c r="G82" i="5"/>
  <c r="F82" i="5"/>
  <c r="E82" i="5"/>
  <c r="D82" i="5"/>
  <c r="C82" i="5"/>
  <c r="B82" i="5"/>
  <c r="H81" i="5"/>
  <c r="G81" i="5"/>
  <c r="F81" i="5"/>
  <c r="E81" i="5"/>
  <c r="D81" i="5"/>
  <c r="C81" i="5"/>
  <c r="B81" i="5"/>
  <c r="H80" i="5"/>
  <c r="G80" i="5"/>
  <c r="F80" i="5"/>
  <c r="E80" i="5"/>
  <c r="D80" i="5"/>
  <c r="C80" i="5"/>
  <c r="B80" i="5"/>
  <c r="H79" i="5"/>
  <c r="G79" i="5"/>
  <c r="F79" i="5"/>
  <c r="E79" i="5"/>
  <c r="D79" i="5"/>
  <c r="C79" i="5"/>
  <c r="B79" i="5"/>
  <c r="H78" i="5"/>
  <c r="G78" i="5"/>
  <c r="F78" i="5"/>
  <c r="E78" i="5"/>
  <c r="D78" i="5"/>
  <c r="C78" i="5"/>
  <c r="B78" i="5"/>
  <c r="H77" i="5"/>
  <c r="G77" i="5"/>
  <c r="F77" i="5"/>
  <c r="E77" i="5"/>
  <c r="D77" i="5"/>
  <c r="C77" i="5"/>
  <c r="B77" i="5"/>
  <c r="H76" i="5"/>
  <c r="G76" i="5"/>
  <c r="F76" i="5"/>
  <c r="E76" i="5"/>
  <c r="D76" i="5"/>
  <c r="C76" i="5"/>
  <c r="B76" i="5"/>
  <c r="H75" i="5"/>
  <c r="G75" i="5"/>
  <c r="F75" i="5"/>
  <c r="E75" i="5"/>
  <c r="D75" i="5"/>
  <c r="C75" i="5"/>
  <c r="B75" i="5"/>
  <c r="H74" i="5"/>
  <c r="G74" i="5"/>
  <c r="F74" i="5"/>
  <c r="E74" i="5"/>
  <c r="D74" i="5"/>
  <c r="C74" i="5"/>
  <c r="B74" i="5"/>
  <c r="H73" i="5"/>
  <c r="G73" i="5"/>
  <c r="F73" i="5"/>
  <c r="E73" i="5"/>
  <c r="D73" i="5"/>
  <c r="C73" i="5"/>
  <c r="B73" i="5"/>
  <c r="H72" i="5"/>
  <c r="G72" i="5"/>
  <c r="F72" i="5"/>
  <c r="E72" i="5"/>
  <c r="D72" i="5"/>
  <c r="C72" i="5"/>
  <c r="B72" i="5"/>
  <c r="H71" i="5"/>
  <c r="G71" i="5"/>
  <c r="F71" i="5"/>
  <c r="E71" i="5"/>
  <c r="D71" i="5"/>
  <c r="C71" i="5"/>
  <c r="B71" i="5"/>
  <c r="H70" i="5"/>
  <c r="G70" i="5"/>
  <c r="F70" i="5"/>
  <c r="E70" i="5"/>
  <c r="D70" i="5"/>
  <c r="C70" i="5"/>
  <c r="B70" i="5"/>
  <c r="H69" i="5"/>
  <c r="G69" i="5"/>
  <c r="F69" i="5"/>
  <c r="E69" i="5"/>
  <c r="D69" i="5"/>
  <c r="C69" i="5"/>
  <c r="B69" i="5"/>
  <c r="H68" i="5"/>
  <c r="G68" i="5"/>
  <c r="F68" i="5"/>
  <c r="E68" i="5"/>
  <c r="D68" i="5"/>
  <c r="C68" i="5"/>
  <c r="B68" i="5"/>
  <c r="H67" i="5"/>
  <c r="G67" i="5"/>
  <c r="F67" i="5"/>
  <c r="E67" i="5"/>
  <c r="D67" i="5"/>
  <c r="C67" i="5"/>
  <c r="B67" i="5"/>
  <c r="H66" i="5"/>
  <c r="G66" i="5"/>
  <c r="F66" i="5"/>
  <c r="E66" i="5"/>
  <c r="D66" i="5"/>
  <c r="C66" i="5"/>
  <c r="B66" i="5"/>
  <c r="H65" i="5"/>
  <c r="G65" i="5"/>
  <c r="F65" i="5"/>
  <c r="E65" i="5"/>
  <c r="D65" i="5"/>
  <c r="C65" i="5"/>
  <c r="B65" i="5"/>
  <c r="H64" i="5"/>
  <c r="G64" i="5"/>
  <c r="F64" i="5"/>
  <c r="E64" i="5"/>
  <c r="D64" i="5"/>
  <c r="C64" i="5"/>
  <c r="B64" i="5"/>
  <c r="H63" i="5"/>
  <c r="G63" i="5"/>
  <c r="F63" i="5"/>
  <c r="E63" i="5"/>
  <c r="D63" i="5"/>
  <c r="C63" i="5"/>
  <c r="B63" i="5"/>
  <c r="H62" i="5"/>
  <c r="G62" i="5"/>
  <c r="F62" i="5"/>
  <c r="E62" i="5"/>
  <c r="D62" i="5"/>
  <c r="C62" i="5"/>
  <c r="B62" i="5"/>
  <c r="H61" i="5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9" i="5"/>
  <c r="G59" i="5"/>
  <c r="F59" i="5"/>
  <c r="E59" i="5"/>
  <c r="D59" i="5"/>
  <c r="C59" i="5"/>
  <c r="B59" i="5"/>
  <c r="H58" i="5"/>
  <c r="G58" i="5"/>
  <c r="F58" i="5"/>
  <c r="E58" i="5"/>
  <c r="D58" i="5"/>
  <c r="C58" i="5"/>
  <c r="B58" i="5"/>
  <c r="H57" i="5"/>
  <c r="G57" i="5"/>
  <c r="F57" i="5"/>
  <c r="E57" i="5"/>
  <c r="D57" i="5"/>
  <c r="C57" i="5"/>
  <c r="B57" i="5"/>
  <c r="H56" i="5"/>
  <c r="G56" i="5"/>
  <c r="F56" i="5"/>
  <c r="E56" i="5"/>
  <c r="D56" i="5"/>
  <c r="C56" i="5"/>
  <c r="B56" i="5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B41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H33" i="5"/>
  <c r="G33" i="5"/>
  <c r="F33" i="5"/>
  <c r="E33" i="5"/>
  <c r="D33" i="5"/>
  <c r="C33" i="5"/>
  <c r="B33" i="5"/>
  <c r="H32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7" i="5"/>
  <c r="H6" i="5" s="1"/>
  <c r="H4" i="5"/>
  <c r="H369" i="4"/>
  <c r="G369" i="4"/>
  <c r="F369" i="4"/>
  <c r="E369" i="4"/>
  <c r="D369" i="4"/>
  <c r="C369" i="4"/>
  <c r="B369" i="4"/>
  <c r="H368" i="4"/>
  <c r="G368" i="4"/>
  <c r="F368" i="4"/>
  <c r="E368" i="4"/>
  <c r="D368" i="4"/>
  <c r="C368" i="4"/>
  <c r="B368" i="4"/>
  <c r="H367" i="4"/>
  <c r="G367" i="4"/>
  <c r="F367" i="4"/>
  <c r="E367" i="4"/>
  <c r="D367" i="4"/>
  <c r="C367" i="4"/>
  <c r="B367" i="4"/>
  <c r="H366" i="4"/>
  <c r="G366" i="4"/>
  <c r="F366" i="4"/>
  <c r="E366" i="4"/>
  <c r="D366" i="4"/>
  <c r="C366" i="4"/>
  <c r="B366" i="4"/>
  <c r="H365" i="4"/>
  <c r="G365" i="4"/>
  <c r="F365" i="4"/>
  <c r="E365" i="4"/>
  <c r="D365" i="4"/>
  <c r="C365" i="4"/>
  <c r="B365" i="4"/>
  <c r="H364" i="4"/>
  <c r="G364" i="4"/>
  <c r="F364" i="4"/>
  <c r="E364" i="4"/>
  <c r="D364" i="4"/>
  <c r="C364" i="4"/>
  <c r="B364" i="4"/>
  <c r="H363" i="4"/>
  <c r="G363" i="4"/>
  <c r="F363" i="4"/>
  <c r="E363" i="4"/>
  <c r="D363" i="4"/>
  <c r="C363" i="4"/>
  <c r="B363" i="4"/>
  <c r="H362" i="4"/>
  <c r="G362" i="4"/>
  <c r="F362" i="4"/>
  <c r="E362" i="4"/>
  <c r="D362" i="4"/>
  <c r="C362" i="4"/>
  <c r="B362" i="4"/>
  <c r="H361" i="4"/>
  <c r="G361" i="4"/>
  <c r="F361" i="4"/>
  <c r="E361" i="4"/>
  <c r="D361" i="4"/>
  <c r="C361" i="4"/>
  <c r="B361" i="4"/>
  <c r="H360" i="4"/>
  <c r="G360" i="4"/>
  <c r="F360" i="4"/>
  <c r="E360" i="4"/>
  <c r="D360" i="4"/>
  <c r="C360" i="4"/>
  <c r="B360" i="4"/>
  <c r="H359" i="4"/>
  <c r="G359" i="4"/>
  <c r="F359" i="4"/>
  <c r="E359" i="4"/>
  <c r="D359" i="4"/>
  <c r="C359" i="4"/>
  <c r="B359" i="4"/>
  <c r="H358" i="4"/>
  <c r="G358" i="4"/>
  <c r="F358" i="4"/>
  <c r="E358" i="4"/>
  <c r="D358" i="4"/>
  <c r="C358" i="4"/>
  <c r="B358" i="4"/>
  <c r="H357" i="4"/>
  <c r="G357" i="4"/>
  <c r="F357" i="4"/>
  <c r="E357" i="4"/>
  <c r="D357" i="4"/>
  <c r="C357" i="4"/>
  <c r="B357" i="4"/>
  <c r="H356" i="4"/>
  <c r="G356" i="4"/>
  <c r="F356" i="4"/>
  <c r="E356" i="4"/>
  <c r="D356" i="4"/>
  <c r="C356" i="4"/>
  <c r="B356" i="4"/>
  <c r="H355" i="4"/>
  <c r="G355" i="4"/>
  <c r="F355" i="4"/>
  <c r="E355" i="4"/>
  <c r="D355" i="4"/>
  <c r="C355" i="4"/>
  <c r="B355" i="4"/>
  <c r="H354" i="4"/>
  <c r="G354" i="4"/>
  <c r="F354" i="4"/>
  <c r="E354" i="4"/>
  <c r="D354" i="4"/>
  <c r="C354" i="4"/>
  <c r="B354" i="4"/>
  <c r="H353" i="4"/>
  <c r="G353" i="4"/>
  <c r="F353" i="4"/>
  <c r="E353" i="4"/>
  <c r="D353" i="4"/>
  <c r="C353" i="4"/>
  <c r="B353" i="4"/>
  <c r="H352" i="4"/>
  <c r="G352" i="4"/>
  <c r="F352" i="4"/>
  <c r="E352" i="4"/>
  <c r="D352" i="4"/>
  <c r="C352" i="4"/>
  <c r="B352" i="4"/>
  <c r="H351" i="4"/>
  <c r="G351" i="4"/>
  <c r="F351" i="4"/>
  <c r="E351" i="4"/>
  <c r="D351" i="4"/>
  <c r="C351" i="4"/>
  <c r="B351" i="4"/>
  <c r="H350" i="4"/>
  <c r="G350" i="4"/>
  <c r="F350" i="4"/>
  <c r="E350" i="4"/>
  <c r="D350" i="4"/>
  <c r="C350" i="4"/>
  <c r="B350" i="4"/>
  <c r="H349" i="4"/>
  <c r="G349" i="4"/>
  <c r="F349" i="4"/>
  <c r="E349" i="4"/>
  <c r="D349" i="4"/>
  <c r="C349" i="4"/>
  <c r="B349" i="4"/>
  <c r="H348" i="4"/>
  <c r="G348" i="4"/>
  <c r="F348" i="4"/>
  <c r="E348" i="4"/>
  <c r="D348" i="4"/>
  <c r="C348" i="4"/>
  <c r="B348" i="4"/>
  <c r="H347" i="4"/>
  <c r="G347" i="4"/>
  <c r="F347" i="4"/>
  <c r="E347" i="4"/>
  <c r="D347" i="4"/>
  <c r="C347" i="4"/>
  <c r="B347" i="4"/>
  <c r="H346" i="4"/>
  <c r="G346" i="4"/>
  <c r="F346" i="4"/>
  <c r="E346" i="4"/>
  <c r="D346" i="4"/>
  <c r="C346" i="4"/>
  <c r="B346" i="4"/>
  <c r="H345" i="4"/>
  <c r="G345" i="4"/>
  <c r="F345" i="4"/>
  <c r="E345" i="4"/>
  <c r="D345" i="4"/>
  <c r="C345" i="4"/>
  <c r="B345" i="4"/>
  <c r="H344" i="4"/>
  <c r="G344" i="4"/>
  <c r="F344" i="4"/>
  <c r="E344" i="4"/>
  <c r="D344" i="4"/>
  <c r="C344" i="4"/>
  <c r="B344" i="4"/>
  <c r="H343" i="4"/>
  <c r="G343" i="4"/>
  <c r="F343" i="4"/>
  <c r="E343" i="4"/>
  <c r="D343" i="4"/>
  <c r="C343" i="4"/>
  <c r="B343" i="4"/>
  <c r="H342" i="4"/>
  <c r="G342" i="4"/>
  <c r="F342" i="4"/>
  <c r="E342" i="4"/>
  <c r="D342" i="4"/>
  <c r="C342" i="4"/>
  <c r="B342" i="4"/>
  <c r="H341" i="4"/>
  <c r="G341" i="4"/>
  <c r="F341" i="4"/>
  <c r="E341" i="4"/>
  <c r="D341" i="4"/>
  <c r="C341" i="4"/>
  <c r="B341" i="4"/>
  <c r="H340" i="4"/>
  <c r="G340" i="4"/>
  <c r="F340" i="4"/>
  <c r="E340" i="4"/>
  <c r="D340" i="4"/>
  <c r="C340" i="4"/>
  <c r="B340" i="4"/>
  <c r="H339" i="4"/>
  <c r="G339" i="4"/>
  <c r="F339" i="4"/>
  <c r="E339" i="4"/>
  <c r="D339" i="4"/>
  <c r="C339" i="4"/>
  <c r="B339" i="4"/>
  <c r="H338" i="4"/>
  <c r="G338" i="4"/>
  <c r="F338" i="4"/>
  <c r="E338" i="4"/>
  <c r="D338" i="4"/>
  <c r="C338" i="4"/>
  <c r="B338" i="4"/>
  <c r="H337" i="4"/>
  <c r="G337" i="4"/>
  <c r="F337" i="4"/>
  <c r="E337" i="4"/>
  <c r="D337" i="4"/>
  <c r="C337" i="4"/>
  <c r="B337" i="4"/>
  <c r="H336" i="4"/>
  <c r="G336" i="4"/>
  <c r="F336" i="4"/>
  <c r="E336" i="4"/>
  <c r="D336" i="4"/>
  <c r="C336" i="4"/>
  <c r="B336" i="4"/>
  <c r="H335" i="4"/>
  <c r="G335" i="4"/>
  <c r="F335" i="4"/>
  <c r="E335" i="4"/>
  <c r="D335" i="4"/>
  <c r="C335" i="4"/>
  <c r="B335" i="4"/>
  <c r="H334" i="4"/>
  <c r="G334" i="4"/>
  <c r="F334" i="4"/>
  <c r="E334" i="4"/>
  <c r="D334" i="4"/>
  <c r="C334" i="4"/>
  <c r="B334" i="4"/>
  <c r="H333" i="4"/>
  <c r="G333" i="4"/>
  <c r="F333" i="4"/>
  <c r="E333" i="4"/>
  <c r="D333" i="4"/>
  <c r="C333" i="4"/>
  <c r="B333" i="4"/>
  <c r="H332" i="4"/>
  <c r="G332" i="4"/>
  <c r="F332" i="4"/>
  <c r="E332" i="4"/>
  <c r="D332" i="4"/>
  <c r="C332" i="4"/>
  <c r="B332" i="4"/>
  <c r="H331" i="4"/>
  <c r="G331" i="4"/>
  <c r="F331" i="4"/>
  <c r="E331" i="4"/>
  <c r="D331" i="4"/>
  <c r="C331" i="4"/>
  <c r="B331" i="4"/>
  <c r="H330" i="4"/>
  <c r="G330" i="4"/>
  <c r="F330" i="4"/>
  <c r="E330" i="4"/>
  <c r="D330" i="4"/>
  <c r="C330" i="4"/>
  <c r="B330" i="4"/>
  <c r="H329" i="4"/>
  <c r="G329" i="4"/>
  <c r="F329" i="4"/>
  <c r="E329" i="4"/>
  <c r="D329" i="4"/>
  <c r="C329" i="4"/>
  <c r="B329" i="4"/>
  <c r="H328" i="4"/>
  <c r="G328" i="4"/>
  <c r="F328" i="4"/>
  <c r="E328" i="4"/>
  <c r="D328" i="4"/>
  <c r="C328" i="4"/>
  <c r="B328" i="4"/>
  <c r="H327" i="4"/>
  <c r="G327" i="4"/>
  <c r="F327" i="4"/>
  <c r="E327" i="4"/>
  <c r="D327" i="4"/>
  <c r="C327" i="4"/>
  <c r="B327" i="4"/>
  <c r="H326" i="4"/>
  <c r="G326" i="4"/>
  <c r="F326" i="4"/>
  <c r="E326" i="4"/>
  <c r="D326" i="4"/>
  <c r="C326" i="4"/>
  <c r="B326" i="4"/>
  <c r="H325" i="4"/>
  <c r="G325" i="4"/>
  <c r="F325" i="4"/>
  <c r="E325" i="4"/>
  <c r="D325" i="4"/>
  <c r="C325" i="4"/>
  <c r="B325" i="4"/>
  <c r="H324" i="4"/>
  <c r="G324" i="4"/>
  <c r="F324" i="4"/>
  <c r="E324" i="4"/>
  <c r="D324" i="4"/>
  <c r="C324" i="4"/>
  <c r="B324" i="4"/>
  <c r="H323" i="4"/>
  <c r="G323" i="4"/>
  <c r="F323" i="4"/>
  <c r="E323" i="4"/>
  <c r="D323" i="4"/>
  <c r="C323" i="4"/>
  <c r="B323" i="4"/>
  <c r="H322" i="4"/>
  <c r="G322" i="4"/>
  <c r="F322" i="4"/>
  <c r="E322" i="4"/>
  <c r="D322" i="4"/>
  <c r="C322" i="4"/>
  <c r="B322" i="4"/>
  <c r="H321" i="4"/>
  <c r="G321" i="4"/>
  <c r="F321" i="4"/>
  <c r="E321" i="4"/>
  <c r="D321" i="4"/>
  <c r="C321" i="4"/>
  <c r="B321" i="4"/>
  <c r="H320" i="4"/>
  <c r="G320" i="4"/>
  <c r="F320" i="4"/>
  <c r="E320" i="4"/>
  <c r="D320" i="4"/>
  <c r="C320" i="4"/>
  <c r="B320" i="4"/>
  <c r="H319" i="4"/>
  <c r="G319" i="4"/>
  <c r="F319" i="4"/>
  <c r="E319" i="4"/>
  <c r="D319" i="4"/>
  <c r="C319" i="4"/>
  <c r="B319" i="4"/>
  <c r="H318" i="4"/>
  <c r="G318" i="4"/>
  <c r="F318" i="4"/>
  <c r="E318" i="4"/>
  <c r="D318" i="4"/>
  <c r="C318" i="4"/>
  <c r="B318" i="4"/>
  <c r="H317" i="4"/>
  <c r="G317" i="4"/>
  <c r="F317" i="4"/>
  <c r="E317" i="4"/>
  <c r="D317" i="4"/>
  <c r="C317" i="4"/>
  <c r="B317" i="4"/>
  <c r="H316" i="4"/>
  <c r="G316" i="4"/>
  <c r="F316" i="4"/>
  <c r="E316" i="4"/>
  <c r="D316" i="4"/>
  <c r="C316" i="4"/>
  <c r="B316" i="4"/>
  <c r="H315" i="4"/>
  <c r="G315" i="4"/>
  <c r="F315" i="4"/>
  <c r="E315" i="4"/>
  <c r="D315" i="4"/>
  <c r="C315" i="4"/>
  <c r="B315" i="4"/>
  <c r="H314" i="4"/>
  <c r="G314" i="4"/>
  <c r="F314" i="4"/>
  <c r="E314" i="4"/>
  <c r="D314" i="4"/>
  <c r="C314" i="4"/>
  <c r="B314" i="4"/>
  <c r="H313" i="4"/>
  <c r="G313" i="4"/>
  <c r="F313" i="4"/>
  <c r="E313" i="4"/>
  <c r="D313" i="4"/>
  <c r="C313" i="4"/>
  <c r="B313" i="4"/>
  <c r="H312" i="4"/>
  <c r="G312" i="4"/>
  <c r="F312" i="4"/>
  <c r="E312" i="4"/>
  <c r="D312" i="4"/>
  <c r="C312" i="4"/>
  <c r="B312" i="4"/>
  <c r="H311" i="4"/>
  <c r="G311" i="4"/>
  <c r="F311" i="4"/>
  <c r="E311" i="4"/>
  <c r="D311" i="4"/>
  <c r="C311" i="4"/>
  <c r="B311" i="4"/>
  <c r="H310" i="4"/>
  <c r="G310" i="4"/>
  <c r="F310" i="4"/>
  <c r="E310" i="4"/>
  <c r="D310" i="4"/>
  <c r="C310" i="4"/>
  <c r="B310" i="4"/>
  <c r="H309" i="4"/>
  <c r="G309" i="4"/>
  <c r="F309" i="4"/>
  <c r="E309" i="4"/>
  <c r="D309" i="4"/>
  <c r="C309" i="4"/>
  <c r="B309" i="4"/>
  <c r="H308" i="4"/>
  <c r="G308" i="4"/>
  <c r="F308" i="4"/>
  <c r="E308" i="4"/>
  <c r="D308" i="4"/>
  <c r="C308" i="4"/>
  <c r="B308" i="4"/>
  <c r="H307" i="4"/>
  <c r="G307" i="4"/>
  <c r="F307" i="4"/>
  <c r="E307" i="4"/>
  <c r="D307" i="4"/>
  <c r="C307" i="4"/>
  <c r="B307" i="4"/>
  <c r="H306" i="4"/>
  <c r="G306" i="4"/>
  <c r="F306" i="4"/>
  <c r="E306" i="4"/>
  <c r="D306" i="4"/>
  <c r="C306" i="4"/>
  <c r="B306" i="4"/>
  <c r="H305" i="4"/>
  <c r="G305" i="4"/>
  <c r="F305" i="4"/>
  <c r="E305" i="4"/>
  <c r="D305" i="4"/>
  <c r="C305" i="4"/>
  <c r="B305" i="4"/>
  <c r="H304" i="4"/>
  <c r="G304" i="4"/>
  <c r="F304" i="4"/>
  <c r="E304" i="4"/>
  <c r="D304" i="4"/>
  <c r="C304" i="4"/>
  <c r="B304" i="4"/>
  <c r="H303" i="4"/>
  <c r="G303" i="4"/>
  <c r="F303" i="4"/>
  <c r="E303" i="4"/>
  <c r="D303" i="4"/>
  <c r="C303" i="4"/>
  <c r="B303" i="4"/>
  <c r="H302" i="4"/>
  <c r="G302" i="4"/>
  <c r="F302" i="4"/>
  <c r="E302" i="4"/>
  <c r="D302" i="4"/>
  <c r="C302" i="4"/>
  <c r="B302" i="4"/>
  <c r="H301" i="4"/>
  <c r="G301" i="4"/>
  <c r="F301" i="4"/>
  <c r="E301" i="4"/>
  <c r="D301" i="4"/>
  <c r="C301" i="4"/>
  <c r="B301" i="4"/>
  <c r="H300" i="4"/>
  <c r="G300" i="4"/>
  <c r="F300" i="4"/>
  <c r="E300" i="4"/>
  <c r="D300" i="4"/>
  <c r="C300" i="4"/>
  <c r="B300" i="4"/>
  <c r="H299" i="4"/>
  <c r="G299" i="4"/>
  <c r="F299" i="4"/>
  <c r="E299" i="4"/>
  <c r="D299" i="4"/>
  <c r="C299" i="4"/>
  <c r="B299" i="4"/>
  <c r="H298" i="4"/>
  <c r="G298" i="4"/>
  <c r="F298" i="4"/>
  <c r="E298" i="4"/>
  <c r="D298" i="4"/>
  <c r="C298" i="4"/>
  <c r="B298" i="4"/>
  <c r="H297" i="4"/>
  <c r="G297" i="4"/>
  <c r="F297" i="4"/>
  <c r="E297" i="4"/>
  <c r="D297" i="4"/>
  <c r="C297" i="4"/>
  <c r="B297" i="4"/>
  <c r="H296" i="4"/>
  <c r="G296" i="4"/>
  <c r="F296" i="4"/>
  <c r="E296" i="4"/>
  <c r="D296" i="4"/>
  <c r="C296" i="4"/>
  <c r="B296" i="4"/>
  <c r="H295" i="4"/>
  <c r="G295" i="4"/>
  <c r="F295" i="4"/>
  <c r="E295" i="4"/>
  <c r="D295" i="4"/>
  <c r="C295" i="4"/>
  <c r="B295" i="4"/>
  <c r="H294" i="4"/>
  <c r="G294" i="4"/>
  <c r="F294" i="4"/>
  <c r="E294" i="4"/>
  <c r="D294" i="4"/>
  <c r="C294" i="4"/>
  <c r="B294" i="4"/>
  <c r="H293" i="4"/>
  <c r="G293" i="4"/>
  <c r="F293" i="4"/>
  <c r="E293" i="4"/>
  <c r="D293" i="4"/>
  <c r="C293" i="4"/>
  <c r="B293" i="4"/>
  <c r="H292" i="4"/>
  <c r="G292" i="4"/>
  <c r="F292" i="4"/>
  <c r="E292" i="4"/>
  <c r="D292" i="4"/>
  <c r="C292" i="4"/>
  <c r="B292" i="4"/>
  <c r="H291" i="4"/>
  <c r="G291" i="4"/>
  <c r="F291" i="4"/>
  <c r="E291" i="4"/>
  <c r="D291" i="4"/>
  <c r="C291" i="4"/>
  <c r="B291" i="4"/>
  <c r="H290" i="4"/>
  <c r="G290" i="4"/>
  <c r="F290" i="4"/>
  <c r="E290" i="4"/>
  <c r="D290" i="4"/>
  <c r="C290" i="4"/>
  <c r="B290" i="4"/>
  <c r="H289" i="4"/>
  <c r="G289" i="4"/>
  <c r="F289" i="4"/>
  <c r="E289" i="4"/>
  <c r="D289" i="4"/>
  <c r="C289" i="4"/>
  <c r="B289" i="4"/>
  <c r="H288" i="4"/>
  <c r="G288" i="4"/>
  <c r="F288" i="4"/>
  <c r="E288" i="4"/>
  <c r="D288" i="4"/>
  <c r="C288" i="4"/>
  <c r="B288" i="4"/>
  <c r="H287" i="4"/>
  <c r="G287" i="4"/>
  <c r="F287" i="4"/>
  <c r="E287" i="4"/>
  <c r="D287" i="4"/>
  <c r="C287" i="4"/>
  <c r="B287" i="4"/>
  <c r="H286" i="4"/>
  <c r="G286" i="4"/>
  <c r="F286" i="4"/>
  <c r="E286" i="4"/>
  <c r="D286" i="4"/>
  <c r="C286" i="4"/>
  <c r="B286" i="4"/>
  <c r="H285" i="4"/>
  <c r="G285" i="4"/>
  <c r="F285" i="4"/>
  <c r="E285" i="4"/>
  <c r="D285" i="4"/>
  <c r="C285" i="4"/>
  <c r="B285" i="4"/>
  <c r="H284" i="4"/>
  <c r="G284" i="4"/>
  <c r="F284" i="4"/>
  <c r="E284" i="4"/>
  <c r="D284" i="4"/>
  <c r="C284" i="4"/>
  <c r="B284" i="4"/>
  <c r="H283" i="4"/>
  <c r="G283" i="4"/>
  <c r="F283" i="4"/>
  <c r="E283" i="4"/>
  <c r="D283" i="4"/>
  <c r="C283" i="4"/>
  <c r="B283" i="4"/>
  <c r="H282" i="4"/>
  <c r="G282" i="4"/>
  <c r="F282" i="4"/>
  <c r="E282" i="4"/>
  <c r="D282" i="4"/>
  <c r="C282" i="4"/>
  <c r="B282" i="4"/>
  <c r="H281" i="4"/>
  <c r="G281" i="4"/>
  <c r="F281" i="4"/>
  <c r="E281" i="4"/>
  <c r="D281" i="4"/>
  <c r="C281" i="4"/>
  <c r="B281" i="4"/>
  <c r="H280" i="4"/>
  <c r="G280" i="4"/>
  <c r="F280" i="4"/>
  <c r="E280" i="4"/>
  <c r="D280" i="4"/>
  <c r="C280" i="4"/>
  <c r="B280" i="4"/>
  <c r="H279" i="4"/>
  <c r="G279" i="4"/>
  <c r="F279" i="4"/>
  <c r="E279" i="4"/>
  <c r="D279" i="4"/>
  <c r="C279" i="4"/>
  <c r="B279" i="4"/>
  <c r="H278" i="4"/>
  <c r="G278" i="4"/>
  <c r="F278" i="4"/>
  <c r="E278" i="4"/>
  <c r="D278" i="4"/>
  <c r="C278" i="4"/>
  <c r="B278" i="4"/>
  <c r="H277" i="4"/>
  <c r="G277" i="4"/>
  <c r="F277" i="4"/>
  <c r="E277" i="4"/>
  <c r="D277" i="4"/>
  <c r="C277" i="4"/>
  <c r="B277" i="4"/>
  <c r="H276" i="4"/>
  <c r="G276" i="4"/>
  <c r="F276" i="4"/>
  <c r="E276" i="4"/>
  <c r="D276" i="4"/>
  <c r="C276" i="4"/>
  <c r="B276" i="4"/>
  <c r="H275" i="4"/>
  <c r="G275" i="4"/>
  <c r="F275" i="4"/>
  <c r="E275" i="4"/>
  <c r="D275" i="4"/>
  <c r="C275" i="4"/>
  <c r="B275" i="4"/>
  <c r="H274" i="4"/>
  <c r="G274" i="4"/>
  <c r="F274" i="4"/>
  <c r="E274" i="4"/>
  <c r="D274" i="4"/>
  <c r="C274" i="4"/>
  <c r="B274" i="4"/>
  <c r="H273" i="4"/>
  <c r="G273" i="4"/>
  <c r="F273" i="4"/>
  <c r="E273" i="4"/>
  <c r="D273" i="4"/>
  <c r="C273" i="4"/>
  <c r="B273" i="4"/>
  <c r="H272" i="4"/>
  <c r="G272" i="4"/>
  <c r="F272" i="4"/>
  <c r="E272" i="4"/>
  <c r="D272" i="4"/>
  <c r="C272" i="4"/>
  <c r="B272" i="4"/>
  <c r="H271" i="4"/>
  <c r="G271" i="4"/>
  <c r="F271" i="4"/>
  <c r="E271" i="4"/>
  <c r="D271" i="4"/>
  <c r="C271" i="4"/>
  <c r="B271" i="4"/>
  <c r="H270" i="4"/>
  <c r="G270" i="4"/>
  <c r="F270" i="4"/>
  <c r="E270" i="4"/>
  <c r="D270" i="4"/>
  <c r="C270" i="4"/>
  <c r="B270" i="4"/>
  <c r="H269" i="4"/>
  <c r="G269" i="4"/>
  <c r="F269" i="4"/>
  <c r="E269" i="4"/>
  <c r="D269" i="4"/>
  <c r="C269" i="4"/>
  <c r="B269" i="4"/>
  <c r="H268" i="4"/>
  <c r="G268" i="4"/>
  <c r="F268" i="4"/>
  <c r="E268" i="4"/>
  <c r="D268" i="4"/>
  <c r="C268" i="4"/>
  <c r="B268" i="4"/>
  <c r="H267" i="4"/>
  <c r="G267" i="4"/>
  <c r="F267" i="4"/>
  <c r="E267" i="4"/>
  <c r="D267" i="4"/>
  <c r="C267" i="4"/>
  <c r="B267" i="4"/>
  <c r="H266" i="4"/>
  <c r="G266" i="4"/>
  <c r="F266" i="4"/>
  <c r="E266" i="4"/>
  <c r="D266" i="4"/>
  <c r="C266" i="4"/>
  <c r="B266" i="4"/>
  <c r="H265" i="4"/>
  <c r="G265" i="4"/>
  <c r="F265" i="4"/>
  <c r="E265" i="4"/>
  <c r="D265" i="4"/>
  <c r="C265" i="4"/>
  <c r="B265" i="4"/>
  <c r="H264" i="4"/>
  <c r="G264" i="4"/>
  <c r="F264" i="4"/>
  <c r="E264" i="4"/>
  <c r="D264" i="4"/>
  <c r="C264" i="4"/>
  <c r="B264" i="4"/>
  <c r="H263" i="4"/>
  <c r="G263" i="4"/>
  <c r="F263" i="4"/>
  <c r="E263" i="4"/>
  <c r="D263" i="4"/>
  <c r="C263" i="4"/>
  <c r="B263" i="4"/>
  <c r="H262" i="4"/>
  <c r="G262" i="4"/>
  <c r="F262" i="4"/>
  <c r="E262" i="4"/>
  <c r="D262" i="4"/>
  <c r="C262" i="4"/>
  <c r="B262" i="4"/>
  <c r="H261" i="4"/>
  <c r="G261" i="4"/>
  <c r="F261" i="4"/>
  <c r="E261" i="4"/>
  <c r="D261" i="4"/>
  <c r="C261" i="4"/>
  <c r="B261" i="4"/>
  <c r="H260" i="4"/>
  <c r="G260" i="4"/>
  <c r="F260" i="4"/>
  <c r="E260" i="4"/>
  <c r="D260" i="4"/>
  <c r="C260" i="4"/>
  <c r="B260" i="4"/>
  <c r="H259" i="4"/>
  <c r="G259" i="4"/>
  <c r="F259" i="4"/>
  <c r="E259" i="4"/>
  <c r="D259" i="4"/>
  <c r="C259" i="4"/>
  <c r="B259" i="4"/>
  <c r="H258" i="4"/>
  <c r="G258" i="4"/>
  <c r="F258" i="4"/>
  <c r="E258" i="4"/>
  <c r="D258" i="4"/>
  <c r="C258" i="4"/>
  <c r="B258" i="4"/>
  <c r="H257" i="4"/>
  <c r="G257" i="4"/>
  <c r="F257" i="4"/>
  <c r="E257" i="4"/>
  <c r="D257" i="4"/>
  <c r="C257" i="4"/>
  <c r="B257" i="4"/>
  <c r="H256" i="4"/>
  <c r="G256" i="4"/>
  <c r="F256" i="4"/>
  <c r="E256" i="4"/>
  <c r="D256" i="4"/>
  <c r="C256" i="4"/>
  <c r="B256" i="4"/>
  <c r="H255" i="4"/>
  <c r="G255" i="4"/>
  <c r="F255" i="4"/>
  <c r="E255" i="4"/>
  <c r="D255" i="4"/>
  <c r="C255" i="4"/>
  <c r="B255" i="4"/>
  <c r="H254" i="4"/>
  <c r="G254" i="4"/>
  <c r="F254" i="4"/>
  <c r="E254" i="4"/>
  <c r="D254" i="4"/>
  <c r="C254" i="4"/>
  <c r="B254" i="4"/>
  <c r="H253" i="4"/>
  <c r="G253" i="4"/>
  <c r="F253" i="4"/>
  <c r="E253" i="4"/>
  <c r="D253" i="4"/>
  <c r="C253" i="4"/>
  <c r="B253" i="4"/>
  <c r="H252" i="4"/>
  <c r="G252" i="4"/>
  <c r="F252" i="4"/>
  <c r="E252" i="4"/>
  <c r="D252" i="4"/>
  <c r="C252" i="4"/>
  <c r="B252" i="4"/>
  <c r="H251" i="4"/>
  <c r="G251" i="4"/>
  <c r="F251" i="4"/>
  <c r="E251" i="4"/>
  <c r="D251" i="4"/>
  <c r="C251" i="4"/>
  <c r="B251" i="4"/>
  <c r="H250" i="4"/>
  <c r="G250" i="4"/>
  <c r="F250" i="4"/>
  <c r="E250" i="4"/>
  <c r="D250" i="4"/>
  <c r="C250" i="4"/>
  <c r="B250" i="4"/>
  <c r="H249" i="4"/>
  <c r="G249" i="4"/>
  <c r="F249" i="4"/>
  <c r="E249" i="4"/>
  <c r="D249" i="4"/>
  <c r="C249" i="4"/>
  <c r="B249" i="4"/>
  <c r="H248" i="4"/>
  <c r="G248" i="4"/>
  <c r="F248" i="4"/>
  <c r="E248" i="4"/>
  <c r="D248" i="4"/>
  <c r="C248" i="4"/>
  <c r="B248" i="4"/>
  <c r="H247" i="4"/>
  <c r="G247" i="4"/>
  <c r="F247" i="4"/>
  <c r="E247" i="4"/>
  <c r="D247" i="4"/>
  <c r="C247" i="4"/>
  <c r="B247" i="4"/>
  <c r="H246" i="4"/>
  <c r="G246" i="4"/>
  <c r="F246" i="4"/>
  <c r="E246" i="4"/>
  <c r="D246" i="4"/>
  <c r="C246" i="4"/>
  <c r="B246" i="4"/>
  <c r="H245" i="4"/>
  <c r="G245" i="4"/>
  <c r="F245" i="4"/>
  <c r="E245" i="4"/>
  <c r="D245" i="4"/>
  <c r="C245" i="4"/>
  <c r="B245" i="4"/>
  <c r="H244" i="4"/>
  <c r="G244" i="4"/>
  <c r="F244" i="4"/>
  <c r="E244" i="4"/>
  <c r="D244" i="4"/>
  <c r="C244" i="4"/>
  <c r="B244" i="4"/>
  <c r="H243" i="4"/>
  <c r="G243" i="4"/>
  <c r="F243" i="4"/>
  <c r="E243" i="4"/>
  <c r="D243" i="4"/>
  <c r="C243" i="4"/>
  <c r="B243" i="4"/>
  <c r="H242" i="4"/>
  <c r="G242" i="4"/>
  <c r="F242" i="4"/>
  <c r="E242" i="4"/>
  <c r="D242" i="4"/>
  <c r="C242" i="4"/>
  <c r="B242" i="4"/>
  <c r="H241" i="4"/>
  <c r="G241" i="4"/>
  <c r="F241" i="4"/>
  <c r="E241" i="4"/>
  <c r="D241" i="4"/>
  <c r="C241" i="4"/>
  <c r="B241" i="4"/>
  <c r="H240" i="4"/>
  <c r="G240" i="4"/>
  <c r="F240" i="4"/>
  <c r="E240" i="4"/>
  <c r="D240" i="4"/>
  <c r="C240" i="4"/>
  <c r="B240" i="4"/>
  <c r="H239" i="4"/>
  <c r="G239" i="4"/>
  <c r="F239" i="4"/>
  <c r="E239" i="4"/>
  <c r="D239" i="4"/>
  <c r="C239" i="4"/>
  <c r="B239" i="4"/>
  <c r="H238" i="4"/>
  <c r="G238" i="4"/>
  <c r="F238" i="4"/>
  <c r="E238" i="4"/>
  <c r="D238" i="4"/>
  <c r="C238" i="4"/>
  <c r="B238" i="4"/>
  <c r="H237" i="4"/>
  <c r="G237" i="4"/>
  <c r="F237" i="4"/>
  <c r="E237" i="4"/>
  <c r="D237" i="4"/>
  <c r="C237" i="4"/>
  <c r="B237" i="4"/>
  <c r="H236" i="4"/>
  <c r="G236" i="4"/>
  <c r="F236" i="4"/>
  <c r="E236" i="4"/>
  <c r="D236" i="4"/>
  <c r="C236" i="4"/>
  <c r="B236" i="4"/>
  <c r="H235" i="4"/>
  <c r="G235" i="4"/>
  <c r="F235" i="4"/>
  <c r="E235" i="4"/>
  <c r="D235" i="4"/>
  <c r="C235" i="4"/>
  <c r="B235" i="4"/>
  <c r="H234" i="4"/>
  <c r="G234" i="4"/>
  <c r="F234" i="4"/>
  <c r="E234" i="4"/>
  <c r="D234" i="4"/>
  <c r="C234" i="4"/>
  <c r="B234" i="4"/>
  <c r="H233" i="4"/>
  <c r="G233" i="4"/>
  <c r="F233" i="4"/>
  <c r="E233" i="4"/>
  <c r="D233" i="4"/>
  <c r="C233" i="4"/>
  <c r="B233" i="4"/>
  <c r="H232" i="4"/>
  <c r="G232" i="4"/>
  <c r="F232" i="4"/>
  <c r="E232" i="4"/>
  <c r="D232" i="4"/>
  <c r="C232" i="4"/>
  <c r="B232" i="4"/>
  <c r="H231" i="4"/>
  <c r="G231" i="4"/>
  <c r="F231" i="4"/>
  <c r="E231" i="4"/>
  <c r="D231" i="4"/>
  <c r="C231" i="4"/>
  <c r="B231" i="4"/>
  <c r="H230" i="4"/>
  <c r="G230" i="4"/>
  <c r="F230" i="4"/>
  <c r="E230" i="4"/>
  <c r="D230" i="4"/>
  <c r="C230" i="4"/>
  <c r="B230" i="4"/>
  <c r="H229" i="4"/>
  <c r="G229" i="4"/>
  <c r="F229" i="4"/>
  <c r="E229" i="4"/>
  <c r="D229" i="4"/>
  <c r="C229" i="4"/>
  <c r="B229" i="4"/>
  <c r="H228" i="4"/>
  <c r="G228" i="4"/>
  <c r="F228" i="4"/>
  <c r="E228" i="4"/>
  <c r="D228" i="4"/>
  <c r="C228" i="4"/>
  <c r="B228" i="4"/>
  <c r="H227" i="4"/>
  <c r="G227" i="4"/>
  <c r="F227" i="4"/>
  <c r="E227" i="4"/>
  <c r="D227" i="4"/>
  <c r="C227" i="4"/>
  <c r="B227" i="4"/>
  <c r="H226" i="4"/>
  <c r="G226" i="4"/>
  <c r="F226" i="4"/>
  <c r="E226" i="4"/>
  <c r="D226" i="4"/>
  <c r="C226" i="4"/>
  <c r="B226" i="4"/>
  <c r="H225" i="4"/>
  <c r="G225" i="4"/>
  <c r="F225" i="4"/>
  <c r="E225" i="4"/>
  <c r="D225" i="4"/>
  <c r="C225" i="4"/>
  <c r="B225" i="4"/>
  <c r="H224" i="4"/>
  <c r="G224" i="4"/>
  <c r="F224" i="4"/>
  <c r="E224" i="4"/>
  <c r="D224" i="4"/>
  <c r="C224" i="4"/>
  <c r="B224" i="4"/>
  <c r="H223" i="4"/>
  <c r="G223" i="4"/>
  <c r="F223" i="4"/>
  <c r="E223" i="4"/>
  <c r="D223" i="4"/>
  <c r="C223" i="4"/>
  <c r="B223" i="4"/>
  <c r="H222" i="4"/>
  <c r="G222" i="4"/>
  <c r="F222" i="4"/>
  <c r="E222" i="4"/>
  <c r="D222" i="4"/>
  <c r="C222" i="4"/>
  <c r="B222" i="4"/>
  <c r="H221" i="4"/>
  <c r="G221" i="4"/>
  <c r="F221" i="4"/>
  <c r="E221" i="4"/>
  <c r="D221" i="4"/>
  <c r="C221" i="4"/>
  <c r="B221" i="4"/>
  <c r="H220" i="4"/>
  <c r="G220" i="4"/>
  <c r="F220" i="4"/>
  <c r="E220" i="4"/>
  <c r="D220" i="4"/>
  <c r="C220" i="4"/>
  <c r="B220" i="4"/>
  <c r="H219" i="4"/>
  <c r="G219" i="4"/>
  <c r="F219" i="4"/>
  <c r="E219" i="4"/>
  <c r="D219" i="4"/>
  <c r="C219" i="4"/>
  <c r="B219" i="4"/>
  <c r="H218" i="4"/>
  <c r="G218" i="4"/>
  <c r="F218" i="4"/>
  <c r="E218" i="4"/>
  <c r="D218" i="4"/>
  <c r="C218" i="4"/>
  <c r="B218" i="4"/>
  <c r="H217" i="4"/>
  <c r="G217" i="4"/>
  <c r="F217" i="4"/>
  <c r="E217" i="4"/>
  <c r="D217" i="4"/>
  <c r="C217" i="4"/>
  <c r="B217" i="4"/>
  <c r="H216" i="4"/>
  <c r="G216" i="4"/>
  <c r="F216" i="4"/>
  <c r="E216" i="4"/>
  <c r="D216" i="4"/>
  <c r="C216" i="4"/>
  <c r="B216" i="4"/>
  <c r="H215" i="4"/>
  <c r="G215" i="4"/>
  <c r="F215" i="4"/>
  <c r="E215" i="4"/>
  <c r="D215" i="4"/>
  <c r="C215" i="4"/>
  <c r="B215" i="4"/>
  <c r="H214" i="4"/>
  <c r="G214" i="4"/>
  <c r="F214" i="4"/>
  <c r="E214" i="4"/>
  <c r="D214" i="4"/>
  <c r="C214" i="4"/>
  <c r="B214" i="4"/>
  <c r="H213" i="4"/>
  <c r="G213" i="4"/>
  <c r="F213" i="4"/>
  <c r="E213" i="4"/>
  <c r="D213" i="4"/>
  <c r="C213" i="4"/>
  <c r="B213" i="4"/>
  <c r="H212" i="4"/>
  <c r="G212" i="4"/>
  <c r="F212" i="4"/>
  <c r="E212" i="4"/>
  <c r="D212" i="4"/>
  <c r="C212" i="4"/>
  <c r="B212" i="4"/>
  <c r="H211" i="4"/>
  <c r="G211" i="4"/>
  <c r="F211" i="4"/>
  <c r="E211" i="4"/>
  <c r="D211" i="4"/>
  <c r="C211" i="4"/>
  <c r="B211" i="4"/>
  <c r="H210" i="4"/>
  <c r="G210" i="4"/>
  <c r="F210" i="4"/>
  <c r="E210" i="4"/>
  <c r="D210" i="4"/>
  <c r="C210" i="4"/>
  <c r="B210" i="4"/>
  <c r="H209" i="4"/>
  <c r="G209" i="4"/>
  <c r="F209" i="4"/>
  <c r="E209" i="4"/>
  <c r="D209" i="4"/>
  <c r="C209" i="4"/>
  <c r="B209" i="4"/>
  <c r="H208" i="4"/>
  <c r="G208" i="4"/>
  <c r="F208" i="4"/>
  <c r="E208" i="4"/>
  <c r="D208" i="4"/>
  <c r="C208" i="4"/>
  <c r="B208" i="4"/>
  <c r="H207" i="4"/>
  <c r="G207" i="4"/>
  <c r="F207" i="4"/>
  <c r="E207" i="4"/>
  <c r="D207" i="4"/>
  <c r="C207" i="4"/>
  <c r="B207" i="4"/>
  <c r="H206" i="4"/>
  <c r="G206" i="4"/>
  <c r="F206" i="4"/>
  <c r="E206" i="4"/>
  <c r="D206" i="4"/>
  <c r="C206" i="4"/>
  <c r="B206" i="4"/>
  <c r="H205" i="4"/>
  <c r="G205" i="4"/>
  <c r="F205" i="4"/>
  <c r="E205" i="4"/>
  <c r="D205" i="4"/>
  <c r="C205" i="4"/>
  <c r="B205" i="4"/>
  <c r="H204" i="4"/>
  <c r="G204" i="4"/>
  <c r="F204" i="4"/>
  <c r="E204" i="4"/>
  <c r="D204" i="4"/>
  <c r="C204" i="4"/>
  <c r="B204" i="4"/>
  <c r="H203" i="4"/>
  <c r="G203" i="4"/>
  <c r="F203" i="4"/>
  <c r="E203" i="4"/>
  <c r="D203" i="4"/>
  <c r="C203" i="4"/>
  <c r="B203" i="4"/>
  <c r="H202" i="4"/>
  <c r="G202" i="4"/>
  <c r="F202" i="4"/>
  <c r="E202" i="4"/>
  <c r="D202" i="4"/>
  <c r="C202" i="4"/>
  <c r="B202" i="4"/>
  <c r="H201" i="4"/>
  <c r="G201" i="4"/>
  <c r="F201" i="4"/>
  <c r="E201" i="4"/>
  <c r="D201" i="4"/>
  <c r="C201" i="4"/>
  <c r="B201" i="4"/>
  <c r="H200" i="4"/>
  <c r="G200" i="4"/>
  <c r="F200" i="4"/>
  <c r="E200" i="4"/>
  <c r="D200" i="4"/>
  <c r="C200" i="4"/>
  <c r="B200" i="4"/>
  <c r="H199" i="4"/>
  <c r="G199" i="4"/>
  <c r="F199" i="4"/>
  <c r="E199" i="4"/>
  <c r="D199" i="4"/>
  <c r="C199" i="4"/>
  <c r="B199" i="4"/>
  <c r="H198" i="4"/>
  <c r="G198" i="4"/>
  <c r="F198" i="4"/>
  <c r="E198" i="4"/>
  <c r="D198" i="4"/>
  <c r="C198" i="4"/>
  <c r="B198" i="4"/>
  <c r="H197" i="4"/>
  <c r="G197" i="4"/>
  <c r="F197" i="4"/>
  <c r="E197" i="4"/>
  <c r="D197" i="4"/>
  <c r="C197" i="4"/>
  <c r="B197" i="4"/>
  <c r="H196" i="4"/>
  <c r="G196" i="4"/>
  <c r="F196" i="4"/>
  <c r="E196" i="4"/>
  <c r="D196" i="4"/>
  <c r="C196" i="4"/>
  <c r="B196" i="4"/>
  <c r="H195" i="4"/>
  <c r="G195" i="4"/>
  <c r="F195" i="4"/>
  <c r="E195" i="4"/>
  <c r="D195" i="4"/>
  <c r="C195" i="4"/>
  <c r="B195" i="4"/>
  <c r="H194" i="4"/>
  <c r="G194" i="4"/>
  <c r="F194" i="4"/>
  <c r="E194" i="4"/>
  <c r="D194" i="4"/>
  <c r="C194" i="4"/>
  <c r="B194" i="4"/>
  <c r="H193" i="4"/>
  <c r="G193" i="4"/>
  <c r="F193" i="4"/>
  <c r="E193" i="4"/>
  <c r="D193" i="4"/>
  <c r="C193" i="4"/>
  <c r="B193" i="4"/>
  <c r="H192" i="4"/>
  <c r="G192" i="4"/>
  <c r="F192" i="4"/>
  <c r="E192" i="4"/>
  <c r="D192" i="4"/>
  <c r="C192" i="4"/>
  <c r="B192" i="4"/>
  <c r="H191" i="4"/>
  <c r="G191" i="4"/>
  <c r="F191" i="4"/>
  <c r="E191" i="4"/>
  <c r="D191" i="4"/>
  <c r="C191" i="4"/>
  <c r="B191" i="4"/>
  <c r="H190" i="4"/>
  <c r="G190" i="4"/>
  <c r="F190" i="4"/>
  <c r="E190" i="4"/>
  <c r="D190" i="4"/>
  <c r="C190" i="4"/>
  <c r="B190" i="4"/>
  <c r="H189" i="4"/>
  <c r="G189" i="4"/>
  <c r="F189" i="4"/>
  <c r="E189" i="4"/>
  <c r="D189" i="4"/>
  <c r="C189" i="4"/>
  <c r="B189" i="4"/>
  <c r="H188" i="4"/>
  <c r="G188" i="4"/>
  <c r="F188" i="4"/>
  <c r="E188" i="4"/>
  <c r="D188" i="4"/>
  <c r="C188" i="4"/>
  <c r="B188" i="4"/>
  <c r="H187" i="4"/>
  <c r="G187" i="4"/>
  <c r="F187" i="4"/>
  <c r="E187" i="4"/>
  <c r="D187" i="4"/>
  <c r="C187" i="4"/>
  <c r="B187" i="4"/>
  <c r="H186" i="4"/>
  <c r="G186" i="4"/>
  <c r="F186" i="4"/>
  <c r="E186" i="4"/>
  <c r="D186" i="4"/>
  <c r="C186" i="4"/>
  <c r="B186" i="4"/>
  <c r="H185" i="4"/>
  <c r="G185" i="4"/>
  <c r="F185" i="4"/>
  <c r="E185" i="4"/>
  <c r="D185" i="4"/>
  <c r="C185" i="4"/>
  <c r="B185" i="4"/>
  <c r="H184" i="4"/>
  <c r="G184" i="4"/>
  <c r="F184" i="4"/>
  <c r="E184" i="4"/>
  <c r="D184" i="4"/>
  <c r="C184" i="4"/>
  <c r="B184" i="4"/>
  <c r="H183" i="4"/>
  <c r="G183" i="4"/>
  <c r="F183" i="4"/>
  <c r="E183" i="4"/>
  <c r="D183" i="4"/>
  <c r="C183" i="4"/>
  <c r="B183" i="4"/>
  <c r="H182" i="4"/>
  <c r="G182" i="4"/>
  <c r="F182" i="4"/>
  <c r="E182" i="4"/>
  <c r="D182" i="4"/>
  <c r="C182" i="4"/>
  <c r="B182" i="4"/>
  <c r="H181" i="4"/>
  <c r="G181" i="4"/>
  <c r="F181" i="4"/>
  <c r="E181" i="4"/>
  <c r="D181" i="4"/>
  <c r="C181" i="4"/>
  <c r="B181" i="4"/>
  <c r="H180" i="4"/>
  <c r="G180" i="4"/>
  <c r="F180" i="4"/>
  <c r="E180" i="4"/>
  <c r="D180" i="4"/>
  <c r="C180" i="4"/>
  <c r="B180" i="4"/>
  <c r="H179" i="4"/>
  <c r="G179" i="4"/>
  <c r="F179" i="4"/>
  <c r="E179" i="4"/>
  <c r="D179" i="4"/>
  <c r="C179" i="4"/>
  <c r="B179" i="4"/>
  <c r="H178" i="4"/>
  <c r="G178" i="4"/>
  <c r="F178" i="4"/>
  <c r="E178" i="4"/>
  <c r="D178" i="4"/>
  <c r="C178" i="4"/>
  <c r="B178" i="4"/>
  <c r="H177" i="4"/>
  <c r="G177" i="4"/>
  <c r="F177" i="4"/>
  <c r="E177" i="4"/>
  <c r="D177" i="4"/>
  <c r="C177" i="4"/>
  <c r="B177" i="4"/>
  <c r="H176" i="4"/>
  <c r="G176" i="4"/>
  <c r="F176" i="4"/>
  <c r="E176" i="4"/>
  <c r="D176" i="4"/>
  <c r="C176" i="4"/>
  <c r="B176" i="4"/>
  <c r="H175" i="4"/>
  <c r="G175" i="4"/>
  <c r="F175" i="4"/>
  <c r="E175" i="4"/>
  <c r="D175" i="4"/>
  <c r="C175" i="4"/>
  <c r="B175" i="4"/>
  <c r="H174" i="4"/>
  <c r="G174" i="4"/>
  <c r="F174" i="4"/>
  <c r="E174" i="4"/>
  <c r="D174" i="4"/>
  <c r="C174" i="4"/>
  <c r="B174" i="4"/>
  <c r="H173" i="4"/>
  <c r="G173" i="4"/>
  <c r="F173" i="4"/>
  <c r="E173" i="4"/>
  <c r="D173" i="4"/>
  <c r="C173" i="4"/>
  <c r="B173" i="4"/>
  <c r="H172" i="4"/>
  <c r="G172" i="4"/>
  <c r="F172" i="4"/>
  <c r="E172" i="4"/>
  <c r="D172" i="4"/>
  <c r="C172" i="4"/>
  <c r="B172" i="4"/>
  <c r="H171" i="4"/>
  <c r="G171" i="4"/>
  <c r="F171" i="4"/>
  <c r="E171" i="4"/>
  <c r="D171" i="4"/>
  <c r="C171" i="4"/>
  <c r="B171" i="4"/>
  <c r="H170" i="4"/>
  <c r="G170" i="4"/>
  <c r="F170" i="4"/>
  <c r="E170" i="4"/>
  <c r="D170" i="4"/>
  <c r="C170" i="4"/>
  <c r="B170" i="4"/>
  <c r="H169" i="4"/>
  <c r="G169" i="4"/>
  <c r="F169" i="4"/>
  <c r="E169" i="4"/>
  <c r="D169" i="4"/>
  <c r="C169" i="4"/>
  <c r="B169" i="4"/>
  <c r="H168" i="4"/>
  <c r="G168" i="4"/>
  <c r="F168" i="4"/>
  <c r="E168" i="4"/>
  <c r="D168" i="4"/>
  <c r="C168" i="4"/>
  <c r="B168" i="4"/>
  <c r="H167" i="4"/>
  <c r="G167" i="4"/>
  <c r="F167" i="4"/>
  <c r="E167" i="4"/>
  <c r="D167" i="4"/>
  <c r="C167" i="4"/>
  <c r="B167" i="4"/>
  <c r="H166" i="4"/>
  <c r="G166" i="4"/>
  <c r="F166" i="4"/>
  <c r="E166" i="4"/>
  <c r="D166" i="4"/>
  <c r="C166" i="4"/>
  <c r="B166" i="4"/>
  <c r="H165" i="4"/>
  <c r="G165" i="4"/>
  <c r="F165" i="4"/>
  <c r="E165" i="4"/>
  <c r="D165" i="4"/>
  <c r="C165" i="4"/>
  <c r="B165" i="4"/>
  <c r="H164" i="4"/>
  <c r="G164" i="4"/>
  <c r="F164" i="4"/>
  <c r="E164" i="4"/>
  <c r="D164" i="4"/>
  <c r="C164" i="4"/>
  <c r="B164" i="4"/>
  <c r="H163" i="4"/>
  <c r="G163" i="4"/>
  <c r="F163" i="4"/>
  <c r="E163" i="4"/>
  <c r="D163" i="4"/>
  <c r="C163" i="4"/>
  <c r="B163" i="4"/>
  <c r="H162" i="4"/>
  <c r="G162" i="4"/>
  <c r="F162" i="4"/>
  <c r="E162" i="4"/>
  <c r="D162" i="4"/>
  <c r="C162" i="4"/>
  <c r="B162" i="4"/>
  <c r="H161" i="4"/>
  <c r="G161" i="4"/>
  <c r="F161" i="4"/>
  <c r="E161" i="4"/>
  <c r="D161" i="4"/>
  <c r="C161" i="4"/>
  <c r="B161" i="4"/>
  <c r="H160" i="4"/>
  <c r="G160" i="4"/>
  <c r="F160" i="4"/>
  <c r="E160" i="4"/>
  <c r="D160" i="4"/>
  <c r="C160" i="4"/>
  <c r="B160" i="4"/>
  <c r="H159" i="4"/>
  <c r="G159" i="4"/>
  <c r="F159" i="4"/>
  <c r="E159" i="4"/>
  <c r="D159" i="4"/>
  <c r="C159" i="4"/>
  <c r="B159" i="4"/>
  <c r="H158" i="4"/>
  <c r="G158" i="4"/>
  <c r="F158" i="4"/>
  <c r="E158" i="4"/>
  <c r="D158" i="4"/>
  <c r="C158" i="4"/>
  <c r="B158" i="4"/>
  <c r="H157" i="4"/>
  <c r="G157" i="4"/>
  <c r="F157" i="4"/>
  <c r="E157" i="4"/>
  <c r="D157" i="4"/>
  <c r="C157" i="4"/>
  <c r="B157" i="4"/>
  <c r="H156" i="4"/>
  <c r="G156" i="4"/>
  <c r="F156" i="4"/>
  <c r="E156" i="4"/>
  <c r="D156" i="4"/>
  <c r="C156" i="4"/>
  <c r="B156" i="4"/>
  <c r="H155" i="4"/>
  <c r="G155" i="4"/>
  <c r="F155" i="4"/>
  <c r="E155" i="4"/>
  <c r="D155" i="4"/>
  <c r="C155" i="4"/>
  <c r="B155" i="4"/>
  <c r="H154" i="4"/>
  <c r="G154" i="4"/>
  <c r="F154" i="4"/>
  <c r="E154" i="4"/>
  <c r="D154" i="4"/>
  <c r="C154" i="4"/>
  <c r="B154" i="4"/>
  <c r="H153" i="4"/>
  <c r="G153" i="4"/>
  <c r="F153" i="4"/>
  <c r="E153" i="4"/>
  <c r="D153" i="4"/>
  <c r="C153" i="4"/>
  <c r="B153" i="4"/>
  <c r="H152" i="4"/>
  <c r="G152" i="4"/>
  <c r="F152" i="4"/>
  <c r="E152" i="4"/>
  <c r="D152" i="4"/>
  <c r="C152" i="4"/>
  <c r="B152" i="4"/>
  <c r="H151" i="4"/>
  <c r="G151" i="4"/>
  <c r="F151" i="4"/>
  <c r="E151" i="4"/>
  <c r="D151" i="4"/>
  <c r="C151" i="4"/>
  <c r="B151" i="4"/>
  <c r="H150" i="4"/>
  <c r="G150" i="4"/>
  <c r="F150" i="4"/>
  <c r="E150" i="4"/>
  <c r="D150" i="4"/>
  <c r="C150" i="4"/>
  <c r="B150" i="4"/>
  <c r="H149" i="4"/>
  <c r="G149" i="4"/>
  <c r="F149" i="4"/>
  <c r="E149" i="4"/>
  <c r="D149" i="4"/>
  <c r="C149" i="4"/>
  <c r="B149" i="4"/>
  <c r="H148" i="4"/>
  <c r="G148" i="4"/>
  <c r="F148" i="4"/>
  <c r="E148" i="4"/>
  <c r="D148" i="4"/>
  <c r="C148" i="4"/>
  <c r="B148" i="4"/>
  <c r="H147" i="4"/>
  <c r="G147" i="4"/>
  <c r="F147" i="4"/>
  <c r="E147" i="4"/>
  <c r="D147" i="4"/>
  <c r="C147" i="4"/>
  <c r="B147" i="4"/>
  <c r="H146" i="4"/>
  <c r="G146" i="4"/>
  <c r="F146" i="4"/>
  <c r="E146" i="4"/>
  <c r="D146" i="4"/>
  <c r="C146" i="4"/>
  <c r="B146" i="4"/>
  <c r="H145" i="4"/>
  <c r="G145" i="4"/>
  <c r="F145" i="4"/>
  <c r="E145" i="4"/>
  <c r="D145" i="4"/>
  <c r="C145" i="4"/>
  <c r="B145" i="4"/>
  <c r="H144" i="4"/>
  <c r="G144" i="4"/>
  <c r="F144" i="4"/>
  <c r="E144" i="4"/>
  <c r="D144" i="4"/>
  <c r="C144" i="4"/>
  <c r="B144" i="4"/>
  <c r="H143" i="4"/>
  <c r="G143" i="4"/>
  <c r="F143" i="4"/>
  <c r="E143" i="4"/>
  <c r="D143" i="4"/>
  <c r="C143" i="4"/>
  <c r="B143" i="4"/>
  <c r="H142" i="4"/>
  <c r="G142" i="4"/>
  <c r="F142" i="4"/>
  <c r="E142" i="4"/>
  <c r="D142" i="4"/>
  <c r="C142" i="4"/>
  <c r="B142" i="4"/>
  <c r="H141" i="4"/>
  <c r="G141" i="4"/>
  <c r="F141" i="4"/>
  <c r="E141" i="4"/>
  <c r="D141" i="4"/>
  <c r="C141" i="4"/>
  <c r="B141" i="4"/>
  <c r="H140" i="4"/>
  <c r="G140" i="4"/>
  <c r="F140" i="4"/>
  <c r="E140" i="4"/>
  <c r="D140" i="4"/>
  <c r="C140" i="4"/>
  <c r="B140" i="4"/>
  <c r="H139" i="4"/>
  <c r="G139" i="4"/>
  <c r="F139" i="4"/>
  <c r="E139" i="4"/>
  <c r="D139" i="4"/>
  <c r="C139" i="4"/>
  <c r="B139" i="4"/>
  <c r="H138" i="4"/>
  <c r="G138" i="4"/>
  <c r="F138" i="4"/>
  <c r="E138" i="4"/>
  <c r="D138" i="4"/>
  <c r="C138" i="4"/>
  <c r="B138" i="4"/>
  <c r="H137" i="4"/>
  <c r="G137" i="4"/>
  <c r="F137" i="4"/>
  <c r="E137" i="4"/>
  <c r="D137" i="4"/>
  <c r="C137" i="4"/>
  <c r="B137" i="4"/>
  <c r="H136" i="4"/>
  <c r="G136" i="4"/>
  <c r="F136" i="4"/>
  <c r="E136" i="4"/>
  <c r="D136" i="4"/>
  <c r="C136" i="4"/>
  <c r="B136" i="4"/>
  <c r="H135" i="4"/>
  <c r="G135" i="4"/>
  <c r="F135" i="4"/>
  <c r="E135" i="4"/>
  <c r="D135" i="4"/>
  <c r="C135" i="4"/>
  <c r="B135" i="4"/>
  <c r="H134" i="4"/>
  <c r="G134" i="4"/>
  <c r="F134" i="4"/>
  <c r="E134" i="4"/>
  <c r="D134" i="4"/>
  <c r="C134" i="4"/>
  <c r="B134" i="4"/>
  <c r="H133" i="4"/>
  <c r="G133" i="4"/>
  <c r="F133" i="4"/>
  <c r="E133" i="4"/>
  <c r="D133" i="4"/>
  <c r="C133" i="4"/>
  <c r="B133" i="4"/>
  <c r="H132" i="4"/>
  <c r="G132" i="4"/>
  <c r="F132" i="4"/>
  <c r="E132" i="4"/>
  <c r="D132" i="4"/>
  <c r="C132" i="4"/>
  <c r="B132" i="4"/>
  <c r="H131" i="4"/>
  <c r="G131" i="4"/>
  <c r="F131" i="4"/>
  <c r="E131" i="4"/>
  <c r="D131" i="4"/>
  <c r="C131" i="4"/>
  <c r="B131" i="4"/>
  <c r="H130" i="4"/>
  <c r="G130" i="4"/>
  <c r="F130" i="4"/>
  <c r="E130" i="4"/>
  <c r="D130" i="4"/>
  <c r="C130" i="4"/>
  <c r="B130" i="4"/>
  <c r="H129" i="4"/>
  <c r="G129" i="4"/>
  <c r="F129" i="4"/>
  <c r="E129" i="4"/>
  <c r="D129" i="4"/>
  <c r="C129" i="4"/>
  <c r="B129" i="4"/>
  <c r="H128" i="4"/>
  <c r="G128" i="4"/>
  <c r="F128" i="4"/>
  <c r="E128" i="4"/>
  <c r="D128" i="4"/>
  <c r="C128" i="4"/>
  <c r="B128" i="4"/>
  <c r="H127" i="4"/>
  <c r="G127" i="4"/>
  <c r="F127" i="4"/>
  <c r="E127" i="4"/>
  <c r="D127" i="4"/>
  <c r="C127" i="4"/>
  <c r="B127" i="4"/>
  <c r="H126" i="4"/>
  <c r="G126" i="4"/>
  <c r="F126" i="4"/>
  <c r="E126" i="4"/>
  <c r="D126" i="4"/>
  <c r="C126" i="4"/>
  <c r="B126" i="4"/>
  <c r="H125" i="4"/>
  <c r="G125" i="4"/>
  <c r="F125" i="4"/>
  <c r="E125" i="4"/>
  <c r="D125" i="4"/>
  <c r="C125" i="4"/>
  <c r="B125" i="4"/>
  <c r="H124" i="4"/>
  <c r="G124" i="4"/>
  <c r="F124" i="4"/>
  <c r="E124" i="4"/>
  <c r="D124" i="4"/>
  <c r="C124" i="4"/>
  <c r="B124" i="4"/>
  <c r="H123" i="4"/>
  <c r="G123" i="4"/>
  <c r="F123" i="4"/>
  <c r="E123" i="4"/>
  <c r="D123" i="4"/>
  <c r="C123" i="4"/>
  <c r="B123" i="4"/>
  <c r="H122" i="4"/>
  <c r="G122" i="4"/>
  <c r="F122" i="4"/>
  <c r="E122" i="4"/>
  <c r="D122" i="4"/>
  <c r="C122" i="4"/>
  <c r="B122" i="4"/>
  <c r="H121" i="4"/>
  <c r="G121" i="4"/>
  <c r="F121" i="4"/>
  <c r="E121" i="4"/>
  <c r="D121" i="4"/>
  <c r="C121" i="4"/>
  <c r="B121" i="4"/>
  <c r="H120" i="4"/>
  <c r="G120" i="4"/>
  <c r="F120" i="4"/>
  <c r="E120" i="4"/>
  <c r="D120" i="4"/>
  <c r="C120" i="4"/>
  <c r="B120" i="4"/>
  <c r="H119" i="4"/>
  <c r="G119" i="4"/>
  <c r="F119" i="4"/>
  <c r="E119" i="4"/>
  <c r="D119" i="4"/>
  <c r="C119" i="4"/>
  <c r="B119" i="4"/>
  <c r="H118" i="4"/>
  <c r="G118" i="4"/>
  <c r="F118" i="4"/>
  <c r="E118" i="4"/>
  <c r="D118" i="4"/>
  <c r="C118" i="4"/>
  <c r="B118" i="4"/>
  <c r="H117" i="4"/>
  <c r="G117" i="4"/>
  <c r="F117" i="4"/>
  <c r="E117" i="4"/>
  <c r="D117" i="4"/>
  <c r="C117" i="4"/>
  <c r="B117" i="4"/>
  <c r="H116" i="4"/>
  <c r="G116" i="4"/>
  <c r="F116" i="4"/>
  <c r="E116" i="4"/>
  <c r="D116" i="4"/>
  <c r="C116" i="4"/>
  <c r="B116" i="4"/>
  <c r="H115" i="4"/>
  <c r="G115" i="4"/>
  <c r="F115" i="4"/>
  <c r="E115" i="4"/>
  <c r="D115" i="4"/>
  <c r="C115" i="4"/>
  <c r="B115" i="4"/>
  <c r="H114" i="4"/>
  <c r="G114" i="4"/>
  <c r="F114" i="4"/>
  <c r="E114" i="4"/>
  <c r="D114" i="4"/>
  <c r="C114" i="4"/>
  <c r="B114" i="4"/>
  <c r="H113" i="4"/>
  <c r="G113" i="4"/>
  <c r="F113" i="4"/>
  <c r="E113" i="4"/>
  <c r="D113" i="4"/>
  <c r="C113" i="4"/>
  <c r="B113" i="4"/>
  <c r="H112" i="4"/>
  <c r="G112" i="4"/>
  <c r="F112" i="4"/>
  <c r="E112" i="4"/>
  <c r="D112" i="4"/>
  <c r="C112" i="4"/>
  <c r="B112" i="4"/>
  <c r="H111" i="4"/>
  <c r="G111" i="4"/>
  <c r="F111" i="4"/>
  <c r="E111" i="4"/>
  <c r="D111" i="4"/>
  <c r="C111" i="4"/>
  <c r="B111" i="4"/>
  <c r="H110" i="4"/>
  <c r="G110" i="4"/>
  <c r="F110" i="4"/>
  <c r="E110" i="4"/>
  <c r="D110" i="4"/>
  <c r="C110" i="4"/>
  <c r="B110" i="4"/>
  <c r="H109" i="4"/>
  <c r="G109" i="4"/>
  <c r="F109" i="4"/>
  <c r="E109" i="4"/>
  <c r="D109" i="4"/>
  <c r="C109" i="4"/>
  <c r="B109" i="4"/>
  <c r="H108" i="4"/>
  <c r="G108" i="4"/>
  <c r="F108" i="4"/>
  <c r="E108" i="4"/>
  <c r="D108" i="4"/>
  <c r="C108" i="4"/>
  <c r="B108" i="4"/>
  <c r="H107" i="4"/>
  <c r="G107" i="4"/>
  <c r="F107" i="4"/>
  <c r="E107" i="4"/>
  <c r="D107" i="4"/>
  <c r="C107" i="4"/>
  <c r="B107" i="4"/>
  <c r="H106" i="4"/>
  <c r="G106" i="4"/>
  <c r="F106" i="4"/>
  <c r="E106" i="4"/>
  <c r="D106" i="4"/>
  <c r="C106" i="4"/>
  <c r="B106" i="4"/>
  <c r="H105" i="4"/>
  <c r="G105" i="4"/>
  <c r="F105" i="4"/>
  <c r="E105" i="4"/>
  <c r="D105" i="4"/>
  <c r="C105" i="4"/>
  <c r="B105" i="4"/>
  <c r="H104" i="4"/>
  <c r="G104" i="4"/>
  <c r="F104" i="4"/>
  <c r="E104" i="4"/>
  <c r="D104" i="4"/>
  <c r="C104" i="4"/>
  <c r="B104" i="4"/>
  <c r="H103" i="4"/>
  <c r="G103" i="4"/>
  <c r="F103" i="4"/>
  <c r="E103" i="4"/>
  <c r="D103" i="4"/>
  <c r="C103" i="4"/>
  <c r="B103" i="4"/>
  <c r="H102" i="4"/>
  <c r="G102" i="4"/>
  <c r="F102" i="4"/>
  <c r="E102" i="4"/>
  <c r="D102" i="4"/>
  <c r="C102" i="4"/>
  <c r="B102" i="4"/>
  <c r="H101" i="4"/>
  <c r="G101" i="4"/>
  <c r="F101" i="4"/>
  <c r="E101" i="4"/>
  <c r="D101" i="4"/>
  <c r="C101" i="4"/>
  <c r="B101" i="4"/>
  <c r="H100" i="4"/>
  <c r="G100" i="4"/>
  <c r="F100" i="4"/>
  <c r="E100" i="4"/>
  <c r="D100" i="4"/>
  <c r="C100" i="4"/>
  <c r="B100" i="4"/>
  <c r="H99" i="4"/>
  <c r="G99" i="4"/>
  <c r="F99" i="4"/>
  <c r="E99" i="4"/>
  <c r="D99" i="4"/>
  <c r="C99" i="4"/>
  <c r="B99" i="4"/>
  <c r="H98" i="4"/>
  <c r="G98" i="4"/>
  <c r="F98" i="4"/>
  <c r="E98" i="4"/>
  <c r="D98" i="4"/>
  <c r="C98" i="4"/>
  <c r="B98" i="4"/>
  <c r="H97" i="4"/>
  <c r="G97" i="4"/>
  <c r="F97" i="4"/>
  <c r="E97" i="4"/>
  <c r="D97" i="4"/>
  <c r="C97" i="4"/>
  <c r="B97" i="4"/>
  <c r="H96" i="4"/>
  <c r="G96" i="4"/>
  <c r="F96" i="4"/>
  <c r="E96" i="4"/>
  <c r="D96" i="4"/>
  <c r="C96" i="4"/>
  <c r="B96" i="4"/>
  <c r="H95" i="4"/>
  <c r="G95" i="4"/>
  <c r="F95" i="4"/>
  <c r="E95" i="4"/>
  <c r="D95" i="4"/>
  <c r="C95" i="4"/>
  <c r="B95" i="4"/>
  <c r="H94" i="4"/>
  <c r="G94" i="4"/>
  <c r="F94" i="4"/>
  <c r="E94" i="4"/>
  <c r="D94" i="4"/>
  <c r="C94" i="4"/>
  <c r="B94" i="4"/>
  <c r="H93" i="4"/>
  <c r="G93" i="4"/>
  <c r="F93" i="4"/>
  <c r="E93" i="4"/>
  <c r="D93" i="4"/>
  <c r="C93" i="4"/>
  <c r="B93" i="4"/>
  <c r="H92" i="4"/>
  <c r="G92" i="4"/>
  <c r="F92" i="4"/>
  <c r="E92" i="4"/>
  <c r="D92" i="4"/>
  <c r="C92" i="4"/>
  <c r="B92" i="4"/>
  <c r="H91" i="4"/>
  <c r="G91" i="4"/>
  <c r="F91" i="4"/>
  <c r="E91" i="4"/>
  <c r="D91" i="4"/>
  <c r="C91" i="4"/>
  <c r="B91" i="4"/>
  <c r="H90" i="4"/>
  <c r="G90" i="4"/>
  <c r="F90" i="4"/>
  <c r="E90" i="4"/>
  <c r="D90" i="4"/>
  <c r="C90" i="4"/>
  <c r="B90" i="4"/>
  <c r="H89" i="4"/>
  <c r="G89" i="4"/>
  <c r="F89" i="4"/>
  <c r="E89" i="4"/>
  <c r="D89" i="4"/>
  <c r="C89" i="4"/>
  <c r="B89" i="4"/>
  <c r="H88" i="4"/>
  <c r="G88" i="4"/>
  <c r="F88" i="4"/>
  <c r="E88" i="4"/>
  <c r="D88" i="4"/>
  <c r="C88" i="4"/>
  <c r="B88" i="4"/>
  <c r="H87" i="4"/>
  <c r="G87" i="4"/>
  <c r="F87" i="4"/>
  <c r="E87" i="4"/>
  <c r="D87" i="4"/>
  <c r="C87" i="4"/>
  <c r="B87" i="4"/>
  <c r="H86" i="4"/>
  <c r="G86" i="4"/>
  <c r="F86" i="4"/>
  <c r="E86" i="4"/>
  <c r="D86" i="4"/>
  <c r="C86" i="4"/>
  <c r="B86" i="4"/>
  <c r="H85" i="4"/>
  <c r="G85" i="4"/>
  <c r="F85" i="4"/>
  <c r="E85" i="4"/>
  <c r="D85" i="4"/>
  <c r="C85" i="4"/>
  <c r="B85" i="4"/>
  <c r="H84" i="4"/>
  <c r="G84" i="4"/>
  <c r="F84" i="4"/>
  <c r="E84" i="4"/>
  <c r="D84" i="4"/>
  <c r="C84" i="4"/>
  <c r="B84" i="4"/>
  <c r="H83" i="4"/>
  <c r="G83" i="4"/>
  <c r="F83" i="4"/>
  <c r="E83" i="4"/>
  <c r="D83" i="4"/>
  <c r="C83" i="4"/>
  <c r="B83" i="4"/>
  <c r="H82" i="4"/>
  <c r="G82" i="4"/>
  <c r="F82" i="4"/>
  <c r="E82" i="4"/>
  <c r="D82" i="4"/>
  <c r="C82" i="4"/>
  <c r="B82" i="4"/>
  <c r="H81" i="4"/>
  <c r="G81" i="4"/>
  <c r="F81" i="4"/>
  <c r="E81" i="4"/>
  <c r="D81" i="4"/>
  <c r="C81" i="4"/>
  <c r="B81" i="4"/>
  <c r="H80" i="4"/>
  <c r="G80" i="4"/>
  <c r="F80" i="4"/>
  <c r="E80" i="4"/>
  <c r="D80" i="4"/>
  <c r="C80" i="4"/>
  <c r="B80" i="4"/>
  <c r="H79" i="4"/>
  <c r="G79" i="4"/>
  <c r="F79" i="4"/>
  <c r="E79" i="4"/>
  <c r="D79" i="4"/>
  <c r="C79" i="4"/>
  <c r="B79" i="4"/>
  <c r="H78" i="4"/>
  <c r="G78" i="4"/>
  <c r="F78" i="4"/>
  <c r="E78" i="4"/>
  <c r="D78" i="4"/>
  <c r="C78" i="4"/>
  <c r="B78" i="4"/>
  <c r="H77" i="4"/>
  <c r="G77" i="4"/>
  <c r="F77" i="4"/>
  <c r="E77" i="4"/>
  <c r="D77" i="4"/>
  <c r="C77" i="4"/>
  <c r="B77" i="4"/>
  <c r="H76" i="4"/>
  <c r="G76" i="4"/>
  <c r="F76" i="4"/>
  <c r="E76" i="4"/>
  <c r="D76" i="4"/>
  <c r="C76" i="4"/>
  <c r="B76" i="4"/>
  <c r="H75" i="4"/>
  <c r="G75" i="4"/>
  <c r="F75" i="4"/>
  <c r="E75" i="4"/>
  <c r="D75" i="4"/>
  <c r="C75" i="4"/>
  <c r="B75" i="4"/>
  <c r="H74" i="4"/>
  <c r="G74" i="4"/>
  <c r="F74" i="4"/>
  <c r="E74" i="4"/>
  <c r="D74" i="4"/>
  <c r="C74" i="4"/>
  <c r="B74" i="4"/>
  <c r="H73" i="4"/>
  <c r="G73" i="4"/>
  <c r="F73" i="4"/>
  <c r="E73" i="4"/>
  <c r="D73" i="4"/>
  <c r="C73" i="4"/>
  <c r="B73" i="4"/>
  <c r="H72" i="4"/>
  <c r="G72" i="4"/>
  <c r="F72" i="4"/>
  <c r="E72" i="4"/>
  <c r="D72" i="4"/>
  <c r="C72" i="4"/>
  <c r="B72" i="4"/>
  <c r="H71" i="4"/>
  <c r="G71" i="4"/>
  <c r="F71" i="4"/>
  <c r="E71" i="4"/>
  <c r="D71" i="4"/>
  <c r="C71" i="4"/>
  <c r="B71" i="4"/>
  <c r="H70" i="4"/>
  <c r="G70" i="4"/>
  <c r="F70" i="4"/>
  <c r="E70" i="4"/>
  <c r="D70" i="4"/>
  <c r="C70" i="4"/>
  <c r="B70" i="4"/>
  <c r="H69" i="4"/>
  <c r="G69" i="4"/>
  <c r="F69" i="4"/>
  <c r="E69" i="4"/>
  <c r="D69" i="4"/>
  <c r="C69" i="4"/>
  <c r="B69" i="4"/>
  <c r="H68" i="4"/>
  <c r="G68" i="4"/>
  <c r="F68" i="4"/>
  <c r="E68" i="4"/>
  <c r="D68" i="4"/>
  <c r="C68" i="4"/>
  <c r="B68" i="4"/>
  <c r="H67" i="4"/>
  <c r="G67" i="4"/>
  <c r="F67" i="4"/>
  <c r="E67" i="4"/>
  <c r="D67" i="4"/>
  <c r="C67" i="4"/>
  <c r="B67" i="4"/>
  <c r="H66" i="4"/>
  <c r="G66" i="4"/>
  <c r="F66" i="4"/>
  <c r="E66" i="4"/>
  <c r="D66" i="4"/>
  <c r="C66" i="4"/>
  <c r="B66" i="4"/>
  <c r="H65" i="4"/>
  <c r="G65" i="4"/>
  <c r="F65" i="4"/>
  <c r="E65" i="4"/>
  <c r="D65" i="4"/>
  <c r="C65" i="4"/>
  <c r="B65" i="4"/>
  <c r="H64" i="4"/>
  <c r="G64" i="4"/>
  <c r="F64" i="4"/>
  <c r="E64" i="4"/>
  <c r="D64" i="4"/>
  <c r="C64" i="4"/>
  <c r="B64" i="4"/>
  <c r="H63" i="4"/>
  <c r="G63" i="4"/>
  <c r="F63" i="4"/>
  <c r="E63" i="4"/>
  <c r="D63" i="4"/>
  <c r="C63" i="4"/>
  <c r="B63" i="4"/>
  <c r="H62" i="4"/>
  <c r="G62" i="4"/>
  <c r="F62" i="4"/>
  <c r="E62" i="4"/>
  <c r="D62" i="4"/>
  <c r="C62" i="4"/>
  <c r="B62" i="4"/>
  <c r="H61" i="4"/>
  <c r="G61" i="4"/>
  <c r="F61" i="4"/>
  <c r="E61" i="4"/>
  <c r="D61" i="4"/>
  <c r="C61" i="4"/>
  <c r="B61" i="4"/>
  <c r="H60" i="4"/>
  <c r="G60" i="4"/>
  <c r="F60" i="4"/>
  <c r="E60" i="4"/>
  <c r="D60" i="4"/>
  <c r="C60" i="4"/>
  <c r="B60" i="4"/>
  <c r="H59" i="4"/>
  <c r="G59" i="4"/>
  <c r="F59" i="4"/>
  <c r="E59" i="4"/>
  <c r="D59" i="4"/>
  <c r="C59" i="4"/>
  <c r="B59" i="4"/>
  <c r="H58" i="4"/>
  <c r="G58" i="4"/>
  <c r="F58" i="4"/>
  <c r="E58" i="4"/>
  <c r="D58" i="4"/>
  <c r="C58" i="4"/>
  <c r="B58" i="4"/>
  <c r="H57" i="4"/>
  <c r="G57" i="4"/>
  <c r="F57" i="4"/>
  <c r="E57" i="4"/>
  <c r="D57" i="4"/>
  <c r="C57" i="4"/>
  <c r="B57" i="4"/>
  <c r="H56" i="4"/>
  <c r="G56" i="4"/>
  <c r="F56" i="4"/>
  <c r="E56" i="4"/>
  <c r="D56" i="4"/>
  <c r="C56" i="4"/>
  <c r="B56" i="4"/>
  <c r="H55" i="4"/>
  <c r="G55" i="4"/>
  <c r="F55" i="4"/>
  <c r="E55" i="4"/>
  <c r="D55" i="4"/>
  <c r="C55" i="4"/>
  <c r="B55" i="4"/>
  <c r="H54" i="4"/>
  <c r="G54" i="4"/>
  <c r="F54" i="4"/>
  <c r="E54" i="4"/>
  <c r="D54" i="4"/>
  <c r="C54" i="4"/>
  <c r="B54" i="4"/>
  <c r="H53" i="4"/>
  <c r="G53" i="4"/>
  <c r="F53" i="4"/>
  <c r="E53" i="4"/>
  <c r="D53" i="4"/>
  <c r="C53" i="4"/>
  <c r="B53" i="4"/>
  <c r="H52" i="4"/>
  <c r="G52" i="4"/>
  <c r="F52" i="4"/>
  <c r="E52" i="4"/>
  <c r="D52" i="4"/>
  <c r="C52" i="4"/>
  <c r="B52" i="4"/>
  <c r="H51" i="4"/>
  <c r="G51" i="4"/>
  <c r="F51" i="4"/>
  <c r="E51" i="4"/>
  <c r="D51" i="4"/>
  <c r="C51" i="4"/>
  <c r="B51" i="4"/>
  <c r="H50" i="4"/>
  <c r="G50" i="4"/>
  <c r="F50" i="4"/>
  <c r="E50" i="4"/>
  <c r="D50" i="4"/>
  <c r="C50" i="4"/>
  <c r="B50" i="4"/>
  <c r="H49" i="4"/>
  <c r="G49" i="4"/>
  <c r="F49" i="4"/>
  <c r="E49" i="4"/>
  <c r="D49" i="4"/>
  <c r="C49" i="4"/>
  <c r="B49" i="4"/>
  <c r="H48" i="4"/>
  <c r="G48" i="4"/>
  <c r="F48" i="4"/>
  <c r="E48" i="4"/>
  <c r="D48" i="4"/>
  <c r="C48" i="4"/>
  <c r="B48" i="4"/>
  <c r="H47" i="4"/>
  <c r="G47" i="4"/>
  <c r="F47" i="4"/>
  <c r="E47" i="4"/>
  <c r="D47" i="4"/>
  <c r="C47" i="4"/>
  <c r="B47" i="4"/>
  <c r="H46" i="4"/>
  <c r="G46" i="4"/>
  <c r="F46" i="4"/>
  <c r="E46" i="4"/>
  <c r="D46" i="4"/>
  <c r="C46" i="4"/>
  <c r="B46" i="4"/>
  <c r="H45" i="4"/>
  <c r="G45" i="4"/>
  <c r="F45" i="4"/>
  <c r="E45" i="4"/>
  <c r="D45" i="4"/>
  <c r="C45" i="4"/>
  <c r="B45" i="4"/>
  <c r="H44" i="4"/>
  <c r="G44" i="4"/>
  <c r="F44" i="4"/>
  <c r="E44" i="4"/>
  <c r="D44" i="4"/>
  <c r="C44" i="4"/>
  <c r="B44" i="4"/>
  <c r="H43" i="4"/>
  <c r="G43" i="4"/>
  <c r="F43" i="4"/>
  <c r="E43" i="4"/>
  <c r="D43" i="4"/>
  <c r="C43" i="4"/>
  <c r="B43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40" i="4"/>
  <c r="G40" i="4"/>
  <c r="F40" i="4"/>
  <c r="E40" i="4"/>
  <c r="D40" i="4"/>
  <c r="C40" i="4"/>
  <c r="B40" i="4"/>
  <c r="H39" i="4"/>
  <c r="G39" i="4"/>
  <c r="F39" i="4"/>
  <c r="E39" i="4"/>
  <c r="D39" i="4"/>
  <c r="C39" i="4"/>
  <c r="B39" i="4"/>
  <c r="H38" i="4"/>
  <c r="G38" i="4"/>
  <c r="F38" i="4"/>
  <c r="E38" i="4"/>
  <c r="D38" i="4"/>
  <c r="C38" i="4"/>
  <c r="B38" i="4"/>
  <c r="H37" i="4"/>
  <c r="G37" i="4"/>
  <c r="F37" i="4"/>
  <c r="E37" i="4"/>
  <c r="D37" i="4"/>
  <c r="C37" i="4"/>
  <c r="B37" i="4"/>
  <c r="H36" i="4"/>
  <c r="G36" i="4"/>
  <c r="F36" i="4"/>
  <c r="E36" i="4"/>
  <c r="D36" i="4"/>
  <c r="C36" i="4"/>
  <c r="B36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8" i="4"/>
  <c r="G28" i="4"/>
  <c r="F28" i="4"/>
  <c r="E28" i="4"/>
  <c r="D28" i="4"/>
  <c r="C28" i="4"/>
  <c r="B28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7" i="4"/>
  <c r="H6" i="4" s="1"/>
  <c r="H4" i="4"/>
  <c r="H369" i="3"/>
  <c r="G369" i="3"/>
  <c r="F369" i="3"/>
  <c r="E369" i="3"/>
  <c r="D369" i="3"/>
  <c r="C369" i="3"/>
  <c r="B369" i="3"/>
  <c r="H368" i="3"/>
  <c r="G368" i="3"/>
  <c r="F368" i="3"/>
  <c r="E368" i="3"/>
  <c r="D368" i="3"/>
  <c r="C368" i="3"/>
  <c r="B368" i="3"/>
  <c r="H367" i="3"/>
  <c r="G367" i="3"/>
  <c r="F367" i="3"/>
  <c r="E367" i="3"/>
  <c r="D367" i="3"/>
  <c r="C367" i="3"/>
  <c r="B367" i="3"/>
  <c r="H366" i="3"/>
  <c r="G366" i="3"/>
  <c r="F366" i="3"/>
  <c r="E366" i="3"/>
  <c r="D366" i="3"/>
  <c r="C366" i="3"/>
  <c r="B366" i="3"/>
  <c r="H365" i="3"/>
  <c r="G365" i="3"/>
  <c r="F365" i="3"/>
  <c r="E365" i="3"/>
  <c r="D365" i="3"/>
  <c r="C365" i="3"/>
  <c r="B365" i="3"/>
  <c r="H364" i="3"/>
  <c r="G364" i="3"/>
  <c r="F364" i="3"/>
  <c r="E364" i="3"/>
  <c r="D364" i="3"/>
  <c r="C364" i="3"/>
  <c r="B364" i="3"/>
  <c r="H363" i="3"/>
  <c r="G363" i="3"/>
  <c r="F363" i="3"/>
  <c r="E363" i="3"/>
  <c r="D363" i="3"/>
  <c r="C363" i="3"/>
  <c r="B363" i="3"/>
  <c r="H362" i="3"/>
  <c r="G362" i="3"/>
  <c r="F362" i="3"/>
  <c r="E362" i="3"/>
  <c r="D362" i="3"/>
  <c r="C362" i="3"/>
  <c r="B362" i="3"/>
  <c r="H361" i="3"/>
  <c r="G361" i="3"/>
  <c r="F361" i="3"/>
  <c r="E361" i="3"/>
  <c r="D361" i="3"/>
  <c r="C361" i="3"/>
  <c r="B361" i="3"/>
  <c r="H360" i="3"/>
  <c r="G360" i="3"/>
  <c r="F360" i="3"/>
  <c r="E360" i="3"/>
  <c r="D360" i="3"/>
  <c r="C360" i="3"/>
  <c r="B360" i="3"/>
  <c r="H359" i="3"/>
  <c r="G359" i="3"/>
  <c r="F359" i="3"/>
  <c r="E359" i="3"/>
  <c r="D359" i="3"/>
  <c r="C359" i="3"/>
  <c r="B359" i="3"/>
  <c r="H358" i="3"/>
  <c r="G358" i="3"/>
  <c r="F358" i="3"/>
  <c r="E358" i="3"/>
  <c r="D358" i="3"/>
  <c r="C358" i="3"/>
  <c r="B358" i="3"/>
  <c r="H357" i="3"/>
  <c r="G357" i="3"/>
  <c r="F357" i="3"/>
  <c r="E357" i="3"/>
  <c r="D357" i="3"/>
  <c r="C357" i="3"/>
  <c r="B357" i="3"/>
  <c r="H356" i="3"/>
  <c r="G356" i="3"/>
  <c r="F356" i="3"/>
  <c r="E356" i="3"/>
  <c r="D356" i="3"/>
  <c r="C356" i="3"/>
  <c r="B356" i="3"/>
  <c r="H355" i="3"/>
  <c r="G355" i="3"/>
  <c r="F355" i="3"/>
  <c r="E355" i="3"/>
  <c r="D355" i="3"/>
  <c r="C355" i="3"/>
  <c r="B355" i="3"/>
  <c r="H354" i="3"/>
  <c r="G354" i="3"/>
  <c r="F354" i="3"/>
  <c r="E354" i="3"/>
  <c r="D354" i="3"/>
  <c r="C354" i="3"/>
  <c r="B354" i="3"/>
  <c r="H353" i="3"/>
  <c r="G353" i="3"/>
  <c r="F353" i="3"/>
  <c r="E353" i="3"/>
  <c r="D353" i="3"/>
  <c r="C353" i="3"/>
  <c r="B353" i="3"/>
  <c r="H352" i="3"/>
  <c r="G352" i="3"/>
  <c r="F352" i="3"/>
  <c r="E352" i="3"/>
  <c r="D352" i="3"/>
  <c r="C352" i="3"/>
  <c r="B352" i="3"/>
  <c r="H351" i="3"/>
  <c r="G351" i="3"/>
  <c r="F351" i="3"/>
  <c r="E351" i="3"/>
  <c r="D351" i="3"/>
  <c r="C351" i="3"/>
  <c r="B351" i="3"/>
  <c r="H350" i="3"/>
  <c r="G350" i="3"/>
  <c r="F350" i="3"/>
  <c r="E350" i="3"/>
  <c r="D350" i="3"/>
  <c r="C350" i="3"/>
  <c r="B350" i="3"/>
  <c r="H349" i="3"/>
  <c r="G349" i="3"/>
  <c r="F349" i="3"/>
  <c r="E349" i="3"/>
  <c r="D349" i="3"/>
  <c r="C349" i="3"/>
  <c r="B349" i="3"/>
  <c r="H348" i="3"/>
  <c r="G348" i="3"/>
  <c r="F348" i="3"/>
  <c r="E348" i="3"/>
  <c r="D348" i="3"/>
  <c r="C348" i="3"/>
  <c r="B348" i="3"/>
  <c r="H347" i="3"/>
  <c r="G347" i="3"/>
  <c r="F347" i="3"/>
  <c r="E347" i="3"/>
  <c r="D347" i="3"/>
  <c r="C347" i="3"/>
  <c r="B347" i="3"/>
  <c r="H346" i="3"/>
  <c r="G346" i="3"/>
  <c r="F346" i="3"/>
  <c r="E346" i="3"/>
  <c r="D346" i="3"/>
  <c r="C346" i="3"/>
  <c r="B346" i="3"/>
  <c r="H345" i="3"/>
  <c r="G345" i="3"/>
  <c r="F345" i="3"/>
  <c r="E345" i="3"/>
  <c r="D345" i="3"/>
  <c r="C345" i="3"/>
  <c r="B345" i="3"/>
  <c r="H344" i="3"/>
  <c r="G344" i="3"/>
  <c r="F344" i="3"/>
  <c r="E344" i="3"/>
  <c r="D344" i="3"/>
  <c r="C344" i="3"/>
  <c r="B344" i="3"/>
  <c r="H343" i="3"/>
  <c r="G343" i="3"/>
  <c r="F343" i="3"/>
  <c r="E343" i="3"/>
  <c r="D343" i="3"/>
  <c r="C343" i="3"/>
  <c r="B343" i="3"/>
  <c r="H342" i="3"/>
  <c r="G342" i="3"/>
  <c r="F342" i="3"/>
  <c r="E342" i="3"/>
  <c r="D342" i="3"/>
  <c r="C342" i="3"/>
  <c r="B342" i="3"/>
  <c r="H341" i="3"/>
  <c r="G341" i="3"/>
  <c r="F341" i="3"/>
  <c r="E341" i="3"/>
  <c r="D341" i="3"/>
  <c r="C341" i="3"/>
  <c r="B341" i="3"/>
  <c r="H340" i="3"/>
  <c r="G340" i="3"/>
  <c r="F340" i="3"/>
  <c r="E340" i="3"/>
  <c r="D340" i="3"/>
  <c r="C340" i="3"/>
  <c r="B340" i="3"/>
  <c r="H339" i="3"/>
  <c r="G339" i="3"/>
  <c r="F339" i="3"/>
  <c r="E339" i="3"/>
  <c r="D339" i="3"/>
  <c r="C339" i="3"/>
  <c r="B339" i="3"/>
  <c r="H338" i="3"/>
  <c r="G338" i="3"/>
  <c r="F338" i="3"/>
  <c r="E338" i="3"/>
  <c r="D338" i="3"/>
  <c r="C338" i="3"/>
  <c r="B338" i="3"/>
  <c r="H337" i="3"/>
  <c r="G337" i="3"/>
  <c r="F337" i="3"/>
  <c r="E337" i="3"/>
  <c r="D337" i="3"/>
  <c r="C337" i="3"/>
  <c r="B337" i="3"/>
  <c r="H336" i="3"/>
  <c r="G336" i="3"/>
  <c r="F336" i="3"/>
  <c r="E336" i="3"/>
  <c r="D336" i="3"/>
  <c r="C336" i="3"/>
  <c r="B336" i="3"/>
  <c r="H335" i="3"/>
  <c r="G335" i="3"/>
  <c r="F335" i="3"/>
  <c r="E335" i="3"/>
  <c r="D335" i="3"/>
  <c r="C335" i="3"/>
  <c r="B335" i="3"/>
  <c r="H334" i="3"/>
  <c r="G334" i="3"/>
  <c r="F334" i="3"/>
  <c r="E334" i="3"/>
  <c r="D334" i="3"/>
  <c r="C334" i="3"/>
  <c r="B334" i="3"/>
  <c r="H333" i="3"/>
  <c r="G333" i="3"/>
  <c r="F333" i="3"/>
  <c r="E333" i="3"/>
  <c r="D333" i="3"/>
  <c r="C333" i="3"/>
  <c r="B333" i="3"/>
  <c r="H332" i="3"/>
  <c r="G332" i="3"/>
  <c r="F332" i="3"/>
  <c r="E332" i="3"/>
  <c r="D332" i="3"/>
  <c r="C332" i="3"/>
  <c r="B332" i="3"/>
  <c r="H331" i="3"/>
  <c r="G331" i="3"/>
  <c r="F331" i="3"/>
  <c r="E331" i="3"/>
  <c r="D331" i="3"/>
  <c r="C331" i="3"/>
  <c r="B331" i="3"/>
  <c r="H330" i="3"/>
  <c r="G330" i="3"/>
  <c r="F330" i="3"/>
  <c r="E330" i="3"/>
  <c r="D330" i="3"/>
  <c r="C330" i="3"/>
  <c r="B330" i="3"/>
  <c r="H329" i="3"/>
  <c r="G329" i="3"/>
  <c r="F329" i="3"/>
  <c r="E329" i="3"/>
  <c r="D329" i="3"/>
  <c r="C329" i="3"/>
  <c r="B329" i="3"/>
  <c r="H328" i="3"/>
  <c r="G328" i="3"/>
  <c r="F328" i="3"/>
  <c r="E328" i="3"/>
  <c r="D328" i="3"/>
  <c r="C328" i="3"/>
  <c r="B328" i="3"/>
  <c r="H327" i="3"/>
  <c r="G327" i="3"/>
  <c r="F327" i="3"/>
  <c r="E327" i="3"/>
  <c r="D327" i="3"/>
  <c r="C327" i="3"/>
  <c r="B327" i="3"/>
  <c r="H326" i="3"/>
  <c r="G326" i="3"/>
  <c r="F326" i="3"/>
  <c r="E326" i="3"/>
  <c r="D326" i="3"/>
  <c r="C326" i="3"/>
  <c r="B326" i="3"/>
  <c r="H325" i="3"/>
  <c r="G325" i="3"/>
  <c r="F325" i="3"/>
  <c r="E325" i="3"/>
  <c r="D325" i="3"/>
  <c r="C325" i="3"/>
  <c r="B325" i="3"/>
  <c r="H324" i="3"/>
  <c r="G324" i="3"/>
  <c r="F324" i="3"/>
  <c r="E324" i="3"/>
  <c r="D324" i="3"/>
  <c r="C324" i="3"/>
  <c r="B324" i="3"/>
  <c r="H323" i="3"/>
  <c r="G323" i="3"/>
  <c r="F323" i="3"/>
  <c r="E323" i="3"/>
  <c r="D323" i="3"/>
  <c r="C323" i="3"/>
  <c r="B323" i="3"/>
  <c r="H322" i="3"/>
  <c r="G322" i="3"/>
  <c r="F322" i="3"/>
  <c r="E322" i="3"/>
  <c r="D322" i="3"/>
  <c r="C322" i="3"/>
  <c r="B322" i="3"/>
  <c r="H321" i="3"/>
  <c r="G321" i="3"/>
  <c r="F321" i="3"/>
  <c r="E321" i="3"/>
  <c r="D321" i="3"/>
  <c r="C321" i="3"/>
  <c r="B321" i="3"/>
  <c r="H320" i="3"/>
  <c r="G320" i="3"/>
  <c r="F320" i="3"/>
  <c r="E320" i="3"/>
  <c r="D320" i="3"/>
  <c r="C320" i="3"/>
  <c r="B320" i="3"/>
  <c r="H319" i="3"/>
  <c r="G319" i="3"/>
  <c r="F319" i="3"/>
  <c r="E319" i="3"/>
  <c r="D319" i="3"/>
  <c r="C319" i="3"/>
  <c r="B319" i="3"/>
  <c r="H318" i="3"/>
  <c r="G318" i="3"/>
  <c r="F318" i="3"/>
  <c r="E318" i="3"/>
  <c r="D318" i="3"/>
  <c r="C318" i="3"/>
  <c r="B318" i="3"/>
  <c r="H317" i="3"/>
  <c r="G317" i="3"/>
  <c r="F317" i="3"/>
  <c r="E317" i="3"/>
  <c r="D317" i="3"/>
  <c r="C317" i="3"/>
  <c r="B317" i="3"/>
  <c r="H316" i="3"/>
  <c r="G316" i="3"/>
  <c r="F316" i="3"/>
  <c r="E316" i="3"/>
  <c r="D316" i="3"/>
  <c r="C316" i="3"/>
  <c r="B316" i="3"/>
  <c r="H315" i="3"/>
  <c r="G315" i="3"/>
  <c r="F315" i="3"/>
  <c r="E315" i="3"/>
  <c r="D315" i="3"/>
  <c r="C315" i="3"/>
  <c r="B315" i="3"/>
  <c r="H314" i="3"/>
  <c r="G314" i="3"/>
  <c r="F314" i="3"/>
  <c r="E314" i="3"/>
  <c r="D314" i="3"/>
  <c r="C314" i="3"/>
  <c r="B314" i="3"/>
  <c r="H313" i="3"/>
  <c r="G313" i="3"/>
  <c r="F313" i="3"/>
  <c r="E313" i="3"/>
  <c r="D313" i="3"/>
  <c r="C313" i="3"/>
  <c r="B313" i="3"/>
  <c r="H312" i="3"/>
  <c r="G312" i="3"/>
  <c r="F312" i="3"/>
  <c r="E312" i="3"/>
  <c r="D312" i="3"/>
  <c r="C312" i="3"/>
  <c r="B312" i="3"/>
  <c r="H311" i="3"/>
  <c r="G311" i="3"/>
  <c r="F311" i="3"/>
  <c r="E311" i="3"/>
  <c r="D311" i="3"/>
  <c r="C311" i="3"/>
  <c r="B311" i="3"/>
  <c r="H310" i="3"/>
  <c r="G310" i="3"/>
  <c r="F310" i="3"/>
  <c r="E310" i="3"/>
  <c r="D310" i="3"/>
  <c r="C310" i="3"/>
  <c r="B310" i="3"/>
  <c r="H309" i="3"/>
  <c r="G309" i="3"/>
  <c r="F309" i="3"/>
  <c r="E309" i="3"/>
  <c r="D309" i="3"/>
  <c r="C309" i="3"/>
  <c r="B309" i="3"/>
  <c r="H308" i="3"/>
  <c r="G308" i="3"/>
  <c r="F308" i="3"/>
  <c r="E308" i="3"/>
  <c r="D308" i="3"/>
  <c r="C308" i="3"/>
  <c r="B308" i="3"/>
  <c r="H307" i="3"/>
  <c r="G307" i="3"/>
  <c r="F307" i="3"/>
  <c r="E307" i="3"/>
  <c r="D307" i="3"/>
  <c r="C307" i="3"/>
  <c r="B307" i="3"/>
  <c r="H306" i="3"/>
  <c r="G306" i="3"/>
  <c r="F306" i="3"/>
  <c r="E306" i="3"/>
  <c r="D306" i="3"/>
  <c r="C306" i="3"/>
  <c r="B306" i="3"/>
  <c r="H305" i="3"/>
  <c r="G305" i="3"/>
  <c r="F305" i="3"/>
  <c r="E305" i="3"/>
  <c r="D305" i="3"/>
  <c r="C305" i="3"/>
  <c r="B305" i="3"/>
  <c r="H304" i="3"/>
  <c r="G304" i="3"/>
  <c r="F304" i="3"/>
  <c r="E304" i="3"/>
  <c r="D304" i="3"/>
  <c r="C304" i="3"/>
  <c r="B304" i="3"/>
  <c r="H303" i="3"/>
  <c r="G303" i="3"/>
  <c r="F303" i="3"/>
  <c r="E303" i="3"/>
  <c r="D303" i="3"/>
  <c r="C303" i="3"/>
  <c r="B303" i="3"/>
  <c r="H302" i="3"/>
  <c r="G302" i="3"/>
  <c r="F302" i="3"/>
  <c r="E302" i="3"/>
  <c r="D302" i="3"/>
  <c r="C302" i="3"/>
  <c r="B302" i="3"/>
  <c r="H301" i="3"/>
  <c r="G301" i="3"/>
  <c r="F301" i="3"/>
  <c r="E301" i="3"/>
  <c r="D301" i="3"/>
  <c r="C301" i="3"/>
  <c r="B301" i="3"/>
  <c r="H300" i="3"/>
  <c r="G300" i="3"/>
  <c r="F300" i="3"/>
  <c r="E300" i="3"/>
  <c r="D300" i="3"/>
  <c r="C300" i="3"/>
  <c r="B300" i="3"/>
  <c r="H299" i="3"/>
  <c r="G299" i="3"/>
  <c r="F299" i="3"/>
  <c r="E299" i="3"/>
  <c r="D299" i="3"/>
  <c r="C299" i="3"/>
  <c r="B299" i="3"/>
  <c r="H298" i="3"/>
  <c r="G298" i="3"/>
  <c r="F298" i="3"/>
  <c r="E298" i="3"/>
  <c r="D298" i="3"/>
  <c r="C298" i="3"/>
  <c r="B298" i="3"/>
  <c r="H297" i="3"/>
  <c r="G297" i="3"/>
  <c r="F297" i="3"/>
  <c r="E297" i="3"/>
  <c r="D297" i="3"/>
  <c r="C297" i="3"/>
  <c r="B297" i="3"/>
  <c r="H296" i="3"/>
  <c r="G296" i="3"/>
  <c r="F296" i="3"/>
  <c r="E296" i="3"/>
  <c r="D296" i="3"/>
  <c r="C296" i="3"/>
  <c r="B296" i="3"/>
  <c r="H295" i="3"/>
  <c r="G295" i="3"/>
  <c r="F295" i="3"/>
  <c r="E295" i="3"/>
  <c r="D295" i="3"/>
  <c r="C295" i="3"/>
  <c r="B295" i="3"/>
  <c r="H294" i="3"/>
  <c r="G294" i="3"/>
  <c r="F294" i="3"/>
  <c r="E294" i="3"/>
  <c r="D294" i="3"/>
  <c r="C294" i="3"/>
  <c r="B294" i="3"/>
  <c r="H293" i="3"/>
  <c r="G293" i="3"/>
  <c r="F293" i="3"/>
  <c r="E293" i="3"/>
  <c r="D293" i="3"/>
  <c r="C293" i="3"/>
  <c r="B293" i="3"/>
  <c r="H292" i="3"/>
  <c r="G292" i="3"/>
  <c r="F292" i="3"/>
  <c r="E292" i="3"/>
  <c r="D292" i="3"/>
  <c r="C292" i="3"/>
  <c r="B292" i="3"/>
  <c r="H291" i="3"/>
  <c r="G291" i="3"/>
  <c r="F291" i="3"/>
  <c r="E291" i="3"/>
  <c r="D291" i="3"/>
  <c r="C291" i="3"/>
  <c r="B291" i="3"/>
  <c r="H290" i="3"/>
  <c r="G290" i="3"/>
  <c r="F290" i="3"/>
  <c r="E290" i="3"/>
  <c r="D290" i="3"/>
  <c r="C290" i="3"/>
  <c r="B290" i="3"/>
  <c r="H289" i="3"/>
  <c r="G289" i="3"/>
  <c r="F289" i="3"/>
  <c r="E289" i="3"/>
  <c r="D289" i="3"/>
  <c r="C289" i="3"/>
  <c r="B289" i="3"/>
  <c r="H288" i="3"/>
  <c r="G288" i="3"/>
  <c r="F288" i="3"/>
  <c r="E288" i="3"/>
  <c r="D288" i="3"/>
  <c r="C288" i="3"/>
  <c r="B288" i="3"/>
  <c r="H287" i="3"/>
  <c r="G287" i="3"/>
  <c r="F287" i="3"/>
  <c r="E287" i="3"/>
  <c r="D287" i="3"/>
  <c r="C287" i="3"/>
  <c r="B287" i="3"/>
  <c r="H286" i="3"/>
  <c r="G286" i="3"/>
  <c r="F286" i="3"/>
  <c r="E286" i="3"/>
  <c r="D286" i="3"/>
  <c r="C286" i="3"/>
  <c r="B286" i="3"/>
  <c r="H285" i="3"/>
  <c r="G285" i="3"/>
  <c r="F285" i="3"/>
  <c r="E285" i="3"/>
  <c r="D285" i="3"/>
  <c r="C285" i="3"/>
  <c r="B285" i="3"/>
  <c r="H284" i="3"/>
  <c r="G284" i="3"/>
  <c r="F284" i="3"/>
  <c r="E284" i="3"/>
  <c r="D284" i="3"/>
  <c r="C284" i="3"/>
  <c r="B284" i="3"/>
  <c r="H283" i="3"/>
  <c r="G283" i="3"/>
  <c r="F283" i="3"/>
  <c r="E283" i="3"/>
  <c r="D283" i="3"/>
  <c r="C283" i="3"/>
  <c r="B283" i="3"/>
  <c r="H282" i="3"/>
  <c r="G282" i="3"/>
  <c r="F282" i="3"/>
  <c r="E282" i="3"/>
  <c r="D282" i="3"/>
  <c r="C282" i="3"/>
  <c r="B282" i="3"/>
  <c r="H281" i="3"/>
  <c r="G281" i="3"/>
  <c r="F281" i="3"/>
  <c r="E281" i="3"/>
  <c r="D281" i="3"/>
  <c r="C281" i="3"/>
  <c r="B281" i="3"/>
  <c r="H280" i="3"/>
  <c r="G280" i="3"/>
  <c r="F280" i="3"/>
  <c r="E280" i="3"/>
  <c r="D280" i="3"/>
  <c r="C280" i="3"/>
  <c r="B280" i="3"/>
  <c r="H279" i="3"/>
  <c r="G279" i="3"/>
  <c r="F279" i="3"/>
  <c r="E279" i="3"/>
  <c r="D279" i="3"/>
  <c r="C279" i="3"/>
  <c r="B279" i="3"/>
  <c r="H278" i="3"/>
  <c r="G278" i="3"/>
  <c r="F278" i="3"/>
  <c r="E278" i="3"/>
  <c r="D278" i="3"/>
  <c r="C278" i="3"/>
  <c r="B278" i="3"/>
  <c r="H277" i="3"/>
  <c r="G277" i="3"/>
  <c r="F277" i="3"/>
  <c r="E277" i="3"/>
  <c r="D277" i="3"/>
  <c r="C277" i="3"/>
  <c r="B277" i="3"/>
  <c r="H276" i="3"/>
  <c r="G276" i="3"/>
  <c r="F276" i="3"/>
  <c r="E276" i="3"/>
  <c r="D276" i="3"/>
  <c r="C276" i="3"/>
  <c r="B276" i="3"/>
  <c r="H275" i="3"/>
  <c r="G275" i="3"/>
  <c r="F275" i="3"/>
  <c r="E275" i="3"/>
  <c r="D275" i="3"/>
  <c r="C275" i="3"/>
  <c r="B275" i="3"/>
  <c r="H274" i="3"/>
  <c r="G274" i="3"/>
  <c r="F274" i="3"/>
  <c r="E274" i="3"/>
  <c r="D274" i="3"/>
  <c r="C274" i="3"/>
  <c r="B274" i="3"/>
  <c r="H273" i="3"/>
  <c r="G273" i="3"/>
  <c r="F273" i="3"/>
  <c r="E273" i="3"/>
  <c r="D273" i="3"/>
  <c r="C273" i="3"/>
  <c r="B273" i="3"/>
  <c r="H272" i="3"/>
  <c r="G272" i="3"/>
  <c r="F272" i="3"/>
  <c r="E272" i="3"/>
  <c r="D272" i="3"/>
  <c r="C272" i="3"/>
  <c r="B272" i="3"/>
  <c r="H271" i="3"/>
  <c r="G271" i="3"/>
  <c r="F271" i="3"/>
  <c r="E271" i="3"/>
  <c r="D271" i="3"/>
  <c r="C271" i="3"/>
  <c r="B271" i="3"/>
  <c r="H270" i="3"/>
  <c r="G270" i="3"/>
  <c r="F270" i="3"/>
  <c r="E270" i="3"/>
  <c r="D270" i="3"/>
  <c r="C270" i="3"/>
  <c r="B270" i="3"/>
  <c r="H269" i="3"/>
  <c r="G269" i="3"/>
  <c r="F269" i="3"/>
  <c r="E269" i="3"/>
  <c r="D269" i="3"/>
  <c r="C269" i="3"/>
  <c r="B269" i="3"/>
  <c r="H268" i="3"/>
  <c r="G268" i="3"/>
  <c r="F268" i="3"/>
  <c r="E268" i="3"/>
  <c r="D268" i="3"/>
  <c r="C268" i="3"/>
  <c r="B268" i="3"/>
  <c r="H267" i="3"/>
  <c r="G267" i="3"/>
  <c r="F267" i="3"/>
  <c r="E267" i="3"/>
  <c r="D267" i="3"/>
  <c r="C267" i="3"/>
  <c r="B267" i="3"/>
  <c r="H266" i="3"/>
  <c r="G266" i="3"/>
  <c r="F266" i="3"/>
  <c r="E266" i="3"/>
  <c r="D266" i="3"/>
  <c r="C266" i="3"/>
  <c r="B266" i="3"/>
  <c r="H265" i="3"/>
  <c r="G265" i="3"/>
  <c r="F265" i="3"/>
  <c r="E265" i="3"/>
  <c r="D265" i="3"/>
  <c r="C265" i="3"/>
  <c r="B265" i="3"/>
  <c r="H264" i="3"/>
  <c r="G264" i="3"/>
  <c r="F264" i="3"/>
  <c r="E264" i="3"/>
  <c r="D264" i="3"/>
  <c r="C264" i="3"/>
  <c r="B264" i="3"/>
  <c r="H263" i="3"/>
  <c r="G263" i="3"/>
  <c r="F263" i="3"/>
  <c r="E263" i="3"/>
  <c r="D263" i="3"/>
  <c r="C263" i="3"/>
  <c r="B263" i="3"/>
  <c r="H262" i="3"/>
  <c r="G262" i="3"/>
  <c r="F262" i="3"/>
  <c r="E262" i="3"/>
  <c r="D262" i="3"/>
  <c r="C262" i="3"/>
  <c r="B262" i="3"/>
  <c r="H261" i="3"/>
  <c r="G261" i="3"/>
  <c r="F261" i="3"/>
  <c r="E261" i="3"/>
  <c r="D261" i="3"/>
  <c r="C261" i="3"/>
  <c r="B261" i="3"/>
  <c r="H260" i="3"/>
  <c r="G260" i="3"/>
  <c r="F260" i="3"/>
  <c r="E260" i="3"/>
  <c r="D260" i="3"/>
  <c r="C260" i="3"/>
  <c r="B260" i="3"/>
  <c r="H259" i="3"/>
  <c r="G259" i="3"/>
  <c r="F259" i="3"/>
  <c r="E259" i="3"/>
  <c r="D259" i="3"/>
  <c r="C259" i="3"/>
  <c r="B259" i="3"/>
  <c r="H258" i="3"/>
  <c r="G258" i="3"/>
  <c r="F258" i="3"/>
  <c r="E258" i="3"/>
  <c r="D258" i="3"/>
  <c r="C258" i="3"/>
  <c r="B258" i="3"/>
  <c r="H257" i="3"/>
  <c r="G257" i="3"/>
  <c r="F257" i="3"/>
  <c r="E257" i="3"/>
  <c r="D257" i="3"/>
  <c r="C257" i="3"/>
  <c r="B257" i="3"/>
  <c r="H256" i="3"/>
  <c r="G256" i="3"/>
  <c r="F256" i="3"/>
  <c r="E256" i="3"/>
  <c r="D256" i="3"/>
  <c r="C256" i="3"/>
  <c r="B256" i="3"/>
  <c r="H255" i="3"/>
  <c r="G255" i="3"/>
  <c r="F255" i="3"/>
  <c r="E255" i="3"/>
  <c r="D255" i="3"/>
  <c r="C255" i="3"/>
  <c r="B255" i="3"/>
  <c r="H254" i="3"/>
  <c r="G254" i="3"/>
  <c r="F254" i="3"/>
  <c r="E254" i="3"/>
  <c r="D254" i="3"/>
  <c r="C254" i="3"/>
  <c r="B254" i="3"/>
  <c r="H253" i="3"/>
  <c r="G253" i="3"/>
  <c r="F253" i="3"/>
  <c r="E253" i="3"/>
  <c r="D253" i="3"/>
  <c r="C253" i="3"/>
  <c r="B253" i="3"/>
  <c r="H252" i="3"/>
  <c r="G252" i="3"/>
  <c r="F252" i="3"/>
  <c r="E252" i="3"/>
  <c r="D252" i="3"/>
  <c r="C252" i="3"/>
  <c r="B252" i="3"/>
  <c r="H251" i="3"/>
  <c r="G251" i="3"/>
  <c r="F251" i="3"/>
  <c r="E251" i="3"/>
  <c r="D251" i="3"/>
  <c r="C251" i="3"/>
  <c r="B251" i="3"/>
  <c r="H250" i="3"/>
  <c r="G250" i="3"/>
  <c r="F250" i="3"/>
  <c r="E250" i="3"/>
  <c r="D250" i="3"/>
  <c r="C250" i="3"/>
  <c r="B250" i="3"/>
  <c r="H249" i="3"/>
  <c r="G249" i="3"/>
  <c r="F249" i="3"/>
  <c r="E249" i="3"/>
  <c r="D249" i="3"/>
  <c r="C249" i="3"/>
  <c r="B249" i="3"/>
  <c r="H248" i="3"/>
  <c r="G248" i="3"/>
  <c r="F248" i="3"/>
  <c r="E248" i="3"/>
  <c r="D248" i="3"/>
  <c r="C248" i="3"/>
  <c r="B248" i="3"/>
  <c r="H247" i="3"/>
  <c r="G247" i="3"/>
  <c r="F247" i="3"/>
  <c r="E247" i="3"/>
  <c r="D247" i="3"/>
  <c r="C247" i="3"/>
  <c r="B247" i="3"/>
  <c r="H246" i="3"/>
  <c r="G246" i="3"/>
  <c r="F246" i="3"/>
  <c r="E246" i="3"/>
  <c r="D246" i="3"/>
  <c r="C246" i="3"/>
  <c r="B246" i="3"/>
  <c r="H245" i="3"/>
  <c r="G245" i="3"/>
  <c r="F245" i="3"/>
  <c r="E245" i="3"/>
  <c r="D245" i="3"/>
  <c r="C245" i="3"/>
  <c r="B245" i="3"/>
  <c r="H244" i="3"/>
  <c r="G244" i="3"/>
  <c r="F244" i="3"/>
  <c r="E244" i="3"/>
  <c r="D244" i="3"/>
  <c r="C244" i="3"/>
  <c r="B244" i="3"/>
  <c r="H243" i="3"/>
  <c r="G243" i="3"/>
  <c r="F243" i="3"/>
  <c r="E243" i="3"/>
  <c r="D243" i="3"/>
  <c r="C243" i="3"/>
  <c r="B243" i="3"/>
  <c r="H242" i="3"/>
  <c r="G242" i="3"/>
  <c r="F242" i="3"/>
  <c r="E242" i="3"/>
  <c r="D242" i="3"/>
  <c r="C242" i="3"/>
  <c r="B242" i="3"/>
  <c r="H241" i="3"/>
  <c r="G241" i="3"/>
  <c r="F241" i="3"/>
  <c r="E241" i="3"/>
  <c r="D241" i="3"/>
  <c r="C241" i="3"/>
  <c r="B241" i="3"/>
  <c r="H240" i="3"/>
  <c r="G240" i="3"/>
  <c r="F240" i="3"/>
  <c r="E240" i="3"/>
  <c r="D240" i="3"/>
  <c r="C240" i="3"/>
  <c r="B240" i="3"/>
  <c r="H239" i="3"/>
  <c r="G239" i="3"/>
  <c r="F239" i="3"/>
  <c r="E239" i="3"/>
  <c r="D239" i="3"/>
  <c r="C239" i="3"/>
  <c r="B239" i="3"/>
  <c r="H238" i="3"/>
  <c r="G238" i="3"/>
  <c r="F238" i="3"/>
  <c r="E238" i="3"/>
  <c r="D238" i="3"/>
  <c r="C238" i="3"/>
  <c r="B238" i="3"/>
  <c r="H237" i="3"/>
  <c r="G237" i="3"/>
  <c r="F237" i="3"/>
  <c r="E237" i="3"/>
  <c r="D237" i="3"/>
  <c r="C237" i="3"/>
  <c r="B237" i="3"/>
  <c r="H236" i="3"/>
  <c r="G236" i="3"/>
  <c r="F236" i="3"/>
  <c r="E236" i="3"/>
  <c r="D236" i="3"/>
  <c r="C236" i="3"/>
  <c r="B236" i="3"/>
  <c r="H235" i="3"/>
  <c r="G235" i="3"/>
  <c r="F235" i="3"/>
  <c r="E235" i="3"/>
  <c r="D235" i="3"/>
  <c r="C235" i="3"/>
  <c r="B235" i="3"/>
  <c r="H234" i="3"/>
  <c r="G234" i="3"/>
  <c r="F234" i="3"/>
  <c r="E234" i="3"/>
  <c r="D234" i="3"/>
  <c r="C234" i="3"/>
  <c r="B234" i="3"/>
  <c r="H233" i="3"/>
  <c r="G233" i="3"/>
  <c r="F233" i="3"/>
  <c r="E233" i="3"/>
  <c r="D233" i="3"/>
  <c r="C233" i="3"/>
  <c r="B233" i="3"/>
  <c r="H232" i="3"/>
  <c r="G232" i="3"/>
  <c r="F232" i="3"/>
  <c r="E232" i="3"/>
  <c r="D232" i="3"/>
  <c r="C232" i="3"/>
  <c r="B232" i="3"/>
  <c r="H231" i="3"/>
  <c r="G231" i="3"/>
  <c r="F231" i="3"/>
  <c r="E231" i="3"/>
  <c r="D231" i="3"/>
  <c r="C231" i="3"/>
  <c r="B231" i="3"/>
  <c r="H230" i="3"/>
  <c r="G230" i="3"/>
  <c r="F230" i="3"/>
  <c r="E230" i="3"/>
  <c r="D230" i="3"/>
  <c r="C230" i="3"/>
  <c r="B230" i="3"/>
  <c r="H229" i="3"/>
  <c r="G229" i="3"/>
  <c r="F229" i="3"/>
  <c r="E229" i="3"/>
  <c r="D229" i="3"/>
  <c r="C229" i="3"/>
  <c r="B229" i="3"/>
  <c r="H228" i="3"/>
  <c r="G228" i="3"/>
  <c r="F228" i="3"/>
  <c r="E228" i="3"/>
  <c r="D228" i="3"/>
  <c r="C228" i="3"/>
  <c r="B228" i="3"/>
  <c r="H227" i="3"/>
  <c r="G227" i="3"/>
  <c r="F227" i="3"/>
  <c r="E227" i="3"/>
  <c r="D227" i="3"/>
  <c r="C227" i="3"/>
  <c r="B227" i="3"/>
  <c r="H226" i="3"/>
  <c r="G226" i="3"/>
  <c r="F226" i="3"/>
  <c r="E226" i="3"/>
  <c r="D226" i="3"/>
  <c r="C226" i="3"/>
  <c r="B226" i="3"/>
  <c r="H225" i="3"/>
  <c r="G225" i="3"/>
  <c r="F225" i="3"/>
  <c r="E225" i="3"/>
  <c r="D225" i="3"/>
  <c r="C225" i="3"/>
  <c r="B225" i="3"/>
  <c r="H224" i="3"/>
  <c r="G224" i="3"/>
  <c r="F224" i="3"/>
  <c r="E224" i="3"/>
  <c r="D224" i="3"/>
  <c r="C224" i="3"/>
  <c r="B224" i="3"/>
  <c r="H223" i="3"/>
  <c r="G223" i="3"/>
  <c r="F223" i="3"/>
  <c r="E223" i="3"/>
  <c r="D223" i="3"/>
  <c r="C223" i="3"/>
  <c r="B223" i="3"/>
  <c r="H222" i="3"/>
  <c r="G222" i="3"/>
  <c r="F222" i="3"/>
  <c r="E222" i="3"/>
  <c r="D222" i="3"/>
  <c r="C222" i="3"/>
  <c r="B222" i="3"/>
  <c r="H221" i="3"/>
  <c r="G221" i="3"/>
  <c r="F221" i="3"/>
  <c r="E221" i="3"/>
  <c r="D221" i="3"/>
  <c r="C221" i="3"/>
  <c r="B221" i="3"/>
  <c r="H220" i="3"/>
  <c r="G220" i="3"/>
  <c r="F220" i="3"/>
  <c r="E220" i="3"/>
  <c r="D220" i="3"/>
  <c r="C220" i="3"/>
  <c r="B220" i="3"/>
  <c r="H219" i="3"/>
  <c r="G219" i="3"/>
  <c r="F219" i="3"/>
  <c r="E219" i="3"/>
  <c r="D219" i="3"/>
  <c r="C219" i="3"/>
  <c r="B219" i="3"/>
  <c r="H218" i="3"/>
  <c r="G218" i="3"/>
  <c r="F218" i="3"/>
  <c r="E218" i="3"/>
  <c r="D218" i="3"/>
  <c r="C218" i="3"/>
  <c r="B218" i="3"/>
  <c r="H217" i="3"/>
  <c r="G217" i="3"/>
  <c r="F217" i="3"/>
  <c r="E217" i="3"/>
  <c r="D217" i="3"/>
  <c r="C217" i="3"/>
  <c r="B217" i="3"/>
  <c r="H216" i="3"/>
  <c r="G216" i="3"/>
  <c r="F216" i="3"/>
  <c r="E216" i="3"/>
  <c r="D216" i="3"/>
  <c r="C216" i="3"/>
  <c r="B216" i="3"/>
  <c r="H215" i="3"/>
  <c r="G215" i="3"/>
  <c r="F215" i="3"/>
  <c r="E215" i="3"/>
  <c r="D215" i="3"/>
  <c r="C215" i="3"/>
  <c r="B215" i="3"/>
  <c r="H214" i="3"/>
  <c r="G214" i="3"/>
  <c r="F214" i="3"/>
  <c r="E214" i="3"/>
  <c r="D214" i="3"/>
  <c r="C214" i="3"/>
  <c r="B214" i="3"/>
  <c r="H213" i="3"/>
  <c r="G213" i="3"/>
  <c r="F213" i="3"/>
  <c r="E213" i="3"/>
  <c r="D213" i="3"/>
  <c r="C213" i="3"/>
  <c r="B213" i="3"/>
  <c r="H212" i="3"/>
  <c r="G212" i="3"/>
  <c r="F212" i="3"/>
  <c r="E212" i="3"/>
  <c r="D212" i="3"/>
  <c r="C212" i="3"/>
  <c r="B212" i="3"/>
  <c r="H211" i="3"/>
  <c r="G211" i="3"/>
  <c r="F211" i="3"/>
  <c r="E211" i="3"/>
  <c r="D211" i="3"/>
  <c r="C211" i="3"/>
  <c r="B211" i="3"/>
  <c r="H210" i="3"/>
  <c r="G210" i="3"/>
  <c r="F210" i="3"/>
  <c r="E210" i="3"/>
  <c r="D210" i="3"/>
  <c r="C210" i="3"/>
  <c r="B210" i="3"/>
  <c r="H209" i="3"/>
  <c r="G209" i="3"/>
  <c r="F209" i="3"/>
  <c r="E209" i="3"/>
  <c r="D209" i="3"/>
  <c r="C209" i="3"/>
  <c r="B209" i="3"/>
  <c r="H208" i="3"/>
  <c r="G208" i="3"/>
  <c r="F208" i="3"/>
  <c r="E208" i="3"/>
  <c r="D208" i="3"/>
  <c r="C208" i="3"/>
  <c r="B208" i="3"/>
  <c r="H207" i="3"/>
  <c r="G207" i="3"/>
  <c r="F207" i="3"/>
  <c r="E207" i="3"/>
  <c r="D207" i="3"/>
  <c r="C207" i="3"/>
  <c r="B207" i="3"/>
  <c r="H206" i="3"/>
  <c r="G206" i="3"/>
  <c r="F206" i="3"/>
  <c r="E206" i="3"/>
  <c r="D206" i="3"/>
  <c r="C206" i="3"/>
  <c r="B206" i="3"/>
  <c r="H205" i="3"/>
  <c r="G205" i="3"/>
  <c r="F205" i="3"/>
  <c r="E205" i="3"/>
  <c r="D205" i="3"/>
  <c r="C205" i="3"/>
  <c r="B205" i="3"/>
  <c r="H204" i="3"/>
  <c r="G204" i="3"/>
  <c r="F204" i="3"/>
  <c r="E204" i="3"/>
  <c r="D204" i="3"/>
  <c r="C204" i="3"/>
  <c r="B204" i="3"/>
  <c r="H203" i="3"/>
  <c r="G203" i="3"/>
  <c r="F203" i="3"/>
  <c r="E203" i="3"/>
  <c r="D203" i="3"/>
  <c r="C203" i="3"/>
  <c r="B203" i="3"/>
  <c r="H202" i="3"/>
  <c r="G202" i="3"/>
  <c r="F202" i="3"/>
  <c r="E202" i="3"/>
  <c r="D202" i="3"/>
  <c r="C202" i="3"/>
  <c r="B202" i="3"/>
  <c r="H201" i="3"/>
  <c r="G201" i="3"/>
  <c r="F201" i="3"/>
  <c r="E201" i="3"/>
  <c r="D201" i="3"/>
  <c r="C201" i="3"/>
  <c r="B201" i="3"/>
  <c r="H200" i="3"/>
  <c r="G200" i="3"/>
  <c r="F200" i="3"/>
  <c r="E200" i="3"/>
  <c r="D200" i="3"/>
  <c r="C200" i="3"/>
  <c r="B200" i="3"/>
  <c r="H199" i="3"/>
  <c r="G199" i="3"/>
  <c r="F199" i="3"/>
  <c r="E199" i="3"/>
  <c r="D199" i="3"/>
  <c r="C199" i="3"/>
  <c r="B199" i="3"/>
  <c r="H198" i="3"/>
  <c r="G198" i="3"/>
  <c r="F198" i="3"/>
  <c r="E198" i="3"/>
  <c r="D198" i="3"/>
  <c r="C198" i="3"/>
  <c r="B198" i="3"/>
  <c r="H197" i="3"/>
  <c r="G197" i="3"/>
  <c r="F197" i="3"/>
  <c r="E197" i="3"/>
  <c r="D197" i="3"/>
  <c r="C197" i="3"/>
  <c r="B197" i="3"/>
  <c r="H196" i="3"/>
  <c r="G196" i="3"/>
  <c r="F196" i="3"/>
  <c r="E196" i="3"/>
  <c r="D196" i="3"/>
  <c r="C196" i="3"/>
  <c r="B196" i="3"/>
  <c r="H195" i="3"/>
  <c r="G195" i="3"/>
  <c r="F195" i="3"/>
  <c r="E195" i="3"/>
  <c r="D195" i="3"/>
  <c r="C195" i="3"/>
  <c r="B195" i="3"/>
  <c r="H194" i="3"/>
  <c r="G194" i="3"/>
  <c r="F194" i="3"/>
  <c r="E194" i="3"/>
  <c r="D194" i="3"/>
  <c r="C194" i="3"/>
  <c r="B194" i="3"/>
  <c r="H193" i="3"/>
  <c r="G193" i="3"/>
  <c r="F193" i="3"/>
  <c r="E193" i="3"/>
  <c r="D193" i="3"/>
  <c r="C193" i="3"/>
  <c r="B193" i="3"/>
  <c r="H192" i="3"/>
  <c r="G192" i="3"/>
  <c r="F192" i="3"/>
  <c r="E192" i="3"/>
  <c r="D192" i="3"/>
  <c r="C192" i="3"/>
  <c r="B192" i="3"/>
  <c r="H191" i="3"/>
  <c r="G191" i="3"/>
  <c r="F191" i="3"/>
  <c r="E191" i="3"/>
  <c r="D191" i="3"/>
  <c r="C191" i="3"/>
  <c r="B191" i="3"/>
  <c r="H190" i="3"/>
  <c r="G190" i="3"/>
  <c r="F190" i="3"/>
  <c r="E190" i="3"/>
  <c r="D190" i="3"/>
  <c r="C190" i="3"/>
  <c r="B190" i="3"/>
  <c r="H189" i="3"/>
  <c r="G189" i="3"/>
  <c r="F189" i="3"/>
  <c r="E189" i="3"/>
  <c r="D189" i="3"/>
  <c r="C189" i="3"/>
  <c r="B189" i="3"/>
  <c r="H188" i="3"/>
  <c r="G188" i="3"/>
  <c r="F188" i="3"/>
  <c r="E188" i="3"/>
  <c r="D188" i="3"/>
  <c r="C188" i="3"/>
  <c r="B188" i="3"/>
  <c r="H187" i="3"/>
  <c r="G187" i="3"/>
  <c r="F187" i="3"/>
  <c r="E187" i="3"/>
  <c r="D187" i="3"/>
  <c r="C187" i="3"/>
  <c r="B187" i="3"/>
  <c r="H186" i="3"/>
  <c r="G186" i="3"/>
  <c r="F186" i="3"/>
  <c r="E186" i="3"/>
  <c r="D186" i="3"/>
  <c r="C186" i="3"/>
  <c r="B186" i="3"/>
  <c r="H185" i="3"/>
  <c r="G185" i="3"/>
  <c r="F185" i="3"/>
  <c r="E185" i="3"/>
  <c r="D185" i="3"/>
  <c r="C185" i="3"/>
  <c r="B185" i="3"/>
  <c r="H184" i="3"/>
  <c r="G184" i="3"/>
  <c r="F184" i="3"/>
  <c r="E184" i="3"/>
  <c r="D184" i="3"/>
  <c r="C184" i="3"/>
  <c r="B184" i="3"/>
  <c r="H183" i="3"/>
  <c r="G183" i="3"/>
  <c r="F183" i="3"/>
  <c r="E183" i="3"/>
  <c r="D183" i="3"/>
  <c r="C183" i="3"/>
  <c r="B183" i="3"/>
  <c r="H182" i="3"/>
  <c r="G182" i="3"/>
  <c r="F182" i="3"/>
  <c r="E182" i="3"/>
  <c r="D182" i="3"/>
  <c r="C182" i="3"/>
  <c r="B182" i="3"/>
  <c r="H181" i="3"/>
  <c r="G181" i="3"/>
  <c r="F181" i="3"/>
  <c r="E181" i="3"/>
  <c r="D181" i="3"/>
  <c r="C181" i="3"/>
  <c r="B181" i="3"/>
  <c r="H180" i="3"/>
  <c r="G180" i="3"/>
  <c r="F180" i="3"/>
  <c r="E180" i="3"/>
  <c r="D180" i="3"/>
  <c r="C180" i="3"/>
  <c r="B180" i="3"/>
  <c r="H179" i="3"/>
  <c r="G179" i="3"/>
  <c r="F179" i="3"/>
  <c r="E179" i="3"/>
  <c r="D179" i="3"/>
  <c r="C179" i="3"/>
  <c r="B179" i="3"/>
  <c r="H178" i="3"/>
  <c r="G178" i="3"/>
  <c r="F178" i="3"/>
  <c r="E178" i="3"/>
  <c r="D178" i="3"/>
  <c r="C178" i="3"/>
  <c r="B178" i="3"/>
  <c r="H177" i="3"/>
  <c r="G177" i="3"/>
  <c r="F177" i="3"/>
  <c r="E177" i="3"/>
  <c r="D177" i="3"/>
  <c r="C177" i="3"/>
  <c r="B177" i="3"/>
  <c r="H176" i="3"/>
  <c r="G176" i="3"/>
  <c r="F176" i="3"/>
  <c r="E176" i="3"/>
  <c r="D176" i="3"/>
  <c r="C176" i="3"/>
  <c r="B176" i="3"/>
  <c r="H175" i="3"/>
  <c r="G175" i="3"/>
  <c r="F175" i="3"/>
  <c r="E175" i="3"/>
  <c r="D175" i="3"/>
  <c r="C175" i="3"/>
  <c r="B175" i="3"/>
  <c r="H174" i="3"/>
  <c r="G174" i="3"/>
  <c r="F174" i="3"/>
  <c r="E174" i="3"/>
  <c r="D174" i="3"/>
  <c r="C174" i="3"/>
  <c r="B174" i="3"/>
  <c r="H173" i="3"/>
  <c r="G173" i="3"/>
  <c r="F173" i="3"/>
  <c r="E173" i="3"/>
  <c r="D173" i="3"/>
  <c r="C173" i="3"/>
  <c r="B173" i="3"/>
  <c r="H172" i="3"/>
  <c r="G172" i="3"/>
  <c r="F172" i="3"/>
  <c r="E172" i="3"/>
  <c r="D172" i="3"/>
  <c r="C172" i="3"/>
  <c r="B172" i="3"/>
  <c r="H171" i="3"/>
  <c r="G171" i="3"/>
  <c r="F171" i="3"/>
  <c r="E171" i="3"/>
  <c r="D171" i="3"/>
  <c r="C171" i="3"/>
  <c r="B171" i="3"/>
  <c r="H170" i="3"/>
  <c r="G170" i="3"/>
  <c r="F170" i="3"/>
  <c r="E170" i="3"/>
  <c r="D170" i="3"/>
  <c r="C170" i="3"/>
  <c r="B170" i="3"/>
  <c r="H169" i="3"/>
  <c r="G169" i="3"/>
  <c r="F169" i="3"/>
  <c r="E169" i="3"/>
  <c r="D169" i="3"/>
  <c r="C169" i="3"/>
  <c r="B169" i="3"/>
  <c r="H168" i="3"/>
  <c r="G168" i="3"/>
  <c r="F168" i="3"/>
  <c r="E168" i="3"/>
  <c r="D168" i="3"/>
  <c r="C168" i="3"/>
  <c r="B168" i="3"/>
  <c r="H167" i="3"/>
  <c r="G167" i="3"/>
  <c r="F167" i="3"/>
  <c r="E167" i="3"/>
  <c r="D167" i="3"/>
  <c r="C167" i="3"/>
  <c r="B167" i="3"/>
  <c r="H166" i="3"/>
  <c r="G166" i="3"/>
  <c r="F166" i="3"/>
  <c r="E166" i="3"/>
  <c r="D166" i="3"/>
  <c r="C166" i="3"/>
  <c r="B166" i="3"/>
  <c r="H165" i="3"/>
  <c r="G165" i="3"/>
  <c r="F165" i="3"/>
  <c r="E165" i="3"/>
  <c r="D165" i="3"/>
  <c r="C165" i="3"/>
  <c r="B165" i="3"/>
  <c r="H164" i="3"/>
  <c r="G164" i="3"/>
  <c r="F164" i="3"/>
  <c r="E164" i="3"/>
  <c r="D164" i="3"/>
  <c r="C164" i="3"/>
  <c r="B164" i="3"/>
  <c r="H163" i="3"/>
  <c r="G163" i="3"/>
  <c r="F163" i="3"/>
  <c r="E163" i="3"/>
  <c r="D163" i="3"/>
  <c r="C163" i="3"/>
  <c r="B163" i="3"/>
  <c r="H162" i="3"/>
  <c r="G162" i="3"/>
  <c r="F162" i="3"/>
  <c r="E162" i="3"/>
  <c r="D162" i="3"/>
  <c r="C162" i="3"/>
  <c r="B162" i="3"/>
  <c r="H161" i="3"/>
  <c r="G161" i="3"/>
  <c r="F161" i="3"/>
  <c r="E161" i="3"/>
  <c r="D161" i="3"/>
  <c r="C161" i="3"/>
  <c r="B161" i="3"/>
  <c r="H160" i="3"/>
  <c r="G160" i="3"/>
  <c r="F160" i="3"/>
  <c r="E160" i="3"/>
  <c r="D160" i="3"/>
  <c r="C160" i="3"/>
  <c r="B160" i="3"/>
  <c r="H159" i="3"/>
  <c r="G159" i="3"/>
  <c r="F159" i="3"/>
  <c r="E159" i="3"/>
  <c r="D159" i="3"/>
  <c r="C159" i="3"/>
  <c r="B159" i="3"/>
  <c r="H158" i="3"/>
  <c r="G158" i="3"/>
  <c r="F158" i="3"/>
  <c r="E158" i="3"/>
  <c r="D158" i="3"/>
  <c r="C158" i="3"/>
  <c r="B158" i="3"/>
  <c r="H157" i="3"/>
  <c r="G157" i="3"/>
  <c r="F157" i="3"/>
  <c r="E157" i="3"/>
  <c r="D157" i="3"/>
  <c r="C157" i="3"/>
  <c r="B157" i="3"/>
  <c r="H156" i="3"/>
  <c r="G156" i="3"/>
  <c r="F156" i="3"/>
  <c r="E156" i="3"/>
  <c r="D156" i="3"/>
  <c r="C156" i="3"/>
  <c r="B156" i="3"/>
  <c r="H155" i="3"/>
  <c r="G155" i="3"/>
  <c r="F155" i="3"/>
  <c r="E155" i="3"/>
  <c r="D155" i="3"/>
  <c r="C155" i="3"/>
  <c r="B155" i="3"/>
  <c r="H154" i="3"/>
  <c r="G154" i="3"/>
  <c r="F154" i="3"/>
  <c r="E154" i="3"/>
  <c r="D154" i="3"/>
  <c r="C154" i="3"/>
  <c r="B154" i="3"/>
  <c r="H153" i="3"/>
  <c r="G153" i="3"/>
  <c r="F153" i="3"/>
  <c r="E153" i="3"/>
  <c r="D153" i="3"/>
  <c r="C153" i="3"/>
  <c r="B153" i="3"/>
  <c r="H152" i="3"/>
  <c r="G152" i="3"/>
  <c r="F152" i="3"/>
  <c r="E152" i="3"/>
  <c r="D152" i="3"/>
  <c r="C152" i="3"/>
  <c r="B152" i="3"/>
  <c r="H151" i="3"/>
  <c r="G151" i="3"/>
  <c r="F151" i="3"/>
  <c r="E151" i="3"/>
  <c r="D151" i="3"/>
  <c r="C151" i="3"/>
  <c r="B151" i="3"/>
  <c r="H150" i="3"/>
  <c r="G150" i="3"/>
  <c r="F150" i="3"/>
  <c r="E150" i="3"/>
  <c r="D150" i="3"/>
  <c r="C150" i="3"/>
  <c r="B150" i="3"/>
  <c r="H149" i="3"/>
  <c r="G149" i="3"/>
  <c r="F149" i="3"/>
  <c r="E149" i="3"/>
  <c r="D149" i="3"/>
  <c r="C149" i="3"/>
  <c r="B149" i="3"/>
  <c r="H148" i="3"/>
  <c r="G148" i="3"/>
  <c r="F148" i="3"/>
  <c r="E148" i="3"/>
  <c r="D148" i="3"/>
  <c r="C148" i="3"/>
  <c r="B148" i="3"/>
  <c r="H147" i="3"/>
  <c r="G147" i="3"/>
  <c r="F147" i="3"/>
  <c r="E147" i="3"/>
  <c r="D147" i="3"/>
  <c r="C147" i="3"/>
  <c r="B147" i="3"/>
  <c r="H146" i="3"/>
  <c r="G146" i="3"/>
  <c r="F146" i="3"/>
  <c r="E146" i="3"/>
  <c r="D146" i="3"/>
  <c r="C146" i="3"/>
  <c r="B146" i="3"/>
  <c r="H145" i="3"/>
  <c r="G145" i="3"/>
  <c r="F145" i="3"/>
  <c r="E145" i="3"/>
  <c r="D145" i="3"/>
  <c r="C145" i="3"/>
  <c r="B145" i="3"/>
  <c r="H144" i="3"/>
  <c r="G144" i="3"/>
  <c r="F144" i="3"/>
  <c r="E144" i="3"/>
  <c r="D144" i="3"/>
  <c r="C144" i="3"/>
  <c r="B144" i="3"/>
  <c r="H143" i="3"/>
  <c r="G143" i="3"/>
  <c r="F143" i="3"/>
  <c r="E143" i="3"/>
  <c r="D143" i="3"/>
  <c r="C143" i="3"/>
  <c r="B143" i="3"/>
  <c r="H142" i="3"/>
  <c r="G142" i="3"/>
  <c r="F142" i="3"/>
  <c r="E142" i="3"/>
  <c r="D142" i="3"/>
  <c r="C142" i="3"/>
  <c r="B142" i="3"/>
  <c r="H141" i="3"/>
  <c r="G141" i="3"/>
  <c r="F141" i="3"/>
  <c r="E141" i="3"/>
  <c r="D141" i="3"/>
  <c r="C141" i="3"/>
  <c r="B141" i="3"/>
  <c r="H140" i="3"/>
  <c r="G140" i="3"/>
  <c r="F140" i="3"/>
  <c r="E140" i="3"/>
  <c r="D140" i="3"/>
  <c r="C140" i="3"/>
  <c r="B140" i="3"/>
  <c r="H139" i="3"/>
  <c r="G139" i="3"/>
  <c r="F139" i="3"/>
  <c r="E139" i="3"/>
  <c r="D139" i="3"/>
  <c r="C139" i="3"/>
  <c r="B139" i="3"/>
  <c r="H138" i="3"/>
  <c r="G138" i="3"/>
  <c r="F138" i="3"/>
  <c r="E138" i="3"/>
  <c r="D138" i="3"/>
  <c r="C138" i="3"/>
  <c r="B138" i="3"/>
  <c r="H137" i="3"/>
  <c r="G137" i="3"/>
  <c r="F137" i="3"/>
  <c r="E137" i="3"/>
  <c r="D137" i="3"/>
  <c r="C137" i="3"/>
  <c r="B137" i="3"/>
  <c r="H136" i="3"/>
  <c r="G136" i="3"/>
  <c r="F136" i="3"/>
  <c r="E136" i="3"/>
  <c r="D136" i="3"/>
  <c r="C136" i="3"/>
  <c r="B136" i="3"/>
  <c r="H135" i="3"/>
  <c r="G135" i="3"/>
  <c r="F135" i="3"/>
  <c r="E135" i="3"/>
  <c r="D135" i="3"/>
  <c r="C135" i="3"/>
  <c r="B135" i="3"/>
  <c r="H134" i="3"/>
  <c r="G134" i="3"/>
  <c r="F134" i="3"/>
  <c r="E134" i="3"/>
  <c r="D134" i="3"/>
  <c r="C134" i="3"/>
  <c r="B134" i="3"/>
  <c r="H133" i="3"/>
  <c r="G133" i="3"/>
  <c r="F133" i="3"/>
  <c r="E133" i="3"/>
  <c r="D133" i="3"/>
  <c r="C133" i="3"/>
  <c r="B133" i="3"/>
  <c r="H132" i="3"/>
  <c r="G132" i="3"/>
  <c r="F132" i="3"/>
  <c r="E132" i="3"/>
  <c r="D132" i="3"/>
  <c r="C132" i="3"/>
  <c r="B132" i="3"/>
  <c r="H131" i="3"/>
  <c r="G131" i="3"/>
  <c r="F131" i="3"/>
  <c r="E131" i="3"/>
  <c r="D131" i="3"/>
  <c r="C131" i="3"/>
  <c r="B131" i="3"/>
  <c r="H130" i="3"/>
  <c r="G130" i="3"/>
  <c r="F130" i="3"/>
  <c r="E130" i="3"/>
  <c r="D130" i="3"/>
  <c r="C130" i="3"/>
  <c r="B130" i="3"/>
  <c r="H129" i="3"/>
  <c r="G129" i="3"/>
  <c r="F129" i="3"/>
  <c r="E129" i="3"/>
  <c r="D129" i="3"/>
  <c r="C129" i="3"/>
  <c r="B129" i="3"/>
  <c r="H128" i="3"/>
  <c r="G128" i="3"/>
  <c r="F128" i="3"/>
  <c r="E128" i="3"/>
  <c r="D128" i="3"/>
  <c r="C128" i="3"/>
  <c r="B128" i="3"/>
  <c r="H127" i="3"/>
  <c r="G127" i="3"/>
  <c r="F127" i="3"/>
  <c r="E127" i="3"/>
  <c r="D127" i="3"/>
  <c r="C127" i="3"/>
  <c r="B127" i="3"/>
  <c r="H126" i="3"/>
  <c r="G126" i="3"/>
  <c r="F126" i="3"/>
  <c r="E126" i="3"/>
  <c r="D126" i="3"/>
  <c r="C126" i="3"/>
  <c r="B126" i="3"/>
  <c r="H125" i="3"/>
  <c r="G125" i="3"/>
  <c r="F125" i="3"/>
  <c r="E125" i="3"/>
  <c r="D125" i="3"/>
  <c r="C125" i="3"/>
  <c r="B125" i="3"/>
  <c r="H124" i="3"/>
  <c r="G124" i="3"/>
  <c r="F124" i="3"/>
  <c r="E124" i="3"/>
  <c r="D124" i="3"/>
  <c r="C124" i="3"/>
  <c r="B124" i="3"/>
  <c r="H123" i="3"/>
  <c r="G123" i="3"/>
  <c r="F123" i="3"/>
  <c r="E123" i="3"/>
  <c r="D123" i="3"/>
  <c r="C123" i="3"/>
  <c r="B123" i="3"/>
  <c r="H122" i="3"/>
  <c r="G122" i="3"/>
  <c r="F122" i="3"/>
  <c r="E122" i="3"/>
  <c r="D122" i="3"/>
  <c r="C122" i="3"/>
  <c r="B122" i="3"/>
  <c r="H121" i="3"/>
  <c r="G121" i="3"/>
  <c r="F121" i="3"/>
  <c r="E121" i="3"/>
  <c r="D121" i="3"/>
  <c r="C121" i="3"/>
  <c r="B121" i="3"/>
  <c r="H120" i="3"/>
  <c r="G120" i="3"/>
  <c r="F120" i="3"/>
  <c r="E120" i="3"/>
  <c r="D120" i="3"/>
  <c r="C120" i="3"/>
  <c r="B120" i="3"/>
  <c r="H119" i="3"/>
  <c r="G119" i="3"/>
  <c r="F119" i="3"/>
  <c r="E119" i="3"/>
  <c r="D119" i="3"/>
  <c r="C119" i="3"/>
  <c r="B119" i="3"/>
  <c r="H118" i="3"/>
  <c r="G118" i="3"/>
  <c r="F118" i="3"/>
  <c r="E118" i="3"/>
  <c r="D118" i="3"/>
  <c r="C118" i="3"/>
  <c r="B118" i="3"/>
  <c r="H117" i="3"/>
  <c r="G117" i="3"/>
  <c r="F117" i="3"/>
  <c r="E117" i="3"/>
  <c r="D117" i="3"/>
  <c r="C117" i="3"/>
  <c r="B117" i="3"/>
  <c r="H116" i="3"/>
  <c r="G116" i="3"/>
  <c r="F116" i="3"/>
  <c r="E116" i="3"/>
  <c r="D116" i="3"/>
  <c r="C116" i="3"/>
  <c r="B116" i="3"/>
  <c r="H115" i="3"/>
  <c r="G115" i="3"/>
  <c r="F115" i="3"/>
  <c r="E115" i="3"/>
  <c r="D115" i="3"/>
  <c r="C115" i="3"/>
  <c r="B115" i="3"/>
  <c r="H114" i="3"/>
  <c r="G114" i="3"/>
  <c r="F114" i="3"/>
  <c r="E114" i="3"/>
  <c r="D114" i="3"/>
  <c r="C114" i="3"/>
  <c r="B114" i="3"/>
  <c r="H113" i="3"/>
  <c r="G113" i="3"/>
  <c r="F113" i="3"/>
  <c r="E113" i="3"/>
  <c r="D113" i="3"/>
  <c r="C113" i="3"/>
  <c r="B113" i="3"/>
  <c r="H112" i="3"/>
  <c r="G112" i="3"/>
  <c r="F112" i="3"/>
  <c r="E112" i="3"/>
  <c r="D112" i="3"/>
  <c r="C112" i="3"/>
  <c r="B112" i="3"/>
  <c r="H111" i="3"/>
  <c r="G111" i="3"/>
  <c r="F111" i="3"/>
  <c r="E111" i="3"/>
  <c r="D111" i="3"/>
  <c r="C111" i="3"/>
  <c r="B111" i="3"/>
  <c r="H110" i="3"/>
  <c r="G110" i="3"/>
  <c r="F110" i="3"/>
  <c r="E110" i="3"/>
  <c r="D110" i="3"/>
  <c r="C110" i="3"/>
  <c r="B110" i="3"/>
  <c r="H109" i="3"/>
  <c r="G109" i="3"/>
  <c r="F109" i="3"/>
  <c r="E109" i="3"/>
  <c r="D109" i="3"/>
  <c r="C109" i="3"/>
  <c r="B109" i="3"/>
  <c r="H108" i="3"/>
  <c r="G108" i="3"/>
  <c r="F108" i="3"/>
  <c r="E108" i="3"/>
  <c r="D108" i="3"/>
  <c r="C108" i="3"/>
  <c r="B108" i="3"/>
  <c r="H107" i="3"/>
  <c r="G107" i="3"/>
  <c r="F107" i="3"/>
  <c r="E107" i="3"/>
  <c r="D107" i="3"/>
  <c r="C107" i="3"/>
  <c r="B107" i="3"/>
  <c r="H106" i="3"/>
  <c r="G106" i="3"/>
  <c r="F106" i="3"/>
  <c r="E106" i="3"/>
  <c r="D106" i="3"/>
  <c r="C106" i="3"/>
  <c r="B106" i="3"/>
  <c r="H105" i="3"/>
  <c r="G105" i="3"/>
  <c r="F105" i="3"/>
  <c r="E105" i="3"/>
  <c r="D105" i="3"/>
  <c r="C105" i="3"/>
  <c r="B105" i="3"/>
  <c r="H104" i="3"/>
  <c r="G104" i="3"/>
  <c r="F104" i="3"/>
  <c r="E104" i="3"/>
  <c r="D104" i="3"/>
  <c r="C104" i="3"/>
  <c r="B104" i="3"/>
  <c r="H103" i="3"/>
  <c r="G103" i="3"/>
  <c r="F103" i="3"/>
  <c r="E103" i="3"/>
  <c r="D103" i="3"/>
  <c r="C103" i="3"/>
  <c r="B103" i="3"/>
  <c r="H102" i="3"/>
  <c r="G102" i="3"/>
  <c r="F102" i="3"/>
  <c r="E102" i="3"/>
  <c r="D102" i="3"/>
  <c r="C102" i="3"/>
  <c r="B102" i="3"/>
  <c r="H101" i="3"/>
  <c r="G101" i="3"/>
  <c r="F101" i="3"/>
  <c r="E101" i="3"/>
  <c r="D101" i="3"/>
  <c r="C101" i="3"/>
  <c r="B101" i="3"/>
  <c r="H100" i="3"/>
  <c r="G100" i="3"/>
  <c r="F100" i="3"/>
  <c r="E100" i="3"/>
  <c r="D100" i="3"/>
  <c r="C100" i="3"/>
  <c r="B100" i="3"/>
  <c r="H99" i="3"/>
  <c r="G99" i="3"/>
  <c r="F99" i="3"/>
  <c r="E99" i="3"/>
  <c r="D99" i="3"/>
  <c r="C99" i="3"/>
  <c r="B99" i="3"/>
  <c r="H98" i="3"/>
  <c r="G98" i="3"/>
  <c r="F98" i="3"/>
  <c r="E98" i="3"/>
  <c r="D98" i="3"/>
  <c r="C98" i="3"/>
  <c r="B98" i="3"/>
  <c r="H97" i="3"/>
  <c r="G97" i="3"/>
  <c r="F97" i="3"/>
  <c r="E97" i="3"/>
  <c r="D97" i="3"/>
  <c r="C97" i="3"/>
  <c r="B97" i="3"/>
  <c r="H96" i="3"/>
  <c r="G96" i="3"/>
  <c r="F96" i="3"/>
  <c r="E96" i="3"/>
  <c r="D96" i="3"/>
  <c r="C96" i="3"/>
  <c r="B96" i="3"/>
  <c r="H95" i="3"/>
  <c r="G95" i="3"/>
  <c r="F95" i="3"/>
  <c r="E95" i="3"/>
  <c r="D95" i="3"/>
  <c r="C95" i="3"/>
  <c r="B95" i="3"/>
  <c r="H94" i="3"/>
  <c r="G94" i="3"/>
  <c r="F94" i="3"/>
  <c r="E94" i="3"/>
  <c r="D94" i="3"/>
  <c r="C94" i="3"/>
  <c r="B94" i="3"/>
  <c r="H93" i="3"/>
  <c r="G93" i="3"/>
  <c r="F93" i="3"/>
  <c r="E93" i="3"/>
  <c r="D93" i="3"/>
  <c r="C93" i="3"/>
  <c r="B93" i="3"/>
  <c r="H92" i="3"/>
  <c r="G92" i="3"/>
  <c r="F92" i="3"/>
  <c r="E92" i="3"/>
  <c r="D92" i="3"/>
  <c r="C92" i="3"/>
  <c r="B92" i="3"/>
  <c r="H91" i="3"/>
  <c r="G91" i="3"/>
  <c r="F91" i="3"/>
  <c r="E91" i="3"/>
  <c r="D91" i="3"/>
  <c r="C91" i="3"/>
  <c r="B91" i="3"/>
  <c r="H90" i="3"/>
  <c r="G90" i="3"/>
  <c r="F90" i="3"/>
  <c r="E90" i="3"/>
  <c r="D90" i="3"/>
  <c r="C90" i="3"/>
  <c r="B90" i="3"/>
  <c r="H89" i="3"/>
  <c r="G89" i="3"/>
  <c r="F89" i="3"/>
  <c r="E89" i="3"/>
  <c r="D89" i="3"/>
  <c r="C89" i="3"/>
  <c r="B89" i="3"/>
  <c r="H88" i="3"/>
  <c r="G88" i="3"/>
  <c r="F88" i="3"/>
  <c r="E88" i="3"/>
  <c r="D88" i="3"/>
  <c r="C88" i="3"/>
  <c r="B88" i="3"/>
  <c r="H87" i="3"/>
  <c r="G87" i="3"/>
  <c r="F87" i="3"/>
  <c r="E87" i="3"/>
  <c r="D87" i="3"/>
  <c r="C87" i="3"/>
  <c r="B87" i="3"/>
  <c r="H86" i="3"/>
  <c r="G86" i="3"/>
  <c r="F86" i="3"/>
  <c r="E86" i="3"/>
  <c r="D86" i="3"/>
  <c r="C86" i="3"/>
  <c r="B86" i="3"/>
  <c r="H85" i="3"/>
  <c r="G85" i="3"/>
  <c r="F85" i="3"/>
  <c r="E85" i="3"/>
  <c r="D85" i="3"/>
  <c r="C85" i="3"/>
  <c r="B85" i="3"/>
  <c r="H84" i="3"/>
  <c r="G84" i="3"/>
  <c r="F84" i="3"/>
  <c r="E84" i="3"/>
  <c r="D84" i="3"/>
  <c r="C84" i="3"/>
  <c r="B84" i="3"/>
  <c r="H83" i="3"/>
  <c r="G83" i="3"/>
  <c r="F83" i="3"/>
  <c r="E83" i="3"/>
  <c r="D83" i="3"/>
  <c r="C83" i="3"/>
  <c r="B83" i="3"/>
  <c r="H82" i="3"/>
  <c r="G82" i="3"/>
  <c r="F82" i="3"/>
  <c r="E82" i="3"/>
  <c r="D82" i="3"/>
  <c r="C82" i="3"/>
  <c r="B82" i="3"/>
  <c r="H81" i="3"/>
  <c r="G81" i="3"/>
  <c r="F81" i="3"/>
  <c r="E81" i="3"/>
  <c r="D81" i="3"/>
  <c r="C81" i="3"/>
  <c r="B81" i="3"/>
  <c r="H80" i="3"/>
  <c r="G80" i="3"/>
  <c r="F80" i="3"/>
  <c r="E80" i="3"/>
  <c r="D80" i="3"/>
  <c r="C80" i="3"/>
  <c r="B80" i="3"/>
  <c r="H79" i="3"/>
  <c r="G79" i="3"/>
  <c r="F79" i="3"/>
  <c r="E79" i="3"/>
  <c r="D79" i="3"/>
  <c r="C79" i="3"/>
  <c r="B79" i="3"/>
  <c r="H78" i="3"/>
  <c r="G78" i="3"/>
  <c r="F78" i="3"/>
  <c r="E78" i="3"/>
  <c r="D78" i="3"/>
  <c r="C78" i="3"/>
  <c r="B78" i="3"/>
  <c r="H77" i="3"/>
  <c r="G77" i="3"/>
  <c r="F77" i="3"/>
  <c r="E77" i="3"/>
  <c r="D77" i="3"/>
  <c r="C77" i="3"/>
  <c r="B77" i="3"/>
  <c r="H76" i="3"/>
  <c r="G76" i="3"/>
  <c r="F76" i="3"/>
  <c r="E76" i="3"/>
  <c r="D76" i="3"/>
  <c r="C76" i="3"/>
  <c r="B76" i="3"/>
  <c r="H75" i="3"/>
  <c r="G75" i="3"/>
  <c r="F75" i="3"/>
  <c r="E75" i="3"/>
  <c r="D75" i="3"/>
  <c r="C75" i="3"/>
  <c r="B75" i="3"/>
  <c r="H74" i="3"/>
  <c r="G74" i="3"/>
  <c r="F74" i="3"/>
  <c r="E74" i="3"/>
  <c r="D74" i="3"/>
  <c r="C74" i="3"/>
  <c r="B74" i="3"/>
  <c r="H73" i="3"/>
  <c r="G73" i="3"/>
  <c r="F73" i="3"/>
  <c r="E73" i="3"/>
  <c r="D73" i="3"/>
  <c r="C73" i="3"/>
  <c r="B73" i="3"/>
  <c r="H72" i="3"/>
  <c r="G72" i="3"/>
  <c r="F72" i="3"/>
  <c r="E72" i="3"/>
  <c r="D72" i="3"/>
  <c r="C72" i="3"/>
  <c r="B72" i="3"/>
  <c r="H71" i="3"/>
  <c r="G71" i="3"/>
  <c r="F71" i="3"/>
  <c r="E71" i="3"/>
  <c r="D71" i="3"/>
  <c r="C71" i="3"/>
  <c r="B71" i="3"/>
  <c r="H70" i="3"/>
  <c r="G70" i="3"/>
  <c r="F70" i="3"/>
  <c r="E70" i="3"/>
  <c r="D70" i="3"/>
  <c r="C70" i="3"/>
  <c r="B70" i="3"/>
  <c r="H69" i="3"/>
  <c r="G69" i="3"/>
  <c r="F69" i="3"/>
  <c r="E69" i="3"/>
  <c r="D69" i="3"/>
  <c r="C69" i="3"/>
  <c r="B69" i="3"/>
  <c r="H68" i="3"/>
  <c r="G68" i="3"/>
  <c r="F68" i="3"/>
  <c r="E68" i="3"/>
  <c r="D68" i="3"/>
  <c r="C68" i="3"/>
  <c r="B68" i="3"/>
  <c r="H67" i="3"/>
  <c r="G67" i="3"/>
  <c r="F67" i="3"/>
  <c r="E67" i="3"/>
  <c r="D67" i="3"/>
  <c r="C67" i="3"/>
  <c r="B67" i="3"/>
  <c r="H66" i="3"/>
  <c r="G66" i="3"/>
  <c r="F66" i="3"/>
  <c r="E66" i="3"/>
  <c r="D66" i="3"/>
  <c r="C66" i="3"/>
  <c r="B66" i="3"/>
  <c r="H65" i="3"/>
  <c r="G65" i="3"/>
  <c r="F65" i="3"/>
  <c r="E65" i="3"/>
  <c r="D65" i="3"/>
  <c r="C65" i="3"/>
  <c r="B65" i="3"/>
  <c r="H64" i="3"/>
  <c r="G64" i="3"/>
  <c r="F64" i="3"/>
  <c r="E64" i="3"/>
  <c r="D64" i="3"/>
  <c r="C64" i="3"/>
  <c r="B64" i="3"/>
  <c r="H63" i="3"/>
  <c r="G63" i="3"/>
  <c r="F63" i="3"/>
  <c r="E63" i="3"/>
  <c r="D63" i="3"/>
  <c r="C63" i="3"/>
  <c r="B63" i="3"/>
  <c r="H62" i="3"/>
  <c r="G62" i="3"/>
  <c r="F62" i="3"/>
  <c r="E62" i="3"/>
  <c r="D62" i="3"/>
  <c r="C62" i="3"/>
  <c r="B62" i="3"/>
  <c r="H61" i="3"/>
  <c r="G61" i="3"/>
  <c r="F61" i="3"/>
  <c r="E61" i="3"/>
  <c r="D61" i="3"/>
  <c r="C61" i="3"/>
  <c r="B61" i="3"/>
  <c r="H60" i="3"/>
  <c r="G60" i="3"/>
  <c r="F60" i="3"/>
  <c r="E60" i="3"/>
  <c r="D60" i="3"/>
  <c r="C60" i="3"/>
  <c r="B60" i="3"/>
  <c r="H59" i="3"/>
  <c r="G59" i="3"/>
  <c r="F59" i="3"/>
  <c r="E59" i="3"/>
  <c r="D59" i="3"/>
  <c r="C59" i="3"/>
  <c r="B59" i="3"/>
  <c r="H58" i="3"/>
  <c r="G58" i="3"/>
  <c r="F58" i="3"/>
  <c r="E58" i="3"/>
  <c r="D58" i="3"/>
  <c r="C58" i="3"/>
  <c r="B58" i="3"/>
  <c r="H57" i="3"/>
  <c r="G57" i="3"/>
  <c r="F57" i="3"/>
  <c r="E57" i="3"/>
  <c r="D57" i="3"/>
  <c r="C57" i="3"/>
  <c r="B57" i="3"/>
  <c r="H56" i="3"/>
  <c r="G56" i="3"/>
  <c r="F56" i="3"/>
  <c r="E56" i="3"/>
  <c r="D56" i="3"/>
  <c r="C56" i="3"/>
  <c r="B56" i="3"/>
  <c r="H55" i="3"/>
  <c r="G55" i="3"/>
  <c r="F55" i="3"/>
  <c r="E55" i="3"/>
  <c r="D55" i="3"/>
  <c r="C55" i="3"/>
  <c r="B55" i="3"/>
  <c r="H54" i="3"/>
  <c r="G54" i="3"/>
  <c r="F54" i="3"/>
  <c r="E54" i="3"/>
  <c r="D54" i="3"/>
  <c r="C54" i="3"/>
  <c r="B54" i="3"/>
  <c r="H53" i="3"/>
  <c r="G53" i="3"/>
  <c r="F53" i="3"/>
  <c r="E53" i="3"/>
  <c r="D53" i="3"/>
  <c r="C53" i="3"/>
  <c r="B53" i="3"/>
  <c r="H52" i="3"/>
  <c r="G52" i="3"/>
  <c r="F52" i="3"/>
  <c r="E52" i="3"/>
  <c r="D52" i="3"/>
  <c r="C52" i="3"/>
  <c r="B52" i="3"/>
  <c r="H51" i="3"/>
  <c r="G51" i="3"/>
  <c r="F51" i="3"/>
  <c r="E51" i="3"/>
  <c r="D51" i="3"/>
  <c r="C51" i="3"/>
  <c r="B51" i="3"/>
  <c r="H50" i="3"/>
  <c r="G50" i="3"/>
  <c r="F50" i="3"/>
  <c r="E50" i="3"/>
  <c r="D50" i="3"/>
  <c r="C50" i="3"/>
  <c r="B50" i="3"/>
  <c r="H49" i="3"/>
  <c r="G49" i="3"/>
  <c r="F49" i="3"/>
  <c r="E49" i="3"/>
  <c r="D49" i="3"/>
  <c r="C49" i="3"/>
  <c r="B49" i="3"/>
  <c r="H48" i="3"/>
  <c r="G48" i="3"/>
  <c r="F48" i="3"/>
  <c r="E48" i="3"/>
  <c r="D48" i="3"/>
  <c r="C48" i="3"/>
  <c r="B48" i="3"/>
  <c r="H47" i="3"/>
  <c r="G47" i="3"/>
  <c r="F47" i="3"/>
  <c r="E47" i="3"/>
  <c r="D47" i="3"/>
  <c r="C47" i="3"/>
  <c r="B47" i="3"/>
  <c r="H46" i="3"/>
  <c r="G46" i="3"/>
  <c r="F46" i="3"/>
  <c r="E46" i="3"/>
  <c r="D46" i="3"/>
  <c r="C46" i="3"/>
  <c r="B46" i="3"/>
  <c r="H45" i="3"/>
  <c r="G45" i="3"/>
  <c r="F45" i="3"/>
  <c r="E45" i="3"/>
  <c r="D45" i="3"/>
  <c r="C45" i="3"/>
  <c r="B45" i="3"/>
  <c r="H44" i="3"/>
  <c r="G44" i="3"/>
  <c r="F44" i="3"/>
  <c r="E44" i="3"/>
  <c r="D44" i="3"/>
  <c r="C44" i="3"/>
  <c r="B44" i="3"/>
  <c r="H43" i="3"/>
  <c r="G43" i="3"/>
  <c r="F43" i="3"/>
  <c r="E43" i="3"/>
  <c r="D43" i="3"/>
  <c r="C43" i="3"/>
  <c r="B43" i="3"/>
  <c r="H42" i="3"/>
  <c r="G42" i="3"/>
  <c r="F42" i="3"/>
  <c r="E42" i="3"/>
  <c r="D42" i="3"/>
  <c r="C42" i="3"/>
  <c r="B42" i="3"/>
  <c r="H41" i="3"/>
  <c r="G41" i="3"/>
  <c r="F41" i="3"/>
  <c r="E41" i="3"/>
  <c r="D41" i="3"/>
  <c r="C41" i="3"/>
  <c r="B41" i="3"/>
  <c r="H40" i="3"/>
  <c r="G40" i="3"/>
  <c r="F40" i="3"/>
  <c r="E40" i="3"/>
  <c r="D40" i="3"/>
  <c r="C40" i="3"/>
  <c r="B40" i="3"/>
  <c r="H39" i="3"/>
  <c r="G39" i="3"/>
  <c r="F39" i="3"/>
  <c r="E39" i="3"/>
  <c r="D39" i="3"/>
  <c r="C39" i="3"/>
  <c r="B39" i="3"/>
  <c r="H38" i="3"/>
  <c r="G38" i="3"/>
  <c r="F38" i="3"/>
  <c r="E38" i="3"/>
  <c r="D38" i="3"/>
  <c r="C38" i="3"/>
  <c r="B38" i="3"/>
  <c r="H37" i="3"/>
  <c r="G37" i="3"/>
  <c r="F37" i="3"/>
  <c r="E37" i="3"/>
  <c r="D37" i="3"/>
  <c r="C37" i="3"/>
  <c r="B37" i="3"/>
  <c r="H36" i="3"/>
  <c r="G36" i="3"/>
  <c r="F36" i="3"/>
  <c r="E36" i="3"/>
  <c r="D36" i="3"/>
  <c r="C36" i="3"/>
  <c r="B36" i="3"/>
  <c r="H35" i="3"/>
  <c r="G35" i="3"/>
  <c r="F35" i="3"/>
  <c r="E35" i="3"/>
  <c r="D35" i="3"/>
  <c r="C35" i="3"/>
  <c r="B35" i="3"/>
  <c r="H34" i="3"/>
  <c r="G34" i="3"/>
  <c r="F34" i="3"/>
  <c r="E34" i="3"/>
  <c r="D34" i="3"/>
  <c r="C34" i="3"/>
  <c r="B34" i="3"/>
  <c r="H33" i="3"/>
  <c r="G33" i="3"/>
  <c r="F33" i="3"/>
  <c r="E33" i="3"/>
  <c r="D33" i="3"/>
  <c r="C33" i="3"/>
  <c r="B33" i="3"/>
  <c r="H32" i="3"/>
  <c r="G32" i="3"/>
  <c r="F32" i="3"/>
  <c r="E32" i="3"/>
  <c r="D32" i="3"/>
  <c r="C32" i="3"/>
  <c r="B32" i="3"/>
  <c r="H31" i="3"/>
  <c r="G31" i="3"/>
  <c r="F31" i="3"/>
  <c r="E31" i="3"/>
  <c r="D31" i="3"/>
  <c r="C31" i="3"/>
  <c r="B31" i="3"/>
  <c r="H30" i="3"/>
  <c r="G30" i="3"/>
  <c r="F30" i="3"/>
  <c r="E30" i="3"/>
  <c r="D30" i="3"/>
  <c r="C30" i="3"/>
  <c r="B30" i="3"/>
  <c r="H29" i="3"/>
  <c r="G29" i="3"/>
  <c r="F29" i="3"/>
  <c r="E29" i="3"/>
  <c r="D29" i="3"/>
  <c r="C29" i="3"/>
  <c r="B29" i="3"/>
  <c r="H28" i="3"/>
  <c r="G28" i="3"/>
  <c r="F28" i="3"/>
  <c r="E28" i="3"/>
  <c r="D28" i="3"/>
  <c r="C28" i="3"/>
  <c r="B28" i="3"/>
  <c r="H27" i="3"/>
  <c r="G27" i="3"/>
  <c r="F27" i="3"/>
  <c r="E27" i="3"/>
  <c r="D27" i="3"/>
  <c r="C27" i="3"/>
  <c r="B27" i="3"/>
  <c r="H26" i="3"/>
  <c r="G26" i="3"/>
  <c r="F26" i="3"/>
  <c r="E26" i="3"/>
  <c r="D26" i="3"/>
  <c r="C26" i="3"/>
  <c r="B26" i="3"/>
  <c r="H25" i="3"/>
  <c r="G25" i="3"/>
  <c r="F25" i="3"/>
  <c r="E25" i="3"/>
  <c r="D25" i="3"/>
  <c r="C25" i="3"/>
  <c r="B25" i="3"/>
  <c r="H24" i="3"/>
  <c r="G24" i="3"/>
  <c r="F24" i="3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0" i="3"/>
  <c r="G20" i="3"/>
  <c r="F20" i="3"/>
  <c r="E20" i="3"/>
  <c r="D20" i="3"/>
  <c r="C20" i="3"/>
  <c r="B20" i="3"/>
  <c r="H19" i="3"/>
  <c r="G19" i="3"/>
  <c r="F19" i="3"/>
  <c r="E19" i="3"/>
  <c r="D19" i="3"/>
  <c r="C19" i="3"/>
  <c r="B19" i="3"/>
  <c r="H18" i="3"/>
  <c r="G18" i="3"/>
  <c r="F18" i="3"/>
  <c r="E18" i="3"/>
  <c r="D18" i="3"/>
  <c r="C18" i="3"/>
  <c r="B18" i="3"/>
  <c r="H17" i="3"/>
  <c r="G17" i="3"/>
  <c r="F17" i="3"/>
  <c r="E17" i="3"/>
  <c r="D17" i="3"/>
  <c r="C17" i="3"/>
  <c r="B17" i="3"/>
  <c r="H16" i="3"/>
  <c r="G16" i="3"/>
  <c r="F16" i="3"/>
  <c r="E16" i="3"/>
  <c r="D16" i="3"/>
  <c r="C16" i="3"/>
  <c r="B16" i="3"/>
  <c r="H15" i="3"/>
  <c r="G15" i="3"/>
  <c r="F15" i="3"/>
  <c r="E15" i="3"/>
  <c r="D15" i="3"/>
  <c r="C15" i="3"/>
  <c r="B15" i="3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H11" i="3"/>
  <c r="G11" i="3"/>
  <c r="F11" i="3"/>
  <c r="E11" i="3"/>
  <c r="D11" i="3"/>
  <c r="C11" i="3"/>
  <c r="B11" i="3"/>
  <c r="H10" i="3"/>
  <c r="G10" i="3"/>
  <c r="F10" i="3"/>
  <c r="E10" i="3"/>
  <c r="D10" i="3"/>
  <c r="C10" i="3"/>
  <c r="B10" i="3"/>
  <c r="H7" i="3"/>
  <c r="H6" i="3" s="1"/>
  <c r="H4" i="3"/>
  <c r="E9" i="11" l="1"/>
  <c r="F12" i="11"/>
  <c r="E3" i="11"/>
  <c r="B85" i="1"/>
  <c r="B126" i="1"/>
  <c r="B305" i="1"/>
  <c r="C94" i="1"/>
  <c r="B164" i="1"/>
  <c r="B199" i="1"/>
  <c r="C267" i="1"/>
  <c r="B161" i="1"/>
  <c r="B243" i="1"/>
  <c r="B106" i="1"/>
  <c r="B316" i="1"/>
  <c r="B102" i="1"/>
  <c r="B293" i="1"/>
  <c r="C70" i="1"/>
  <c r="B116" i="1"/>
  <c r="B123" i="1"/>
  <c r="D43" i="1"/>
  <c r="D189" i="1"/>
  <c r="C86" i="1"/>
  <c r="B175" i="1"/>
  <c r="B310" i="1"/>
  <c r="B214" i="1"/>
  <c r="B98" i="1"/>
  <c r="B289" i="1"/>
  <c r="C62" i="1"/>
  <c r="B108" i="1"/>
  <c r="B115" i="1"/>
  <c r="D151" i="1"/>
  <c r="B345" i="1"/>
  <c r="B242" i="1"/>
  <c r="B226" i="1"/>
  <c r="B297" i="1"/>
  <c r="B218" i="1"/>
  <c r="B306" i="1"/>
  <c r="B210" i="1"/>
  <c r="B94" i="1"/>
  <c r="C30" i="1"/>
  <c r="B104" i="1"/>
  <c r="B99" i="1"/>
  <c r="D187" i="1"/>
  <c r="B134" i="1"/>
  <c r="B314" i="1"/>
  <c r="B301" i="1"/>
  <c r="B222" i="1"/>
  <c r="B206" i="1"/>
  <c r="B265" i="1"/>
  <c r="B366" i="1"/>
  <c r="B72" i="1"/>
  <c r="B95" i="1"/>
  <c r="D191" i="1"/>
  <c r="C90" i="1"/>
  <c r="B298" i="1"/>
  <c r="B194" i="1"/>
  <c r="B82" i="1"/>
  <c r="B261" i="1"/>
  <c r="B350" i="1"/>
  <c r="B56" i="1"/>
  <c r="B47" i="1"/>
  <c r="D195" i="1"/>
  <c r="B130" i="1"/>
  <c r="B179" i="1"/>
  <c r="C98" i="1"/>
  <c r="B39" i="1"/>
  <c r="B182" i="1"/>
  <c r="C81" i="1"/>
  <c r="B296" i="1"/>
  <c r="C45" i="1"/>
  <c r="B359" i="1"/>
  <c r="C112" i="1"/>
  <c r="B172" i="1"/>
  <c r="B124" i="1"/>
  <c r="B74" i="1"/>
  <c r="B229" i="1"/>
  <c r="B174" i="1"/>
  <c r="B292" i="1"/>
  <c r="C37" i="1"/>
  <c r="C19" i="1"/>
  <c r="C280" i="1"/>
  <c r="B247" i="1"/>
  <c r="C363" i="1"/>
  <c r="B86" i="1"/>
  <c r="B186" i="1"/>
  <c r="B290" i="1"/>
  <c r="C108" i="1"/>
  <c r="B221" i="1"/>
  <c r="C50" i="1"/>
  <c r="B166" i="1"/>
  <c r="C65" i="1"/>
  <c r="B213" i="1"/>
  <c r="B264" i="1"/>
  <c r="C29" i="1"/>
  <c r="C35" i="1"/>
  <c r="C328" i="1"/>
  <c r="B354" i="1"/>
  <c r="B114" i="1"/>
  <c r="C78" i="1"/>
  <c r="C82" i="1"/>
  <c r="B253" i="1"/>
  <c r="C56" i="1"/>
  <c r="C61" i="1"/>
  <c r="B286" i="1"/>
  <c r="B282" i="1"/>
  <c r="B278" i="1"/>
  <c r="C42" i="1"/>
  <c r="B274" i="1"/>
  <c r="B162" i="1"/>
  <c r="C57" i="1"/>
  <c r="B209" i="1"/>
  <c r="B252" i="1"/>
  <c r="B328" i="1"/>
  <c r="C43" i="1"/>
  <c r="C336" i="1"/>
  <c r="B362" i="1"/>
  <c r="C263" i="1"/>
  <c r="B326" i="1"/>
  <c r="B302" i="1"/>
  <c r="B308" i="1"/>
  <c r="C74" i="1"/>
  <c r="B300" i="1"/>
  <c r="B178" i="1"/>
  <c r="B217" i="1"/>
  <c r="C34" i="1"/>
  <c r="B266" i="1"/>
  <c r="B154" i="1"/>
  <c r="C25" i="1"/>
  <c r="B205" i="1"/>
  <c r="B248" i="1"/>
  <c r="B312" i="1"/>
  <c r="C107" i="1"/>
  <c r="C340" i="1"/>
  <c r="B204" i="1"/>
  <c r="B141" i="1"/>
  <c r="B160" i="1"/>
  <c r="D39" i="1"/>
  <c r="B294" i="1"/>
  <c r="B52" i="1"/>
  <c r="C89" i="1"/>
  <c r="B35" i="1"/>
  <c r="C66" i="1"/>
  <c r="C58" i="1"/>
  <c r="C73" i="1"/>
  <c r="C26" i="1"/>
  <c r="B262" i="1"/>
  <c r="B146" i="1"/>
  <c r="B369" i="1"/>
  <c r="B189" i="1"/>
  <c r="B220" i="1"/>
  <c r="B307" i="1"/>
  <c r="C131" i="1"/>
  <c r="D168" i="1"/>
  <c r="C259" i="1"/>
  <c r="B332" i="1"/>
  <c r="C18" i="1"/>
  <c r="B258" i="1"/>
  <c r="B142" i="1"/>
  <c r="B361" i="1"/>
  <c r="B181" i="1"/>
  <c r="B212" i="1"/>
  <c r="B259" i="1"/>
  <c r="C159" i="1"/>
  <c r="D260" i="1"/>
  <c r="C10" i="1"/>
  <c r="B254" i="1"/>
  <c r="B138" i="1"/>
  <c r="B353" i="1"/>
  <c r="B173" i="1"/>
  <c r="B208" i="1"/>
  <c r="B251" i="1"/>
  <c r="C247" i="1"/>
  <c r="D137" i="1"/>
  <c r="B288" i="1"/>
  <c r="B200" i="1"/>
  <c r="B96" i="1"/>
  <c r="C13" i="1"/>
  <c r="B239" i="1"/>
  <c r="B91" i="1"/>
  <c r="C71" i="1"/>
  <c r="C303" i="1"/>
  <c r="D283" i="1"/>
  <c r="D32" i="1"/>
  <c r="B284" i="1"/>
  <c r="B196" i="1"/>
  <c r="B88" i="1"/>
  <c r="B357" i="1"/>
  <c r="B231" i="1"/>
  <c r="B87" i="1"/>
  <c r="C75" i="1"/>
  <c r="C307" i="1"/>
  <c r="D291" i="1"/>
  <c r="D48" i="1"/>
  <c r="C49" i="1"/>
  <c r="B285" i="1"/>
  <c r="B201" i="1"/>
  <c r="C54" i="1"/>
  <c r="B280" i="1"/>
  <c r="B188" i="1"/>
  <c r="B84" i="1"/>
  <c r="B349" i="1"/>
  <c r="B211" i="1"/>
  <c r="B83" i="1"/>
  <c r="C79" i="1"/>
  <c r="C343" i="1"/>
  <c r="B348" i="1"/>
  <c r="D84" i="1"/>
  <c r="B202" i="1"/>
  <c r="B122" i="1"/>
  <c r="C41" i="1"/>
  <c r="B281" i="1"/>
  <c r="B197" i="1"/>
  <c r="C46" i="1"/>
  <c r="B276" i="1"/>
  <c r="B184" i="1"/>
  <c r="B80" i="1"/>
  <c r="B341" i="1"/>
  <c r="B207" i="1"/>
  <c r="B79" i="1"/>
  <c r="C83" i="1"/>
  <c r="C351" i="1"/>
  <c r="B352" i="1"/>
  <c r="D88" i="1"/>
  <c r="B198" i="1"/>
  <c r="B118" i="1"/>
  <c r="C33" i="1"/>
  <c r="B277" i="1"/>
  <c r="B193" i="1"/>
  <c r="C38" i="1"/>
  <c r="B268" i="1"/>
  <c r="B176" i="1"/>
  <c r="B76" i="1"/>
  <c r="B333" i="1"/>
  <c r="B203" i="1"/>
  <c r="B51" i="1"/>
  <c r="C87" i="1"/>
  <c r="C355" i="1"/>
  <c r="B368" i="1"/>
  <c r="D100" i="1"/>
  <c r="B270" i="1"/>
  <c r="B190" i="1"/>
  <c r="B110" i="1"/>
  <c r="C17" i="1"/>
  <c r="B269" i="1"/>
  <c r="B185" i="1"/>
  <c r="C14" i="1"/>
  <c r="B256" i="1"/>
  <c r="B168" i="1"/>
  <c r="B64" i="1"/>
  <c r="B322" i="1"/>
  <c r="B195" i="1"/>
  <c r="B43" i="1"/>
  <c r="C127" i="1"/>
  <c r="C367" i="1"/>
  <c r="C60" i="1"/>
  <c r="D184" i="1"/>
  <c r="D268" i="1"/>
  <c r="B257" i="1"/>
  <c r="B169" i="1"/>
  <c r="B342" i="1"/>
  <c r="B244" i="1"/>
  <c r="B156" i="1"/>
  <c r="B48" i="1"/>
  <c r="B291" i="1"/>
  <c r="B171" i="1"/>
  <c r="B19" i="1"/>
  <c r="C163" i="1"/>
  <c r="D87" i="1"/>
  <c r="C116" i="1"/>
  <c r="D276" i="1"/>
  <c r="B334" i="1"/>
  <c r="B240" i="1"/>
  <c r="B152" i="1"/>
  <c r="B44" i="1"/>
  <c r="B287" i="1"/>
  <c r="B167" i="1"/>
  <c r="B315" i="1"/>
  <c r="C167" i="1"/>
  <c r="D91" i="1"/>
  <c r="C168" i="1"/>
  <c r="C169" i="1"/>
  <c r="B338" i="1"/>
  <c r="B250" i="1"/>
  <c r="B170" i="1"/>
  <c r="B90" i="1"/>
  <c r="B337" i="1"/>
  <c r="B249" i="1"/>
  <c r="B157" i="1"/>
  <c r="B329" i="1"/>
  <c r="B236" i="1"/>
  <c r="B144" i="1"/>
  <c r="B40" i="1"/>
  <c r="B283" i="1"/>
  <c r="B163" i="1"/>
  <c r="B319" i="1"/>
  <c r="C171" i="1"/>
  <c r="D95" i="1"/>
  <c r="C176" i="1"/>
  <c r="C261" i="1"/>
  <c r="B330" i="1"/>
  <c r="B241" i="1"/>
  <c r="B153" i="1"/>
  <c r="B324" i="1"/>
  <c r="B232" i="1"/>
  <c r="B136" i="1"/>
  <c r="B36" i="1"/>
  <c r="B279" i="1"/>
  <c r="B159" i="1"/>
  <c r="B347" i="1"/>
  <c r="C179" i="1"/>
  <c r="D99" i="1"/>
  <c r="C208" i="1"/>
  <c r="C265" i="1"/>
  <c r="B325" i="1"/>
  <c r="B237" i="1"/>
  <c r="B149" i="1"/>
  <c r="B318" i="1"/>
  <c r="B228" i="1"/>
  <c r="B132" i="1"/>
  <c r="B28" i="1"/>
  <c r="B275" i="1"/>
  <c r="B131" i="1"/>
  <c r="B351" i="1"/>
  <c r="C215" i="1"/>
  <c r="D103" i="1"/>
  <c r="C216" i="1"/>
  <c r="C293" i="1"/>
  <c r="B321" i="1"/>
  <c r="B238" i="1"/>
  <c r="B158" i="1"/>
  <c r="B78" i="1"/>
  <c r="B320" i="1"/>
  <c r="B233" i="1"/>
  <c r="B145" i="1"/>
  <c r="B313" i="1"/>
  <c r="B224" i="1"/>
  <c r="B128" i="1"/>
  <c r="C93" i="1"/>
  <c r="B267" i="1"/>
  <c r="B127" i="1"/>
  <c r="B355" i="1"/>
  <c r="C219" i="1"/>
  <c r="D143" i="1"/>
  <c r="C220" i="1"/>
  <c r="D53" i="1"/>
  <c r="B230" i="1"/>
  <c r="B150" i="1"/>
  <c r="C97" i="1"/>
  <c r="B309" i="1"/>
  <c r="B225" i="1"/>
  <c r="B137" i="1"/>
  <c r="B304" i="1"/>
  <c r="B216" i="1"/>
  <c r="B120" i="1"/>
  <c r="C53" i="1"/>
  <c r="B255" i="1"/>
  <c r="B119" i="1"/>
  <c r="B363" i="1"/>
  <c r="C251" i="1"/>
  <c r="D183" i="1"/>
  <c r="C284" i="1"/>
  <c r="D185" i="1"/>
  <c r="C16" i="1"/>
  <c r="C120" i="1"/>
  <c r="C224" i="1"/>
  <c r="C348" i="1"/>
  <c r="D104" i="1"/>
  <c r="D292" i="1"/>
  <c r="C313" i="1"/>
  <c r="D209" i="1"/>
  <c r="D199" i="1"/>
  <c r="C20" i="1"/>
  <c r="C124" i="1"/>
  <c r="C228" i="1"/>
  <c r="C352" i="1"/>
  <c r="D108" i="1"/>
  <c r="C101" i="1"/>
  <c r="C317" i="1"/>
  <c r="D217" i="1"/>
  <c r="B148" i="1"/>
  <c r="B68" i="1"/>
  <c r="C21" i="1"/>
  <c r="B271" i="1"/>
  <c r="B191" i="1"/>
  <c r="B111" i="1"/>
  <c r="B31" i="1"/>
  <c r="B367" i="1"/>
  <c r="C91" i="1"/>
  <c r="C183" i="1"/>
  <c r="C271" i="1"/>
  <c r="D11" i="1"/>
  <c r="D107" i="1"/>
  <c r="D203" i="1"/>
  <c r="C28" i="1"/>
  <c r="C128" i="1"/>
  <c r="C232" i="1"/>
  <c r="C356" i="1"/>
  <c r="D112" i="1"/>
  <c r="C105" i="1"/>
  <c r="C321" i="1"/>
  <c r="D287" i="1"/>
  <c r="B187" i="1"/>
  <c r="B107" i="1"/>
  <c r="B27" i="1"/>
  <c r="C11" i="1"/>
  <c r="C99" i="1"/>
  <c r="C187" i="1"/>
  <c r="C275" i="1"/>
  <c r="D15" i="1"/>
  <c r="D111" i="1"/>
  <c r="D207" i="1"/>
  <c r="C32" i="1"/>
  <c r="C132" i="1"/>
  <c r="C248" i="1"/>
  <c r="C360" i="1"/>
  <c r="D128" i="1"/>
  <c r="C109" i="1"/>
  <c r="C337" i="1"/>
  <c r="D295" i="1"/>
  <c r="B140" i="1"/>
  <c r="B60" i="1"/>
  <c r="B365" i="1"/>
  <c r="B263" i="1"/>
  <c r="B183" i="1"/>
  <c r="B103" i="1"/>
  <c r="B23" i="1"/>
  <c r="C15" i="1"/>
  <c r="C103" i="1"/>
  <c r="C191" i="1"/>
  <c r="C283" i="1"/>
  <c r="D19" i="1"/>
  <c r="D115" i="1"/>
  <c r="D227" i="1"/>
  <c r="C36" i="1"/>
  <c r="C136" i="1"/>
  <c r="C256" i="1"/>
  <c r="C364" i="1"/>
  <c r="D140" i="1"/>
  <c r="C117" i="1"/>
  <c r="C345" i="1"/>
  <c r="D303" i="1"/>
  <c r="C195" i="1"/>
  <c r="C287" i="1"/>
  <c r="D23" i="1"/>
  <c r="D119" i="1"/>
  <c r="D243" i="1"/>
  <c r="C40" i="1"/>
  <c r="C140" i="1"/>
  <c r="C260" i="1"/>
  <c r="C368" i="1"/>
  <c r="D144" i="1"/>
  <c r="C141" i="1"/>
  <c r="D17" i="1"/>
  <c r="D319" i="1"/>
  <c r="B15" i="1"/>
  <c r="C23" i="1"/>
  <c r="C111" i="1"/>
  <c r="C203" i="1"/>
  <c r="C291" i="1"/>
  <c r="D27" i="1"/>
  <c r="D123" i="1"/>
  <c r="D251" i="1"/>
  <c r="C44" i="1"/>
  <c r="C144" i="1"/>
  <c r="C268" i="1"/>
  <c r="D20" i="1"/>
  <c r="D152" i="1"/>
  <c r="C149" i="1"/>
  <c r="D21" i="1"/>
  <c r="C134" i="1"/>
  <c r="B11" i="1"/>
  <c r="C27" i="1"/>
  <c r="C115" i="1"/>
  <c r="C207" i="1"/>
  <c r="C295" i="1"/>
  <c r="D31" i="1"/>
  <c r="D127" i="1"/>
  <c r="D267" i="1"/>
  <c r="C48" i="1"/>
  <c r="C148" i="1"/>
  <c r="C272" i="1"/>
  <c r="D24" i="1"/>
  <c r="D156" i="1"/>
  <c r="C161" i="1"/>
  <c r="D25" i="1"/>
  <c r="C194" i="1"/>
  <c r="B311" i="1"/>
  <c r="C31" i="1"/>
  <c r="C123" i="1"/>
  <c r="C211" i="1"/>
  <c r="C299" i="1"/>
  <c r="D35" i="1"/>
  <c r="D131" i="1"/>
  <c r="D275" i="1"/>
  <c r="C52" i="1"/>
  <c r="C152" i="1"/>
  <c r="C276" i="1"/>
  <c r="D28" i="1"/>
  <c r="D160" i="1"/>
  <c r="C165" i="1"/>
  <c r="D33" i="1"/>
  <c r="C246" i="1"/>
  <c r="C250" i="1"/>
  <c r="C177" i="1"/>
  <c r="D57" i="1"/>
  <c r="C258" i="1"/>
  <c r="B177" i="1"/>
  <c r="C22" i="1"/>
  <c r="B272" i="1"/>
  <c r="B192" i="1"/>
  <c r="B112" i="1"/>
  <c r="B32" i="1"/>
  <c r="B317" i="1"/>
  <c r="B235" i="1"/>
  <c r="B155" i="1"/>
  <c r="B75" i="1"/>
  <c r="B323" i="1"/>
  <c r="C47" i="1"/>
  <c r="C135" i="1"/>
  <c r="C223" i="1"/>
  <c r="C311" i="1"/>
  <c r="D47" i="1"/>
  <c r="D155" i="1"/>
  <c r="D299" i="1"/>
  <c r="C64" i="1"/>
  <c r="C180" i="1"/>
  <c r="C288" i="1"/>
  <c r="D56" i="1"/>
  <c r="D188" i="1"/>
  <c r="C213" i="1"/>
  <c r="D61" i="1"/>
  <c r="C338" i="1"/>
  <c r="B151" i="1"/>
  <c r="B71" i="1"/>
  <c r="B327" i="1"/>
  <c r="C51" i="1"/>
  <c r="C139" i="1"/>
  <c r="C227" i="1"/>
  <c r="C315" i="1"/>
  <c r="D51" i="1"/>
  <c r="D163" i="1"/>
  <c r="D307" i="1"/>
  <c r="C68" i="1"/>
  <c r="C188" i="1"/>
  <c r="C296" i="1"/>
  <c r="D60" i="1"/>
  <c r="D192" i="1"/>
  <c r="C217" i="1"/>
  <c r="D97" i="1"/>
  <c r="C342" i="1"/>
  <c r="B227" i="1"/>
  <c r="B147" i="1"/>
  <c r="B67" i="1"/>
  <c r="B331" i="1"/>
  <c r="C55" i="1"/>
  <c r="C143" i="1"/>
  <c r="C231" i="1"/>
  <c r="C319" i="1"/>
  <c r="D63" i="1"/>
  <c r="D167" i="1"/>
  <c r="D315" i="1"/>
  <c r="C72" i="1"/>
  <c r="C192" i="1"/>
  <c r="C300" i="1"/>
  <c r="D68" i="1"/>
  <c r="D196" i="1"/>
  <c r="C221" i="1"/>
  <c r="D105" i="1"/>
  <c r="C358" i="1"/>
  <c r="B245" i="1"/>
  <c r="B165" i="1"/>
  <c r="B358" i="1"/>
  <c r="B260" i="1"/>
  <c r="B180" i="1"/>
  <c r="B100" i="1"/>
  <c r="C85" i="1"/>
  <c r="B303" i="1"/>
  <c r="B223" i="1"/>
  <c r="B143" i="1"/>
  <c r="B63" i="1"/>
  <c r="B335" i="1"/>
  <c r="C59" i="1"/>
  <c r="C147" i="1"/>
  <c r="C235" i="1"/>
  <c r="C323" i="1"/>
  <c r="D71" i="1"/>
  <c r="D171" i="1"/>
  <c r="B336" i="1"/>
  <c r="C88" i="1"/>
  <c r="C196" i="1"/>
  <c r="C304" i="1"/>
  <c r="D72" i="1"/>
  <c r="D220" i="1"/>
  <c r="C237" i="1"/>
  <c r="D117" i="1"/>
  <c r="D34" i="1"/>
  <c r="C77" i="1"/>
  <c r="B299" i="1"/>
  <c r="B219" i="1"/>
  <c r="B139" i="1"/>
  <c r="B59" i="1"/>
  <c r="B339" i="1"/>
  <c r="C63" i="1"/>
  <c r="C151" i="1"/>
  <c r="C239" i="1"/>
  <c r="C327" i="1"/>
  <c r="D75" i="1"/>
  <c r="D175" i="1"/>
  <c r="B340" i="1"/>
  <c r="C96" i="1"/>
  <c r="C200" i="1"/>
  <c r="C308" i="1"/>
  <c r="D76" i="1"/>
  <c r="D236" i="1"/>
  <c r="C245" i="1"/>
  <c r="D125" i="1"/>
  <c r="D78" i="1"/>
  <c r="B92" i="1"/>
  <c r="C69" i="1"/>
  <c r="B295" i="1"/>
  <c r="B215" i="1"/>
  <c r="B135" i="1"/>
  <c r="B55" i="1"/>
  <c r="B343" i="1"/>
  <c r="C67" i="1"/>
  <c r="C155" i="1"/>
  <c r="C243" i="1"/>
  <c r="C331" i="1"/>
  <c r="D83" i="1"/>
  <c r="D179" i="1"/>
  <c r="B344" i="1"/>
  <c r="C100" i="1"/>
  <c r="C204" i="1"/>
  <c r="C312" i="1"/>
  <c r="D80" i="1"/>
  <c r="D244" i="1"/>
  <c r="C257" i="1"/>
  <c r="D129" i="1"/>
  <c r="D82" i="1"/>
  <c r="D190" i="1"/>
  <c r="D281" i="1"/>
  <c r="D285" i="1"/>
  <c r="D369" i="1"/>
  <c r="E89" i="1"/>
  <c r="E201" i="1"/>
  <c r="E285" i="1"/>
  <c r="C162" i="1"/>
  <c r="E353" i="1"/>
  <c r="C178" i="1"/>
  <c r="E206" i="1"/>
  <c r="E131" i="1"/>
  <c r="C218" i="1"/>
  <c r="E187" i="1"/>
  <c r="D98" i="1"/>
  <c r="E309" i="1"/>
  <c r="D164" i="1"/>
  <c r="D284" i="1"/>
  <c r="C173" i="1"/>
  <c r="C277" i="1"/>
  <c r="D29" i="1"/>
  <c r="D133" i="1"/>
  <c r="D311" i="1"/>
  <c r="C254" i="1"/>
  <c r="D138" i="1"/>
  <c r="E325" i="1"/>
  <c r="D172" i="1"/>
  <c r="D300" i="1"/>
  <c r="C181" i="1"/>
  <c r="C297" i="1"/>
  <c r="D37" i="1"/>
  <c r="D141" i="1"/>
  <c r="C102" i="1"/>
  <c r="C262" i="1"/>
  <c r="D194" i="1"/>
  <c r="F81" i="1"/>
  <c r="C212" i="1"/>
  <c r="C292" i="1"/>
  <c r="D12" i="1"/>
  <c r="D92" i="1"/>
  <c r="D176" i="1"/>
  <c r="D308" i="1"/>
  <c r="C185" i="1"/>
  <c r="C301" i="1"/>
  <c r="D41" i="1"/>
  <c r="D145" i="1"/>
  <c r="C114" i="1"/>
  <c r="C266" i="1"/>
  <c r="D198" i="1"/>
  <c r="D226" i="1"/>
  <c r="D16" i="1"/>
  <c r="D96" i="1"/>
  <c r="D180" i="1"/>
  <c r="D316" i="1"/>
  <c r="C189" i="1"/>
  <c r="C305" i="1"/>
  <c r="D45" i="1"/>
  <c r="D173" i="1"/>
  <c r="C118" i="1"/>
  <c r="C278" i="1"/>
  <c r="D202" i="1"/>
  <c r="D242" i="1"/>
  <c r="C197" i="1"/>
  <c r="C309" i="1"/>
  <c r="D49" i="1"/>
  <c r="D177" i="1"/>
  <c r="C126" i="1"/>
  <c r="C298" i="1"/>
  <c r="D240" i="1"/>
  <c r="D270" i="1"/>
  <c r="D181" i="1"/>
  <c r="C130" i="1"/>
  <c r="C302" i="1"/>
  <c r="D221" i="1"/>
  <c r="D302" i="1"/>
  <c r="E66" i="1"/>
  <c r="D211" i="1"/>
  <c r="B356" i="1"/>
  <c r="C76" i="1"/>
  <c r="C156" i="1"/>
  <c r="C236" i="1"/>
  <c r="C316" i="1"/>
  <c r="D36" i="1"/>
  <c r="D116" i="1"/>
  <c r="D200" i="1"/>
  <c r="C129" i="1"/>
  <c r="C225" i="1"/>
  <c r="C325" i="1"/>
  <c r="D65" i="1"/>
  <c r="D193" i="1"/>
  <c r="C166" i="1"/>
  <c r="C346" i="1"/>
  <c r="D293" i="1"/>
  <c r="E230" i="1"/>
  <c r="C95" i="1"/>
  <c r="C175" i="1"/>
  <c r="C255" i="1"/>
  <c r="C335" i="1"/>
  <c r="D55" i="1"/>
  <c r="D135" i="1"/>
  <c r="D215" i="1"/>
  <c r="B360" i="1"/>
  <c r="C80" i="1"/>
  <c r="C160" i="1"/>
  <c r="C240" i="1"/>
  <c r="C320" i="1"/>
  <c r="D40" i="1"/>
  <c r="D120" i="1"/>
  <c r="D208" i="1"/>
  <c r="C133" i="1"/>
  <c r="C229" i="1"/>
  <c r="C329" i="1"/>
  <c r="D77" i="1"/>
  <c r="D197" i="1"/>
  <c r="C170" i="1"/>
  <c r="C350" i="1"/>
  <c r="D305" i="1"/>
  <c r="E238" i="1"/>
  <c r="C339" i="1"/>
  <c r="D59" i="1"/>
  <c r="D139" i="1"/>
  <c r="D219" i="1"/>
  <c r="B364" i="1"/>
  <c r="C84" i="1"/>
  <c r="C164" i="1"/>
  <c r="C244" i="1"/>
  <c r="C324" i="1"/>
  <c r="D44" i="1"/>
  <c r="D124" i="1"/>
  <c r="D216" i="1"/>
  <c r="C137" i="1"/>
  <c r="C233" i="1"/>
  <c r="C333" i="1"/>
  <c r="D93" i="1"/>
  <c r="D205" i="1"/>
  <c r="C174" i="1"/>
  <c r="C354" i="1"/>
  <c r="D313" i="1"/>
  <c r="F118" i="1"/>
  <c r="C347" i="1"/>
  <c r="D67" i="1"/>
  <c r="D147" i="1"/>
  <c r="D235" i="1"/>
  <c r="C12" i="1"/>
  <c r="C92" i="1"/>
  <c r="C172" i="1"/>
  <c r="C252" i="1"/>
  <c r="C332" i="1"/>
  <c r="D52" i="1"/>
  <c r="D136" i="1"/>
  <c r="D228" i="1"/>
  <c r="C145" i="1"/>
  <c r="C241" i="1"/>
  <c r="C341" i="1"/>
  <c r="D101" i="1"/>
  <c r="D213" i="1"/>
  <c r="C182" i="1"/>
  <c r="D14" i="1"/>
  <c r="E77" i="1"/>
  <c r="E143" i="1"/>
  <c r="C153" i="1"/>
  <c r="C249" i="1"/>
  <c r="C357" i="1"/>
  <c r="D109" i="1"/>
  <c r="D223" i="1"/>
  <c r="C210" i="1"/>
  <c r="D70" i="1"/>
  <c r="E101" i="1"/>
  <c r="E340" i="1"/>
  <c r="C39" i="1"/>
  <c r="C119" i="1"/>
  <c r="C199" i="1"/>
  <c r="C279" i="1"/>
  <c r="C359" i="1"/>
  <c r="D79" i="1"/>
  <c r="D159" i="1"/>
  <c r="D259" i="1"/>
  <c r="C24" i="1"/>
  <c r="C104" i="1"/>
  <c r="C184" i="1"/>
  <c r="C264" i="1"/>
  <c r="C344" i="1"/>
  <c r="D64" i="1"/>
  <c r="D148" i="1"/>
  <c r="D252" i="1"/>
  <c r="C157" i="1"/>
  <c r="C253" i="1"/>
  <c r="D13" i="1"/>
  <c r="D113" i="1"/>
  <c r="D231" i="1"/>
  <c r="C214" i="1"/>
  <c r="D74" i="1"/>
  <c r="E125" i="1"/>
  <c r="G319" i="1"/>
  <c r="E113" i="1"/>
  <c r="E329" i="1"/>
  <c r="D286" i="1"/>
  <c r="E270" i="1"/>
  <c r="E195" i="1"/>
  <c r="D94" i="1"/>
  <c r="D218" i="1"/>
  <c r="D309" i="1"/>
  <c r="E117" i="1"/>
  <c r="E341" i="1"/>
  <c r="D290" i="1"/>
  <c r="E298" i="1"/>
  <c r="E287" i="1"/>
  <c r="E306" i="1"/>
  <c r="E355" i="1"/>
  <c r="C106" i="1"/>
  <c r="C186" i="1"/>
  <c r="C270" i="1"/>
  <c r="C362" i="1"/>
  <c r="D106" i="1"/>
  <c r="D248" i="1"/>
  <c r="D317" i="1"/>
  <c r="E141" i="1"/>
  <c r="E365" i="1"/>
  <c r="D326" i="1"/>
  <c r="E346" i="1"/>
  <c r="E359" i="1"/>
  <c r="D121" i="1"/>
  <c r="D201" i="1"/>
  <c r="C110" i="1"/>
  <c r="C190" i="1"/>
  <c r="C274" i="1"/>
  <c r="D10" i="1"/>
  <c r="D110" i="1"/>
  <c r="D256" i="1"/>
  <c r="D333" i="1"/>
  <c r="E157" i="1"/>
  <c r="E369" i="1"/>
  <c r="D342" i="1"/>
  <c r="E362" i="1"/>
  <c r="F67" i="1"/>
  <c r="D114" i="1"/>
  <c r="D280" i="1"/>
  <c r="D345" i="1"/>
  <c r="E161" i="1"/>
  <c r="F37" i="1"/>
  <c r="D346" i="1"/>
  <c r="F22" i="1"/>
  <c r="F137" i="1"/>
  <c r="C198" i="1"/>
  <c r="C282" i="1"/>
  <c r="D22" i="1"/>
  <c r="D118" i="1"/>
  <c r="D288" i="1"/>
  <c r="D349" i="1"/>
  <c r="E173" i="1"/>
  <c r="F49" i="1"/>
  <c r="E22" i="1"/>
  <c r="F30" i="1"/>
  <c r="D348" i="1"/>
  <c r="C122" i="1"/>
  <c r="C202" i="1"/>
  <c r="C290" i="1"/>
  <c r="D26" i="1"/>
  <c r="D126" i="1"/>
  <c r="D304" i="1"/>
  <c r="D357" i="1"/>
  <c r="E185" i="1"/>
  <c r="F53" i="1"/>
  <c r="E34" i="1"/>
  <c r="F90" i="1"/>
  <c r="D356" i="1"/>
  <c r="D30" i="1"/>
  <c r="D134" i="1"/>
  <c r="D312" i="1"/>
  <c r="D365" i="1"/>
  <c r="E197" i="1"/>
  <c r="F65" i="1"/>
  <c r="E42" i="1"/>
  <c r="F112" i="1"/>
  <c r="E164" i="1"/>
  <c r="C306" i="1"/>
  <c r="D38" i="1"/>
  <c r="D146" i="1"/>
  <c r="D225" i="1"/>
  <c r="E17" i="1"/>
  <c r="E209" i="1"/>
  <c r="F93" i="1"/>
  <c r="E78" i="1"/>
  <c r="F222" i="1"/>
  <c r="F114" i="1"/>
  <c r="C269" i="1"/>
  <c r="C349" i="1"/>
  <c r="D69" i="1"/>
  <c r="D149" i="1"/>
  <c r="D239" i="1"/>
  <c r="C138" i="1"/>
  <c r="C222" i="1"/>
  <c r="C310" i="1"/>
  <c r="D42" i="1"/>
  <c r="D150" i="1"/>
  <c r="D229" i="1"/>
  <c r="E29" i="1"/>
  <c r="E225" i="1"/>
  <c r="F97" i="1"/>
  <c r="E98" i="1"/>
  <c r="F246" i="1"/>
  <c r="F199" i="1"/>
  <c r="D204" i="1"/>
  <c r="C113" i="1"/>
  <c r="C193" i="1"/>
  <c r="C273" i="1"/>
  <c r="C353" i="1"/>
  <c r="D73" i="1"/>
  <c r="D153" i="1"/>
  <c r="D247" i="1"/>
  <c r="C142" i="1"/>
  <c r="C226" i="1"/>
  <c r="C314" i="1"/>
  <c r="D46" i="1"/>
  <c r="D154" i="1"/>
  <c r="D233" i="1"/>
  <c r="E33" i="1"/>
  <c r="E241" i="1"/>
  <c r="F149" i="1"/>
  <c r="E102" i="1"/>
  <c r="D331" i="1"/>
  <c r="G11" i="1"/>
  <c r="D157" i="1"/>
  <c r="D255" i="1"/>
  <c r="C146" i="1"/>
  <c r="C230" i="1"/>
  <c r="C318" i="1"/>
  <c r="D50" i="1"/>
  <c r="D162" i="1"/>
  <c r="D249" i="1"/>
  <c r="E37" i="1"/>
  <c r="E245" i="1"/>
  <c r="F173" i="1"/>
  <c r="E138" i="1"/>
  <c r="D351" i="1"/>
  <c r="G23" i="1"/>
  <c r="D132" i="1"/>
  <c r="D212" i="1"/>
  <c r="C121" i="1"/>
  <c r="C201" i="1"/>
  <c r="C281" i="1"/>
  <c r="C361" i="1"/>
  <c r="D81" i="1"/>
  <c r="D161" i="1"/>
  <c r="D263" i="1"/>
  <c r="C150" i="1"/>
  <c r="C234" i="1"/>
  <c r="C322" i="1"/>
  <c r="D54" i="1"/>
  <c r="D170" i="1"/>
  <c r="D261" i="1"/>
  <c r="E41" i="1"/>
  <c r="E257" i="1"/>
  <c r="F181" i="1"/>
  <c r="E154" i="1"/>
  <c r="E51" i="1"/>
  <c r="G69" i="1"/>
  <c r="C125" i="1"/>
  <c r="C205" i="1"/>
  <c r="C285" i="1"/>
  <c r="C365" i="1"/>
  <c r="D85" i="1"/>
  <c r="D165" i="1"/>
  <c r="D271" i="1"/>
  <c r="C154" i="1"/>
  <c r="C238" i="1"/>
  <c r="C326" i="1"/>
  <c r="D62" i="1"/>
  <c r="D178" i="1"/>
  <c r="D265" i="1"/>
  <c r="E57" i="1"/>
  <c r="E269" i="1"/>
  <c r="F213" i="1"/>
  <c r="E158" i="1"/>
  <c r="E63" i="1"/>
  <c r="F334" i="1"/>
  <c r="C209" i="1"/>
  <c r="C289" i="1"/>
  <c r="C369" i="1"/>
  <c r="D89" i="1"/>
  <c r="D169" i="1"/>
  <c r="D279" i="1"/>
  <c r="C158" i="1"/>
  <c r="C242" i="1"/>
  <c r="C330" i="1"/>
  <c r="D66" i="1"/>
  <c r="D182" i="1"/>
  <c r="D269" i="1"/>
  <c r="E69" i="1"/>
  <c r="E281" i="1"/>
  <c r="F237" i="1"/>
  <c r="E174" i="1"/>
  <c r="E87" i="1"/>
  <c r="G146" i="1"/>
  <c r="E121" i="1"/>
  <c r="E205" i="1"/>
  <c r="E289" i="1"/>
  <c r="F13" i="1"/>
  <c r="F101" i="1"/>
  <c r="D250" i="1"/>
  <c r="D350" i="1"/>
  <c r="E106" i="1"/>
  <c r="E242" i="1"/>
  <c r="F38" i="1"/>
  <c r="D363" i="1"/>
  <c r="E203" i="1"/>
  <c r="E56" i="1"/>
  <c r="G84" i="1"/>
  <c r="E293" i="1"/>
  <c r="F17" i="1"/>
  <c r="F105" i="1"/>
  <c r="D254" i="1"/>
  <c r="D354" i="1"/>
  <c r="E110" i="1"/>
  <c r="E250" i="1"/>
  <c r="F70" i="1"/>
  <c r="E11" i="1"/>
  <c r="E235" i="1"/>
  <c r="E64" i="1"/>
  <c r="F208" i="1"/>
  <c r="D122" i="1"/>
  <c r="D206" i="1"/>
  <c r="D237" i="1"/>
  <c r="D321" i="1"/>
  <c r="E45" i="1"/>
  <c r="E129" i="1"/>
  <c r="E213" i="1"/>
  <c r="E297" i="1"/>
  <c r="F21" i="1"/>
  <c r="F110" i="1"/>
  <c r="D258" i="1"/>
  <c r="D358" i="1"/>
  <c r="E114" i="1"/>
  <c r="E254" i="1"/>
  <c r="F74" i="1"/>
  <c r="E39" i="1"/>
  <c r="E243" i="1"/>
  <c r="E76" i="1"/>
  <c r="F228" i="1"/>
  <c r="D210" i="1"/>
  <c r="D241" i="1"/>
  <c r="D325" i="1"/>
  <c r="E49" i="1"/>
  <c r="E133" i="1"/>
  <c r="E217" i="1"/>
  <c r="E301" i="1"/>
  <c r="F25" i="1"/>
  <c r="F125" i="1"/>
  <c r="D262" i="1"/>
  <c r="E14" i="1"/>
  <c r="E122" i="1"/>
  <c r="E262" i="1"/>
  <c r="F82" i="1"/>
  <c r="E43" i="1"/>
  <c r="E247" i="1"/>
  <c r="E144" i="1"/>
  <c r="F272" i="1"/>
  <c r="D130" i="1"/>
  <c r="D214" i="1"/>
  <c r="D245" i="1"/>
  <c r="D329" i="1"/>
  <c r="E53" i="1"/>
  <c r="E137" i="1"/>
  <c r="E221" i="1"/>
  <c r="E305" i="1"/>
  <c r="F29" i="1"/>
  <c r="F141" i="1"/>
  <c r="D266" i="1"/>
  <c r="E18" i="1"/>
  <c r="E126" i="1"/>
  <c r="E266" i="1"/>
  <c r="F86" i="1"/>
  <c r="E47" i="1"/>
  <c r="E251" i="1"/>
  <c r="E152" i="1"/>
  <c r="G61" i="1"/>
  <c r="D224" i="1"/>
  <c r="D253" i="1"/>
  <c r="D337" i="1"/>
  <c r="E61" i="1"/>
  <c r="E145" i="1"/>
  <c r="E229" i="1"/>
  <c r="E317" i="1"/>
  <c r="F41" i="1"/>
  <c r="F157" i="1"/>
  <c r="D274" i="1"/>
  <c r="E26" i="1"/>
  <c r="E146" i="1"/>
  <c r="E286" i="1"/>
  <c r="F94" i="1"/>
  <c r="E55" i="1"/>
  <c r="E303" i="1"/>
  <c r="E248" i="1"/>
  <c r="G85" i="1"/>
  <c r="C334" i="1"/>
  <c r="D58" i="1"/>
  <c r="D142" i="1"/>
  <c r="D232" i="1"/>
  <c r="D257" i="1"/>
  <c r="D341" i="1"/>
  <c r="E65" i="1"/>
  <c r="E149" i="1"/>
  <c r="E237" i="1"/>
  <c r="E321" i="1"/>
  <c r="F45" i="1"/>
  <c r="F165" i="1"/>
  <c r="D278" i="1"/>
  <c r="E30" i="1"/>
  <c r="E150" i="1"/>
  <c r="E290" i="1"/>
  <c r="F98" i="1"/>
  <c r="E59" i="1"/>
  <c r="E323" i="1"/>
  <c r="E252" i="1"/>
  <c r="G25" i="1"/>
  <c r="E260" i="1"/>
  <c r="F262" i="1"/>
  <c r="E81" i="1"/>
  <c r="E165" i="1"/>
  <c r="E249" i="1"/>
  <c r="E333" i="1"/>
  <c r="F57" i="1"/>
  <c r="F189" i="1"/>
  <c r="D294" i="1"/>
  <c r="E54" i="1"/>
  <c r="E162" i="1"/>
  <c r="E334" i="1"/>
  <c r="F134" i="1"/>
  <c r="E95" i="1"/>
  <c r="E367" i="1"/>
  <c r="E352" i="1"/>
  <c r="G114" i="1"/>
  <c r="D158" i="1"/>
  <c r="D264" i="1"/>
  <c r="D277" i="1"/>
  <c r="D361" i="1"/>
  <c r="E85" i="1"/>
  <c r="E169" i="1"/>
  <c r="E253" i="1"/>
  <c r="E337" i="1"/>
  <c r="F61" i="1"/>
  <c r="F197" i="1"/>
  <c r="D298" i="1"/>
  <c r="E62" i="1"/>
  <c r="E170" i="1"/>
  <c r="E342" i="1"/>
  <c r="F158" i="1"/>
  <c r="E107" i="1"/>
  <c r="F55" i="1"/>
  <c r="F12" i="1"/>
  <c r="G130" i="1"/>
  <c r="E93" i="1"/>
  <c r="E177" i="1"/>
  <c r="E261" i="1"/>
  <c r="E345" i="1"/>
  <c r="F69" i="1"/>
  <c r="F221" i="1"/>
  <c r="D306" i="1"/>
  <c r="E70" i="1"/>
  <c r="E190" i="1"/>
  <c r="E350" i="1"/>
  <c r="F230" i="1"/>
  <c r="E135" i="1"/>
  <c r="F75" i="1"/>
  <c r="F210" i="1"/>
  <c r="G103" i="1"/>
  <c r="D90" i="1"/>
  <c r="D174" i="1"/>
  <c r="D296" i="1"/>
  <c r="D289" i="1"/>
  <c r="E13" i="1"/>
  <c r="E97" i="1"/>
  <c r="E181" i="1"/>
  <c r="E265" i="1"/>
  <c r="E349" i="1"/>
  <c r="F77" i="1"/>
  <c r="F229" i="1"/>
  <c r="D310" i="1"/>
  <c r="E74" i="1"/>
  <c r="E194" i="1"/>
  <c r="E354" i="1"/>
  <c r="F238" i="1"/>
  <c r="E139" i="1"/>
  <c r="F121" i="1"/>
  <c r="F218" i="1"/>
  <c r="G259" i="1"/>
  <c r="D297" i="1"/>
  <c r="E21" i="1"/>
  <c r="E105" i="1"/>
  <c r="E189" i="1"/>
  <c r="E273" i="1"/>
  <c r="E357" i="1"/>
  <c r="F85" i="1"/>
  <c r="F245" i="1"/>
  <c r="D334" i="1"/>
  <c r="E82" i="1"/>
  <c r="E214" i="1"/>
  <c r="E366" i="1"/>
  <c r="D323" i="1"/>
  <c r="E151" i="1"/>
  <c r="F145" i="1"/>
  <c r="F243" i="1"/>
  <c r="H339" i="1"/>
  <c r="C294" i="1"/>
  <c r="D18" i="1"/>
  <c r="D102" i="1"/>
  <c r="D186" i="1"/>
  <c r="D320" i="1"/>
  <c r="D301" i="1"/>
  <c r="E25" i="1"/>
  <c r="E109" i="1"/>
  <c r="E193" i="1"/>
  <c r="E277" i="1"/>
  <c r="E361" i="1"/>
  <c r="F89" i="1"/>
  <c r="D222" i="1"/>
  <c r="D338" i="1"/>
  <c r="E86" i="1"/>
  <c r="E218" i="1"/>
  <c r="F18" i="1"/>
  <c r="D327" i="1"/>
  <c r="E155" i="1"/>
  <c r="F249" i="1"/>
  <c r="F259" i="1"/>
  <c r="H240" i="1"/>
  <c r="E255" i="1"/>
  <c r="F11" i="1"/>
  <c r="F185" i="1"/>
  <c r="E88" i="1"/>
  <c r="E264" i="1"/>
  <c r="F242" i="1"/>
  <c r="G92" i="1"/>
  <c r="F289" i="1"/>
  <c r="G166" i="1"/>
  <c r="E263" i="1"/>
  <c r="F15" i="1"/>
  <c r="F201" i="1"/>
  <c r="E92" i="1"/>
  <c r="E268" i="1"/>
  <c r="F127" i="1"/>
  <c r="G108" i="1"/>
  <c r="F297" i="1"/>
  <c r="G254" i="1"/>
  <c r="E163" i="1"/>
  <c r="E267" i="1"/>
  <c r="F19" i="1"/>
  <c r="F209" i="1"/>
  <c r="E96" i="1"/>
  <c r="E296" i="1"/>
  <c r="F143" i="1"/>
  <c r="F132" i="1"/>
  <c r="F309" i="1"/>
  <c r="G274" i="1"/>
  <c r="D362" i="1"/>
  <c r="E90" i="1"/>
  <c r="E182" i="1"/>
  <c r="E274" i="1"/>
  <c r="F10" i="1"/>
  <c r="F102" i="1"/>
  <c r="D335" i="1"/>
  <c r="E71" i="1"/>
  <c r="E167" i="1"/>
  <c r="E275" i="1"/>
  <c r="F23" i="1"/>
  <c r="F217" i="1"/>
  <c r="E100" i="1"/>
  <c r="E304" i="1"/>
  <c r="F147" i="1"/>
  <c r="F148" i="1"/>
  <c r="F345" i="1"/>
  <c r="G326" i="1"/>
  <c r="F73" i="1"/>
  <c r="F205" i="1"/>
  <c r="D282" i="1"/>
  <c r="D366" i="1"/>
  <c r="E94" i="1"/>
  <c r="E186" i="1"/>
  <c r="E282" i="1"/>
  <c r="F14" i="1"/>
  <c r="F106" i="1"/>
  <c r="D339" i="1"/>
  <c r="E75" i="1"/>
  <c r="E171" i="1"/>
  <c r="E279" i="1"/>
  <c r="F43" i="1"/>
  <c r="F225" i="1"/>
  <c r="E124" i="1"/>
  <c r="E308" i="1"/>
  <c r="F151" i="1"/>
  <c r="F156" i="1"/>
  <c r="F369" i="1"/>
  <c r="G71" i="1"/>
  <c r="D343" i="1"/>
  <c r="E83" i="1"/>
  <c r="E183" i="1"/>
  <c r="E283" i="1"/>
  <c r="F47" i="1"/>
  <c r="F233" i="1"/>
  <c r="E136" i="1"/>
  <c r="E312" i="1"/>
  <c r="F195" i="1"/>
  <c r="F160" i="1"/>
  <c r="G17" i="1"/>
  <c r="G99" i="1"/>
  <c r="E202" i="1"/>
  <c r="E294" i="1"/>
  <c r="F26" i="1"/>
  <c r="F126" i="1"/>
  <c r="D355" i="1"/>
  <c r="E91" i="1"/>
  <c r="E191" i="1"/>
  <c r="E291" i="1"/>
  <c r="F63" i="1"/>
  <c r="D336" i="1"/>
  <c r="E148" i="1"/>
  <c r="E348" i="1"/>
  <c r="F211" i="1"/>
  <c r="F212" i="1"/>
  <c r="F254" i="1"/>
  <c r="G131" i="1"/>
  <c r="E210" i="1"/>
  <c r="E302" i="1"/>
  <c r="F34" i="1"/>
  <c r="F150" i="1"/>
  <c r="D367" i="1"/>
  <c r="E103" i="1"/>
  <c r="E199" i="1"/>
  <c r="E311" i="1"/>
  <c r="F71" i="1"/>
  <c r="D352" i="1"/>
  <c r="E156" i="1"/>
  <c r="E360" i="1"/>
  <c r="F255" i="1"/>
  <c r="F260" i="1"/>
  <c r="F278" i="1"/>
  <c r="G263" i="1"/>
  <c r="E310" i="1"/>
  <c r="F42" i="1"/>
  <c r="F174" i="1"/>
  <c r="E15" i="1"/>
  <c r="E111" i="1"/>
  <c r="E207" i="1"/>
  <c r="E327" i="1"/>
  <c r="F79" i="1"/>
  <c r="D364" i="1"/>
  <c r="E188" i="1"/>
  <c r="F44" i="1"/>
  <c r="F267" i="1"/>
  <c r="F284" i="1"/>
  <c r="F346" i="1"/>
  <c r="G148" i="1"/>
  <c r="D230" i="1"/>
  <c r="D318" i="1"/>
  <c r="E46" i="1"/>
  <c r="E130" i="1"/>
  <c r="E222" i="1"/>
  <c r="E314" i="1"/>
  <c r="F50" i="1"/>
  <c r="F182" i="1"/>
  <c r="E23" i="1"/>
  <c r="E115" i="1"/>
  <c r="E211" i="1"/>
  <c r="E331" i="1"/>
  <c r="F83" i="1"/>
  <c r="E24" i="1"/>
  <c r="E192" i="1"/>
  <c r="F48" i="1"/>
  <c r="F311" i="1"/>
  <c r="F288" i="1"/>
  <c r="F358" i="1"/>
  <c r="G172" i="1"/>
  <c r="D238" i="1"/>
  <c r="D322" i="1"/>
  <c r="E50" i="1"/>
  <c r="E134" i="1"/>
  <c r="E226" i="1"/>
  <c r="E318" i="1"/>
  <c r="F54" i="1"/>
  <c r="F190" i="1"/>
  <c r="E27" i="1"/>
  <c r="E119" i="1"/>
  <c r="E215" i="1"/>
  <c r="E335" i="1"/>
  <c r="F87" i="1"/>
  <c r="E32" i="1"/>
  <c r="E200" i="1"/>
  <c r="F64" i="1"/>
  <c r="F315" i="1"/>
  <c r="F340" i="1"/>
  <c r="F362" i="1"/>
  <c r="G200" i="1"/>
  <c r="E322" i="1"/>
  <c r="F62" i="1"/>
  <c r="F198" i="1"/>
  <c r="E31" i="1"/>
  <c r="E123" i="1"/>
  <c r="E223" i="1"/>
  <c r="E343" i="1"/>
  <c r="F91" i="1"/>
  <c r="E40" i="1"/>
  <c r="E204" i="1"/>
  <c r="F92" i="1"/>
  <c r="F327" i="1"/>
  <c r="F348" i="1"/>
  <c r="G113" i="1"/>
  <c r="G220" i="1"/>
  <c r="F133" i="1"/>
  <c r="D246" i="1"/>
  <c r="D330" i="1"/>
  <c r="E58" i="1"/>
  <c r="E142" i="1"/>
  <c r="E234" i="1"/>
  <c r="E330" i="1"/>
  <c r="F66" i="1"/>
  <c r="F214" i="1"/>
  <c r="E35" i="1"/>
  <c r="E127" i="1"/>
  <c r="E231" i="1"/>
  <c r="E347" i="1"/>
  <c r="F103" i="1"/>
  <c r="E44" i="1"/>
  <c r="E232" i="1"/>
  <c r="F104" i="1"/>
  <c r="F355" i="1"/>
  <c r="F364" i="1"/>
  <c r="G121" i="1"/>
  <c r="H38" i="1"/>
  <c r="E351" i="1"/>
  <c r="F113" i="1"/>
  <c r="E52" i="1"/>
  <c r="E244" i="1"/>
  <c r="F109" i="1"/>
  <c r="F367" i="1"/>
  <c r="G40" i="1"/>
  <c r="G66" i="1"/>
  <c r="H118" i="1"/>
  <c r="E364" i="1"/>
  <c r="F122" i="1"/>
  <c r="F155" i="1"/>
  <c r="F271" i="1"/>
  <c r="G27" i="1"/>
  <c r="F168" i="1"/>
  <c r="F292" i="1"/>
  <c r="G93" i="1"/>
  <c r="G29" i="1"/>
  <c r="F366" i="1"/>
  <c r="G174" i="1"/>
  <c r="G151" i="1"/>
  <c r="G248" i="1"/>
  <c r="F138" i="1"/>
  <c r="F163" i="1"/>
  <c r="F275" i="1"/>
  <c r="G31" i="1"/>
  <c r="F172" i="1"/>
  <c r="F304" i="1"/>
  <c r="G117" i="1"/>
  <c r="G41" i="1"/>
  <c r="G18" i="1"/>
  <c r="G178" i="1"/>
  <c r="G159" i="1"/>
  <c r="G252" i="1"/>
  <c r="F16" i="1"/>
  <c r="F146" i="1"/>
  <c r="F167" i="1"/>
  <c r="F279" i="1"/>
  <c r="G35" i="1"/>
  <c r="F176" i="1"/>
  <c r="F308" i="1"/>
  <c r="G125" i="1"/>
  <c r="G45" i="1"/>
  <c r="G34" i="1"/>
  <c r="G190" i="1"/>
  <c r="G179" i="1"/>
  <c r="G280" i="1"/>
  <c r="D324" i="1"/>
  <c r="E68" i="1"/>
  <c r="E168" i="1"/>
  <c r="E272" i="1"/>
  <c r="F24" i="1"/>
  <c r="F170" i="1"/>
  <c r="F175" i="1"/>
  <c r="F287" i="1"/>
  <c r="G43" i="1"/>
  <c r="F180" i="1"/>
  <c r="F316" i="1"/>
  <c r="G133" i="1"/>
  <c r="G49" i="1"/>
  <c r="G57" i="1"/>
  <c r="G194" i="1"/>
  <c r="G183" i="1"/>
  <c r="G328" i="1"/>
  <c r="D332" i="1"/>
  <c r="E72" i="1"/>
  <c r="E172" i="1"/>
  <c r="E280" i="1"/>
  <c r="F28" i="1"/>
  <c r="F178" i="1"/>
  <c r="F179" i="1"/>
  <c r="F291" i="1"/>
  <c r="G47" i="1"/>
  <c r="F188" i="1"/>
  <c r="F320" i="1"/>
  <c r="F261" i="1"/>
  <c r="G72" i="1"/>
  <c r="G73" i="1"/>
  <c r="G198" i="1"/>
  <c r="G211" i="1"/>
  <c r="G332" i="1"/>
  <c r="E180" i="1"/>
  <c r="E284" i="1"/>
  <c r="F32" i="1"/>
  <c r="F186" i="1"/>
  <c r="F187" i="1"/>
  <c r="F303" i="1"/>
  <c r="G60" i="1"/>
  <c r="F192" i="1"/>
  <c r="F332" i="1"/>
  <c r="F265" i="1"/>
  <c r="G104" i="1"/>
  <c r="G81" i="1"/>
  <c r="G226" i="1"/>
  <c r="G231" i="1"/>
  <c r="G241" i="1"/>
  <c r="E175" i="1"/>
  <c r="E271" i="1"/>
  <c r="E363" i="1"/>
  <c r="F99" i="1"/>
  <c r="D344" i="1"/>
  <c r="E84" i="1"/>
  <c r="E184" i="1"/>
  <c r="E292" i="1"/>
  <c r="F36" i="1"/>
  <c r="F194" i="1"/>
  <c r="F191" i="1"/>
  <c r="F307" i="1"/>
  <c r="G68" i="1"/>
  <c r="F204" i="1"/>
  <c r="F336" i="1"/>
  <c r="F277" i="1"/>
  <c r="G128" i="1"/>
  <c r="G105" i="1"/>
  <c r="G246" i="1"/>
  <c r="G239" i="1"/>
  <c r="G321" i="1"/>
  <c r="F60" i="1"/>
  <c r="F234" i="1"/>
  <c r="F207" i="1"/>
  <c r="F323" i="1"/>
  <c r="G100" i="1"/>
  <c r="F224" i="1"/>
  <c r="F352" i="1"/>
  <c r="F305" i="1"/>
  <c r="F266" i="1"/>
  <c r="G50" i="1"/>
  <c r="G278" i="1"/>
  <c r="G311" i="1"/>
  <c r="H198" i="1"/>
  <c r="H278" i="1"/>
  <c r="D368" i="1"/>
  <c r="E104" i="1"/>
  <c r="E212" i="1"/>
  <c r="E316" i="1"/>
  <c r="F68" i="1"/>
  <c r="F107" i="1"/>
  <c r="F223" i="1"/>
  <c r="F335" i="1"/>
  <c r="G124" i="1"/>
  <c r="F236" i="1"/>
  <c r="F368" i="1"/>
  <c r="F321" i="1"/>
  <c r="F282" i="1"/>
  <c r="G86" i="1"/>
  <c r="G334" i="1"/>
  <c r="G339" i="1"/>
  <c r="H358" i="1"/>
  <c r="E295" i="1"/>
  <c r="F31" i="1"/>
  <c r="F153" i="1"/>
  <c r="E12" i="1"/>
  <c r="E108" i="1"/>
  <c r="E216" i="1"/>
  <c r="E324" i="1"/>
  <c r="F72" i="1"/>
  <c r="F111" i="1"/>
  <c r="F227" i="1"/>
  <c r="F339" i="1"/>
  <c r="G132" i="1"/>
  <c r="F240" i="1"/>
  <c r="G12" i="1"/>
  <c r="F325" i="1"/>
  <c r="F286" i="1"/>
  <c r="G94" i="1"/>
  <c r="G354" i="1"/>
  <c r="G343" i="1"/>
  <c r="H99" i="1"/>
  <c r="E299" i="1"/>
  <c r="F35" i="1"/>
  <c r="F161" i="1"/>
  <c r="E16" i="1"/>
  <c r="E112" i="1"/>
  <c r="E224" i="1"/>
  <c r="E328" i="1"/>
  <c r="F80" i="1"/>
  <c r="F115" i="1"/>
  <c r="F231" i="1"/>
  <c r="F347" i="1"/>
  <c r="F124" i="1"/>
  <c r="F252" i="1"/>
  <c r="G24" i="1"/>
  <c r="F329" i="1"/>
  <c r="F298" i="1"/>
  <c r="G98" i="1"/>
  <c r="G358" i="1"/>
  <c r="H11" i="1"/>
  <c r="H179" i="1"/>
  <c r="F177" i="1"/>
  <c r="E20" i="1"/>
  <c r="E120" i="1"/>
  <c r="E228" i="1"/>
  <c r="E332" i="1"/>
  <c r="F84" i="1"/>
  <c r="F119" i="1"/>
  <c r="F235" i="1"/>
  <c r="F351" i="1"/>
  <c r="F128" i="1"/>
  <c r="F256" i="1"/>
  <c r="G28" i="1"/>
  <c r="F341" i="1"/>
  <c r="F314" i="1"/>
  <c r="G110" i="1"/>
  <c r="H26" i="1"/>
  <c r="G140" i="1"/>
  <c r="H259" i="1"/>
  <c r="E219" i="1"/>
  <c r="E315" i="1"/>
  <c r="F51" i="1"/>
  <c r="F193" i="1"/>
  <c r="E28" i="1"/>
  <c r="E132" i="1"/>
  <c r="E236" i="1"/>
  <c r="E344" i="1"/>
  <c r="F96" i="1"/>
  <c r="F131" i="1"/>
  <c r="F247" i="1"/>
  <c r="F359" i="1"/>
  <c r="F144" i="1"/>
  <c r="F268" i="1"/>
  <c r="G53" i="1"/>
  <c r="F357" i="1"/>
  <c r="F342" i="1"/>
  <c r="G118" i="1"/>
  <c r="G79" i="1"/>
  <c r="G168" i="1"/>
  <c r="H160" i="1"/>
  <c r="H80" i="1"/>
  <c r="H320" i="1"/>
  <c r="H61" i="1"/>
  <c r="G360" i="1"/>
  <c r="H141" i="1"/>
  <c r="G157" i="1"/>
  <c r="H221" i="1"/>
  <c r="G161" i="1"/>
  <c r="H301" i="1"/>
  <c r="G306" i="1"/>
  <c r="G291" i="1"/>
  <c r="G189" i="1"/>
  <c r="B58" i="1"/>
  <c r="E10" i="1"/>
  <c r="B22" i="1"/>
  <c r="B65" i="1"/>
  <c r="B97" i="1"/>
  <c r="H349" i="1"/>
  <c r="H269" i="1"/>
  <c r="H189" i="1"/>
  <c r="H109" i="1"/>
  <c r="H368" i="1"/>
  <c r="H288" i="1"/>
  <c r="H208" i="1"/>
  <c r="H128" i="1"/>
  <c r="H48" i="1"/>
  <c r="H307" i="1"/>
  <c r="H227" i="1"/>
  <c r="H147" i="1"/>
  <c r="H67" i="1"/>
  <c r="H326" i="1"/>
  <c r="H246" i="1"/>
  <c r="H166" i="1"/>
  <c r="H86" i="1"/>
  <c r="G369" i="1"/>
  <c r="G289" i="1"/>
  <c r="G209" i="1"/>
  <c r="H20" i="1"/>
  <c r="G300" i="1"/>
  <c r="B73" i="1"/>
  <c r="B113" i="1"/>
  <c r="H345" i="1"/>
  <c r="H265" i="1"/>
  <c r="H185" i="1"/>
  <c r="H105" i="1"/>
  <c r="H364" i="1"/>
  <c r="H284" i="1"/>
  <c r="H204" i="1"/>
  <c r="H124" i="1"/>
  <c r="H44" i="1"/>
  <c r="H303" i="1"/>
  <c r="H223" i="1"/>
  <c r="H143" i="1"/>
  <c r="H63" i="1"/>
  <c r="H322" i="1"/>
  <c r="H242" i="1"/>
  <c r="H162" i="1"/>
  <c r="H82" i="1"/>
  <c r="G365" i="1"/>
  <c r="G285" i="1"/>
  <c r="G205" i="1"/>
  <c r="H16" i="1"/>
  <c r="G296" i="1"/>
  <c r="G216" i="1"/>
  <c r="H27" i="1"/>
  <c r="G307" i="1"/>
  <c r="G227" i="1"/>
  <c r="G147" i="1"/>
  <c r="G67" i="1"/>
  <c r="G322" i="1"/>
  <c r="G242" i="1"/>
  <c r="G162" i="1"/>
  <c r="G82" i="1"/>
  <c r="G51" i="1"/>
  <c r="F330" i="1"/>
  <c r="G136" i="1"/>
  <c r="G13" i="1"/>
  <c r="F293" i="1"/>
  <c r="B89" i="1"/>
  <c r="B129" i="1"/>
  <c r="H341" i="1"/>
  <c r="H261" i="1"/>
  <c r="H181" i="1"/>
  <c r="H101" i="1"/>
  <c r="H360" i="1"/>
  <c r="H280" i="1"/>
  <c r="H200" i="1"/>
  <c r="H120" i="1"/>
  <c r="H40" i="1"/>
  <c r="H299" i="1"/>
  <c r="H219" i="1"/>
  <c r="H139" i="1"/>
  <c r="H59" i="1"/>
  <c r="H318" i="1"/>
  <c r="H238" i="1"/>
  <c r="H158" i="1"/>
  <c r="H78" i="1"/>
  <c r="G361" i="1"/>
  <c r="G281" i="1"/>
  <c r="G201" i="1"/>
  <c r="H12" i="1"/>
  <c r="G292" i="1"/>
  <c r="G212" i="1"/>
  <c r="H23" i="1"/>
  <c r="G303" i="1"/>
  <c r="G223" i="1"/>
  <c r="G143" i="1"/>
  <c r="G63" i="1"/>
  <c r="G318" i="1"/>
  <c r="G238" i="1"/>
  <c r="G158" i="1"/>
  <c r="G78" i="1"/>
  <c r="G46" i="1"/>
  <c r="F326" i="1"/>
  <c r="B105" i="1"/>
  <c r="B13" i="1"/>
  <c r="H337" i="1"/>
  <c r="H257" i="1"/>
  <c r="H177" i="1"/>
  <c r="H97" i="1"/>
  <c r="H356" i="1"/>
  <c r="H276" i="1"/>
  <c r="H196" i="1"/>
  <c r="H116" i="1"/>
  <c r="H36" i="1"/>
  <c r="H295" i="1"/>
  <c r="H215" i="1"/>
  <c r="H135" i="1"/>
  <c r="H55" i="1"/>
  <c r="H314" i="1"/>
  <c r="H234" i="1"/>
  <c r="H154" i="1"/>
  <c r="H74" i="1"/>
  <c r="G357" i="1"/>
  <c r="G277" i="1"/>
  <c r="G197" i="1"/>
  <c r="G368" i="1"/>
  <c r="G288" i="1"/>
  <c r="G208" i="1"/>
  <c r="H19" i="1"/>
  <c r="G299" i="1"/>
  <c r="G219" i="1"/>
  <c r="G139" i="1"/>
  <c r="G59" i="1"/>
  <c r="G314" i="1"/>
  <c r="G234" i="1"/>
  <c r="G154" i="1"/>
  <c r="G74" i="1"/>
  <c r="G42" i="1"/>
  <c r="F322" i="1"/>
  <c r="G120" i="1"/>
  <c r="F365" i="1"/>
  <c r="F285" i="1"/>
  <c r="G48" i="1"/>
  <c r="F328" i="1"/>
  <c r="F248" i="1"/>
  <c r="B133" i="1"/>
  <c r="B121" i="1"/>
  <c r="B18" i="1"/>
  <c r="H333" i="1"/>
  <c r="H253" i="1"/>
  <c r="H173" i="1"/>
  <c r="H93" i="1"/>
  <c r="H352" i="1"/>
  <c r="H272" i="1"/>
  <c r="H192" i="1"/>
  <c r="H112" i="1"/>
  <c r="H32" i="1"/>
  <c r="H291" i="1"/>
  <c r="H211" i="1"/>
  <c r="H131" i="1"/>
  <c r="H51" i="1"/>
  <c r="H310" i="1"/>
  <c r="H230" i="1"/>
  <c r="H150" i="1"/>
  <c r="H70" i="1"/>
  <c r="G353" i="1"/>
  <c r="G273" i="1"/>
  <c r="G193" i="1"/>
  <c r="G364" i="1"/>
  <c r="G284" i="1"/>
  <c r="G204" i="1"/>
  <c r="H15" i="1"/>
  <c r="G295" i="1"/>
  <c r="G215" i="1"/>
  <c r="G135" i="1"/>
  <c r="G55" i="1"/>
  <c r="G310" i="1"/>
  <c r="G230" i="1"/>
  <c r="G150" i="1"/>
  <c r="G70" i="1"/>
  <c r="G38" i="1"/>
  <c r="F318" i="1"/>
  <c r="G112" i="1"/>
  <c r="F361" i="1"/>
  <c r="F281" i="1"/>
  <c r="G44" i="1"/>
  <c r="F324" i="1"/>
  <c r="F244" i="1"/>
  <c r="F164" i="1"/>
  <c r="G76" i="1"/>
  <c r="F343" i="1"/>
  <c r="F263" i="1"/>
  <c r="F183" i="1"/>
  <c r="F250" i="1"/>
  <c r="F100" i="1"/>
  <c r="F20" i="1"/>
  <c r="E300" i="1"/>
  <c r="E220" i="1"/>
  <c r="E140" i="1"/>
  <c r="E60" i="1"/>
  <c r="D340" i="1"/>
  <c r="F129" i="1"/>
  <c r="F39" i="1"/>
  <c r="E319" i="1"/>
  <c r="E239" i="1"/>
  <c r="E159" i="1"/>
  <c r="E79" i="1"/>
  <c r="D359" i="1"/>
  <c r="F166" i="1"/>
  <c r="F58" i="1"/>
  <c r="E338" i="1"/>
  <c r="E258" i="1"/>
  <c r="E178" i="1"/>
  <c r="B42" i="1"/>
  <c r="B66" i="1"/>
  <c r="B24" i="1"/>
  <c r="H329" i="1"/>
  <c r="H249" i="1"/>
  <c r="H169" i="1"/>
  <c r="H89" i="1"/>
  <c r="H348" i="1"/>
  <c r="H268" i="1"/>
  <c r="H188" i="1"/>
  <c r="H108" i="1"/>
  <c r="H367" i="1"/>
  <c r="H287" i="1"/>
  <c r="H207" i="1"/>
  <c r="H127" i="1"/>
  <c r="H47" i="1"/>
  <c r="H306" i="1"/>
  <c r="H226" i="1"/>
  <c r="H146" i="1"/>
  <c r="H66" i="1"/>
  <c r="G349" i="1"/>
  <c r="G269" i="1"/>
  <c r="B10" i="1"/>
  <c r="B77" i="1"/>
  <c r="B30" i="1"/>
  <c r="H325" i="1"/>
  <c r="H245" i="1"/>
  <c r="H165" i="1"/>
  <c r="H85" i="1"/>
  <c r="H344" i="1"/>
  <c r="H264" i="1"/>
  <c r="H184" i="1"/>
  <c r="H104" i="1"/>
  <c r="H363" i="1"/>
  <c r="H283" i="1"/>
  <c r="H203" i="1"/>
  <c r="H123" i="1"/>
  <c r="H43" i="1"/>
  <c r="H302" i="1"/>
  <c r="H222" i="1"/>
  <c r="H142" i="1"/>
  <c r="H62" i="1"/>
  <c r="G345" i="1"/>
  <c r="G265" i="1"/>
  <c r="G185" i="1"/>
  <c r="G356" i="1"/>
  <c r="G276" i="1"/>
  <c r="G196" i="1"/>
  <c r="G367" i="1"/>
  <c r="G287" i="1"/>
  <c r="G207" i="1"/>
  <c r="G127" i="1"/>
  <c r="H22" i="1"/>
  <c r="G302" i="1"/>
  <c r="G222" i="1"/>
  <c r="G142" i="1"/>
  <c r="G62" i="1"/>
  <c r="G30" i="1"/>
  <c r="F310" i="1"/>
  <c r="G96" i="1"/>
  <c r="F353" i="1"/>
  <c r="F273" i="1"/>
  <c r="G36" i="1"/>
  <c r="B34" i="1"/>
  <c r="B93" i="1"/>
  <c r="B38" i="1"/>
  <c r="H321" i="1"/>
  <c r="H241" i="1"/>
  <c r="H161" i="1"/>
  <c r="H81" i="1"/>
  <c r="H340" i="1"/>
  <c r="H260" i="1"/>
  <c r="H180" i="1"/>
  <c r="H100" i="1"/>
  <c r="H359" i="1"/>
  <c r="H279" i="1"/>
  <c r="H199" i="1"/>
  <c r="H119" i="1"/>
  <c r="H39" i="1"/>
  <c r="H298" i="1"/>
  <c r="H218" i="1"/>
  <c r="H138" i="1"/>
  <c r="H58" i="1"/>
  <c r="G341" i="1"/>
  <c r="G261" i="1"/>
  <c r="G181" i="1"/>
  <c r="G352" i="1"/>
  <c r="G272" i="1"/>
  <c r="G192" i="1"/>
  <c r="G363" i="1"/>
  <c r="G283" i="1"/>
  <c r="G203" i="1"/>
  <c r="G123" i="1"/>
  <c r="H18" i="1"/>
  <c r="G298" i="1"/>
  <c r="G218" i="1"/>
  <c r="G138" i="1"/>
  <c r="G58" i="1"/>
  <c r="G26" i="1"/>
  <c r="F306" i="1"/>
  <c r="G88" i="1"/>
  <c r="F349" i="1"/>
  <c r="F269" i="1"/>
  <c r="G32" i="1"/>
  <c r="F312" i="1"/>
  <c r="F232" i="1"/>
  <c r="F152" i="1"/>
  <c r="G52" i="1"/>
  <c r="F331" i="1"/>
  <c r="F251" i="1"/>
  <c r="F171" i="1"/>
  <c r="F226" i="1"/>
  <c r="F88" i="1"/>
  <c r="E368" i="1"/>
  <c r="E288" i="1"/>
  <c r="E208" i="1"/>
  <c r="E128" i="1"/>
  <c r="E48" i="1"/>
  <c r="D328" i="1"/>
  <c r="F108" i="1"/>
  <c r="F27" i="1"/>
  <c r="E307" i="1"/>
  <c r="E227" i="1"/>
  <c r="E147" i="1"/>
  <c r="E67" i="1"/>
  <c r="D347" i="1"/>
  <c r="F142" i="1"/>
  <c r="F46" i="1"/>
  <c r="E326" i="1"/>
  <c r="E246" i="1"/>
  <c r="E166" i="1"/>
  <c r="B16" i="1"/>
  <c r="B109" i="1"/>
  <c r="B46" i="1"/>
  <c r="H317" i="1"/>
  <c r="H237" i="1"/>
  <c r="H157" i="1"/>
  <c r="H77" i="1"/>
  <c r="H336" i="1"/>
  <c r="H256" i="1"/>
  <c r="H176" i="1"/>
  <c r="H96" i="1"/>
  <c r="H355" i="1"/>
  <c r="H275" i="1"/>
  <c r="H195" i="1"/>
  <c r="H115" i="1"/>
  <c r="H35" i="1"/>
  <c r="H294" i="1"/>
  <c r="H214" i="1"/>
  <c r="H134" i="1"/>
  <c r="H54" i="1"/>
  <c r="G337" i="1"/>
  <c r="G257" i="1"/>
  <c r="G177" i="1"/>
  <c r="G348" i="1"/>
  <c r="G268" i="1"/>
  <c r="G188" i="1"/>
  <c r="G359" i="1"/>
  <c r="G279" i="1"/>
  <c r="G199" i="1"/>
  <c r="G119" i="1"/>
  <c r="H14" i="1"/>
  <c r="G294" i="1"/>
  <c r="G214" i="1"/>
  <c r="G134" i="1"/>
  <c r="G54" i="1"/>
  <c r="G22" i="1"/>
  <c r="F302" i="1"/>
  <c r="G80" i="1"/>
  <c r="B21" i="1"/>
  <c r="B125" i="1"/>
  <c r="B54" i="1"/>
  <c r="H313" i="1"/>
  <c r="H233" i="1"/>
  <c r="H153" i="1"/>
  <c r="H73" i="1"/>
  <c r="H332" i="1"/>
  <c r="H252" i="1"/>
  <c r="H172" i="1"/>
  <c r="H92" i="1"/>
  <c r="H351" i="1"/>
  <c r="H271" i="1"/>
  <c r="H191" i="1"/>
  <c r="H111" i="1"/>
  <c r="H31" i="1"/>
  <c r="H290" i="1"/>
  <c r="H210" i="1"/>
  <c r="H130" i="1"/>
  <c r="H50" i="1"/>
  <c r="G333" i="1"/>
  <c r="G253" i="1"/>
  <c r="G173" i="1"/>
  <c r="G344" i="1"/>
  <c r="G264" i="1"/>
  <c r="G184" i="1"/>
  <c r="G355" i="1"/>
  <c r="G275" i="1"/>
  <c r="G195" i="1"/>
  <c r="G115" i="1"/>
  <c r="H10" i="1"/>
  <c r="G290" i="1"/>
  <c r="G210" i="1"/>
  <c r="B50" i="1"/>
  <c r="B12" i="1"/>
  <c r="B62" i="1"/>
  <c r="H309" i="1"/>
  <c r="H229" i="1"/>
  <c r="H149" i="1"/>
  <c r="H69" i="1"/>
  <c r="H328" i="1"/>
  <c r="H248" i="1"/>
  <c r="H168" i="1"/>
  <c r="H88" i="1"/>
  <c r="H347" i="1"/>
  <c r="H267" i="1"/>
  <c r="H187" i="1"/>
  <c r="H107" i="1"/>
  <c r="H366" i="1"/>
  <c r="H286" i="1"/>
  <c r="H206" i="1"/>
  <c r="H126" i="1"/>
  <c r="H46" i="1"/>
  <c r="G329" i="1"/>
  <c r="G249" i="1"/>
  <c r="G169" i="1"/>
  <c r="G340" i="1"/>
  <c r="G260" i="1"/>
  <c r="G180" i="1"/>
  <c r="G351" i="1"/>
  <c r="G271" i="1"/>
  <c r="G191" i="1"/>
  <c r="G111" i="1"/>
  <c r="G366" i="1"/>
  <c r="G286" i="1"/>
  <c r="G206" i="1"/>
  <c r="G126" i="1"/>
  <c r="G137" i="1"/>
  <c r="G14" i="1"/>
  <c r="F294" i="1"/>
  <c r="G64" i="1"/>
  <c r="F337" i="1"/>
  <c r="F257" i="1"/>
  <c r="G20" i="1"/>
  <c r="F300" i="1"/>
  <c r="F220" i="1"/>
  <c r="F140" i="1"/>
  <c r="G39" i="1"/>
  <c r="F319" i="1"/>
  <c r="F239" i="1"/>
  <c r="F159" i="1"/>
  <c r="F202" i="1"/>
  <c r="F76" i="1"/>
  <c r="E356" i="1"/>
  <c r="E276" i="1"/>
  <c r="E196" i="1"/>
  <c r="E116" i="1"/>
  <c r="E36" i="1"/>
  <c r="F241" i="1"/>
  <c r="F95" i="1"/>
  <c r="B26" i="1"/>
  <c r="B17" i="1"/>
  <c r="B70" i="1"/>
  <c r="H305" i="1"/>
  <c r="H225" i="1"/>
  <c r="H145" i="1"/>
  <c r="H65" i="1"/>
  <c r="H324" i="1"/>
  <c r="H244" i="1"/>
  <c r="H164" i="1"/>
  <c r="H84" i="1"/>
  <c r="H343" i="1"/>
  <c r="H263" i="1"/>
  <c r="H183" i="1"/>
  <c r="H103" i="1"/>
  <c r="H362" i="1"/>
  <c r="H282" i="1"/>
  <c r="H202" i="1"/>
  <c r="H122" i="1"/>
  <c r="H42" i="1"/>
  <c r="G325" i="1"/>
  <c r="G245" i="1"/>
  <c r="G165" i="1"/>
  <c r="G336" i="1"/>
  <c r="G256" i="1"/>
  <c r="G176" i="1"/>
  <c r="G347" i="1"/>
  <c r="G267" i="1"/>
  <c r="G187" i="1"/>
  <c r="G107" i="1"/>
  <c r="G362" i="1"/>
  <c r="G282" i="1"/>
  <c r="G202" i="1"/>
  <c r="G122" i="1"/>
  <c r="G129" i="1"/>
  <c r="G10" i="1"/>
  <c r="F290" i="1"/>
  <c r="G56" i="1"/>
  <c r="F333" i="1"/>
  <c r="F253" i="1"/>
  <c r="G16" i="1"/>
  <c r="F296" i="1"/>
  <c r="F216" i="1"/>
  <c r="F136" i="1"/>
  <c r="B14" i="1"/>
  <c r="B29" i="1"/>
  <c r="B101" i="1"/>
  <c r="H297" i="1"/>
  <c r="H217" i="1"/>
  <c r="H137" i="1"/>
  <c r="H57" i="1"/>
  <c r="H316" i="1"/>
  <c r="H236" i="1"/>
  <c r="H156" i="1"/>
  <c r="H76" i="1"/>
  <c r="H335" i="1"/>
  <c r="H255" i="1"/>
  <c r="H175" i="1"/>
  <c r="H95" i="1"/>
  <c r="H354" i="1"/>
  <c r="H274" i="1"/>
  <c r="H194" i="1"/>
  <c r="H114" i="1"/>
  <c r="H34" i="1"/>
  <c r="G317" i="1"/>
  <c r="G237" i="1"/>
  <c r="B20" i="1"/>
  <c r="B37" i="1"/>
  <c r="B117" i="1"/>
  <c r="H293" i="1"/>
  <c r="H213" i="1"/>
  <c r="H133" i="1"/>
  <c r="H53" i="1"/>
  <c r="H312" i="1"/>
  <c r="H232" i="1"/>
  <c r="H152" i="1"/>
  <c r="H72" i="1"/>
  <c r="H331" i="1"/>
  <c r="H251" i="1"/>
  <c r="H171" i="1"/>
  <c r="H91" i="1"/>
  <c r="H350" i="1"/>
  <c r="H270" i="1"/>
  <c r="H190" i="1"/>
  <c r="H110" i="1"/>
  <c r="H30" i="1"/>
  <c r="G313" i="1"/>
  <c r="G233" i="1"/>
  <c r="G153" i="1"/>
  <c r="G324" i="1"/>
  <c r="G244" i="1"/>
  <c r="G164" i="1"/>
  <c r="G335" i="1"/>
  <c r="G255" i="1"/>
  <c r="G175" i="1"/>
  <c r="G95" i="1"/>
  <c r="G350" i="1"/>
  <c r="G270" i="1"/>
  <c r="B25" i="1"/>
  <c r="B45" i="1"/>
  <c r="H369" i="1"/>
  <c r="H289" i="1"/>
  <c r="H209" i="1"/>
  <c r="H129" i="1"/>
  <c r="H49" i="1"/>
  <c r="H308" i="1"/>
  <c r="H228" i="1"/>
  <c r="H148" i="1"/>
  <c r="H68" i="1"/>
  <c r="H327" i="1"/>
  <c r="H247" i="1"/>
  <c r="H167" i="1"/>
  <c r="H87" i="1"/>
  <c r="H346" i="1"/>
  <c r="H266" i="1"/>
  <c r="H186" i="1"/>
  <c r="H106" i="1"/>
  <c r="H29" i="1"/>
  <c r="G309" i="1"/>
  <c r="G229" i="1"/>
  <c r="G149" i="1"/>
  <c r="G320" i="1"/>
  <c r="G240" i="1"/>
  <c r="G160" i="1"/>
  <c r="G331" i="1"/>
  <c r="G251" i="1"/>
  <c r="G171" i="1"/>
  <c r="G91" i="1"/>
  <c r="G346" i="1"/>
  <c r="G266" i="1"/>
  <c r="G186" i="1"/>
  <c r="G106" i="1"/>
  <c r="G97" i="1"/>
  <c r="F354" i="1"/>
  <c r="F274" i="1"/>
  <c r="G37" i="1"/>
  <c r="F317" i="1"/>
  <c r="G109" i="1"/>
  <c r="F360" i="1"/>
  <c r="F280" i="1"/>
  <c r="F200" i="1"/>
  <c r="F120" i="1"/>
  <c r="G19" i="1"/>
  <c r="F299" i="1"/>
  <c r="F219" i="1"/>
  <c r="F139" i="1"/>
  <c r="F162" i="1"/>
  <c r="F56" i="1"/>
  <c r="E336" i="1"/>
  <c r="E256" i="1"/>
  <c r="E176" i="1"/>
  <c r="B33" i="1"/>
  <c r="B53" i="1"/>
  <c r="H365" i="1"/>
  <c r="H285" i="1"/>
  <c r="H205" i="1"/>
  <c r="H125" i="1"/>
  <c r="H45" i="1"/>
  <c r="H304" i="1"/>
  <c r="H224" i="1"/>
  <c r="H144" i="1"/>
  <c r="H64" i="1"/>
  <c r="H323" i="1"/>
  <c r="H243" i="1"/>
  <c r="H163" i="1"/>
  <c r="H83" i="1"/>
  <c r="H342" i="1"/>
  <c r="H262" i="1"/>
  <c r="H182" i="1"/>
  <c r="H102" i="1"/>
  <c r="H25" i="1"/>
  <c r="G305" i="1"/>
  <c r="G225" i="1"/>
  <c r="G145" i="1"/>
  <c r="G316" i="1"/>
  <c r="G236" i="1"/>
  <c r="G156" i="1"/>
  <c r="G327" i="1"/>
  <c r="G247" i="1"/>
  <c r="G167" i="1"/>
  <c r="G87" i="1"/>
  <c r="G342" i="1"/>
  <c r="G262" i="1"/>
  <c r="G182" i="1"/>
  <c r="G102" i="1"/>
  <c r="G89" i="1"/>
  <c r="F350" i="1"/>
  <c r="F270" i="1"/>
  <c r="G33" i="1"/>
  <c r="F313" i="1"/>
  <c r="G101" i="1"/>
  <c r="F356" i="1"/>
  <c r="F276" i="1"/>
  <c r="F196" i="1"/>
  <c r="F116" i="1"/>
  <c r="G15" i="1"/>
  <c r="F295" i="1"/>
  <c r="F215" i="1"/>
  <c r="F135" i="1"/>
  <c r="F154" i="1"/>
  <c r="F52" i="1"/>
  <c r="B41" i="1"/>
  <c r="B61" i="1"/>
  <c r="H361" i="1"/>
  <c r="H281" i="1"/>
  <c r="H201" i="1"/>
  <c r="H121" i="1"/>
  <c r="H41" i="1"/>
  <c r="H300" i="1"/>
  <c r="H220" i="1"/>
  <c r="H140" i="1"/>
  <c r="H60" i="1"/>
  <c r="H319" i="1"/>
  <c r="H239" i="1"/>
  <c r="H159" i="1"/>
  <c r="H79" i="1"/>
  <c r="H338" i="1"/>
  <c r="H258" i="1"/>
  <c r="H178" i="1"/>
  <c r="H98" i="1"/>
  <c r="H21" i="1"/>
  <c r="G301" i="1"/>
  <c r="G221" i="1"/>
  <c r="G141" i="1"/>
  <c r="G312" i="1"/>
  <c r="G232" i="1"/>
  <c r="G152" i="1"/>
  <c r="G323" i="1"/>
  <c r="G243" i="1"/>
  <c r="G163" i="1"/>
  <c r="G83" i="1"/>
  <c r="G338" i="1"/>
  <c r="G258" i="1"/>
  <c r="B49" i="1"/>
  <c r="B69" i="1"/>
  <c r="H357" i="1"/>
  <c r="H277" i="1"/>
  <c r="H197" i="1"/>
  <c r="H117" i="1"/>
  <c r="H37" i="1"/>
  <c r="H296" i="1"/>
  <c r="H216" i="1"/>
  <c r="H136" i="1"/>
  <c r="H56" i="1"/>
  <c r="H315" i="1"/>
  <c r="H235" i="1"/>
  <c r="H155" i="1"/>
  <c r="H75" i="1"/>
  <c r="H334" i="1"/>
  <c r="H254" i="1"/>
  <c r="H174" i="1"/>
  <c r="H94" i="1"/>
  <c r="H17" i="1"/>
  <c r="G297" i="1"/>
  <c r="G217" i="1"/>
  <c r="H28" i="1"/>
  <c r="G308" i="1"/>
  <c r="G228" i="1"/>
  <c r="B57" i="1"/>
  <c r="B81" i="1"/>
  <c r="H353" i="1"/>
  <c r="H273" i="1"/>
  <c r="H193" i="1"/>
  <c r="H113" i="1"/>
  <c r="H33" i="1"/>
  <c r="H292" i="1"/>
  <c r="H212" i="1"/>
  <c r="H132" i="1"/>
  <c r="H52" i="1"/>
  <c r="H311" i="1"/>
  <c r="H231" i="1"/>
  <c r="H151" i="1"/>
  <c r="H71" i="1"/>
  <c r="H330" i="1"/>
  <c r="H250" i="1"/>
  <c r="H170" i="1"/>
  <c r="H90" i="1"/>
  <c r="H13" i="1"/>
  <c r="G293" i="1"/>
  <c r="G213" i="1"/>
  <c r="H24" i="1"/>
  <c r="G304" i="1"/>
  <c r="G224" i="1"/>
  <c r="G144" i="1"/>
  <c r="G315" i="1"/>
  <c r="G235" i="1"/>
  <c r="G155" i="1"/>
  <c r="G75" i="1"/>
  <c r="G330" i="1"/>
  <c r="G250" i="1"/>
  <c r="G170" i="1"/>
  <c r="G90" i="1"/>
  <c r="G65" i="1"/>
  <c r="F338" i="1"/>
  <c r="F258" i="1"/>
  <c r="G21" i="1"/>
  <c r="F301" i="1"/>
  <c r="G77" i="1"/>
  <c r="F344" i="1"/>
  <c r="F264" i="1"/>
  <c r="F184" i="1"/>
  <c r="G116" i="1"/>
  <c r="F363" i="1"/>
  <c r="F283" i="1"/>
  <c r="F203" i="1"/>
  <c r="F123" i="1"/>
  <c r="F130" i="1"/>
  <c r="F40" i="1"/>
  <c r="E320" i="1"/>
  <c r="E240" i="1"/>
  <c r="E160" i="1"/>
  <c r="E80" i="1"/>
  <c r="D360" i="1"/>
  <c r="F169" i="1"/>
  <c r="F59" i="1"/>
  <c r="E339" i="1"/>
  <c r="E259" i="1"/>
  <c r="E179" i="1"/>
  <c r="E99" i="1"/>
  <c r="E19" i="1"/>
  <c r="F206" i="1"/>
  <c r="F78" i="1"/>
  <c r="E358" i="1"/>
  <c r="E278" i="1"/>
  <c r="E198" i="1"/>
  <c r="E118" i="1"/>
  <c r="E38" i="1"/>
  <c r="D314" i="1"/>
  <c r="D234" i="1"/>
  <c r="F117" i="1"/>
  <c r="F33" i="1"/>
  <c r="E313" i="1"/>
  <c r="E233" i="1"/>
  <c r="E153" i="1"/>
  <c r="E73" i="1"/>
  <c r="D353" i="1"/>
  <c r="D273" i="1"/>
  <c r="D272" i="1"/>
  <c r="D166" i="1"/>
  <c r="D86" i="1"/>
  <c r="C366" i="1"/>
  <c r="C286" i="1"/>
  <c r="C206" i="1"/>
  <c r="H7" i="1"/>
  <c r="H6" i="1" s="1"/>
  <c r="H4" i="1"/>
  <c r="E12" i="11" l="1"/>
  <c r="B234" i="1"/>
  <c r="B346" i="1"/>
  <c r="B273" i="1"/>
  <c r="B246" i="1"/>
</calcChain>
</file>

<file path=xl/sharedStrings.xml><?xml version="1.0" encoding="utf-8"?>
<sst xmlns="http://schemas.openxmlformats.org/spreadsheetml/2006/main" count="257" uniqueCount="84">
  <si>
    <t>Loan amount</t>
  </si>
  <si>
    <t>Annual interest rate</t>
  </si>
  <si>
    <t>Loan period in years</t>
  </si>
  <si>
    <t>Start date of loan</t>
  </si>
  <si>
    <t>Monthly payment</t>
  </si>
  <si>
    <t>Number of payments</t>
  </si>
  <si>
    <t>Total interest</t>
  </si>
  <si>
    <t>Total cost of loan</t>
  </si>
  <si>
    <t>Simple Loan Calculator</t>
  </si>
  <si>
    <t>Loan Values</t>
  </si>
  <si>
    <t>Loan Summary</t>
  </si>
  <si>
    <t>Pmt No.</t>
  </si>
  <si>
    <t>Payment Date</t>
  </si>
  <si>
    <t>Beginning Balance</t>
  </si>
  <si>
    <t>Payment</t>
  </si>
  <si>
    <t>Principal</t>
  </si>
  <si>
    <t>Interest</t>
  </si>
  <si>
    <t>Ending Balance</t>
  </si>
  <si>
    <t>Bank</t>
  </si>
  <si>
    <t>Amount</t>
  </si>
  <si>
    <t>EMI</t>
  </si>
  <si>
    <t>EMI Date</t>
  </si>
  <si>
    <t>HDFC</t>
  </si>
  <si>
    <t>Fullerton</t>
  </si>
  <si>
    <t>Edelwise</t>
  </si>
  <si>
    <t>Bajaj</t>
  </si>
  <si>
    <t>Axis</t>
  </si>
  <si>
    <t>CLIX</t>
  </si>
  <si>
    <t>Citi</t>
  </si>
  <si>
    <t>Total Amount Pending</t>
  </si>
  <si>
    <t>Total Interest</t>
  </si>
  <si>
    <t>IndusIn</t>
  </si>
  <si>
    <t>Yagnesh Patel</t>
  </si>
  <si>
    <t>IDFC1</t>
  </si>
  <si>
    <t>IDFC2</t>
  </si>
  <si>
    <t>Yes</t>
  </si>
  <si>
    <t>Pending Amount</t>
  </si>
  <si>
    <t>Total</t>
  </si>
  <si>
    <t>CREDIT CARD CHART</t>
  </si>
  <si>
    <t>Account</t>
  </si>
  <si>
    <t>Card Limit</t>
  </si>
  <si>
    <t>Yagneshbhai</t>
  </si>
  <si>
    <t>HSBC</t>
  </si>
  <si>
    <t>RBL</t>
  </si>
  <si>
    <t>VINOD</t>
  </si>
  <si>
    <t>SBI</t>
  </si>
  <si>
    <t xml:space="preserve">Dharmesh </t>
  </si>
  <si>
    <t>Axis Vistare</t>
  </si>
  <si>
    <t>Axis mm</t>
  </si>
  <si>
    <t>Axis Priviledge</t>
  </si>
  <si>
    <t>CITI</t>
  </si>
  <si>
    <t>TOTAL</t>
  </si>
  <si>
    <t>Bharat</t>
  </si>
  <si>
    <t>05th of Every month</t>
  </si>
  <si>
    <t>Other</t>
  </si>
  <si>
    <t>Account of</t>
  </si>
  <si>
    <t>Vinod HDFC Credit Card Loan</t>
  </si>
  <si>
    <t>EMI Start Date</t>
  </si>
  <si>
    <t>Rajubhai Mortgage loan</t>
  </si>
  <si>
    <t>12th of every month</t>
  </si>
  <si>
    <t>Arun Mortgage loan</t>
  </si>
  <si>
    <t>ICICI</t>
  </si>
  <si>
    <t>5th of every Month</t>
  </si>
  <si>
    <t>1st f Every Month</t>
  </si>
  <si>
    <t>Arun Home Loan</t>
  </si>
  <si>
    <t>Rahul</t>
  </si>
  <si>
    <t>10th of Every Month</t>
  </si>
  <si>
    <t>Gold Loan</t>
  </si>
  <si>
    <t>1st of Every Month</t>
  </si>
  <si>
    <t>LIC Loan</t>
  </si>
  <si>
    <t>LIC</t>
  </si>
  <si>
    <t>Every Year</t>
  </si>
  <si>
    <t>Mira Road Property</t>
  </si>
  <si>
    <t>Bharat Bank</t>
  </si>
  <si>
    <t>16th of month</t>
  </si>
  <si>
    <t>Interest Money Lenders</t>
  </si>
  <si>
    <t xml:space="preserve">Account </t>
  </si>
  <si>
    <t>Rate</t>
  </si>
  <si>
    <t>Paresh Soni</t>
  </si>
  <si>
    <t>Dilip</t>
  </si>
  <si>
    <t>Anil(Maharaj)</t>
  </si>
  <si>
    <t>Credit amount</t>
  </si>
  <si>
    <t>DHARMESH LOAN DETAILS(As on 31-JAN-2023)</t>
  </si>
  <si>
    <t>Interest Paid till Jan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</si>
</sst>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.00"/>
    <numFmt numFmtId="165" formatCode="_ [$₹-4009]\ * #,##0.00_ ;_ [$₹-4009]\ * \-#,##0.00_ ;_ [$₹-4009]\ * &quot;-&quot;??_ ;_ @_ "/>
    <numFmt numFmtId="166" formatCode="_ * #,##0_ ;_ * \-#,##0_ ;_ * &quot;-&quot;??_ ;_ @_ "/>
    <numFmt numFmtId="167" formatCode="_ [$₹-4009]\ * #,##0_ ;_ [$₹-4009]\ * \-#,##0_ ;_ [$₹-4009]\ * &quot;-&quot;??_ ;_ @_ "/>
    <numFmt numFmtId="168" formatCode="0.0%"/>
  </numFmts>
  <fonts count="15">
    <font>
      <sz val="11"/>
      <color theme="1" tint="0.24994659260841701"/>
      <name val="Lucida Sans"/>
      <family val="2"/>
      <scheme val="minor"/>
    </font>
    <font>
      <sz val="10"/>
      <name val="Tahoma"/>
      <family val="2"/>
    </font>
    <font>
      <b/>
      <sz val="16"/>
      <color theme="1" tint="0.24994659260841701"/>
      <name val="Rockwell"/>
      <family val="2"/>
      <scheme val="major"/>
    </font>
    <font>
      <b/>
      <sz val="11"/>
      <color theme="3"/>
      <name val="Rockwell"/>
      <family val="2"/>
      <scheme val="major"/>
    </font>
    <font>
      <b/>
      <sz val="11"/>
      <color theme="1" tint="0.24994659260841701"/>
      <name val="Rockwell"/>
      <family val="2"/>
      <scheme val="major"/>
    </font>
    <font>
      <i/>
      <sz val="11"/>
      <color theme="1" tint="0.34998626667073579"/>
      <name val="Lucida Sans"/>
      <family val="2"/>
      <scheme val="minor"/>
    </font>
    <font>
      <sz val="11"/>
      <color theme="1" tint="0.24994659260841701"/>
      <name val="Lucida Sans"/>
      <family val="2"/>
      <scheme val="minor"/>
    </font>
    <font>
      <sz val="11"/>
      <name val="Arial"/>
      <family val="2"/>
    </font>
    <font>
      <b/>
      <sz val="16"/>
      <color theme="5" tint="-0.499984740745262"/>
      <name val="Rockwell"/>
      <family val="2"/>
      <scheme val="major"/>
    </font>
    <font>
      <b/>
      <sz val="11"/>
      <color theme="0"/>
      <name val="Rockwell"/>
      <family val="2"/>
      <scheme val="major"/>
    </font>
    <font>
      <sz val="10"/>
      <name val="Lucida Sans"/>
      <family val="2"/>
      <charset val="238"/>
      <scheme val="minor"/>
    </font>
    <font>
      <sz val="10"/>
      <name val="Lucida Sans"/>
      <family val="2"/>
      <scheme val="minor"/>
    </font>
    <font>
      <sz val="26"/>
      <color rgb="FF20394C"/>
      <name val="Rockwell"/>
      <family val="1"/>
      <scheme val="major"/>
    </font>
    <font>
      <b/>
      <sz val="11"/>
      <color theme="1"/>
      <name val="Lucida Sans"/>
      <family val="2"/>
      <scheme val="minor"/>
    </font>
    <font>
      <b/>
      <sz val="11"/>
      <color theme="1" tint="0.24994659260841701"/>
      <name val="Lucida Sans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0394C"/>
        <bgColor indexed="64"/>
      </patternFill>
    </fill>
    <fill>
      <patternFill patternType="solid">
        <fgColor rgb="FFE6F4F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164" fontId="7" fillId="0" borderId="0" applyFont="0" applyFill="0" applyBorder="0" applyProtection="0">
      <alignment horizontal="right"/>
    </xf>
    <xf numFmtId="0" fontId="4" fillId="0" borderId="1" applyNumberFormat="0" applyFill="0" applyProtection="0"/>
    <xf numFmtId="0" fontId="4" fillId="0" borderId="1" applyNumberFormat="0" applyFill="0" applyProtection="0">
      <alignment vertical="center"/>
    </xf>
    <xf numFmtId="0" fontId="3" fillId="0" borderId="4" applyNumberFormat="0" applyFill="0" applyProtection="0">
      <alignment vertical="center"/>
    </xf>
    <xf numFmtId="0" fontId="6" fillId="2" borderId="2" applyNumberFormat="0" applyProtection="0"/>
    <xf numFmtId="0" fontId="5" fillId="0" borderId="2" applyNumberFormat="0" applyProtection="0">
      <alignment vertical="center"/>
    </xf>
    <xf numFmtId="0" fontId="3" fillId="0" borderId="0" applyNumberFormat="0" applyFill="0" applyBorder="0" applyAlignment="0" applyProtection="0"/>
    <xf numFmtId="0" fontId="2" fillId="0" borderId="3" applyNumberFormat="0" applyFill="0" applyProtection="0">
      <alignment vertical="center"/>
    </xf>
    <xf numFmtId="14" fontId="6" fillId="0" borderId="0" applyFont="0" applyFill="0" applyBorder="0" applyAlignment="0">
      <alignment vertical="center"/>
    </xf>
    <xf numFmtId="3" fontId="6" fillId="0" borderId="0" applyFont="0" applyFill="0" applyBorder="0" applyAlignment="0" applyProtection="0"/>
    <xf numFmtId="10" fontId="6" fillId="0" borderId="0" applyFont="0" applyFill="0" applyBorder="0" applyAlignment="0" applyProtection="0"/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8" fillId="0" borderId="0" xfId="8" applyFont="1" applyBorder="1">
      <alignment vertical="center"/>
    </xf>
    <xf numFmtId="10" fontId="10" fillId="6" borderId="0" xfId="11" applyFont="1" applyFill="1" applyAlignment="1">
      <alignment horizontal="left" vertical="center" indent="1"/>
    </xf>
    <xf numFmtId="3" fontId="10" fillId="6" borderId="0" xfId="10" applyFont="1" applyFill="1" applyAlignment="1">
      <alignment horizontal="left" vertical="center" indent="1"/>
    </xf>
    <xf numFmtId="14" fontId="10" fillId="6" borderId="0" xfId="9" applyFont="1" applyFill="1" applyAlignment="1">
      <alignment horizontal="left" vertical="center" indent="1"/>
    </xf>
    <xf numFmtId="3" fontId="11" fillId="6" borderId="0" xfId="10" applyFont="1" applyFill="1" applyAlignment="1">
      <alignment horizontal="left" vertical="center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3" fontId="0" fillId="0" borderId="0" xfId="10" applyFont="1" applyFill="1" applyBorder="1" applyAlignment="1">
      <alignment horizontal="left" vertical="center"/>
    </xf>
    <xf numFmtId="14" fontId="0" fillId="0" borderId="0" xfId="9" applyFont="1" applyFill="1" applyBorder="1" applyAlignment="1">
      <alignment horizontal="left" vertical="center"/>
    </xf>
    <xf numFmtId="164" fontId="0" fillId="0" borderId="0" xfId="1" applyFont="1" applyFill="1" applyBorder="1" applyAlignment="1">
      <alignment horizontal="right" vertical="center"/>
    </xf>
    <xf numFmtId="165" fontId="0" fillId="0" borderId="0" xfId="1" applyNumberFormat="1" applyFont="1" applyFill="1" applyBorder="1" applyAlignment="1">
      <alignment horizontal="right" vertical="center"/>
    </xf>
    <xf numFmtId="165" fontId="11" fillId="6" borderId="7" xfId="1" applyNumberFormat="1" applyFont="1" applyFill="1" applyBorder="1" applyAlignment="1">
      <alignment horizontal="left" vertical="center" indent="1"/>
    </xf>
    <xf numFmtId="165" fontId="11" fillId="6" borderId="0" xfId="1" applyNumberFormat="1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11" fillId="6" borderId="7" xfId="1" applyNumberFormat="1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1" fontId="13" fillId="7" borderId="8" xfId="0" applyNumberFormat="1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>
      <alignment vertical="center"/>
    </xf>
    <xf numFmtId="3" fontId="0" fillId="0" borderId="8" xfId="0" applyNumberFormat="1" applyBorder="1">
      <alignment vertical="center"/>
    </xf>
    <xf numFmtId="0" fontId="0" fillId="0" borderId="8" xfId="0" applyBorder="1" applyAlignment="1"/>
    <xf numFmtId="0" fontId="14" fillId="8" borderId="8" xfId="0" applyFont="1" applyFill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14" fillId="8" borderId="8" xfId="0" applyNumberFormat="1" applyFont="1" applyFill="1" applyBorder="1" applyAlignment="1">
      <alignment horizontal="center" vertical="center"/>
    </xf>
    <xf numFmtId="166" fontId="13" fillId="7" borderId="8" xfId="10" applyNumberFormat="1" applyFont="1" applyFill="1" applyBorder="1" applyAlignment="1">
      <alignment horizontal="center" vertical="center"/>
    </xf>
    <xf numFmtId="166" fontId="0" fillId="0" borderId="8" xfId="10" applyNumberFormat="1" applyFont="1" applyBorder="1" applyAlignment="1">
      <alignment horizontal="center" vertical="center"/>
    </xf>
    <xf numFmtId="166" fontId="13" fillId="0" borderId="8" xfId="10" applyNumberFormat="1" applyFont="1" applyBorder="1"/>
    <xf numFmtId="0" fontId="0" fillId="0" borderId="8" xfId="0" applyBorder="1" applyAlignment="1">
      <alignment vertical="center" wrapText="1"/>
    </xf>
    <xf numFmtId="14" fontId="0" fillId="0" borderId="8" xfId="0" applyNumberFormat="1" applyBorder="1">
      <alignment vertical="center"/>
    </xf>
    <xf numFmtId="167" fontId="0" fillId="0" borderId="8" xfId="0" applyNumberFormat="1" applyBorder="1" applyAlignment="1">
      <alignment horizontal="center" vertical="center"/>
    </xf>
    <xf numFmtId="0" fontId="0" fillId="7" borderId="8" xfId="0" applyFill="1" applyBorder="1" applyAlignment="1"/>
    <xf numFmtId="167" fontId="0" fillId="0" borderId="8" xfId="0" applyNumberFormat="1" applyBorder="1" applyAlignment="1"/>
    <xf numFmtId="168" fontId="0" fillId="0" borderId="8" xfId="0" applyNumberFormat="1" applyBorder="1" applyAlignment="1"/>
    <xf numFmtId="9" fontId="0" fillId="0" borderId="8" xfId="0" applyNumberFormat="1" applyBorder="1" applyAlignment="1"/>
    <xf numFmtId="3" fontId="0" fillId="0" borderId="0" xfId="0" applyNumberFormat="1">
      <alignment vertical="center"/>
    </xf>
    <xf numFmtId="0" fontId="10" fillId="5" borderId="0" xfId="6" applyFont="1" applyFill="1" applyBorder="1" applyAlignment="1">
      <alignment horizontal="right" vertical="center" indent="1"/>
    </xf>
    <xf numFmtId="0" fontId="12" fillId="3" borderId="0" xfId="8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10" fillId="5" borderId="6" xfId="6" applyFont="1" applyFill="1" applyBorder="1" applyAlignment="1">
      <alignment horizontal="right" vertical="center" indent="1"/>
    </xf>
    <xf numFmtId="0" fontId="13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9" borderId="10" xfId="0" applyFont="1" applyFill="1" applyBorder="1" applyAlignment="1">
      <alignment horizontal="center"/>
    </xf>
  </cellXfs>
  <cellStyles count="12">
    <cellStyle name="Comma" xfId="10" builtinId="3" customBuiltin="1"/>
    <cellStyle name="Currency" xfId="1" builtinId="4" customBuiltin="1"/>
    <cellStyle name="Date" xfId="9" xr:uid="{00000000-0005-0000-0000-000002000000}"/>
    <cellStyle name="Explanatory Text" xfId="6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7" builtinId="19" customBuiltin="1"/>
    <cellStyle name="Input" xfId="5" builtinId="20" customBuiltin="1"/>
    <cellStyle name="Normal" xfId="0" builtinId="0" customBuiltin="1"/>
    <cellStyle name="Percent" xfId="11" builtinId="5" customBuiltin="1"/>
    <cellStyle name="Title" xfId="8" builtinId="15" customBuiltin="1"/>
  </cellStyles>
  <dxfs count="70"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1" tint="0.24994659260841701"/>
      </font>
      <fill>
        <patternFill patternType="solid">
          <fgColor theme="4" tint="0.79992065187536243"/>
          <bgColor theme="0"/>
        </patternFill>
      </fill>
    </dxf>
    <dxf>
      <font>
        <color theme="1" tint="0.24994659260841701"/>
      </font>
      <fill>
        <patternFill patternType="solid">
          <fgColor theme="4" tint="0.79992065187536243"/>
          <bgColor theme="6" tint="0.79998168889431442"/>
        </patternFill>
      </fill>
    </dxf>
    <dxf>
      <font>
        <b/>
        <i val="0"/>
        <color theme="1" tint="0.24994659260841701"/>
      </font>
    </dxf>
    <dxf>
      <font>
        <b/>
        <i val="0"/>
        <color theme="1" tint="0.24994659260841701"/>
      </font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 tint="0.24994659260841701"/>
      </font>
      <border diagonalUp="0" diagonalDown="0">
        <left/>
        <right/>
        <top/>
        <bottom style="thick">
          <color theme="4"/>
        </bottom>
        <vertical/>
        <horizontal/>
      </border>
    </dxf>
  </dxfs>
  <tableStyles count="1" defaultTableStyle="Loan Calculator" defaultPivotStyle="PivotStyleLight16">
    <tableStyle name="Loan Calculator" pivot="0" count="7" xr9:uid="{00000000-0011-0000-FFFF-FFFF00000000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firstColumnStripe" dxfId="6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F4F4"/>
      <color rgb="FF20394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2" name="Picture 1" descr="decorative element">
          <a:extLst>
            <a:ext uri="{FF2B5EF4-FFF2-40B4-BE49-F238E27FC236}">
              <a16:creationId xmlns:a16="http://schemas.microsoft.com/office/drawing/2014/main" id="{1ACBAA0E-84B8-40D3-89B2-F8C4DD4CD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6054"/>
          <a:ext cx="930274" cy="771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2" name="Picture 1" descr="decorative element">
          <a:extLst>
            <a:ext uri="{FF2B5EF4-FFF2-40B4-BE49-F238E27FC236}">
              <a16:creationId xmlns:a16="http://schemas.microsoft.com/office/drawing/2014/main" id="{CCE4766D-9C40-4699-99B8-84297FC7E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6054"/>
          <a:ext cx="930274" cy="771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2" name="Picture 1" descr="decorative element">
          <a:extLst>
            <a:ext uri="{FF2B5EF4-FFF2-40B4-BE49-F238E27FC236}">
              <a16:creationId xmlns:a16="http://schemas.microsoft.com/office/drawing/2014/main" id="{AB0AFD91-C64B-4FDC-AB18-81353637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6054"/>
          <a:ext cx="930274" cy="771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2" name="Picture 1" descr="decorative element">
          <a:extLst>
            <a:ext uri="{FF2B5EF4-FFF2-40B4-BE49-F238E27FC236}">
              <a16:creationId xmlns:a16="http://schemas.microsoft.com/office/drawing/2014/main" id="{6E07BEB1-82B2-4492-97A2-42344BF1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6054"/>
          <a:ext cx="930274" cy="771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2" name="Picture 1" descr="decorative element">
          <a:extLst>
            <a:ext uri="{FF2B5EF4-FFF2-40B4-BE49-F238E27FC236}">
              <a16:creationId xmlns:a16="http://schemas.microsoft.com/office/drawing/2014/main" id="{43E48F07-10A6-408B-A5C7-6C0685E51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6054"/>
          <a:ext cx="930274" cy="771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63" name="Picture 62" descr="decorative element">
          <a:extLst>
            <a:ext uri="{FF2B5EF4-FFF2-40B4-BE49-F238E27FC236}">
              <a16:creationId xmlns:a16="http://schemas.microsoft.com/office/drawing/2014/main" id="{511E34A5-970F-45AE-94FF-925407F2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6054"/>
          <a:ext cx="914399" cy="7745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2" name="Picture 1" descr="decorative element">
          <a:extLst>
            <a:ext uri="{FF2B5EF4-FFF2-40B4-BE49-F238E27FC236}">
              <a16:creationId xmlns:a16="http://schemas.microsoft.com/office/drawing/2014/main" id="{0C38A305-7593-4961-A880-54F97533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6054"/>
          <a:ext cx="930274" cy="771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2" name="Picture 1" descr="decorative element">
          <a:extLst>
            <a:ext uri="{FF2B5EF4-FFF2-40B4-BE49-F238E27FC236}">
              <a16:creationId xmlns:a16="http://schemas.microsoft.com/office/drawing/2014/main" id="{3D65C2FE-EB6F-4CF1-9AC4-4C87C0F60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6054"/>
          <a:ext cx="930274" cy="771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16054</xdr:rowOff>
    </xdr:from>
    <xdr:to>
      <xdr:col>2</xdr:col>
      <xdr:colOff>723899</xdr:colOff>
      <xdr:row>1</xdr:row>
      <xdr:rowOff>19050</xdr:rowOff>
    </xdr:to>
    <xdr:pic>
      <xdr:nvPicPr>
        <xdr:cNvPr id="2" name="Picture 1" descr="decorative element">
          <a:extLst>
            <a:ext uri="{FF2B5EF4-FFF2-40B4-BE49-F238E27FC236}">
              <a16:creationId xmlns:a16="http://schemas.microsoft.com/office/drawing/2014/main" id="{EDA37004-DC83-43CA-B2E2-F071E438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6054"/>
          <a:ext cx="930274" cy="7713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619F4A-105A-424D-95F2-9124011DBE61}" name="Loan379" displayName="Loan379" ref="B9:H369" totalsRowShown="0">
  <tableColumns count="7">
    <tableColumn id="1" xr3:uid="{C4F53947-0EE9-4101-B26B-334731C1FDAB}" name="Pmt No.">
      <calculatedColumnFormula>IFERROR(IF(LoanIsNotPaid*LoanIsGood,PaymentNumber,""), "")</calculatedColumnFormula>
    </tableColumn>
    <tableColumn id="2" xr3:uid="{5137C2DC-1E36-4772-9E41-A3EC01AD45A8}" name="Payment Date">
      <calculatedColumnFormula>IFERROR(IF(LoanIsNotPaid*LoanIsGood,PaymentDate,""), "")</calculatedColumnFormula>
    </tableColumn>
    <tableColumn id="3" xr3:uid="{85E2B9C4-6270-42FE-9058-9504D105661F}" name="Beginning Balance">
      <calculatedColumnFormula>IFERROR(IF(LoanIsNotPaid*LoanIsGood,LoanValue,""), "")</calculatedColumnFormula>
    </tableColumn>
    <tableColumn id="4" xr3:uid="{F77396EC-202B-4C14-BBA6-35B2790FA071}" name="Payment">
      <calculatedColumnFormula>IFERROR(IF(LoanIsNotPaid*LoanIsGood,MonthlyPayment,""), "")</calculatedColumnFormula>
    </tableColumn>
    <tableColumn id="5" xr3:uid="{ACCAC22E-B90F-45D8-8AD1-942F3883E5FD}" name="Principal">
      <calculatedColumnFormula>IFERROR(IF(LoanIsNotPaid*LoanIsGood,Principal,""), "")</calculatedColumnFormula>
    </tableColumn>
    <tableColumn id="6" xr3:uid="{18D956C7-5FB3-4938-A658-420FB312B819}" name="Interest">
      <calculatedColumnFormula>IFERROR(IF(LoanIsNotPaid*LoanIsGood,InterestAmt,""), "")</calculatedColumnFormula>
    </tableColumn>
    <tableColumn id="7" xr3:uid="{20867B92-8231-408F-8B6C-363CB239965A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E8ECCC-AF50-4F65-8B8E-11F83D07488B}" name="Loan36" displayName="Loan36" ref="B9:H369" totalsRowShown="0">
  <tableColumns count="7">
    <tableColumn id="1" xr3:uid="{B9090FC9-879E-459F-A79B-195739FA02D7}" name="Pmt No.">
      <calculatedColumnFormula>IFERROR(IF(LoanIsNotPaid*LoanIsGood,PaymentNumber,""), "")</calculatedColumnFormula>
    </tableColumn>
    <tableColumn id="2" xr3:uid="{14F5801C-CC17-4952-B9CD-E21FC8DFA074}" name="Payment Date">
      <calculatedColumnFormula>IFERROR(IF(LoanIsNotPaid*LoanIsGood,PaymentDate,""), "")</calculatedColumnFormula>
    </tableColumn>
    <tableColumn id="3" xr3:uid="{45AB9FBD-63C9-4732-A759-83E105B14DBF}" name="Beginning Balance">
      <calculatedColumnFormula>IFERROR(IF(LoanIsNotPaid*LoanIsGood,LoanValue,""), "")</calculatedColumnFormula>
    </tableColumn>
    <tableColumn id="4" xr3:uid="{3AA8E5B4-307B-47EE-8AA5-9F5BBD1900BA}" name="Payment">
      <calculatedColumnFormula>IFERROR(IF(LoanIsNotPaid*LoanIsGood,MonthlyPayment,""), "")</calculatedColumnFormula>
    </tableColumn>
    <tableColumn id="5" xr3:uid="{E9EFF09F-D329-47FC-9BCB-A8A0F650994B}" name="Principal">
      <calculatedColumnFormula>IFERROR(IF(LoanIsNotPaid*LoanIsGood,Principal,""), "")</calculatedColumnFormula>
    </tableColumn>
    <tableColumn id="6" xr3:uid="{302718EB-6138-4E6F-A31D-92C721D08611}" name="Interest">
      <calculatedColumnFormula>IFERROR(IF(LoanIsNotPaid*LoanIsGood,InterestAmt,""), "")</calculatedColumnFormula>
    </tableColumn>
    <tableColumn id="7" xr3:uid="{17E6EF03-1DE7-4C41-A82D-1D8A96F31DB6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6F6ED-F4F1-4816-BCD8-1D2EECAA4C0C}" name="Loan4" displayName="Loan4" ref="B9:H369" totalsRowShown="0">
  <tableColumns count="7">
    <tableColumn id="1" xr3:uid="{58E6AD82-23FF-4649-92B3-71785044091A}" name="Pmt No.">
      <calculatedColumnFormula>IFERROR(IF(LoanIsNotPaid*LoanIsGood,PaymentNumber,""), "")</calculatedColumnFormula>
    </tableColumn>
    <tableColumn id="2" xr3:uid="{1B2FDA1F-00AF-49A0-9988-42891A33A563}" name="Payment Date">
      <calculatedColumnFormula>IFERROR(IF(LoanIsNotPaid*LoanIsGood,PaymentDate,""), "")</calculatedColumnFormula>
    </tableColumn>
    <tableColumn id="3" xr3:uid="{9F1342B6-607C-4A7B-96EB-4594483065B9}" name="Beginning Balance">
      <calculatedColumnFormula>IFERROR(IF(LoanIsNotPaid*LoanIsGood,LoanValue,""), "")</calculatedColumnFormula>
    </tableColumn>
    <tableColumn id="4" xr3:uid="{F2A2F232-31F6-4DF0-A381-5C3CAB954AB3}" name="Payment">
      <calculatedColumnFormula>IFERROR(IF(LoanIsNotPaid*LoanIsGood,MonthlyPayment,""), "")</calculatedColumnFormula>
    </tableColumn>
    <tableColumn id="5" xr3:uid="{49F05EF2-6E66-49D4-B750-106D767A1E0B}" name="Principal">
      <calculatedColumnFormula>IFERROR(IF(LoanIsNotPaid*LoanIsGood,Principal,""), "")</calculatedColumnFormula>
    </tableColumn>
    <tableColumn id="6" xr3:uid="{B94A2317-E24B-4E1A-93A0-C53C552279C5}" name="Interest">
      <calculatedColumnFormula>IFERROR(IF(LoanIsNotPaid*LoanIsGood,InterestAmt,""), "")</calculatedColumnFormula>
    </tableColumn>
    <tableColumn id="7" xr3:uid="{1AB54A82-5B8C-4C41-9566-9BDC5BE22091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DA2EFA-6CA9-4EF8-9BE0-FE3EB4B7C506}" name="Loan3" displayName="Loan3" ref="B9:H369" totalsRowShown="0">
  <tableColumns count="7">
    <tableColumn id="1" xr3:uid="{A72C3105-B0E3-4E0D-9E67-B1FB47AAD950}" name="Pmt No.">
      <calculatedColumnFormula>IFERROR(IF(LoanIsNotPaid*LoanIsGood,PaymentNumber,""), "")</calculatedColumnFormula>
    </tableColumn>
    <tableColumn id="2" xr3:uid="{F005111D-BC97-45EE-99E8-98DEBADA84CB}" name="Payment Date">
      <calculatedColumnFormula>IFERROR(IF(LoanIsNotPaid*LoanIsGood,PaymentDate,""), "")</calculatedColumnFormula>
    </tableColumn>
    <tableColumn id="3" xr3:uid="{3F037397-432A-417F-A073-0016D77AEA2C}" name="Beginning Balance">
      <calculatedColumnFormula>IFERROR(IF(LoanIsNotPaid*LoanIsGood,LoanValue,""), "")</calculatedColumnFormula>
    </tableColumn>
    <tableColumn id="4" xr3:uid="{D6C54FE0-8C17-488A-B752-03D2BE8E2581}" name="Payment">
      <calculatedColumnFormula>IFERROR(IF(LoanIsNotPaid*LoanIsGood,MonthlyPayment,""), "")</calculatedColumnFormula>
    </tableColumn>
    <tableColumn id="5" xr3:uid="{CC3C7B8A-DBB5-4D67-87EB-DABF321423CE}" name="Principal">
      <calculatedColumnFormula>IFERROR(IF(LoanIsNotPaid*LoanIsGood,Principal,""), "")</calculatedColumnFormula>
    </tableColumn>
    <tableColumn id="6" xr3:uid="{9184E899-E3A6-49BE-8A2C-E74B3E88A22B}" name="Interest">
      <calculatedColumnFormula>IFERROR(IF(LoanIsNotPaid*LoanIsGood,InterestAmt,""), "")</calculatedColumnFormula>
    </tableColumn>
    <tableColumn id="7" xr3:uid="{64FCDE0E-CD15-48BA-A59A-C322E108C5EB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D57C24-BDF8-4F8F-9C83-D3B23F520927}" name="Loan37910" displayName="Loan37910" ref="B9:H369" totalsRowShown="0">
  <tableColumns count="7">
    <tableColumn id="1" xr3:uid="{CB6A67AC-E95D-456B-92E9-14B0F7ECF34A}" name="Pmt No.">
      <calculatedColumnFormula>IFERROR(IF(LoanIsNotPaid*LoanIsGood,PaymentNumber,""), "")</calculatedColumnFormula>
    </tableColumn>
    <tableColumn id="2" xr3:uid="{6ADBF93F-971C-4545-ABE3-EBF21071AD18}" name="Payment Date">
      <calculatedColumnFormula>IFERROR(IF(LoanIsNotPaid*LoanIsGood,PaymentDate,""), "")</calculatedColumnFormula>
    </tableColumn>
    <tableColumn id="3" xr3:uid="{826DA8AE-7489-402A-B42C-DB796385CF0E}" name="Beginning Balance">
      <calculatedColumnFormula>IFERROR(IF(LoanIsNotPaid*LoanIsGood,LoanValue,""), "")</calculatedColumnFormula>
    </tableColumn>
    <tableColumn id="4" xr3:uid="{4A24C28D-D4A4-45AA-BF63-DB4C8FE63EF6}" name="Payment">
      <calculatedColumnFormula>IFERROR(IF(LoanIsNotPaid*LoanIsGood,MonthlyPayment,""), "")</calculatedColumnFormula>
    </tableColumn>
    <tableColumn id="5" xr3:uid="{706C9D7F-4BF1-4B42-A6DD-735BECC6F56A}" name="Principal">
      <calculatedColumnFormula>IFERROR(IF(LoanIsNotPaid*LoanIsGood,Principal,""), "")</calculatedColumnFormula>
    </tableColumn>
    <tableColumn id="6" xr3:uid="{0EBFDC69-AB1C-49C9-83DD-5B5BDBB5CFCD}" name="Interest">
      <calculatedColumnFormula>IFERROR(IF(LoanIsNotPaid*LoanIsGood,InterestAmt,""), "")</calculatedColumnFormula>
    </tableColumn>
    <tableColumn id="7" xr3:uid="{51888562-9093-4C89-9DAE-085996E6C483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" displayName="Loan" ref="B9:H369" totalsRowShown="0">
  <tableColumns count="7">
    <tableColumn id="1" xr3:uid="{00000000-0010-0000-0000-000001000000}" name="Pmt No.">
      <calculatedColumnFormula>IFERROR(IF(LoanIsNotPaid*LoanIsGood,PaymentNumber,""), "")</calculatedColumnFormula>
    </tableColumn>
    <tableColumn id="2" xr3:uid="{00000000-0010-0000-0000-000002000000}" name="Payment Date">
      <calculatedColumnFormula>IFERROR(IF(LoanIsNotPaid*LoanIsGood,PaymentDate,""), "")</calculatedColumnFormula>
    </tableColumn>
    <tableColumn id="3" xr3:uid="{00000000-0010-0000-0000-000003000000}" name="Beginning Balance">
      <calculatedColumnFormula>IFERROR(IF(LoanIsNotPaid*LoanIsGood,LoanValue,""), "")</calculatedColumnFormula>
    </tableColumn>
    <tableColumn id="4" xr3:uid="{00000000-0010-0000-0000-000004000000}" name="Payment">
      <calculatedColumnFormula>IFERROR(IF(LoanIsNotPaid*LoanIsGood,MonthlyPayment,""), "")</calculatedColumnFormula>
    </tableColumn>
    <tableColumn id="5" xr3:uid="{00000000-0010-0000-0000-000005000000}" name="Principal">
      <calculatedColumnFormula>IFERROR(IF(LoanIsNotPaid*LoanIsGood,Principal,""), "")</calculatedColumnFormula>
    </tableColumn>
    <tableColumn id="6" xr3:uid="{00000000-0010-0000-0000-000006000000}" name="Interest">
      <calculatedColumnFormula>IFERROR(IF(LoanIsNotPaid*LoanIsGood,InterestAmt,""), "")</calculatedColumnFormula>
    </tableColumn>
    <tableColumn id="7" xr3:uid="{00000000-0010-0000-0000-000007000000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25F28-4B66-40FE-8D8F-B75AB8392840}" name="Loan35" displayName="Loan35" ref="B9:H369" totalsRowShown="0">
  <tableColumns count="7">
    <tableColumn id="1" xr3:uid="{5F2D7E35-75D9-4FF6-A772-58287607F235}" name="Pmt No.">
      <calculatedColumnFormula>IFERROR(IF(LoanIsNotPaid*LoanIsGood,PaymentNumber,""), "")</calculatedColumnFormula>
    </tableColumn>
    <tableColumn id="2" xr3:uid="{0C56333D-0038-4B6A-8F78-2353D2B21FD1}" name="Payment Date">
      <calculatedColumnFormula>IFERROR(IF(LoanIsNotPaid*LoanIsGood,PaymentDate,""), "")</calculatedColumnFormula>
    </tableColumn>
    <tableColumn id="3" xr3:uid="{03A33B27-613E-4359-AE3C-4ABEB7CD8979}" name="Beginning Balance">
      <calculatedColumnFormula>IFERROR(IF(LoanIsNotPaid*LoanIsGood,LoanValue,""), "")</calculatedColumnFormula>
    </tableColumn>
    <tableColumn id="4" xr3:uid="{77FE38D4-1427-440C-AC75-2CF45A8AE37D}" name="Payment">
      <calculatedColumnFormula>IFERROR(IF(LoanIsNotPaid*LoanIsGood,MonthlyPayment,""), "")</calculatedColumnFormula>
    </tableColumn>
    <tableColumn id="5" xr3:uid="{5E115822-BDFD-43B2-9F91-3E95C696ACBC}" name="Principal">
      <calculatedColumnFormula>IFERROR(IF(LoanIsNotPaid*LoanIsGood,Principal,""), "")</calculatedColumnFormula>
    </tableColumn>
    <tableColumn id="6" xr3:uid="{A6392AEB-ED50-4EFF-8901-A2CFCBD1AB49}" name="Interest">
      <calculatedColumnFormula>IFERROR(IF(LoanIsNotPaid*LoanIsGood,InterestAmt,""), "")</calculatedColumnFormula>
    </tableColumn>
    <tableColumn id="7" xr3:uid="{070B5CAC-144E-4505-ABC6-EC8CD2722053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387631-486B-41C1-9A96-36F12E59AD59}" name="Loan37" displayName="Loan37" ref="B9:H369" totalsRowShown="0">
  <tableColumns count="7">
    <tableColumn id="1" xr3:uid="{9FE6DBB1-4E38-4CD1-8B7A-B8448BEBECEE}" name="Pmt No.">
      <calculatedColumnFormula>IFERROR(IF(LoanIsNotPaid*LoanIsGood,PaymentNumber,""), "")</calculatedColumnFormula>
    </tableColumn>
    <tableColumn id="2" xr3:uid="{EB64A8E0-67F9-4ABA-BFB2-B7BAE898B9B9}" name="Payment Date">
      <calculatedColumnFormula>IFERROR(IF(LoanIsNotPaid*LoanIsGood,PaymentDate,""), "")</calculatedColumnFormula>
    </tableColumn>
    <tableColumn id="3" xr3:uid="{2D198491-107E-44EE-9014-913496A77581}" name="Beginning Balance">
      <calculatedColumnFormula>IFERROR(IF(LoanIsNotPaid*LoanIsGood,LoanValue,""), "")</calculatedColumnFormula>
    </tableColumn>
    <tableColumn id="4" xr3:uid="{D43655F9-891F-4AF2-9234-C1C884E1ACFD}" name="Payment">
      <calculatedColumnFormula>IFERROR(IF(LoanIsNotPaid*LoanIsGood,MonthlyPayment,""), "")</calculatedColumnFormula>
    </tableColumn>
    <tableColumn id="5" xr3:uid="{CE6CCC70-48DA-42C9-8B20-22155710E067}" name="Principal">
      <calculatedColumnFormula>IFERROR(IF(LoanIsNotPaid*LoanIsGood,Principal,""), "")</calculatedColumnFormula>
    </tableColumn>
    <tableColumn id="6" xr3:uid="{E77F802A-B3E9-4F00-803F-99CADF381BB3}" name="Interest">
      <calculatedColumnFormula>IFERROR(IF(LoanIsNotPaid*LoanIsGood,InterestAmt,""), "")</calculatedColumnFormula>
    </tableColumn>
    <tableColumn id="7" xr3:uid="{7797AA42-F1BC-4D11-B435-C5FA33F653A6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818881-E8B6-40FD-9B13-EFBDD44212C9}" name="Loan378" displayName="Loan378" ref="B9:H369" totalsRowShown="0">
  <tableColumns count="7">
    <tableColumn id="1" xr3:uid="{B26E4DF3-765A-4E01-9324-AE8DC972AA0B}" name="Pmt No.">
      <calculatedColumnFormula>IFERROR(IF(LoanIsNotPaid*LoanIsGood,PaymentNumber,""), "")</calculatedColumnFormula>
    </tableColumn>
    <tableColumn id="2" xr3:uid="{A1576F35-3D46-40CA-9F74-A9010DE5F79E}" name="Payment Date">
      <calculatedColumnFormula>IFERROR(IF(LoanIsNotPaid*LoanIsGood,PaymentDate,""), "")</calculatedColumnFormula>
    </tableColumn>
    <tableColumn id="3" xr3:uid="{195DBB77-597F-4FFC-A7E6-921B93898B58}" name="Beginning Balance">
      <calculatedColumnFormula>IFERROR(IF(LoanIsNotPaid*LoanIsGood,LoanValue,""), "")</calculatedColumnFormula>
    </tableColumn>
    <tableColumn id="4" xr3:uid="{65725AB3-77D2-4E60-A0B9-6BD47699F8AE}" name="Payment">
      <calculatedColumnFormula>IFERROR(IF(LoanIsNotPaid*LoanIsGood,MonthlyPayment,""), "")</calculatedColumnFormula>
    </tableColumn>
    <tableColumn id="5" xr3:uid="{F497DE9F-BFA5-4165-B1A2-D933E7182501}" name="Principal">
      <calculatedColumnFormula>IFERROR(IF(LoanIsNotPaid*LoanIsGood,Principal,""), "")</calculatedColumnFormula>
    </tableColumn>
    <tableColumn id="6" xr3:uid="{36569D34-B618-4798-A54D-55AA56A7A0EF}" name="Interest">
      <calculatedColumnFormula>IFERROR(IF(LoanIsNotPaid*LoanIsGood,InterestAmt,""), "")</calculatedColumnFormula>
    </tableColumn>
    <tableColumn id="7" xr3:uid="{C7167C80-D121-449E-8575-3ECA62EC476A}" name="Ending Balance">
      <calculatedColumnFormula>IFERROR(IF(LoanIsNotPaid*LoanIsGood,EndingBalance,""), "")</calculatedColumnFormula>
    </tableColumn>
  </tableColumns>
  <tableStyleInfo name="Loan Calculator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heme/theme1.xml><?xml version="1.0" encoding="utf-8"?>
<a:theme xmlns:a="http://schemas.openxmlformats.org/drawingml/2006/main" name="Personal">
  <a:themeElements>
    <a:clrScheme name="Rainbow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ustom 2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A1D5-5ACE-4E5E-B058-BD5DE3F136BF}">
  <sheetPr>
    <tabColor theme="4"/>
    <pageSetUpPr fitToPage="1"/>
  </sheetPr>
  <dimension ref="B1:H369"/>
  <sheetViews>
    <sheetView showGridLines="0" zoomScale="80" zoomScaleNormal="80" workbookViewId="0">
      <pane ySplit="9" topLeftCell="A40" activePane="bottomLeft" state="frozenSplit"/>
      <selection activeCell="D40" sqref="D40"/>
      <selection pane="bottomLeft" activeCell="H41" sqref="H41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1650000</v>
      </c>
      <c r="E4"/>
      <c r="F4" s="43" t="s">
        <v>4</v>
      </c>
      <c r="G4" s="43"/>
      <c r="H4" s="13">
        <f>IFERROR(IF(LoanIsGood,MonthlyPayment,""), "")</f>
        <v>23959.383922915164</v>
      </c>
    </row>
    <row r="5" spans="2:8" ht="20.149999999999999" customHeight="1">
      <c r="B5" s="40" t="s">
        <v>1</v>
      </c>
      <c r="C5" s="40"/>
      <c r="D5" s="3">
        <v>8.7499999999999994E-2</v>
      </c>
      <c r="E5"/>
      <c r="F5" s="40" t="s">
        <v>5</v>
      </c>
      <c r="G5" s="40"/>
      <c r="H5" s="6">
        <v>96</v>
      </c>
    </row>
    <row r="6" spans="2:8" ht="20.149999999999999" customHeight="1">
      <c r="B6" s="40" t="s">
        <v>2</v>
      </c>
      <c r="C6" s="40"/>
      <c r="D6" s="4">
        <v>5</v>
      </c>
      <c r="E6"/>
      <c r="F6" s="40" t="s">
        <v>6</v>
      </c>
      <c r="G6" s="40"/>
      <c r="H6" s="14">
        <f>IFERROR(IF(LoanIsGood,TotalLoanCost-LoanAmount,""), "")</f>
        <v>650100.8565998557</v>
      </c>
    </row>
    <row r="7" spans="2:8" ht="20.149999999999999" customHeight="1">
      <c r="B7" s="40" t="s">
        <v>3</v>
      </c>
      <c r="C7" s="40"/>
      <c r="D7" s="5">
        <v>43893</v>
      </c>
      <c r="E7"/>
      <c r="F7" s="40" t="s">
        <v>7</v>
      </c>
      <c r="G7" s="40"/>
      <c r="H7" s="14">
        <f>IFERROR(IF(LoanIsGood,MonthlyPayment*NumberOfPayments,""), "")</f>
        <v>2300100.8565998557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43924</v>
      </c>
      <c r="D10" s="12">
        <f>IFERROR(IF(LoanIsNotPaid*LoanIsGood,LoanValue,""), "")</f>
        <v>1650000</v>
      </c>
      <c r="E10" s="12">
        <f>IFERROR(IF(LoanIsNotPaid*LoanIsGood,MonthlyPayment,""), "")</f>
        <v>23959.383922915164</v>
      </c>
      <c r="F10" s="12">
        <f>IFERROR(IF(LoanIsNotPaid*LoanIsGood,Principal,""), "")</f>
        <v>11928.133922915164</v>
      </c>
      <c r="G10" s="12">
        <f>IFERROR(IF(LoanIsNotPaid*LoanIsGood,InterestAmt,""), "")</f>
        <v>12031.249999999998</v>
      </c>
      <c r="H10" s="12">
        <f>IFERROR(IF(LoanIsNotPaid*LoanIsGood,EndingBalance,""), "")</f>
        <v>1638071.8660770848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43954</v>
      </c>
      <c r="D11" s="12">
        <f>IFERROR(IF(LoanIsNotPaid*LoanIsGood,LoanValue,""), "")</f>
        <v>1638071.8660770848</v>
      </c>
      <c r="E11" s="12">
        <f>IFERROR(IF(LoanIsNotPaid*LoanIsGood,MonthlyPayment,""), "")</f>
        <v>23959.383922915164</v>
      </c>
      <c r="F11" s="12">
        <f>IFERROR(IF(LoanIsNotPaid*LoanIsGood,Principal,""), "")</f>
        <v>12015.10989943642</v>
      </c>
      <c r="G11" s="12">
        <f>IFERROR(IF(LoanIsNotPaid*LoanIsGood,InterestAmt,""), "")</f>
        <v>11944.274023478743</v>
      </c>
      <c r="H11" s="12">
        <f>IFERROR(IF(LoanIsNotPaid*LoanIsGood,EndingBalance,""), "")</f>
        <v>1626056.7561776482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43985</v>
      </c>
      <c r="D12" s="12">
        <f>IFERROR(IF(LoanIsNotPaid*LoanIsGood,LoanValue,""), "")</f>
        <v>1626056.7561776482</v>
      </c>
      <c r="E12" s="12">
        <f>IFERROR(IF(LoanIsNotPaid*LoanIsGood,MonthlyPayment,""), "")</f>
        <v>23959.383922915164</v>
      </c>
      <c r="F12" s="12">
        <f>IFERROR(IF(LoanIsNotPaid*LoanIsGood,Principal,""), "")</f>
        <v>12102.720075786478</v>
      </c>
      <c r="G12" s="12">
        <f>IFERROR(IF(LoanIsNotPaid*LoanIsGood,InterestAmt,""), "")</f>
        <v>11856.663847128688</v>
      </c>
      <c r="H12" s="12">
        <f>IFERROR(IF(LoanIsNotPaid*LoanIsGood,EndingBalance,""), "")</f>
        <v>1613954.0361018616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44015</v>
      </c>
      <c r="D13" s="12">
        <f>IFERROR(IF(LoanIsNotPaid*LoanIsGood,LoanValue,""), "")</f>
        <v>1613954.0361018616</v>
      </c>
      <c r="E13" s="12">
        <f>IFERROR(IF(LoanIsNotPaid*LoanIsGood,MonthlyPayment,""), "")</f>
        <v>23959.383922915164</v>
      </c>
      <c r="F13" s="12">
        <f>IFERROR(IF(LoanIsNotPaid*LoanIsGood,Principal,""), "")</f>
        <v>12190.969076339088</v>
      </c>
      <c r="G13" s="12">
        <f>IFERROR(IF(LoanIsNotPaid*LoanIsGood,InterestAmt,""), "")</f>
        <v>11768.414846576079</v>
      </c>
      <c r="H13" s="12">
        <f>IFERROR(IF(LoanIsNotPaid*LoanIsGood,EndingBalance,""), "")</f>
        <v>1601763.0670255227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44046</v>
      </c>
      <c r="D14" s="12">
        <f>IFERROR(IF(LoanIsNotPaid*LoanIsGood,LoanValue,""), "")</f>
        <v>1601763.0670255227</v>
      </c>
      <c r="E14" s="12">
        <f>IFERROR(IF(LoanIsNotPaid*LoanIsGood,MonthlyPayment,""), "")</f>
        <v>23959.383922915164</v>
      </c>
      <c r="F14" s="12">
        <f>IFERROR(IF(LoanIsNotPaid*LoanIsGood,Principal,""), "")</f>
        <v>12279.861559187393</v>
      </c>
      <c r="G14" s="12">
        <f>IFERROR(IF(LoanIsNotPaid*LoanIsGood,InterestAmt,""), "")</f>
        <v>11679.522363727772</v>
      </c>
      <c r="H14" s="12">
        <f>IFERROR(IF(LoanIsNotPaid*LoanIsGood,EndingBalance,""), "")</f>
        <v>1589483.2054663352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44077</v>
      </c>
      <c r="D15" s="12">
        <f>IFERROR(IF(LoanIsNotPaid*LoanIsGood,LoanValue,""), "")</f>
        <v>1589483.2054663352</v>
      </c>
      <c r="E15" s="12">
        <f>IFERROR(IF(LoanIsNotPaid*LoanIsGood,MonthlyPayment,""), "")</f>
        <v>23959.383922915164</v>
      </c>
      <c r="F15" s="12">
        <f>IFERROR(IF(LoanIsNotPaid*LoanIsGood,Principal,""), "")</f>
        <v>12369.402216389801</v>
      </c>
      <c r="G15" s="12">
        <f>IFERROR(IF(LoanIsNotPaid*LoanIsGood,InterestAmt,""), "")</f>
        <v>11589.981706525363</v>
      </c>
      <c r="H15" s="12">
        <f>IFERROR(IF(LoanIsNotPaid*LoanIsGood,EndingBalance,""), "")</f>
        <v>1577113.8032499454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44107</v>
      </c>
      <c r="D16" s="12">
        <f>IFERROR(IF(LoanIsNotPaid*LoanIsGood,LoanValue,""), "")</f>
        <v>1577113.8032499454</v>
      </c>
      <c r="E16" s="12">
        <f>IFERROR(IF(LoanIsNotPaid*LoanIsGood,MonthlyPayment,""), "")</f>
        <v>23959.383922915164</v>
      </c>
      <c r="F16" s="12">
        <f>IFERROR(IF(LoanIsNotPaid*LoanIsGood,Principal,""), "")</f>
        <v>12459.595774217642</v>
      </c>
      <c r="G16" s="12">
        <f>IFERROR(IF(LoanIsNotPaid*LoanIsGood,InterestAmt,""), "")</f>
        <v>11499.788148697518</v>
      </c>
      <c r="H16" s="12">
        <f>IFERROR(IF(LoanIsNotPaid*LoanIsGood,EndingBalance,""), "")</f>
        <v>1564654.2074757277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44138</v>
      </c>
      <c r="D17" s="12">
        <f>IFERROR(IF(LoanIsNotPaid*LoanIsGood,LoanValue,""), "")</f>
        <v>1564654.2074757277</v>
      </c>
      <c r="E17" s="12">
        <f>IFERROR(IF(LoanIsNotPaid*LoanIsGood,MonthlyPayment,""), "")</f>
        <v>23959.383922915164</v>
      </c>
      <c r="F17" s="12">
        <f>IFERROR(IF(LoanIsNotPaid*LoanIsGood,Principal,""), "")</f>
        <v>12550.446993404648</v>
      </c>
      <c r="G17" s="12">
        <f>IFERROR(IF(LoanIsNotPaid*LoanIsGood,InterestAmt,""), "")</f>
        <v>11408.936929510517</v>
      </c>
      <c r="H17" s="12">
        <f>IFERROR(IF(LoanIsNotPaid*LoanIsGood,EndingBalance,""), "")</f>
        <v>1552103.7604823229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44168</v>
      </c>
      <c r="D18" s="12">
        <f>IFERROR(IF(LoanIsNotPaid*LoanIsGood,LoanValue,""), "")</f>
        <v>1552103.7604823229</v>
      </c>
      <c r="E18" s="12">
        <f>IFERROR(IF(LoanIsNotPaid*LoanIsGood,MonthlyPayment,""), "")</f>
        <v>23959.383922915164</v>
      </c>
      <c r="F18" s="12">
        <f>IFERROR(IF(LoanIsNotPaid*LoanIsGood,Principal,""), "")</f>
        <v>12641.960669398222</v>
      </c>
      <c r="G18" s="12">
        <f>IFERROR(IF(LoanIsNotPaid*LoanIsGood,InterestAmt,""), "")</f>
        <v>11317.423253516941</v>
      </c>
      <c r="H18" s="12">
        <f>IFERROR(IF(LoanIsNotPaid*LoanIsGood,EndingBalance,""), "")</f>
        <v>1539461.7998129246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44199</v>
      </c>
      <c r="D19" s="12">
        <f>IFERROR(IF(LoanIsNotPaid*LoanIsGood,LoanValue,""), "")</f>
        <v>1539461.7998129246</v>
      </c>
      <c r="E19" s="12">
        <f>IFERROR(IF(LoanIsNotPaid*LoanIsGood,MonthlyPayment,""), "")</f>
        <v>23959.383922915164</v>
      </c>
      <c r="F19" s="12">
        <f>IFERROR(IF(LoanIsNotPaid*LoanIsGood,Principal,""), "")</f>
        <v>12734.141632612585</v>
      </c>
      <c r="G19" s="12">
        <f>IFERROR(IF(LoanIsNotPaid*LoanIsGood,InterestAmt,""), "")</f>
        <v>11225.24229030258</v>
      </c>
      <c r="H19" s="12">
        <f>IFERROR(IF(LoanIsNotPaid*LoanIsGood,EndingBalance,""), "")</f>
        <v>1526727.6581803118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44230</v>
      </c>
      <c r="D20" s="12">
        <f>IFERROR(IF(LoanIsNotPaid*LoanIsGood,LoanValue,""), "")</f>
        <v>1526727.6581803118</v>
      </c>
      <c r="E20" s="12">
        <f>IFERROR(IF(LoanIsNotPaid*LoanIsGood,MonthlyPayment,""), "")</f>
        <v>23959.383922915164</v>
      </c>
      <c r="F20" s="12">
        <f>IFERROR(IF(LoanIsNotPaid*LoanIsGood,Principal,""), "")</f>
        <v>12826.994748683717</v>
      </c>
      <c r="G20" s="12">
        <f>IFERROR(IF(LoanIsNotPaid*LoanIsGood,InterestAmt,""), "")</f>
        <v>11132.38917423145</v>
      </c>
      <c r="H20" s="12">
        <f>IFERROR(IF(LoanIsNotPaid*LoanIsGood,EndingBalance,""), "")</f>
        <v>1513900.6634316281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44258</v>
      </c>
      <c r="D21" s="12">
        <f>IFERROR(IF(LoanIsNotPaid*LoanIsGood,LoanValue,""), "")</f>
        <v>1513900.6634316281</v>
      </c>
      <c r="E21" s="12">
        <f>IFERROR(IF(LoanIsNotPaid*LoanIsGood,MonthlyPayment,""), "")</f>
        <v>23959.383922915164</v>
      </c>
      <c r="F21" s="12">
        <f>IFERROR(IF(LoanIsNotPaid*LoanIsGood,Principal,""), "")</f>
        <v>12920.524918726203</v>
      </c>
      <c r="G21" s="12">
        <f>IFERROR(IF(LoanIsNotPaid*LoanIsGood,InterestAmt,""), "")</f>
        <v>11038.859004188962</v>
      </c>
      <c r="H21" s="12">
        <f>IFERROR(IF(LoanIsNotPaid*LoanIsGood,EndingBalance,""), "")</f>
        <v>1500980.1385129017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44289</v>
      </c>
      <c r="D22" s="12">
        <f>IFERROR(IF(LoanIsNotPaid*LoanIsGood,LoanValue,""), "")</f>
        <v>1500980.1385129017</v>
      </c>
      <c r="E22" s="12">
        <f>IFERROR(IF(LoanIsNotPaid*LoanIsGood,MonthlyPayment,""), "")</f>
        <v>23959.383922915164</v>
      </c>
      <c r="F22" s="12">
        <f>IFERROR(IF(LoanIsNotPaid*LoanIsGood,Principal,""), "")</f>
        <v>13014.737079591916</v>
      </c>
      <c r="G22" s="12">
        <f>IFERROR(IF(LoanIsNotPaid*LoanIsGood,InterestAmt,""), "")</f>
        <v>10944.646843323249</v>
      </c>
      <c r="H22" s="12">
        <f>IFERROR(IF(LoanIsNotPaid*LoanIsGood,EndingBalance,""), "")</f>
        <v>1487965.40143331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44319</v>
      </c>
      <c r="D23" s="12">
        <f>IFERROR(IF(LoanIsNotPaid*LoanIsGood,LoanValue,""), "")</f>
        <v>1487965.40143331</v>
      </c>
      <c r="E23" s="12">
        <f>IFERROR(IF(LoanIsNotPaid*LoanIsGood,MonthlyPayment,""), "")</f>
        <v>23959.383922915164</v>
      </c>
      <c r="F23" s="12">
        <f>IFERROR(IF(LoanIsNotPaid*LoanIsGood,Principal,""), "")</f>
        <v>13109.636204130607</v>
      </c>
      <c r="G23" s="12">
        <f>IFERROR(IF(LoanIsNotPaid*LoanIsGood,InterestAmt,""), "")</f>
        <v>10849.74771878456</v>
      </c>
      <c r="H23" s="12">
        <f>IFERROR(IF(LoanIsNotPaid*LoanIsGood,EndingBalance,""), "")</f>
        <v>1474855.7652291791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44350</v>
      </c>
      <c r="D24" s="12">
        <f>IFERROR(IF(LoanIsNotPaid*LoanIsGood,LoanValue,""), "")</f>
        <v>1474855.7652291791</v>
      </c>
      <c r="E24" s="12">
        <f>IFERROR(IF(LoanIsNotPaid*LoanIsGood,MonthlyPayment,""), "")</f>
        <v>23959.383922915164</v>
      </c>
      <c r="F24" s="12">
        <f>IFERROR(IF(LoanIsNotPaid*LoanIsGood,Principal,""), "")</f>
        <v>13205.227301452393</v>
      </c>
      <c r="G24" s="12">
        <f>IFERROR(IF(LoanIsNotPaid*LoanIsGood,InterestAmt,""), "")</f>
        <v>10754.156621462771</v>
      </c>
      <c r="H24" s="12">
        <f>IFERROR(IF(LoanIsNotPaid*LoanIsGood,EndingBalance,""), "")</f>
        <v>1461650.537927727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44380</v>
      </c>
      <c r="D25" s="12">
        <f>IFERROR(IF(LoanIsNotPaid*LoanIsGood,LoanValue,""), "")</f>
        <v>1461650.537927727</v>
      </c>
      <c r="E25" s="12">
        <f>IFERROR(IF(LoanIsNotPaid*LoanIsGood,MonthlyPayment,""), "")</f>
        <v>23959.383922915164</v>
      </c>
      <c r="F25" s="12">
        <f>IFERROR(IF(LoanIsNotPaid*LoanIsGood,Principal,""), "")</f>
        <v>13301.515417192148</v>
      </c>
      <c r="G25" s="12">
        <f>IFERROR(IF(LoanIsNotPaid*LoanIsGood,InterestAmt,""), "")</f>
        <v>10657.868505723014</v>
      </c>
      <c r="H25" s="12">
        <f>IFERROR(IF(LoanIsNotPaid*LoanIsGood,EndingBalance,""), "")</f>
        <v>1448349.0225105344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44411</v>
      </c>
      <c r="D26" s="12">
        <f>IFERROR(IF(LoanIsNotPaid*LoanIsGood,LoanValue,""), "")</f>
        <v>1448349.0225105344</v>
      </c>
      <c r="E26" s="12">
        <f>IFERROR(IF(LoanIsNotPaid*LoanIsGood,MonthlyPayment,""), "")</f>
        <v>23959.383922915164</v>
      </c>
      <c r="F26" s="12">
        <f>IFERROR(IF(LoanIsNotPaid*LoanIsGood,Principal,""), "")</f>
        <v>13398.50563377584</v>
      </c>
      <c r="G26" s="12">
        <f>IFERROR(IF(LoanIsNotPaid*LoanIsGood,InterestAmt,""), "")</f>
        <v>10560.87828913932</v>
      </c>
      <c r="H26" s="12">
        <f>IFERROR(IF(LoanIsNotPaid*LoanIsGood,EndingBalance,""), "")</f>
        <v>1434950.5168767588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44442</v>
      </c>
      <c r="D27" s="12">
        <f>IFERROR(IF(LoanIsNotPaid*LoanIsGood,LoanValue,""), "")</f>
        <v>1434950.5168767588</v>
      </c>
      <c r="E27" s="12">
        <f>IFERROR(IF(LoanIsNotPaid*LoanIsGood,MonthlyPayment,""), "")</f>
        <v>23959.383922915164</v>
      </c>
      <c r="F27" s="12">
        <f>IFERROR(IF(LoanIsNotPaid*LoanIsGood,Principal,""), "")</f>
        <v>13496.203070688791</v>
      </c>
      <c r="G27" s="12">
        <f>IFERROR(IF(LoanIsNotPaid*LoanIsGood,InterestAmt,""), "")</f>
        <v>10463.180852226373</v>
      </c>
      <c r="H27" s="12">
        <f>IFERROR(IF(LoanIsNotPaid*LoanIsGood,EndingBalance,""), "")</f>
        <v>1421454.3138060698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44472</v>
      </c>
      <c r="D28" s="12">
        <f>IFERROR(IF(LoanIsNotPaid*LoanIsGood,LoanValue,""), "")</f>
        <v>1421454.3138060698</v>
      </c>
      <c r="E28" s="12">
        <f>IFERROR(IF(LoanIsNotPaid*LoanIsGood,MonthlyPayment,""), "")</f>
        <v>23959.383922915164</v>
      </c>
      <c r="F28" s="12">
        <f>IFERROR(IF(LoanIsNotPaid*LoanIsGood,Principal,""), "")</f>
        <v>13594.612884745895</v>
      </c>
      <c r="G28" s="12">
        <f>IFERROR(IF(LoanIsNotPaid*LoanIsGood,InterestAmt,""), "")</f>
        <v>10364.771038169269</v>
      </c>
      <c r="H28" s="12">
        <f>IFERROR(IF(LoanIsNotPaid*LoanIsGood,EndingBalance,""), "")</f>
        <v>1407859.7009213238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44503</v>
      </c>
      <c r="D29" s="12">
        <f>IFERROR(IF(LoanIsNotPaid*LoanIsGood,LoanValue,""), "")</f>
        <v>1407859.7009213238</v>
      </c>
      <c r="E29" s="12">
        <f>IFERROR(IF(LoanIsNotPaid*LoanIsGood,MonthlyPayment,""), "")</f>
        <v>23959.383922915164</v>
      </c>
      <c r="F29" s="12">
        <f>IFERROR(IF(LoanIsNotPaid*LoanIsGood,Principal,""), "")</f>
        <v>13693.740270363836</v>
      </c>
      <c r="G29" s="12">
        <f>IFERROR(IF(LoanIsNotPaid*LoanIsGood,InterestAmt,""), "")</f>
        <v>10265.643652551329</v>
      </c>
      <c r="H29" s="12">
        <f>IFERROR(IF(LoanIsNotPaid*LoanIsGood,EndingBalance,""), "")</f>
        <v>1394165.9606509595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44533</v>
      </c>
      <c r="D30" s="12">
        <f>IFERROR(IF(LoanIsNotPaid*LoanIsGood,LoanValue,""), "")</f>
        <v>1394165.9606509595</v>
      </c>
      <c r="E30" s="12">
        <f>IFERROR(IF(LoanIsNotPaid*LoanIsGood,MonthlyPayment,""), "")</f>
        <v>23959.383922915164</v>
      </c>
      <c r="F30" s="12">
        <f>IFERROR(IF(LoanIsNotPaid*LoanIsGood,Principal,""), "")</f>
        <v>13793.590459835237</v>
      </c>
      <c r="G30" s="12">
        <f>IFERROR(IF(LoanIsNotPaid*LoanIsGood,InterestAmt,""), "")</f>
        <v>10165.793463079925</v>
      </c>
      <c r="H30" s="12">
        <f>IFERROR(IF(LoanIsNotPaid*LoanIsGood,EndingBalance,""), "")</f>
        <v>1380372.3701911247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44564</v>
      </c>
      <c r="D31" s="12">
        <f>IFERROR(IF(LoanIsNotPaid*LoanIsGood,LoanValue,""), "")</f>
        <v>1380372.3701911247</v>
      </c>
      <c r="E31" s="12">
        <f>IFERROR(IF(LoanIsNotPaid*LoanIsGood,MonthlyPayment,""), "")</f>
        <v>23959.383922915164</v>
      </c>
      <c r="F31" s="12">
        <f>IFERROR(IF(LoanIsNotPaid*LoanIsGood,Principal,""), "")</f>
        <v>13894.168723604869</v>
      </c>
      <c r="G31" s="12">
        <f>IFERROR(IF(LoanIsNotPaid*LoanIsGood,InterestAmt,""), "")</f>
        <v>10065.215199310294</v>
      </c>
      <c r="H31" s="12">
        <f>IFERROR(IF(LoanIsNotPaid*LoanIsGood,EndingBalance,""), "")</f>
        <v>1366478.2014675196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44595</v>
      </c>
      <c r="D32" s="12">
        <f>IFERROR(IF(LoanIsNotPaid*LoanIsGood,LoanValue,""), "")</f>
        <v>1366478.2014675196</v>
      </c>
      <c r="E32" s="12">
        <f>IFERROR(IF(LoanIsNotPaid*LoanIsGood,MonthlyPayment,""), "")</f>
        <v>23959.383922915164</v>
      </c>
      <c r="F32" s="12">
        <f>IFERROR(IF(LoanIsNotPaid*LoanIsGood,Principal,""), "")</f>
        <v>13995.480370547821</v>
      </c>
      <c r="G32" s="12">
        <f>IFERROR(IF(LoanIsNotPaid*LoanIsGood,InterestAmt,""), "")</f>
        <v>9963.9035523673429</v>
      </c>
      <c r="H32" s="12">
        <f>IFERROR(IF(LoanIsNotPaid*LoanIsGood,EndingBalance,""), "")</f>
        <v>1352482.7210969715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44623</v>
      </c>
      <c r="D33" s="12">
        <f>IFERROR(IF(LoanIsNotPaid*LoanIsGood,LoanValue,""), "")</f>
        <v>1352482.7210969715</v>
      </c>
      <c r="E33" s="12">
        <f>IFERROR(IF(LoanIsNotPaid*LoanIsGood,MonthlyPayment,""), "")</f>
        <v>23959.383922915164</v>
      </c>
      <c r="F33" s="12">
        <f>IFERROR(IF(LoanIsNotPaid*LoanIsGood,Principal,""), "")</f>
        <v>14097.530748249734</v>
      </c>
      <c r="G33" s="12">
        <f>IFERROR(IF(LoanIsNotPaid*LoanIsGood,InterestAmt,""), "")</f>
        <v>9861.8531746654317</v>
      </c>
      <c r="H33" s="12">
        <f>IFERROR(IF(LoanIsNotPaid*LoanIsGood,EndingBalance,""), "")</f>
        <v>1338385.1903487218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44654</v>
      </c>
      <c r="D34" s="12">
        <f>IFERROR(IF(LoanIsNotPaid*LoanIsGood,LoanValue,""), "")</f>
        <v>1338385.1903487218</v>
      </c>
      <c r="E34" s="12">
        <f>IFERROR(IF(LoanIsNotPaid*LoanIsGood,MonthlyPayment,""), "")</f>
        <v>23959.383922915164</v>
      </c>
      <c r="F34" s="12">
        <f>IFERROR(IF(LoanIsNotPaid*LoanIsGood,Principal,""), "")</f>
        <v>14200.325243289055</v>
      </c>
      <c r="G34" s="12">
        <f>IFERROR(IF(LoanIsNotPaid*LoanIsGood,InterestAmt,""), "")</f>
        <v>9759.0586796261086</v>
      </c>
      <c r="H34" s="12">
        <f>IFERROR(IF(LoanIsNotPaid*LoanIsGood,EndingBalance,""), "")</f>
        <v>1324184.8651054325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44684</v>
      </c>
      <c r="D35" s="12">
        <f>IFERROR(IF(LoanIsNotPaid*LoanIsGood,LoanValue,""), "")</f>
        <v>1324184.8651054325</v>
      </c>
      <c r="E35" s="12">
        <f>IFERROR(IF(LoanIsNotPaid*LoanIsGood,MonthlyPayment,""), "")</f>
        <v>23959.383922915164</v>
      </c>
      <c r="F35" s="12">
        <f>IFERROR(IF(LoanIsNotPaid*LoanIsGood,Principal,""), "")</f>
        <v>14303.869281521371</v>
      </c>
      <c r="G35" s="12">
        <f>IFERROR(IF(LoanIsNotPaid*LoanIsGood,InterestAmt,""), "")</f>
        <v>9655.5146413937946</v>
      </c>
      <c r="H35" s="12">
        <f>IFERROR(IF(LoanIsNotPaid*LoanIsGood,EndingBalance,""), "")</f>
        <v>1309880.9958239109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44715</v>
      </c>
      <c r="D36" s="12">
        <f>IFERROR(IF(LoanIsNotPaid*LoanIsGood,LoanValue,""), "")</f>
        <v>1309880.9958239109</v>
      </c>
      <c r="E36" s="12">
        <f>IFERROR(IF(LoanIsNotPaid*LoanIsGood,MonthlyPayment,""), "")</f>
        <v>23959.383922915164</v>
      </c>
      <c r="F36" s="12">
        <f>IFERROR(IF(LoanIsNotPaid*LoanIsGood,Principal,""), "")</f>
        <v>14408.168328365797</v>
      </c>
      <c r="G36" s="12">
        <f>IFERROR(IF(LoanIsNotPaid*LoanIsGood,InterestAmt,""), "")</f>
        <v>9551.2155945493651</v>
      </c>
      <c r="H36" s="12">
        <f>IFERROR(IF(LoanIsNotPaid*LoanIsGood,EndingBalance,""), "")</f>
        <v>1295472.8274955456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44745</v>
      </c>
      <c r="D37" s="12">
        <f>IFERROR(IF(LoanIsNotPaid*LoanIsGood,LoanValue,""), "")</f>
        <v>1295472.8274955456</v>
      </c>
      <c r="E37" s="12">
        <f>IFERROR(IF(LoanIsNotPaid*LoanIsGood,MonthlyPayment,""), "")</f>
        <v>23959.383922915164</v>
      </c>
      <c r="F37" s="12">
        <f>IFERROR(IF(LoanIsNotPaid*LoanIsGood,Principal,""), "")</f>
        <v>14513.227889093465</v>
      </c>
      <c r="G37" s="12">
        <f>IFERROR(IF(LoanIsNotPaid*LoanIsGood,InterestAmt,""), "")</f>
        <v>9446.1560338216987</v>
      </c>
      <c r="H37" s="12">
        <f>IFERROR(IF(LoanIsNotPaid*LoanIsGood,EndingBalance,""), "")</f>
        <v>1280959.5996064516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44776</v>
      </c>
      <c r="D38" s="12">
        <f>IFERROR(IF(LoanIsNotPaid*LoanIsGood,LoanValue,""), "")</f>
        <v>1280959.5996064516</v>
      </c>
      <c r="E38" s="12">
        <f>IFERROR(IF(LoanIsNotPaid*LoanIsGood,MonthlyPayment,""), "")</f>
        <v>23959.383922915164</v>
      </c>
      <c r="F38" s="12">
        <f>IFERROR(IF(LoanIsNotPaid*LoanIsGood,Principal,""), "")</f>
        <v>14619.053509118103</v>
      </c>
      <c r="G38" s="12">
        <f>IFERROR(IF(LoanIsNotPaid*LoanIsGood,InterestAmt,""), "")</f>
        <v>9340.3304137970608</v>
      </c>
      <c r="H38" s="12">
        <f>IFERROR(IF(LoanIsNotPaid*LoanIsGood,EndingBalance,""), "")</f>
        <v>1266340.5460973338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44807</v>
      </c>
      <c r="D39" s="12">
        <f>IFERROR(IF(LoanIsNotPaid*LoanIsGood,LoanValue,""), "")</f>
        <v>1266340.5460973338</v>
      </c>
      <c r="E39" s="12">
        <f>IFERROR(IF(LoanIsNotPaid*LoanIsGood,MonthlyPayment,""), "")</f>
        <v>23959.383922915164</v>
      </c>
      <c r="F39" s="12">
        <f>IFERROR(IF(LoanIsNotPaid*LoanIsGood,Principal,""), "")</f>
        <v>14725.650774288759</v>
      </c>
      <c r="G39" s="12">
        <f>IFERROR(IF(LoanIsNotPaid*LoanIsGood,InterestAmt,""), "")</f>
        <v>9233.7331486264084</v>
      </c>
      <c r="H39" s="12">
        <f>IFERROR(IF(LoanIsNotPaid*LoanIsGood,EndingBalance,""), "")</f>
        <v>1251614.8953230446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44837</v>
      </c>
      <c r="D40" s="12">
        <f>IFERROR(IF(LoanIsNotPaid*LoanIsGood,LoanValue,""), "")</f>
        <v>1251614.8953230446</v>
      </c>
      <c r="E40" s="12">
        <f>IFERROR(IF(LoanIsNotPaid*LoanIsGood,MonthlyPayment,""), "")</f>
        <v>23959.383922915164</v>
      </c>
      <c r="F40" s="12">
        <f>IFERROR(IF(LoanIsNotPaid*LoanIsGood,Principal,""), "")</f>
        <v>14833.02531118461</v>
      </c>
      <c r="G40" s="12">
        <f>IFERROR(IF(LoanIsNotPaid*LoanIsGood,InterestAmt,""), "")</f>
        <v>9126.3586117305513</v>
      </c>
      <c r="H40" s="12">
        <f>IFERROR(IF(LoanIsNotPaid*LoanIsGood,EndingBalance,""), "")</f>
        <v>1236781.8700118605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44868</v>
      </c>
      <c r="D41" s="12">
        <f>IFERROR(IF(LoanIsNotPaid*LoanIsGood,LoanValue,""), "")</f>
        <v>1236781.8700118605</v>
      </c>
      <c r="E41" s="12">
        <f>IFERROR(IF(LoanIsNotPaid*LoanIsGood,MonthlyPayment,""), "")</f>
        <v>23959.383922915164</v>
      </c>
      <c r="F41" s="12">
        <f>IFERROR(IF(LoanIsNotPaid*LoanIsGood,Principal,""), "")</f>
        <v>14941.182787412001</v>
      </c>
      <c r="G41" s="12">
        <f>IFERROR(IF(LoanIsNotPaid*LoanIsGood,InterestAmt,""), "")</f>
        <v>9018.2011355031646</v>
      </c>
      <c r="H41" s="12">
        <f>IFERROR(IF(LoanIsNotPaid*LoanIsGood,EndingBalance,""), "")</f>
        <v>1221840.6872244477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44898</v>
      </c>
      <c r="D42" s="12">
        <f>IFERROR(IF(LoanIsNotPaid*LoanIsGood,LoanValue,""), "")</f>
        <v>1221840.6872244477</v>
      </c>
      <c r="E42" s="12">
        <f>IFERROR(IF(LoanIsNotPaid*LoanIsGood,MonthlyPayment,""), "")</f>
        <v>23959.383922915164</v>
      </c>
      <c r="F42" s="12">
        <f>IFERROR(IF(LoanIsNotPaid*LoanIsGood,Principal,""), "")</f>
        <v>15050.128911903545</v>
      </c>
      <c r="G42" s="12">
        <f>IFERROR(IF(LoanIsNotPaid*LoanIsGood,InterestAmt,""), "")</f>
        <v>8909.2550110116172</v>
      </c>
      <c r="H42" s="12">
        <f>IFERROR(IF(LoanIsNotPaid*LoanIsGood,EndingBalance,""), "")</f>
        <v>1206790.5583125441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44929</v>
      </c>
      <c r="D43" s="12">
        <f>IFERROR(IF(LoanIsNotPaid*LoanIsGood,LoanValue,""), "")</f>
        <v>1206790.5583125441</v>
      </c>
      <c r="E43" s="12">
        <f>IFERROR(IF(LoanIsNotPaid*LoanIsGood,MonthlyPayment,""), "")</f>
        <v>23959.383922915164</v>
      </c>
      <c r="F43" s="12">
        <f>IFERROR(IF(LoanIsNotPaid*LoanIsGood,Principal,""), "")</f>
        <v>15159.869435219509</v>
      </c>
      <c r="G43" s="12">
        <f>IFERROR(IF(LoanIsNotPaid*LoanIsGood,InterestAmt,""), "")</f>
        <v>8799.5144876956547</v>
      </c>
      <c r="H43" s="12">
        <f>IFERROR(IF(LoanIsNotPaid*LoanIsGood,EndingBalance,""), "")</f>
        <v>1191630.6888773246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44960</v>
      </c>
      <c r="D44" s="12">
        <f>IFERROR(IF(LoanIsNotPaid*LoanIsGood,LoanValue,""), "")</f>
        <v>1191630.6888773246</v>
      </c>
      <c r="E44" s="12">
        <f>IFERROR(IF(LoanIsNotPaid*LoanIsGood,MonthlyPayment,""), "")</f>
        <v>23959.383922915164</v>
      </c>
      <c r="F44" s="12">
        <f>IFERROR(IF(LoanIsNotPaid*LoanIsGood,Principal,""), "")</f>
        <v>15270.410149851319</v>
      </c>
      <c r="G44" s="12">
        <f>IFERROR(IF(LoanIsNotPaid*LoanIsGood,InterestAmt,""), "")</f>
        <v>8688.9737730638462</v>
      </c>
      <c r="H44" s="12">
        <f>IFERROR(IF(LoanIsNotPaid*LoanIsGood,EndingBalance,""), "")</f>
        <v>1176360.2787274732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44988</v>
      </c>
      <c r="D45" s="12">
        <f>IFERROR(IF(LoanIsNotPaid*LoanIsGood,LoanValue,""), "")</f>
        <v>1176360.2787274732</v>
      </c>
      <c r="E45" s="12">
        <f>IFERROR(IF(LoanIsNotPaid*LoanIsGood,MonthlyPayment,""), "")</f>
        <v>23959.383922915164</v>
      </c>
      <c r="F45" s="12">
        <f>IFERROR(IF(LoanIsNotPaid*LoanIsGood,Principal,""), "")</f>
        <v>15381.75689052732</v>
      </c>
      <c r="G45" s="12">
        <f>IFERROR(IF(LoanIsNotPaid*LoanIsGood,InterestAmt,""), "")</f>
        <v>8577.6270323878471</v>
      </c>
      <c r="H45" s="12">
        <f>IFERROR(IF(LoanIsNotPaid*LoanIsGood,EndingBalance,""), "")</f>
        <v>1160978.5218369458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45019</v>
      </c>
      <c r="D46" s="12">
        <f>IFERROR(IF(LoanIsNotPaid*LoanIsGood,LoanValue,""), "")</f>
        <v>1160978.5218369458</v>
      </c>
      <c r="E46" s="12">
        <f>IFERROR(IF(LoanIsNotPaid*LoanIsGood,MonthlyPayment,""), "")</f>
        <v>23959.383922915164</v>
      </c>
      <c r="F46" s="12">
        <f>IFERROR(IF(LoanIsNotPaid*LoanIsGood,Principal,""), "")</f>
        <v>15493.915534520745</v>
      </c>
      <c r="G46" s="12">
        <f>IFERROR(IF(LoanIsNotPaid*LoanIsGood,InterestAmt,""), "")</f>
        <v>8465.4683883944181</v>
      </c>
      <c r="H46" s="12">
        <f>IFERROR(IF(LoanIsNotPaid*LoanIsGood,EndingBalance,""), "")</f>
        <v>1145484.6063024246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45049</v>
      </c>
      <c r="D47" s="12">
        <f>IFERROR(IF(LoanIsNotPaid*LoanIsGood,LoanValue,""), "")</f>
        <v>1145484.6063024246</v>
      </c>
      <c r="E47" s="12">
        <f>IFERROR(IF(LoanIsNotPaid*LoanIsGood,MonthlyPayment,""), "")</f>
        <v>23959.383922915164</v>
      </c>
      <c r="F47" s="12">
        <f>IFERROR(IF(LoanIsNotPaid*LoanIsGood,Principal,""), "")</f>
        <v>15606.892001959961</v>
      </c>
      <c r="G47" s="12">
        <f>IFERROR(IF(LoanIsNotPaid*LoanIsGood,InterestAmt,""), "")</f>
        <v>8352.4919209552045</v>
      </c>
      <c r="H47" s="12">
        <f>IFERROR(IF(LoanIsNotPaid*LoanIsGood,EndingBalance,""), "")</f>
        <v>1129877.7143004648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45080</v>
      </c>
      <c r="D48" s="12">
        <f>IFERROR(IF(LoanIsNotPaid*LoanIsGood,LoanValue,""), "")</f>
        <v>1129877.7143004648</v>
      </c>
      <c r="E48" s="12">
        <f>IFERROR(IF(LoanIsNotPaid*LoanIsGood,MonthlyPayment,""), "")</f>
        <v>23959.383922915164</v>
      </c>
      <c r="F48" s="12">
        <f>IFERROR(IF(LoanIsNotPaid*LoanIsGood,Principal,""), "")</f>
        <v>15720.692256140916</v>
      </c>
      <c r="G48" s="12">
        <f>IFERROR(IF(LoanIsNotPaid*LoanIsGood,InterestAmt,""), "")</f>
        <v>8238.6916667742462</v>
      </c>
      <c r="H48" s="12">
        <f>IFERROR(IF(LoanIsNotPaid*LoanIsGood,EndingBalance,""), "")</f>
        <v>1114157.0220443239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45110</v>
      </c>
      <c r="D49" s="12">
        <f>IFERROR(IF(LoanIsNotPaid*LoanIsGood,LoanValue,""), "")</f>
        <v>1114157.0220443239</v>
      </c>
      <c r="E49" s="12">
        <f>IFERROR(IF(LoanIsNotPaid*LoanIsGood,MonthlyPayment,""), "")</f>
        <v>23959.383922915164</v>
      </c>
      <c r="F49" s="12">
        <f>IFERROR(IF(LoanIsNotPaid*LoanIsGood,Principal,""), "")</f>
        <v>15835.322303841944</v>
      </c>
      <c r="G49" s="12">
        <f>IFERROR(IF(LoanIsNotPaid*LoanIsGood,InterestAmt,""), "")</f>
        <v>8124.0616190732189</v>
      </c>
      <c r="H49" s="12">
        <f>IFERROR(IF(LoanIsNotPaid*LoanIsGood,EndingBalance,""), "")</f>
        <v>1098321.699740482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45141</v>
      </c>
      <c r="D50" s="12">
        <f>IFERROR(IF(LoanIsNotPaid*LoanIsGood,LoanValue,""), "")</f>
        <v>1098321.699740482</v>
      </c>
      <c r="E50" s="12">
        <f>IFERROR(IF(LoanIsNotPaid*LoanIsGood,MonthlyPayment,""), "")</f>
        <v>23959.383922915164</v>
      </c>
      <c r="F50" s="12">
        <f>IFERROR(IF(LoanIsNotPaid*LoanIsGood,Principal,""), "")</f>
        <v>15950.788195640793</v>
      </c>
      <c r="G50" s="12">
        <f>IFERROR(IF(LoanIsNotPaid*LoanIsGood,InterestAmt,""), "")</f>
        <v>8008.5957272743708</v>
      </c>
      <c r="H50" s="12">
        <f>IFERROR(IF(LoanIsNotPaid*LoanIsGood,EndingBalance,""), "")</f>
        <v>1082370.9115448406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45172</v>
      </c>
      <c r="D51" s="12">
        <f>IFERROR(IF(LoanIsNotPaid*LoanIsGood,LoanValue,""), "")</f>
        <v>1082370.9115448406</v>
      </c>
      <c r="E51" s="12">
        <f>IFERROR(IF(LoanIsNotPaid*LoanIsGood,MonthlyPayment,""), "")</f>
        <v>23959.383922915164</v>
      </c>
      <c r="F51" s="12">
        <f>IFERROR(IF(LoanIsNotPaid*LoanIsGood,Principal,""), "")</f>
        <v>16067.096026234007</v>
      </c>
      <c r="G51" s="12">
        <f>IFERROR(IF(LoanIsNotPaid*LoanIsGood,InterestAmt,""), "")</f>
        <v>7892.2878966811568</v>
      </c>
      <c r="H51" s="12">
        <f>IFERROR(IF(LoanIsNotPaid*LoanIsGood,EndingBalance,""), "")</f>
        <v>1066303.8155186067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45202</v>
      </c>
      <c r="D52" s="12">
        <f>IFERROR(IF(LoanIsNotPaid*LoanIsGood,LoanValue,""), "")</f>
        <v>1066303.8155186067</v>
      </c>
      <c r="E52" s="12">
        <f>IFERROR(IF(LoanIsNotPaid*LoanIsGood,MonthlyPayment,""), "")</f>
        <v>23959.383922915164</v>
      </c>
      <c r="F52" s="12">
        <f>IFERROR(IF(LoanIsNotPaid*LoanIsGood,Principal,""), "")</f>
        <v>16184.251934758629</v>
      </c>
      <c r="G52" s="12">
        <f>IFERROR(IF(LoanIsNotPaid*LoanIsGood,InterestAmt,""), "")</f>
        <v>7775.131988156535</v>
      </c>
      <c r="H52" s="12">
        <f>IFERROR(IF(LoanIsNotPaid*LoanIsGood,EndingBalance,""), "")</f>
        <v>1050119.5635838481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45233</v>
      </c>
      <c r="D53" s="12">
        <f>IFERROR(IF(LoanIsNotPaid*LoanIsGood,LoanValue,""), "")</f>
        <v>1050119.5635838481</v>
      </c>
      <c r="E53" s="12">
        <f>IFERROR(IF(LoanIsNotPaid*LoanIsGood,MonthlyPayment,""), "")</f>
        <v>23959.383922915164</v>
      </c>
      <c r="F53" s="12">
        <f>IFERROR(IF(LoanIsNotPaid*LoanIsGood,Principal,""), "")</f>
        <v>16302.262105116246</v>
      </c>
      <c r="G53" s="12">
        <f>IFERROR(IF(LoanIsNotPaid*LoanIsGood,InterestAmt,""), "")</f>
        <v>7657.1218177989203</v>
      </c>
      <c r="H53" s="12">
        <f>IFERROR(IF(LoanIsNotPaid*LoanIsGood,EndingBalance,""), "")</f>
        <v>1033817.3014787317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45263</v>
      </c>
      <c r="D54" s="12">
        <f>IFERROR(IF(LoanIsNotPaid*LoanIsGood,LoanValue,""), "")</f>
        <v>1033817.3014787317</v>
      </c>
      <c r="E54" s="12">
        <f>IFERROR(IF(LoanIsNotPaid*LoanIsGood,MonthlyPayment,""), "")</f>
        <v>23959.383922915164</v>
      </c>
      <c r="F54" s="12">
        <f>IFERROR(IF(LoanIsNotPaid*LoanIsGood,Principal,""), "")</f>
        <v>16421.132766299386</v>
      </c>
      <c r="G54" s="12">
        <f>IFERROR(IF(LoanIsNotPaid*LoanIsGood,InterestAmt,""), "")</f>
        <v>7538.25115661578</v>
      </c>
      <c r="H54" s="12">
        <f>IFERROR(IF(LoanIsNotPaid*LoanIsGood,EndingBalance,""), "")</f>
        <v>1017396.1687124325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45294</v>
      </c>
      <c r="D55" s="12">
        <f>IFERROR(IF(LoanIsNotPaid*LoanIsGood,LoanValue,""), "")</f>
        <v>1017396.1687124325</v>
      </c>
      <c r="E55" s="12">
        <f>IFERROR(IF(LoanIsNotPaid*LoanIsGood,MonthlyPayment,""), "")</f>
        <v>23959.383922915164</v>
      </c>
      <c r="F55" s="12">
        <f>IFERROR(IF(LoanIsNotPaid*LoanIsGood,Principal,""), "")</f>
        <v>16540.870192720315</v>
      </c>
      <c r="G55" s="12">
        <f>IFERROR(IF(LoanIsNotPaid*LoanIsGood,InterestAmt,""), "")</f>
        <v>7418.5137301948471</v>
      </c>
      <c r="H55" s="12">
        <f>IFERROR(IF(LoanIsNotPaid*LoanIsGood,EndingBalance,""), "")</f>
        <v>1000855.2985197119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45325</v>
      </c>
      <c r="D56" s="12">
        <f>IFERROR(IF(LoanIsNotPaid*LoanIsGood,LoanValue,""), "")</f>
        <v>1000855.2985197119</v>
      </c>
      <c r="E56" s="12">
        <f>IFERROR(IF(LoanIsNotPaid*LoanIsGood,MonthlyPayment,""), "")</f>
        <v>23959.383922915164</v>
      </c>
      <c r="F56" s="12">
        <f>IFERROR(IF(LoanIsNotPaid*LoanIsGood,Principal,""), "")</f>
        <v>16661.480704542235</v>
      </c>
      <c r="G56" s="12">
        <f>IFERROR(IF(LoanIsNotPaid*LoanIsGood,InterestAmt,""), "")</f>
        <v>7297.9032183729287</v>
      </c>
      <c r="H56" s="12">
        <f>IFERROR(IF(LoanIsNotPaid*LoanIsGood,EndingBalance,""), "")</f>
        <v>984193.81781516969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45354</v>
      </c>
      <c r="D57" s="12">
        <f>IFERROR(IF(LoanIsNotPaid*LoanIsGood,LoanValue,""), "")</f>
        <v>984193.81781516969</v>
      </c>
      <c r="E57" s="12">
        <f>IFERROR(IF(LoanIsNotPaid*LoanIsGood,MonthlyPayment,""), "")</f>
        <v>23959.383922915164</v>
      </c>
      <c r="F57" s="12">
        <f>IFERROR(IF(LoanIsNotPaid*LoanIsGood,Principal,""), "")</f>
        <v>16782.970668012855</v>
      </c>
      <c r="G57" s="12">
        <f>IFERROR(IF(LoanIsNotPaid*LoanIsGood,InterestAmt,""), "")</f>
        <v>7176.413254902307</v>
      </c>
      <c r="H57" s="12">
        <f>IFERROR(IF(LoanIsNotPaid*LoanIsGood,EndingBalance,""), "")</f>
        <v>967410.84714715648</v>
      </c>
    </row>
    <row r="58" spans="2:8" ht="20.149999999999999" customHeight="1">
      <c r="B58" s="9">
        <f>IFERROR(IF(LoanIsNotPaid*LoanIsGood,PaymentNumber,""), "")</f>
        <v>49</v>
      </c>
      <c r="C58" s="10">
        <f>IFERROR(IF(LoanIsNotPaid*LoanIsGood,PaymentDate,""), "")</f>
        <v>45385</v>
      </c>
      <c r="D58" s="12">
        <f>IFERROR(IF(LoanIsNotPaid*LoanIsGood,LoanValue,""), "")</f>
        <v>967410.84714715648</v>
      </c>
      <c r="E58" s="12">
        <f>IFERROR(IF(LoanIsNotPaid*LoanIsGood,MonthlyPayment,""), "")</f>
        <v>23959.383922915164</v>
      </c>
      <c r="F58" s="12">
        <f>IFERROR(IF(LoanIsNotPaid*LoanIsGood,Principal,""), "")</f>
        <v>16905.346495800452</v>
      </c>
      <c r="G58" s="12">
        <f>IFERROR(IF(LoanIsNotPaid*LoanIsGood,InterestAmt,""), "")</f>
        <v>7054.037427114713</v>
      </c>
      <c r="H58" s="12">
        <f>IFERROR(IF(LoanIsNotPaid*LoanIsGood,EndingBalance,""), "")</f>
        <v>950505.50065135607</v>
      </c>
    </row>
    <row r="59" spans="2:8" ht="20.149999999999999" customHeight="1">
      <c r="B59" s="9">
        <f>IFERROR(IF(LoanIsNotPaid*LoanIsGood,PaymentNumber,""), "")</f>
        <v>50</v>
      </c>
      <c r="C59" s="10">
        <f>IFERROR(IF(LoanIsNotPaid*LoanIsGood,PaymentDate,""), "")</f>
        <v>45415</v>
      </c>
      <c r="D59" s="12">
        <f>IFERROR(IF(LoanIsNotPaid*LoanIsGood,LoanValue,""), "")</f>
        <v>950505.50065135607</v>
      </c>
      <c r="E59" s="12">
        <f>IFERROR(IF(LoanIsNotPaid*LoanIsGood,MonthlyPayment,""), "")</f>
        <v>23959.383922915164</v>
      </c>
      <c r="F59" s="12">
        <f>IFERROR(IF(LoanIsNotPaid*LoanIsGood,Principal,""), "")</f>
        <v>17028.614647332328</v>
      </c>
      <c r="G59" s="12">
        <f>IFERROR(IF(LoanIsNotPaid*LoanIsGood,InterestAmt,""), "")</f>
        <v>6930.7692755828366</v>
      </c>
      <c r="H59" s="12">
        <f>IFERROR(IF(LoanIsNotPaid*LoanIsGood,EndingBalance,""), "")</f>
        <v>933476.88600402325</v>
      </c>
    </row>
    <row r="60" spans="2:8" ht="20.149999999999999" customHeight="1">
      <c r="B60" s="9">
        <f>IFERROR(IF(LoanIsNotPaid*LoanIsGood,PaymentNumber,""), "")</f>
        <v>51</v>
      </c>
      <c r="C60" s="10">
        <f>IFERROR(IF(LoanIsNotPaid*LoanIsGood,PaymentDate,""), "")</f>
        <v>45446</v>
      </c>
      <c r="D60" s="12">
        <f>IFERROR(IF(LoanIsNotPaid*LoanIsGood,LoanValue,""), "")</f>
        <v>933476.88600402325</v>
      </c>
      <c r="E60" s="12">
        <f>IFERROR(IF(LoanIsNotPaid*LoanIsGood,MonthlyPayment,""), "")</f>
        <v>23959.383922915164</v>
      </c>
      <c r="F60" s="12">
        <f>IFERROR(IF(LoanIsNotPaid*LoanIsGood,Principal,""), "")</f>
        <v>17152.781629135792</v>
      </c>
      <c r="G60" s="12">
        <f>IFERROR(IF(LoanIsNotPaid*LoanIsGood,InterestAmt,""), "")</f>
        <v>6806.6022937793723</v>
      </c>
      <c r="H60" s="12">
        <f>IFERROR(IF(LoanIsNotPaid*LoanIsGood,EndingBalance,""), "")</f>
        <v>916324.10437488742</v>
      </c>
    </row>
    <row r="61" spans="2:8" ht="20.149999999999999" customHeight="1">
      <c r="B61" s="9">
        <f>IFERROR(IF(LoanIsNotPaid*LoanIsGood,PaymentNumber,""), "")</f>
        <v>52</v>
      </c>
      <c r="C61" s="10">
        <f>IFERROR(IF(LoanIsNotPaid*LoanIsGood,PaymentDate,""), "")</f>
        <v>45476</v>
      </c>
      <c r="D61" s="12">
        <f>IFERROR(IF(LoanIsNotPaid*LoanIsGood,LoanValue,""), "")</f>
        <v>916324.10437488742</v>
      </c>
      <c r="E61" s="12">
        <f>IFERROR(IF(LoanIsNotPaid*LoanIsGood,MonthlyPayment,""), "")</f>
        <v>23959.383922915164</v>
      </c>
      <c r="F61" s="12">
        <f>IFERROR(IF(LoanIsNotPaid*LoanIsGood,Principal,""), "")</f>
        <v>17277.853995181576</v>
      </c>
      <c r="G61" s="12">
        <f>IFERROR(IF(LoanIsNotPaid*LoanIsGood,InterestAmt,""), "")</f>
        <v>6681.5299277335889</v>
      </c>
      <c r="H61" s="12">
        <f>IFERROR(IF(LoanIsNotPaid*LoanIsGood,EndingBalance,""), "")</f>
        <v>899046.2503797051</v>
      </c>
    </row>
    <row r="62" spans="2:8" ht="20.149999999999999" customHeight="1">
      <c r="B62" s="9">
        <f>IFERROR(IF(LoanIsNotPaid*LoanIsGood,PaymentNumber,""), "")</f>
        <v>53</v>
      </c>
      <c r="C62" s="10">
        <f>IFERROR(IF(LoanIsNotPaid*LoanIsGood,PaymentDate,""), "")</f>
        <v>45507</v>
      </c>
      <c r="D62" s="12">
        <f>IFERROR(IF(LoanIsNotPaid*LoanIsGood,LoanValue,""), "")</f>
        <v>899046.2503797051</v>
      </c>
      <c r="E62" s="12">
        <f>IFERROR(IF(LoanIsNotPaid*LoanIsGood,MonthlyPayment,""), "")</f>
        <v>23959.383922915164</v>
      </c>
      <c r="F62" s="12">
        <f>IFERROR(IF(LoanIsNotPaid*LoanIsGood,Principal,""), "")</f>
        <v>17403.838347229776</v>
      </c>
      <c r="G62" s="12">
        <f>IFERROR(IF(LoanIsNotPaid*LoanIsGood,InterestAmt,""), "")</f>
        <v>6555.5455756853908</v>
      </c>
      <c r="H62" s="12">
        <f>IFERROR(IF(LoanIsNotPaid*LoanIsGood,EndingBalance,""), "")</f>
        <v>881642.41203247616</v>
      </c>
    </row>
    <row r="63" spans="2:8" ht="20.149999999999999" customHeight="1">
      <c r="B63" s="9">
        <f>IFERROR(IF(LoanIsNotPaid*LoanIsGood,PaymentNumber,""), "")</f>
        <v>54</v>
      </c>
      <c r="C63" s="10">
        <f>IFERROR(IF(LoanIsNotPaid*LoanIsGood,PaymentDate,""), "")</f>
        <v>45538</v>
      </c>
      <c r="D63" s="12">
        <f>IFERROR(IF(LoanIsNotPaid*LoanIsGood,LoanValue,""), "")</f>
        <v>881642.41203247616</v>
      </c>
      <c r="E63" s="12">
        <f>IFERROR(IF(LoanIsNotPaid*LoanIsGood,MonthlyPayment,""), "")</f>
        <v>23959.383922915164</v>
      </c>
      <c r="F63" s="12">
        <f>IFERROR(IF(LoanIsNotPaid*LoanIsGood,Principal,""), "")</f>
        <v>17530.741335178322</v>
      </c>
      <c r="G63" s="12">
        <f>IFERROR(IF(LoanIsNotPaid*LoanIsGood,InterestAmt,""), "")</f>
        <v>6428.6425877368392</v>
      </c>
      <c r="H63" s="12">
        <f>IFERROR(IF(LoanIsNotPaid*LoanIsGood,EndingBalance,""), "")</f>
        <v>864111.67069729744</v>
      </c>
    </row>
    <row r="64" spans="2:8" ht="20.149999999999999" customHeight="1">
      <c r="B64" s="9">
        <f>IFERROR(IF(LoanIsNotPaid*LoanIsGood,PaymentNumber,""), "")</f>
        <v>55</v>
      </c>
      <c r="C64" s="10">
        <f>IFERROR(IF(LoanIsNotPaid*LoanIsGood,PaymentDate,""), "")</f>
        <v>45568</v>
      </c>
      <c r="D64" s="12">
        <f>IFERROR(IF(LoanIsNotPaid*LoanIsGood,LoanValue,""), "")</f>
        <v>864111.67069729744</v>
      </c>
      <c r="E64" s="12">
        <f>IFERROR(IF(LoanIsNotPaid*LoanIsGood,MonthlyPayment,""), "")</f>
        <v>23959.383922915164</v>
      </c>
      <c r="F64" s="12">
        <f>IFERROR(IF(LoanIsNotPaid*LoanIsGood,Principal,""), "")</f>
        <v>17658.569657414002</v>
      </c>
      <c r="G64" s="12">
        <f>IFERROR(IF(LoanIsNotPaid*LoanIsGood,InterestAmt,""), "")</f>
        <v>6300.8142655011634</v>
      </c>
      <c r="H64" s="12">
        <f>IFERROR(IF(LoanIsNotPaid*LoanIsGood,EndingBalance,""), "")</f>
        <v>846453.10103988345</v>
      </c>
    </row>
    <row r="65" spans="2:8" ht="20.149999999999999" customHeight="1">
      <c r="B65" s="9">
        <f>IFERROR(IF(LoanIsNotPaid*LoanIsGood,PaymentNumber,""), "")</f>
        <v>56</v>
      </c>
      <c r="C65" s="10">
        <f>IFERROR(IF(LoanIsNotPaid*LoanIsGood,PaymentDate,""), "")</f>
        <v>45599</v>
      </c>
      <c r="D65" s="12">
        <f>IFERROR(IF(LoanIsNotPaid*LoanIsGood,LoanValue,""), "")</f>
        <v>846453.10103988345</v>
      </c>
      <c r="E65" s="12">
        <f>IFERROR(IF(LoanIsNotPaid*LoanIsGood,MonthlyPayment,""), "")</f>
        <v>23959.383922915164</v>
      </c>
      <c r="F65" s="12">
        <f>IFERROR(IF(LoanIsNotPaid*LoanIsGood,Principal,""), "")</f>
        <v>17787.330061165976</v>
      </c>
      <c r="G65" s="12">
        <f>IFERROR(IF(LoanIsNotPaid*LoanIsGood,InterestAmt,""), "")</f>
        <v>6172.0538617491866</v>
      </c>
      <c r="H65" s="12">
        <f>IFERROR(IF(LoanIsNotPaid*LoanIsGood,EndingBalance,""), "")</f>
        <v>828665.77097871713</v>
      </c>
    </row>
    <row r="66" spans="2:8" ht="20.149999999999999" customHeight="1">
      <c r="B66" s="9">
        <f>IFERROR(IF(LoanIsNotPaid*LoanIsGood,PaymentNumber,""), "")</f>
        <v>57</v>
      </c>
      <c r="C66" s="10">
        <f>IFERROR(IF(LoanIsNotPaid*LoanIsGood,PaymentDate,""), "")</f>
        <v>45629</v>
      </c>
      <c r="D66" s="12">
        <f>IFERROR(IF(LoanIsNotPaid*LoanIsGood,LoanValue,""), "")</f>
        <v>828665.77097871713</v>
      </c>
      <c r="E66" s="12">
        <f>IFERROR(IF(LoanIsNotPaid*LoanIsGood,MonthlyPayment,""), "")</f>
        <v>23959.383922915164</v>
      </c>
      <c r="F66" s="12">
        <f>IFERROR(IF(LoanIsNotPaid*LoanIsGood,Principal,""), "")</f>
        <v>17917.029342861977</v>
      </c>
      <c r="G66" s="12">
        <f>IFERROR(IF(LoanIsNotPaid*LoanIsGood,InterestAmt,""), "")</f>
        <v>6042.3545800531856</v>
      </c>
      <c r="H66" s="12">
        <f>IFERROR(IF(LoanIsNotPaid*LoanIsGood,EndingBalance,""), "")</f>
        <v>810748.74163585505</v>
      </c>
    </row>
    <row r="67" spans="2:8" ht="20.149999999999999" customHeight="1">
      <c r="B67" s="9">
        <f>IFERROR(IF(LoanIsNotPaid*LoanIsGood,PaymentNumber,""), "")</f>
        <v>58</v>
      </c>
      <c r="C67" s="10">
        <f>IFERROR(IF(LoanIsNotPaid*LoanIsGood,PaymentDate,""), "")</f>
        <v>45660</v>
      </c>
      <c r="D67" s="12">
        <f>IFERROR(IF(LoanIsNotPaid*LoanIsGood,LoanValue,""), "")</f>
        <v>810748.74163585505</v>
      </c>
      <c r="E67" s="12">
        <f>IFERROR(IF(LoanIsNotPaid*LoanIsGood,MonthlyPayment,""), "")</f>
        <v>23959.383922915164</v>
      </c>
      <c r="F67" s="12">
        <f>IFERROR(IF(LoanIsNotPaid*LoanIsGood,Principal,""), "")</f>
        <v>18047.674348487013</v>
      </c>
      <c r="G67" s="12">
        <f>IFERROR(IF(LoanIsNotPaid*LoanIsGood,InterestAmt,""), "")</f>
        <v>5911.7095744281505</v>
      </c>
      <c r="H67" s="12">
        <f>IFERROR(IF(LoanIsNotPaid*LoanIsGood,EndingBalance,""), "")</f>
        <v>792701.06728736754</v>
      </c>
    </row>
    <row r="68" spans="2:8" ht="20.149999999999999" customHeight="1">
      <c r="B68" s="9">
        <f>IFERROR(IF(LoanIsNotPaid*LoanIsGood,PaymentNumber,""), "")</f>
        <v>59</v>
      </c>
      <c r="C68" s="10">
        <f>IFERROR(IF(LoanIsNotPaid*LoanIsGood,PaymentDate,""), "")</f>
        <v>45691</v>
      </c>
      <c r="D68" s="12">
        <f>IFERROR(IF(LoanIsNotPaid*LoanIsGood,LoanValue,""), "")</f>
        <v>792701.06728736754</v>
      </c>
      <c r="E68" s="12">
        <f>IFERROR(IF(LoanIsNotPaid*LoanIsGood,MonthlyPayment,""), "")</f>
        <v>23959.383922915164</v>
      </c>
      <c r="F68" s="12">
        <f>IFERROR(IF(LoanIsNotPaid*LoanIsGood,Principal,""), "")</f>
        <v>18179.271973944735</v>
      </c>
      <c r="G68" s="12">
        <f>IFERROR(IF(LoanIsNotPaid*LoanIsGood,InterestAmt,""), "")</f>
        <v>5780.1119489704315</v>
      </c>
      <c r="H68" s="12">
        <f>IFERROR(IF(LoanIsNotPaid*LoanIsGood,EndingBalance,""), "")</f>
        <v>774521.7953134228</v>
      </c>
    </row>
    <row r="69" spans="2:8" ht="20.149999999999999" customHeight="1">
      <c r="B69" s="9">
        <f>IFERROR(IF(LoanIsNotPaid*LoanIsGood,PaymentNumber,""), "")</f>
        <v>60</v>
      </c>
      <c r="C69" s="10">
        <f>IFERROR(IF(LoanIsNotPaid*LoanIsGood,PaymentDate,""), "")</f>
        <v>45719</v>
      </c>
      <c r="D69" s="12">
        <f>IFERROR(IF(LoanIsNotPaid*LoanIsGood,LoanValue,""), "")</f>
        <v>774521.7953134228</v>
      </c>
      <c r="E69" s="12">
        <f>IFERROR(IF(LoanIsNotPaid*LoanIsGood,MonthlyPayment,""), "")</f>
        <v>23959.383922915164</v>
      </c>
      <c r="F69" s="12">
        <f>IFERROR(IF(LoanIsNotPaid*LoanIsGood,Principal,""), "")</f>
        <v>18311.829165421412</v>
      </c>
      <c r="G69" s="12">
        <f>IFERROR(IF(LoanIsNotPaid*LoanIsGood,InterestAmt,""), "")</f>
        <v>5647.5547574937518</v>
      </c>
      <c r="H69" s="12">
        <f>IFERROR(IF(LoanIsNotPaid*LoanIsGood,EndingBalance,""), "")</f>
        <v>756209.96614800184</v>
      </c>
    </row>
    <row r="70" spans="2:8" ht="20.149999999999999" customHeight="1">
      <c r="B70" s="9">
        <f>IFERROR(IF(LoanIsNotPaid*LoanIsGood,PaymentNumber,""), "")</f>
        <v>61</v>
      </c>
      <c r="C70" s="10">
        <f>IFERROR(IF(LoanIsNotPaid*LoanIsGood,PaymentDate,""), "")</f>
        <v>45750</v>
      </c>
      <c r="D70" s="12">
        <f>IFERROR(IF(LoanIsNotPaid*LoanIsGood,LoanValue,""), "")</f>
        <v>756209.96614800184</v>
      </c>
      <c r="E70" s="12">
        <f>IFERROR(IF(LoanIsNotPaid*LoanIsGood,MonthlyPayment,""), "")</f>
        <v>23959.383922915164</v>
      </c>
      <c r="F70" s="12">
        <f>IFERROR(IF(LoanIsNotPaid*LoanIsGood,Principal,""), "")</f>
        <v>18445.352919752608</v>
      </c>
      <c r="G70" s="12">
        <f>IFERROR(IF(LoanIsNotPaid*LoanIsGood,InterestAmt,""), "")</f>
        <v>5514.031003162554</v>
      </c>
      <c r="H70" s="12">
        <f>IFERROR(IF(LoanIsNotPaid*LoanIsGood,EndingBalance,""), "")</f>
        <v>737764.61322824913</v>
      </c>
    </row>
    <row r="71" spans="2:8" ht="20.149999999999999" customHeight="1">
      <c r="B71" s="9">
        <f>IFERROR(IF(LoanIsNotPaid*LoanIsGood,PaymentNumber,""), "")</f>
        <v>62</v>
      </c>
      <c r="C71" s="10">
        <f>IFERROR(IF(LoanIsNotPaid*LoanIsGood,PaymentDate,""), "")</f>
        <v>45780</v>
      </c>
      <c r="D71" s="12">
        <f>IFERROR(IF(LoanIsNotPaid*LoanIsGood,LoanValue,""), "")</f>
        <v>737764.61322824913</v>
      </c>
      <c r="E71" s="12">
        <f>IFERROR(IF(LoanIsNotPaid*LoanIsGood,MonthlyPayment,""), "")</f>
        <v>23959.383922915164</v>
      </c>
      <c r="F71" s="12">
        <f>IFERROR(IF(LoanIsNotPaid*LoanIsGood,Principal,""), "")</f>
        <v>18579.850284792472</v>
      </c>
      <c r="G71" s="12">
        <f>IFERROR(IF(LoanIsNotPaid*LoanIsGood,InterestAmt,""), "")</f>
        <v>5379.5336381226907</v>
      </c>
      <c r="H71" s="12">
        <f>IFERROR(IF(LoanIsNotPaid*LoanIsGood,EndingBalance,""), "")</f>
        <v>719184.76294345618</v>
      </c>
    </row>
    <row r="72" spans="2:8" ht="20.149999999999999" customHeight="1">
      <c r="B72" s="9">
        <f>IFERROR(IF(LoanIsNotPaid*LoanIsGood,PaymentNumber,""), "")</f>
        <v>63</v>
      </c>
      <c r="C72" s="10">
        <f>IFERROR(IF(LoanIsNotPaid*LoanIsGood,PaymentDate,""), "")</f>
        <v>45811</v>
      </c>
      <c r="D72" s="12">
        <f>IFERROR(IF(LoanIsNotPaid*LoanIsGood,LoanValue,""), "")</f>
        <v>719184.76294345618</v>
      </c>
      <c r="E72" s="12">
        <f>IFERROR(IF(LoanIsNotPaid*LoanIsGood,MonthlyPayment,""), "")</f>
        <v>23959.383922915164</v>
      </c>
      <c r="F72" s="12">
        <f>IFERROR(IF(LoanIsNotPaid*LoanIsGood,Principal,""), "")</f>
        <v>18715.328359785752</v>
      </c>
      <c r="G72" s="12">
        <f>IFERROR(IF(LoanIsNotPaid*LoanIsGood,InterestAmt,""), "")</f>
        <v>5244.0555631294137</v>
      </c>
      <c r="H72" s="12">
        <f>IFERROR(IF(LoanIsNotPaid*LoanIsGood,EndingBalance,""), "")</f>
        <v>700469.43458367069</v>
      </c>
    </row>
    <row r="73" spans="2:8" ht="20.149999999999999" customHeight="1">
      <c r="B73" s="9">
        <f>IFERROR(IF(LoanIsNotPaid*LoanIsGood,PaymentNumber,""), "")</f>
        <v>64</v>
      </c>
      <c r="C73" s="10">
        <f>IFERROR(IF(LoanIsNotPaid*LoanIsGood,PaymentDate,""), "")</f>
        <v>45841</v>
      </c>
      <c r="D73" s="12">
        <f>IFERROR(IF(LoanIsNotPaid*LoanIsGood,LoanValue,""), "")</f>
        <v>700469.43458367069</v>
      </c>
      <c r="E73" s="12">
        <f>IFERROR(IF(LoanIsNotPaid*LoanIsGood,MonthlyPayment,""), "")</f>
        <v>23959.383922915164</v>
      </c>
      <c r="F73" s="12">
        <f>IFERROR(IF(LoanIsNotPaid*LoanIsGood,Principal,""), "")</f>
        <v>18851.794295742522</v>
      </c>
      <c r="G73" s="12">
        <f>IFERROR(IF(LoanIsNotPaid*LoanIsGood,InterestAmt,""), "")</f>
        <v>5107.5896271726424</v>
      </c>
      <c r="H73" s="12">
        <f>IFERROR(IF(LoanIsNotPaid*LoanIsGood,EndingBalance,""), "")</f>
        <v>681617.64028792758</v>
      </c>
    </row>
    <row r="74" spans="2:8" ht="20.149999999999999" customHeight="1">
      <c r="B74" s="9">
        <f>IFERROR(IF(LoanIsNotPaid*LoanIsGood,PaymentNumber,""), "")</f>
        <v>65</v>
      </c>
      <c r="C74" s="10">
        <f>IFERROR(IF(LoanIsNotPaid*LoanIsGood,PaymentDate,""), "")</f>
        <v>45872</v>
      </c>
      <c r="D74" s="12">
        <f>IFERROR(IF(LoanIsNotPaid*LoanIsGood,LoanValue,""), "")</f>
        <v>681617.64028792758</v>
      </c>
      <c r="E74" s="12">
        <f>IFERROR(IF(LoanIsNotPaid*LoanIsGood,MonthlyPayment,""), "")</f>
        <v>23959.383922915164</v>
      </c>
      <c r="F74" s="12">
        <f>IFERROR(IF(LoanIsNotPaid*LoanIsGood,Principal,""), "")</f>
        <v>18989.255295815645</v>
      </c>
      <c r="G74" s="12">
        <f>IFERROR(IF(LoanIsNotPaid*LoanIsGood,InterestAmt,""), "")</f>
        <v>4970.1286270995188</v>
      </c>
      <c r="H74" s="12">
        <f>IFERROR(IF(LoanIsNotPaid*LoanIsGood,EndingBalance,""), "")</f>
        <v>662628.38499211171</v>
      </c>
    </row>
    <row r="75" spans="2:8" ht="20.149999999999999" customHeight="1">
      <c r="B75" s="9">
        <f>IFERROR(IF(LoanIsNotPaid*LoanIsGood,PaymentNumber,""), "")</f>
        <v>66</v>
      </c>
      <c r="C75" s="10">
        <f>IFERROR(IF(LoanIsNotPaid*LoanIsGood,PaymentDate,""), "")</f>
        <v>45903</v>
      </c>
      <c r="D75" s="12">
        <f>IFERROR(IF(LoanIsNotPaid*LoanIsGood,LoanValue,""), "")</f>
        <v>662628.38499211171</v>
      </c>
      <c r="E75" s="12">
        <f>IFERROR(IF(LoanIsNotPaid*LoanIsGood,MonthlyPayment,""), "")</f>
        <v>23959.383922915164</v>
      </c>
      <c r="F75" s="12">
        <f>IFERROR(IF(LoanIsNotPaid*LoanIsGood,Principal,""), "")</f>
        <v>19127.718615680969</v>
      </c>
      <c r="G75" s="12">
        <f>IFERROR(IF(LoanIsNotPaid*LoanIsGood,InterestAmt,""), "")</f>
        <v>4831.6653072341978</v>
      </c>
      <c r="H75" s="12">
        <f>IFERROR(IF(LoanIsNotPaid*LoanIsGood,EndingBalance,""), "")</f>
        <v>643500.66637642984</v>
      </c>
    </row>
    <row r="76" spans="2:8" ht="20.149999999999999" customHeight="1">
      <c r="B76" s="9">
        <f>IFERROR(IF(LoanIsNotPaid*LoanIsGood,PaymentNumber,""), "")</f>
        <v>67</v>
      </c>
      <c r="C76" s="10">
        <f>IFERROR(IF(LoanIsNotPaid*LoanIsGood,PaymentDate,""), "")</f>
        <v>45933</v>
      </c>
      <c r="D76" s="12">
        <f>IFERROR(IF(LoanIsNotPaid*LoanIsGood,LoanValue,""), "")</f>
        <v>643500.66637642984</v>
      </c>
      <c r="E76" s="12">
        <f>IFERROR(IF(LoanIsNotPaid*LoanIsGood,MonthlyPayment,""), "")</f>
        <v>23959.383922915164</v>
      </c>
      <c r="F76" s="12">
        <f>IFERROR(IF(LoanIsNotPaid*LoanIsGood,Principal,""), "")</f>
        <v>19267.191563920307</v>
      </c>
      <c r="G76" s="12">
        <f>IFERROR(IF(LoanIsNotPaid*LoanIsGood,InterestAmt,""), "")</f>
        <v>4692.1923589948565</v>
      </c>
      <c r="H76" s="12">
        <f>IFERROR(IF(LoanIsNotPaid*LoanIsGood,EndingBalance,""), "")</f>
        <v>624233.47481251019</v>
      </c>
    </row>
    <row r="77" spans="2:8" ht="20.149999999999999" customHeight="1">
      <c r="B77" s="9">
        <f>IFERROR(IF(LoanIsNotPaid*LoanIsGood,PaymentNumber,""), "")</f>
        <v>68</v>
      </c>
      <c r="C77" s="10">
        <f>IFERROR(IF(LoanIsNotPaid*LoanIsGood,PaymentDate,""), "")</f>
        <v>45964</v>
      </c>
      <c r="D77" s="12">
        <f>IFERROR(IF(LoanIsNotPaid*LoanIsGood,LoanValue,""), "")</f>
        <v>624233.47481251019</v>
      </c>
      <c r="E77" s="12">
        <f>IFERROR(IF(LoanIsNotPaid*LoanIsGood,MonthlyPayment,""), "")</f>
        <v>23959.383922915164</v>
      </c>
      <c r="F77" s="12">
        <f>IFERROR(IF(LoanIsNotPaid*LoanIsGood,Principal,""), "")</f>
        <v>19407.681502407224</v>
      </c>
      <c r="G77" s="12">
        <f>IFERROR(IF(LoanIsNotPaid*LoanIsGood,InterestAmt,""), "")</f>
        <v>4551.7024205079379</v>
      </c>
      <c r="H77" s="12">
        <f>IFERROR(IF(LoanIsNotPaid*LoanIsGood,EndingBalance,""), "")</f>
        <v>604825.79331010254</v>
      </c>
    </row>
    <row r="78" spans="2:8" ht="20.149999999999999" customHeight="1">
      <c r="B78" s="9">
        <f>IFERROR(IF(LoanIsNotPaid*LoanIsGood,PaymentNumber,""), "")</f>
        <v>69</v>
      </c>
      <c r="C78" s="10">
        <f>IFERROR(IF(LoanIsNotPaid*LoanIsGood,PaymentDate,""), "")</f>
        <v>45994</v>
      </c>
      <c r="D78" s="12">
        <f>IFERROR(IF(LoanIsNotPaid*LoanIsGood,LoanValue,""), "")</f>
        <v>604825.79331010254</v>
      </c>
      <c r="E78" s="12">
        <f>IFERROR(IF(LoanIsNotPaid*LoanIsGood,MonthlyPayment,""), "")</f>
        <v>23959.383922915164</v>
      </c>
      <c r="F78" s="12">
        <f>IFERROR(IF(LoanIsNotPaid*LoanIsGood,Principal,""), "")</f>
        <v>19549.195846695613</v>
      </c>
      <c r="G78" s="12">
        <f>IFERROR(IF(LoanIsNotPaid*LoanIsGood,InterestAmt,""), "")</f>
        <v>4410.1880762195515</v>
      </c>
      <c r="H78" s="12">
        <f>IFERROR(IF(LoanIsNotPaid*LoanIsGood,EndingBalance,""), "")</f>
        <v>585276.59746340662</v>
      </c>
    </row>
    <row r="79" spans="2:8" ht="20.149999999999999" customHeight="1">
      <c r="B79" s="9">
        <f>IFERROR(IF(LoanIsNotPaid*LoanIsGood,PaymentNumber,""), "")</f>
        <v>70</v>
      </c>
      <c r="C79" s="10">
        <f>IFERROR(IF(LoanIsNotPaid*LoanIsGood,PaymentDate,""), "")</f>
        <v>46025</v>
      </c>
      <c r="D79" s="12">
        <f>IFERROR(IF(LoanIsNotPaid*LoanIsGood,LoanValue,""), "")</f>
        <v>585276.59746340662</v>
      </c>
      <c r="E79" s="12">
        <f>IFERROR(IF(LoanIsNotPaid*LoanIsGood,MonthlyPayment,""), "")</f>
        <v>23959.383922915164</v>
      </c>
      <c r="F79" s="12">
        <f>IFERROR(IF(LoanIsNotPaid*LoanIsGood,Principal,""), "")</f>
        <v>19691.742066411101</v>
      </c>
      <c r="G79" s="12">
        <f>IFERROR(IF(LoanIsNotPaid*LoanIsGood,InterestAmt,""), "")</f>
        <v>4267.6418565040631</v>
      </c>
      <c r="H79" s="12">
        <f>IFERROR(IF(LoanIsNotPaid*LoanIsGood,EndingBalance,""), "")</f>
        <v>565584.85539699532</v>
      </c>
    </row>
    <row r="80" spans="2:8" ht="20.149999999999999" customHeight="1">
      <c r="B80" s="9">
        <f>IFERROR(IF(LoanIsNotPaid*LoanIsGood,PaymentNumber,""), "")</f>
        <v>71</v>
      </c>
      <c r="C80" s="10">
        <f>IFERROR(IF(LoanIsNotPaid*LoanIsGood,PaymentDate,""), "")</f>
        <v>46056</v>
      </c>
      <c r="D80" s="12">
        <f>IFERROR(IF(LoanIsNotPaid*LoanIsGood,LoanValue,""), "")</f>
        <v>565584.85539699532</v>
      </c>
      <c r="E80" s="12">
        <f>IFERROR(IF(LoanIsNotPaid*LoanIsGood,MonthlyPayment,""), "")</f>
        <v>23959.383922915164</v>
      </c>
      <c r="F80" s="12">
        <f>IFERROR(IF(LoanIsNotPaid*LoanIsGood,Principal,""), "")</f>
        <v>19835.327685645349</v>
      </c>
      <c r="G80" s="12">
        <f>IFERROR(IF(LoanIsNotPaid*LoanIsGood,InterestAmt,""), "")</f>
        <v>4124.056237269815</v>
      </c>
      <c r="H80" s="12">
        <f>IFERROR(IF(LoanIsNotPaid*LoanIsGood,EndingBalance,""), "")</f>
        <v>545749.52771135001</v>
      </c>
    </row>
    <row r="81" spans="2:8" ht="20.149999999999999" customHeight="1">
      <c r="B81" s="9">
        <f>IFERROR(IF(LoanIsNotPaid*LoanIsGood,PaymentNumber,""), "")</f>
        <v>72</v>
      </c>
      <c r="C81" s="10">
        <f>IFERROR(IF(LoanIsNotPaid*LoanIsGood,PaymentDate,""), "")</f>
        <v>46084</v>
      </c>
      <c r="D81" s="12">
        <f>IFERROR(IF(LoanIsNotPaid*LoanIsGood,LoanValue,""), "")</f>
        <v>545749.52771135001</v>
      </c>
      <c r="E81" s="12">
        <f>IFERROR(IF(LoanIsNotPaid*LoanIsGood,MonthlyPayment,""), "")</f>
        <v>23959.383922915164</v>
      </c>
      <c r="F81" s="12">
        <f>IFERROR(IF(LoanIsNotPaid*LoanIsGood,Principal,""), "")</f>
        <v>19979.960283353179</v>
      </c>
      <c r="G81" s="12">
        <f>IFERROR(IF(LoanIsNotPaid*LoanIsGood,InterestAmt,""), "")</f>
        <v>3979.4236395619846</v>
      </c>
      <c r="H81" s="12">
        <f>IFERROR(IF(LoanIsNotPaid*LoanIsGood,EndingBalance,""), "")</f>
        <v>525769.56742799701</v>
      </c>
    </row>
    <row r="82" spans="2:8" ht="20.149999999999999" customHeight="1">
      <c r="B82" s="9">
        <f>IFERROR(IF(LoanIsNotPaid*LoanIsGood,PaymentNumber,""), "")</f>
        <v>73</v>
      </c>
      <c r="C82" s="10">
        <f>IFERROR(IF(LoanIsNotPaid*LoanIsGood,PaymentDate,""), "")</f>
        <v>46115</v>
      </c>
      <c r="D82" s="12">
        <f>IFERROR(IF(LoanIsNotPaid*LoanIsGood,LoanValue,""), "")</f>
        <v>525769.56742799701</v>
      </c>
      <c r="E82" s="12">
        <f>IFERROR(IF(LoanIsNotPaid*LoanIsGood,MonthlyPayment,""), "")</f>
        <v>23959.383922915164</v>
      </c>
      <c r="F82" s="12">
        <f>IFERROR(IF(LoanIsNotPaid*LoanIsGood,Principal,""), "")</f>
        <v>20125.647493752633</v>
      </c>
      <c r="G82" s="12">
        <f>IFERROR(IF(LoanIsNotPaid*LoanIsGood,InterestAmt,""), "")</f>
        <v>3833.736429162534</v>
      </c>
      <c r="H82" s="12">
        <f>IFERROR(IF(LoanIsNotPaid*LoanIsGood,EndingBalance,""), "")</f>
        <v>505643.91993424436</v>
      </c>
    </row>
    <row r="83" spans="2:8" ht="20.149999999999999" customHeight="1">
      <c r="B83" s="9">
        <f>IFERROR(IF(LoanIsNotPaid*LoanIsGood,PaymentNumber,""), "")</f>
        <v>74</v>
      </c>
      <c r="C83" s="10">
        <f>IFERROR(IF(LoanIsNotPaid*LoanIsGood,PaymentDate,""), "")</f>
        <v>46145</v>
      </c>
      <c r="D83" s="12">
        <f>IFERROR(IF(LoanIsNotPaid*LoanIsGood,LoanValue,""), "")</f>
        <v>505643.91993424436</v>
      </c>
      <c r="E83" s="12">
        <f>IFERROR(IF(LoanIsNotPaid*LoanIsGood,MonthlyPayment,""), "")</f>
        <v>23959.383922915164</v>
      </c>
      <c r="F83" s="12">
        <f>IFERROR(IF(LoanIsNotPaid*LoanIsGood,Principal,""), "")</f>
        <v>20272.397006727912</v>
      </c>
      <c r="G83" s="12">
        <f>IFERROR(IF(LoanIsNotPaid*LoanIsGood,InterestAmt,""), "")</f>
        <v>3686.9869161872548</v>
      </c>
      <c r="H83" s="12">
        <f>IFERROR(IF(LoanIsNotPaid*LoanIsGood,EndingBalance,""), "")</f>
        <v>485371.52292751614</v>
      </c>
    </row>
    <row r="84" spans="2:8" ht="20.149999999999999" customHeight="1">
      <c r="B84" s="9">
        <f>IFERROR(IF(LoanIsNotPaid*LoanIsGood,PaymentNumber,""), "")</f>
        <v>75</v>
      </c>
      <c r="C84" s="10">
        <f>IFERROR(IF(LoanIsNotPaid*LoanIsGood,PaymentDate,""), "")</f>
        <v>46176</v>
      </c>
      <c r="D84" s="12">
        <f>IFERROR(IF(LoanIsNotPaid*LoanIsGood,LoanValue,""), "")</f>
        <v>485371.52292751614</v>
      </c>
      <c r="E84" s="12">
        <f>IFERROR(IF(LoanIsNotPaid*LoanIsGood,MonthlyPayment,""), "")</f>
        <v>23959.383922915164</v>
      </c>
      <c r="F84" s="12">
        <f>IFERROR(IF(LoanIsNotPaid*LoanIsGood,Principal,""), "")</f>
        <v>20420.216568235297</v>
      </c>
      <c r="G84" s="12">
        <f>IFERROR(IF(LoanIsNotPaid*LoanIsGood,InterestAmt,""), "")</f>
        <v>3539.1673546798638</v>
      </c>
      <c r="H84" s="12">
        <f>IFERROR(IF(LoanIsNotPaid*LoanIsGood,EndingBalance,""), "")</f>
        <v>464951.30635928037</v>
      </c>
    </row>
    <row r="85" spans="2:8" ht="20.149999999999999" customHeight="1">
      <c r="B85" s="9">
        <f>IFERROR(IF(LoanIsNotPaid*LoanIsGood,PaymentNumber,""), "")</f>
        <v>76</v>
      </c>
      <c r="C85" s="10">
        <f>IFERROR(IF(LoanIsNotPaid*LoanIsGood,PaymentDate,""), "")</f>
        <v>46206</v>
      </c>
      <c r="D85" s="12">
        <f>IFERROR(IF(LoanIsNotPaid*LoanIsGood,LoanValue,""), "")</f>
        <v>464951.30635928037</v>
      </c>
      <c r="E85" s="12">
        <f>IFERROR(IF(LoanIsNotPaid*LoanIsGood,MonthlyPayment,""), "")</f>
        <v>23959.383922915164</v>
      </c>
      <c r="F85" s="12">
        <f>IFERROR(IF(LoanIsNotPaid*LoanIsGood,Principal,""), "")</f>
        <v>20569.113980712013</v>
      </c>
      <c r="G85" s="12">
        <f>IFERROR(IF(LoanIsNotPaid*LoanIsGood,InterestAmt,""), "")</f>
        <v>3390.2699422031478</v>
      </c>
      <c r="H85" s="12">
        <f>IFERROR(IF(LoanIsNotPaid*LoanIsGood,EndingBalance,""), "")</f>
        <v>444382.19237856846</v>
      </c>
    </row>
    <row r="86" spans="2:8" ht="20.149999999999999" customHeight="1">
      <c r="B86" s="9">
        <f>IFERROR(IF(LoanIsNotPaid*LoanIsGood,PaymentNumber,""), "")</f>
        <v>77</v>
      </c>
      <c r="C86" s="10">
        <f>IFERROR(IF(LoanIsNotPaid*LoanIsGood,PaymentDate,""), "")</f>
        <v>46237</v>
      </c>
      <c r="D86" s="12">
        <f>IFERROR(IF(LoanIsNotPaid*LoanIsGood,LoanValue,""), "")</f>
        <v>444382.19237856846</v>
      </c>
      <c r="E86" s="12">
        <f>IFERROR(IF(LoanIsNotPaid*LoanIsGood,MonthlyPayment,""), "")</f>
        <v>23959.383922915164</v>
      </c>
      <c r="F86" s="12">
        <f>IFERROR(IF(LoanIsNotPaid*LoanIsGood,Principal,""), "")</f>
        <v>20719.097103488042</v>
      </c>
      <c r="G86" s="12">
        <f>IFERROR(IF(LoanIsNotPaid*LoanIsGood,InterestAmt,""), "")</f>
        <v>3240.2868194271232</v>
      </c>
      <c r="H86" s="12">
        <f>IFERROR(IF(LoanIsNotPaid*LoanIsGood,EndingBalance,""), "")</f>
        <v>423663.09527507983</v>
      </c>
    </row>
    <row r="87" spans="2:8" ht="20.149999999999999" customHeight="1">
      <c r="B87" s="9">
        <f>IFERROR(IF(LoanIsNotPaid*LoanIsGood,PaymentNumber,""), "")</f>
        <v>78</v>
      </c>
      <c r="C87" s="10">
        <f>IFERROR(IF(LoanIsNotPaid*LoanIsGood,PaymentDate,""), "")</f>
        <v>46268</v>
      </c>
      <c r="D87" s="12">
        <f>IFERROR(IF(LoanIsNotPaid*LoanIsGood,LoanValue,""), "")</f>
        <v>423663.09527507983</v>
      </c>
      <c r="E87" s="12">
        <f>IFERROR(IF(LoanIsNotPaid*LoanIsGood,MonthlyPayment,""), "")</f>
        <v>23959.383922915164</v>
      </c>
      <c r="F87" s="12">
        <f>IFERROR(IF(LoanIsNotPaid*LoanIsGood,Principal,""), "")</f>
        <v>20870.173853200973</v>
      </c>
      <c r="G87" s="12">
        <f>IFERROR(IF(LoanIsNotPaid*LoanIsGood,InterestAmt,""), "")</f>
        <v>3089.2100697141891</v>
      </c>
      <c r="H87" s="12">
        <f>IFERROR(IF(LoanIsNotPaid*LoanIsGood,EndingBalance,""), "")</f>
        <v>402792.92142187851</v>
      </c>
    </row>
    <row r="88" spans="2:8" ht="20.149999999999999" customHeight="1">
      <c r="B88" s="9">
        <f>IFERROR(IF(LoanIsNotPaid*LoanIsGood,PaymentNumber,""), "")</f>
        <v>79</v>
      </c>
      <c r="C88" s="10">
        <f>IFERROR(IF(LoanIsNotPaid*LoanIsGood,PaymentDate,""), "")</f>
        <v>46298</v>
      </c>
      <c r="D88" s="12">
        <f>IFERROR(IF(LoanIsNotPaid*LoanIsGood,LoanValue,""), "")</f>
        <v>402792.92142187851</v>
      </c>
      <c r="E88" s="12">
        <f>IFERROR(IF(LoanIsNotPaid*LoanIsGood,MonthlyPayment,""), "")</f>
        <v>23959.383922915164</v>
      </c>
      <c r="F88" s="12">
        <f>IFERROR(IF(LoanIsNotPaid*LoanIsGood,Principal,""), "")</f>
        <v>21022.352204213901</v>
      </c>
      <c r="G88" s="12">
        <f>IFERROR(IF(LoanIsNotPaid*LoanIsGood,InterestAmt,""), "")</f>
        <v>2937.0317187012661</v>
      </c>
      <c r="H88" s="12">
        <f>IFERROR(IF(LoanIsNotPaid*LoanIsGood,EndingBalance,""), "")</f>
        <v>381770.56921766512</v>
      </c>
    </row>
    <row r="89" spans="2:8" ht="20.149999999999999" customHeight="1">
      <c r="B89" s="9">
        <f>IFERROR(IF(LoanIsNotPaid*LoanIsGood,PaymentNumber,""), "")</f>
        <v>80</v>
      </c>
      <c r="C89" s="10">
        <f>IFERROR(IF(LoanIsNotPaid*LoanIsGood,PaymentDate,""), "")</f>
        <v>46329</v>
      </c>
      <c r="D89" s="12">
        <f>IFERROR(IF(LoanIsNotPaid*LoanIsGood,LoanValue,""), "")</f>
        <v>381770.56921766512</v>
      </c>
      <c r="E89" s="12">
        <f>IFERROR(IF(LoanIsNotPaid*LoanIsGood,MonthlyPayment,""), "")</f>
        <v>23959.383922915164</v>
      </c>
      <c r="F89" s="12">
        <f>IFERROR(IF(LoanIsNotPaid*LoanIsGood,Principal,""), "")</f>
        <v>21175.64018903629</v>
      </c>
      <c r="G89" s="12">
        <f>IFERROR(IF(LoanIsNotPaid*LoanIsGood,InterestAmt,""), "")</f>
        <v>2783.7437338788723</v>
      </c>
      <c r="H89" s="12">
        <f>IFERROR(IF(LoanIsNotPaid*LoanIsGood,EndingBalance,""), "")</f>
        <v>360594.92902862793</v>
      </c>
    </row>
    <row r="90" spans="2:8" ht="20.149999999999999" customHeight="1">
      <c r="B90" s="9">
        <f>IFERROR(IF(LoanIsNotPaid*LoanIsGood,PaymentNumber,""), "")</f>
        <v>81</v>
      </c>
      <c r="C90" s="10">
        <f>IFERROR(IF(LoanIsNotPaid*LoanIsGood,PaymentDate,""), "")</f>
        <v>46359</v>
      </c>
      <c r="D90" s="12">
        <f>IFERROR(IF(LoanIsNotPaid*LoanIsGood,LoanValue,""), "")</f>
        <v>360594.92902862793</v>
      </c>
      <c r="E90" s="12">
        <f>IFERROR(IF(LoanIsNotPaid*LoanIsGood,MonthlyPayment,""), "")</f>
        <v>23959.383922915164</v>
      </c>
      <c r="F90" s="12">
        <f>IFERROR(IF(LoanIsNotPaid*LoanIsGood,Principal,""), "")</f>
        <v>21330.045898748016</v>
      </c>
      <c r="G90" s="12">
        <f>IFERROR(IF(LoanIsNotPaid*LoanIsGood,InterestAmt,""), "")</f>
        <v>2629.3380241671493</v>
      </c>
      <c r="H90" s="12">
        <f>IFERROR(IF(LoanIsNotPaid*LoanIsGood,EndingBalance,""), "")</f>
        <v>339264.8831298803</v>
      </c>
    </row>
    <row r="91" spans="2:8" ht="20.149999999999999" customHeight="1">
      <c r="B91" s="9">
        <f>IFERROR(IF(LoanIsNotPaid*LoanIsGood,PaymentNumber,""), "")</f>
        <v>82</v>
      </c>
      <c r="C91" s="10">
        <f>IFERROR(IF(LoanIsNotPaid*LoanIsGood,PaymentDate,""), "")</f>
        <v>46390</v>
      </c>
      <c r="D91" s="12">
        <f>IFERROR(IF(LoanIsNotPaid*LoanIsGood,LoanValue,""), "")</f>
        <v>339264.8831298803</v>
      </c>
      <c r="E91" s="12">
        <f>IFERROR(IF(LoanIsNotPaid*LoanIsGood,MonthlyPayment,""), "")</f>
        <v>23959.383922915164</v>
      </c>
      <c r="F91" s="12">
        <f>IFERROR(IF(LoanIsNotPaid*LoanIsGood,Principal,""), "")</f>
        <v>21485.577483426387</v>
      </c>
      <c r="G91" s="12">
        <f>IFERROR(IF(LoanIsNotPaid*LoanIsGood,InterestAmt,""), "")</f>
        <v>2473.8064394887788</v>
      </c>
      <c r="H91" s="12">
        <f>IFERROR(IF(LoanIsNotPaid*LoanIsGood,EndingBalance,""), "")</f>
        <v>317779.30564645398</v>
      </c>
    </row>
    <row r="92" spans="2:8" ht="20.149999999999999" customHeight="1">
      <c r="B92" s="9">
        <f>IFERROR(IF(LoanIsNotPaid*LoanIsGood,PaymentNumber,""), "")</f>
        <v>83</v>
      </c>
      <c r="C92" s="10">
        <f>IFERROR(IF(LoanIsNotPaid*LoanIsGood,PaymentDate,""), "")</f>
        <v>46421</v>
      </c>
      <c r="D92" s="12">
        <f>IFERROR(IF(LoanIsNotPaid*LoanIsGood,LoanValue,""), "")</f>
        <v>317779.30564645398</v>
      </c>
      <c r="E92" s="12">
        <f>IFERROR(IF(LoanIsNotPaid*LoanIsGood,MonthlyPayment,""), "")</f>
        <v>23959.383922915164</v>
      </c>
      <c r="F92" s="12">
        <f>IFERROR(IF(LoanIsNotPaid*LoanIsGood,Principal,""), "")</f>
        <v>21642.243152576371</v>
      </c>
      <c r="G92" s="12">
        <f>IFERROR(IF(LoanIsNotPaid*LoanIsGood,InterestAmt,""), "")</f>
        <v>2317.1407703387945</v>
      </c>
      <c r="H92" s="12">
        <f>IFERROR(IF(LoanIsNotPaid*LoanIsGood,EndingBalance,""), "")</f>
        <v>296137.06249387749</v>
      </c>
    </row>
    <row r="93" spans="2:8" ht="20.149999999999999" customHeight="1">
      <c r="B93" s="9">
        <f>IFERROR(IF(LoanIsNotPaid*LoanIsGood,PaymentNumber,""), "")</f>
        <v>84</v>
      </c>
      <c r="C93" s="10">
        <f>IFERROR(IF(LoanIsNotPaid*LoanIsGood,PaymentDate,""), "")</f>
        <v>46449</v>
      </c>
      <c r="D93" s="12">
        <f>IFERROR(IF(LoanIsNotPaid*LoanIsGood,LoanValue,""), "")</f>
        <v>296137.06249387749</v>
      </c>
      <c r="E93" s="12">
        <f>IFERROR(IF(LoanIsNotPaid*LoanIsGood,MonthlyPayment,""), "")</f>
        <v>23959.383922915164</v>
      </c>
      <c r="F93" s="12">
        <f>IFERROR(IF(LoanIsNotPaid*LoanIsGood,Principal,""), "")</f>
        <v>21800.051175563905</v>
      </c>
      <c r="G93" s="12">
        <f>IFERROR(IF(LoanIsNotPaid*LoanIsGood,InterestAmt,""), "")</f>
        <v>2159.3327473512586</v>
      </c>
      <c r="H93" s="12">
        <f>IFERROR(IF(LoanIsNotPaid*LoanIsGood,EndingBalance,""), "")</f>
        <v>274337.01131831249</v>
      </c>
    </row>
    <row r="94" spans="2:8" ht="20.149999999999999" customHeight="1">
      <c r="B94" s="9">
        <f>IFERROR(IF(LoanIsNotPaid*LoanIsGood,PaymentNumber,""), "")</f>
        <v>85</v>
      </c>
      <c r="C94" s="10">
        <f>IFERROR(IF(LoanIsNotPaid*LoanIsGood,PaymentDate,""), "")</f>
        <v>46480</v>
      </c>
      <c r="D94" s="12">
        <f>IFERROR(IF(LoanIsNotPaid*LoanIsGood,LoanValue,""), "")</f>
        <v>274337.01131831249</v>
      </c>
      <c r="E94" s="12">
        <f>IFERROR(IF(LoanIsNotPaid*LoanIsGood,MonthlyPayment,""), "")</f>
        <v>23959.383922915164</v>
      </c>
      <c r="F94" s="12">
        <f>IFERROR(IF(LoanIsNotPaid*LoanIsGood,Principal,""), "")</f>
        <v>21959.009882052393</v>
      </c>
      <c r="G94" s="12">
        <f>IFERROR(IF(LoanIsNotPaid*LoanIsGood,InterestAmt,""), "")</f>
        <v>2000.3740408627714</v>
      </c>
      <c r="H94" s="12">
        <f>IFERROR(IF(LoanIsNotPaid*LoanIsGood,EndingBalance,""), "")</f>
        <v>252378.00143626053</v>
      </c>
    </row>
    <row r="95" spans="2:8" ht="20.149999999999999" customHeight="1">
      <c r="B95" s="9">
        <f>IFERROR(IF(LoanIsNotPaid*LoanIsGood,PaymentNumber,""), "")</f>
        <v>86</v>
      </c>
      <c r="C95" s="10">
        <f>IFERROR(IF(LoanIsNotPaid*LoanIsGood,PaymentDate,""), "")</f>
        <v>46510</v>
      </c>
      <c r="D95" s="12">
        <f>IFERROR(IF(LoanIsNotPaid*LoanIsGood,LoanValue,""), "")</f>
        <v>252378.00143626053</v>
      </c>
      <c r="E95" s="12">
        <f>IFERROR(IF(LoanIsNotPaid*LoanIsGood,MonthlyPayment,""), "")</f>
        <v>23959.383922915164</v>
      </c>
      <c r="F95" s="12">
        <f>IFERROR(IF(LoanIsNotPaid*LoanIsGood,Principal,""), "")</f>
        <v>22119.127662442355</v>
      </c>
      <c r="G95" s="12">
        <f>IFERROR(IF(LoanIsNotPaid*LoanIsGood,InterestAmt,""), "")</f>
        <v>1840.2562604728066</v>
      </c>
      <c r="H95" s="12">
        <f>IFERROR(IF(LoanIsNotPaid*LoanIsGood,EndingBalance,""), "")</f>
        <v>230258.87377381837</v>
      </c>
    </row>
    <row r="96" spans="2:8" ht="20.149999999999999" customHeight="1">
      <c r="B96" s="9">
        <f>IFERROR(IF(LoanIsNotPaid*LoanIsGood,PaymentNumber,""), "")</f>
        <v>87</v>
      </c>
      <c r="C96" s="10">
        <f>IFERROR(IF(LoanIsNotPaid*LoanIsGood,PaymentDate,""), "")</f>
        <v>46541</v>
      </c>
      <c r="D96" s="12">
        <f>IFERROR(IF(LoanIsNotPaid*LoanIsGood,LoanValue,""), "")</f>
        <v>230258.87377381837</v>
      </c>
      <c r="E96" s="12">
        <f>IFERROR(IF(LoanIsNotPaid*LoanIsGood,MonthlyPayment,""), "")</f>
        <v>23959.383922915164</v>
      </c>
      <c r="F96" s="12">
        <f>IFERROR(IF(LoanIsNotPaid*LoanIsGood,Principal,""), "")</f>
        <v>22280.412968314333</v>
      </c>
      <c r="G96" s="12">
        <f>IFERROR(IF(LoanIsNotPaid*LoanIsGood,InterestAmt,""), "")</f>
        <v>1678.970954600831</v>
      </c>
      <c r="H96" s="12">
        <f>IFERROR(IF(LoanIsNotPaid*LoanIsGood,EndingBalance,""), "")</f>
        <v>207978.46080550319</v>
      </c>
    </row>
    <row r="97" spans="2:8" ht="20.149999999999999" customHeight="1">
      <c r="B97" s="9">
        <f>IFERROR(IF(LoanIsNotPaid*LoanIsGood,PaymentNumber,""), "")</f>
        <v>88</v>
      </c>
      <c r="C97" s="10">
        <f>IFERROR(IF(LoanIsNotPaid*LoanIsGood,PaymentDate,""), "")</f>
        <v>46571</v>
      </c>
      <c r="D97" s="12">
        <f>IFERROR(IF(LoanIsNotPaid*LoanIsGood,LoanValue,""), "")</f>
        <v>207978.46080550319</v>
      </c>
      <c r="E97" s="12">
        <f>IFERROR(IF(LoanIsNotPaid*LoanIsGood,MonthlyPayment,""), "")</f>
        <v>23959.383922915164</v>
      </c>
      <c r="F97" s="12">
        <f>IFERROR(IF(LoanIsNotPaid*LoanIsGood,Principal,""), "")</f>
        <v>22442.874312874959</v>
      </c>
      <c r="G97" s="12">
        <f>IFERROR(IF(LoanIsNotPaid*LoanIsGood,InterestAmt,""), "")</f>
        <v>1516.5096100402054</v>
      </c>
      <c r="H97" s="12">
        <f>IFERROR(IF(LoanIsNotPaid*LoanIsGood,EndingBalance,""), "")</f>
        <v>185535.58649262786</v>
      </c>
    </row>
    <row r="98" spans="2:8" ht="20.149999999999999" customHeight="1">
      <c r="B98" s="9">
        <f>IFERROR(IF(LoanIsNotPaid*LoanIsGood,PaymentNumber,""), "")</f>
        <v>89</v>
      </c>
      <c r="C98" s="10">
        <f>IFERROR(IF(LoanIsNotPaid*LoanIsGood,PaymentDate,""), "")</f>
        <v>46602</v>
      </c>
      <c r="D98" s="12">
        <f>IFERROR(IF(LoanIsNotPaid*LoanIsGood,LoanValue,""), "")</f>
        <v>185535.58649262786</v>
      </c>
      <c r="E98" s="12">
        <f>IFERROR(IF(LoanIsNotPaid*LoanIsGood,MonthlyPayment,""), "")</f>
        <v>23959.383922915164</v>
      </c>
      <c r="F98" s="12">
        <f>IFERROR(IF(LoanIsNotPaid*LoanIsGood,Principal,""), "")</f>
        <v>22606.520271406342</v>
      </c>
      <c r="G98" s="12">
        <f>IFERROR(IF(LoanIsNotPaid*LoanIsGood,InterestAmt,""), "")</f>
        <v>1352.8636515088258</v>
      </c>
      <c r="H98" s="12">
        <f>IFERROR(IF(LoanIsNotPaid*LoanIsGood,EndingBalance,""), "")</f>
        <v>162929.06622122182</v>
      </c>
    </row>
    <row r="99" spans="2:8" ht="20.149999999999999" customHeight="1">
      <c r="B99" s="9">
        <f>IFERROR(IF(LoanIsNotPaid*LoanIsGood,PaymentNumber,""), "")</f>
        <v>90</v>
      </c>
      <c r="C99" s="10">
        <f>IFERROR(IF(LoanIsNotPaid*LoanIsGood,PaymentDate,""), "")</f>
        <v>46633</v>
      </c>
      <c r="D99" s="12">
        <f>IFERROR(IF(LoanIsNotPaid*LoanIsGood,LoanValue,""), "")</f>
        <v>162929.06622122182</v>
      </c>
      <c r="E99" s="12">
        <f>IFERROR(IF(LoanIsNotPaid*LoanIsGood,MonthlyPayment,""), "")</f>
        <v>23959.383922915164</v>
      </c>
      <c r="F99" s="12">
        <f>IFERROR(IF(LoanIsNotPaid*LoanIsGood,Principal,""), "")</f>
        <v>22771.359481718679</v>
      </c>
      <c r="G99" s="12">
        <f>IFERROR(IF(LoanIsNotPaid*LoanIsGood,InterestAmt,""), "")</f>
        <v>1188.0244411964877</v>
      </c>
      <c r="H99" s="12">
        <f>IFERROR(IF(LoanIsNotPaid*LoanIsGood,EndingBalance,""), "")</f>
        <v>140157.70673950249</v>
      </c>
    </row>
    <row r="100" spans="2:8" ht="20.149999999999999" customHeight="1">
      <c r="B100" s="9">
        <f>IFERROR(IF(LoanIsNotPaid*LoanIsGood,PaymentNumber,""), "")</f>
        <v>91</v>
      </c>
      <c r="C100" s="10">
        <f>IFERROR(IF(LoanIsNotPaid*LoanIsGood,PaymentDate,""), "")</f>
        <v>46663</v>
      </c>
      <c r="D100" s="12">
        <f>IFERROR(IF(LoanIsNotPaid*LoanIsGood,LoanValue,""), "")</f>
        <v>140157.70673950249</v>
      </c>
      <c r="E100" s="12">
        <f>IFERROR(IF(LoanIsNotPaid*LoanIsGood,MonthlyPayment,""), "")</f>
        <v>23959.383922915164</v>
      </c>
      <c r="F100" s="12">
        <f>IFERROR(IF(LoanIsNotPaid*LoanIsGood,Principal,""), "")</f>
        <v>22937.400644606209</v>
      </c>
      <c r="G100" s="12">
        <f>IFERROR(IF(LoanIsNotPaid*LoanIsGood,InterestAmt,""), "")</f>
        <v>1021.9832783089556</v>
      </c>
      <c r="H100" s="12">
        <f>IFERROR(IF(LoanIsNotPaid*LoanIsGood,EndingBalance,""), "")</f>
        <v>117220.30609489651</v>
      </c>
    </row>
    <row r="101" spans="2:8" ht="20.149999999999999" customHeight="1">
      <c r="B101" s="9">
        <f>IFERROR(IF(LoanIsNotPaid*LoanIsGood,PaymentNumber,""), "")</f>
        <v>92</v>
      </c>
      <c r="C101" s="10">
        <f>IFERROR(IF(LoanIsNotPaid*LoanIsGood,PaymentDate,""), "")</f>
        <v>46694</v>
      </c>
      <c r="D101" s="12">
        <f>IFERROR(IF(LoanIsNotPaid*LoanIsGood,LoanValue,""), "")</f>
        <v>117220.30609489651</v>
      </c>
      <c r="E101" s="12">
        <f>IFERROR(IF(LoanIsNotPaid*LoanIsGood,MonthlyPayment,""), "")</f>
        <v>23959.383922915164</v>
      </c>
      <c r="F101" s="12">
        <f>IFERROR(IF(LoanIsNotPaid*LoanIsGood,Principal,""), "")</f>
        <v>23104.652524306464</v>
      </c>
      <c r="G101" s="12">
        <f>IFERROR(IF(LoanIsNotPaid*LoanIsGood,InterestAmt,""), "")</f>
        <v>854.73139860870219</v>
      </c>
      <c r="H101" s="12">
        <f>IFERROR(IF(LoanIsNotPaid*LoanIsGood,EndingBalance,""), "")</f>
        <v>94115.653570589609</v>
      </c>
    </row>
    <row r="102" spans="2:8" ht="20.149999999999999" customHeight="1">
      <c r="B102" s="9">
        <f>IFERROR(IF(LoanIsNotPaid*LoanIsGood,PaymentNumber,""), "")</f>
        <v>93</v>
      </c>
      <c r="C102" s="10">
        <f>IFERROR(IF(LoanIsNotPaid*LoanIsGood,PaymentDate,""), "")</f>
        <v>46724</v>
      </c>
      <c r="D102" s="12">
        <f>IFERROR(IF(LoanIsNotPaid*LoanIsGood,LoanValue,""), "")</f>
        <v>94115.653570589609</v>
      </c>
      <c r="E102" s="12">
        <f>IFERROR(IF(LoanIsNotPaid*LoanIsGood,MonthlyPayment,""), "")</f>
        <v>23959.383922915164</v>
      </c>
      <c r="F102" s="12">
        <f>IFERROR(IF(LoanIsNotPaid*LoanIsGood,Principal,""), "")</f>
        <v>23273.123948962864</v>
      </c>
      <c r="G102" s="12">
        <f>IFERROR(IF(LoanIsNotPaid*LoanIsGood,InterestAmt,""), "")</f>
        <v>686.25997395230081</v>
      </c>
      <c r="H102" s="12">
        <f>IFERROR(IF(LoanIsNotPaid*LoanIsGood,EndingBalance,""), "")</f>
        <v>70842.529621627182</v>
      </c>
    </row>
    <row r="103" spans="2:8" ht="20.149999999999999" customHeight="1">
      <c r="B103" s="9">
        <f>IFERROR(IF(LoanIsNotPaid*LoanIsGood,PaymentNumber,""), "")</f>
        <v>94</v>
      </c>
      <c r="C103" s="10">
        <f>IFERROR(IF(LoanIsNotPaid*LoanIsGood,PaymentDate,""), "")</f>
        <v>46755</v>
      </c>
      <c r="D103" s="12">
        <f>IFERROR(IF(LoanIsNotPaid*LoanIsGood,LoanValue,""), "")</f>
        <v>70842.529621627182</v>
      </c>
      <c r="E103" s="12">
        <f>IFERROR(IF(LoanIsNotPaid*LoanIsGood,MonthlyPayment,""), "")</f>
        <v>23959.383922915164</v>
      </c>
      <c r="F103" s="12">
        <f>IFERROR(IF(LoanIsNotPaid*LoanIsGood,Principal,""), "")</f>
        <v>23442.823811090719</v>
      </c>
      <c r="G103" s="12">
        <f>IFERROR(IF(LoanIsNotPaid*LoanIsGood,InterestAmt,""), "")</f>
        <v>516.56011182444661</v>
      </c>
      <c r="H103" s="12">
        <f>IFERROR(IF(LoanIsNotPaid*LoanIsGood,EndingBalance,""), "")</f>
        <v>47399.705810536165</v>
      </c>
    </row>
    <row r="104" spans="2:8" ht="20.149999999999999" customHeight="1">
      <c r="B104" s="9">
        <f>IFERROR(IF(LoanIsNotPaid*LoanIsGood,PaymentNumber,""), "")</f>
        <v>95</v>
      </c>
      <c r="C104" s="10">
        <f>IFERROR(IF(LoanIsNotPaid*LoanIsGood,PaymentDate,""), "")</f>
        <v>46786</v>
      </c>
      <c r="D104" s="12">
        <f>IFERROR(IF(LoanIsNotPaid*LoanIsGood,LoanValue,""), "")</f>
        <v>47399.705810536165</v>
      </c>
      <c r="E104" s="12">
        <f>IFERROR(IF(LoanIsNotPaid*LoanIsGood,MonthlyPayment,""), "")</f>
        <v>23959.383922915164</v>
      </c>
      <c r="F104" s="12">
        <f>IFERROR(IF(LoanIsNotPaid*LoanIsGood,Principal,""), "")</f>
        <v>23613.761068046591</v>
      </c>
      <c r="G104" s="12">
        <f>IFERROR(IF(LoanIsNotPaid*LoanIsGood,InterestAmt,""), "")</f>
        <v>345.62285486857689</v>
      </c>
      <c r="H104" s="12">
        <f>IFERROR(IF(LoanIsNotPaid*LoanIsGood,EndingBalance,""), "")</f>
        <v>23785.944742489606</v>
      </c>
    </row>
    <row r="105" spans="2:8" ht="20.149999999999999" customHeight="1">
      <c r="B105" s="9">
        <f>IFERROR(IF(LoanIsNotPaid*LoanIsGood,PaymentNumber,""), "")</f>
        <v>96</v>
      </c>
      <c r="C105" s="10">
        <f>IFERROR(IF(LoanIsNotPaid*LoanIsGood,PaymentDate,""), "")</f>
        <v>46815</v>
      </c>
      <c r="D105" s="12">
        <f>IFERROR(IF(LoanIsNotPaid*LoanIsGood,LoanValue,""), "")</f>
        <v>23785.944742489606</v>
      </c>
      <c r="E105" s="12">
        <f>IFERROR(IF(LoanIsNotPaid*LoanIsGood,MonthlyPayment,""), "")</f>
        <v>23959.383922915164</v>
      </c>
      <c r="F105" s="12">
        <f>IFERROR(IF(LoanIsNotPaid*LoanIsGood,Principal,""), "")</f>
        <v>23785.944742501091</v>
      </c>
      <c r="G105" s="12">
        <f>IFERROR(IF(LoanIsNotPaid*LoanIsGood,InterestAmt,""), "")</f>
        <v>173.43918041407048</v>
      </c>
      <c r="H105" s="12">
        <f>IFERROR(IF(LoanIsNotPaid*LoanIsGood,EndingBalance,""), "")</f>
        <v>-1.3038516044616699E-8</v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62" priority="4" stopIfTrue="1">
      <formula>NOT(LoanIsNotPaid)</formula>
    </cfRule>
    <cfRule type="expression" dxfId="61" priority="5" stopIfTrue="1">
      <formula>IF(ROW(B10)=LastRow,TRUE,FALSE)</formula>
    </cfRule>
  </conditionalFormatting>
  <conditionalFormatting sqref="B10:H369">
    <cfRule type="expression" dxfId="60" priority="1">
      <formula>$B10=""</formula>
    </cfRule>
  </conditionalFormatting>
  <conditionalFormatting sqref="C10:G369">
    <cfRule type="expression" dxfId="59" priority="2" stopIfTrue="1">
      <formula>NOT(LoanIsNotPaid)</formula>
    </cfRule>
    <cfRule type="expression" dxfId="58" priority="3" stopIfTrue="1">
      <formula>IF(ROW(C10)=LastRow,TRUE,FALSE)</formula>
    </cfRule>
  </conditionalFormatting>
  <conditionalFormatting sqref="H10:H369">
    <cfRule type="expression" dxfId="57" priority="6" stopIfTrue="1">
      <formula>NOT(LoanIsNotPaid)</formula>
    </cfRule>
    <cfRule type="expression" dxfId="56" priority="7" stopIfTrue="1">
      <formula>IF(ROW(H10)=LastRow,TRUE,FALSE)</formula>
    </cfRule>
  </conditionalFormatting>
  <dataValidations count="27">
    <dataValidation allowBlank="1" showInputMessage="1" showErrorMessage="1" prompt="Enter Loan Values in cells D4 through D7 for each description in cells below. Loan Summary in cells H4 through H7 and Loan table are automatically updated" sqref="B3:D3" xr:uid="{33DFC209-3E84-4158-8734-C5F4253956EF}"/>
    <dataValidation allowBlank="1" showInputMessage="1" showErrorMessage="1" prompt="Ending Balance is automatically updated in this column under this heading" sqref="H9" xr:uid="{D90545D9-A295-4944-AFD0-ECE0E018662E}"/>
    <dataValidation allowBlank="1" showInputMessage="1" showErrorMessage="1" prompt="Interest amount is automatically updated in this column under this heading" sqref="G9" xr:uid="{98302C6F-F77C-4AA6-9F1F-46048EED3757}"/>
    <dataValidation allowBlank="1" showInputMessage="1" showErrorMessage="1" prompt="Principal amount is automatically updated in this column under this heading" sqref="F9" xr:uid="{7BBAC34E-1136-42C7-AEFF-3F6117774F6A}"/>
    <dataValidation allowBlank="1" showInputMessage="1" showErrorMessage="1" prompt="Payment amount is automatically calculated in this column under this heading" sqref="E9" xr:uid="{EA0C3B47-7B92-45A0-9A00-735737548112}"/>
    <dataValidation allowBlank="1" showInputMessage="1" showErrorMessage="1" prompt="Beginning Balance is automatically calculated in this column under this heading" sqref="D9" xr:uid="{8F027E0E-7E98-47DC-8E32-76DFB43FB6D3}"/>
    <dataValidation allowBlank="1" showInputMessage="1" showErrorMessage="1" prompt="Payment Date is automatically updated in this column under this heading" sqref="C9" xr:uid="{68D0A33F-CD4B-426A-806A-7A5AC2346091}"/>
    <dataValidation allowBlank="1" showInputMessage="1" showErrorMessage="1" prompt="Payment Number is automatically updated in this column under this heading" sqref="B9" xr:uid="{C9FBAEB5-7561-41D5-8DC5-EF063680F419}"/>
    <dataValidation allowBlank="1" showInputMessage="1" showErrorMessage="1" prompt="Number of payments is automatically calculated in this cell" sqref="H5" xr:uid="{7490CAA3-91DE-4957-B08B-60924E0B321C}"/>
    <dataValidation allowBlank="1" showInputMessage="1" showErrorMessage="1" prompt="Total interest is automatically calculated in this cell" sqref="H6" xr:uid="{CE7675B9-31AD-42FB-B82A-A1ABCE216194}"/>
    <dataValidation allowBlank="1" showInputMessage="1" showErrorMessage="1" prompt="Total cost of loan is automatically calculated in this cell" sqref="H7" xr:uid="{082D2174-B890-41DA-B684-9D0D294338BA}"/>
    <dataValidation allowBlank="1" showInputMessage="1" showErrorMessage="1" prompt="Total cost of loan is automatically calculated in cell at right" sqref="F7:G7" xr:uid="{D2D82A35-CE60-484A-8F9C-C1B55E0015D4}"/>
    <dataValidation allowBlank="1" showInputMessage="1" showErrorMessage="1" prompt="Total interest is automatically calculated in cell at right" sqref="F6:G6" xr:uid="{5930DCE8-E681-4D6B-A1BD-2F14DC17A4B3}"/>
    <dataValidation allowBlank="1" showInputMessage="1" showErrorMessage="1" prompt="Number of payments is automatically calculated in cell at right" sqref="F5:G5" xr:uid="{BDF4CB59-A954-4A26-942E-691763F4B089}"/>
    <dataValidation allowBlank="1" showInputMessage="1" showErrorMessage="1" prompt="Monthly payment is automatically calculated in cell at right" sqref="F4:G4" xr:uid="{8481B589-A73F-4C26-AE5A-38DC61132167}"/>
    <dataValidation allowBlank="1" showInputMessage="1" showErrorMessage="1" prompt="Monthly payment is automatically calculated in this cell" sqref="H4" xr:uid="{9813EE24-7860-4B82-A066-0FC1A24871B0}"/>
    <dataValidation allowBlank="1" showInputMessage="1" showErrorMessage="1" prompt="Enter Start date of loan in cell at right" sqref="B7:C7" xr:uid="{64128266-07CC-4604-A900-D69502EEDA14}"/>
    <dataValidation allowBlank="1" showInputMessage="1" showErrorMessage="1" prompt="Enter Start date of loan in this cell" sqref="D7" xr:uid="{6CEF35A9-6F16-4B16-A574-051CA541DC28}"/>
    <dataValidation allowBlank="1" showInputMessage="1" showErrorMessage="1" prompt="Enter Loan period in years in cell at right" sqref="B6:C6" xr:uid="{66FBC590-ED74-4109-9F3B-17FBB6993EDF}"/>
    <dataValidation allowBlank="1" showInputMessage="1" showErrorMessage="1" prompt="Enter Loan period in years in this cell" sqref="D6" xr:uid="{127F21BB-C22F-4E5A-AC40-DFFAC2AEB3A3}"/>
    <dataValidation allowBlank="1" showInputMessage="1" showErrorMessage="1" prompt="Enter Annual interest rate in cell at right" sqref="B5:C5" xr:uid="{E642D67B-D145-43E2-A08D-D2F408241480}"/>
    <dataValidation allowBlank="1" showInputMessage="1" showErrorMessage="1" prompt="Enter Annual interest rate in this cell" sqref="D5" xr:uid="{2953C76D-BF85-43E4-8F2E-D290FCB742C4}"/>
    <dataValidation allowBlank="1" showInputMessage="1" showErrorMessage="1" prompt="Enter Loan amount in cell at right" sqref="B4:C4" xr:uid="{59D59524-B1C6-4A3A-B3BB-99E7DF60FFB4}"/>
    <dataValidation allowBlank="1" showInputMessage="1" showErrorMessage="1" prompt="Enter Loan amount in this cell" sqref="D4" xr:uid="{6A3731BA-2F59-4749-B0BB-AA5520E356BE}"/>
    <dataValidation allowBlank="1" showInputMessage="1" showErrorMessage="1" prompt="Loan Summary is automatically updated in cells below" sqref="F3" xr:uid="{EC260334-EE41-4464-8452-BD42DDA7AA99}"/>
    <dataValidation allowBlank="1" showInputMessage="1" showErrorMessage="1" prompt="Title of this worksheet is in this cell. Enter Loan Values in cells D3 through D6. Loan Summary in cells H3 through H6 and Loan table are automatically updated" sqref="B1:B2" xr:uid="{5A093D25-79DD-4A5F-9DE0-9DFDE8587A10}"/>
    <dataValidation allowBlank="1" showInputMessage="1" showErrorMessage="1" prompt="Make a loan repayment schedule using this Loan Calculator worksheet. Total interest and total payments are automatically calculated" sqref="A1:A2" xr:uid="{73E00BE6-2474-4E8F-A255-6D928A92A069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2F2F-CD01-4A0F-8E6E-D2B28A6A8BF3}">
  <sheetPr>
    <tabColor theme="4"/>
    <pageSetUpPr fitToPage="1"/>
  </sheetPr>
  <dimension ref="B1:H369"/>
  <sheetViews>
    <sheetView showGridLines="0" zoomScale="80" zoomScaleNormal="80" workbookViewId="0">
      <pane ySplit="9" topLeftCell="A68" activePane="bottomLeft" state="frozenSplit"/>
      <selection activeCell="D40" sqref="D40"/>
      <selection pane="bottomLeft" activeCell="F4" sqref="F4:G4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3016059</v>
      </c>
      <c r="E4"/>
      <c r="F4" s="43" t="s">
        <v>4</v>
      </c>
      <c r="G4" s="43"/>
      <c r="H4" s="13">
        <f>IFERROR(IF(LoanIsGood,MonthlyPayment,""), "")</f>
        <v>65201.023762440542</v>
      </c>
    </row>
    <row r="5" spans="2:8" ht="20.149999999999999" customHeight="1">
      <c r="B5" s="40" t="s">
        <v>1</v>
      </c>
      <c r="C5" s="40"/>
      <c r="D5" s="3">
        <v>0.1075</v>
      </c>
      <c r="E5"/>
      <c r="F5" s="40" t="s">
        <v>5</v>
      </c>
      <c r="G5" s="40"/>
      <c r="H5" s="6">
        <v>60</v>
      </c>
    </row>
    <row r="6" spans="2:8" ht="20.149999999999999" customHeight="1">
      <c r="B6" s="40" t="s">
        <v>2</v>
      </c>
      <c r="C6" s="40"/>
      <c r="D6" s="4">
        <v>5</v>
      </c>
      <c r="E6"/>
      <c r="F6" s="40" t="s">
        <v>6</v>
      </c>
      <c r="G6" s="40"/>
      <c r="H6" s="14">
        <f>IFERROR(IF(LoanIsGood,TotalLoanCost-LoanAmount,""), "")</f>
        <v>896002.42574643251</v>
      </c>
    </row>
    <row r="7" spans="2:8" ht="20.149999999999999" customHeight="1">
      <c r="B7" s="40" t="s">
        <v>3</v>
      </c>
      <c r="C7" s="40"/>
      <c r="D7" s="5">
        <v>44015</v>
      </c>
      <c r="E7"/>
      <c r="F7" s="40" t="s">
        <v>7</v>
      </c>
      <c r="G7" s="40"/>
      <c r="H7" s="14">
        <f>IFERROR(IF(LoanIsGood,MonthlyPayment*NumberOfPayments,""), "")</f>
        <v>3912061.4257464325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44046</v>
      </c>
      <c r="D10" s="12">
        <f>IFERROR(IF(LoanIsNotPaid*LoanIsGood,LoanValue,""), "")</f>
        <v>3016059</v>
      </c>
      <c r="E10" s="12">
        <f>IFERROR(IF(LoanIsNotPaid*LoanIsGood,MonthlyPayment,""), "")</f>
        <v>65201.023762440542</v>
      </c>
      <c r="F10" s="12">
        <f>IFERROR(IF(LoanIsNotPaid*LoanIsGood,Principal,""), "")</f>
        <v>38182.161887440532</v>
      </c>
      <c r="G10" s="12">
        <f>IFERROR(IF(LoanIsNotPaid*LoanIsGood,InterestAmt,""), "")</f>
        <v>27018.861875000002</v>
      </c>
      <c r="H10" s="12">
        <f>IFERROR(IF(LoanIsNotPaid*LoanIsGood,EndingBalance,""), "")</f>
        <v>2977876.8381125592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44077</v>
      </c>
      <c r="D11" s="12">
        <f>IFERROR(IF(LoanIsNotPaid*LoanIsGood,LoanValue,""), "")</f>
        <v>2977876.8381125592</v>
      </c>
      <c r="E11" s="12">
        <f>IFERROR(IF(LoanIsNotPaid*LoanIsGood,MonthlyPayment,""), "")</f>
        <v>65201.023762440542</v>
      </c>
      <c r="F11" s="12">
        <f>IFERROR(IF(LoanIsNotPaid*LoanIsGood,Principal,""), "")</f>
        <v>38524.210421015523</v>
      </c>
      <c r="G11" s="12">
        <f>IFERROR(IF(LoanIsNotPaid*LoanIsGood,InterestAmt,""), "")</f>
        <v>26676.813341425019</v>
      </c>
      <c r="H11" s="12">
        <f>IFERROR(IF(LoanIsNotPaid*LoanIsGood,EndingBalance,""), "")</f>
        <v>2939352.6276915432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44107</v>
      </c>
      <c r="D12" s="12">
        <f>IFERROR(IF(LoanIsNotPaid*LoanIsGood,LoanValue,""), "")</f>
        <v>2939352.6276915432</v>
      </c>
      <c r="E12" s="12">
        <f>IFERROR(IF(LoanIsNotPaid*LoanIsGood,MonthlyPayment,""), "")</f>
        <v>65201.023762440542</v>
      </c>
      <c r="F12" s="12">
        <f>IFERROR(IF(LoanIsNotPaid*LoanIsGood,Principal,""), "")</f>
        <v>38869.323139370455</v>
      </c>
      <c r="G12" s="12">
        <f>IFERROR(IF(LoanIsNotPaid*LoanIsGood,InterestAmt,""), "")</f>
        <v>26331.700623070094</v>
      </c>
      <c r="H12" s="12">
        <f>IFERROR(IF(LoanIsNotPaid*LoanIsGood,EndingBalance,""), "")</f>
        <v>2900483.3045521728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44138</v>
      </c>
      <c r="D13" s="12">
        <f>IFERROR(IF(LoanIsNotPaid*LoanIsGood,LoanValue,""), "")</f>
        <v>2900483.3045521728</v>
      </c>
      <c r="E13" s="12">
        <f>IFERROR(IF(LoanIsNotPaid*LoanIsGood,MonthlyPayment,""), "")</f>
        <v>65201.023762440542</v>
      </c>
      <c r="F13" s="12">
        <f>IFERROR(IF(LoanIsNotPaid*LoanIsGood,Principal,""), "")</f>
        <v>39217.52749249398</v>
      </c>
      <c r="G13" s="12">
        <f>IFERROR(IF(LoanIsNotPaid*LoanIsGood,InterestAmt,""), "")</f>
        <v>25983.496269946561</v>
      </c>
      <c r="H13" s="12">
        <f>IFERROR(IF(LoanIsNotPaid*LoanIsGood,EndingBalance,""), "")</f>
        <v>2861265.777059678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44168</v>
      </c>
      <c r="D14" s="12">
        <f>IFERROR(IF(LoanIsNotPaid*LoanIsGood,LoanValue,""), "")</f>
        <v>2861265.777059678</v>
      </c>
      <c r="E14" s="12">
        <f>IFERROR(IF(LoanIsNotPaid*LoanIsGood,MonthlyPayment,""), "")</f>
        <v>65201.023762440542</v>
      </c>
      <c r="F14" s="12">
        <f>IFERROR(IF(LoanIsNotPaid*LoanIsGood,Principal,""), "")</f>
        <v>39568.851176280914</v>
      </c>
      <c r="G14" s="12">
        <f>IFERROR(IF(LoanIsNotPaid*LoanIsGood,InterestAmt,""), "")</f>
        <v>25632.172586159639</v>
      </c>
      <c r="H14" s="12">
        <f>IFERROR(IF(LoanIsNotPaid*LoanIsGood,EndingBalance,""), "")</f>
        <v>2821696.9258833965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44199</v>
      </c>
      <c r="D15" s="12">
        <f>IFERROR(IF(LoanIsNotPaid*LoanIsGood,LoanValue,""), "")</f>
        <v>2821696.9258833965</v>
      </c>
      <c r="E15" s="12">
        <f>IFERROR(IF(LoanIsNotPaid*LoanIsGood,MonthlyPayment,""), "")</f>
        <v>65201.023762440542</v>
      </c>
      <c r="F15" s="12">
        <f>IFERROR(IF(LoanIsNotPaid*LoanIsGood,Principal,""), "")</f>
        <v>39923.322134735092</v>
      </c>
      <c r="G15" s="12">
        <f>IFERROR(IF(LoanIsNotPaid*LoanIsGood,InterestAmt,""), "")</f>
        <v>25277.70162770545</v>
      </c>
      <c r="H15" s="12">
        <f>IFERROR(IF(LoanIsNotPaid*LoanIsGood,EndingBalance,""), "")</f>
        <v>2781773.603748661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44230</v>
      </c>
      <c r="D16" s="12">
        <f>IFERROR(IF(LoanIsNotPaid*LoanIsGood,LoanValue,""), "")</f>
        <v>2781773.603748661</v>
      </c>
      <c r="E16" s="12">
        <f>IFERROR(IF(LoanIsNotPaid*LoanIsGood,MonthlyPayment,""), "")</f>
        <v>65201.023762440542</v>
      </c>
      <c r="F16" s="12">
        <f>IFERROR(IF(LoanIsNotPaid*LoanIsGood,Principal,""), "")</f>
        <v>40280.968562192094</v>
      </c>
      <c r="G16" s="12">
        <f>IFERROR(IF(LoanIsNotPaid*LoanIsGood,InterestAmt,""), "")</f>
        <v>24920.055200248447</v>
      </c>
      <c r="H16" s="12">
        <f>IFERROR(IF(LoanIsNotPaid*LoanIsGood,EndingBalance,""), "")</f>
        <v>2741492.6351864683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44258</v>
      </c>
      <c r="D17" s="12">
        <f>IFERROR(IF(LoanIsNotPaid*LoanIsGood,LoanValue,""), "")</f>
        <v>2741492.6351864683</v>
      </c>
      <c r="E17" s="12">
        <f>IFERROR(IF(LoanIsNotPaid*LoanIsGood,MonthlyPayment,""), "")</f>
        <v>65201.023762440542</v>
      </c>
      <c r="F17" s="12">
        <f>IFERROR(IF(LoanIsNotPaid*LoanIsGood,Principal,""), "")</f>
        <v>40641.818905561733</v>
      </c>
      <c r="G17" s="12">
        <f>IFERROR(IF(LoanIsNotPaid*LoanIsGood,InterestAmt,""), "")</f>
        <v>24559.204856878812</v>
      </c>
      <c r="H17" s="12">
        <f>IFERROR(IF(LoanIsNotPaid*LoanIsGood,EndingBalance,""), "")</f>
        <v>2700850.8162809061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44289</v>
      </c>
      <c r="D18" s="12">
        <f>IFERROR(IF(LoanIsNotPaid*LoanIsGood,LoanValue,""), "")</f>
        <v>2700850.8162809061</v>
      </c>
      <c r="E18" s="12">
        <f>IFERROR(IF(LoanIsNotPaid*LoanIsGood,MonthlyPayment,""), "")</f>
        <v>65201.023762440542</v>
      </c>
      <c r="F18" s="12">
        <f>IFERROR(IF(LoanIsNotPaid*LoanIsGood,Principal,""), "")</f>
        <v>41005.901866590728</v>
      </c>
      <c r="G18" s="12">
        <f>IFERROR(IF(LoanIsNotPaid*LoanIsGood,InterestAmt,""), "")</f>
        <v>24195.121895849821</v>
      </c>
      <c r="H18" s="12">
        <f>IFERROR(IF(LoanIsNotPaid*LoanIsGood,EndingBalance,""), "")</f>
        <v>2659844.9144143155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44319</v>
      </c>
      <c r="D19" s="12">
        <f>IFERROR(IF(LoanIsNotPaid*LoanIsGood,LoanValue,""), "")</f>
        <v>2659844.9144143155</v>
      </c>
      <c r="E19" s="12">
        <f>IFERROR(IF(LoanIsNotPaid*LoanIsGood,MonthlyPayment,""), "")</f>
        <v>65201.023762440542</v>
      </c>
      <c r="F19" s="12">
        <f>IFERROR(IF(LoanIsNotPaid*LoanIsGood,Principal,""), "")</f>
        <v>41373.246404145604</v>
      </c>
      <c r="G19" s="12">
        <f>IFERROR(IF(LoanIsNotPaid*LoanIsGood,InterestAmt,""), "")</f>
        <v>23827.777358294948</v>
      </c>
      <c r="H19" s="12">
        <f>IFERROR(IF(LoanIsNotPaid*LoanIsGood,EndingBalance,""), "")</f>
        <v>2618471.6680101692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44350</v>
      </c>
      <c r="D20" s="12">
        <f>IFERROR(IF(LoanIsNotPaid*LoanIsGood,LoanValue,""), "")</f>
        <v>2618471.6680101692</v>
      </c>
      <c r="E20" s="12">
        <f>IFERROR(IF(LoanIsNotPaid*LoanIsGood,MonthlyPayment,""), "")</f>
        <v>65201.023762440542</v>
      </c>
      <c r="F20" s="12">
        <f>IFERROR(IF(LoanIsNotPaid*LoanIsGood,Principal,""), "")</f>
        <v>41743.881736516065</v>
      </c>
      <c r="G20" s="12">
        <f>IFERROR(IF(LoanIsNotPaid*LoanIsGood,InterestAmt,""), "")</f>
        <v>23457.142025924481</v>
      </c>
      <c r="H20" s="12">
        <f>IFERROR(IF(LoanIsNotPaid*LoanIsGood,EndingBalance,""), "")</f>
        <v>2576727.7862736532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44380</v>
      </c>
      <c r="D21" s="12">
        <f>IFERROR(IF(LoanIsNotPaid*LoanIsGood,LoanValue,""), "")</f>
        <v>2576727.7862736532</v>
      </c>
      <c r="E21" s="12">
        <f>IFERROR(IF(LoanIsNotPaid*LoanIsGood,MonthlyPayment,""), "")</f>
        <v>65201.023762440542</v>
      </c>
      <c r="F21" s="12">
        <f>IFERROR(IF(LoanIsNotPaid*LoanIsGood,Principal,""), "")</f>
        <v>42117.837343739033</v>
      </c>
      <c r="G21" s="12">
        <f>IFERROR(IF(LoanIsNotPaid*LoanIsGood,InterestAmt,""), "")</f>
        <v>23083.18641870152</v>
      </c>
      <c r="H21" s="12">
        <f>IFERROR(IF(LoanIsNotPaid*LoanIsGood,EndingBalance,""), "")</f>
        <v>2534609.9489299124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44411</v>
      </c>
      <c r="D22" s="12">
        <f>IFERROR(IF(LoanIsNotPaid*LoanIsGood,LoanValue,""), "")</f>
        <v>2534609.9489299124</v>
      </c>
      <c r="E22" s="12">
        <f>IFERROR(IF(LoanIsNotPaid*LoanIsGood,MonthlyPayment,""), "")</f>
        <v>65201.023762440542</v>
      </c>
      <c r="F22" s="12">
        <f>IFERROR(IF(LoanIsNotPaid*LoanIsGood,Principal,""), "")</f>
        <v>42495.14296994335</v>
      </c>
      <c r="G22" s="12">
        <f>IFERROR(IF(LoanIsNotPaid*LoanIsGood,InterestAmt,""), "")</f>
        <v>22705.880792497192</v>
      </c>
      <c r="H22" s="12">
        <f>IFERROR(IF(LoanIsNotPaid*LoanIsGood,EndingBalance,""), "")</f>
        <v>2492114.8059599688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44442</v>
      </c>
      <c r="D23" s="12">
        <f>IFERROR(IF(LoanIsNotPaid*LoanIsGood,LoanValue,""), "")</f>
        <v>2492114.8059599688</v>
      </c>
      <c r="E23" s="12">
        <f>IFERROR(IF(LoanIsNotPaid*LoanIsGood,MonthlyPayment,""), "")</f>
        <v>65201.023762440542</v>
      </c>
      <c r="F23" s="12">
        <f>IFERROR(IF(LoanIsNotPaid*LoanIsGood,Principal,""), "")</f>
        <v>42875.828625715767</v>
      </c>
      <c r="G23" s="12">
        <f>IFERROR(IF(LoanIsNotPaid*LoanIsGood,InterestAmt,""), "")</f>
        <v>22325.195136724782</v>
      </c>
      <c r="H23" s="12">
        <f>IFERROR(IF(LoanIsNotPaid*LoanIsGood,EndingBalance,""), "")</f>
        <v>2449238.9773342535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44472</v>
      </c>
      <c r="D24" s="12">
        <f>IFERROR(IF(LoanIsNotPaid*LoanIsGood,LoanValue,""), "")</f>
        <v>2449238.9773342535</v>
      </c>
      <c r="E24" s="12">
        <f>IFERROR(IF(LoanIsNotPaid*LoanIsGood,MonthlyPayment,""), "")</f>
        <v>65201.023762440542</v>
      </c>
      <c r="F24" s="12">
        <f>IFERROR(IF(LoanIsNotPaid*LoanIsGood,Principal,""), "")</f>
        <v>43259.924590487804</v>
      </c>
      <c r="G24" s="12">
        <f>IFERROR(IF(LoanIsNotPaid*LoanIsGood,InterestAmt,""), "")</f>
        <v>21941.099171952741</v>
      </c>
      <c r="H24" s="12">
        <f>IFERROR(IF(LoanIsNotPaid*LoanIsGood,EndingBalance,""), "")</f>
        <v>2405979.0527437641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44503</v>
      </c>
      <c r="D25" s="12">
        <f>IFERROR(IF(LoanIsNotPaid*LoanIsGood,LoanValue,""), "")</f>
        <v>2405979.0527437641</v>
      </c>
      <c r="E25" s="12">
        <f>IFERROR(IF(LoanIsNotPaid*LoanIsGood,MonthlyPayment,""), "")</f>
        <v>65201.023762440542</v>
      </c>
      <c r="F25" s="12">
        <f>IFERROR(IF(LoanIsNotPaid*LoanIsGood,Principal,""), "")</f>
        <v>43647.46141494425</v>
      </c>
      <c r="G25" s="12">
        <f>IFERROR(IF(LoanIsNotPaid*LoanIsGood,InterestAmt,""), "")</f>
        <v>21553.562347496292</v>
      </c>
      <c r="H25" s="12">
        <f>IFERROR(IF(LoanIsNotPaid*LoanIsGood,EndingBalance,""), "")</f>
        <v>2362331.5913288202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44533</v>
      </c>
      <c r="D26" s="12">
        <f>IFERROR(IF(LoanIsNotPaid*LoanIsGood,LoanValue,""), "")</f>
        <v>2362331.5913288202</v>
      </c>
      <c r="E26" s="12">
        <f>IFERROR(IF(LoanIsNotPaid*LoanIsGood,MonthlyPayment,""), "")</f>
        <v>65201.023762440542</v>
      </c>
      <c r="F26" s="12">
        <f>IFERROR(IF(LoanIsNotPaid*LoanIsGood,Principal,""), "")</f>
        <v>44038.469923453129</v>
      </c>
      <c r="G26" s="12">
        <f>IFERROR(IF(LoanIsNotPaid*LoanIsGood,InterestAmt,""), "")</f>
        <v>21162.553838987416</v>
      </c>
      <c r="H26" s="12">
        <f>IFERROR(IF(LoanIsNotPaid*LoanIsGood,EndingBalance,""), "")</f>
        <v>2318293.1214053663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44564</v>
      </c>
      <c r="D27" s="12">
        <f>IFERROR(IF(LoanIsNotPaid*LoanIsGood,LoanValue,""), "")</f>
        <v>2318293.1214053663</v>
      </c>
      <c r="E27" s="12">
        <f>IFERROR(IF(LoanIsNotPaid*LoanIsGood,MonthlyPayment,""), "")</f>
        <v>65201.023762440542</v>
      </c>
      <c r="F27" s="12">
        <f>IFERROR(IF(LoanIsNotPaid*LoanIsGood,Principal,""), "")</f>
        <v>44432.981216517401</v>
      </c>
      <c r="G27" s="12">
        <f>IFERROR(IF(LoanIsNotPaid*LoanIsGood,InterestAmt,""), "")</f>
        <v>20768.042545923145</v>
      </c>
      <c r="H27" s="12">
        <f>IFERROR(IF(LoanIsNotPaid*LoanIsGood,EndingBalance,""), "")</f>
        <v>2273860.1401888477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44595</v>
      </c>
      <c r="D28" s="12">
        <f>IFERROR(IF(LoanIsNotPaid*LoanIsGood,LoanValue,""), "")</f>
        <v>2273860.1401888477</v>
      </c>
      <c r="E28" s="12">
        <f>IFERROR(IF(LoanIsNotPaid*LoanIsGood,MonthlyPayment,""), "")</f>
        <v>65201.023762440542</v>
      </c>
      <c r="F28" s="12">
        <f>IFERROR(IF(LoanIsNotPaid*LoanIsGood,Principal,""), "")</f>
        <v>44831.0266732487</v>
      </c>
      <c r="G28" s="12">
        <f>IFERROR(IF(LoanIsNotPaid*LoanIsGood,InterestAmt,""), "")</f>
        <v>20369.997089191849</v>
      </c>
      <c r="H28" s="12">
        <f>IFERROR(IF(LoanIsNotPaid*LoanIsGood,EndingBalance,""), "")</f>
        <v>2229029.1135155996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44623</v>
      </c>
      <c r="D29" s="12">
        <f>IFERROR(IF(LoanIsNotPaid*LoanIsGood,LoanValue,""), "")</f>
        <v>2229029.1135155996</v>
      </c>
      <c r="E29" s="12">
        <f>IFERROR(IF(LoanIsNotPaid*LoanIsGood,MonthlyPayment,""), "")</f>
        <v>65201.023762440542</v>
      </c>
      <c r="F29" s="12">
        <f>IFERROR(IF(LoanIsNotPaid*LoanIsGood,Principal,""), "")</f>
        <v>45232.637953863225</v>
      </c>
      <c r="G29" s="12">
        <f>IFERROR(IF(LoanIsNotPaid*LoanIsGood,InterestAmt,""), "")</f>
        <v>19968.385808577328</v>
      </c>
      <c r="H29" s="12">
        <f>IFERROR(IF(LoanIsNotPaid*LoanIsGood,EndingBalance,""), "")</f>
        <v>2183796.4755617352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44654</v>
      </c>
      <c r="D30" s="12">
        <f>IFERROR(IF(LoanIsNotPaid*LoanIsGood,LoanValue,""), "")</f>
        <v>2183796.4755617352</v>
      </c>
      <c r="E30" s="12">
        <f>IFERROR(IF(LoanIsNotPaid*LoanIsGood,MonthlyPayment,""), "")</f>
        <v>65201.023762440542</v>
      </c>
      <c r="F30" s="12">
        <f>IFERROR(IF(LoanIsNotPaid*LoanIsGood,Principal,""), "")</f>
        <v>45637.847002199909</v>
      </c>
      <c r="G30" s="12">
        <f>IFERROR(IF(LoanIsNotPaid*LoanIsGood,InterestAmt,""), "")</f>
        <v>19563.176760240633</v>
      </c>
      <c r="H30" s="12">
        <f>IFERROR(IF(LoanIsNotPaid*LoanIsGood,EndingBalance,""), "")</f>
        <v>2138158.6285595344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44684</v>
      </c>
      <c r="D31" s="12">
        <f>IFERROR(IF(LoanIsNotPaid*LoanIsGood,LoanValue,""), "")</f>
        <v>2138158.6285595344</v>
      </c>
      <c r="E31" s="12">
        <f>IFERROR(IF(LoanIsNotPaid*LoanIsGood,MonthlyPayment,""), "")</f>
        <v>65201.023762440542</v>
      </c>
      <c r="F31" s="12">
        <f>IFERROR(IF(LoanIsNotPaid*LoanIsGood,Principal,""), "")</f>
        <v>46046.686048261283</v>
      </c>
      <c r="G31" s="12">
        <f>IFERROR(IF(LoanIsNotPaid*LoanIsGood,InterestAmt,""), "")</f>
        <v>19154.337714179259</v>
      </c>
      <c r="H31" s="12">
        <f>IFERROR(IF(LoanIsNotPaid*LoanIsGood,EndingBalance,""), "")</f>
        <v>2092111.9425112724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44715</v>
      </c>
      <c r="D32" s="12">
        <f>IFERROR(IF(LoanIsNotPaid*LoanIsGood,LoanValue,""), "")</f>
        <v>2092111.9425112724</v>
      </c>
      <c r="E32" s="12">
        <f>IFERROR(IF(LoanIsNotPaid*LoanIsGood,MonthlyPayment,""), "")</f>
        <v>65201.023762440542</v>
      </c>
      <c r="F32" s="12">
        <f>IFERROR(IF(LoanIsNotPaid*LoanIsGood,Principal,""), "")</f>
        <v>46459.187610776957</v>
      </c>
      <c r="G32" s="12">
        <f>IFERROR(IF(LoanIsNotPaid*LoanIsGood,InterestAmt,""), "")</f>
        <v>18741.836151663585</v>
      </c>
      <c r="H32" s="12">
        <f>IFERROR(IF(LoanIsNotPaid*LoanIsGood,EndingBalance,""), "")</f>
        <v>2045652.7549004953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44745</v>
      </c>
      <c r="D33" s="12">
        <f>IFERROR(IF(LoanIsNotPaid*LoanIsGood,LoanValue,""), "")</f>
        <v>2045652.7549004953</v>
      </c>
      <c r="E33" s="12">
        <f>IFERROR(IF(LoanIsNotPaid*LoanIsGood,MonthlyPayment,""), "")</f>
        <v>65201.023762440542</v>
      </c>
      <c r="F33" s="12">
        <f>IFERROR(IF(LoanIsNotPaid*LoanIsGood,Principal,""), "")</f>
        <v>46875.384499790169</v>
      </c>
      <c r="G33" s="12">
        <f>IFERROR(IF(LoanIsNotPaid*LoanIsGood,InterestAmt,""), "")</f>
        <v>18325.639262650377</v>
      </c>
      <c r="H33" s="12">
        <f>IFERROR(IF(LoanIsNotPaid*LoanIsGood,EndingBalance,""), "")</f>
        <v>1998777.3704007047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44776</v>
      </c>
      <c r="D34" s="12">
        <f>IFERROR(IF(LoanIsNotPaid*LoanIsGood,LoanValue,""), "")</f>
        <v>1998777.3704007047</v>
      </c>
      <c r="E34" s="12">
        <f>IFERROR(IF(LoanIsNotPaid*LoanIsGood,MonthlyPayment,""), "")</f>
        <v>65201.023762440542</v>
      </c>
      <c r="F34" s="12">
        <f>IFERROR(IF(LoanIsNotPaid*LoanIsGood,Principal,""), "")</f>
        <v>47295.309819267459</v>
      </c>
      <c r="G34" s="12">
        <f>IFERROR(IF(LoanIsNotPaid*LoanIsGood,InterestAmt,""), "")</f>
        <v>17905.71394317309</v>
      </c>
      <c r="H34" s="12">
        <f>IFERROR(IF(LoanIsNotPaid*LoanIsGood,EndingBalance,""), "")</f>
        <v>1951482.0605814371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44807</v>
      </c>
      <c r="D35" s="12">
        <f>IFERROR(IF(LoanIsNotPaid*LoanIsGood,LoanValue,""), "")</f>
        <v>1951482.0605814371</v>
      </c>
      <c r="E35" s="12">
        <f>IFERROR(IF(LoanIsNotPaid*LoanIsGood,MonthlyPayment,""), "")</f>
        <v>65201.023762440542</v>
      </c>
      <c r="F35" s="12">
        <f>IFERROR(IF(LoanIsNotPaid*LoanIsGood,Principal,""), "")</f>
        <v>47718.996969731728</v>
      </c>
      <c r="G35" s="12">
        <f>IFERROR(IF(LoanIsNotPaid*LoanIsGood,InterestAmt,""), "")</f>
        <v>17482.026792708817</v>
      </c>
      <c r="H35" s="12">
        <f>IFERROR(IF(LoanIsNotPaid*LoanIsGood,EndingBalance,""), "")</f>
        <v>1903763.0636117042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44837</v>
      </c>
      <c r="D36" s="12">
        <f>IFERROR(IF(LoanIsNotPaid*LoanIsGood,LoanValue,""), "")</f>
        <v>1903763.0636117042</v>
      </c>
      <c r="E36" s="12">
        <f>IFERROR(IF(LoanIsNotPaid*LoanIsGood,MonthlyPayment,""), "")</f>
        <v>65201.023762440542</v>
      </c>
      <c r="F36" s="12">
        <f>IFERROR(IF(LoanIsNotPaid*LoanIsGood,Principal,""), "")</f>
        <v>48146.479650918904</v>
      </c>
      <c r="G36" s="12">
        <f>IFERROR(IF(LoanIsNotPaid*LoanIsGood,InterestAmt,""), "")</f>
        <v>17054.544111521634</v>
      </c>
      <c r="H36" s="12">
        <f>IFERROR(IF(LoanIsNotPaid*LoanIsGood,EndingBalance,""), "")</f>
        <v>1855616.5839607858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44868</v>
      </c>
      <c r="D37" s="12">
        <f>IFERROR(IF(LoanIsNotPaid*LoanIsGood,LoanValue,""), "")</f>
        <v>1855616.5839607858</v>
      </c>
      <c r="E37" s="12">
        <f>IFERROR(IF(LoanIsNotPaid*LoanIsGood,MonthlyPayment,""), "")</f>
        <v>65201.023762440542</v>
      </c>
      <c r="F37" s="12">
        <f>IFERROR(IF(LoanIsNotPaid*LoanIsGood,Principal,""), "")</f>
        <v>48577.791864458392</v>
      </c>
      <c r="G37" s="12">
        <f>IFERROR(IF(LoanIsNotPaid*LoanIsGood,InterestAmt,""), "")</f>
        <v>16623.231897982158</v>
      </c>
      <c r="H37" s="12">
        <f>IFERROR(IF(LoanIsNotPaid*LoanIsGood,EndingBalance,""), "")</f>
        <v>1807038.792096325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44898</v>
      </c>
      <c r="D38" s="12">
        <f>IFERROR(IF(LoanIsNotPaid*LoanIsGood,LoanValue,""), "")</f>
        <v>1807038.792096325</v>
      </c>
      <c r="E38" s="12">
        <f>IFERROR(IF(LoanIsNotPaid*LoanIsGood,MonthlyPayment,""), "")</f>
        <v>65201.023762440542</v>
      </c>
      <c r="F38" s="12">
        <f>IFERROR(IF(LoanIsNotPaid*LoanIsGood,Principal,""), "")</f>
        <v>49012.967916577494</v>
      </c>
      <c r="G38" s="12">
        <f>IFERROR(IF(LoanIsNotPaid*LoanIsGood,InterestAmt,""), "")</f>
        <v>16188.055845863051</v>
      </c>
      <c r="H38" s="12">
        <f>IFERROR(IF(LoanIsNotPaid*LoanIsGood,EndingBalance,""), "")</f>
        <v>1758025.8241797467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44929</v>
      </c>
      <c r="D39" s="12">
        <f>IFERROR(IF(LoanIsNotPaid*LoanIsGood,LoanValue,""), "")</f>
        <v>1758025.8241797467</v>
      </c>
      <c r="E39" s="12">
        <f>IFERROR(IF(LoanIsNotPaid*LoanIsGood,MonthlyPayment,""), "")</f>
        <v>65201.023762440542</v>
      </c>
      <c r="F39" s="12">
        <f>IFERROR(IF(LoanIsNotPaid*LoanIsGood,Principal,""), "")</f>
        <v>49452.042420830177</v>
      </c>
      <c r="G39" s="12">
        <f>IFERROR(IF(LoanIsNotPaid*LoanIsGood,InterestAmt,""), "")</f>
        <v>15748.981341610373</v>
      </c>
      <c r="H39" s="12">
        <f>IFERROR(IF(LoanIsNotPaid*LoanIsGood,EndingBalance,""), "")</f>
        <v>1708573.7817589166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44960</v>
      </c>
      <c r="D40" s="12">
        <f>IFERROR(IF(LoanIsNotPaid*LoanIsGood,LoanValue,""), "")</f>
        <v>1708573.7817589166</v>
      </c>
      <c r="E40" s="12">
        <f>IFERROR(IF(LoanIsNotPaid*LoanIsGood,MonthlyPayment,""), "")</f>
        <v>65201.023762440542</v>
      </c>
      <c r="F40" s="12">
        <f>IFERROR(IF(LoanIsNotPaid*LoanIsGood,Principal,""), "")</f>
        <v>49895.050300850111</v>
      </c>
      <c r="G40" s="12">
        <f>IFERROR(IF(LoanIsNotPaid*LoanIsGood,InterestAmt,""), "")</f>
        <v>15305.973461590436</v>
      </c>
      <c r="H40" s="12">
        <f>IFERROR(IF(LoanIsNotPaid*LoanIsGood,EndingBalance,""), "")</f>
        <v>1658678.7314580651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44988</v>
      </c>
      <c r="D41" s="12">
        <f>IFERROR(IF(LoanIsNotPaid*LoanIsGood,LoanValue,""), "")</f>
        <v>1658678.7314580651</v>
      </c>
      <c r="E41" s="12">
        <f>IFERROR(IF(LoanIsNotPaid*LoanIsGood,MonthlyPayment,""), "")</f>
        <v>65201.023762440542</v>
      </c>
      <c r="F41" s="12">
        <f>IFERROR(IF(LoanIsNotPaid*LoanIsGood,Principal,""), "")</f>
        <v>50342.026793128549</v>
      </c>
      <c r="G41" s="12">
        <f>IFERROR(IF(LoanIsNotPaid*LoanIsGood,InterestAmt,""), "")</f>
        <v>14858.996969311993</v>
      </c>
      <c r="H41" s="12">
        <f>IFERROR(IF(LoanIsNotPaid*LoanIsGood,EndingBalance,""), "")</f>
        <v>1608336.7046649363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45019</v>
      </c>
      <c r="D42" s="12">
        <f>IFERROR(IF(LoanIsNotPaid*LoanIsGood,LoanValue,""), "")</f>
        <v>1608336.7046649363</v>
      </c>
      <c r="E42" s="12">
        <f>IFERROR(IF(LoanIsNotPaid*LoanIsGood,MonthlyPayment,""), "")</f>
        <v>65201.023762440542</v>
      </c>
      <c r="F42" s="12">
        <f>IFERROR(IF(LoanIsNotPaid*LoanIsGood,Principal,""), "")</f>
        <v>50793.007449817</v>
      </c>
      <c r="G42" s="12">
        <f>IFERROR(IF(LoanIsNotPaid*LoanIsGood,InterestAmt,""), "")</f>
        <v>14408.016312623547</v>
      </c>
      <c r="H42" s="12">
        <f>IFERROR(IF(LoanIsNotPaid*LoanIsGood,EndingBalance,""), "")</f>
        <v>1557543.6972151189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45049</v>
      </c>
      <c r="D43" s="12">
        <f>IFERROR(IF(LoanIsNotPaid*LoanIsGood,LoanValue,""), "")</f>
        <v>1557543.6972151189</v>
      </c>
      <c r="E43" s="12">
        <f>IFERROR(IF(LoanIsNotPaid*LoanIsGood,MonthlyPayment,""), "")</f>
        <v>65201.023762440542</v>
      </c>
      <c r="F43" s="12">
        <f>IFERROR(IF(LoanIsNotPaid*LoanIsGood,Principal,""), "")</f>
        <v>51248.02814155494</v>
      </c>
      <c r="G43" s="12">
        <f>IFERROR(IF(LoanIsNotPaid*LoanIsGood,InterestAmt,""), "")</f>
        <v>13952.995620885602</v>
      </c>
      <c r="H43" s="12">
        <f>IFERROR(IF(LoanIsNotPaid*LoanIsGood,EndingBalance,""), "")</f>
        <v>1506295.6690735631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45080</v>
      </c>
      <c r="D44" s="12">
        <f>IFERROR(IF(LoanIsNotPaid*LoanIsGood,LoanValue,""), "")</f>
        <v>1506295.6690735631</v>
      </c>
      <c r="E44" s="12">
        <f>IFERROR(IF(LoanIsNotPaid*LoanIsGood,MonthlyPayment,""), "")</f>
        <v>65201.023762440542</v>
      </c>
      <c r="F44" s="12">
        <f>IFERROR(IF(LoanIsNotPaid*LoanIsGood,Principal,""), "")</f>
        <v>51707.125060323044</v>
      </c>
      <c r="G44" s="12">
        <f>IFERROR(IF(LoanIsNotPaid*LoanIsGood,InterestAmt,""), "")</f>
        <v>13493.898702117505</v>
      </c>
      <c r="H44" s="12">
        <f>IFERROR(IF(LoanIsNotPaid*LoanIsGood,EndingBalance,""), "")</f>
        <v>1454588.5440132399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45110</v>
      </c>
      <c r="D45" s="12">
        <f>IFERROR(IF(LoanIsNotPaid*LoanIsGood,LoanValue,""), "")</f>
        <v>1454588.5440132399</v>
      </c>
      <c r="E45" s="12">
        <f>IFERROR(IF(LoanIsNotPaid*LoanIsGood,MonthlyPayment,""), "")</f>
        <v>65201.023762440542</v>
      </c>
      <c r="F45" s="12">
        <f>IFERROR(IF(LoanIsNotPaid*LoanIsGood,Principal,""), "")</f>
        <v>52170.334722321764</v>
      </c>
      <c r="G45" s="12">
        <f>IFERROR(IF(LoanIsNotPaid*LoanIsGood,InterestAmt,""), "")</f>
        <v>13030.689040118781</v>
      </c>
      <c r="H45" s="12">
        <f>IFERROR(IF(LoanIsNotPaid*LoanIsGood,EndingBalance,""), "")</f>
        <v>1402418.209290917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45141</v>
      </c>
      <c r="D46" s="12">
        <f>IFERROR(IF(LoanIsNotPaid*LoanIsGood,LoanValue,""), "")</f>
        <v>1402418.209290917</v>
      </c>
      <c r="E46" s="12">
        <f>IFERROR(IF(LoanIsNotPaid*LoanIsGood,MonthlyPayment,""), "")</f>
        <v>65201.023762440542</v>
      </c>
      <c r="F46" s="12">
        <f>IFERROR(IF(LoanIsNotPaid*LoanIsGood,Principal,""), "")</f>
        <v>52637.693970875895</v>
      </c>
      <c r="G46" s="12">
        <f>IFERROR(IF(LoanIsNotPaid*LoanIsGood,InterestAmt,""), "")</f>
        <v>12563.329791564647</v>
      </c>
      <c r="H46" s="12">
        <f>IFERROR(IF(LoanIsNotPaid*LoanIsGood,EndingBalance,""), "")</f>
        <v>1349780.5153200398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45172</v>
      </c>
      <c r="D47" s="12">
        <f>IFERROR(IF(LoanIsNotPaid*LoanIsGood,LoanValue,""), "")</f>
        <v>1349780.5153200398</v>
      </c>
      <c r="E47" s="12">
        <f>IFERROR(IF(LoanIsNotPaid*LoanIsGood,MonthlyPayment,""), "")</f>
        <v>65201.023762440542</v>
      </c>
      <c r="F47" s="12">
        <f>IFERROR(IF(LoanIsNotPaid*LoanIsGood,Principal,""), "")</f>
        <v>53109.239979364989</v>
      </c>
      <c r="G47" s="12">
        <f>IFERROR(IF(LoanIsNotPaid*LoanIsGood,InterestAmt,""), "")</f>
        <v>12091.783783075547</v>
      </c>
      <c r="H47" s="12">
        <f>IFERROR(IF(LoanIsNotPaid*LoanIsGood,EndingBalance,""), "")</f>
        <v>1296671.2753406749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45202</v>
      </c>
      <c r="D48" s="12">
        <f>IFERROR(IF(LoanIsNotPaid*LoanIsGood,LoanValue,""), "")</f>
        <v>1296671.2753406749</v>
      </c>
      <c r="E48" s="12">
        <f>IFERROR(IF(LoanIsNotPaid*LoanIsGood,MonthlyPayment,""), "")</f>
        <v>65201.023762440542</v>
      </c>
      <c r="F48" s="12">
        <f>IFERROR(IF(LoanIsNotPaid*LoanIsGood,Principal,""), "")</f>
        <v>53585.010254180146</v>
      </c>
      <c r="G48" s="12">
        <f>IFERROR(IF(LoanIsNotPaid*LoanIsGood,InterestAmt,""), "")</f>
        <v>11616.013508260403</v>
      </c>
      <c r="H48" s="12">
        <f>IFERROR(IF(LoanIsNotPaid*LoanIsGood,EndingBalance,""), "")</f>
        <v>1243086.265086493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45233</v>
      </c>
      <c r="D49" s="12">
        <f>IFERROR(IF(LoanIsNotPaid*LoanIsGood,LoanValue,""), "")</f>
        <v>1243086.265086493</v>
      </c>
      <c r="E49" s="12">
        <f>IFERROR(IF(LoanIsNotPaid*LoanIsGood,MonthlyPayment,""), "")</f>
        <v>65201.023762440542</v>
      </c>
      <c r="F49" s="12">
        <f>IFERROR(IF(LoanIsNotPaid*LoanIsGood,Principal,""), "")</f>
        <v>54065.042637707171</v>
      </c>
      <c r="G49" s="12">
        <f>IFERROR(IF(LoanIsNotPaid*LoanIsGood,InterestAmt,""), "")</f>
        <v>11135.981124733375</v>
      </c>
      <c r="H49" s="12">
        <f>IFERROR(IF(LoanIsNotPaid*LoanIsGood,EndingBalance,""), "")</f>
        <v>1189021.2224487858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45263</v>
      </c>
      <c r="D50" s="12">
        <f>IFERROR(IF(LoanIsNotPaid*LoanIsGood,LoanValue,""), "")</f>
        <v>1189021.2224487858</v>
      </c>
      <c r="E50" s="12">
        <f>IFERROR(IF(LoanIsNotPaid*LoanIsGood,MonthlyPayment,""), "")</f>
        <v>65201.023762440542</v>
      </c>
      <c r="F50" s="12">
        <f>IFERROR(IF(LoanIsNotPaid*LoanIsGood,Principal,""), "")</f>
        <v>54549.375311336633</v>
      </c>
      <c r="G50" s="12">
        <f>IFERROR(IF(LoanIsNotPaid*LoanIsGood,InterestAmt,""), "")</f>
        <v>10651.648451103913</v>
      </c>
      <c r="H50" s="12">
        <f>IFERROR(IF(LoanIsNotPaid*LoanIsGood,EndingBalance,""), "")</f>
        <v>1134471.8471374493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45294</v>
      </c>
      <c r="D51" s="12">
        <f>IFERROR(IF(LoanIsNotPaid*LoanIsGood,LoanValue,""), "")</f>
        <v>1134471.8471374493</v>
      </c>
      <c r="E51" s="12">
        <f>IFERROR(IF(LoanIsNotPaid*LoanIsGood,MonthlyPayment,""), "")</f>
        <v>65201.023762440542</v>
      </c>
      <c r="F51" s="12">
        <f>IFERROR(IF(LoanIsNotPaid*LoanIsGood,Principal,""), "")</f>
        <v>55038.046798500691</v>
      </c>
      <c r="G51" s="12">
        <f>IFERROR(IF(LoanIsNotPaid*LoanIsGood,InterestAmt,""), "")</f>
        <v>10162.976963939856</v>
      </c>
      <c r="H51" s="12">
        <f>IFERROR(IF(LoanIsNotPaid*LoanIsGood,EndingBalance,""), "")</f>
        <v>1079433.8003389472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45325</v>
      </c>
      <c r="D52" s="12">
        <f>IFERROR(IF(LoanIsNotPaid*LoanIsGood,LoanValue,""), "")</f>
        <v>1079433.8003389472</v>
      </c>
      <c r="E52" s="12">
        <f>IFERROR(IF(LoanIsNotPaid*LoanIsGood,MonthlyPayment,""), "")</f>
        <v>65201.023762440542</v>
      </c>
      <c r="F52" s="12">
        <f>IFERROR(IF(LoanIsNotPaid*LoanIsGood,Principal,""), "")</f>
        <v>55531.095967737259</v>
      </c>
      <c r="G52" s="12">
        <f>IFERROR(IF(LoanIsNotPaid*LoanIsGood,InterestAmt,""), "")</f>
        <v>9669.9277947032861</v>
      </c>
      <c r="H52" s="12">
        <f>IFERROR(IF(LoanIsNotPaid*LoanIsGood,EndingBalance,""), "")</f>
        <v>1023902.7043712093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45354</v>
      </c>
      <c r="D53" s="12">
        <f>IFERROR(IF(LoanIsNotPaid*LoanIsGood,LoanValue,""), "")</f>
        <v>1023902.7043712093</v>
      </c>
      <c r="E53" s="12">
        <f>IFERROR(IF(LoanIsNotPaid*LoanIsGood,MonthlyPayment,""), "")</f>
        <v>65201.023762440542</v>
      </c>
      <c r="F53" s="12">
        <f>IFERROR(IF(LoanIsNotPaid*LoanIsGood,Principal,""), "")</f>
        <v>56028.562035781571</v>
      </c>
      <c r="G53" s="12">
        <f>IFERROR(IF(LoanIsNotPaid*LoanIsGood,InterestAmt,""), "")</f>
        <v>9172.4617266589757</v>
      </c>
      <c r="H53" s="12">
        <f>IFERROR(IF(LoanIsNotPaid*LoanIsGood,EndingBalance,""), "")</f>
        <v>967874.14233542606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45385</v>
      </c>
      <c r="D54" s="12">
        <f>IFERROR(IF(LoanIsNotPaid*LoanIsGood,LoanValue,""), "")</f>
        <v>967874.14233542606</v>
      </c>
      <c r="E54" s="12">
        <f>IFERROR(IF(LoanIsNotPaid*LoanIsGood,MonthlyPayment,""), "")</f>
        <v>65201.023762440542</v>
      </c>
      <c r="F54" s="12">
        <f>IFERROR(IF(LoanIsNotPaid*LoanIsGood,Principal,""), "")</f>
        <v>56530.484570685447</v>
      </c>
      <c r="G54" s="12">
        <f>IFERROR(IF(LoanIsNotPaid*LoanIsGood,InterestAmt,""), "")</f>
        <v>8670.5391917550969</v>
      </c>
      <c r="H54" s="12">
        <f>IFERROR(IF(LoanIsNotPaid*LoanIsGood,EndingBalance,""), "")</f>
        <v>911343.65776474029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45415</v>
      </c>
      <c r="D55" s="12">
        <f>IFERROR(IF(LoanIsNotPaid*LoanIsGood,LoanValue,""), "")</f>
        <v>911343.65776474029</v>
      </c>
      <c r="E55" s="12">
        <f>IFERROR(IF(LoanIsNotPaid*LoanIsGood,MonthlyPayment,""), "")</f>
        <v>65201.023762440542</v>
      </c>
      <c r="F55" s="12">
        <f>IFERROR(IF(LoanIsNotPaid*LoanIsGood,Principal,""), "")</f>
        <v>57036.903494964507</v>
      </c>
      <c r="G55" s="12">
        <f>IFERROR(IF(LoanIsNotPaid*LoanIsGood,InterestAmt,""), "")</f>
        <v>8164.1202674760398</v>
      </c>
      <c r="H55" s="12">
        <f>IFERROR(IF(LoanIsNotPaid*LoanIsGood,EndingBalance,""), "")</f>
        <v>854306.754269775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45446</v>
      </c>
      <c r="D56" s="12">
        <f>IFERROR(IF(LoanIsNotPaid*LoanIsGood,LoanValue,""), "")</f>
        <v>854306.754269775</v>
      </c>
      <c r="E56" s="12">
        <f>IFERROR(IF(LoanIsNotPaid*LoanIsGood,MonthlyPayment,""), "")</f>
        <v>65201.023762440542</v>
      </c>
      <c r="F56" s="12">
        <f>IFERROR(IF(LoanIsNotPaid*LoanIsGood,Principal,""), "")</f>
        <v>57547.859088773563</v>
      </c>
      <c r="G56" s="12">
        <f>IFERROR(IF(LoanIsNotPaid*LoanIsGood,InterestAmt,""), "")</f>
        <v>7653.1646736669854</v>
      </c>
      <c r="H56" s="12">
        <f>IFERROR(IF(LoanIsNotPaid*LoanIsGood,EndingBalance,""), "")</f>
        <v>796758.89518099977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45476</v>
      </c>
      <c r="D57" s="12">
        <f>IFERROR(IF(LoanIsNotPaid*LoanIsGood,LoanValue,""), "")</f>
        <v>796758.89518099977</v>
      </c>
      <c r="E57" s="12">
        <f>IFERROR(IF(LoanIsNotPaid*LoanIsGood,MonthlyPayment,""), "")</f>
        <v>65201.023762440542</v>
      </c>
      <c r="F57" s="12">
        <f>IFERROR(IF(LoanIsNotPaid*LoanIsGood,Principal,""), "")</f>
        <v>58063.391993110483</v>
      </c>
      <c r="G57" s="12">
        <f>IFERROR(IF(LoanIsNotPaid*LoanIsGood,InterestAmt,""), "")</f>
        <v>7137.6317693300552</v>
      </c>
      <c r="H57" s="12">
        <f>IFERROR(IF(LoanIsNotPaid*LoanIsGood,EndingBalance,""), "")</f>
        <v>738695.50318788877</v>
      </c>
    </row>
    <row r="58" spans="2:8" ht="20.149999999999999" customHeight="1">
      <c r="B58" s="9">
        <f>IFERROR(IF(LoanIsNotPaid*LoanIsGood,PaymentNumber,""), "")</f>
        <v>49</v>
      </c>
      <c r="C58" s="10">
        <f>IFERROR(IF(LoanIsNotPaid*LoanIsGood,PaymentDate,""), "")</f>
        <v>45507</v>
      </c>
      <c r="D58" s="12">
        <f>IFERROR(IF(LoanIsNotPaid*LoanIsGood,LoanValue,""), "")</f>
        <v>738695.50318788877</v>
      </c>
      <c r="E58" s="12">
        <f>IFERROR(IF(LoanIsNotPaid*LoanIsGood,MonthlyPayment,""), "")</f>
        <v>65201.023762440542</v>
      </c>
      <c r="F58" s="12">
        <f>IFERROR(IF(LoanIsNotPaid*LoanIsGood,Principal,""), "")</f>
        <v>58583.543213048768</v>
      </c>
      <c r="G58" s="12">
        <f>IFERROR(IF(LoanIsNotPaid*LoanIsGood,InterestAmt,""), "")</f>
        <v>6617.4805493917729</v>
      </c>
      <c r="H58" s="12">
        <f>IFERROR(IF(LoanIsNotPaid*LoanIsGood,EndingBalance,""), "")</f>
        <v>680111.95997483982</v>
      </c>
    </row>
    <row r="59" spans="2:8" ht="20.149999999999999" customHeight="1">
      <c r="B59" s="9">
        <f>IFERROR(IF(LoanIsNotPaid*LoanIsGood,PaymentNumber,""), "")</f>
        <v>50</v>
      </c>
      <c r="C59" s="10">
        <f>IFERROR(IF(LoanIsNotPaid*LoanIsGood,PaymentDate,""), "")</f>
        <v>45538</v>
      </c>
      <c r="D59" s="12">
        <f>IFERROR(IF(LoanIsNotPaid*LoanIsGood,LoanValue,""), "")</f>
        <v>680111.95997483982</v>
      </c>
      <c r="E59" s="12">
        <f>IFERROR(IF(LoanIsNotPaid*LoanIsGood,MonthlyPayment,""), "")</f>
        <v>65201.023762440542</v>
      </c>
      <c r="F59" s="12">
        <f>IFERROR(IF(LoanIsNotPaid*LoanIsGood,Principal,""), "")</f>
        <v>59108.354120999</v>
      </c>
      <c r="G59" s="12">
        <f>IFERROR(IF(LoanIsNotPaid*LoanIsGood,InterestAmt,""), "")</f>
        <v>6092.6696414415446</v>
      </c>
      <c r="H59" s="12">
        <f>IFERROR(IF(LoanIsNotPaid*LoanIsGood,EndingBalance,""), "")</f>
        <v>621003.60585383978</v>
      </c>
    </row>
    <row r="60" spans="2:8" ht="20.149999999999999" customHeight="1">
      <c r="B60" s="9">
        <f>IFERROR(IF(LoanIsNotPaid*LoanIsGood,PaymentNumber,""), "")</f>
        <v>51</v>
      </c>
      <c r="C60" s="10">
        <f>IFERROR(IF(LoanIsNotPaid*LoanIsGood,PaymentDate,""), "")</f>
        <v>45568</v>
      </c>
      <c r="D60" s="12">
        <f>IFERROR(IF(LoanIsNotPaid*LoanIsGood,LoanValue,""), "")</f>
        <v>621003.60585383978</v>
      </c>
      <c r="E60" s="12">
        <f>IFERROR(IF(LoanIsNotPaid*LoanIsGood,MonthlyPayment,""), "")</f>
        <v>65201.023762440542</v>
      </c>
      <c r="F60" s="12">
        <f>IFERROR(IF(LoanIsNotPaid*LoanIsGood,Principal,""), "")</f>
        <v>59637.866459999612</v>
      </c>
      <c r="G60" s="12">
        <f>IFERROR(IF(LoanIsNotPaid*LoanIsGood,InterestAmt,""), "")</f>
        <v>5563.1573024409281</v>
      </c>
      <c r="H60" s="12">
        <f>IFERROR(IF(LoanIsNotPaid*LoanIsGood,EndingBalance,""), "")</f>
        <v>561365.73939384054</v>
      </c>
    </row>
    <row r="61" spans="2:8" ht="20.149999999999999" customHeight="1">
      <c r="B61" s="9">
        <f>IFERROR(IF(LoanIsNotPaid*LoanIsGood,PaymentNumber,""), "")</f>
        <v>52</v>
      </c>
      <c r="C61" s="10">
        <f>IFERROR(IF(LoanIsNotPaid*LoanIsGood,PaymentDate,""), "")</f>
        <v>45599</v>
      </c>
      <c r="D61" s="12">
        <f>IFERROR(IF(LoanIsNotPaid*LoanIsGood,LoanValue,""), "")</f>
        <v>561365.73939384054</v>
      </c>
      <c r="E61" s="12">
        <f>IFERROR(IF(LoanIsNotPaid*LoanIsGood,MonthlyPayment,""), "")</f>
        <v>65201.023762440542</v>
      </c>
      <c r="F61" s="12">
        <f>IFERROR(IF(LoanIsNotPaid*LoanIsGood,Principal,""), "")</f>
        <v>60172.122347037111</v>
      </c>
      <c r="G61" s="12">
        <f>IFERROR(IF(LoanIsNotPaid*LoanIsGood,InterestAmt,""), "")</f>
        <v>5028.9014154034303</v>
      </c>
      <c r="H61" s="12">
        <f>IFERROR(IF(LoanIsNotPaid*LoanIsGood,EndingBalance,""), "")</f>
        <v>501193.61704680044</v>
      </c>
    </row>
    <row r="62" spans="2:8" ht="20.149999999999999" customHeight="1">
      <c r="B62" s="9">
        <f>IFERROR(IF(LoanIsNotPaid*LoanIsGood,PaymentNumber,""), "")</f>
        <v>53</v>
      </c>
      <c r="C62" s="10">
        <f>IFERROR(IF(LoanIsNotPaid*LoanIsGood,PaymentDate,""), "")</f>
        <v>45629</v>
      </c>
      <c r="D62" s="12">
        <f>IFERROR(IF(LoanIsNotPaid*LoanIsGood,LoanValue,""), "")</f>
        <v>501193.61704680044</v>
      </c>
      <c r="E62" s="12">
        <f>IFERROR(IF(LoanIsNotPaid*LoanIsGood,MonthlyPayment,""), "")</f>
        <v>65201.023762440542</v>
      </c>
      <c r="F62" s="12">
        <f>IFERROR(IF(LoanIsNotPaid*LoanIsGood,Principal,""), "")</f>
        <v>60711.164276395983</v>
      </c>
      <c r="G62" s="12">
        <f>IFERROR(IF(LoanIsNotPaid*LoanIsGood,InterestAmt,""), "")</f>
        <v>4489.8594860445564</v>
      </c>
      <c r="H62" s="12">
        <f>IFERROR(IF(LoanIsNotPaid*LoanIsGood,EndingBalance,""), "")</f>
        <v>440482.45277040359</v>
      </c>
    </row>
    <row r="63" spans="2:8" ht="20.149999999999999" customHeight="1">
      <c r="B63" s="9">
        <f>IFERROR(IF(LoanIsNotPaid*LoanIsGood,PaymentNumber,""), "")</f>
        <v>54</v>
      </c>
      <c r="C63" s="10">
        <f>IFERROR(IF(LoanIsNotPaid*LoanIsGood,PaymentDate,""), "")</f>
        <v>45660</v>
      </c>
      <c r="D63" s="12">
        <f>IFERROR(IF(LoanIsNotPaid*LoanIsGood,LoanValue,""), "")</f>
        <v>440482.45277040359</v>
      </c>
      <c r="E63" s="12">
        <f>IFERROR(IF(LoanIsNotPaid*LoanIsGood,MonthlyPayment,""), "")</f>
        <v>65201.023762440542</v>
      </c>
      <c r="F63" s="12">
        <f>IFERROR(IF(LoanIsNotPaid*LoanIsGood,Principal,""), "")</f>
        <v>61255.035123038702</v>
      </c>
      <c r="G63" s="12">
        <f>IFERROR(IF(LoanIsNotPaid*LoanIsGood,InterestAmt,""), "")</f>
        <v>3945.9886394018431</v>
      </c>
      <c r="H63" s="12">
        <f>IFERROR(IF(LoanIsNotPaid*LoanIsGood,EndingBalance,""), "")</f>
        <v>379227.41764736455</v>
      </c>
    </row>
    <row r="64" spans="2:8" ht="20.149999999999999" customHeight="1">
      <c r="B64" s="9">
        <f>IFERROR(IF(LoanIsNotPaid*LoanIsGood,PaymentNumber,""), "")</f>
        <v>55</v>
      </c>
      <c r="C64" s="10">
        <f>IFERROR(IF(LoanIsNotPaid*LoanIsGood,PaymentDate,""), "")</f>
        <v>45691</v>
      </c>
      <c r="D64" s="12">
        <f>IFERROR(IF(LoanIsNotPaid*LoanIsGood,LoanValue,""), "")</f>
        <v>379227.41764736455</v>
      </c>
      <c r="E64" s="12">
        <f>IFERROR(IF(LoanIsNotPaid*LoanIsGood,MonthlyPayment,""), "")</f>
        <v>65201.023762440542</v>
      </c>
      <c r="F64" s="12">
        <f>IFERROR(IF(LoanIsNotPaid*LoanIsGood,Principal,""), "")</f>
        <v>61803.778146015931</v>
      </c>
      <c r="G64" s="12">
        <f>IFERROR(IF(LoanIsNotPaid*LoanIsGood,InterestAmt,""), "")</f>
        <v>3397.2456164246214</v>
      </c>
      <c r="H64" s="12">
        <f>IFERROR(IF(LoanIsNotPaid*LoanIsGood,EndingBalance,""), "")</f>
        <v>317423.63950134721</v>
      </c>
    </row>
    <row r="65" spans="2:8" ht="20.149999999999999" customHeight="1">
      <c r="B65" s="9">
        <f>IFERROR(IF(LoanIsNotPaid*LoanIsGood,PaymentNumber,""), "")</f>
        <v>56</v>
      </c>
      <c r="C65" s="10">
        <f>IFERROR(IF(LoanIsNotPaid*LoanIsGood,PaymentDate,""), "")</f>
        <v>45719</v>
      </c>
      <c r="D65" s="12">
        <f>IFERROR(IF(LoanIsNotPaid*LoanIsGood,LoanValue,""), "")</f>
        <v>317423.63950134721</v>
      </c>
      <c r="E65" s="12">
        <f>IFERROR(IF(LoanIsNotPaid*LoanIsGood,MonthlyPayment,""), "")</f>
        <v>65201.023762440542</v>
      </c>
      <c r="F65" s="12">
        <f>IFERROR(IF(LoanIsNotPaid*LoanIsGood,Principal,""), "")</f>
        <v>62357.436991907314</v>
      </c>
      <c r="G65" s="12">
        <f>IFERROR(IF(LoanIsNotPaid*LoanIsGood,InterestAmt,""), "")</f>
        <v>2843.5867705332284</v>
      </c>
      <c r="H65" s="12">
        <f>IFERROR(IF(LoanIsNotPaid*LoanIsGood,EndingBalance,""), "")</f>
        <v>255066.20250944048</v>
      </c>
    </row>
    <row r="66" spans="2:8" ht="20.149999999999999" customHeight="1">
      <c r="B66" s="9">
        <f>IFERROR(IF(LoanIsNotPaid*LoanIsGood,PaymentNumber,""), "")</f>
        <v>57</v>
      </c>
      <c r="C66" s="10">
        <f>IFERROR(IF(LoanIsNotPaid*LoanIsGood,PaymentDate,""), "")</f>
        <v>45750</v>
      </c>
      <c r="D66" s="12">
        <f>IFERROR(IF(LoanIsNotPaid*LoanIsGood,LoanValue,""), "")</f>
        <v>255066.20250944048</v>
      </c>
      <c r="E66" s="12">
        <f>IFERROR(IF(LoanIsNotPaid*LoanIsGood,MonthlyPayment,""), "")</f>
        <v>65201.023762440542</v>
      </c>
      <c r="F66" s="12">
        <f>IFERROR(IF(LoanIsNotPaid*LoanIsGood,Principal,""), "")</f>
        <v>62916.055698293159</v>
      </c>
      <c r="G66" s="12">
        <f>IFERROR(IF(LoanIsNotPaid*LoanIsGood,InterestAmt,""), "")</f>
        <v>2284.9680641473919</v>
      </c>
      <c r="H66" s="12">
        <f>IFERROR(IF(LoanIsNotPaid*LoanIsGood,EndingBalance,""), "")</f>
        <v>192150.14681114536</v>
      </c>
    </row>
    <row r="67" spans="2:8" ht="20.149999999999999" customHeight="1">
      <c r="B67" s="9">
        <f>IFERROR(IF(LoanIsNotPaid*LoanIsGood,PaymentNumber,""), "")</f>
        <v>58</v>
      </c>
      <c r="C67" s="10">
        <f>IFERROR(IF(LoanIsNotPaid*LoanIsGood,PaymentDate,""), "")</f>
        <v>45780</v>
      </c>
      <c r="D67" s="12">
        <f>IFERROR(IF(LoanIsNotPaid*LoanIsGood,LoanValue,""), "")</f>
        <v>192150.14681114536</v>
      </c>
      <c r="E67" s="12">
        <f>IFERROR(IF(LoanIsNotPaid*LoanIsGood,MonthlyPayment,""), "")</f>
        <v>65201.023762440542</v>
      </c>
      <c r="F67" s="12">
        <f>IFERROR(IF(LoanIsNotPaid*LoanIsGood,Principal,""), "")</f>
        <v>63479.678697257026</v>
      </c>
      <c r="G67" s="12">
        <f>IFERROR(IF(LoanIsNotPaid*LoanIsGood,InterestAmt,""), "")</f>
        <v>1721.3450651835158</v>
      </c>
      <c r="H67" s="12">
        <f>IFERROR(IF(LoanIsNotPaid*LoanIsGood,EndingBalance,""), "")</f>
        <v>128670.46811388619</v>
      </c>
    </row>
    <row r="68" spans="2:8" ht="20.149999999999999" customHeight="1">
      <c r="B68" s="9">
        <f>IFERROR(IF(LoanIsNotPaid*LoanIsGood,PaymentNumber,""), "")</f>
        <v>59</v>
      </c>
      <c r="C68" s="10">
        <f>IFERROR(IF(LoanIsNotPaid*LoanIsGood,PaymentDate,""), "")</f>
        <v>45811</v>
      </c>
      <c r="D68" s="12">
        <f>IFERROR(IF(LoanIsNotPaid*LoanIsGood,LoanValue,""), "")</f>
        <v>128670.46811388619</v>
      </c>
      <c r="E68" s="12">
        <f>IFERROR(IF(LoanIsNotPaid*LoanIsGood,MonthlyPayment,""), "")</f>
        <v>65201.023762440542</v>
      </c>
      <c r="F68" s="12">
        <f>IFERROR(IF(LoanIsNotPaid*LoanIsGood,Principal,""), "")</f>
        <v>64048.350818919964</v>
      </c>
      <c r="G68" s="12">
        <f>IFERROR(IF(LoanIsNotPaid*LoanIsGood,InterestAmt,""), "")</f>
        <v>1152.6729435205878</v>
      </c>
      <c r="H68" s="12">
        <f>IFERROR(IF(LoanIsNotPaid*LoanIsGood,EndingBalance,""), "")</f>
        <v>64622.117294968106</v>
      </c>
    </row>
    <row r="69" spans="2:8" ht="20.149999999999999" customHeight="1">
      <c r="B69" s="9">
        <f>IFERROR(IF(LoanIsNotPaid*LoanIsGood,PaymentNumber,""), "")</f>
        <v>60</v>
      </c>
      <c r="C69" s="10">
        <f>IFERROR(IF(LoanIsNotPaid*LoanIsGood,PaymentDate,""), "")</f>
        <v>45841</v>
      </c>
      <c r="D69" s="12">
        <f>IFERROR(IF(LoanIsNotPaid*LoanIsGood,LoanValue,""), "")</f>
        <v>64622.117294968106</v>
      </c>
      <c r="E69" s="12">
        <f>IFERROR(IF(LoanIsNotPaid*LoanIsGood,MonthlyPayment,""), "")</f>
        <v>65201.023762440542</v>
      </c>
      <c r="F69" s="12">
        <f>IFERROR(IF(LoanIsNotPaid*LoanIsGood,Principal,""), "")</f>
        <v>64622.117295006115</v>
      </c>
      <c r="G69" s="12">
        <f>IFERROR(IF(LoanIsNotPaid*LoanIsGood,InterestAmt,""), "")</f>
        <v>578.90646743442983</v>
      </c>
      <c r="H69" s="12">
        <f>IFERROR(IF(LoanIsNotPaid*LoanIsGood,EndingBalance,""), "")</f>
        <v>-4.0978193283081055E-8</v>
      </c>
    </row>
    <row r="70" spans="2:8" ht="20.149999999999999" customHeight="1">
      <c r="B70" s="9" t="str">
        <f>IFERROR(IF(LoanIsNotPaid*LoanIsGood,PaymentNumber,""), "")</f>
        <v/>
      </c>
      <c r="C70" s="10" t="str">
        <f>IFERROR(IF(LoanIsNotPaid*LoanIsGood,PaymentDate,""), "")</f>
        <v/>
      </c>
      <c r="D70" s="12" t="str">
        <f>IFERROR(IF(LoanIsNotPaid*LoanIsGood,LoanValue,""), "")</f>
        <v/>
      </c>
      <c r="E70" s="12" t="str">
        <f>IFERROR(IF(LoanIsNotPaid*LoanIsGood,MonthlyPayment,""), "")</f>
        <v/>
      </c>
      <c r="F70" s="12" t="str">
        <f>IFERROR(IF(LoanIsNotPaid*LoanIsGood,Principal,""), "")</f>
        <v/>
      </c>
      <c r="G70" s="12" t="str">
        <f>IFERROR(IF(LoanIsNotPaid*LoanIsGood,InterestAmt,""), "")</f>
        <v/>
      </c>
      <c r="H70" s="12" t="str">
        <f>IFERROR(IF(LoanIsNotPaid*LoanIsGood,EndingBalance,""), "")</f>
        <v/>
      </c>
    </row>
    <row r="71" spans="2:8" ht="20.149999999999999" customHeight="1">
      <c r="B71" s="9" t="str">
        <f>IFERROR(IF(LoanIsNotPaid*LoanIsGood,PaymentNumber,""), "")</f>
        <v/>
      </c>
      <c r="C71" s="10" t="str">
        <f>IFERROR(IF(LoanIsNotPaid*LoanIsGood,PaymentDate,""), "")</f>
        <v/>
      </c>
      <c r="D71" s="12" t="str">
        <f>IFERROR(IF(LoanIsNotPaid*LoanIsGood,LoanValue,""), "")</f>
        <v/>
      </c>
      <c r="E71" s="12" t="str">
        <f>IFERROR(IF(LoanIsNotPaid*LoanIsGood,MonthlyPayment,""), "")</f>
        <v/>
      </c>
      <c r="F71" s="12" t="str">
        <f>IFERROR(IF(LoanIsNotPaid*LoanIsGood,Principal,""), "")</f>
        <v/>
      </c>
      <c r="G71" s="12" t="str">
        <f>IFERROR(IF(LoanIsNotPaid*LoanIsGood,InterestAmt,""), "")</f>
        <v/>
      </c>
      <c r="H71" s="12" t="str">
        <f>IFERROR(IF(LoanIsNotPaid*LoanIsGood,EndingBalance,""), "")</f>
        <v/>
      </c>
    </row>
    <row r="72" spans="2:8" ht="20.149999999999999" customHeight="1">
      <c r="B72" s="9" t="str">
        <f>IFERROR(IF(LoanIsNotPaid*LoanIsGood,PaymentNumber,""), "")</f>
        <v/>
      </c>
      <c r="C72" s="10" t="str">
        <f>IFERROR(IF(LoanIsNotPaid*LoanIsGood,PaymentDate,""), "")</f>
        <v/>
      </c>
      <c r="D72" s="12" t="str">
        <f>IFERROR(IF(LoanIsNotPaid*LoanIsGood,LoanValue,""), "")</f>
        <v/>
      </c>
      <c r="E72" s="12" t="str">
        <f>IFERROR(IF(LoanIsNotPaid*LoanIsGood,MonthlyPayment,""), "")</f>
        <v/>
      </c>
      <c r="F72" s="12" t="str">
        <f>IFERROR(IF(LoanIsNotPaid*LoanIsGood,Principal,""), "")</f>
        <v/>
      </c>
      <c r="G72" s="12" t="str">
        <f>IFERROR(IF(LoanIsNotPaid*LoanIsGood,InterestAmt,""), "")</f>
        <v/>
      </c>
      <c r="H72" s="12" t="str">
        <f>IFERROR(IF(LoanIsNotPaid*LoanIsGood,EndingBalance,""), "")</f>
        <v/>
      </c>
    </row>
    <row r="73" spans="2:8" ht="20.149999999999999" customHeight="1">
      <c r="B73" s="9" t="str">
        <f>IFERROR(IF(LoanIsNotPaid*LoanIsGood,PaymentNumber,""), "")</f>
        <v/>
      </c>
      <c r="C73" s="10" t="str">
        <f>IFERROR(IF(LoanIsNotPaid*LoanIsGood,PaymentDate,""), "")</f>
        <v/>
      </c>
      <c r="D73" s="12" t="str">
        <f>IFERROR(IF(LoanIsNotPaid*LoanIsGood,LoanValue,""), "")</f>
        <v/>
      </c>
      <c r="E73" s="12" t="str">
        <f>IFERROR(IF(LoanIsNotPaid*LoanIsGood,MonthlyPayment,""), "")</f>
        <v/>
      </c>
      <c r="F73" s="12" t="str">
        <f>IFERROR(IF(LoanIsNotPaid*LoanIsGood,Principal,""), "")</f>
        <v/>
      </c>
      <c r="G73" s="12" t="str">
        <f>IFERROR(IF(LoanIsNotPaid*LoanIsGood,InterestAmt,""), "")</f>
        <v/>
      </c>
      <c r="H73" s="12" t="str">
        <f>IFERROR(IF(LoanIsNotPaid*LoanIsGood,EndingBalance,""), "")</f>
        <v/>
      </c>
    </row>
    <row r="74" spans="2:8" ht="20.149999999999999" customHeight="1">
      <c r="B74" s="9" t="str">
        <f>IFERROR(IF(LoanIsNotPaid*LoanIsGood,PaymentNumber,""), "")</f>
        <v/>
      </c>
      <c r="C74" s="10" t="str">
        <f>IFERROR(IF(LoanIsNotPaid*LoanIsGood,PaymentDate,""), "")</f>
        <v/>
      </c>
      <c r="D74" s="12" t="str">
        <f>IFERROR(IF(LoanIsNotPaid*LoanIsGood,LoanValue,""), "")</f>
        <v/>
      </c>
      <c r="E74" s="12" t="str">
        <f>IFERROR(IF(LoanIsNotPaid*LoanIsGood,MonthlyPayment,""), "")</f>
        <v/>
      </c>
      <c r="F74" s="12" t="str">
        <f>IFERROR(IF(LoanIsNotPaid*LoanIsGood,Principal,""), "")</f>
        <v/>
      </c>
      <c r="G74" s="12" t="str">
        <f>IFERROR(IF(LoanIsNotPaid*LoanIsGood,InterestAmt,""), "")</f>
        <v/>
      </c>
      <c r="H74" s="12" t="str">
        <f>IFERROR(IF(LoanIsNotPaid*LoanIsGood,EndingBalance,""), "")</f>
        <v/>
      </c>
    </row>
    <row r="75" spans="2:8" ht="20.149999999999999" customHeight="1">
      <c r="B75" s="9" t="str">
        <f>IFERROR(IF(LoanIsNotPaid*LoanIsGood,PaymentNumber,""), "")</f>
        <v/>
      </c>
      <c r="C75" s="10" t="str">
        <f>IFERROR(IF(LoanIsNotPaid*LoanIsGood,PaymentDate,""), "")</f>
        <v/>
      </c>
      <c r="D75" s="12" t="str">
        <f>IFERROR(IF(LoanIsNotPaid*LoanIsGood,LoanValue,""), "")</f>
        <v/>
      </c>
      <c r="E75" s="12" t="str">
        <f>IFERROR(IF(LoanIsNotPaid*LoanIsGood,MonthlyPayment,""), "")</f>
        <v/>
      </c>
      <c r="F75" s="12" t="str">
        <f>IFERROR(IF(LoanIsNotPaid*LoanIsGood,Principal,""), "")</f>
        <v/>
      </c>
      <c r="G75" s="12" t="str">
        <f>IFERROR(IF(LoanIsNotPaid*LoanIsGood,InterestAmt,""), "")</f>
        <v/>
      </c>
      <c r="H75" s="12" t="str">
        <f>IFERROR(IF(LoanIsNotPaid*LoanIsGood,EndingBalance,""), "")</f>
        <v/>
      </c>
    </row>
    <row r="76" spans="2:8" ht="20.149999999999999" customHeight="1">
      <c r="B76" s="9" t="str">
        <f>IFERROR(IF(LoanIsNotPaid*LoanIsGood,PaymentNumber,""), "")</f>
        <v/>
      </c>
      <c r="C76" s="10" t="str">
        <f>IFERROR(IF(LoanIsNotPaid*LoanIsGood,PaymentDate,""), "")</f>
        <v/>
      </c>
      <c r="D76" s="12" t="str">
        <f>IFERROR(IF(LoanIsNotPaid*LoanIsGood,LoanValue,""), "")</f>
        <v/>
      </c>
      <c r="E76" s="12" t="str">
        <f>IFERROR(IF(LoanIsNotPaid*LoanIsGood,MonthlyPayment,""), "")</f>
        <v/>
      </c>
      <c r="F76" s="12" t="str">
        <f>IFERROR(IF(LoanIsNotPaid*LoanIsGood,Principal,""), "")</f>
        <v/>
      </c>
      <c r="G76" s="12" t="str">
        <f>IFERROR(IF(LoanIsNotPaid*LoanIsGood,InterestAmt,""), "")</f>
        <v/>
      </c>
      <c r="H76" s="12" t="str">
        <f>IFERROR(IF(LoanIsNotPaid*LoanIsGood,EndingBalance,""), "")</f>
        <v/>
      </c>
    </row>
    <row r="77" spans="2:8" ht="20.149999999999999" customHeight="1">
      <c r="B77" s="9" t="str">
        <f>IFERROR(IF(LoanIsNotPaid*LoanIsGood,PaymentNumber,""), "")</f>
        <v/>
      </c>
      <c r="C77" s="10" t="str">
        <f>IFERROR(IF(LoanIsNotPaid*LoanIsGood,PaymentDate,""), "")</f>
        <v/>
      </c>
      <c r="D77" s="12" t="str">
        <f>IFERROR(IF(LoanIsNotPaid*LoanIsGood,LoanValue,""), "")</f>
        <v/>
      </c>
      <c r="E77" s="12" t="str">
        <f>IFERROR(IF(LoanIsNotPaid*LoanIsGood,MonthlyPayment,""), "")</f>
        <v/>
      </c>
      <c r="F77" s="12" t="str">
        <f>IFERROR(IF(LoanIsNotPaid*LoanIsGood,Principal,""), "")</f>
        <v/>
      </c>
      <c r="G77" s="12" t="str">
        <f>IFERROR(IF(LoanIsNotPaid*LoanIsGood,InterestAmt,""), "")</f>
        <v/>
      </c>
      <c r="H77" s="12" t="str">
        <f>IFERROR(IF(LoanIsNotPaid*LoanIsGood,EndingBalance,""), "")</f>
        <v/>
      </c>
    </row>
    <row r="78" spans="2:8" ht="20.149999999999999" customHeight="1">
      <c r="B78" s="9" t="str">
        <f>IFERROR(IF(LoanIsNotPaid*LoanIsGood,PaymentNumber,""), "")</f>
        <v/>
      </c>
      <c r="C78" s="10" t="str">
        <f>IFERROR(IF(LoanIsNotPaid*LoanIsGood,PaymentDate,""), "")</f>
        <v/>
      </c>
      <c r="D78" s="12" t="str">
        <f>IFERROR(IF(LoanIsNotPaid*LoanIsGood,LoanValue,""), "")</f>
        <v/>
      </c>
      <c r="E78" s="12" t="str">
        <f>IFERROR(IF(LoanIsNotPaid*LoanIsGood,MonthlyPayment,""), "")</f>
        <v/>
      </c>
      <c r="F78" s="12" t="str">
        <f>IFERROR(IF(LoanIsNotPaid*LoanIsGood,Principal,""), "")</f>
        <v/>
      </c>
      <c r="G78" s="12" t="str">
        <f>IFERROR(IF(LoanIsNotPaid*LoanIsGood,InterestAmt,""), "")</f>
        <v/>
      </c>
      <c r="H78" s="12" t="str">
        <f>IFERROR(IF(LoanIsNotPaid*LoanIsGood,EndingBalance,""), "")</f>
        <v/>
      </c>
    </row>
    <row r="79" spans="2:8" ht="20.149999999999999" customHeight="1">
      <c r="B79" s="9" t="str">
        <f>IFERROR(IF(LoanIsNotPaid*LoanIsGood,PaymentNumber,""), "")</f>
        <v/>
      </c>
      <c r="C79" s="10" t="str">
        <f>IFERROR(IF(LoanIsNotPaid*LoanIsGood,PaymentDate,""), "")</f>
        <v/>
      </c>
      <c r="D79" s="12" t="str">
        <f>IFERROR(IF(LoanIsNotPaid*LoanIsGood,LoanValue,""), "")</f>
        <v/>
      </c>
      <c r="E79" s="12" t="str">
        <f>IFERROR(IF(LoanIsNotPaid*LoanIsGood,MonthlyPayment,""), "")</f>
        <v/>
      </c>
      <c r="F79" s="12" t="str">
        <f>IFERROR(IF(LoanIsNotPaid*LoanIsGood,Principal,""), "")</f>
        <v/>
      </c>
      <c r="G79" s="12" t="str">
        <f>IFERROR(IF(LoanIsNotPaid*LoanIsGood,InterestAmt,""), "")</f>
        <v/>
      </c>
      <c r="H79" s="12" t="str">
        <f>IFERROR(IF(LoanIsNotPaid*LoanIsGood,EndingBalance,""), "")</f>
        <v/>
      </c>
    </row>
    <row r="80" spans="2:8" ht="20.149999999999999" customHeight="1">
      <c r="B80" s="9" t="str">
        <f>IFERROR(IF(LoanIsNotPaid*LoanIsGood,PaymentNumber,""), "")</f>
        <v/>
      </c>
      <c r="C80" s="10" t="str">
        <f>IFERROR(IF(LoanIsNotPaid*LoanIsGood,PaymentDate,""), "")</f>
        <v/>
      </c>
      <c r="D80" s="12" t="str">
        <f>IFERROR(IF(LoanIsNotPaid*LoanIsGood,LoanValue,""), "")</f>
        <v/>
      </c>
      <c r="E80" s="12" t="str">
        <f>IFERROR(IF(LoanIsNotPaid*LoanIsGood,MonthlyPayment,""), "")</f>
        <v/>
      </c>
      <c r="F80" s="12" t="str">
        <f>IFERROR(IF(LoanIsNotPaid*LoanIsGood,Principal,""), "")</f>
        <v/>
      </c>
      <c r="G80" s="12" t="str">
        <f>IFERROR(IF(LoanIsNotPaid*LoanIsGood,InterestAmt,""), "")</f>
        <v/>
      </c>
      <c r="H80" s="12" t="str">
        <f>IFERROR(IF(LoanIsNotPaid*LoanIsGood,EndingBalance,""), "")</f>
        <v/>
      </c>
    </row>
    <row r="81" spans="2:8" ht="20.149999999999999" customHeight="1">
      <c r="B81" s="9" t="str">
        <f>IFERROR(IF(LoanIsNotPaid*LoanIsGood,PaymentNumber,""), "")</f>
        <v/>
      </c>
      <c r="C81" s="10" t="str">
        <f>IFERROR(IF(LoanIsNotPaid*LoanIsGood,PaymentDate,""), "")</f>
        <v/>
      </c>
      <c r="D81" s="12" t="str">
        <f>IFERROR(IF(LoanIsNotPaid*LoanIsGood,LoanValue,""), "")</f>
        <v/>
      </c>
      <c r="E81" s="12" t="str">
        <f>IFERROR(IF(LoanIsNotPaid*LoanIsGood,MonthlyPayment,""), "")</f>
        <v/>
      </c>
      <c r="F81" s="12" t="str">
        <f>IFERROR(IF(LoanIsNotPaid*LoanIsGood,Principal,""), "")</f>
        <v/>
      </c>
      <c r="G81" s="12" t="str">
        <f>IFERROR(IF(LoanIsNotPaid*LoanIsGood,InterestAmt,""), "")</f>
        <v/>
      </c>
      <c r="H81" s="12" t="str">
        <f>IFERROR(IF(LoanIsNotPaid*LoanIsGood,EndingBalance,""), "")</f>
        <v/>
      </c>
    </row>
    <row r="82" spans="2:8" ht="20.149999999999999" customHeight="1">
      <c r="B82" s="9" t="str">
        <f>IFERROR(IF(LoanIsNotPaid*LoanIsGood,PaymentNumber,""), "")</f>
        <v/>
      </c>
      <c r="C82" s="10" t="str">
        <f>IFERROR(IF(LoanIsNotPaid*LoanIsGood,PaymentDate,""), "")</f>
        <v/>
      </c>
      <c r="D82" s="12" t="str">
        <f>IFERROR(IF(LoanIsNotPaid*LoanIsGood,LoanValue,""), "")</f>
        <v/>
      </c>
      <c r="E82" s="12" t="str">
        <f>IFERROR(IF(LoanIsNotPaid*LoanIsGood,MonthlyPayment,""), "")</f>
        <v/>
      </c>
      <c r="F82" s="12" t="str">
        <f>IFERROR(IF(LoanIsNotPaid*LoanIsGood,Principal,""), "")</f>
        <v/>
      </c>
      <c r="G82" s="12" t="str">
        <f>IFERROR(IF(LoanIsNotPaid*LoanIsGood,InterestAmt,""), "")</f>
        <v/>
      </c>
      <c r="H82" s="12" t="str">
        <f>IFERROR(IF(LoanIsNotPaid*LoanIsGood,EndingBalance,""), "")</f>
        <v/>
      </c>
    </row>
    <row r="83" spans="2:8" ht="20.149999999999999" customHeight="1">
      <c r="B83" s="9" t="str">
        <f>IFERROR(IF(LoanIsNotPaid*LoanIsGood,PaymentNumber,""), "")</f>
        <v/>
      </c>
      <c r="C83" s="10" t="str">
        <f>IFERROR(IF(LoanIsNotPaid*LoanIsGood,PaymentDate,""), "")</f>
        <v/>
      </c>
      <c r="D83" s="12" t="str">
        <f>IFERROR(IF(LoanIsNotPaid*LoanIsGood,LoanValue,""), "")</f>
        <v/>
      </c>
      <c r="E83" s="12" t="str">
        <f>IFERROR(IF(LoanIsNotPaid*LoanIsGood,MonthlyPayment,""), "")</f>
        <v/>
      </c>
      <c r="F83" s="12" t="str">
        <f>IFERROR(IF(LoanIsNotPaid*LoanIsGood,Principal,""), "")</f>
        <v/>
      </c>
      <c r="G83" s="12" t="str">
        <f>IFERROR(IF(LoanIsNotPaid*LoanIsGood,InterestAmt,""), "")</f>
        <v/>
      </c>
      <c r="H83" s="12" t="str">
        <f>IFERROR(IF(LoanIsNotPaid*LoanIsGood,EndingBalance,""), "")</f>
        <v/>
      </c>
    </row>
    <row r="84" spans="2:8" ht="20.149999999999999" customHeight="1">
      <c r="B84" s="9" t="str">
        <f>IFERROR(IF(LoanIsNotPaid*LoanIsGood,PaymentNumber,""), "")</f>
        <v/>
      </c>
      <c r="C84" s="10" t="str">
        <f>IFERROR(IF(LoanIsNotPaid*LoanIsGood,PaymentDate,""), "")</f>
        <v/>
      </c>
      <c r="D84" s="12" t="str">
        <f>IFERROR(IF(LoanIsNotPaid*LoanIsGood,LoanValue,""), "")</f>
        <v/>
      </c>
      <c r="E84" s="12" t="str">
        <f>IFERROR(IF(LoanIsNotPaid*LoanIsGood,MonthlyPayment,""), "")</f>
        <v/>
      </c>
      <c r="F84" s="12" t="str">
        <f>IFERROR(IF(LoanIsNotPaid*LoanIsGood,Principal,""), "")</f>
        <v/>
      </c>
      <c r="G84" s="12" t="str">
        <f>IFERROR(IF(LoanIsNotPaid*LoanIsGood,InterestAmt,""), "")</f>
        <v/>
      </c>
      <c r="H84" s="12" t="str">
        <f>IFERROR(IF(LoanIsNotPaid*LoanIsGood,EndingBalance,""), "")</f>
        <v/>
      </c>
    </row>
    <row r="85" spans="2:8" ht="20.149999999999999" customHeight="1">
      <c r="B85" s="9" t="str">
        <f>IFERROR(IF(LoanIsNotPaid*LoanIsGood,PaymentNumber,""), "")</f>
        <v/>
      </c>
      <c r="C85" s="10" t="str">
        <f>IFERROR(IF(LoanIsNotPaid*LoanIsGood,PaymentDate,""), "")</f>
        <v/>
      </c>
      <c r="D85" s="12" t="str">
        <f>IFERROR(IF(LoanIsNotPaid*LoanIsGood,LoanValue,""), "")</f>
        <v/>
      </c>
      <c r="E85" s="12" t="str">
        <f>IFERROR(IF(LoanIsNotPaid*LoanIsGood,MonthlyPayment,""), "")</f>
        <v/>
      </c>
      <c r="F85" s="12" t="str">
        <f>IFERROR(IF(LoanIsNotPaid*LoanIsGood,Principal,""), "")</f>
        <v/>
      </c>
      <c r="G85" s="12" t="str">
        <f>IFERROR(IF(LoanIsNotPaid*LoanIsGood,InterestAmt,""), "")</f>
        <v/>
      </c>
      <c r="H85" s="12" t="str">
        <f>IFERROR(IF(LoanIsNotPaid*LoanIsGood,EndingBalance,""), "")</f>
        <v/>
      </c>
    </row>
    <row r="86" spans="2:8" ht="20.149999999999999" customHeight="1">
      <c r="B86" s="9" t="str">
        <f>IFERROR(IF(LoanIsNotPaid*LoanIsGood,PaymentNumber,""), "")</f>
        <v/>
      </c>
      <c r="C86" s="10" t="str">
        <f>IFERROR(IF(LoanIsNotPaid*LoanIsGood,PaymentDate,""), "")</f>
        <v/>
      </c>
      <c r="D86" s="12" t="str">
        <f>IFERROR(IF(LoanIsNotPaid*LoanIsGood,LoanValue,""), "")</f>
        <v/>
      </c>
      <c r="E86" s="12" t="str">
        <f>IFERROR(IF(LoanIsNotPaid*LoanIsGood,MonthlyPayment,""), "")</f>
        <v/>
      </c>
      <c r="F86" s="12" t="str">
        <f>IFERROR(IF(LoanIsNotPaid*LoanIsGood,Principal,""), "")</f>
        <v/>
      </c>
      <c r="G86" s="12" t="str">
        <f>IFERROR(IF(LoanIsNotPaid*LoanIsGood,InterestAmt,""), "")</f>
        <v/>
      </c>
      <c r="H86" s="12" t="str">
        <f>IFERROR(IF(LoanIsNotPaid*LoanIsGood,EndingBalance,""), "")</f>
        <v/>
      </c>
    </row>
    <row r="87" spans="2:8" ht="20.149999999999999" customHeight="1">
      <c r="B87" s="9" t="str">
        <f>IFERROR(IF(LoanIsNotPaid*LoanIsGood,PaymentNumber,""), "")</f>
        <v/>
      </c>
      <c r="C87" s="10" t="str">
        <f>IFERROR(IF(LoanIsNotPaid*LoanIsGood,PaymentDate,""), "")</f>
        <v/>
      </c>
      <c r="D87" s="12" t="str">
        <f>IFERROR(IF(LoanIsNotPaid*LoanIsGood,LoanValue,""), "")</f>
        <v/>
      </c>
      <c r="E87" s="12" t="str">
        <f>IFERROR(IF(LoanIsNotPaid*LoanIsGood,MonthlyPayment,""), "")</f>
        <v/>
      </c>
      <c r="F87" s="12" t="str">
        <f>IFERROR(IF(LoanIsNotPaid*LoanIsGood,Principal,""), "")</f>
        <v/>
      </c>
      <c r="G87" s="12" t="str">
        <f>IFERROR(IF(LoanIsNotPaid*LoanIsGood,InterestAmt,""), "")</f>
        <v/>
      </c>
      <c r="H87" s="12" t="str">
        <f>IFERROR(IF(LoanIsNotPaid*LoanIsGood,EndingBalance,""), "")</f>
        <v/>
      </c>
    </row>
    <row r="88" spans="2:8" ht="20.149999999999999" customHeight="1">
      <c r="B88" s="9" t="str">
        <f>IFERROR(IF(LoanIsNotPaid*LoanIsGood,PaymentNumber,""), "")</f>
        <v/>
      </c>
      <c r="C88" s="10" t="str">
        <f>IFERROR(IF(LoanIsNotPaid*LoanIsGood,PaymentDate,""), "")</f>
        <v/>
      </c>
      <c r="D88" s="12" t="str">
        <f>IFERROR(IF(LoanIsNotPaid*LoanIsGood,LoanValue,""), "")</f>
        <v/>
      </c>
      <c r="E88" s="12" t="str">
        <f>IFERROR(IF(LoanIsNotPaid*LoanIsGood,MonthlyPayment,""), "")</f>
        <v/>
      </c>
      <c r="F88" s="12" t="str">
        <f>IFERROR(IF(LoanIsNotPaid*LoanIsGood,Principal,""), "")</f>
        <v/>
      </c>
      <c r="G88" s="12" t="str">
        <f>IFERROR(IF(LoanIsNotPaid*LoanIsGood,InterestAmt,""), "")</f>
        <v/>
      </c>
      <c r="H88" s="12" t="str">
        <f>IFERROR(IF(LoanIsNotPaid*LoanIsGood,EndingBalance,""), "")</f>
        <v/>
      </c>
    </row>
    <row r="89" spans="2:8" ht="20.149999999999999" customHeight="1">
      <c r="B89" s="9" t="str">
        <f>IFERROR(IF(LoanIsNotPaid*LoanIsGood,PaymentNumber,""), "")</f>
        <v/>
      </c>
      <c r="C89" s="10" t="str">
        <f>IFERROR(IF(LoanIsNotPaid*LoanIsGood,PaymentDate,""), "")</f>
        <v/>
      </c>
      <c r="D89" s="12" t="str">
        <f>IFERROR(IF(LoanIsNotPaid*LoanIsGood,LoanValue,""), "")</f>
        <v/>
      </c>
      <c r="E89" s="12" t="str">
        <f>IFERROR(IF(LoanIsNotPaid*LoanIsGood,MonthlyPayment,""), "")</f>
        <v/>
      </c>
      <c r="F89" s="12" t="str">
        <f>IFERROR(IF(LoanIsNotPaid*LoanIsGood,Principal,""), "")</f>
        <v/>
      </c>
      <c r="G89" s="12" t="str">
        <f>IFERROR(IF(LoanIsNotPaid*LoanIsGood,InterestAmt,""), "")</f>
        <v/>
      </c>
      <c r="H89" s="12" t="str">
        <f>IFERROR(IF(LoanIsNotPaid*LoanIsGood,EndingBalance,""), "")</f>
        <v/>
      </c>
    </row>
    <row r="90" spans="2:8" ht="20.149999999999999" customHeight="1">
      <c r="B90" s="9" t="str">
        <f>IFERROR(IF(LoanIsNotPaid*LoanIsGood,PaymentNumber,""), "")</f>
        <v/>
      </c>
      <c r="C90" s="10" t="str">
        <f>IFERROR(IF(LoanIsNotPaid*LoanIsGood,PaymentDate,""), "")</f>
        <v/>
      </c>
      <c r="D90" s="12" t="str">
        <f>IFERROR(IF(LoanIsNotPaid*LoanIsGood,LoanValue,""), "")</f>
        <v/>
      </c>
      <c r="E90" s="12" t="str">
        <f>IFERROR(IF(LoanIsNotPaid*LoanIsGood,MonthlyPayment,""), "")</f>
        <v/>
      </c>
      <c r="F90" s="12" t="str">
        <f>IFERROR(IF(LoanIsNotPaid*LoanIsGood,Principal,""), "")</f>
        <v/>
      </c>
      <c r="G90" s="12" t="str">
        <f>IFERROR(IF(LoanIsNotPaid*LoanIsGood,InterestAmt,""), "")</f>
        <v/>
      </c>
      <c r="H90" s="12" t="str">
        <f>IFERROR(IF(LoanIsNotPaid*LoanIsGood,EndingBalance,""), "")</f>
        <v/>
      </c>
    </row>
    <row r="91" spans="2:8" ht="20.149999999999999" customHeight="1">
      <c r="B91" s="9" t="str">
        <f>IFERROR(IF(LoanIsNotPaid*LoanIsGood,PaymentNumber,""), "")</f>
        <v/>
      </c>
      <c r="C91" s="10" t="str">
        <f>IFERROR(IF(LoanIsNotPaid*LoanIsGood,PaymentDate,""), "")</f>
        <v/>
      </c>
      <c r="D91" s="12" t="str">
        <f>IFERROR(IF(LoanIsNotPaid*LoanIsGood,LoanValue,""), "")</f>
        <v/>
      </c>
      <c r="E91" s="12" t="str">
        <f>IFERROR(IF(LoanIsNotPaid*LoanIsGood,MonthlyPayment,""), "")</f>
        <v/>
      </c>
      <c r="F91" s="12" t="str">
        <f>IFERROR(IF(LoanIsNotPaid*LoanIsGood,Principal,""), "")</f>
        <v/>
      </c>
      <c r="G91" s="12" t="str">
        <f>IFERROR(IF(LoanIsNotPaid*LoanIsGood,InterestAmt,""), "")</f>
        <v/>
      </c>
      <c r="H91" s="12" t="str">
        <f>IFERROR(IF(LoanIsNotPaid*LoanIsGood,EndingBalance,""), "")</f>
        <v/>
      </c>
    </row>
    <row r="92" spans="2:8" ht="20.149999999999999" customHeight="1">
      <c r="B92" s="9" t="str">
        <f>IFERROR(IF(LoanIsNotPaid*LoanIsGood,PaymentNumber,""), "")</f>
        <v/>
      </c>
      <c r="C92" s="10" t="str">
        <f>IFERROR(IF(LoanIsNotPaid*LoanIsGood,PaymentDate,""), "")</f>
        <v/>
      </c>
      <c r="D92" s="12" t="str">
        <f>IFERROR(IF(LoanIsNotPaid*LoanIsGood,LoanValue,""), "")</f>
        <v/>
      </c>
      <c r="E92" s="12" t="str">
        <f>IFERROR(IF(LoanIsNotPaid*LoanIsGood,MonthlyPayment,""), "")</f>
        <v/>
      </c>
      <c r="F92" s="12" t="str">
        <f>IFERROR(IF(LoanIsNotPaid*LoanIsGood,Principal,""), "")</f>
        <v/>
      </c>
      <c r="G92" s="12" t="str">
        <f>IFERROR(IF(LoanIsNotPaid*LoanIsGood,InterestAmt,""), "")</f>
        <v/>
      </c>
      <c r="H92" s="12" t="str">
        <f>IFERROR(IF(LoanIsNotPaid*LoanIsGood,EndingBalance,""), "")</f>
        <v/>
      </c>
    </row>
    <row r="93" spans="2:8" ht="20.149999999999999" customHeight="1">
      <c r="B93" s="9" t="str">
        <f>IFERROR(IF(LoanIsNotPaid*LoanIsGood,PaymentNumber,""), "")</f>
        <v/>
      </c>
      <c r="C93" s="10" t="str">
        <f>IFERROR(IF(LoanIsNotPaid*LoanIsGood,PaymentDate,""), "")</f>
        <v/>
      </c>
      <c r="D93" s="12" t="str">
        <f>IFERROR(IF(LoanIsNotPaid*LoanIsGood,LoanValue,""), "")</f>
        <v/>
      </c>
      <c r="E93" s="12" t="str">
        <f>IFERROR(IF(LoanIsNotPaid*LoanIsGood,MonthlyPayment,""), "")</f>
        <v/>
      </c>
      <c r="F93" s="12" t="str">
        <f>IFERROR(IF(LoanIsNotPaid*LoanIsGood,Principal,""), "")</f>
        <v/>
      </c>
      <c r="G93" s="12" t="str">
        <f>IFERROR(IF(LoanIsNotPaid*LoanIsGood,InterestAmt,""), "")</f>
        <v/>
      </c>
      <c r="H93" s="12" t="str">
        <f>IFERROR(IF(LoanIsNotPaid*LoanIsGood,EndingBalance,""), "")</f>
        <v/>
      </c>
    </row>
    <row r="94" spans="2:8" ht="20.149999999999999" customHeight="1">
      <c r="B94" s="9" t="str">
        <f>IFERROR(IF(LoanIsNotPaid*LoanIsGood,PaymentNumber,""), "")</f>
        <v/>
      </c>
      <c r="C94" s="10" t="str">
        <f>IFERROR(IF(LoanIsNotPaid*LoanIsGood,PaymentDate,""), "")</f>
        <v/>
      </c>
      <c r="D94" s="12" t="str">
        <f>IFERROR(IF(LoanIsNotPaid*LoanIsGood,LoanValue,""), "")</f>
        <v/>
      </c>
      <c r="E94" s="12" t="str">
        <f>IFERROR(IF(LoanIsNotPaid*LoanIsGood,MonthlyPayment,""), "")</f>
        <v/>
      </c>
      <c r="F94" s="12" t="str">
        <f>IFERROR(IF(LoanIsNotPaid*LoanIsGood,Principal,""), "")</f>
        <v/>
      </c>
      <c r="G94" s="12" t="str">
        <f>IFERROR(IF(LoanIsNotPaid*LoanIsGood,InterestAmt,""), "")</f>
        <v/>
      </c>
      <c r="H94" s="12" t="str">
        <f>IFERROR(IF(LoanIsNotPaid*LoanIsGood,EndingBalance,""), "")</f>
        <v/>
      </c>
    </row>
    <row r="95" spans="2:8" ht="20.149999999999999" customHeight="1">
      <c r="B95" s="9" t="str">
        <f>IFERROR(IF(LoanIsNotPaid*LoanIsGood,PaymentNumber,""), "")</f>
        <v/>
      </c>
      <c r="C95" s="10" t="str">
        <f>IFERROR(IF(LoanIsNotPaid*LoanIsGood,PaymentDate,""), "")</f>
        <v/>
      </c>
      <c r="D95" s="12" t="str">
        <f>IFERROR(IF(LoanIsNotPaid*LoanIsGood,LoanValue,""), "")</f>
        <v/>
      </c>
      <c r="E95" s="12" t="str">
        <f>IFERROR(IF(LoanIsNotPaid*LoanIsGood,MonthlyPayment,""), "")</f>
        <v/>
      </c>
      <c r="F95" s="12" t="str">
        <f>IFERROR(IF(LoanIsNotPaid*LoanIsGood,Principal,""), "")</f>
        <v/>
      </c>
      <c r="G95" s="12" t="str">
        <f>IFERROR(IF(LoanIsNotPaid*LoanIsGood,InterestAmt,""), "")</f>
        <v/>
      </c>
      <c r="H95" s="12" t="str">
        <f>IFERROR(IF(LoanIsNotPaid*LoanIsGood,EndingBalance,""), "")</f>
        <v/>
      </c>
    </row>
    <row r="96" spans="2:8" ht="20.149999999999999" customHeight="1">
      <c r="B96" s="9" t="str">
        <f>IFERROR(IF(LoanIsNotPaid*LoanIsGood,PaymentNumber,""), "")</f>
        <v/>
      </c>
      <c r="C96" s="10" t="str">
        <f>IFERROR(IF(LoanIsNotPaid*LoanIsGood,PaymentDate,""), "")</f>
        <v/>
      </c>
      <c r="D96" s="12" t="str">
        <f>IFERROR(IF(LoanIsNotPaid*LoanIsGood,LoanValue,""), "")</f>
        <v/>
      </c>
      <c r="E96" s="12" t="str">
        <f>IFERROR(IF(LoanIsNotPaid*LoanIsGood,MonthlyPayment,""), "")</f>
        <v/>
      </c>
      <c r="F96" s="12" t="str">
        <f>IFERROR(IF(LoanIsNotPaid*LoanIsGood,Principal,""), "")</f>
        <v/>
      </c>
      <c r="G96" s="12" t="str">
        <f>IFERROR(IF(LoanIsNotPaid*LoanIsGood,InterestAmt,""), "")</f>
        <v/>
      </c>
      <c r="H96" s="12" t="str">
        <f>IFERROR(IF(LoanIsNotPaid*LoanIsGood,EndingBalance,""), "")</f>
        <v/>
      </c>
    </row>
    <row r="97" spans="2:8" ht="20.149999999999999" customHeight="1">
      <c r="B97" s="9" t="str">
        <f>IFERROR(IF(LoanIsNotPaid*LoanIsGood,PaymentNumber,""), "")</f>
        <v/>
      </c>
      <c r="C97" s="10" t="str">
        <f>IFERROR(IF(LoanIsNotPaid*LoanIsGood,PaymentDate,""), "")</f>
        <v/>
      </c>
      <c r="D97" s="12" t="str">
        <f>IFERROR(IF(LoanIsNotPaid*LoanIsGood,LoanValue,""), "")</f>
        <v/>
      </c>
      <c r="E97" s="12" t="str">
        <f>IFERROR(IF(LoanIsNotPaid*LoanIsGood,MonthlyPayment,""), "")</f>
        <v/>
      </c>
      <c r="F97" s="12" t="str">
        <f>IFERROR(IF(LoanIsNotPaid*LoanIsGood,Principal,""), "")</f>
        <v/>
      </c>
      <c r="G97" s="12" t="str">
        <f>IFERROR(IF(LoanIsNotPaid*LoanIsGood,InterestAmt,""), "")</f>
        <v/>
      </c>
      <c r="H97" s="12" t="str">
        <f>IFERROR(IF(LoanIsNotPaid*LoanIsGood,EndingBalance,""), "")</f>
        <v/>
      </c>
    </row>
    <row r="98" spans="2:8" ht="20.149999999999999" customHeight="1">
      <c r="B98" s="9" t="str">
        <f>IFERROR(IF(LoanIsNotPaid*LoanIsGood,PaymentNumber,""), "")</f>
        <v/>
      </c>
      <c r="C98" s="10" t="str">
        <f>IFERROR(IF(LoanIsNotPaid*LoanIsGood,PaymentDate,""), "")</f>
        <v/>
      </c>
      <c r="D98" s="12" t="str">
        <f>IFERROR(IF(LoanIsNotPaid*LoanIsGood,LoanValue,""), "")</f>
        <v/>
      </c>
      <c r="E98" s="12" t="str">
        <f>IFERROR(IF(LoanIsNotPaid*LoanIsGood,MonthlyPayment,""), "")</f>
        <v/>
      </c>
      <c r="F98" s="12" t="str">
        <f>IFERROR(IF(LoanIsNotPaid*LoanIsGood,Principal,""), "")</f>
        <v/>
      </c>
      <c r="G98" s="12" t="str">
        <f>IFERROR(IF(LoanIsNotPaid*LoanIsGood,InterestAmt,""), "")</f>
        <v/>
      </c>
      <c r="H98" s="12" t="str">
        <f>IFERROR(IF(LoanIsNotPaid*LoanIsGood,EndingBalance,""), "")</f>
        <v/>
      </c>
    </row>
    <row r="99" spans="2:8" ht="20.149999999999999" customHeight="1">
      <c r="B99" s="9" t="str">
        <f>IFERROR(IF(LoanIsNotPaid*LoanIsGood,PaymentNumber,""), "")</f>
        <v/>
      </c>
      <c r="C99" s="10" t="str">
        <f>IFERROR(IF(LoanIsNotPaid*LoanIsGood,PaymentDate,""), "")</f>
        <v/>
      </c>
      <c r="D99" s="12" t="str">
        <f>IFERROR(IF(LoanIsNotPaid*LoanIsGood,LoanValue,""), "")</f>
        <v/>
      </c>
      <c r="E99" s="12" t="str">
        <f>IFERROR(IF(LoanIsNotPaid*LoanIsGood,MonthlyPayment,""), "")</f>
        <v/>
      </c>
      <c r="F99" s="12" t="str">
        <f>IFERROR(IF(LoanIsNotPaid*LoanIsGood,Principal,""), "")</f>
        <v/>
      </c>
      <c r="G99" s="12" t="str">
        <f>IFERROR(IF(LoanIsNotPaid*LoanIsGood,InterestAmt,""), "")</f>
        <v/>
      </c>
      <c r="H99" s="12" t="str">
        <f>IFERROR(IF(LoanIsNotPaid*LoanIsGood,EndingBalance,""), "")</f>
        <v/>
      </c>
    </row>
    <row r="100" spans="2:8" ht="20.149999999999999" customHeight="1">
      <c r="B100" s="9" t="str">
        <f>IFERROR(IF(LoanIsNotPaid*LoanIsGood,PaymentNumber,""), "")</f>
        <v/>
      </c>
      <c r="C100" s="10" t="str">
        <f>IFERROR(IF(LoanIsNotPaid*LoanIsGood,PaymentDate,""), "")</f>
        <v/>
      </c>
      <c r="D100" s="12" t="str">
        <f>IFERROR(IF(LoanIsNotPaid*LoanIsGood,LoanValue,""), "")</f>
        <v/>
      </c>
      <c r="E100" s="12" t="str">
        <f>IFERROR(IF(LoanIsNotPaid*LoanIsGood,MonthlyPayment,""), "")</f>
        <v/>
      </c>
      <c r="F100" s="12" t="str">
        <f>IFERROR(IF(LoanIsNotPaid*LoanIsGood,Principal,""), "")</f>
        <v/>
      </c>
      <c r="G100" s="12" t="str">
        <f>IFERROR(IF(LoanIsNotPaid*LoanIsGood,InterestAmt,""), "")</f>
        <v/>
      </c>
      <c r="H100" s="12" t="str">
        <f>IFERROR(IF(LoanIsNotPaid*LoanIsGood,EndingBalance,""), "")</f>
        <v/>
      </c>
    </row>
    <row r="101" spans="2:8" ht="20.149999999999999" customHeight="1">
      <c r="B101" s="9" t="str">
        <f>IFERROR(IF(LoanIsNotPaid*LoanIsGood,PaymentNumber,""), "")</f>
        <v/>
      </c>
      <c r="C101" s="10" t="str">
        <f>IFERROR(IF(LoanIsNotPaid*LoanIsGood,PaymentDate,""), "")</f>
        <v/>
      </c>
      <c r="D101" s="12" t="str">
        <f>IFERROR(IF(LoanIsNotPaid*LoanIsGood,LoanValue,""), "")</f>
        <v/>
      </c>
      <c r="E101" s="12" t="str">
        <f>IFERROR(IF(LoanIsNotPaid*LoanIsGood,MonthlyPayment,""), "")</f>
        <v/>
      </c>
      <c r="F101" s="12" t="str">
        <f>IFERROR(IF(LoanIsNotPaid*LoanIsGood,Principal,""), "")</f>
        <v/>
      </c>
      <c r="G101" s="12" t="str">
        <f>IFERROR(IF(LoanIsNotPaid*LoanIsGood,InterestAmt,""), "")</f>
        <v/>
      </c>
      <c r="H101" s="12" t="str">
        <f>IFERROR(IF(LoanIsNotPaid*LoanIsGood,EndingBalance,""), "")</f>
        <v/>
      </c>
    </row>
    <row r="102" spans="2:8" ht="20.149999999999999" customHeight="1">
      <c r="B102" s="9" t="str">
        <f>IFERROR(IF(LoanIsNotPaid*LoanIsGood,PaymentNumber,""), "")</f>
        <v/>
      </c>
      <c r="C102" s="10" t="str">
        <f>IFERROR(IF(LoanIsNotPaid*LoanIsGood,PaymentDate,""), "")</f>
        <v/>
      </c>
      <c r="D102" s="12" t="str">
        <f>IFERROR(IF(LoanIsNotPaid*LoanIsGood,LoanValue,""), "")</f>
        <v/>
      </c>
      <c r="E102" s="12" t="str">
        <f>IFERROR(IF(LoanIsNotPaid*LoanIsGood,MonthlyPayment,""), "")</f>
        <v/>
      </c>
      <c r="F102" s="12" t="str">
        <f>IFERROR(IF(LoanIsNotPaid*LoanIsGood,Principal,""), "")</f>
        <v/>
      </c>
      <c r="G102" s="12" t="str">
        <f>IFERROR(IF(LoanIsNotPaid*LoanIsGood,InterestAmt,""), "")</f>
        <v/>
      </c>
      <c r="H102" s="12" t="str">
        <f>IFERROR(IF(LoanIsNotPaid*LoanIsGood,EndingBalance,""), "")</f>
        <v/>
      </c>
    </row>
    <row r="103" spans="2:8" ht="20.149999999999999" customHeight="1">
      <c r="B103" s="9" t="str">
        <f>IFERROR(IF(LoanIsNotPaid*LoanIsGood,PaymentNumber,""), "")</f>
        <v/>
      </c>
      <c r="C103" s="10" t="str">
        <f>IFERROR(IF(LoanIsNotPaid*LoanIsGood,PaymentDate,""), "")</f>
        <v/>
      </c>
      <c r="D103" s="12" t="str">
        <f>IFERROR(IF(LoanIsNotPaid*LoanIsGood,LoanValue,""), "")</f>
        <v/>
      </c>
      <c r="E103" s="12" t="str">
        <f>IFERROR(IF(LoanIsNotPaid*LoanIsGood,MonthlyPayment,""), "")</f>
        <v/>
      </c>
      <c r="F103" s="12" t="str">
        <f>IFERROR(IF(LoanIsNotPaid*LoanIsGood,Principal,""), "")</f>
        <v/>
      </c>
      <c r="G103" s="12" t="str">
        <f>IFERROR(IF(LoanIsNotPaid*LoanIsGood,InterestAmt,""), "")</f>
        <v/>
      </c>
      <c r="H103" s="12" t="str">
        <f>IFERROR(IF(LoanIsNotPaid*LoanIsGood,EndingBalance,""), "")</f>
        <v/>
      </c>
    </row>
    <row r="104" spans="2:8" ht="20.149999999999999" customHeight="1">
      <c r="B104" s="9" t="str">
        <f>IFERROR(IF(LoanIsNotPaid*LoanIsGood,PaymentNumber,""), "")</f>
        <v/>
      </c>
      <c r="C104" s="10" t="str">
        <f>IFERROR(IF(LoanIsNotPaid*LoanIsGood,PaymentDate,""), "")</f>
        <v/>
      </c>
      <c r="D104" s="12" t="str">
        <f>IFERROR(IF(LoanIsNotPaid*LoanIsGood,LoanValue,""), "")</f>
        <v/>
      </c>
      <c r="E104" s="12" t="str">
        <f>IFERROR(IF(LoanIsNotPaid*LoanIsGood,MonthlyPayment,""), "")</f>
        <v/>
      </c>
      <c r="F104" s="12" t="str">
        <f>IFERROR(IF(LoanIsNotPaid*LoanIsGood,Principal,""), "")</f>
        <v/>
      </c>
      <c r="G104" s="12" t="str">
        <f>IFERROR(IF(LoanIsNotPaid*LoanIsGood,InterestAmt,""), "")</f>
        <v/>
      </c>
      <c r="H104" s="12" t="str">
        <f>IFERROR(IF(LoanIsNotPaid*LoanIsGood,EndingBalance,""), "")</f>
        <v/>
      </c>
    </row>
    <row r="105" spans="2:8" ht="20.149999999999999" customHeight="1">
      <c r="B105" s="9" t="str">
        <f>IFERROR(IF(LoanIsNotPaid*LoanIsGood,PaymentNumber,""), "")</f>
        <v/>
      </c>
      <c r="C105" s="10" t="str">
        <f>IFERROR(IF(LoanIsNotPaid*LoanIsGood,PaymentDate,""), "")</f>
        <v/>
      </c>
      <c r="D105" s="12" t="str">
        <f>IFERROR(IF(LoanIsNotPaid*LoanIsGood,LoanValue,""), "")</f>
        <v/>
      </c>
      <c r="E105" s="12" t="str">
        <f>IFERROR(IF(LoanIsNotPaid*LoanIsGood,MonthlyPayment,""), "")</f>
        <v/>
      </c>
      <c r="F105" s="12" t="str">
        <f>IFERROR(IF(LoanIsNotPaid*LoanIsGood,Principal,""), "")</f>
        <v/>
      </c>
      <c r="G105" s="12" t="str">
        <f>IFERROR(IF(LoanIsNotPaid*LoanIsGood,InterestAmt,""), "")</f>
        <v/>
      </c>
      <c r="H105" s="12" t="str">
        <f>IFERROR(IF(LoanIsNotPaid*LoanIsGood,EndingBalance,""), "")</f>
        <v/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55" priority="4" stopIfTrue="1">
      <formula>NOT(LoanIsNotPaid)</formula>
    </cfRule>
    <cfRule type="expression" dxfId="54" priority="5" stopIfTrue="1">
      <formula>IF(ROW(B10)=LastRow,TRUE,FALSE)</formula>
    </cfRule>
  </conditionalFormatting>
  <conditionalFormatting sqref="B10:H369">
    <cfRule type="expression" dxfId="53" priority="1">
      <formula>$B10=""</formula>
    </cfRule>
  </conditionalFormatting>
  <conditionalFormatting sqref="C10:G369">
    <cfRule type="expression" dxfId="52" priority="2" stopIfTrue="1">
      <formula>NOT(LoanIsNotPaid)</formula>
    </cfRule>
    <cfRule type="expression" dxfId="51" priority="3" stopIfTrue="1">
      <formula>IF(ROW(C10)=LastRow,TRUE,FALSE)</formula>
    </cfRule>
  </conditionalFormatting>
  <conditionalFormatting sqref="H10:H369">
    <cfRule type="expression" dxfId="50" priority="6" stopIfTrue="1">
      <formula>NOT(LoanIsNotPaid)</formula>
    </cfRule>
    <cfRule type="expression" dxfId="49" priority="7" stopIfTrue="1">
      <formula>IF(ROW(H10)=LastRow,TRUE,FALSE)</formula>
    </cfRule>
  </conditionalFormatting>
  <dataValidations count="27">
    <dataValidation allowBlank="1" showInputMessage="1" showErrorMessage="1" prompt="Make a loan repayment schedule using this Loan Calculator worksheet. Total interest and total payments are automatically calculated" sqref="A1:A2" xr:uid="{7B4B7869-F0D3-430C-BBFF-FC76ED7430EA}"/>
    <dataValidation allowBlank="1" showInputMessage="1" showErrorMessage="1" prompt="Title of this worksheet is in this cell. Enter Loan Values in cells D3 through D6. Loan Summary in cells H3 through H6 and Loan table are automatically updated" sqref="B1:B2" xr:uid="{96704DA4-6BB3-4E4E-8CD8-7DA54D4E3189}"/>
    <dataValidation allowBlank="1" showInputMessage="1" showErrorMessage="1" prompt="Loan Summary is automatically updated in cells below" sqref="F3" xr:uid="{A578DB84-0885-41B1-9E63-D4FD6263AB8F}"/>
    <dataValidation allowBlank="1" showInputMessage="1" showErrorMessage="1" prompt="Enter Loan amount in this cell" sqref="D4" xr:uid="{2F9FF810-87CE-4437-9A34-B9B97E2D17E8}"/>
    <dataValidation allowBlank="1" showInputMessage="1" showErrorMessage="1" prompt="Enter Loan amount in cell at right" sqref="B4:C4" xr:uid="{7D93BDE4-FD92-4E1B-B8F9-357D58664B62}"/>
    <dataValidation allowBlank="1" showInputMessage="1" showErrorMessage="1" prompt="Enter Annual interest rate in this cell" sqref="D5" xr:uid="{65AA5625-DE0B-429F-8E04-12EAC53DCE3E}"/>
    <dataValidation allowBlank="1" showInputMessage="1" showErrorMessage="1" prompt="Enter Annual interest rate in cell at right" sqref="B5:C5" xr:uid="{9CBE2883-D6BA-4233-9980-46A08B31C177}"/>
    <dataValidation allowBlank="1" showInputMessage="1" showErrorMessage="1" prompt="Enter Loan period in years in this cell" sqref="D6" xr:uid="{7D09FB27-A887-4918-A79F-DEE4096183B2}"/>
    <dataValidation allowBlank="1" showInputMessage="1" showErrorMessage="1" prompt="Enter Loan period in years in cell at right" sqref="B6:C6" xr:uid="{2974D0A3-F227-4C0E-9D18-82988917B5DC}"/>
    <dataValidation allowBlank="1" showInputMessage="1" showErrorMessage="1" prompt="Enter Start date of loan in this cell" sqref="D7" xr:uid="{54B3BE6C-CC52-4EFC-A6C5-208CE2B4DC85}"/>
    <dataValidation allowBlank="1" showInputMessage="1" showErrorMessage="1" prompt="Enter Start date of loan in cell at right" sqref="B7:C7" xr:uid="{3F7CC146-8430-43B3-B290-1686743DA05B}"/>
    <dataValidation allowBlank="1" showInputMessage="1" showErrorMessage="1" prompt="Monthly payment is automatically calculated in this cell" sqref="H4" xr:uid="{7FEFB894-94D6-4900-B14A-BDFB7A92D5C8}"/>
    <dataValidation allowBlank="1" showInputMessage="1" showErrorMessage="1" prompt="Monthly payment is automatically calculated in cell at right" sqref="F4:G4" xr:uid="{BC675E7D-7A6A-465E-8DEA-E4865B933C71}"/>
    <dataValidation allowBlank="1" showInputMessage="1" showErrorMessage="1" prompt="Number of payments is automatically calculated in cell at right" sqref="F5:G5" xr:uid="{4A9CB382-B7AB-4BB1-BB99-82F86119A285}"/>
    <dataValidation allowBlank="1" showInputMessage="1" showErrorMessage="1" prompt="Total interest is automatically calculated in cell at right" sqref="F6:G6" xr:uid="{EAEFA0A3-AB22-4C23-9D19-88073BDB8BD9}"/>
    <dataValidation allowBlank="1" showInputMessage="1" showErrorMessage="1" prompt="Total cost of loan is automatically calculated in cell at right" sqref="F7:G7" xr:uid="{062E89EC-C48C-46C1-A396-1FAD2A5621C4}"/>
    <dataValidation allowBlank="1" showInputMessage="1" showErrorMessage="1" prompt="Total cost of loan is automatically calculated in this cell" sqref="H7" xr:uid="{DCF0C649-61D7-4047-99E0-E3E1C6DE0452}"/>
    <dataValidation allowBlank="1" showInputMessage="1" showErrorMessage="1" prompt="Total interest is automatically calculated in this cell" sqref="H6" xr:uid="{E4857BB3-ACDF-495F-A023-EA40E7E18D36}"/>
    <dataValidation allowBlank="1" showInputMessage="1" showErrorMessage="1" prompt="Number of payments is automatically calculated in this cell" sqref="H5" xr:uid="{FB0139EE-ABEB-4FCD-A451-431EB541FD98}"/>
    <dataValidation allowBlank="1" showInputMessage="1" showErrorMessage="1" prompt="Payment Number is automatically updated in this column under this heading" sqref="B9" xr:uid="{03A07A36-F98C-4A05-9C08-CAF24270DE8D}"/>
    <dataValidation allowBlank="1" showInputMessage="1" showErrorMessage="1" prompt="Payment Date is automatically updated in this column under this heading" sqref="C9" xr:uid="{D3E50345-124A-4D57-8CCA-551B74533E66}"/>
    <dataValidation allowBlank="1" showInputMessage="1" showErrorMessage="1" prompt="Beginning Balance is automatically calculated in this column under this heading" sqref="D9" xr:uid="{B7D3C056-F77C-445D-86E6-2398DED92CC9}"/>
    <dataValidation allowBlank="1" showInputMessage="1" showErrorMessage="1" prompt="Payment amount is automatically calculated in this column under this heading" sqref="E9" xr:uid="{31AE60AD-3DDA-4990-92DB-0246E789DAC6}"/>
    <dataValidation allowBlank="1" showInputMessage="1" showErrorMessage="1" prompt="Principal amount is automatically updated in this column under this heading" sqref="F9" xr:uid="{37193B9A-EC53-4229-AEB0-88A94B8E8B38}"/>
    <dataValidation allowBlank="1" showInputMessage="1" showErrorMessage="1" prompt="Interest amount is automatically updated in this column under this heading" sqref="G9" xr:uid="{69B73223-A11B-4364-BEA8-BAF1DC12626B}"/>
    <dataValidation allowBlank="1" showInputMessage="1" showErrorMessage="1" prompt="Ending Balance is automatically updated in this column under this heading" sqref="H9" xr:uid="{422A40FC-FE81-4687-9C5B-1E2EF1A737D7}"/>
    <dataValidation allowBlank="1" showInputMessage="1" showErrorMessage="1" prompt="Enter Loan Values in cells D4 through D7 for each description in cells below. Loan Summary in cells H4 through H7 and Loan table are automatically updated" sqref="B3:D3" xr:uid="{127141BB-50E6-4E6F-BF70-DA54B48FAB65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3789-D729-493B-9212-498A814038A9}">
  <sheetPr>
    <tabColor theme="4"/>
    <pageSetUpPr fitToPage="1"/>
  </sheetPr>
  <dimension ref="B1:H369"/>
  <sheetViews>
    <sheetView showGridLines="0" zoomScale="80" zoomScaleNormal="80" workbookViewId="0">
      <pane ySplit="9" topLeftCell="A63" activePane="bottomLeft" state="frozenSplit"/>
      <selection activeCell="D40" sqref="D40"/>
      <selection pane="bottomLeft" activeCell="E66" sqref="E66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1744000</v>
      </c>
      <c r="E4"/>
      <c r="F4" s="43" t="s">
        <v>4</v>
      </c>
      <c r="G4" s="43"/>
      <c r="H4" s="13">
        <f>IFERROR(IF(LoanIsGood,MonthlyPayment,""), "")</f>
        <v>41948.765243010843</v>
      </c>
    </row>
    <row r="5" spans="2:8" ht="20.149999999999999" customHeight="1">
      <c r="B5" s="40" t="s">
        <v>1</v>
      </c>
      <c r="C5" s="40"/>
      <c r="D5" s="3">
        <v>0.155</v>
      </c>
      <c r="E5"/>
      <c r="F5" s="40" t="s">
        <v>5</v>
      </c>
      <c r="G5" s="40"/>
      <c r="H5" s="6">
        <v>60</v>
      </c>
    </row>
    <row r="6" spans="2:8" ht="20.149999999999999" customHeight="1">
      <c r="B6" s="40" t="s">
        <v>2</v>
      </c>
      <c r="C6" s="40"/>
      <c r="D6" s="4">
        <v>5</v>
      </c>
      <c r="E6"/>
      <c r="F6" s="40" t="s">
        <v>6</v>
      </c>
      <c r="G6" s="40"/>
      <c r="H6" s="14">
        <f>IFERROR(IF(LoanIsGood,TotalLoanCost-LoanAmount,""), "")</f>
        <v>772925.91458065063</v>
      </c>
    </row>
    <row r="7" spans="2:8" ht="20.149999999999999" customHeight="1">
      <c r="B7" s="40" t="s">
        <v>3</v>
      </c>
      <c r="C7" s="40"/>
      <c r="D7" s="5">
        <v>43954</v>
      </c>
      <c r="E7"/>
      <c r="F7" s="40" t="s">
        <v>7</v>
      </c>
      <c r="G7" s="40"/>
      <c r="H7" s="14">
        <f>IFERROR(IF(LoanIsGood,MonthlyPayment*NumberOfPayments,""), "")</f>
        <v>2516925.9145806506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43985</v>
      </c>
      <c r="D10" s="12">
        <f>IFERROR(IF(LoanIsNotPaid*LoanIsGood,LoanValue,""), "")</f>
        <v>1744000</v>
      </c>
      <c r="E10" s="12">
        <f>IFERROR(IF(LoanIsNotPaid*LoanIsGood,MonthlyPayment,""), "")</f>
        <v>41948.765243010843</v>
      </c>
      <c r="F10" s="12">
        <f>IFERROR(IF(LoanIsNotPaid*LoanIsGood,Principal,""), "")</f>
        <v>19422.098576344171</v>
      </c>
      <c r="G10" s="12">
        <f>IFERROR(IF(LoanIsNotPaid*LoanIsGood,InterestAmt,""), "")</f>
        <v>22526.666666666668</v>
      </c>
      <c r="H10" s="12">
        <f>IFERROR(IF(LoanIsNotPaid*LoanIsGood,EndingBalance,""), "")</f>
        <v>1724577.9014236559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44015</v>
      </c>
      <c r="D11" s="12">
        <f>IFERROR(IF(LoanIsNotPaid*LoanIsGood,LoanValue,""), "")</f>
        <v>1724577.9014236559</v>
      </c>
      <c r="E11" s="12">
        <f>IFERROR(IF(LoanIsNotPaid*LoanIsGood,MonthlyPayment,""), "")</f>
        <v>41948.765243010843</v>
      </c>
      <c r="F11" s="12">
        <f>IFERROR(IF(LoanIsNotPaid*LoanIsGood,Principal,""), "")</f>
        <v>19672.967349621948</v>
      </c>
      <c r="G11" s="12">
        <f>IFERROR(IF(LoanIsNotPaid*LoanIsGood,InterestAmt,""), "")</f>
        <v>22275.797893388892</v>
      </c>
      <c r="H11" s="12">
        <f>IFERROR(IF(LoanIsNotPaid*LoanIsGood,EndingBalance,""), "")</f>
        <v>1704904.934074034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44046</v>
      </c>
      <c r="D12" s="12">
        <f>IFERROR(IF(LoanIsNotPaid*LoanIsGood,LoanValue,""), "")</f>
        <v>1704904.934074034</v>
      </c>
      <c r="E12" s="12">
        <f>IFERROR(IF(LoanIsNotPaid*LoanIsGood,MonthlyPayment,""), "")</f>
        <v>41948.765243010843</v>
      </c>
      <c r="F12" s="12">
        <f>IFERROR(IF(LoanIsNotPaid*LoanIsGood,Principal,""), "")</f>
        <v>19927.076511221236</v>
      </c>
      <c r="G12" s="12">
        <f>IFERROR(IF(LoanIsNotPaid*LoanIsGood,InterestAmt,""), "")</f>
        <v>22021.688731789607</v>
      </c>
      <c r="H12" s="12">
        <f>IFERROR(IF(LoanIsNotPaid*LoanIsGood,EndingBalance,""), "")</f>
        <v>1684977.8575628125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44077</v>
      </c>
      <c r="D13" s="12">
        <f>IFERROR(IF(LoanIsNotPaid*LoanIsGood,LoanValue,""), "")</f>
        <v>1684977.8575628125</v>
      </c>
      <c r="E13" s="12">
        <f>IFERROR(IF(LoanIsNotPaid*LoanIsGood,MonthlyPayment,""), "")</f>
        <v>41948.765243010843</v>
      </c>
      <c r="F13" s="12">
        <f>IFERROR(IF(LoanIsNotPaid*LoanIsGood,Principal,""), "")</f>
        <v>20184.467916157839</v>
      </c>
      <c r="G13" s="12">
        <f>IFERROR(IF(LoanIsNotPaid*LoanIsGood,InterestAmt,""), "")</f>
        <v>21764.297326852997</v>
      </c>
      <c r="H13" s="12">
        <f>IFERROR(IF(LoanIsNotPaid*LoanIsGood,EndingBalance,""), "")</f>
        <v>1664793.3896466549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44107</v>
      </c>
      <c r="D14" s="12">
        <f>IFERROR(IF(LoanIsNotPaid*LoanIsGood,LoanValue,""), "")</f>
        <v>1664793.3896466549</v>
      </c>
      <c r="E14" s="12">
        <f>IFERROR(IF(LoanIsNotPaid*LoanIsGood,MonthlyPayment,""), "")</f>
        <v>41948.765243010843</v>
      </c>
      <c r="F14" s="12">
        <f>IFERROR(IF(LoanIsNotPaid*LoanIsGood,Principal,""), "")</f>
        <v>20445.183960074879</v>
      </c>
      <c r="G14" s="12">
        <f>IFERROR(IF(LoanIsNotPaid*LoanIsGood,InterestAmt,""), "")</f>
        <v>21503.58128293596</v>
      </c>
      <c r="H14" s="12">
        <f>IFERROR(IF(LoanIsNotPaid*LoanIsGood,EndingBalance,""), "")</f>
        <v>1644348.2056865802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44138</v>
      </c>
      <c r="D15" s="12">
        <f>IFERROR(IF(LoanIsNotPaid*LoanIsGood,LoanValue,""), "")</f>
        <v>1644348.2056865802</v>
      </c>
      <c r="E15" s="12">
        <f>IFERROR(IF(LoanIsNotPaid*LoanIsGood,MonthlyPayment,""), "")</f>
        <v>41948.765243010843</v>
      </c>
      <c r="F15" s="12">
        <f>IFERROR(IF(LoanIsNotPaid*LoanIsGood,Principal,""), "")</f>
        <v>20709.267586225847</v>
      </c>
      <c r="G15" s="12">
        <f>IFERROR(IF(LoanIsNotPaid*LoanIsGood,InterestAmt,""), "")</f>
        <v>21239.497656784992</v>
      </c>
      <c r="H15" s="12">
        <f>IFERROR(IF(LoanIsNotPaid*LoanIsGood,EndingBalance,""), "")</f>
        <v>1623638.9381003543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44168</v>
      </c>
      <c r="D16" s="12">
        <f>IFERROR(IF(LoanIsNotPaid*LoanIsGood,LoanValue,""), "")</f>
        <v>1623638.9381003543</v>
      </c>
      <c r="E16" s="12">
        <f>IFERROR(IF(LoanIsNotPaid*LoanIsGood,MonthlyPayment,""), "")</f>
        <v>41948.765243010843</v>
      </c>
      <c r="F16" s="12">
        <f>IFERROR(IF(LoanIsNotPaid*LoanIsGood,Principal,""), "")</f>
        <v>20976.76229254793</v>
      </c>
      <c r="G16" s="12">
        <f>IFERROR(IF(LoanIsNotPaid*LoanIsGood,InterestAmt,""), "")</f>
        <v>20972.002950462909</v>
      </c>
      <c r="H16" s="12">
        <f>IFERROR(IF(LoanIsNotPaid*LoanIsGood,EndingBalance,""), "")</f>
        <v>1602662.1758078062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44199</v>
      </c>
      <c r="D17" s="12">
        <f>IFERROR(IF(LoanIsNotPaid*LoanIsGood,LoanValue,""), "")</f>
        <v>1602662.1758078062</v>
      </c>
      <c r="E17" s="12">
        <f>IFERROR(IF(LoanIsNotPaid*LoanIsGood,MonthlyPayment,""), "")</f>
        <v>41948.765243010843</v>
      </c>
      <c r="F17" s="12">
        <f>IFERROR(IF(LoanIsNotPaid*LoanIsGood,Principal,""), "")</f>
        <v>21247.712138826675</v>
      </c>
      <c r="G17" s="12">
        <f>IFERROR(IF(LoanIsNotPaid*LoanIsGood,InterestAmt,""), "")</f>
        <v>20701.053104184164</v>
      </c>
      <c r="H17" s="12">
        <f>IFERROR(IF(LoanIsNotPaid*LoanIsGood,EndingBalance,""), "")</f>
        <v>1581414.4636689795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44230</v>
      </c>
      <c r="D18" s="12">
        <f>IFERROR(IF(LoanIsNotPaid*LoanIsGood,LoanValue,""), "")</f>
        <v>1581414.4636689795</v>
      </c>
      <c r="E18" s="12">
        <f>IFERROR(IF(LoanIsNotPaid*LoanIsGood,MonthlyPayment,""), "")</f>
        <v>41948.765243010843</v>
      </c>
      <c r="F18" s="12">
        <f>IFERROR(IF(LoanIsNotPaid*LoanIsGood,Principal,""), "")</f>
        <v>21522.161753953187</v>
      </c>
      <c r="G18" s="12">
        <f>IFERROR(IF(LoanIsNotPaid*LoanIsGood,InterestAmt,""), "")</f>
        <v>20426.603489057656</v>
      </c>
      <c r="H18" s="12">
        <f>IFERROR(IF(LoanIsNotPaid*LoanIsGood,EndingBalance,""), "")</f>
        <v>1559892.3019150263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44258</v>
      </c>
      <c r="D19" s="12">
        <f>IFERROR(IF(LoanIsNotPaid*LoanIsGood,LoanValue,""), "")</f>
        <v>1559892.3019150263</v>
      </c>
      <c r="E19" s="12">
        <f>IFERROR(IF(LoanIsNotPaid*LoanIsGood,MonthlyPayment,""), "")</f>
        <v>41948.765243010843</v>
      </c>
      <c r="F19" s="12">
        <f>IFERROR(IF(LoanIsNotPaid*LoanIsGood,Principal,""), "")</f>
        <v>21800.156343275081</v>
      </c>
      <c r="G19" s="12">
        <f>IFERROR(IF(LoanIsNotPaid*LoanIsGood,InterestAmt,""), "")</f>
        <v>20148.608899735758</v>
      </c>
      <c r="H19" s="12">
        <f>IFERROR(IF(LoanIsNotPaid*LoanIsGood,EndingBalance,""), "")</f>
        <v>1538092.1455717513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44289</v>
      </c>
      <c r="D20" s="12">
        <f>IFERROR(IF(LoanIsNotPaid*LoanIsGood,LoanValue,""), "")</f>
        <v>1538092.1455717513</v>
      </c>
      <c r="E20" s="12">
        <f>IFERROR(IF(LoanIsNotPaid*LoanIsGood,MonthlyPayment,""), "")</f>
        <v>41948.765243010843</v>
      </c>
      <c r="F20" s="12">
        <f>IFERROR(IF(LoanIsNotPaid*LoanIsGood,Principal,""), "")</f>
        <v>22081.741696042387</v>
      </c>
      <c r="G20" s="12">
        <f>IFERROR(IF(LoanIsNotPaid*LoanIsGood,InterestAmt,""), "")</f>
        <v>19867.023546968456</v>
      </c>
      <c r="H20" s="12">
        <f>IFERROR(IF(LoanIsNotPaid*LoanIsGood,EndingBalance,""), "")</f>
        <v>1516010.4038757086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44319</v>
      </c>
      <c r="D21" s="12">
        <f>IFERROR(IF(LoanIsNotPaid*LoanIsGood,LoanValue,""), "")</f>
        <v>1516010.4038757086</v>
      </c>
      <c r="E21" s="12">
        <f>IFERROR(IF(LoanIsNotPaid*LoanIsGood,MonthlyPayment,""), "")</f>
        <v>41948.765243010843</v>
      </c>
      <c r="F21" s="12">
        <f>IFERROR(IF(LoanIsNotPaid*LoanIsGood,Principal,""), "")</f>
        <v>22366.964192949599</v>
      </c>
      <c r="G21" s="12">
        <f>IFERROR(IF(LoanIsNotPaid*LoanIsGood,InterestAmt,""), "")</f>
        <v>19581.801050061244</v>
      </c>
      <c r="H21" s="12">
        <f>IFERROR(IF(LoanIsNotPaid*LoanIsGood,EndingBalance,""), "")</f>
        <v>1493643.4396827593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44350</v>
      </c>
      <c r="D22" s="12">
        <f>IFERROR(IF(LoanIsNotPaid*LoanIsGood,LoanValue,""), "")</f>
        <v>1493643.4396827593</v>
      </c>
      <c r="E22" s="12">
        <f>IFERROR(IF(LoanIsNotPaid*LoanIsGood,MonthlyPayment,""), "")</f>
        <v>41948.765243010843</v>
      </c>
      <c r="F22" s="12">
        <f>IFERROR(IF(LoanIsNotPaid*LoanIsGood,Principal,""), "")</f>
        <v>22655.8708137752</v>
      </c>
      <c r="G22" s="12">
        <f>IFERROR(IF(LoanIsNotPaid*LoanIsGood,InterestAmt,""), "")</f>
        <v>19292.894429235643</v>
      </c>
      <c r="H22" s="12">
        <f>IFERROR(IF(LoanIsNotPaid*LoanIsGood,EndingBalance,""), "")</f>
        <v>1470987.5688689842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44380</v>
      </c>
      <c r="D23" s="12">
        <f>IFERROR(IF(LoanIsNotPaid*LoanIsGood,LoanValue,""), "")</f>
        <v>1470987.5688689842</v>
      </c>
      <c r="E23" s="12">
        <f>IFERROR(IF(LoanIsNotPaid*LoanIsGood,MonthlyPayment,""), "")</f>
        <v>41948.765243010843</v>
      </c>
      <c r="F23" s="12">
        <f>IFERROR(IF(LoanIsNotPaid*LoanIsGood,Principal,""), "")</f>
        <v>22948.509145119791</v>
      </c>
      <c r="G23" s="12">
        <f>IFERROR(IF(LoanIsNotPaid*LoanIsGood,InterestAmt,""), "")</f>
        <v>19000.256097891048</v>
      </c>
      <c r="H23" s="12">
        <f>IFERROR(IF(LoanIsNotPaid*LoanIsGood,EndingBalance,""), "")</f>
        <v>1448039.0597238648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44411</v>
      </c>
      <c r="D24" s="12">
        <f>IFERROR(IF(LoanIsNotPaid*LoanIsGood,LoanValue,""), "")</f>
        <v>1448039.0597238648</v>
      </c>
      <c r="E24" s="12">
        <f>IFERROR(IF(LoanIsNotPaid*LoanIsGood,MonthlyPayment,""), "")</f>
        <v>41948.765243010843</v>
      </c>
      <c r="F24" s="12">
        <f>IFERROR(IF(LoanIsNotPaid*LoanIsGood,Principal,""), "")</f>
        <v>23244.927388244261</v>
      </c>
      <c r="G24" s="12">
        <f>IFERROR(IF(LoanIsNotPaid*LoanIsGood,InterestAmt,""), "")</f>
        <v>18703.837854766582</v>
      </c>
      <c r="H24" s="12">
        <f>IFERROR(IF(LoanIsNotPaid*LoanIsGood,EndingBalance,""), "")</f>
        <v>1424794.13233562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44442</v>
      </c>
      <c r="D25" s="12">
        <f>IFERROR(IF(LoanIsNotPaid*LoanIsGood,LoanValue,""), "")</f>
        <v>1424794.13233562</v>
      </c>
      <c r="E25" s="12">
        <f>IFERROR(IF(LoanIsNotPaid*LoanIsGood,MonthlyPayment,""), "")</f>
        <v>41948.765243010843</v>
      </c>
      <c r="F25" s="12">
        <f>IFERROR(IF(LoanIsNotPaid*LoanIsGood,Principal,""), "")</f>
        <v>23545.174367009084</v>
      </c>
      <c r="G25" s="12">
        <f>IFERROR(IF(LoanIsNotPaid*LoanIsGood,InterestAmt,""), "")</f>
        <v>18403.590876001756</v>
      </c>
      <c r="H25" s="12">
        <f>IFERROR(IF(LoanIsNotPaid*LoanIsGood,EndingBalance,""), "")</f>
        <v>1401248.9579686113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44472</v>
      </c>
      <c r="D26" s="12">
        <f>IFERROR(IF(LoanIsNotPaid*LoanIsGood,LoanValue,""), "")</f>
        <v>1401248.9579686113</v>
      </c>
      <c r="E26" s="12">
        <f>IFERROR(IF(LoanIsNotPaid*LoanIsGood,MonthlyPayment,""), "")</f>
        <v>41948.765243010843</v>
      </c>
      <c r="F26" s="12">
        <f>IFERROR(IF(LoanIsNotPaid*LoanIsGood,Principal,""), "")</f>
        <v>23849.299535916285</v>
      </c>
      <c r="G26" s="12">
        <f>IFERROR(IF(LoanIsNotPaid*LoanIsGood,InterestAmt,""), "")</f>
        <v>18099.465707094558</v>
      </c>
      <c r="H26" s="12">
        <f>IFERROR(IF(LoanIsNotPaid*LoanIsGood,EndingBalance,""), "")</f>
        <v>1377399.6584326951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44503</v>
      </c>
      <c r="D27" s="12">
        <f>IFERROR(IF(LoanIsNotPaid*LoanIsGood,LoanValue,""), "")</f>
        <v>1377399.6584326951</v>
      </c>
      <c r="E27" s="12">
        <f>IFERROR(IF(LoanIsNotPaid*LoanIsGood,MonthlyPayment,""), "")</f>
        <v>41948.765243010843</v>
      </c>
      <c r="F27" s="12">
        <f>IFERROR(IF(LoanIsNotPaid*LoanIsGood,Principal,""), "")</f>
        <v>24157.352988255199</v>
      </c>
      <c r="G27" s="12">
        <f>IFERROR(IF(LoanIsNotPaid*LoanIsGood,InterestAmt,""), "")</f>
        <v>17791.41225475564</v>
      </c>
      <c r="H27" s="12">
        <f>IFERROR(IF(LoanIsNotPaid*LoanIsGood,EndingBalance,""), "")</f>
        <v>1353242.3054444394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44533</v>
      </c>
      <c r="D28" s="12">
        <f>IFERROR(IF(LoanIsNotPaid*LoanIsGood,LoanValue,""), "")</f>
        <v>1353242.3054444394</v>
      </c>
      <c r="E28" s="12">
        <f>IFERROR(IF(LoanIsNotPaid*LoanIsGood,MonthlyPayment,""), "")</f>
        <v>41948.765243010843</v>
      </c>
      <c r="F28" s="12">
        <f>IFERROR(IF(LoanIsNotPaid*LoanIsGood,Principal,""), "")</f>
        <v>24469.385464353494</v>
      </c>
      <c r="G28" s="12">
        <f>IFERROR(IF(LoanIsNotPaid*LoanIsGood,InterestAmt,""), "")</f>
        <v>17479.379778657345</v>
      </c>
      <c r="H28" s="12">
        <f>IFERROR(IF(LoanIsNotPaid*LoanIsGood,EndingBalance,""), "")</f>
        <v>1328772.9199800862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44564</v>
      </c>
      <c r="D29" s="12">
        <f>IFERROR(IF(LoanIsNotPaid*LoanIsGood,LoanValue,""), "")</f>
        <v>1328772.9199800862</v>
      </c>
      <c r="E29" s="12">
        <f>IFERROR(IF(LoanIsNotPaid*LoanIsGood,MonthlyPayment,""), "")</f>
        <v>41948.765243010843</v>
      </c>
      <c r="F29" s="12">
        <f>IFERROR(IF(LoanIsNotPaid*LoanIsGood,Principal,""), "")</f>
        <v>24785.448359934726</v>
      </c>
      <c r="G29" s="12">
        <f>IFERROR(IF(LoanIsNotPaid*LoanIsGood,InterestAmt,""), "")</f>
        <v>17163.316883076113</v>
      </c>
      <c r="H29" s="12">
        <f>IFERROR(IF(LoanIsNotPaid*LoanIsGood,EndingBalance,""), "")</f>
        <v>1303987.4716201513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44595</v>
      </c>
      <c r="D30" s="12">
        <f>IFERROR(IF(LoanIsNotPaid*LoanIsGood,LoanValue,""), "")</f>
        <v>1303987.4716201513</v>
      </c>
      <c r="E30" s="12">
        <f>IFERROR(IF(LoanIsNotPaid*LoanIsGood,MonthlyPayment,""), "")</f>
        <v>41948.765243010843</v>
      </c>
      <c r="F30" s="12">
        <f>IFERROR(IF(LoanIsNotPaid*LoanIsGood,Principal,""), "")</f>
        <v>25105.593734583883</v>
      </c>
      <c r="G30" s="12">
        <f>IFERROR(IF(LoanIsNotPaid*LoanIsGood,InterestAmt,""), "")</f>
        <v>16843.171508426956</v>
      </c>
      <c r="H30" s="12">
        <f>IFERROR(IF(LoanIsNotPaid*LoanIsGood,EndingBalance,""), "")</f>
        <v>1278881.8778855675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44623</v>
      </c>
      <c r="D31" s="12">
        <f>IFERROR(IF(LoanIsNotPaid*LoanIsGood,LoanValue,""), "")</f>
        <v>1278881.8778855675</v>
      </c>
      <c r="E31" s="12">
        <f>IFERROR(IF(LoanIsNotPaid*LoanIsGood,MonthlyPayment,""), "")</f>
        <v>41948.765243010843</v>
      </c>
      <c r="F31" s="12">
        <f>IFERROR(IF(LoanIsNotPaid*LoanIsGood,Principal,""), "")</f>
        <v>25429.874320322258</v>
      </c>
      <c r="G31" s="12">
        <f>IFERROR(IF(LoanIsNotPaid*LoanIsGood,InterestAmt,""), "")</f>
        <v>16518.890922688581</v>
      </c>
      <c r="H31" s="12">
        <f>IFERROR(IF(LoanIsNotPaid*LoanIsGood,EndingBalance,""), "")</f>
        <v>1253452.0035652458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44654</v>
      </c>
      <c r="D32" s="12">
        <f>IFERROR(IF(LoanIsNotPaid*LoanIsGood,LoanValue,""), "")</f>
        <v>1253452.0035652458</v>
      </c>
      <c r="E32" s="12">
        <f>IFERROR(IF(LoanIsNotPaid*LoanIsGood,MonthlyPayment,""), "")</f>
        <v>41948.765243010843</v>
      </c>
      <c r="F32" s="12">
        <f>IFERROR(IF(LoanIsNotPaid*LoanIsGood,Principal,""), "")</f>
        <v>25758.343530293088</v>
      </c>
      <c r="G32" s="12">
        <f>IFERROR(IF(LoanIsNotPaid*LoanIsGood,InterestAmt,""), "")</f>
        <v>16190.421712717749</v>
      </c>
      <c r="H32" s="12">
        <f>IFERROR(IF(LoanIsNotPaid*LoanIsGood,EndingBalance,""), "")</f>
        <v>1227693.6600349522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44684</v>
      </c>
      <c r="D33" s="12">
        <f>IFERROR(IF(LoanIsNotPaid*LoanIsGood,LoanValue,""), "")</f>
        <v>1227693.6600349522</v>
      </c>
      <c r="E33" s="12">
        <f>IFERROR(IF(LoanIsNotPaid*LoanIsGood,MonthlyPayment,""), "")</f>
        <v>41948.765243010843</v>
      </c>
      <c r="F33" s="12">
        <f>IFERROR(IF(LoanIsNotPaid*LoanIsGood,Principal,""), "")</f>
        <v>26091.055467559374</v>
      </c>
      <c r="G33" s="12">
        <f>IFERROR(IF(LoanIsNotPaid*LoanIsGood,InterestAmt,""), "")</f>
        <v>15857.709775451465</v>
      </c>
      <c r="H33" s="12">
        <f>IFERROR(IF(LoanIsNotPaid*LoanIsGood,EndingBalance,""), "")</f>
        <v>1201602.604567393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44715</v>
      </c>
      <c r="D34" s="12">
        <f>IFERROR(IF(LoanIsNotPaid*LoanIsGood,LoanValue,""), "")</f>
        <v>1201602.604567393</v>
      </c>
      <c r="E34" s="12">
        <f>IFERROR(IF(LoanIsNotPaid*LoanIsGood,MonthlyPayment,""), "")</f>
        <v>41948.765243010843</v>
      </c>
      <c r="F34" s="12">
        <f>IFERROR(IF(LoanIsNotPaid*LoanIsGood,Principal,""), "")</f>
        <v>26428.064934015347</v>
      </c>
      <c r="G34" s="12">
        <f>IFERROR(IF(LoanIsNotPaid*LoanIsGood,InterestAmt,""), "")</f>
        <v>15520.700308995489</v>
      </c>
      <c r="H34" s="12">
        <f>IFERROR(IF(LoanIsNotPaid*LoanIsGood,EndingBalance,""), "")</f>
        <v>1175174.539633377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44745</v>
      </c>
      <c r="D35" s="12">
        <f>IFERROR(IF(LoanIsNotPaid*LoanIsGood,LoanValue,""), "")</f>
        <v>1175174.539633377</v>
      </c>
      <c r="E35" s="12">
        <f>IFERROR(IF(LoanIsNotPaid*LoanIsGood,MonthlyPayment,""), "")</f>
        <v>41948.765243010843</v>
      </c>
      <c r="F35" s="12">
        <f>IFERROR(IF(LoanIsNotPaid*LoanIsGood,Principal,""), "")</f>
        <v>26769.427439413048</v>
      </c>
      <c r="G35" s="12">
        <f>IFERROR(IF(LoanIsNotPaid*LoanIsGood,InterestAmt,""), "")</f>
        <v>15179.337803597791</v>
      </c>
      <c r="H35" s="12">
        <f>IFERROR(IF(LoanIsNotPaid*LoanIsGood,EndingBalance,""), "")</f>
        <v>1148405.1121939644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44776</v>
      </c>
      <c r="D36" s="12">
        <f>IFERROR(IF(LoanIsNotPaid*LoanIsGood,LoanValue,""), "")</f>
        <v>1148405.1121939644</v>
      </c>
      <c r="E36" s="12">
        <f>IFERROR(IF(LoanIsNotPaid*LoanIsGood,MonthlyPayment,""), "")</f>
        <v>41948.765243010843</v>
      </c>
      <c r="F36" s="12">
        <f>IFERROR(IF(LoanIsNotPaid*LoanIsGood,Principal,""), "")</f>
        <v>27115.199210505467</v>
      </c>
      <c r="G36" s="12">
        <f>IFERROR(IF(LoanIsNotPaid*LoanIsGood,InterestAmt,""), "")</f>
        <v>14833.566032505374</v>
      </c>
      <c r="H36" s="12">
        <f>IFERROR(IF(LoanIsNotPaid*LoanIsGood,EndingBalance,""), "")</f>
        <v>1121289.9129834585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44807</v>
      </c>
      <c r="D37" s="12">
        <f>IFERROR(IF(LoanIsNotPaid*LoanIsGood,LoanValue,""), "")</f>
        <v>1121289.9129834585</v>
      </c>
      <c r="E37" s="12">
        <f>IFERROR(IF(LoanIsNotPaid*LoanIsGood,MonthlyPayment,""), "")</f>
        <v>41948.765243010843</v>
      </c>
      <c r="F37" s="12">
        <f>IFERROR(IF(LoanIsNotPaid*LoanIsGood,Principal,""), "")</f>
        <v>27465.437200307828</v>
      </c>
      <c r="G37" s="12">
        <f>IFERROR(IF(LoanIsNotPaid*LoanIsGood,InterestAmt,""), "")</f>
        <v>14483.328042703008</v>
      </c>
      <c r="H37" s="12">
        <f>IFERROR(IF(LoanIsNotPaid*LoanIsGood,EndingBalance,""), "")</f>
        <v>1093824.4757831509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44837</v>
      </c>
      <c r="D38" s="12">
        <f>IFERROR(IF(LoanIsNotPaid*LoanIsGood,LoanValue,""), "")</f>
        <v>1093824.4757831509</v>
      </c>
      <c r="E38" s="12">
        <f>IFERROR(IF(LoanIsNotPaid*LoanIsGood,MonthlyPayment,""), "")</f>
        <v>41948.765243010843</v>
      </c>
      <c r="F38" s="12">
        <f>IFERROR(IF(LoanIsNotPaid*LoanIsGood,Principal,""), "")</f>
        <v>27820.199097478471</v>
      </c>
      <c r="G38" s="12">
        <f>IFERROR(IF(LoanIsNotPaid*LoanIsGood,InterestAmt,""), "")</f>
        <v>14128.566145532368</v>
      </c>
      <c r="H38" s="12">
        <f>IFERROR(IF(LoanIsNotPaid*LoanIsGood,EndingBalance,""), "")</f>
        <v>1066004.276685673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44868</v>
      </c>
      <c r="D39" s="12">
        <f>IFERROR(IF(LoanIsNotPaid*LoanIsGood,LoanValue,""), "")</f>
        <v>1066004.276685673</v>
      </c>
      <c r="E39" s="12">
        <f>IFERROR(IF(LoanIsNotPaid*LoanIsGood,MonthlyPayment,""), "")</f>
        <v>41948.765243010843</v>
      </c>
      <c r="F39" s="12">
        <f>IFERROR(IF(LoanIsNotPaid*LoanIsGood,Principal,""), "")</f>
        <v>28179.543335820901</v>
      </c>
      <c r="G39" s="12">
        <f>IFERROR(IF(LoanIsNotPaid*LoanIsGood,InterestAmt,""), "")</f>
        <v>13769.221907189938</v>
      </c>
      <c r="H39" s="12">
        <f>IFERROR(IF(LoanIsNotPaid*LoanIsGood,EndingBalance,""), "")</f>
        <v>1037824.7333498518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44898</v>
      </c>
      <c r="D40" s="12">
        <f>IFERROR(IF(LoanIsNotPaid*LoanIsGood,LoanValue,""), "")</f>
        <v>1037824.7333498518</v>
      </c>
      <c r="E40" s="12">
        <f>IFERROR(IF(LoanIsNotPaid*LoanIsGood,MonthlyPayment,""), "")</f>
        <v>41948.765243010843</v>
      </c>
      <c r="F40" s="12">
        <f>IFERROR(IF(LoanIsNotPaid*LoanIsGood,Principal,""), "")</f>
        <v>28543.529103908593</v>
      </c>
      <c r="G40" s="12">
        <f>IFERROR(IF(LoanIsNotPaid*LoanIsGood,InterestAmt,""), "")</f>
        <v>13405.236139102251</v>
      </c>
      <c r="H40" s="12">
        <f>IFERROR(IF(LoanIsNotPaid*LoanIsGood,EndingBalance,""), "")</f>
        <v>1009281.2042459429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44929</v>
      </c>
      <c r="D41" s="12">
        <f>IFERROR(IF(LoanIsNotPaid*LoanIsGood,LoanValue,""), "")</f>
        <v>1009281.2042459429</v>
      </c>
      <c r="E41" s="12">
        <f>IFERROR(IF(LoanIsNotPaid*LoanIsGood,MonthlyPayment,""), "")</f>
        <v>41948.765243010843</v>
      </c>
      <c r="F41" s="12">
        <f>IFERROR(IF(LoanIsNotPaid*LoanIsGood,Principal,""), "")</f>
        <v>28912.216354834076</v>
      </c>
      <c r="G41" s="12">
        <f>IFERROR(IF(LoanIsNotPaid*LoanIsGood,InterestAmt,""), "")</f>
        <v>13036.548888176765</v>
      </c>
      <c r="H41" s="12">
        <f>IFERROR(IF(LoanIsNotPaid*LoanIsGood,EndingBalance,""), "")</f>
        <v>980368.98789110943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44960</v>
      </c>
      <c r="D42" s="12">
        <f>IFERROR(IF(LoanIsNotPaid*LoanIsGood,LoanValue,""), "")</f>
        <v>980368.98789110943</v>
      </c>
      <c r="E42" s="12">
        <f>IFERROR(IF(LoanIsNotPaid*LoanIsGood,MonthlyPayment,""), "")</f>
        <v>41948.765243010843</v>
      </c>
      <c r="F42" s="12">
        <f>IFERROR(IF(LoanIsNotPaid*LoanIsGood,Principal,""), "")</f>
        <v>29285.66581608402</v>
      </c>
      <c r="G42" s="12">
        <f>IFERROR(IF(LoanIsNotPaid*LoanIsGood,InterestAmt,""), "")</f>
        <v>12663.099426926825</v>
      </c>
      <c r="H42" s="12">
        <f>IFERROR(IF(LoanIsNotPaid*LoanIsGood,EndingBalance,""), "")</f>
        <v>951083.32207502495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44988</v>
      </c>
      <c r="D43" s="12">
        <f>IFERROR(IF(LoanIsNotPaid*LoanIsGood,LoanValue,""), "")</f>
        <v>951083.32207502495</v>
      </c>
      <c r="E43" s="12">
        <f>IFERROR(IF(LoanIsNotPaid*LoanIsGood,MonthlyPayment,""), "")</f>
        <v>41948.765243010843</v>
      </c>
      <c r="F43" s="12">
        <f>IFERROR(IF(LoanIsNotPaid*LoanIsGood,Principal,""), "")</f>
        <v>29663.938999541766</v>
      </c>
      <c r="G43" s="12">
        <f>IFERROR(IF(LoanIsNotPaid*LoanIsGood,InterestAmt,""), "")</f>
        <v>12284.826243469071</v>
      </c>
      <c r="H43" s="12">
        <f>IFERROR(IF(LoanIsNotPaid*LoanIsGood,EndingBalance,""), "")</f>
        <v>921419.38307548361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45019</v>
      </c>
      <c r="D44" s="12">
        <f>IFERROR(IF(LoanIsNotPaid*LoanIsGood,LoanValue,""), "")</f>
        <v>921419.38307548361</v>
      </c>
      <c r="E44" s="12">
        <f>IFERROR(IF(LoanIsNotPaid*LoanIsGood,MonthlyPayment,""), "")</f>
        <v>41948.765243010843</v>
      </c>
      <c r="F44" s="12">
        <f>IFERROR(IF(LoanIsNotPaid*LoanIsGood,Principal,""), "")</f>
        <v>30047.098211619184</v>
      </c>
      <c r="G44" s="12">
        <f>IFERROR(IF(LoanIsNotPaid*LoanIsGood,InterestAmt,""), "")</f>
        <v>11901.66703139166</v>
      </c>
      <c r="H44" s="12">
        <f>IFERROR(IF(LoanIsNotPaid*LoanIsGood,EndingBalance,""), "")</f>
        <v>891372.2848638643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45049</v>
      </c>
      <c r="D45" s="12">
        <f>IFERROR(IF(LoanIsNotPaid*LoanIsGood,LoanValue,""), "")</f>
        <v>891372.2848638643</v>
      </c>
      <c r="E45" s="12">
        <f>IFERROR(IF(LoanIsNotPaid*LoanIsGood,MonthlyPayment,""), "")</f>
        <v>41948.765243010843</v>
      </c>
      <c r="F45" s="12">
        <f>IFERROR(IF(LoanIsNotPaid*LoanIsGood,Principal,""), "")</f>
        <v>30435.20656351927</v>
      </c>
      <c r="G45" s="12">
        <f>IFERROR(IF(LoanIsNotPaid*LoanIsGood,InterestAmt,""), "")</f>
        <v>11513.558679491576</v>
      </c>
      <c r="H45" s="12">
        <f>IFERROR(IF(LoanIsNotPaid*LoanIsGood,EndingBalance,""), "")</f>
        <v>860937.07830034499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45080</v>
      </c>
      <c r="D46" s="12">
        <f>IFERROR(IF(LoanIsNotPaid*LoanIsGood,LoanValue,""), "")</f>
        <v>860937.07830034499</v>
      </c>
      <c r="E46" s="12">
        <f>IFERROR(IF(LoanIsNotPaid*LoanIsGood,MonthlyPayment,""), "")</f>
        <v>41948.765243010843</v>
      </c>
      <c r="F46" s="12">
        <f>IFERROR(IF(LoanIsNotPaid*LoanIsGood,Principal,""), "")</f>
        <v>30828.327981631388</v>
      </c>
      <c r="G46" s="12">
        <f>IFERROR(IF(LoanIsNotPaid*LoanIsGood,InterestAmt,""), "")</f>
        <v>11120.437261379453</v>
      </c>
      <c r="H46" s="12">
        <f>IFERROR(IF(LoanIsNotPaid*LoanIsGood,EndingBalance,""), "")</f>
        <v>830108.75031871395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45110</v>
      </c>
      <c r="D47" s="12">
        <f>IFERROR(IF(LoanIsNotPaid*LoanIsGood,LoanValue,""), "")</f>
        <v>830108.75031871395</v>
      </c>
      <c r="E47" s="12">
        <f>IFERROR(IF(LoanIsNotPaid*LoanIsGood,MonthlyPayment,""), "")</f>
        <v>41948.765243010843</v>
      </c>
      <c r="F47" s="12">
        <f>IFERROR(IF(LoanIsNotPaid*LoanIsGood,Principal,""), "")</f>
        <v>31226.52721806079</v>
      </c>
      <c r="G47" s="12">
        <f>IFERROR(IF(LoanIsNotPaid*LoanIsGood,InterestAmt,""), "")</f>
        <v>10722.238024950047</v>
      </c>
      <c r="H47" s="12">
        <f>IFERROR(IF(LoanIsNotPaid*LoanIsGood,EndingBalance,""), "")</f>
        <v>798882.22310065315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45141</v>
      </c>
      <c r="D48" s="12">
        <f>IFERROR(IF(LoanIsNotPaid*LoanIsGood,LoanValue,""), "")</f>
        <v>798882.22310065315</v>
      </c>
      <c r="E48" s="12">
        <f>IFERROR(IF(LoanIsNotPaid*LoanIsGood,MonthlyPayment,""), "")</f>
        <v>41948.765243010843</v>
      </c>
      <c r="F48" s="12">
        <f>IFERROR(IF(LoanIsNotPaid*LoanIsGood,Principal,""), "")</f>
        <v>31629.869861294079</v>
      </c>
      <c r="G48" s="12">
        <f>IFERROR(IF(LoanIsNotPaid*LoanIsGood,InterestAmt,""), "")</f>
        <v>10318.89538171676</v>
      </c>
      <c r="H48" s="12">
        <f>IFERROR(IF(LoanIsNotPaid*LoanIsGood,EndingBalance,""), "")</f>
        <v>767252.35323935887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45172</v>
      </c>
      <c r="D49" s="12">
        <f>IFERROR(IF(LoanIsNotPaid*LoanIsGood,LoanValue,""), "")</f>
        <v>767252.35323935887</v>
      </c>
      <c r="E49" s="12">
        <f>IFERROR(IF(LoanIsNotPaid*LoanIsGood,MonthlyPayment,""), "")</f>
        <v>41948.765243010843</v>
      </c>
      <c r="F49" s="12">
        <f>IFERROR(IF(LoanIsNotPaid*LoanIsGood,Principal,""), "")</f>
        <v>32038.422347002463</v>
      </c>
      <c r="G49" s="12">
        <f>IFERROR(IF(LoanIsNotPaid*LoanIsGood,InterestAmt,""), "")</f>
        <v>9910.342896008382</v>
      </c>
      <c r="H49" s="12">
        <f>IFERROR(IF(LoanIsNotPaid*LoanIsGood,EndingBalance,""), "")</f>
        <v>735213.93089235621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45202</v>
      </c>
      <c r="D50" s="12">
        <f>IFERROR(IF(LoanIsNotPaid*LoanIsGood,LoanValue,""), "")</f>
        <v>735213.93089235621</v>
      </c>
      <c r="E50" s="12">
        <f>IFERROR(IF(LoanIsNotPaid*LoanIsGood,MonthlyPayment,""), "")</f>
        <v>41948.765243010843</v>
      </c>
      <c r="F50" s="12">
        <f>IFERROR(IF(LoanIsNotPaid*LoanIsGood,Principal,""), "")</f>
        <v>32452.251968984572</v>
      </c>
      <c r="G50" s="12">
        <f>IFERROR(IF(LoanIsNotPaid*LoanIsGood,InterestAmt,""), "")</f>
        <v>9496.5132740262652</v>
      </c>
      <c r="H50" s="12">
        <f>IFERROR(IF(LoanIsNotPaid*LoanIsGood,EndingBalance,""), "")</f>
        <v>702761.67892337171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45233</v>
      </c>
      <c r="D51" s="12">
        <f>IFERROR(IF(LoanIsNotPaid*LoanIsGood,LoanValue,""), "")</f>
        <v>702761.67892337171</v>
      </c>
      <c r="E51" s="12">
        <f>IFERROR(IF(LoanIsNotPaid*LoanIsGood,MonthlyPayment,""), "")</f>
        <v>41948.765243010843</v>
      </c>
      <c r="F51" s="12">
        <f>IFERROR(IF(LoanIsNotPaid*LoanIsGood,Principal,""), "")</f>
        <v>32871.42689025063</v>
      </c>
      <c r="G51" s="12">
        <f>IFERROR(IF(LoanIsNotPaid*LoanIsGood,InterestAmt,""), "")</f>
        <v>9077.3383527602145</v>
      </c>
      <c r="H51" s="12">
        <f>IFERROR(IF(LoanIsNotPaid*LoanIsGood,EndingBalance,""), "")</f>
        <v>669890.25203312142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45263</v>
      </c>
      <c r="D52" s="12">
        <f>IFERROR(IF(LoanIsNotPaid*LoanIsGood,LoanValue,""), "")</f>
        <v>669890.25203312142</v>
      </c>
      <c r="E52" s="12">
        <f>IFERROR(IF(LoanIsNotPaid*LoanIsGood,MonthlyPayment,""), "")</f>
        <v>41948.765243010843</v>
      </c>
      <c r="F52" s="12">
        <f>IFERROR(IF(LoanIsNotPaid*LoanIsGood,Principal,""), "")</f>
        <v>33296.016154249693</v>
      </c>
      <c r="G52" s="12">
        <f>IFERROR(IF(LoanIsNotPaid*LoanIsGood,InterestAmt,""), "")</f>
        <v>8652.7490887611439</v>
      </c>
      <c r="H52" s="12">
        <f>IFERROR(IF(LoanIsNotPaid*LoanIsGood,EndingBalance,""), "")</f>
        <v>636594.23587887129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45294</v>
      </c>
      <c r="D53" s="12">
        <f>IFERROR(IF(LoanIsNotPaid*LoanIsGood,LoanValue,""), "")</f>
        <v>636594.23587887129</v>
      </c>
      <c r="E53" s="12">
        <f>IFERROR(IF(LoanIsNotPaid*LoanIsGood,MonthlyPayment,""), "")</f>
        <v>41948.765243010843</v>
      </c>
      <c r="F53" s="12">
        <f>IFERROR(IF(LoanIsNotPaid*LoanIsGood,Principal,""), "")</f>
        <v>33726.089696242088</v>
      </c>
      <c r="G53" s="12">
        <f>IFERROR(IF(LoanIsNotPaid*LoanIsGood,InterestAmt,""), "")</f>
        <v>8222.6755467687526</v>
      </c>
      <c r="H53" s="12">
        <f>IFERROR(IF(LoanIsNotPaid*LoanIsGood,EndingBalance,""), "")</f>
        <v>602868.14618262928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45325</v>
      </c>
      <c r="D54" s="12">
        <f>IFERROR(IF(LoanIsNotPaid*LoanIsGood,LoanValue,""), "")</f>
        <v>602868.14618262928</v>
      </c>
      <c r="E54" s="12">
        <f>IFERROR(IF(LoanIsNotPaid*LoanIsGood,MonthlyPayment,""), "")</f>
        <v>41948.765243010843</v>
      </c>
      <c r="F54" s="12">
        <f>IFERROR(IF(LoanIsNotPaid*LoanIsGood,Principal,""), "")</f>
        <v>34161.718354818549</v>
      </c>
      <c r="G54" s="12">
        <f>IFERROR(IF(LoanIsNotPaid*LoanIsGood,InterestAmt,""), "")</f>
        <v>7787.0468881922934</v>
      </c>
      <c r="H54" s="12">
        <f>IFERROR(IF(LoanIsNotPaid*LoanIsGood,EndingBalance,""), "")</f>
        <v>568706.42782781087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45354</v>
      </c>
      <c r="D55" s="12">
        <f>IFERROR(IF(LoanIsNotPaid*LoanIsGood,LoanValue,""), "")</f>
        <v>568706.42782781087</v>
      </c>
      <c r="E55" s="12">
        <f>IFERROR(IF(LoanIsNotPaid*LoanIsGood,MonthlyPayment,""), "")</f>
        <v>41948.765243010843</v>
      </c>
      <c r="F55" s="12">
        <f>IFERROR(IF(LoanIsNotPaid*LoanIsGood,Principal,""), "")</f>
        <v>34602.973883568287</v>
      </c>
      <c r="G55" s="12">
        <f>IFERROR(IF(LoanIsNotPaid*LoanIsGood,InterestAmt,""), "")</f>
        <v>7345.7913594425536</v>
      </c>
      <c r="H55" s="12">
        <f>IFERROR(IF(LoanIsNotPaid*LoanIsGood,EndingBalance,""), "")</f>
        <v>534103.45394424303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45385</v>
      </c>
      <c r="D56" s="12">
        <f>IFERROR(IF(LoanIsNotPaid*LoanIsGood,LoanValue,""), "")</f>
        <v>534103.45394424303</v>
      </c>
      <c r="E56" s="12">
        <f>IFERROR(IF(LoanIsNotPaid*LoanIsGood,MonthlyPayment,""), "")</f>
        <v>41948.765243010843</v>
      </c>
      <c r="F56" s="12">
        <f>IFERROR(IF(LoanIsNotPaid*LoanIsGood,Principal,""), "")</f>
        <v>35049.928962897713</v>
      </c>
      <c r="G56" s="12">
        <f>IFERROR(IF(LoanIsNotPaid*LoanIsGood,InterestAmt,""), "")</f>
        <v>6898.836280113127</v>
      </c>
      <c r="H56" s="12">
        <f>IFERROR(IF(LoanIsNotPaid*LoanIsGood,EndingBalance,""), "")</f>
        <v>499053.52498134412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45415</v>
      </c>
      <c r="D57" s="12">
        <f>IFERROR(IF(LoanIsNotPaid*LoanIsGood,LoanValue,""), "")</f>
        <v>499053.52498134412</v>
      </c>
      <c r="E57" s="12">
        <f>IFERROR(IF(LoanIsNotPaid*LoanIsGood,MonthlyPayment,""), "")</f>
        <v>41948.765243010843</v>
      </c>
      <c r="F57" s="12">
        <f>IFERROR(IF(LoanIsNotPaid*LoanIsGood,Principal,""), "")</f>
        <v>35502.657212001803</v>
      </c>
      <c r="G57" s="12">
        <f>IFERROR(IF(LoanIsNotPaid*LoanIsGood,InterestAmt,""), "")</f>
        <v>6446.1080310090338</v>
      </c>
      <c r="H57" s="12">
        <f>IFERROR(IF(LoanIsNotPaid*LoanIsGood,EndingBalance,""), "")</f>
        <v>463550.86776934285</v>
      </c>
    </row>
    <row r="58" spans="2:8" ht="20.149999999999999" customHeight="1">
      <c r="B58" s="9">
        <f>IFERROR(IF(LoanIsNotPaid*LoanIsGood,PaymentNumber,""), "")</f>
        <v>49</v>
      </c>
      <c r="C58" s="10">
        <f>IFERROR(IF(LoanIsNotPaid*LoanIsGood,PaymentDate,""), "")</f>
        <v>45446</v>
      </c>
      <c r="D58" s="12">
        <f>IFERROR(IF(LoanIsNotPaid*LoanIsGood,LoanValue,""), "")</f>
        <v>463550.86776934285</v>
      </c>
      <c r="E58" s="12">
        <f>IFERROR(IF(LoanIsNotPaid*LoanIsGood,MonthlyPayment,""), "")</f>
        <v>41948.765243010843</v>
      </c>
      <c r="F58" s="12">
        <f>IFERROR(IF(LoanIsNotPaid*LoanIsGood,Principal,""), "")</f>
        <v>35961.233200990158</v>
      </c>
      <c r="G58" s="12">
        <f>IFERROR(IF(LoanIsNotPaid*LoanIsGood,InterestAmt,""), "")</f>
        <v>5987.5320420206763</v>
      </c>
      <c r="H58" s="12">
        <f>IFERROR(IF(LoanIsNotPaid*LoanIsGood,EndingBalance,""), "")</f>
        <v>427589.63456835318</v>
      </c>
    </row>
    <row r="59" spans="2:8" ht="20.149999999999999" customHeight="1">
      <c r="B59" s="9">
        <f>IFERROR(IF(LoanIsNotPaid*LoanIsGood,PaymentNumber,""), "")</f>
        <v>50</v>
      </c>
      <c r="C59" s="10">
        <f>IFERROR(IF(LoanIsNotPaid*LoanIsGood,PaymentDate,""), "")</f>
        <v>45476</v>
      </c>
      <c r="D59" s="12">
        <f>IFERROR(IF(LoanIsNotPaid*LoanIsGood,LoanValue,""), "")</f>
        <v>427589.63456835318</v>
      </c>
      <c r="E59" s="12">
        <f>IFERROR(IF(LoanIsNotPaid*LoanIsGood,MonthlyPayment,""), "")</f>
        <v>41948.765243010843</v>
      </c>
      <c r="F59" s="12">
        <f>IFERROR(IF(LoanIsNotPaid*LoanIsGood,Principal,""), "")</f>
        <v>36425.732463169625</v>
      </c>
      <c r="G59" s="12">
        <f>IFERROR(IF(LoanIsNotPaid*LoanIsGood,InterestAmt,""), "")</f>
        <v>5523.03277984122</v>
      </c>
      <c r="H59" s="12">
        <f>IFERROR(IF(LoanIsNotPaid*LoanIsGood,EndingBalance,""), "")</f>
        <v>391163.90210518334</v>
      </c>
    </row>
    <row r="60" spans="2:8" ht="20.149999999999999" customHeight="1">
      <c r="B60" s="9">
        <f>IFERROR(IF(LoanIsNotPaid*LoanIsGood,PaymentNumber,""), "")</f>
        <v>51</v>
      </c>
      <c r="C60" s="10">
        <f>IFERROR(IF(LoanIsNotPaid*LoanIsGood,PaymentDate,""), "")</f>
        <v>45507</v>
      </c>
      <c r="D60" s="12">
        <f>IFERROR(IF(LoanIsNotPaid*LoanIsGood,LoanValue,""), "")</f>
        <v>391163.90210518334</v>
      </c>
      <c r="E60" s="12">
        <f>IFERROR(IF(LoanIsNotPaid*LoanIsGood,MonthlyPayment,""), "")</f>
        <v>41948.765243010843</v>
      </c>
      <c r="F60" s="12">
        <f>IFERROR(IF(LoanIsNotPaid*LoanIsGood,Principal,""), "")</f>
        <v>36896.231507485558</v>
      </c>
      <c r="G60" s="12">
        <f>IFERROR(IF(LoanIsNotPaid*LoanIsGood,InterestAmt,""), "")</f>
        <v>5052.5337355252796</v>
      </c>
      <c r="H60" s="12">
        <f>IFERROR(IF(LoanIsNotPaid*LoanIsGood,EndingBalance,""), "")</f>
        <v>354267.67059769761</v>
      </c>
    </row>
    <row r="61" spans="2:8" ht="20.149999999999999" customHeight="1">
      <c r="B61" s="9">
        <f>IFERROR(IF(LoanIsNotPaid*LoanIsGood,PaymentNumber,""), "")</f>
        <v>52</v>
      </c>
      <c r="C61" s="10">
        <f>IFERROR(IF(LoanIsNotPaid*LoanIsGood,PaymentDate,""), "")</f>
        <v>45538</v>
      </c>
      <c r="D61" s="12">
        <f>IFERROR(IF(LoanIsNotPaid*LoanIsGood,LoanValue,""), "")</f>
        <v>354267.67059769761</v>
      </c>
      <c r="E61" s="12">
        <f>IFERROR(IF(LoanIsNotPaid*LoanIsGood,MonthlyPayment,""), "")</f>
        <v>41948.765243010843</v>
      </c>
      <c r="F61" s="12">
        <f>IFERROR(IF(LoanIsNotPaid*LoanIsGood,Principal,""), "")</f>
        <v>37372.807831123915</v>
      </c>
      <c r="G61" s="12">
        <f>IFERROR(IF(LoanIsNotPaid*LoanIsGood,InterestAmt,""), "")</f>
        <v>4575.9574118869241</v>
      </c>
      <c r="H61" s="12">
        <f>IFERROR(IF(LoanIsNotPaid*LoanIsGood,EndingBalance,""), "")</f>
        <v>316894.86276657414</v>
      </c>
    </row>
    <row r="62" spans="2:8" ht="20.149999999999999" customHeight="1">
      <c r="B62" s="9">
        <f>IFERROR(IF(LoanIsNotPaid*LoanIsGood,PaymentNumber,""), "")</f>
        <v>53</v>
      </c>
      <c r="C62" s="10">
        <f>IFERROR(IF(LoanIsNotPaid*LoanIsGood,PaymentDate,""), "")</f>
        <v>45568</v>
      </c>
      <c r="D62" s="12">
        <f>IFERROR(IF(LoanIsNotPaid*LoanIsGood,LoanValue,""), "")</f>
        <v>316894.86276657414</v>
      </c>
      <c r="E62" s="12">
        <f>IFERROR(IF(LoanIsNotPaid*LoanIsGood,MonthlyPayment,""), "")</f>
        <v>41948.765243010843</v>
      </c>
      <c r="F62" s="12">
        <f>IFERROR(IF(LoanIsNotPaid*LoanIsGood,Principal,""), "")</f>
        <v>37855.539932275933</v>
      </c>
      <c r="G62" s="12">
        <f>IFERROR(IF(LoanIsNotPaid*LoanIsGood,InterestAmt,""), "")</f>
        <v>4093.225310734907</v>
      </c>
      <c r="H62" s="12">
        <f>IFERROR(IF(LoanIsNotPaid*LoanIsGood,EndingBalance,""), "")</f>
        <v>279039.32283429801</v>
      </c>
    </row>
    <row r="63" spans="2:8" ht="20.149999999999999" customHeight="1">
      <c r="B63" s="9">
        <f>IFERROR(IF(LoanIsNotPaid*LoanIsGood,PaymentNumber,""), "")</f>
        <v>54</v>
      </c>
      <c r="C63" s="10">
        <f>IFERROR(IF(LoanIsNotPaid*LoanIsGood,PaymentDate,""), "")</f>
        <v>45599</v>
      </c>
      <c r="D63" s="12">
        <f>IFERROR(IF(LoanIsNotPaid*LoanIsGood,LoanValue,""), "")</f>
        <v>279039.32283429801</v>
      </c>
      <c r="E63" s="12">
        <f>IFERROR(IF(LoanIsNotPaid*LoanIsGood,MonthlyPayment,""), "")</f>
        <v>41948.765243010843</v>
      </c>
      <c r="F63" s="12">
        <f>IFERROR(IF(LoanIsNotPaid*LoanIsGood,Principal,""), "")</f>
        <v>38344.507323067832</v>
      </c>
      <c r="G63" s="12">
        <f>IFERROR(IF(LoanIsNotPaid*LoanIsGood,InterestAmt,""), "")</f>
        <v>3604.2579199430093</v>
      </c>
      <c r="H63" s="12">
        <f>IFERROR(IF(LoanIsNotPaid*LoanIsGood,EndingBalance,""), "")</f>
        <v>240694.81551123038</v>
      </c>
    </row>
    <row r="64" spans="2:8" ht="20.149999999999999" customHeight="1">
      <c r="B64" s="9">
        <f>IFERROR(IF(LoanIsNotPaid*LoanIsGood,PaymentNumber,""), "")</f>
        <v>55</v>
      </c>
      <c r="C64" s="10">
        <f>IFERROR(IF(LoanIsNotPaid*LoanIsGood,PaymentDate,""), "")</f>
        <v>45629</v>
      </c>
      <c r="D64" s="12">
        <f>IFERROR(IF(LoanIsNotPaid*LoanIsGood,LoanValue,""), "")</f>
        <v>240694.81551123038</v>
      </c>
      <c r="E64" s="12">
        <f>IFERROR(IF(LoanIsNotPaid*LoanIsGood,MonthlyPayment,""), "")</f>
        <v>41948.765243010843</v>
      </c>
      <c r="F64" s="12">
        <f>IFERROR(IF(LoanIsNotPaid*LoanIsGood,Principal,""), "")</f>
        <v>38839.790542657451</v>
      </c>
      <c r="G64" s="12">
        <f>IFERROR(IF(LoanIsNotPaid*LoanIsGood,InterestAmt,""), "")</f>
        <v>3108.974700353383</v>
      </c>
      <c r="H64" s="12">
        <f>IFERROR(IF(LoanIsNotPaid*LoanIsGood,EndingBalance,""), "")</f>
        <v>201855.02496857289</v>
      </c>
    </row>
    <row r="65" spans="2:8" ht="20.149999999999999" customHeight="1">
      <c r="B65" s="9">
        <f>IFERROR(IF(LoanIsNotPaid*LoanIsGood,PaymentNumber,""), "")</f>
        <v>56</v>
      </c>
      <c r="C65" s="10">
        <f>IFERROR(IF(LoanIsNotPaid*LoanIsGood,PaymentDate,""), "")</f>
        <v>45660</v>
      </c>
      <c r="D65" s="12">
        <f>IFERROR(IF(LoanIsNotPaid*LoanIsGood,LoanValue,""), "")</f>
        <v>201855.02496857289</v>
      </c>
      <c r="E65" s="12">
        <f>IFERROR(IF(LoanIsNotPaid*LoanIsGood,MonthlyPayment,""), "")</f>
        <v>41948.765243010843</v>
      </c>
      <c r="F65" s="12">
        <f>IFERROR(IF(LoanIsNotPaid*LoanIsGood,Principal,""), "")</f>
        <v>39341.471170500117</v>
      </c>
      <c r="G65" s="12">
        <f>IFERROR(IF(LoanIsNotPaid*LoanIsGood,InterestAmt,""), "")</f>
        <v>2607.2940725107251</v>
      </c>
      <c r="H65" s="12">
        <f>IFERROR(IF(LoanIsNotPaid*LoanIsGood,EndingBalance,""), "")</f>
        <v>162513.55379807297</v>
      </c>
    </row>
    <row r="66" spans="2:8" ht="20.149999999999999" customHeight="1">
      <c r="B66" s="9">
        <f>IFERROR(IF(LoanIsNotPaid*LoanIsGood,PaymentNumber,""), "")</f>
        <v>57</v>
      </c>
      <c r="C66" s="10">
        <f>IFERROR(IF(LoanIsNotPaid*LoanIsGood,PaymentDate,""), "")</f>
        <v>45691</v>
      </c>
      <c r="D66" s="12">
        <f>IFERROR(IF(LoanIsNotPaid*LoanIsGood,LoanValue,""), "")</f>
        <v>162513.55379807297</v>
      </c>
      <c r="E66" s="12">
        <f>IFERROR(IF(LoanIsNotPaid*LoanIsGood,MonthlyPayment,""), "")</f>
        <v>41948.765243010843</v>
      </c>
      <c r="F66" s="12">
        <f>IFERROR(IF(LoanIsNotPaid*LoanIsGood,Principal,""), "")</f>
        <v>39849.631839785739</v>
      </c>
      <c r="G66" s="12">
        <f>IFERROR(IF(LoanIsNotPaid*LoanIsGood,InterestAmt,""), "")</f>
        <v>2099.1334032250979</v>
      </c>
      <c r="H66" s="12">
        <f>IFERROR(IF(LoanIsNotPaid*LoanIsGood,EndingBalance,""), "")</f>
        <v>122663.92195828632</v>
      </c>
    </row>
    <row r="67" spans="2:8" ht="20.149999999999999" customHeight="1">
      <c r="B67" s="9">
        <f>IFERROR(IF(LoanIsNotPaid*LoanIsGood,PaymentNumber,""), "")</f>
        <v>58</v>
      </c>
      <c r="C67" s="10">
        <f>IFERROR(IF(LoanIsNotPaid*LoanIsGood,PaymentDate,""), "")</f>
        <v>45719</v>
      </c>
      <c r="D67" s="12">
        <f>IFERROR(IF(LoanIsNotPaid*LoanIsGood,LoanValue,""), "")</f>
        <v>122663.92195828632</v>
      </c>
      <c r="E67" s="12">
        <f>IFERROR(IF(LoanIsNotPaid*LoanIsGood,MonthlyPayment,""), "")</f>
        <v>41948.765243010843</v>
      </c>
      <c r="F67" s="12">
        <f>IFERROR(IF(LoanIsNotPaid*LoanIsGood,Principal,""), "")</f>
        <v>40364.356251049641</v>
      </c>
      <c r="G67" s="12">
        <f>IFERROR(IF(LoanIsNotPaid*LoanIsGood,InterestAmt,""), "")</f>
        <v>1584.4089919611988</v>
      </c>
      <c r="H67" s="12">
        <f>IFERROR(IF(LoanIsNotPaid*LoanIsGood,EndingBalance,""), "")</f>
        <v>82299.565707238391</v>
      </c>
    </row>
    <row r="68" spans="2:8" ht="20.149999999999999" customHeight="1">
      <c r="B68" s="9">
        <f>IFERROR(IF(LoanIsNotPaid*LoanIsGood,PaymentNumber,""), "")</f>
        <v>59</v>
      </c>
      <c r="C68" s="10">
        <f>IFERROR(IF(LoanIsNotPaid*LoanIsGood,PaymentDate,""), "")</f>
        <v>45750</v>
      </c>
      <c r="D68" s="12">
        <f>IFERROR(IF(LoanIsNotPaid*LoanIsGood,LoanValue,""), "")</f>
        <v>82299.565707238391</v>
      </c>
      <c r="E68" s="12">
        <f>IFERROR(IF(LoanIsNotPaid*LoanIsGood,MonthlyPayment,""), "")</f>
        <v>41948.765243010843</v>
      </c>
      <c r="F68" s="12">
        <f>IFERROR(IF(LoanIsNotPaid*LoanIsGood,Principal,""), "")</f>
        <v>40885.729185959033</v>
      </c>
      <c r="G68" s="12">
        <f>IFERROR(IF(LoanIsNotPaid*LoanIsGood,InterestAmt,""), "")</f>
        <v>1063.0360570518073</v>
      </c>
      <c r="H68" s="12">
        <f>IFERROR(IF(LoanIsNotPaid*LoanIsGood,EndingBalance,""), "")</f>
        <v>41413.83652127767</v>
      </c>
    </row>
    <row r="69" spans="2:8" ht="20.149999999999999" customHeight="1">
      <c r="B69" s="9">
        <f>IFERROR(IF(LoanIsNotPaid*LoanIsGood,PaymentNumber,""), "")</f>
        <v>60</v>
      </c>
      <c r="C69" s="10">
        <f>IFERROR(IF(LoanIsNotPaid*LoanIsGood,PaymentDate,""), "")</f>
        <v>45780</v>
      </c>
      <c r="D69" s="12">
        <f>IFERROR(IF(LoanIsNotPaid*LoanIsGood,LoanValue,""), "")</f>
        <v>41413.83652127767</v>
      </c>
      <c r="E69" s="12">
        <f>IFERROR(IF(LoanIsNotPaid*LoanIsGood,MonthlyPayment,""), "")</f>
        <v>41948.765243010843</v>
      </c>
      <c r="F69" s="12">
        <f>IFERROR(IF(LoanIsNotPaid*LoanIsGood,Principal,""), "")</f>
        <v>41413.83652127767</v>
      </c>
      <c r="G69" s="12">
        <f>IFERROR(IF(LoanIsNotPaid*LoanIsGood,InterestAmt,""), "")</f>
        <v>534.92872173316994</v>
      </c>
      <c r="H69" s="12">
        <f>IFERROR(IF(LoanIsNotPaid*LoanIsGood,EndingBalance,""), "")</f>
        <v>1.3969838619232178E-9</v>
      </c>
    </row>
    <row r="70" spans="2:8" ht="20.149999999999999" customHeight="1">
      <c r="B70" s="9" t="str">
        <f>IFERROR(IF(LoanIsNotPaid*LoanIsGood,PaymentNumber,""), "")</f>
        <v/>
      </c>
      <c r="C70" s="10" t="str">
        <f>IFERROR(IF(LoanIsNotPaid*LoanIsGood,PaymentDate,""), "")</f>
        <v/>
      </c>
      <c r="D70" s="12" t="str">
        <f>IFERROR(IF(LoanIsNotPaid*LoanIsGood,LoanValue,""), "")</f>
        <v/>
      </c>
      <c r="E70" s="12" t="str">
        <f>IFERROR(IF(LoanIsNotPaid*LoanIsGood,MonthlyPayment,""), "")</f>
        <v/>
      </c>
      <c r="F70" s="12" t="str">
        <f>IFERROR(IF(LoanIsNotPaid*LoanIsGood,Principal,""), "")</f>
        <v/>
      </c>
      <c r="G70" s="12" t="str">
        <f>IFERROR(IF(LoanIsNotPaid*LoanIsGood,InterestAmt,""), "")</f>
        <v/>
      </c>
      <c r="H70" s="12" t="str">
        <f>IFERROR(IF(LoanIsNotPaid*LoanIsGood,EndingBalance,""), "")</f>
        <v/>
      </c>
    </row>
    <row r="71" spans="2:8" ht="20.149999999999999" customHeight="1">
      <c r="B71" s="9" t="str">
        <f>IFERROR(IF(LoanIsNotPaid*LoanIsGood,PaymentNumber,""), "")</f>
        <v/>
      </c>
      <c r="C71" s="10" t="str">
        <f>IFERROR(IF(LoanIsNotPaid*LoanIsGood,PaymentDate,""), "")</f>
        <v/>
      </c>
      <c r="D71" s="12" t="str">
        <f>IFERROR(IF(LoanIsNotPaid*LoanIsGood,LoanValue,""), "")</f>
        <v/>
      </c>
      <c r="E71" s="12" t="str">
        <f>IFERROR(IF(LoanIsNotPaid*LoanIsGood,MonthlyPayment,""), "")</f>
        <v/>
      </c>
      <c r="F71" s="12" t="str">
        <f>IFERROR(IF(LoanIsNotPaid*LoanIsGood,Principal,""), "")</f>
        <v/>
      </c>
      <c r="G71" s="12" t="str">
        <f>IFERROR(IF(LoanIsNotPaid*LoanIsGood,InterestAmt,""), "")</f>
        <v/>
      </c>
      <c r="H71" s="12" t="str">
        <f>IFERROR(IF(LoanIsNotPaid*LoanIsGood,EndingBalance,""), "")</f>
        <v/>
      </c>
    </row>
    <row r="72" spans="2:8" ht="20.149999999999999" customHeight="1">
      <c r="B72" s="9" t="str">
        <f>IFERROR(IF(LoanIsNotPaid*LoanIsGood,PaymentNumber,""), "")</f>
        <v/>
      </c>
      <c r="C72" s="10" t="str">
        <f>IFERROR(IF(LoanIsNotPaid*LoanIsGood,PaymentDate,""), "")</f>
        <v/>
      </c>
      <c r="D72" s="12" t="str">
        <f>IFERROR(IF(LoanIsNotPaid*LoanIsGood,LoanValue,""), "")</f>
        <v/>
      </c>
      <c r="E72" s="12" t="str">
        <f>IFERROR(IF(LoanIsNotPaid*LoanIsGood,MonthlyPayment,""), "")</f>
        <v/>
      </c>
      <c r="F72" s="12" t="str">
        <f>IFERROR(IF(LoanIsNotPaid*LoanIsGood,Principal,""), "")</f>
        <v/>
      </c>
      <c r="G72" s="12" t="str">
        <f>IFERROR(IF(LoanIsNotPaid*LoanIsGood,InterestAmt,""), "")</f>
        <v/>
      </c>
      <c r="H72" s="12" t="str">
        <f>IFERROR(IF(LoanIsNotPaid*LoanIsGood,EndingBalance,""), "")</f>
        <v/>
      </c>
    </row>
    <row r="73" spans="2:8" ht="20.149999999999999" customHeight="1">
      <c r="B73" s="9" t="str">
        <f>IFERROR(IF(LoanIsNotPaid*LoanIsGood,PaymentNumber,""), "")</f>
        <v/>
      </c>
      <c r="C73" s="10" t="str">
        <f>IFERROR(IF(LoanIsNotPaid*LoanIsGood,PaymentDate,""), "")</f>
        <v/>
      </c>
      <c r="D73" s="12" t="str">
        <f>IFERROR(IF(LoanIsNotPaid*LoanIsGood,LoanValue,""), "")</f>
        <v/>
      </c>
      <c r="E73" s="12" t="str">
        <f>IFERROR(IF(LoanIsNotPaid*LoanIsGood,MonthlyPayment,""), "")</f>
        <v/>
      </c>
      <c r="F73" s="12" t="str">
        <f>IFERROR(IF(LoanIsNotPaid*LoanIsGood,Principal,""), "")</f>
        <v/>
      </c>
      <c r="G73" s="12" t="str">
        <f>IFERROR(IF(LoanIsNotPaid*LoanIsGood,InterestAmt,""), "")</f>
        <v/>
      </c>
      <c r="H73" s="12" t="str">
        <f>IFERROR(IF(LoanIsNotPaid*LoanIsGood,EndingBalance,""), "")</f>
        <v/>
      </c>
    </row>
    <row r="74" spans="2:8" ht="20.149999999999999" customHeight="1">
      <c r="B74" s="9" t="str">
        <f>IFERROR(IF(LoanIsNotPaid*LoanIsGood,PaymentNumber,""), "")</f>
        <v/>
      </c>
      <c r="C74" s="10" t="str">
        <f>IFERROR(IF(LoanIsNotPaid*LoanIsGood,PaymentDate,""), "")</f>
        <v/>
      </c>
      <c r="D74" s="12" t="str">
        <f>IFERROR(IF(LoanIsNotPaid*LoanIsGood,LoanValue,""), "")</f>
        <v/>
      </c>
      <c r="E74" s="12" t="str">
        <f>IFERROR(IF(LoanIsNotPaid*LoanIsGood,MonthlyPayment,""), "")</f>
        <v/>
      </c>
      <c r="F74" s="12" t="str">
        <f>IFERROR(IF(LoanIsNotPaid*LoanIsGood,Principal,""), "")</f>
        <v/>
      </c>
      <c r="G74" s="12" t="str">
        <f>IFERROR(IF(LoanIsNotPaid*LoanIsGood,InterestAmt,""), "")</f>
        <v/>
      </c>
      <c r="H74" s="12" t="str">
        <f>IFERROR(IF(LoanIsNotPaid*LoanIsGood,EndingBalance,""), "")</f>
        <v/>
      </c>
    </row>
    <row r="75" spans="2:8" ht="20.149999999999999" customHeight="1">
      <c r="B75" s="9" t="str">
        <f>IFERROR(IF(LoanIsNotPaid*LoanIsGood,PaymentNumber,""), "")</f>
        <v/>
      </c>
      <c r="C75" s="10" t="str">
        <f>IFERROR(IF(LoanIsNotPaid*LoanIsGood,PaymentDate,""), "")</f>
        <v/>
      </c>
      <c r="D75" s="12" t="str">
        <f>IFERROR(IF(LoanIsNotPaid*LoanIsGood,LoanValue,""), "")</f>
        <v/>
      </c>
      <c r="E75" s="12" t="str">
        <f>IFERROR(IF(LoanIsNotPaid*LoanIsGood,MonthlyPayment,""), "")</f>
        <v/>
      </c>
      <c r="F75" s="12" t="str">
        <f>IFERROR(IF(LoanIsNotPaid*LoanIsGood,Principal,""), "")</f>
        <v/>
      </c>
      <c r="G75" s="12" t="str">
        <f>IFERROR(IF(LoanIsNotPaid*LoanIsGood,InterestAmt,""), "")</f>
        <v/>
      </c>
      <c r="H75" s="12" t="str">
        <f>IFERROR(IF(LoanIsNotPaid*LoanIsGood,EndingBalance,""), "")</f>
        <v/>
      </c>
    </row>
    <row r="76" spans="2:8" ht="20.149999999999999" customHeight="1">
      <c r="B76" s="9" t="str">
        <f>IFERROR(IF(LoanIsNotPaid*LoanIsGood,PaymentNumber,""), "")</f>
        <v/>
      </c>
      <c r="C76" s="10" t="str">
        <f>IFERROR(IF(LoanIsNotPaid*LoanIsGood,PaymentDate,""), "")</f>
        <v/>
      </c>
      <c r="D76" s="12" t="str">
        <f>IFERROR(IF(LoanIsNotPaid*LoanIsGood,LoanValue,""), "")</f>
        <v/>
      </c>
      <c r="E76" s="12" t="str">
        <f>IFERROR(IF(LoanIsNotPaid*LoanIsGood,MonthlyPayment,""), "")</f>
        <v/>
      </c>
      <c r="F76" s="12" t="str">
        <f>IFERROR(IF(LoanIsNotPaid*LoanIsGood,Principal,""), "")</f>
        <v/>
      </c>
      <c r="G76" s="12" t="str">
        <f>IFERROR(IF(LoanIsNotPaid*LoanIsGood,InterestAmt,""), "")</f>
        <v/>
      </c>
      <c r="H76" s="12" t="str">
        <f>IFERROR(IF(LoanIsNotPaid*LoanIsGood,EndingBalance,""), "")</f>
        <v/>
      </c>
    </row>
    <row r="77" spans="2:8" ht="20.149999999999999" customHeight="1">
      <c r="B77" s="9" t="str">
        <f>IFERROR(IF(LoanIsNotPaid*LoanIsGood,PaymentNumber,""), "")</f>
        <v/>
      </c>
      <c r="C77" s="10" t="str">
        <f>IFERROR(IF(LoanIsNotPaid*LoanIsGood,PaymentDate,""), "")</f>
        <v/>
      </c>
      <c r="D77" s="12" t="str">
        <f>IFERROR(IF(LoanIsNotPaid*LoanIsGood,LoanValue,""), "")</f>
        <v/>
      </c>
      <c r="E77" s="12" t="str">
        <f>IFERROR(IF(LoanIsNotPaid*LoanIsGood,MonthlyPayment,""), "")</f>
        <v/>
      </c>
      <c r="F77" s="12" t="str">
        <f>IFERROR(IF(LoanIsNotPaid*LoanIsGood,Principal,""), "")</f>
        <v/>
      </c>
      <c r="G77" s="12" t="str">
        <f>IFERROR(IF(LoanIsNotPaid*LoanIsGood,InterestAmt,""), "")</f>
        <v/>
      </c>
      <c r="H77" s="12" t="str">
        <f>IFERROR(IF(LoanIsNotPaid*LoanIsGood,EndingBalance,""), "")</f>
        <v/>
      </c>
    </row>
    <row r="78" spans="2:8" ht="20.149999999999999" customHeight="1">
      <c r="B78" s="9" t="str">
        <f>IFERROR(IF(LoanIsNotPaid*LoanIsGood,PaymentNumber,""), "")</f>
        <v/>
      </c>
      <c r="C78" s="10" t="str">
        <f>IFERROR(IF(LoanIsNotPaid*LoanIsGood,PaymentDate,""), "")</f>
        <v/>
      </c>
      <c r="D78" s="12" t="str">
        <f>IFERROR(IF(LoanIsNotPaid*LoanIsGood,LoanValue,""), "")</f>
        <v/>
      </c>
      <c r="E78" s="12" t="str">
        <f>IFERROR(IF(LoanIsNotPaid*LoanIsGood,MonthlyPayment,""), "")</f>
        <v/>
      </c>
      <c r="F78" s="12" t="str">
        <f>IFERROR(IF(LoanIsNotPaid*LoanIsGood,Principal,""), "")</f>
        <v/>
      </c>
      <c r="G78" s="12" t="str">
        <f>IFERROR(IF(LoanIsNotPaid*LoanIsGood,InterestAmt,""), "")</f>
        <v/>
      </c>
      <c r="H78" s="12" t="str">
        <f>IFERROR(IF(LoanIsNotPaid*LoanIsGood,EndingBalance,""), "")</f>
        <v/>
      </c>
    </row>
    <row r="79" spans="2:8" ht="20.149999999999999" customHeight="1">
      <c r="B79" s="9" t="str">
        <f>IFERROR(IF(LoanIsNotPaid*LoanIsGood,PaymentNumber,""), "")</f>
        <v/>
      </c>
      <c r="C79" s="10" t="str">
        <f>IFERROR(IF(LoanIsNotPaid*LoanIsGood,PaymentDate,""), "")</f>
        <v/>
      </c>
      <c r="D79" s="12" t="str">
        <f>IFERROR(IF(LoanIsNotPaid*LoanIsGood,LoanValue,""), "")</f>
        <v/>
      </c>
      <c r="E79" s="12" t="str">
        <f>IFERROR(IF(LoanIsNotPaid*LoanIsGood,MonthlyPayment,""), "")</f>
        <v/>
      </c>
      <c r="F79" s="12" t="str">
        <f>IFERROR(IF(LoanIsNotPaid*LoanIsGood,Principal,""), "")</f>
        <v/>
      </c>
      <c r="G79" s="12" t="str">
        <f>IFERROR(IF(LoanIsNotPaid*LoanIsGood,InterestAmt,""), "")</f>
        <v/>
      </c>
      <c r="H79" s="12" t="str">
        <f>IFERROR(IF(LoanIsNotPaid*LoanIsGood,EndingBalance,""), "")</f>
        <v/>
      </c>
    </row>
    <row r="80" spans="2:8" ht="20.149999999999999" customHeight="1">
      <c r="B80" s="9" t="str">
        <f>IFERROR(IF(LoanIsNotPaid*LoanIsGood,PaymentNumber,""), "")</f>
        <v/>
      </c>
      <c r="C80" s="10" t="str">
        <f>IFERROR(IF(LoanIsNotPaid*LoanIsGood,PaymentDate,""), "")</f>
        <v/>
      </c>
      <c r="D80" s="12" t="str">
        <f>IFERROR(IF(LoanIsNotPaid*LoanIsGood,LoanValue,""), "")</f>
        <v/>
      </c>
      <c r="E80" s="12" t="str">
        <f>IFERROR(IF(LoanIsNotPaid*LoanIsGood,MonthlyPayment,""), "")</f>
        <v/>
      </c>
      <c r="F80" s="12" t="str">
        <f>IFERROR(IF(LoanIsNotPaid*LoanIsGood,Principal,""), "")</f>
        <v/>
      </c>
      <c r="G80" s="12" t="str">
        <f>IFERROR(IF(LoanIsNotPaid*LoanIsGood,InterestAmt,""), "")</f>
        <v/>
      </c>
      <c r="H80" s="12" t="str">
        <f>IFERROR(IF(LoanIsNotPaid*LoanIsGood,EndingBalance,""), "")</f>
        <v/>
      </c>
    </row>
    <row r="81" spans="2:8" ht="20.149999999999999" customHeight="1">
      <c r="B81" s="9" t="str">
        <f>IFERROR(IF(LoanIsNotPaid*LoanIsGood,PaymentNumber,""), "")</f>
        <v/>
      </c>
      <c r="C81" s="10" t="str">
        <f>IFERROR(IF(LoanIsNotPaid*LoanIsGood,PaymentDate,""), "")</f>
        <v/>
      </c>
      <c r="D81" s="12" t="str">
        <f>IFERROR(IF(LoanIsNotPaid*LoanIsGood,LoanValue,""), "")</f>
        <v/>
      </c>
      <c r="E81" s="12" t="str">
        <f>IFERROR(IF(LoanIsNotPaid*LoanIsGood,MonthlyPayment,""), "")</f>
        <v/>
      </c>
      <c r="F81" s="12" t="str">
        <f>IFERROR(IF(LoanIsNotPaid*LoanIsGood,Principal,""), "")</f>
        <v/>
      </c>
      <c r="G81" s="12" t="str">
        <f>IFERROR(IF(LoanIsNotPaid*LoanIsGood,InterestAmt,""), "")</f>
        <v/>
      </c>
      <c r="H81" s="12" t="str">
        <f>IFERROR(IF(LoanIsNotPaid*LoanIsGood,EndingBalance,""), "")</f>
        <v/>
      </c>
    </row>
    <row r="82" spans="2:8" ht="20.149999999999999" customHeight="1">
      <c r="B82" s="9" t="str">
        <f>IFERROR(IF(LoanIsNotPaid*LoanIsGood,PaymentNumber,""), "")</f>
        <v/>
      </c>
      <c r="C82" s="10" t="str">
        <f>IFERROR(IF(LoanIsNotPaid*LoanIsGood,PaymentDate,""), "")</f>
        <v/>
      </c>
      <c r="D82" s="12" t="str">
        <f>IFERROR(IF(LoanIsNotPaid*LoanIsGood,LoanValue,""), "")</f>
        <v/>
      </c>
      <c r="E82" s="12" t="str">
        <f>IFERROR(IF(LoanIsNotPaid*LoanIsGood,MonthlyPayment,""), "")</f>
        <v/>
      </c>
      <c r="F82" s="12" t="str">
        <f>IFERROR(IF(LoanIsNotPaid*LoanIsGood,Principal,""), "")</f>
        <v/>
      </c>
      <c r="G82" s="12" t="str">
        <f>IFERROR(IF(LoanIsNotPaid*LoanIsGood,InterestAmt,""), "")</f>
        <v/>
      </c>
      <c r="H82" s="12" t="str">
        <f>IFERROR(IF(LoanIsNotPaid*LoanIsGood,EndingBalance,""), "")</f>
        <v/>
      </c>
    </row>
    <row r="83" spans="2:8" ht="20.149999999999999" customHeight="1">
      <c r="B83" s="9" t="str">
        <f>IFERROR(IF(LoanIsNotPaid*LoanIsGood,PaymentNumber,""), "")</f>
        <v/>
      </c>
      <c r="C83" s="10" t="str">
        <f>IFERROR(IF(LoanIsNotPaid*LoanIsGood,PaymentDate,""), "")</f>
        <v/>
      </c>
      <c r="D83" s="12" t="str">
        <f>IFERROR(IF(LoanIsNotPaid*LoanIsGood,LoanValue,""), "")</f>
        <v/>
      </c>
      <c r="E83" s="12" t="str">
        <f>IFERROR(IF(LoanIsNotPaid*LoanIsGood,MonthlyPayment,""), "")</f>
        <v/>
      </c>
      <c r="F83" s="12" t="str">
        <f>IFERROR(IF(LoanIsNotPaid*LoanIsGood,Principal,""), "")</f>
        <v/>
      </c>
      <c r="G83" s="12" t="str">
        <f>IFERROR(IF(LoanIsNotPaid*LoanIsGood,InterestAmt,""), "")</f>
        <v/>
      </c>
      <c r="H83" s="12" t="str">
        <f>IFERROR(IF(LoanIsNotPaid*LoanIsGood,EndingBalance,""), "")</f>
        <v/>
      </c>
    </row>
    <row r="84" spans="2:8" ht="20.149999999999999" customHeight="1">
      <c r="B84" s="9" t="str">
        <f>IFERROR(IF(LoanIsNotPaid*LoanIsGood,PaymentNumber,""), "")</f>
        <v/>
      </c>
      <c r="C84" s="10" t="str">
        <f>IFERROR(IF(LoanIsNotPaid*LoanIsGood,PaymentDate,""), "")</f>
        <v/>
      </c>
      <c r="D84" s="12" t="str">
        <f>IFERROR(IF(LoanIsNotPaid*LoanIsGood,LoanValue,""), "")</f>
        <v/>
      </c>
      <c r="E84" s="12" t="str">
        <f>IFERROR(IF(LoanIsNotPaid*LoanIsGood,MonthlyPayment,""), "")</f>
        <v/>
      </c>
      <c r="F84" s="12" t="str">
        <f>IFERROR(IF(LoanIsNotPaid*LoanIsGood,Principal,""), "")</f>
        <v/>
      </c>
      <c r="G84" s="12" t="str">
        <f>IFERROR(IF(LoanIsNotPaid*LoanIsGood,InterestAmt,""), "")</f>
        <v/>
      </c>
      <c r="H84" s="12" t="str">
        <f>IFERROR(IF(LoanIsNotPaid*LoanIsGood,EndingBalance,""), "")</f>
        <v/>
      </c>
    </row>
    <row r="85" spans="2:8" ht="20.149999999999999" customHeight="1">
      <c r="B85" s="9" t="str">
        <f>IFERROR(IF(LoanIsNotPaid*LoanIsGood,PaymentNumber,""), "")</f>
        <v/>
      </c>
      <c r="C85" s="10" t="str">
        <f>IFERROR(IF(LoanIsNotPaid*LoanIsGood,PaymentDate,""), "")</f>
        <v/>
      </c>
      <c r="D85" s="12" t="str">
        <f>IFERROR(IF(LoanIsNotPaid*LoanIsGood,LoanValue,""), "")</f>
        <v/>
      </c>
      <c r="E85" s="12" t="str">
        <f>IFERROR(IF(LoanIsNotPaid*LoanIsGood,MonthlyPayment,""), "")</f>
        <v/>
      </c>
      <c r="F85" s="12" t="str">
        <f>IFERROR(IF(LoanIsNotPaid*LoanIsGood,Principal,""), "")</f>
        <v/>
      </c>
      <c r="G85" s="12" t="str">
        <f>IFERROR(IF(LoanIsNotPaid*LoanIsGood,InterestAmt,""), "")</f>
        <v/>
      </c>
      <c r="H85" s="12" t="str">
        <f>IFERROR(IF(LoanIsNotPaid*LoanIsGood,EndingBalance,""), "")</f>
        <v/>
      </c>
    </row>
    <row r="86" spans="2:8" ht="20.149999999999999" customHeight="1">
      <c r="B86" s="9" t="str">
        <f>IFERROR(IF(LoanIsNotPaid*LoanIsGood,PaymentNumber,""), "")</f>
        <v/>
      </c>
      <c r="C86" s="10" t="str">
        <f>IFERROR(IF(LoanIsNotPaid*LoanIsGood,PaymentDate,""), "")</f>
        <v/>
      </c>
      <c r="D86" s="12" t="str">
        <f>IFERROR(IF(LoanIsNotPaid*LoanIsGood,LoanValue,""), "")</f>
        <v/>
      </c>
      <c r="E86" s="12" t="str">
        <f>IFERROR(IF(LoanIsNotPaid*LoanIsGood,MonthlyPayment,""), "")</f>
        <v/>
      </c>
      <c r="F86" s="12" t="str">
        <f>IFERROR(IF(LoanIsNotPaid*LoanIsGood,Principal,""), "")</f>
        <v/>
      </c>
      <c r="G86" s="12" t="str">
        <f>IFERROR(IF(LoanIsNotPaid*LoanIsGood,InterestAmt,""), "")</f>
        <v/>
      </c>
      <c r="H86" s="12" t="str">
        <f>IFERROR(IF(LoanIsNotPaid*LoanIsGood,EndingBalance,""), "")</f>
        <v/>
      </c>
    </row>
    <row r="87" spans="2:8" ht="20.149999999999999" customHeight="1">
      <c r="B87" s="9" t="str">
        <f>IFERROR(IF(LoanIsNotPaid*LoanIsGood,PaymentNumber,""), "")</f>
        <v/>
      </c>
      <c r="C87" s="10" t="str">
        <f>IFERROR(IF(LoanIsNotPaid*LoanIsGood,PaymentDate,""), "")</f>
        <v/>
      </c>
      <c r="D87" s="12" t="str">
        <f>IFERROR(IF(LoanIsNotPaid*LoanIsGood,LoanValue,""), "")</f>
        <v/>
      </c>
      <c r="E87" s="12" t="str">
        <f>IFERROR(IF(LoanIsNotPaid*LoanIsGood,MonthlyPayment,""), "")</f>
        <v/>
      </c>
      <c r="F87" s="12" t="str">
        <f>IFERROR(IF(LoanIsNotPaid*LoanIsGood,Principal,""), "")</f>
        <v/>
      </c>
      <c r="G87" s="12" t="str">
        <f>IFERROR(IF(LoanIsNotPaid*LoanIsGood,InterestAmt,""), "")</f>
        <v/>
      </c>
      <c r="H87" s="12" t="str">
        <f>IFERROR(IF(LoanIsNotPaid*LoanIsGood,EndingBalance,""), "")</f>
        <v/>
      </c>
    </row>
    <row r="88" spans="2:8" ht="20.149999999999999" customHeight="1">
      <c r="B88" s="9" t="str">
        <f>IFERROR(IF(LoanIsNotPaid*LoanIsGood,PaymentNumber,""), "")</f>
        <v/>
      </c>
      <c r="C88" s="10" t="str">
        <f>IFERROR(IF(LoanIsNotPaid*LoanIsGood,PaymentDate,""), "")</f>
        <v/>
      </c>
      <c r="D88" s="12" t="str">
        <f>IFERROR(IF(LoanIsNotPaid*LoanIsGood,LoanValue,""), "")</f>
        <v/>
      </c>
      <c r="E88" s="12" t="str">
        <f>IFERROR(IF(LoanIsNotPaid*LoanIsGood,MonthlyPayment,""), "")</f>
        <v/>
      </c>
      <c r="F88" s="12" t="str">
        <f>IFERROR(IF(LoanIsNotPaid*LoanIsGood,Principal,""), "")</f>
        <v/>
      </c>
      <c r="G88" s="12" t="str">
        <f>IFERROR(IF(LoanIsNotPaid*LoanIsGood,InterestAmt,""), "")</f>
        <v/>
      </c>
      <c r="H88" s="12" t="str">
        <f>IFERROR(IF(LoanIsNotPaid*LoanIsGood,EndingBalance,""), "")</f>
        <v/>
      </c>
    </row>
    <row r="89" spans="2:8" ht="20.149999999999999" customHeight="1">
      <c r="B89" s="9" t="str">
        <f>IFERROR(IF(LoanIsNotPaid*LoanIsGood,PaymentNumber,""), "")</f>
        <v/>
      </c>
      <c r="C89" s="10" t="str">
        <f>IFERROR(IF(LoanIsNotPaid*LoanIsGood,PaymentDate,""), "")</f>
        <v/>
      </c>
      <c r="D89" s="12" t="str">
        <f>IFERROR(IF(LoanIsNotPaid*LoanIsGood,LoanValue,""), "")</f>
        <v/>
      </c>
      <c r="E89" s="12" t="str">
        <f>IFERROR(IF(LoanIsNotPaid*LoanIsGood,MonthlyPayment,""), "")</f>
        <v/>
      </c>
      <c r="F89" s="12" t="str">
        <f>IFERROR(IF(LoanIsNotPaid*LoanIsGood,Principal,""), "")</f>
        <v/>
      </c>
      <c r="G89" s="12" t="str">
        <f>IFERROR(IF(LoanIsNotPaid*LoanIsGood,InterestAmt,""), "")</f>
        <v/>
      </c>
      <c r="H89" s="12" t="str">
        <f>IFERROR(IF(LoanIsNotPaid*LoanIsGood,EndingBalance,""), "")</f>
        <v/>
      </c>
    </row>
    <row r="90" spans="2:8" ht="20.149999999999999" customHeight="1">
      <c r="B90" s="9" t="str">
        <f>IFERROR(IF(LoanIsNotPaid*LoanIsGood,PaymentNumber,""), "")</f>
        <v/>
      </c>
      <c r="C90" s="10" t="str">
        <f>IFERROR(IF(LoanIsNotPaid*LoanIsGood,PaymentDate,""), "")</f>
        <v/>
      </c>
      <c r="D90" s="12" t="str">
        <f>IFERROR(IF(LoanIsNotPaid*LoanIsGood,LoanValue,""), "")</f>
        <v/>
      </c>
      <c r="E90" s="12" t="str">
        <f>IFERROR(IF(LoanIsNotPaid*LoanIsGood,MonthlyPayment,""), "")</f>
        <v/>
      </c>
      <c r="F90" s="12" t="str">
        <f>IFERROR(IF(LoanIsNotPaid*LoanIsGood,Principal,""), "")</f>
        <v/>
      </c>
      <c r="G90" s="12" t="str">
        <f>IFERROR(IF(LoanIsNotPaid*LoanIsGood,InterestAmt,""), "")</f>
        <v/>
      </c>
      <c r="H90" s="12" t="str">
        <f>IFERROR(IF(LoanIsNotPaid*LoanIsGood,EndingBalance,""), "")</f>
        <v/>
      </c>
    </row>
    <row r="91" spans="2:8" ht="20.149999999999999" customHeight="1">
      <c r="B91" s="9" t="str">
        <f>IFERROR(IF(LoanIsNotPaid*LoanIsGood,PaymentNumber,""), "")</f>
        <v/>
      </c>
      <c r="C91" s="10" t="str">
        <f>IFERROR(IF(LoanIsNotPaid*LoanIsGood,PaymentDate,""), "")</f>
        <v/>
      </c>
      <c r="D91" s="12" t="str">
        <f>IFERROR(IF(LoanIsNotPaid*LoanIsGood,LoanValue,""), "")</f>
        <v/>
      </c>
      <c r="E91" s="12" t="str">
        <f>IFERROR(IF(LoanIsNotPaid*LoanIsGood,MonthlyPayment,""), "")</f>
        <v/>
      </c>
      <c r="F91" s="12" t="str">
        <f>IFERROR(IF(LoanIsNotPaid*LoanIsGood,Principal,""), "")</f>
        <v/>
      </c>
      <c r="G91" s="12" t="str">
        <f>IFERROR(IF(LoanIsNotPaid*LoanIsGood,InterestAmt,""), "")</f>
        <v/>
      </c>
      <c r="H91" s="12" t="str">
        <f>IFERROR(IF(LoanIsNotPaid*LoanIsGood,EndingBalance,""), "")</f>
        <v/>
      </c>
    </row>
    <row r="92" spans="2:8" ht="20.149999999999999" customHeight="1">
      <c r="B92" s="9" t="str">
        <f>IFERROR(IF(LoanIsNotPaid*LoanIsGood,PaymentNumber,""), "")</f>
        <v/>
      </c>
      <c r="C92" s="10" t="str">
        <f>IFERROR(IF(LoanIsNotPaid*LoanIsGood,PaymentDate,""), "")</f>
        <v/>
      </c>
      <c r="D92" s="12" t="str">
        <f>IFERROR(IF(LoanIsNotPaid*LoanIsGood,LoanValue,""), "")</f>
        <v/>
      </c>
      <c r="E92" s="12" t="str">
        <f>IFERROR(IF(LoanIsNotPaid*LoanIsGood,MonthlyPayment,""), "")</f>
        <v/>
      </c>
      <c r="F92" s="12" t="str">
        <f>IFERROR(IF(LoanIsNotPaid*LoanIsGood,Principal,""), "")</f>
        <v/>
      </c>
      <c r="G92" s="12" t="str">
        <f>IFERROR(IF(LoanIsNotPaid*LoanIsGood,InterestAmt,""), "")</f>
        <v/>
      </c>
      <c r="H92" s="12" t="str">
        <f>IFERROR(IF(LoanIsNotPaid*LoanIsGood,EndingBalance,""), "")</f>
        <v/>
      </c>
    </row>
    <row r="93" spans="2:8" ht="20.149999999999999" customHeight="1">
      <c r="B93" s="9" t="str">
        <f>IFERROR(IF(LoanIsNotPaid*LoanIsGood,PaymentNumber,""), "")</f>
        <v/>
      </c>
      <c r="C93" s="10" t="str">
        <f>IFERROR(IF(LoanIsNotPaid*LoanIsGood,PaymentDate,""), "")</f>
        <v/>
      </c>
      <c r="D93" s="12" t="str">
        <f>IFERROR(IF(LoanIsNotPaid*LoanIsGood,LoanValue,""), "")</f>
        <v/>
      </c>
      <c r="E93" s="12" t="str">
        <f>IFERROR(IF(LoanIsNotPaid*LoanIsGood,MonthlyPayment,""), "")</f>
        <v/>
      </c>
      <c r="F93" s="12" t="str">
        <f>IFERROR(IF(LoanIsNotPaid*LoanIsGood,Principal,""), "")</f>
        <v/>
      </c>
      <c r="G93" s="12" t="str">
        <f>IFERROR(IF(LoanIsNotPaid*LoanIsGood,InterestAmt,""), "")</f>
        <v/>
      </c>
      <c r="H93" s="12" t="str">
        <f>IFERROR(IF(LoanIsNotPaid*LoanIsGood,EndingBalance,""), "")</f>
        <v/>
      </c>
    </row>
    <row r="94" spans="2:8" ht="20.149999999999999" customHeight="1">
      <c r="B94" s="9" t="str">
        <f>IFERROR(IF(LoanIsNotPaid*LoanIsGood,PaymentNumber,""), "")</f>
        <v/>
      </c>
      <c r="C94" s="10" t="str">
        <f>IFERROR(IF(LoanIsNotPaid*LoanIsGood,PaymentDate,""), "")</f>
        <v/>
      </c>
      <c r="D94" s="12" t="str">
        <f>IFERROR(IF(LoanIsNotPaid*LoanIsGood,LoanValue,""), "")</f>
        <v/>
      </c>
      <c r="E94" s="12" t="str">
        <f>IFERROR(IF(LoanIsNotPaid*LoanIsGood,MonthlyPayment,""), "")</f>
        <v/>
      </c>
      <c r="F94" s="12" t="str">
        <f>IFERROR(IF(LoanIsNotPaid*LoanIsGood,Principal,""), "")</f>
        <v/>
      </c>
      <c r="G94" s="12" t="str">
        <f>IFERROR(IF(LoanIsNotPaid*LoanIsGood,InterestAmt,""), "")</f>
        <v/>
      </c>
      <c r="H94" s="12" t="str">
        <f>IFERROR(IF(LoanIsNotPaid*LoanIsGood,EndingBalance,""), "")</f>
        <v/>
      </c>
    </row>
    <row r="95" spans="2:8" ht="20.149999999999999" customHeight="1">
      <c r="B95" s="9" t="str">
        <f>IFERROR(IF(LoanIsNotPaid*LoanIsGood,PaymentNumber,""), "")</f>
        <v/>
      </c>
      <c r="C95" s="10" t="str">
        <f>IFERROR(IF(LoanIsNotPaid*LoanIsGood,PaymentDate,""), "")</f>
        <v/>
      </c>
      <c r="D95" s="12" t="str">
        <f>IFERROR(IF(LoanIsNotPaid*LoanIsGood,LoanValue,""), "")</f>
        <v/>
      </c>
      <c r="E95" s="12" t="str">
        <f>IFERROR(IF(LoanIsNotPaid*LoanIsGood,MonthlyPayment,""), "")</f>
        <v/>
      </c>
      <c r="F95" s="12" t="str">
        <f>IFERROR(IF(LoanIsNotPaid*LoanIsGood,Principal,""), "")</f>
        <v/>
      </c>
      <c r="G95" s="12" t="str">
        <f>IFERROR(IF(LoanIsNotPaid*LoanIsGood,InterestAmt,""), "")</f>
        <v/>
      </c>
      <c r="H95" s="12" t="str">
        <f>IFERROR(IF(LoanIsNotPaid*LoanIsGood,EndingBalance,""), "")</f>
        <v/>
      </c>
    </row>
    <row r="96" spans="2:8" ht="20.149999999999999" customHeight="1">
      <c r="B96" s="9" t="str">
        <f>IFERROR(IF(LoanIsNotPaid*LoanIsGood,PaymentNumber,""), "")</f>
        <v/>
      </c>
      <c r="C96" s="10" t="str">
        <f>IFERROR(IF(LoanIsNotPaid*LoanIsGood,PaymentDate,""), "")</f>
        <v/>
      </c>
      <c r="D96" s="12" t="str">
        <f>IFERROR(IF(LoanIsNotPaid*LoanIsGood,LoanValue,""), "")</f>
        <v/>
      </c>
      <c r="E96" s="12" t="str">
        <f>IFERROR(IF(LoanIsNotPaid*LoanIsGood,MonthlyPayment,""), "")</f>
        <v/>
      </c>
      <c r="F96" s="12" t="str">
        <f>IFERROR(IF(LoanIsNotPaid*LoanIsGood,Principal,""), "")</f>
        <v/>
      </c>
      <c r="G96" s="12" t="str">
        <f>IFERROR(IF(LoanIsNotPaid*LoanIsGood,InterestAmt,""), "")</f>
        <v/>
      </c>
      <c r="H96" s="12" t="str">
        <f>IFERROR(IF(LoanIsNotPaid*LoanIsGood,EndingBalance,""), "")</f>
        <v/>
      </c>
    </row>
    <row r="97" spans="2:8" ht="20.149999999999999" customHeight="1">
      <c r="B97" s="9" t="str">
        <f>IFERROR(IF(LoanIsNotPaid*LoanIsGood,PaymentNumber,""), "")</f>
        <v/>
      </c>
      <c r="C97" s="10" t="str">
        <f>IFERROR(IF(LoanIsNotPaid*LoanIsGood,PaymentDate,""), "")</f>
        <v/>
      </c>
      <c r="D97" s="12" t="str">
        <f>IFERROR(IF(LoanIsNotPaid*LoanIsGood,LoanValue,""), "")</f>
        <v/>
      </c>
      <c r="E97" s="12" t="str">
        <f>IFERROR(IF(LoanIsNotPaid*LoanIsGood,MonthlyPayment,""), "")</f>
        <v/>
      </c>
      <c r="F97" s="12" t="str">
        <f>IFERROR(IF(LoanIsNotPaid*LoanIsGood,Principal,""), "")</f>
        <v/>
      </c>
      <c r="G97" s="12" t="str">
        <f>IFERROR(IF(LoanIsNotPaid*LoanIsGood,InterestAmt,""), "")</f>
        <v/>
      </c>
      <c r="H97" s="12" t="str">
        <f>IFERROR(IF(LoanIsNotPaid*LoanIsGood,EndingBalance,""), "")</f>
        <v/>
      </c>
    </row>
    <row r="98" spans="2:8" ht="20.149999999999999" customHeight="1">
      <c r="B98" s="9" t="str">
        <f>IFERROR(IF(LoanIsNotPaid*LoanIsGood,PaymentNumber,""), "")</f>
        <v/>
      </c>
      <c r="C98" s="10" t="str">
        <f>IFERROR(IF(LoanIsNotPaid*LoanIsGood,PaymentDate,""), "")</f>
        <v/>
      </c>
      <c r="D98" s="12" t="str">
        <f>IFERROR(IF(LoanIsNotPaid*LoanIsGood,LoanValue,""), "")</f>
        <v/>
      </c>
      <c r="E98" s="12" t="str">
        <f>IFERROR(IF(LoanIsNotPaid*LoanIsGood,MonthlyPayment,""), "")</f>
        <v/>
      </c>
      <c r="F98" s="12" t="str">
        <f>IFERROR(IF(LoanIsNotPaid*LoanIsGood,Principal,""), "")</f>
        <v/>
      </c>
      <c r="G98" s="12" t="str">
        <f>IFERROR(IF(LoanIsNotPaid*LoanIsGood,InterestAmt,""), "")</f>
        <v/>
      </c>
      <c r="H98" s="12" t="str">
        <f>IFERROR(IF(LoanIsNotPaid*LoanIsGood,EndingBalance,""), "")</f>
        <v/>
      </c>
    </row>
    <row r="99" spans="2:8" ht="20.149999999999999" customHeight="1">
      <c r="B99" s="9" t="str">
        <f>IFERROR(IF(LoanIsNotPaid*LoanIsGood,PaymentNumber,""), "")</f>
        <v/>
      </c>
      <c r="C99" s="10" t="str">
        <f>IFERROR(IF(LoanIsNotPaid*LoanIsGood,PaymentDate,""), "")</f>
        <v/>
      </c>
      <c r="D99" s="12" t="str">
        <f>IFERROR(IF(LoanIsNotPaid*LoanIsGood,LoanValue,""), "")</f>
        <v/>
      </c>
      <c r="E99" s="12" t="str">
        <f>IFERROR(IF(LoanIsNotPaid*LoanIsGood,MonthlyPayment,""), "")</f>
        <v/>
      </c>
      <c r="F99" s="12" t="str">
        <f>IFERROR(IF(LoanIsNotPaid*LoanIsGood,Principal,""), "")</f>
        <v/>
      </c>
      <c r="G99" s="12" t="str">
        <f>IFERROR(IF(LoanIsNotPaid*LoanIsGood,InterestAmt,""), "")</f>
        <v/>
      </c>
      <c r="H99" s="12" t="str">
        <f>IFERROR(IF(LoanIsNotPaid*LoanIsGood,EndingBalance,""), "")</f>
        <v/>
      </c>
    </row>
    <row r="100" spans="2:8" ht="20.149999999999999" customHeight="1">
      <c r="B100" s="9" t="str">
        <f>IFERROR(IF(LoanIsNotPaid*LoanIsGood,PaymentNumber,""), "")</f>
        <v/>
      </c>
      <c r="C100" s="10" t="str">
        <f>IFERROR(IF(LoanIsNotPaid*LoanIsGood,PaymentDate,""), "")</f>
        <v/>
      </c>
      <c r="D100" s="12" t="str">
        <f>IFERROR(IF(LoanIsNotPaid*LoanIsGood,LoanValue,""), "")</f>
        <v/>
      </c>
      <c r="E100" s="12" t="str">
        <f>IFERROR(IF(LoanIsNotPaid*LoanIsGood,MonthlyPayment,""), "")</f>
        <v/>
      </c>
      <c r="F100" s="12" t="str">
        <f>IFERROR(IF(LoanIsNotPaid*LoanIsGood,Principal,""), "")</f>
        <v/>
      </c>
      <c r="G100" s="12" t="str">
        <f>IFERROR(IF(LoanIsNotPaid*LoanIsGood,InterestAmt,""), "")</f>
        <v/>
      </c>
      <c r="H100" s="12" t="str">
        <f>IFERROR(IF(LoanIsNotPaid*LoanIsGood,EndingBalance,""), "")</f>
        <v/>
      </c>
    </row>
    <row r="101" spans="2:8" ht="20.149999999999999" customHeight="1">
      <c r="B101" s="9" t="str">
        <f>IFERROR(IF(LoanIsNotPaid*LoanIsGood,PaymentNumber,""), "")</f>
        <v/>
      </c>
      <c r="C101" s="10" t="str">
        <f>IFERROR(IF(LoanIsNotPaid*LoanIsGood,PaymentDate,""), "")</f>
        <v/>
      </c>
      <c r="D101" s="12" t="str">
        <f>IFERROR(IF(LoanIsNotPaid*LoanIsGood,LoanValue,""), "")</f>
        <v/>
      </c>
      <c r="E101" s="12" t="str">
        <f>IFERROR(IF(LoanIsNotPaid*LoanIsGood,MonthlyPayment,""), "")</f>
        <v/>
      </c>
      <c r="F101" s="12" t="str">
        <f>IFERROR(IF(LoanIsNotPaid*LoanIsGood,Principal,""), "")</f>
        <v/>
      </c>
      <c r="G101" s="12" t="str">
        <f>IFERROR(IF(LoanIsNotPaid*LoanIsGood,InterestAmt,""), "")</f>
        <v/>
      </c>
      <c r="H101" s="12" t="str">
        <f>IFERROR(IF(LoanIsNotPaid*LoanIsGood,EndingBalance,""), "")</f>
        <v/>
      </c>
    </row>
    <row r="102" spans="2:8" ht="20.149999999999999" customHeight="1">
      <c r="B102" s="9" t="str">
        <f>IFERROR(IF(LoanIsNotPaid*LoanIsGood,PaymentNumber,""), "")</f>
        <v/>
      </c>
      <c r="C102" s="10" t="str">
        <f>IFERROR(IF(LoanIsNotPaid*LoanIsGood,PaymentDate,""), "")</f>
        <v/>
      </c>
      <c r="D102" s="12" t="str">
        <f>IFERROR(IF(LoanIsNotPaid*LoanIsGood,LoanValue,""), "")</f>
        <v/>
      </c>
      <c r="E102" s="12" t="str">
        <f>IFERROR(IF(LoanIsNotPaid*LoanIsGood,MonthlyPayment,""), "")</f>
        <v/>
      </c>
      <c r="F102" s="12" t="str">
        <f>IFERROR(IF(LoanIsNotPaid*LoanIsGood,Principal,""), "")</f>
        <v/>
      </c>
      <c r="G102" s="12" t="str">
        <f>IFERROR(IF(LoanIsNotPaid*LoanIsGood,InterestAmt,""), "")</f>
        <v/>
      </c>
      <c r="H102" s="12" t="str">
        <f>IFERROR(IF(LoanIsNotPaid*LoanIsGood,EndingBalance,""), "")</f>
        <v/>
      </c>
    </row>
    <row r="103" spans="2:8" ht="20.149999999999999" customHeight="1">
      <c r="B103" s="9" t="str">
        <f>IFERROR(IF(LoanIsNotPaid*LoanIsGood,PaymentNumber,""), "")</f>
        <v/>
      </c>
      <c r="C103" s="10" t="str">
        <f>IFERROR(IF(LoanIsNotPaid*LoanIsGood,PaymentDate,""), "")</f>
        <v/>
      </c>
      <c r="D103" s="12" t="str">
        <f>IFERROR(IF(LoanIsNotPaid*LoanIsGood,LoanValue,""), "")</f>
        <v/>
      </c>
      <c r="E103" s="12" t="str">
        <f>IFERROR(IF(LoanIsNotPaid*LoanIsGood,MonthlyPayment,""), "")</f>
        <v/>
      </c>
      <c r="F103" s="12" t="str">
        <f>IFERROR(IF(LoanIsNotPaid*LoanIsGood,Principal,""), "")</f>
        <v/>
      </c>
      <c r="G103" s="12" t="str">
        <f>IFERROR(IF(LoanIsNotPaid*LoanIsGood,InterestAmt,""), "")</f>
        <v/>
      </c>
      <c r="H103" s="12" t="str">
        <f>IFERROR(IF(LoanIsNotPaid*LoanIsGood,EndingBalance,""), "")</f>
        <v/>
      </c>
    </row>
    <row r="104" spans="2:8" ht="20.149999999999999" customHeight="1">
      <c r="B104" s="9" t="str">
        <f>IFERROR(IF(LoanIsNotPaid*LoanIsGood,PaymentNumber,""), "")</f>
        <v/>
      </c>
      <c r="C104" s="10" t="str">
        <f>IFERROR(IF(LoanIsNotPaid*LoanIsGood,PaymentDate,""), "")</f>
        <v/>
      </c>
      <c r="D104" s="12" t="str">
        <f>IFERROR(IF(LoanIsNotPaid*LoanIsGood,LoanValue,""), "")</f>
        <v/>
      </c>
      <c r="E104" s="12" t="str">
        <f>IFERROR(IF(LoanIsNotPaid*LoanIsGood,MonthlyPayment,""), "")</f>
        <v/>
      </c>
      <c r="F104" s="12" t="str">
        <f>IFERROR(IF(LoanIsNotPaid*LoanIsGood,Principal,""), "")</f>
        <v/>
      </c>
      <c r="G104" s="12" t="str">
        <f>IFERROR(IF(LoanIsNotPaid*LoanIsGood,InterestAmt,""), "")</f>
        <v/>
      </c>
      <c r="H104" s="12" t="str">
        <f>IFERROR(IF(LoanIsNotPaid*LoanIsGood,EndingBalance,""), "")</f>
        <v/>
      </c>
    </row>
    <row r="105" spans="2:8" ht="20.149999999999999" customHeight="1">
      <c r="B105" s="9" t="str">
        <f>IFERROR(IF(LoanIsNotPaid*LoanIsGood,PaymentNumber,""), "")</f>
        <v/>
      </c>
      <c r="C105" s="10" t="str">
        <f>IFERROR(IF(LoanIsNotPaid*LoanIsGood,PaymentDate,""), "")</f>
        <v/>
      </c>
      <c r="D105" s="12" t="str">
        <f>IFERROR(IF(LoanIsNotPaid*LoanIsGood,LoanValue,""), "")</f>
        <v/>
      </c>
      <c r="E105" s="12" t="str">
        <f>IFERROR(IF(LoanIsNotPaid*LoanIsGood,MonthlyPayment,""), "")</f>
        <v/>
      </c>
      <c r="F105" s="12" t="str">
        <f>IFERROR(IF(LoanIsNotPaid*LoanIsGood,Principal,""), "")</f>
        <v/>
      </c>
      <c r="G105" s="12" t="str">
        <f>IFERROR(IF(LoanIsNotPaid*LoanIsGood,InterestAmt,""), "")</f>
        <v/>
      </c>
      <c r="H105" s="12" t="str">
        <f>IFERROR(IF(LoanIsNotPaid*LoanIsGood,EndingBalance,""), "")</f>
        <v/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48" priority="4" stopIfTrue="1">
      <formula>NOT(LoanIsNotPaid)</formula>
    </cfRule>
    <cfRule type="expression" dxfId="47" priority="5" stopIfTrue="1">
      <formula>IF(ROW(B10)=LastRow,TRUE,FALSE)</formula>
    </cfRule>
  </conditionalFormatting>
  <conditionalFormatting sqref="B10:H369">
    <cfRule type="expression" dxfId="46" priority="1">
      <formula>$B10=""</formula>
    </cfRule>
  </conditionalFormatting>
  <conditionalFormatting sqref="C10:G369">
    <cfRule type="expression" dxfId="45" priority="2" stopIfTrue="1">
      <formula>NOT(LoanIsNotPaid)</formula>
    </cfRule>
    <cfRule type="expression" dxfId="44" priority="3" stopIfTrue="1">
      <formula>IF(ROW(C10)=LastRow,TRUE,FALSE)</formula>
    </cfRule>
  </conditionalFormatting>
  <conditionalFormatting sqref="H10:H369">
    <cfRule type="expression" dxfId="43" priority="6" stopIfTrue="1">
      <formula>NOT(LoanIsNotPaid)</formula>
    </cfRule>
    <cfRule type="expression" dxfId="42" priority="7" stopIfTrue="1">
      <formula>IF(ROW(H10)=LastRow,TRUE,FALSE)</formula>
    </cfRule>
  </conditionalFormatting>
  <dataValidations count="27">
    <dataValidation allowBlank="1" showInputMessage="1" showErrorMessage="1" prompt="Enter Loan Values in cells D4 through D7 for each description in cells below. Loan Summary in cells H4 through H7 and Loan table are automatically updated" sqref="B3:D3" xr:uid="{7398FD27-3E8C-4C05-95E6-7A2C5C345A80}"/>
    <dataValidation allowBlank="1" showInputMessage="1" showErrorMessage="1" prompt="Ending Balance is automatically updated in this column under this heading" sqref="H9" xr:uid="{F39A06E9-7B94-48A8-90C2-5CD0D1F0938C}"/>
    <dataValidation allowBlank="1" showInputMessage="1" showErrorMessage="1" prompt="Interest amount is automatically updated in this column under this heading" sqref="G9" xr:uid="{CBF11DEE-D98A-46A2-B734-DD63BC058EB0}"/>
    <dataValidation allowBlank="1" showInputMessage="1" showErrorMessage="1" prompt="Principal amount is automatically updated in this column under this heading" sqref="F9" xr:uid="{F55F5A31-7532-4B11-8408-774BEDBF3808}"/>
    <dataValidation allowBlank="1" showInputMessage="1" showErrorMessage="1" prompt="Payment amount is automatically calculated in this column under this heading" sqref="E9" xr:uid="{7B1F68A7-0C09-4FC5-9FC1-5FF3AD03ECDE}"/>
    <dataValidation allowBlank="1" showInputMessage="1" showErrorMessage="1" prompt="Beginning Balance is automatically calculated in this column under this heading" sqref="D9" xr:uid="{4361AE82-C204-4A93-B739-6CA8F0E033D7}"/>
    <dataValidation allowBlank="1" showInputMessage="1" showErrorMessage="1" prompt="Payment Date is automatically updated in this column under this heading" sqref="C9" xr:uid="{49C3C5F5-F12D-4E9B-B164-BCFE70B8DB8C}"/>
    <dataValidation allowBlank="1" showInputMessage="1" showErrorMessage="1" prompt="Payment Number is automatically updated in this column under this heading" sqref="B9" xr:uid="{2C3531E1-91D5-4346-B80A-2DBE346EC633}"/>
    <dataValidation allowBlank="1" showInputMessage="1" showErrorMessage="1" prompt="Number of payments is automatically calculated in this cell" sqref="H5" xr:uid="{BEC2093D-2A8E-4BA5-8586-84C19BA98683}"/>
    <dataValidation allowBlank="1" showInputMessage="1" showErrorMessage="1" prompt="Total interest is automatically calculated in this cell" sqref="H6" xr:uid="{D3649FFE-658E-4F42-9422-E395E76B6FC9}"/>
    <dataValidation allowBlank="1" showInputMessage="1" showErrorMessage="1" prompt="Total cost of loan is automatically calculated in this cell" sqref="H7" xr:uid="{DF5F23A1-05A8-4B5C-A51C-E61D0305FB15}"/>
    <dataValidation allowBlank="1" showInputMessage="1" showErrorMessage="1" prompt="Total cost of loan is automatically calculated in cell at right" sqref="F7:G7" xr:uid="{3304D8B1-F02C-44E2-86C2-BBDA3482884D}"/>
    <dataValidation allowBlank="1" showInputMessage="1" showErrorMessage="1" prompt="Total interest is automatically calculated in cell at right" sqref="F6:G6" xr:uid="{CB4E96F0-10F5-4A08-83BB-F48EF1A0F143}"/>
    <dataValidation allowBlank="1" showInputMessage="1" showErrorMessage="1" prompt="Number of payments is automatically calculated in cell at right" sqref="F5:G5" xr:uid="{7483CE7C-98DD-4FD3-BB39-481A7CBCA246}"/>
    <dataValidation allowBlank="1" showInputMessage="1" showErrorMessage="1" prompt="Monthly payment is automatically calculated in cell at right" sqref="F4:G4" xr:uid="{075A8781-C23F-40B5-8E2F-8A1BA9046D93}"/>
    <dataValidation allowBlank="1" showInputMessage="1" showErrorMessage="1" prompt="Monthly payment is automatically calculated in this cell" sqref="H4" xr:uid="{AA71B20C-E727-4CE1-8DB6-AE595A75E431}"/>
    <dataValidation allowBlank="1" showInputMessage="1" showErrorMessage="1" prompt="Enter Start date of loan in cell at right" sqref="B7:C7" xr:uid="{F24BD965-16B7-4850-9B93-4128A6B43BA3}"/>
    <dataValidation allowBlank="1" showInputMessage="1" showErrorMessage="1" prompt="Enter Start date of loan in this cell" sqref="D7" xr:uid="{6D3D2DE6-A600-4081-9EE5-28A502AC7D55}"/>
    <dataValidation allowBlank="1" showInputMessage="1" showErrorMessage="1" prompt="Enter Loan period in years in cell at right" sqref="B6:C6" xr:uid="{8370F1F6-0749-4440-9C17-9377F9D35D27}"/>
    <dataValidation allowBlank="1" showInputMessage="1" showErrorMessage="1" prompt="Enter Loan period in years in this cell" sqref="D6" xr:uid="{51CD4CCF-406B-40D4-AA75-70809068B85B}"/>
    <dataValidation allowBlank="1" showInputMessage="1" showErrorMessage="1" prompt="Enter Annual interest rate in cell at right" sqref="B5:C5" xr:uid="{BB4EB711-F536-490B-AE3A-9F6D353DF9C2}"/>
    <dataValidation allowBlank="1" showInputMessage="1" showErrorMessage="1" prompt="Enter Annual interest rate in this cell" sqref="D5" xr:uid="{A4FB1015-D91F-4424-9832-FC3AEF380272}"/>
    <dataValidation allowBlank="1" showInputMessage="1" showErrorMessage="1" prompt="Enter Loan amount in cell at right" sqref="B4:C4" xr:uid="{24FB16FE-B528-4E23-A4C7-646C9C9B37BD}"/>
    <dataValidation allowBlank="1" showInputMessage="1" showErrorMessage="1" prompt="Enter Loan amount in this cell" sqref="D4" xr:uid="{C8DF456A-3A0B-4786-8C16-0545A9D713A4}"/>
    <dataValidation allowBlank="1" showInputMessage="1" showErrorMessage="1" prompt="Loan Summary is automatically updated in cells below" sqref="F3" xr:uid="{39BF7FB0-31D6-456B-8E0E-F7F427D31DEA}"/>
    <dataValidation allowBlank="1" showInputMessage="1" showErrorMessage="1" prompt="Title of this worksheet is in this cell. Enter Loan Values in cells D3 through D6. Loan Summary in cells H3 through H6 and Loan table are automatically updated" sqref="B1:B2" xr:uid="{1F06767E-D985-4A9F-806A-0DA70086FEEB}"/>
    <dataValidation allowBlank="1" showInputMessage="1" showErrorMessage="1" prompt="Make a loan repayment schedule using this Loan Calculator worksheet. Total interest and total payments are automatically calculated" sqref="A1:A2" xr:uid="{0E7B7B53-B25B-47EB-890D-B5E216AE3992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D8D8-E102-428E-AB78-D84DA39FB1AE}">
  <sheetPr>
    <tabColor theme="4"/>
    <pageSetUpPr fitToPage="1"/>
  </sheetPr>
  <dimension ref="B1:H369"/>
  <sheetViews>
    <sheetView showGridLines="0" tabSelected="1" zoomScale="80" zoomScaleNormal="80" workbookViewId="0">
      <pane ySplit="9" topLeftCell="A27" activePane="bottomLeft" state="frozenSplit"/>
      <selection activeCell="D40" sqref="D40"/>
      <selection pane="bottomLeft" activeCell="F38" sqref="F38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1015080</v>
      </c>
      <c r="E4"/>
      <c r="F4" s="43" t="s">
        <v>4</v>
      </c>
      <c r="G4" s="43"/>
      <c r="H4" s="13">
        <f>IFERROR(IF(LoanIsGood,MonthlyPayment,""), "")</f>
        <v>29290.176345397882</v>
      </c>
    </row>
    <row r="5" spans="2:8" ht="20.149999999999999" customHeight="1">
      <c r="B5" s="40" t="s">
        <v>1</v>
      </c>
      <c r="C5" s="40"/>
      <c r="D5" s="3">
        <v>0.17</v>
      </c>
      <c r="E5"/>
      <c r="F5" s="40" t="s">
        <v>5</v>
      </c>
      <c r="G5" s="40"/>
      <c r="H5" s="6">
        <v>48</v>
      </c>
    </row>
    <row r="6" spans="2:8" ht="20.149999999999999" customHeight="1">
      <c r="B6" s="40" t="s">
        <v>2</v>
      </c>
      <c r="C6" s="40"/>
      <c r="D6" s="4">
        <v>4</v>
      </c>
      <c r="E6"/>
      <c r="F6" s="40" t="s">
        <v>6</v>
      </c>
      <c r="G6" s="40"/>
      <c r="H6" s="14">
        <f>IFERROR(IF(LoanIsGood,TotalLoanCost-LoanAmount,""), "")</f>
        <v>390848.46457909839</v>
      </c>
    </row>
    <row r="7" spans="2:8" ht="20.149999999999999" customHeight="1">
      <c r="B7" s="40" t="s">
        <v>3</v>
      </c>
      <c r="C7" s="40"/>
      <c r="D7" s="5">
        <v>43954</v>
      </c>
      <c r="E7"/>
      <c r="F7" s="40" t="s">
        <v>7</v>
      </c>
      <c r="G7" s="40"/>
      <c r="H7" s="14">
        <f>IFERROR(IF(LoanIsGood,MonthlyPayment*NumberOfPayments,""), "")</f>
        <v>1405928.4645790984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43985</v>
      </c>
      <c r="D10" s="12">
        <f>IFERROR(IF(LoanIsNotPaid*LoanIsGood,LoanValue,""), "")</f>
        <v>1015080</v>
      </c>
      <c r="E10" s="12">
        <f>IFERROR(IF(LoanIsNotPaid*LoanIsGood,MonthlyPayment,""), "")</f>
        <v>29290.176345397882</v>
      </c>
      <c r="F10" s="12">
        <f>IFERROR(IF(LoanIsNotPaid*LoanIsGood,Principal,""), "")</f>
        <v>14909.876345397883</v>
      </c>
      <c r="G10" s="12">
        <f>IFERROR(IF(LoanIsNotPaid*LoanIsGood,InterestAmt,""), "")</f>
        <v>14380.300000000001</v>
      </c>
      <c r="H10" s="12">
        <f>IFERROR(IF(LoanIsNotPaid*LoanIsGood,EndingBalance,""), "")</f>
        <v>1000170.1236546022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44015</v>
      </c>
      <c r="D11" s="12">
        <f>IFERROR(IF(LoanIsNotPaid*LoanIsGood,LoanValue,""), "")</f>
        <v>1000170.1236546022</v>
      </c>
      <c r="E11" s="12">
        <f>IFERROR(IF(LoanIsNotPaid*LoanIsGood,MonthlyPayment,""), "")</f>
        <v>29290.176345397882</v>
      </c>
      <c r="F11" s="12">
        <f>IFERROR(IF(LoanIsNotPaid*LoanIsGood,Principal,""), "")</f>
        <v>15121.099593624353</v>
      </c>
      <c r="G11" s="12">
        <f>IFERROR(IF(LoanIsNotPaid*LoanIsGood,InterestAmt,""), "")</f>
        <v>14169.076751773533</v>
      </c>
      <c r="H11" s="12">
        <f>IFERROR(IF(LoanIsNotPaid*LoanIsGood,EndingBalance,""), "")</f>
        <v>985049.02406097786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44046</v>
      </c>
      <c r="D12" s="12">
        <f>IFERROR(IF(LoanIsNotPaid*LoanIsGood,LoanValue,""), "")</f>
        <v>985049.02406097786</v>
      </c>
      <c r="E12" s="12">
        <f>IFERROR(IF(LoanIsNotPaid*LoanIsGood,MonthlyPayment,""), "")</f>
        <v>29290.176345397882</v>
      </c>
      <c r="F12" s="12">
        <f>IFERROR(IF(LoanIsNotPaid*LoanIsGood,Principal,""), "")</f>
        <v>15335.315171200698</v>
      </c>
      <c r="G12" s="12">
        <f>IFERROR(IF(LoanIsNotPaid*LoanIsGood,InterestAmt,""), "")</f>
        <v>13954.861174197185</v>
      </c>
      <c r="H12" s="12">
        <f>IFERROR(IF(LoanIsNotPaid*LoanIsGood,EndingBalance,""), "")</f>
        <v>969713.70888977719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44077</v>
      </c>
      <c r="D13" s="12">
        <f>IFERROR(IF(LoanIsNotPaid*LoanIsGood,LoanValue,""), "")</f>
        <v>969713.70888977719</v>
      </c>
      <c r="E13" s="12">
        <f>IFERROR(IF(LoanIsNotPaid*LoanIsGood,MonthlyPayment,""), "")</f>
        <v>29290.176345397882</v>
      </c>
      <c r="F13" s="12">
        <f>IFERROR(IF(LoanIsNotPaid*LoanIsGood,Principal,""), "")</f>
        <v>15552.565469459374</v>
      </c>
      <c r="G13" s="12">
        <f>IFERROR(IF(LoanIsNotPaid*LoanIsGood,InterestAmt,""), "")</f>
        <v>13737.61087593851</v>
      </c>
      <c r="H13" s="12">
        <f>IFERROR(IF(LoanIsNotPaid*LoanIsGood,EndingBalance,""), "")</f>
        <v>954161.14342031791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44107</v>
      </c>
      <c r="D14" s="12">
        <f>IFERROR(IF(LoanIsNotPaid*LoanIsGood,LoanValue,""), "")</f>
        <v>954161.14342031791</v>
      </c>
      <c r="E14" s="12">
        <f>IFERROR(IF(LoanIsNotPaid*LoanIsGood,MonthlyPayment,""), "")</f>
        <v>29290.176345397882</v>
      </c>
      <c r="F14" s="12">
        <f>IFERROR(IF(LoanIsNotPaid*LoanIsGood,Principal,""), "")</f>
        <v>15772.893480276714</v>
      </c>
      <c r="G14" s="12">
        <f>IFERROR(IF(LoanIsNotPaid*LoanIsGood,InterestAmt,""), "")</f>
        <v>13517.282865121166</v>
      </c>
      <c r="H14" s="12">
        <f>IFERROR(IF(LoanIsNotPaid*LoanIsGood,EndingBalance,""), "")</f>
        <v>938388.24994004134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44138</v>
      </c>
      <c r="D15" s="12">
        <f>IFERROR(IF(LoanIsNotPaid*LoanIsGood,LoanValue,""), "")</f>
        <v>938388.24994004134</v>
      </c>
      <c r="E15" s="12">
        <f>IFERROR(IF(LoanIsNotPaid*LoanIsGood,MonthlyPayment,""), "")</f>
        <v>29290.176345397882</v>
      </c>
      <c r="F15" s="12">
        <f>IFERROR(IF(LoanIsNotPaid*LoanIsGood,Principal,""), "")</f>
        <v>15996.342804580638</v>
      </c>
      <c r="G15" s="12">
        <f>IFERROR(IF(LoanIsNotPaid*LoanIsGood,InterestAmt,""), "")</f>
        <v>13293.833540817244</v>
      </c>
      <c r="H15" s="12">
        <f>IFERROR(IF(LoanIsNotPaid*LoanIsGood,EndingBalance,""), "")</f>
        <v>922391.90713546076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44168</v>
      </c>
      <c r="D16" s="12">
        <f>IFERROR(IF(LoanIsNotPaid*LoanIsGood,LoanValue,""), "")</f>
        <v>922391.90713546076</v>
      </c>
      <c r="E16" s="12">
        <f>IFERROR(IF(LoanIsNotPaid*LoanIsGood,MonthlyPayment,""), "")</f>
        <v>29290.176345397882</v>
      </c>
      <c r="F16" s="12">
        <f>IFERROR(IF(LoanIsNotPaid*LoanIsGood,Principal,""), "")</f>
        <v>16222.957660978862</v>
      </c>
      <c r="G16" s="12">
        <f>IFERROR(IF(LoanIsNotPaid*LoanIsGood,InterestAmt,""), "")</f>
        <v>13067.21868441902</v>
      </c>
      <c r="H16" s="12">
        <f>IFERROR(IF(LoanIsNotPaid*LoanIsGood,EndingBalance,""), "")</f>
        <v>906168.94947448175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44199</v>
      </c>
      <c r="D17" s="12">
        <f>IFERROR(IF(LoanIsNotPaid*LoanIsGood,LoanValue,""), "")</f>
        <v>906168.94947448175</v>
      </c>
      <c r="E17" s="12">
        <f>IFERROR(IF(LoanIsNotPaid*LoanIsGood,MonthlyPayment,""), "")</f>
        <v>29290.176345397882</v>
      </c>
      <c r="F17" s="12">
        <f>IFERROR(IF(LoanIsNotPaid*LoanIsGood,Principal,""), "")</f>
        <v>16452.782894509397</v>
      </c>
      <c r="G17" s="12">
        <f>IFERROR(IF(LoanIsNotPaid*LoanIsGood,InterestAmt,""), "")</f>
        <v>12837.393450888487</v>
      </c>
      <c r="H17" s="12">
        <f>IFERROR(IF(LoanIsNotPaid*LoanIsGood,EndingBalance,""), "")</f>
        <v>889716.1665799726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44230</v>
      </c>
      <c r="D18" s="12">
        <f>IFERROR(IF(LoanIsNotPaid*LoanIsGood,LoanValue,""), "")</f>
        <v>889716.1665799726</v>
      </c>
      <c r="E18" s="12">
        <f>IFERROR(IF(LoanIsNotPaid*LoanIsGood,MonthlyPayment,""), "")</f>
        <v>29290.176345397882</v>
      </c>
      <c r="F18" s="12">
        <f>IFERROR(IF(LoanIsNotPaid*LoanIsGood,Principal,""), "")</f>
        <v>16685.863985514945</v>
      </c>
      <c r="G18" s="12">
        <f>IFERROR(IF(LoanIsNotPaid*LoanIsGood,InterestAmt,""), "")</f>
        <v>12604.312359882937</v>
      </c>
      <c r="H18" s="12">
        <f>IFERROR(IF(LoanIsNotPaid*LoanIsGood,EndingBalance,""), "")</f>
        <v>873030.30259445775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44258</v>
      </c>
      <c r="D19" s="12">
        <f>IFERROR(IF(LoanIsNotPaid*LoanIsGood,LoanValue,""), "")</f>
        <v>873030.30259445775</v>
      </c>
      <c r="E19" s="12">
        <f>IFERROR(IF(LoanIsNotPaid*LoanIsGood,MonthlyPayment,""), "")</f>
        <v>29290.176345397882</v>
      </c>
      <c r="F19" s="12">
        <f>IFERROR(IF(LoanIsNotPaid*LoanIsGood,Principal,""), "")</f>
        <v>16922.247058643075</v>
      </c>
      <c r="G19" s="12">
        <f>IFERROR(IF(LoanIsNotPaid*LoanIsGood,InterestAmt,""), "")</f>
        <v>12367.929286754808</v>
      </c>
      <c r="H19" s="12">
        <f>IFERROR(IF(LoanIsNotPaid*LoanIsGood,EndingBalance,""), "")</f>
        <v>856108.05553581484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44289</v>
      </c>
      <c r="D20" s="12">
        <f>IFERROR(IF(LoanIsNotPaid*LoanIsGood,LoanValue,""), "")</f>
        <v>856108.05553581484</v>
      </c>
      <c r="E20" s="12">
        <f>IFERROR(IF(LoanIsNotPaid*LoanIsGood,MonthlyPayment,""), "")</f>
        <v>29290.176345397882</v>
      </c>
      <c r="F20" s="12">
        <f>IFERROR(IF(LoanIsNotPaid*LoanIsGood,Principal,""), "")</f>
        <v>17161.978891973853</v>
      </c>
      <c r="G20" s="12">
        <f>IFERROR(IF(LoanIsNotPaid*LoanIsGood,InterestAmt,""), "")</f>
        <v>12128.197453424031</v>
      </c>
      <c r="H20" s="12">
        <f>IFERROR(IF(LoanIsNotPaid*LoanIsGood,EndingBalance,""), "")</f>
        <v>838946.07664384122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44319</v>
      </c>
      <c r="D21" s="12">
        <f>IFERROR(IF(LoanIsNotPaid*LoanIsGood,LoanValue,""), "")</f>
        <v>838946.07664384122</v>
      </c>
      <c r="E21" s="12">
        <f>IFERROR(IF(LoanIsNotPaid*LoanIsGood,MonthlyPayment,""), "")</f>
        <v>29290.176345397882</v>
      </c>
      <c r="F21" s="12">
        <f>IFERROR(IF(LoanIsNotPaid*LoanIsGood,Principal,""), "")</f>
        <v>17405.106926276814</v>
      </c>
      <c r="G21" s="12">
        <f>IFERROR(IF(LoanIsNotPaid*LoanIsGood,InterestAmt,""), "")</f>
        <v>11885.069419121068</v>
      </c>
      <c r="H21" s="12">
        <f>IFERROR(IF(LoanIsNotPaid*LoanIsGood,EndingBalance,""), "")</f>
        <v>821540.96971756429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44350</v>
      </c>
      <c r="D22" s="12">
        <f>IFERROR(IF(LoanIsNotPaid*LoanIsGood,LoanValue,""), "")</f>
        <v>821540.96971756429</v>
      </c>
      <c r="E22" s="12">
        <f>IFERROR(IF(LoanIsNotPaid*LoanIsGood,MonthlyPayment,""), "")</f>
        <v>29290.176345397882</v>
      </c>
      <c r="F22" s="12">
        <f>IFERROR(IF(LoanIsNotPaid*LoanIsGood,Principal,""), "")</f>
        <v>17651.679274399066</v>
      </c>
      <c r="G22" s="12">
        <f>IFERROR(IF(LoanIsNotPaid*LoanIsGood,InterestAmt,""), "")</f>
        <v>11638.497070998814</v>
      </c>
      <c r="H22" s="12">
        <f>IFERROR(IF(LoanIsNotPaid*LoanIsGood,EndingBalance,""), "")</f>
        <v>803889.29044316534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44380</v>
      </c>
      <c r="D23" s="12">
        <f>IFERROR(IF(LoanIsNotPaid*LoanIsGood,LoanValue,""), "")</f>
        <v>803889.29044316534</v>
      </c>
      <c r="E23" s="12">
        <f>IFERROR(IF(LoanIsNotPaid*LoanIsGood,MonthlyPayment,""), "")</f>
        <v>29290.176345397882</v>
      </c>
      <c r="F23" s="12">
        <f>IFERROR(IF(LoanIsNotPaid*LoanIsGood,Principal,""), "")</f>
        <v>17901.744730786388</v>
      </c>
      <c r="G23" s="12">
        <f>IFERROR(IF(LoanIsNotPaid*LoanIsGood,InterestAmt,""), "")</f>
        <v>11388.431614611492</v>
      </c>
      <c r="H23" s="12">
        <f>IFERROR(IF(LoanIsNotPaid*LoanIsGood,EndingBalance,""), "")</f>
        <v>785987.54571237892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44411</v>
      </c>
      <c r="D24" s="12">
        <f>IFERROR(IF(LoanIsNotPaid*LoanIsGood,LoanValue,""), "")</f>
        <v>785987.54571237892</v>
      </c>
      <c r="E24" s="12">
        <f>IFERROR(IF(LoanIsNotPaid*LoanIsGood,MonthlyPayment,""), "")</f>
        <v>29290.176345397882</v>
      </c>
      <c r="F24" s="12">
        <f>IFERROR(IF(LoanIsNotPaid*LoanIsGood,Principal,""), "")</f>
        <v>18155.352781139194</v>
      </c>
      <c r="G24" s="12">
        <f>IFERROR(IF(LoanIsNotPaid*LoanIsGood,InterestAmt,""), "")</f>
        <v>11134.823564258688</v>
      </c>
      <c r="H24" s="12">
        <f>IFERROR(IF(LoanIsNotPaid*LoanIsGood,EndingBalance,""), "")</f>
        <v>767832.19293123973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44442</v>
      </c>
      <c r="D25" s="12">
        <f>IFERROR(IF(LoanIsNotPaid*LoanIsGood,LoanValue,""), "")</f>
        <v>767832.19293123973</v>
      </c>
      <c r="E25" s="12">
        <f>IFERROR(IF(LoanIsNotPaid*LoanIsGood,MonthlyPayment,""), "")</f>
        <v>29290.176345397882</v>
      </c>
      <c r="F25" s="12">
        <f>IFERROR(IF(LoanIsNotPaid*LoanIsGood,Principal,""), "")</f>
        <v>18412.553612205335</v>
      </c>
      <c r="G25" s="12">
        <f>IFERROR(IF(LoanIsNotPaid*LoanIsGood,InterestAmt,""), "")</f>
        <v>10877.622733192549</v>
      </c>
      <c r="H25" s="12">
        <f>IFERROR(IF(LoanIsNotPaid*LoanIsGood,EndingBalance,""), "")</f>
        <v>749419.63931903488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44472</v>
      </c>
      <c r="D26" s="12">
        <f>IFERROR(IF(LoanIsNotPaid*LoanIsGood,LoanValue,""), "")</f>
        <v>749419.63931903488</v>
      </c>
      <c r="E26" s="12">
        <f>IFERROR(IF(LoanIsNotPaid*LoanIsGood,MonthlyPayment,""), "")</f>
        <v>29290.176345397882</v>
      </c>
      <c r="F26" s="12">
        <f>IFERROR(IF(LoanIsNotPaid*LoanIsGood,Principal,""), "")</f>
        <v>18673.398121711576</v>
      </c>
      <c r="G26" s="12">
        <f>IFERROR(IF(LoanIsNotPaid*LoanIsGood,InterestAmt,""), "")</f>
        <v>10616.778223686306</v>
      </c>
      <c r="H26" s="12">
        <f>IFERROR(IF(LoanIsNotPaid*LoanIsGood,EndingBalance,""), "")</f>
        <v>730746.24119732331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44503</v>
      </c>
      <c r="D27" s="12">
        <f>IFERROR(IF(LoanIsNotPaid*LoanIsGood,LoanValue,""), "")</f>
        <v>730746.24119732331</v>
      </c>
      <c r="E27" s="12">
        <f>IFERROR(IF(LoanIsNotPaid*LoanIsGood,MonthlyPayment,""), "")</f>
        <v>29290.176345397882</v>
      </c>
      <c r="F27" s="12">
        <f>IFERROR(IF(LoanIsNotPaid*LoanIsGood,Principal,""), "")</f>
        <v>18937.937928435822</v>
      </c>
      <c r="G27" s="12">
        <f>IFERROR(IF(LoanIsNotPaid*LoanIsGood,InterestAmt,""), "")</f>
        <v>10352.238416962058</v>
      </c>
      <c r="H27" s="12">
        <f>IFERROR(IF(LoanIsNotPaid*LoanIsGood,EndingBalance,""), "")</f>
        <v>711808.30326888745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44533</v>
      </c>
      <c r="D28" s="12">
        <f>IFERROR(IF(LoanIsNotPaid*LoanIsGood,LoanValue,""), "")</f>
        <v>711808.30326888745</v>
      </c>
      <c r="E28" s="12">
        <f>IFERROR(IF(LoanIsNotPaid*LoanIsGood,MonthlyPayment,""), "")</f>
        <v>29290.176345397882</v>
      </c>
      <c r="F28" s="12">
        <f>IFERROR(IF(LoanIsNotPaid*LoanIsGood,Principal,""), "")</f>
        <v>19206.225382421999</v>
      </c>
      <c r="G28" s="12">
        <f>IFERROR(IF(LoanIsNotPaid*LoanIsGood,InterestAmt,""), "")</f>
        <v>10083.950962975883</v>
      </c>
      <c r="H28" s="12">
        <f>IFERROR(IF(LoanIsNotPaid*LoanIsGood,EndingBalance,""), "")</f>
        <v>692602.07788646559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44564</v>
      </c>
      <c r="D29" s="12">
        <f>IFERROR(IF(LoanIsNotPaid*LoanIsGood,LoanValue,""), "")</f>
        <v>692602.07788646559</v>
      </c>
      <c r="E29" s="12">
        <f>IFERROR(IF(LoanIsNotPaid*LoanIsGood,MonthlyPayment,""), "")</f>
        <v>29290.176345397882</v>
      </c>
      <c r="F29" s="12">
        <f>IFERROR(IF(LoanIsNotPaid*LoanIsGood,Principal,""), "")</f>
        <v>19478.313575339645</v>
      </c>
      <c r="G29" s="12">
        <f>IFERROR(IF(LoanIsNotPaid*LoanIsGood,InterestAmt,""), "")</f>
        <v>9811.8627700582401</v>
      </c>
      <c r="H29" s="12">
        <f>IFERROR(IF(LoanIsNotPaid*LoanIsGood,EndingBalance,""), "")</f>
        <v>673123.76431112608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44595</v>
      </c>
      <c r="D30" s="12">
        <f>IFERROR(IF(LoanIsNotPaid*LoanIsGood,LoanValue,""), "")</f>
        <v>673123.76431112608</v>
      </c>
      <c r="E30" s="12">
        <f>IFERROR(IF(LoanIsNotPaid*LoanIsGood,MonthlyPayment,""), "")</f>
        <v>29290.176345397882</v>
      </c>
      <c r="F30" s="12">
        <f>IFERROR(IF(LoanIsNotPaid*LoanIsGood,Principal,""), "")</f>
        <v>19754.25635099029</v>
      </c>
      <c r="G30" s="12">
        <f>IFERROR(IF(LoanIsNotPaid*LoanIsGood,InterestAmt,""), "")</f>
        <v>9535.9199944075954</v>
      </c>
      <c r="H30" s="12">
        <f>IFERROR(IF(LoanIsNotPaid*LoanIsGood,EndingBalance,""), "")</f>
        <v>653369.50796013605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44623</v>
      </c>
      <c r="D31" s="12">
        <f>IFERROR(IF(LoanIsNotPaid*LoanIsGood,LoanValue,""), "")</f>
        <v>653369.50796013605</v>
      </c>
      <c r="E31" s="12">
        <f>IFERROR(IF(LoanIsNotPaid*LoanIsGood,MonthlyPayment,""), "")</f>
        <v>29290.176345397882</v>
      </c>
      <c r="F31" s="12">
        <f>IFERROR(IF(LoanIsNotPaid*LoanIsGood,Principal,""), "")</f>
        <v>20034.108315962651</v>
      </c>
      <c r="G31" s="12">
        <f>IFERROR(IF(LoanIsNotPaid*LoanIsGood,InterestAmt,""), "")</f>
        <v>9256.0680294352333</v>
      </c>
      <c r="H31" s="12">
        <f>IFERROR(IF(LoanIsNotPaid*LoanIsGood,EndingBalance,""), "")</f>
        <v>633335.39964417345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44654</v>
      </c>
      <c r="D32" s="12">
        <f>IFERROR(IF(LoanIsNotPaid*LoanIsGood,LoanValue,""), "")</f>
        <v>633335.39964417345</v>
      </c>
      <c r="E32" s="12">
        <f>IFERROR(IF(LoanIsNotPaid*LoanIsGood,MonthlyPayment,""), "")</f>
        <v>29290.176345397882</v>
      </c>
      <c r="F32" s="12">
        <f>IFERROR(IF(LoanIsNotPaid*LoanIsGood,Principal,""), "")</f>
        <v>20317.924850438791</v>
      </c>
      <c r="G32" s="12">
        <f>IFERROR(IF(LoanIsNotPaid*LoanIsGood,InterestAmt,""), "")</f>
        <v>8972.2514949590932</v>
      </c>
      <c r="H32" s="12">
        <f>IFERROR(IF(LoanIsNotPaid*LoanIsGood,EndingBalance,""), "")</f>
        <v>613017.47479373461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44684</v>
      </c>
      <c r="D33" s="12">
        <f>IFERROR(IF(LoanIsNotPaid*LoanIsGood,LoanValue,""), "")</f>
        <v>613017.47479373461</v>
      </c>
      <c r="E33" s="12">
        <f>IFERROR(IF(LoanIsNotPaid*LoanIsGood,MonthlyPayment,""), "")</f>
        <v>29290.176345397882</v>
      </c>
      <c r="F33" s="12">
        <f>IFERROR(IF(LoanIsNotPaid*LoanIsGood,Principal,""), "")</f>
        <v>20605.762119153336</v>
      </c>
      <c r="G33" s="12">
        <f>IFERROR(IF(LoanIsNotPaid*LoanIsGood,InterestAmt,""), "")</f>
        <v>8684.4142262445439</v>
      </c>
      <c r="H33" s="12">
        <f>IFERROR(IF(LoanIsNotPaid*LoanIsGood,EndingBalance,""), "")</f>
        <v>592411.71267458156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44715</v>
      </c>
      <c r="D34" s="12">
        <f>IFERROR(IF(LoanIsNotPaid*LoanIsGood,LoanValue,""), "")</f>
        <v>592411.71267458156</v>
      </c>
      <c r="E34" s="12">
        <f>IFERROR(IF(LoanIsNotPaid*LoanIsGood,MonthlyPayment,""), "")</f>
        <v>29290.176345397882</v>
      </c>
      <c r="F34" s="12">
        <f>IFERROR(IF(LoanIsNotPaid*LoanIsGood,Principal,""), "")</f>
        <v>20897.677082508013</v>
      </c>
      <c r="G34" s="12">
        <f>IFERROR(IF(LoanIsNotPaid*LoanIsGood,InterestAmt,""), "")</f>
        <v>8392.4992628898726</v>
      </c>
      <c r="H34" s="12">
        <f>IFERROR(IF(LoanIsNotPaid*LoanIsGood,EndingBalance,""), "")</f>
        <v>571514.03559207357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44745</v>
      </c>
      <c r="D35" s="12">
        <f>IFERROR(IF(LoanIsNotPaid*LoanIsGood,LoanValue,""), "")</f>
        <v>571514.03559207357</v>
      </c>
      <c r="E35" s="12">
        <f>IFERROR(IF(LoanIsNotPaid*LoanIsGood,MonthlyPayment,""), "")</f>
        <v>29290.176345397882</v>
      </c>
      <c r="F35" s="12">
        <f>IFERROR(IF(LoanIsNotPaid*LoanIsGood,Principal,""), "")</f>
        <v>21193.727507843541</v>
      </c>
      <c r="G35" s="12">
        <f>IFERROR(IF(LoanIsNotPaid*LoanIsGood,InterestAmt,""), "")</f>
        <v>8096.4488375543415</v>
      </c>
      <c r="H35" s="12">
        <f>IFERROR(IF(LoanIsNotPaid*LoanIsGood,EndingBalance,""), "")</f>
        <v>550320.30808423029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44776</v>
      </c>
      <c r="D36" s="12">
        <f>IFERROR(IF(LoanIsNotPaid*LoanIsGood,LoanValue,""), "")</f>
        <v>550320.30808423029</v>
      </c>
      <c r="E36" s="12">
        <f>IFERROR(IF(LoanIsNotPaid*LoanIsGood,MonthlyPayment,""), "")</f>
        <v>29290.176345397882</v>
      </c>
      <c r="F36" s="12">
        <f>IFERROR(IF(LoanIsNotPaid*LoanIsGood,Principal,""), "")</f>
        <v>21493.971980871327</v>
      </c>
      <c r="G36" s="12">
        <f>IFERROR(IF(LoanIsNotPaid*LoanIsGood,InterestAmt,""), "")</f>
        <v>7796.2043645265585</v>
      </c>
      <c r="H36" s="12">
        <f>IFERROR(IF(LoanIsNotPaid*LoanIsGood,EndingBalance,""), "")</f>
        <v>528826.33610335924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44807</v>
      </c>
      <c r="D37" s="12">
        <f>IFERROR(IF(LoanIsNotPaid*LoanIsGood,LoanValue,""), "")</f>
        <v>528826.33610335924</v>
      </c>
      <c r="E37" s="12">
        <f>IFERROR(IF(LoanIsNotPaid*LoanIsGood,MonthlyPayment,""), "")</f>
        <v>29290.176345397882</v>
      </c>
      <c r="F37" s="12">
        <f>IFERROR(IF(LoanIsNotPaid*LoanIsGood,Principal,""), "")</f>
        <v>21798.469917267001</v>
      </c>
      <c r="G37" s="12">
        <f>IFERROR(IF(LoanIsNotPaid*LoanIsGood,InterestAmt,""), "")</f>
        <v>7491.7064281308822</v>
      </c>
      <c r="H37" s="12">
        <f>IFERROR(IF(LoanIsNotPaid*LoanIsGood,EndingBalance,""), "")</f>
        <v>507027.86618609203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44837</v>
      </c>
      <c r="D38" s="12">
        <f>IFERROR(IF(LoanIsNotPaid*LoanIsGood,LoanValue,""), "")</f>
        <v>507027.86618609203</v>
      </c>
      <c r="E38" s="12">
        <f>IFERROR(IF(LoanIsNotPaid*LoanIsGood,MonthlyPayment,""), "")</f>
        <v>29290.176345397882</v>
      </c>
      <c r="F38" s="12">
        <f>IFERROR(IF(LoanIsNotPaid*LoanIsGood,Principal,""), "")</f>
        <v>22107.281574428285</v>
      </c>
      <c r="G38" s="12">
        <f>IFERROR(IF(LoanIsNotPaid*LoanIsGood,InterestAmt,""), "")</f>
        <v>7182.8947709695994</v>
      </c>
      <c r="H38" s="12">
        <f>IFERROR(IF(LoanIsNotPaid*LoanIsGood,EndingBalance,""), "")</f>
        <v>484920.58461166418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44868</v>
      </c>
      <c r="D39" s="12">
        <f>IFERROR(IF(LoanIsNotPaid*LoanIsGood,LoanValue,""), "")</f>
        <v>484920.58461166418</v>
      </c>
      <c r="E39" s="12">
        <f>IFERROR(IF(LoanIsNotPaid*LoanIsGood,MonthlyPayment,""), "")</f>
        <v>29290.176345397882</v>
      </c>
      <c r="F39" s="12">
        <f>IFERROR(IF(LoanIsNotPaid*LoanIsGood,Principal,""), "")</f>
        <v>22420.468063399352</v>
      </c>
      <c r="G39" s="12">
        <f>IFERROR(IF(LoanIsNotPaid*LoanIsGood,InterestAmt,""), "")</f>
        <v>6869.7082819985326</v>
      </c>
      <c r="H39" s="12">
        <f>IFERROR(IF(LoanIsNotPaid*LoanIsGood,EndingBalance,""), "")</f>
        <v>462500.11654826463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44898</v>
      </c>
      <c r="D40" s="12">
        <f>IFERROR(IF(LoanIsNotPaid*LoanIsGood,LoanValue,""), "")</f>
        <v>462500.11654826463</v>
      </c>
      <c r="E40" s="12">
        <f>IFERROR(IF(LoanIsNotPaid*LoanIsGood,MonthlyPayment,""), "")</f>
        <v>29290.176345397882</v>
      </c>
      <c r="F40" s="12">
        <f>IFERROR(IF(LoanIsNotPaid*LoanIsGood,Principal,""), "")</f>
        <v>22738.091360964176</v>
      </c>
      <c r="G40" s="12">
        <f>IFERROR(IF(LoanIsNotPaid*LoanIsGood,InterestAmt,""), "")</f>
        <v>6552.0849844337072</v>
      </c>
      <c r="H40" s="12">
        <f>IFERROR(IF(LoanIsNotPaid*LoanIsGood,EndingBalance,""), "")</f>
        <v>439762.02518730052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44929</v>
      </c>
      <c r="D41" s="12">
        <f>IFERROR(IF(LoanIsNotPaid*LoanIsGood,LoanValue,""), "")</f>
        <v>439762.02518730052</v>
      </c>
      <c r="E41" s="12">
        <f>IFERROR(IF(LoanIsNotPaid*LoanIsGood,MonthlyPayment,""), "")</f>
        <v>29290.176345397882</v>
      </c>
      <c r="F41" s="12">
        <f>IFERROR(IF(LoanIsNotPaid*LoanIsGood,Principal,""), "")</f>
        <v>23060.214321911168</v>
      </c>
      <c r="G41" s="12">
        <f>IFERROR(IF(LoanIsNotPaid*LoanIsGood,InterestAmt,""), "")</f>
        <v>6229.9620234867152</v>
      </c>
      <c r="H41" s="12">
        <f>IFERROR(IF(LoanIsNotPaid*LoanIsGood,EndingBalance,""), "")</f>
        <v>416701.81086538988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44960</v>
      </c>
      <c r="D42" s="12">
        <f>IFERROR(IF(LoanIsNotPaid*LoanIsGood,LoanValue,""), "")</f>
        <v>416701.81086538988</v>
      </c>
      <c r="E42" s="12">
        <f>IFERROR(IF(LoanIsNotPaid*LoanIsGood,MonthlyPayment,""), "")</f>
        <v>29290.176345397882</v>
      </c>
      <c r="F42" s="12">
        <f>IFERROR(IF(LoanIsNotPaid*LoanIsGood,Principal,""), "")</f>
        <v>23386.900691471576</v>
      </c>
      <c r="G42" s="12">
        <f>IFERROR(IF(LoanIsNotPaid*LoanIsGood,InterestAmt,""), "")</f>
        <v>5903.2756539263064</v>
      </c>
      <c r="H42" s="12">
        <f>IFERROR(IF(LoanIsNotPaid*LoanIsGood,EndingBalance,""), "")</f>
        <v>393314.91017391835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44988</v>
      </c>
      <c r="D43" s="12">
        <f>IFERROR(IF(LoanIsNotPaid*LoanIsGood,LoanValue,""), "")</f>
        <v>393314.91017391835</v>
      </c>
      <c r="E43" s="12">
        <f>IFERROR(IF(LoanIsNotPaid*LoanIsGood,MonthlyPayment,""), "")</f>
        <v>29290.176345397882</v>
      </c>
      <c r="F43" s="12">
        <f>IFERROR(IF(LoanIsNotPaid*LoanIsGood,Principal,""), "")</f>
        <v>23718.215117934091</v>
      </c>
      <c r="G43" s="12">
        <f>IFERROR(IF(LoanIsNotPaid*LoanIsGood,InterestAmt,""), "")</f>
        <v>5571.961227463793</v>
      </c>
      <c r="H43" s="12">
        <f>IFERROR(IF(LoanIsNotPaid*LoanIsGood,EndingBalance,""), "")</f>
        <v>369596.69505598443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45019</v>
      </c>
      <c r="D44" s="12">
        <f>IFERROR(IF(LoanIsNotPaid*LoanIsGood,LoanValue,""), "")</f>
        <v>369596.69505598443</v>
      </c>
      <c r="E44" s="12">
        <f>IFERROR(IF(LoanIsNotPaid*LoanIsGood,MonthlyPayment,""), "")</f>
        <v>29290.176345397882</v>
      </c>
      <c r="F44" s="12">
        <f>IFERROR(IF(LoanIsNotPaid*LoanIsGood,Principal,""), "")</f>
        <v>24054.223165438158</v>
      </c>
      <c r="G44" s="12">
        <f>IFERROR(IF(LoanIsNotPaid*LoanIsGood,InterestAmt,""), "")</f>
        <v>5235.9531799597262</v>
      </c>
      <c r="H44" s="12">
        <f>IFERROR(IF(LoanIsNotPaid*LoanIsGood,EndingBalance,""), "")</f>
        <v>345542.47189054638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45049</v>
      </c>
      <c r="D45" s="12">
        <f>IFERROR(IF(LoanIsNotPaid*LoanIsGood,LoanValue,""), "")</f>
        <v>345542.47189054638</v>
      </c>
      <c r="E45" s="12">
        <f>IFERROR(IF(LoanIsNotPaid*LoanIsGood,MonthlyPayment,""), "")</f>
        <v>29290.176345397882</v>
      </c>
      <c r="F45" s="12">
        <f>IFERROR(IF(LoanIsNotPaid*LoanIsGood,Principal,""), "")</f>
        <v>24394.991326948533</v>
      </c>
      <c r="G45" s="12">
        <f>IFERROR(IF(LoanIsNotPaid*LoanIsGood,InterestAmt,""), "")</f>
        <v>4895.1850184493524</v>
      </c>
      <c r="H45" s="12">
        <f>IFERROR(IF(LoanIsNotPaid*LoanIsGood,EndingBalance,""), "")</f>
        <v>321147.48056359799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45080</v>
      </c>
      <c r="D46" s="12">
        <f>IFERROR(IF(LoanIsNotPaid*LoanIsGood,LoanValue,""), "")</f>
        <v>321147.48056359799</v>
      </c>
      <c r="E46" s="12">
        <f>IFERROR(IF(LoanIsNotPaid*LoanIsGood,MonthlyPayment,""), "")</f>
        <v>29290.176345397882</v>
      </c>
      <c r="F46" s="12">
        <f>IFERROR(IF(LoanIsNotPaid*LoanIsGood,Principal,""), "")</f>
        <v>24740.587037413636</v>
      </c>
      <c r="G46" s="12">
        <f>IFERROR(IF(LoanIsNotPaid*LoanIsGood,InterestAmt,""), "")</f>
        <v>4549.589307984249</v>
      </c>
      <c r="H46" s="12">
        <f>IFERROR(IF(LoanIsNotPaid*LoanIsGood,EndingBalance,""), "")</f>
        <v>296406.89352618437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45110</v>
      </c>
      <c r="D47" s="12">
        <f>IFERROR(IF(LoanIsNotPaid*LoanIsGood,LoanValue,""), "")</f>
        <v>296406.89352618437</v>
      </c>
      <c r="E47" s="12">
        <f>IFERROR(IF(LoanIsNotPaid*LoanIsGood,MonthlyPayment,""), "")</f>
        <v>29290.176345397882</v>
      </c>
      <c r="F47" s="12">
        <f>IFERROR(IF(LoanIsNotPaid*LoanIsGood,Principal,""), "")</f>
        <v>25091.07868711033</v>
      </c>
      <c r="G47" s="12">
        <f>IFERROR(IF(LoanIsNotPaid*LoanIsGood,InterestAmt,""), "")</f>
        <v>4199.0976582875546</v>
      </c>
      <c r="H47" s="12">
        <f>IFERROR(IF(LoanIsNotPaid*LoanIsGood,EndingBalance,""), "")</f>
        <v>271315.81483907439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45141</v>
      </c>
      <c r="D48" s="12">
        <f>IFERROR(IF(LoanIsNotPaid*LoanIsGood,LoanValue,""), "")</f>
        <v>271315.81483907439</v>
      </c>
      <c r="E48" s="12">
        <f>IFERROR(IF(LoanIsNotPaid*LoanIsGood,MonthlyPayment,""), "")</f>
        <v>29290.176345397882</v>
      </c>
      <c r="F48" s="12">
        <f>IFERROR(IF(LoanIsNotPaid*LoanIsGood,Principal,""), "")</f>
        <v>25446.535635177726</v>
      </c>
      <c r="G48" s="12">
        <f>IFERROR(IF(LoanIsNotPaid*LoanIsGood,InterestAmt,""), "")</f>
        <v>3843.6407102201588</v>
      </c>
      <c r="H48" s="12">
        <f>IFERROR(IF(LoanIsNotPaid*LoanIsGood,EndingBalance,""), "")</f>
        <v>245869.27920389664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45172</v>
      </c>
      <c r="D49" s="12">
        <f>IFERROR(IF(LoanIsNotPaid*LoanIsGood,LoanValue,""), "")</f>
        <v>245869.27920389664</v>
      </c>
      <c r="E49" s="12">
        <f>IFERROR(IF(LoanIsNotPaid*LoanIsGood,MonthlyPayment,""), "")</f>
        <v>29290.176345397882</v>
      </c>
      <c r="F49" s="12">
        <f>IFERROR(IF(LoanIsNotPaid*LoanIsGood,Principal,""), "")</f>
        <v>25807.028223342742</v>
      </c>
      <c r="G49" s="12">
        <f>IFERROR(IF(LoanIsNotPaid*LoanIsGood,InterestAmt,""), "")</f>
        <v>3483.1481220551409</v>
      </c>
      <c r="H49" s="12">
        <f>IFERROR(IF(LoanIsNotPaid*LoanIsGood,EndingBalance,""), "")</f>
        <v>220062.25098055415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45202</v>
      </c>
      <c r="D50" s="12">
        <f>IFERROR(IF(LoanIsNotPaid*LoanIsGood,LoanValue,""), "")</f>
        <v>220062.25098055415</v>
      </c>
      <c r="E50" s="12">
        <f>IFERROR(IF(LoanIsNotPaid*LoanIsGood,MonthlyPayment,""), "")</f>
        <v>29290.176345397882</v>
      </c>
      <c r="F50" s="12">
        <f>IFERROR(IF(LoanIsNotPaid*LoanIsGood,Principal,""), "")</f>
        <v>26172.627789840099</v>
      </c>
      <c r="G50" s="12">
        <f>IFERROR(IF(LoanIsNotPaid*LoanIsGood,InterestAmt,""), "")</f>
        <v>3117.5485555577852</v>
      </c>
      <c r="H50" s="12">
        <f>IFERROR(IF(LoanIsNotPaid*LoanIsGood,EndingBalance,""), "")</f>
        <v>193889.62319071428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45233</v>
      </c>
      <c r="D51" s="12">
        <f>IFERROR(IF(LoanIsNotPaid*LoanIsGood,LoanValue,""), "")</f>
        <v>193889.62319071428</v>
      </c>
      <c r="E51" s="12">
        <f>IFERROR(IF(LoanIsNotPaid*LoanIsGood,MonthlyPayment,""), "")</f>
        <v>29290.176345397882</v>
      </c>
      <c r="F51" s="12">
        <f>IFERROR(IF(LoanIsNotPaid*LoanIsGood,Principal,""), "")</f>
        <v>26543.406683529498</v>
      </c>
      <c r="G51" s="12">
        <f>IFERROR(IF(LoanIsNotPaid*LoanIsGood,InterestAmt,""), "")</f>
        <v>2746.7696618683835</v>
      </c>
      <c r="H51" s="12">
        <f>IFERROR(IF(LoanIsNotPaid*LoanIsGood,EndingBalance,""), "")</f>
        <v>167346.21650718502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45263</v>
      </c>
      <c r="D52" s="12">
        <f>IFERROR(IF(LoanIsNotPaid*LoanIsGood,LoanValue,""), "")</f>
        <v>167346.21650718502</v>
      </c>
      <c r="E52" s="12">
        <f>IFERROR(IF(LoanIsNotPaid*LoanIsGood,MonthlyPayment,""), "")</f>
        <v>29290.176345397882</v>
      </c>
      <c r="F52" s="12">
        <f>IFERROR(IF(LoanIsNotPaid*LoanIsGood,Principal,""), "")</f>
        <v>26919.438278212834</v>
      </c>
      <c r="G52" s="12">
        <f>IFERROR(IF(LoanIsNotPaid*LoanIsGood,InterestAmt,""), "")</f>
        <v>2370.7380671850497</v>
      </c>
      <c r="H52" s="12">
        <f>IFERROR(IF(LoanIsNotPaid*LoanIsGood,EndingBalance,""), "")</f>
        <v>140426.77822897257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45294</v>
      </c>
      <c r="D53" s="12">
        <f>IFERROR(IF(LoanIsNotPaid*LoanIsGood,LoanValue,""), "")</f>
        <v>140426.77822897257</v>
      </c>
      <c r="E53" s="12">
        <f>IFERROR(IF(LoanIsNotPaid*LoanIsGood,MonthlyPayment,""), "")</f>
        <v>29290.176345397882</v>
      </c>
      <c r="F53" s="12">
        <f>IFERROR(IF(LoanIsNotPaid*LoanIsGood,Principal,""), "")</f>
        <v>27300.796987154183</v>
      </c>
      <c r="G53" s="12">
        <f>IFERROR(IF(LoanIsNotPaid*LoanIsGood,InterestAmt,""), "")</f>
        <v>1989.3793582437011</v>
      </c>
      <c r="H53" s="12">
        <f>IFERROR(IF(LoanIsNotPaid*LoanIsGood,EndingBalance,""), "")</f>
        <v>113125.98124181852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45325</v>
      </c>
      <c r="D54" s="12">
        <f>IFERROR(IF(LoanIsNotPaid*LoanIsGood,LoanValue,""), "")</f>
        <v>113125.98124181852</v>
      </c>
      <c r="E54" s="12">
        <f>IFERROR(IF(LoanIsNotPaid*LoanIsGood,MonthlyPayment,""), "")</f>
        <v>29290.176345397882</v>
      </c>
      <c r="F54" s="12">
        <f>IFERROR(IF(LoanIsNotPaid*LoanIsGood,Principal,""), "")</f>
        <v>27687.558277805532</v>
      </c>
      <c r="G54" s="12">
        <f>IFERROR(IF(LoanIsNotPaid*LoanIsGood,InterestAmt,""), "")</f>
        <v>1602.6180675923497</v>
      </c>
      <c r="H54" s="12">
        <f>IFERROR(IF(LoanIsNotPaid*LoanIsGood,EndingBalance,""), "")</f>
        <v>85438.422964012949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45354</v>
      </c>
      <c r="D55" s="12">
        <f>IFERROR(IF(LoanIsNotPaid*LoanIsGood,LoanValue,""), "")</f>
        <v>85438.422964012949</v>
      </c>
      <c r="E55" s="12">
        <f>IFERROR(IF(LoanIsNotPaid*LoanIsGood,MonthlyPayment,""), "")</f>
        <v>29290.176345397882</v>
      </c>
      <c r="F55" s="12">
        <f>IFERROR(IF(LoanIsNotPaid*LoanIsGood,Principal,""), "")</f>
        <v>28079.798686741113</v>
      </c>
      <c r="G55" s="12">
        <f>IFERROR(IF(LoanIsNotPaid*LoanIsGood,InterestAmt,""), "")</f>
        <v>1210.3776586567712</v>
      </c>
      <c r="H55" s="12">
        <f>IFERROR(IF(LoanIsNotPaid*LoanIsGood,EndingBalance,""), "")</f>
        <v>57358.624277272262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45385</v>
      </c>
      <c r="D56" s="12">
        <f>IFERROR(IF(LoanIsNotPaid*LoanIsGood,LoanValue,""), "")</f>
        <v>57358.624277272262</v>
      </c>
      <c r="E56" s="12">
        <f>IFERROR(IF(LoanIsNotPaid*LoanIsGood,MonthlyPayment,""), "")</f>
        <v>29290.176345397882</v>
      </c>
      <c r="F56" s="12">
        <f>IFERROR(IF(LoanIsNotPaid*LoanIsGood,Principal,""), "")</f>
        <v>28477.59583480328</v>
      </c>
      <c r="G56" s="12">
        <f>IFERROR(IF(LoanIsNotPaid*LoanIsGood,InterestAmt,""), "")</f>
        <v>812.58051059460558</v>
      </c>
      <c r="H56" s="12">
        <f>IFERROR(IF(LoanIsNotPaid*LoanIsGood,EndingBalance,""), "")</f>
        <v>28881.028442468727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45415</v>
      </c>
      <c r="D57" s="12">
        <f>IFERROR(IF(LoanIsNotPaid*LoanIsGood,LoanValue,""), "")</f>
        <v>28881.028442468727</v>
      </c>
      <c r="E57" s="12">
        <f>IFERROR(IF(LoanIsNotPaid*LoanIsGood,MonthlyPayment,""), "")</f>
        <v>29290.176345397882</v>
      </c>
      <c r="F57" s="12">
        <f>IFERROR(IF(LoanIsNotPaid*LoanIsGood,Principal,""), "")</f>
        <v>28881.028442462994</v>
      </c>
      <c r="G57" s="12">
        <f>IFERROR(IF(LoanIsNotPaid*LoanIsGood,InterestAmt,""), "")</f>
        <v>409.14790293489239</v>
      </c>
      <c r="H57" s="12">
        <f>IFERROR(IF(LoanIsNotPaid*LoanIsGood,EndingBalance,""), "")</f>
        <v>6.5192580223083496E-9</v>
      </c>
    </row>
    <row r="58" spans="2:8" ht="20.149999999999999" customHeight="1">
      <c r="B58" s="9" t="str">
        <f>IFERROR(IF(LoanIsNotPaid*LoanIsGood,PaymentNumber,""), "")</f>
        <v/>
      </c>
      <c r="C58" s="10" t="str">
        <f>IFERROR(IF(LoanIsNotPaid*LoanIsGood,PaymentDate,""), "")</f>
        <v/>
      </c>
      <c r="D58" s="12" t="str">
        <f>IFERROR(IF(LoanIsNotPaid*LoanIsGood,LoanValue,""), "")</f>
        <v/>
      </c>
      <c r="E58" s="12" t="str">
        <f>IFERROR(IF(LoanIsNotPaid*LoanIsGood,MonthlyPayment,""), "")</f>
        <v/>
      </c>
      <c r="F58" s="12" t="str">
        <f>IFERROR(IF(LoanIsNotPaid*LoanIsGood,Principal,""), "")</f>
        <v/>
      </c>
      <c r="G58" s="12" t="str">
        <f>IFERROR(IF(LoanIsNotPaid*LoanIsGood,InterestAmt,""), "")</f>
        <v/>
      </c>
      <c r="H58" s="12" t="str">
        <f>IFERROR(IF(LoanIsNotPaid*LoanIsGood,EndingBalance,""), "")</f>
        <v/>
      </c>
    </row>
    <row r="59" spans="2:8" ht="20.149999999999999" customHeight="1">
      <c r="B59" s="9" t="str">
        <f>IFERROR(IF(LoanIsNotPaid*LoanIsGood,PaymentNumber,""), "")</f>
        <v/>
      </c>
      <c r="C59" s="10" t="str">
        <f>IFERROR(IF(LoanIsNotPaid*LoanIsGood,PaymentDate,""), "")</f>
        <v/>
      </c>
      <c r="D59" s="12" t="str">
        <f>IFERROR(IF(LoanIsNotPaid*LoanIsGood,LoanValue,""), "")</f>
        <v/>
      </c>
      <c r="E59" s="12" t="str">
        <f>IFERROR(IF(LoanIsNotPaid*LoanIsGood,MonthlyPayment,""), "")</f>
        <v/>
      </c>
      <c r="F59" s="12" t="str">
        <f>IFERROR(IF(LoanIsNotPaid*LoanIsGood,Principal,""), "")</f>
        <v/>
      </c>
      <c r="G59" s="12" t="str">
        <f>IFERROR(IF(LoanIsNotPaid*LoanIsGood,InterestAmt,""), "")</f>
        <v/>
      </c>
      <c r="H59" s="12" t="str">
        <f>IFERROR(IF(LoanIsNotPaid*LoanIsGood,EndingBalance,""), "")</f>
        <v/>
      </c>
    </row>
    <row r="60" spans="2:8" ht="20.149999999999999" customHeight="1">
      <c r="B60" s="9" t="str">
        <f>IFERROR(IF(LoanIsNotPaid*LoanIsGood,PaymentNumber,""), "")</f>
        <v/>
      </c>
      <c r="C60" s="10" t="str">
        <f>IFERROR(IF(LoanIsNotPaid*LoanIsGood,PaymentDate,""), "")</f>
        <v/>
      </c>
      <c r="D60" s="12" t="str">
        <f>IFERROR(IF(LoanIsNotPaid*LoanIsGood,LoanValue,""), "")</f>
        <v/>
      </c>
      <c r="E60" s="12" t="str">
        <f>IFERROR(IF(LoanIsNotPaid*LoanIsGood,MonthlyPayment,""), "")</f>
        <v/>
      </c>
      <c r="F60" s="12" t="str">
        <f>IFERROR(IF(LoanIsNotPaid*LoanIsGood,Principal,""), "")</f>
        <v/>
      </c>
      <c r="G60" s="12" t="str">
        <f>IFERROR(IF(LoanIsNotPaid*LoanIsGood,InterestAmt,""), "")</f>
        <v/>
      </c>
      <c r="H60" s="12" t="str">
        <f>IFERROR(IF(LoanIsNotPaid*LoanIsGood,EndingBalance,""), "")</f>
        <v/>
      </c>
    </row>
    <row r="61" spans="2:8" ht="20.149999999999999" customHeight="1">
      <c r="B61" s="9" t="str">
        <f>IFERROR(IF(LoanIsNotPaid*LoanIsGood,PaymentNumber,""), "")</f>
        <v/>
      </c>
      <c r="C61" s="10" t="str">
        <f>IFERROR(IF(LoanIsNotPaid*LoanIsGood,PaymentDate,""), "")</f>
        <v/>
      </c>
      <c r="D61" s="12" t="str">
        <f>IFERROR(IF(LoanIsNotPaid*LoanIsGood,LoanValue,""), "")</f>
        <v/>
      </c>
      <c r="E61" s="12" t="str">
        <f>IFERROR(IF(LoanIsNotPaid*LoanIsGood,MonthlyPayment,""), "")</f>
        <v/>
      </c>
      <c r="F61" s="12" t="str">
        <f>IFERROR(IF(LoanIsNotPaid*LoanIsGood,Principal,""), "")</f>
        <v/>
      </c>
      <c r="G61" s="12" t="str">
        <f>IFERROR(IF(LoanIsNotPaid*LoanIsGood,InterestAmt,""), "")</f>
        <v/>
      </c>
      <c r="H61" s="12" t="str">
        <f>IFERROR(IF(LoanIsNotPaid*LoanIsGood,EndingBalance,""), "")</f>
        <v/>
      </c>
    </row>
    <row r="62" spans="2:8" ht="20.149999999999999" customHeight="1">
      <c r="B62" s="9" t="str">
        <f>IFERROR(IF(LoanIsNotPaid*LoanIsGood,PaymentNumber,""), "")</f>
        <v/>
      </c>
      <c r="C62" s="10" t="str">
        <f>IFERROR(IF(LoanIsNotPaid*LoanIsGood,PaymentDate,""), "")</f>
        <v/>
      </c>
      <c r="D62" s="12" t="str">
        <f>IFERROR(IF(LoanIsNotPaid*LoanIsGood,LoanValue,""), "")</f>
        <v/>
      </c>
      <c r="E62" s="12" t="str">
        <f>IFERROR(IF(LoanIsNotPaid*LoanIsGood,MonthlyPayment,""), "")</f>
        <v/>
      </c>
      <c r="F62" s="12" t="str">
        <f>IFERROR(IF(LoanIsNotPaid*LoanIsGood,Principal,""), "")</f>
        <v/>
      </c>
      <c r="G62" s="12" t="str">
        <f>IFERROR(IF(LoanIsNotPaid*LoanIsGood,InterestAmt,""), "")</f>
        <v/>
      </c>
      <c r="H62" s="12" t="str">
        <f>IFERROR(IF(LoanIsNotPaid*LoanIsGood,EndingBalance,""), "")</f>
        <v/>
      </c>
    </row>
    <row r="63" spans="2:8" ht="20.149999999999999" customHeight="1">
      <c r="B63" s="9" t="str">
        <f>IFERROR(IF(LoanIsNotPaid*LoanIsGood,PaymentNumber,""), "")</f>
        <v/>
      </c>
      <c r="C63" s="10" t="str">
        <f>IFERROR(IF(LoanIsNotPaid*LoanIsGood,PaymentDate,""), "")</f>
        <v/>
      </c>
      <c r="D63" s="12" t="str">
        <f>IFERROR(IF(LoanIsNotPaid*LoanIsGood,LoanValue,""), "")</f>
        <v/>
      </c>
      <c r="E63" s="12" t="str">
        <f>IFERROR(IF(LoanIsNotPaid*LoanIsGood,MonthlyPayment,""), "")</f>
        <v/>
      </c>
      <c r="F63" s="12" t="str">
        <f>IFERROR(IF(LoanIsNotPaid*LoanIsGood,Principal,""), "")</f>
        <v/>
      </c>
      <c r="G63" s="12" t="str">
        <f>IFERROR(IF(LoanIsNotPaid*LoanIsGood,InterestAmt,""), "")</f>
        <v/>
      </c>
      <c r="H63" s="12" t="str">
        <f>IFERROR(IF(LoanIsNotPaid*LoanIsGood,EndingBalance,""), "")</f>
        <v/>
      </c>
    </row>
    <row r="64" spans="2:8" ht="20.149999999999999" customHeight="1">
      <c r="B64" s="9" t="str">
        <f>IFERROR(IF(LoanIsNotPaid*LoanIsGood,PaymentNumber,""), "")</f>
        <v/>
      </c>
      <c r="C64" s="10" t="str">
        <f>IFERROR(IF(LoanIsNotPaid*LoanIsGood,PaymentDate,""), "")</f>
        <v/>
      </c>
      <c r="D64" s="12" t="str">
        <f>IFERROR(IF(LoanIsNotPaid*LoanIsGood,LoanValue,""), "")</f>
        <v/>
      </c>
      <c r="E64" s="12" t="str">
        <f>IFERROR(IF(LoanIsNotPaid*LoanIsGood,MonthlyPayment,""), "")</f>
        <v/>
      </c>
      <c r="F64" s="12" t="str">
        <f>IFERROR(IF(LoanIsNotPaid*LoanIsGood,Principal,""), "")</f>
        <v/>
      </c>
      <c r="G64" s="12" t="str">
        <f>IFERROR(IF(LoanIsNotPaid*LoanIsGood,InterestAmt,""), "")</f>
        <v/>
      </c>
      <c r="H64" s="12" t="str">
        <f>IFERROR(IF(LoanIsNotPaid*LoanIsGood,EndingBalance,""), "")</f>
        <v/>
      </c>
    </row>
    <row r="65" spans="2:8" ht="20.149999999999999" customHeight="1">
      <c r="B65" s="9" t="str">
        <f>IFERROR(IF(LoanIsNotPaid*LoanIsGood,PaymentNumber,""), "")</f>
        <v/>
      </c>
      <c r="C65" s="10" t="str">
        <f>IFERROR(IF(LoanIsNotPaid*LoanIsGood,PaymentDate,""), "")</f>
        <v/>
      </c>
      <c r="D65" s="12" t="str">
        <f>IFERROR(IF(LoanIsNotPaid*LoanIsGood,LoanValue,""), "")</f>
        <v/>
      </c>
      <c r="E65" s="12" t="str">
        <f>IFERROR(IF(LoanIsNotPaid*LoanIsGood,MonthlyPayment,""), "")</f>
        <v/>
      </c>
      <c r="F65" s="12" t="str">
        <f>IFERROR(IF(LoanIsNotPaid*LoanIsGood,Principal,""), "")</f>
        <v/>
      </c>
      <c r="G65" s="12" t="str">
        <f>IFERROR(IF(LoanIsNotPaid*LoanIsGood,InterestAmt,""), "")</f>
        <v/>
      </c>
      <c r="H65" s="12" t="str">
        <f>IFERROR(IF(LoanIsNotPaid*LoanIsGood,EndingBalance,""), "")</f>
        <v/>
      </c>
    </row>
    <row r="66" spans="2:8" ht="20.149999999999999" customHeight="1">
      <c r="B66" s="9" t="str">
        <f>IFERROR(IF(LoanIsNotPaid*LoanIsGood,PaymentNumber,""), "")</f>
        <v/>
      </c>
      <c r="C66" s="10" t="str">
        <f>IFERROR(IF(LoanIsNotPaid*LoanIsGood,PaymentDate,""), "")</f>
        <v/>
      </c>
      <c r="D66" s="12" t="str">
        <f>IFERROR(IF(LoanIsNotPaid*LoanIsGood,LoanValue,""), "")</f>
        <v/>
      </c>
      <c r="E66" s="12" t="str">
        <f>IFERROR(IF(LoanIsNotPaid*LoanIsGood,MonthlyPayment,""), "")</f>
        <v/>
      </c>
      <c r="F66" s="12" t="str">
        <f>IFERROR(IF(LoanIsNotPaid*LoanIsGood,Principal,""), "")</f>
        <v/>
      </c>
      <c r="G66" s="12" t="str">
        <f>IFERROR(IF(LoanIsNotPaid*LoanIsGood,InterestAmt,""), "")</f>
        <v/>
      </c>
      <c r="H66" s="12" t="str">
        <f>IFERROR(IF(LoanIsNotPaid*LoanIsGood,EndingBalance,""), "")</f>
        <v/>
      </c>
    </row>
    <row r="67" spans="2:8" ht="20.149999999999999" customHeight="1">
      <c r="B67" s="9" t="str">
        <f>IFERROR(IF(LoanIsNotPaid*LoanIsGood,PaymentNumber,""), "")</f>
        <v/>
      </c>
      <c r="C67" s="10" t="str">
        <f>IFERROR(IF(LoanIsNotPaid*LoanIsGood,PaymentDate,""), "")</f>
        <v/>
      </c>
      <c r="D67" s="12" t="str">
        <f>IFERROR(IF(LoanIsNotPaid*LoanIsGood,LoanValue,""), "")</f>
        <v/>
      </c>
      <c r="E67" s="12" t="str">
        <f>IFERROR(IF(LoanIsNotPaid*LoanIsGood,MonthlyPayment,""), "")</f>
        <v/>
      </c>
      <c r="F67" s="12" t="str">
        <f>IFERROR(IF(LoanIsNotPaid*LoanIsGood,Principal,""), "")</f>
        <v/>
      </c>
      <c r="G67" s="12" t="str">
        <f>IFERROR(IF(LoanIsNotPaid*LoanIsGood,InterestAmt,""), "")</f>
        <v/>
      </c>
      <c r="H67" s="12" t="str">
        <f>IFERROR(IF(LoanIsNotPaid*LoanIsGood,EndingBalance,""), "")</f>
        <v/>
      </c>
    </row>
    <row r="68" spans="2:8" ht="20.149999999999999" customHeight="1">
      <c r="B68" s="9" t="str">
        <f>IFERROR(IF(LoanIsNotPaid*LoanIsGood,PaymentNumber,""), "")</f>
        <v/>
      </c>
      <c r="C68" s="10" t="str">
        <f>IFERROR(IF(LoanIsNotPaid*LoanIsGood,PaymentDate,""), "")</f>
        <v/>
      </c>
      <c r="D68" s="12" t="str">
        <f>IFERROR(IF(LoanIsNotPaid*LoanIsGood,LoanValue,""), "")</f>
        <v/>
      </c>
      <c r="E68" s="12" t="str">
        <f>IFERROR(IF(LoanIsNotPaid*LoanIsGood,MonthlyPayment,""), "")</f>
        <v/>
      </c>
      <c r="F68" s="12" t="str">
        <f>IFERROR(IF(LoanIsNotPaid*LoanIsGood,Principal,""), "")</f>
        <v/>
      </c>
      <c r="G68" s="12" t="str">
        <f>IFERROR(IF(LoanIsNotPaid*LoanIsGood,InterestAmt,""), "")</f>
        <v/>
      </c>
      <c r="H68" s="12" t="str">
        <f>IFERROR(IF(LoanIsNotPaid*LoanIsGood,EndingBalance,""), "")</f>
        <v/>
      </c>
    </row>
    <row r="69" spans="2:8" ht="20.149999999999999" customHeight="1">
      <c r="B69" s="9" t="str">
        <f>IFERROR(IF(LoanIsNotPaid*LoanIsGood,PaymentNumber,""), "")</f>
        <v/>
      </c>
      <c r="C69" s="10" t="str">
        <f>IFERROR(IF(LoanIsNotPaid*LoanIsGood,PaymentDate,""), "")</f>
        <v/>
      </c>
      <c r="D69" s="12" t="str">
        <f>IFERROR(IF(LoanIsNotPaid*LoanIsGood,LoanValue,""), "")</f>
        <v/>
      </c>
      <c r="E69" s="12" t="str">
        <f>IFERROR(IF(LoanIsNotPaid*LoanIsGood,MonthlyPayment,""), "")</f>
        <v/>
      </c>
      <c r="F69" s="12" t="str">
        <f>IFERROR(IF(LoanIsNotPaid*LoanIsGood,Principal,""), "")</f>
        <v/>
      </c>
      <c r="G69" s="12" t="str">
        <f>IFERROR(IF(LoanIsNotPaid*LoanIsGood,InterestAmt,""), "")</f>
        <v/>
      </c>
      <c r="H69" s="12" t="str">
        <f>IFERROR(IF(LoanIsNotPaid*LoanIsGood,EndingBalance,""), "")</f>
        <v/>
      </c>
    </row>
    <row r="70" spans="2:8" ht="20.149999999999999" customHeight="1">
      <c r="B70" s="9" t="str">
        <f>IFERROR(IF(LoanIsNotPaid*LoanIsGood,PaymentNumber,""), "")</f>
        <v/>
      </c>
      <c r="C70" s="10" t="str">
        <f>IFERROR(IF(LoanIsNotPaid*LoanIsGood,PaymentDate,""), "")</f>
        <v/>
      </c>
      <c r="D70" s="12" t="str">
        <f>IFERROR(IF(LoanIsNotPaid*LoanIsGood,LoanValue,""), "")</f>
        <v/>
      </c>
      <c r="E70" s="12" t="str">
        <f>IFERROR(IF(LoanIsNotPaid*LoanIsGood,MonthlyPayment,""), "")</f>
        <v/>
      </c>
      <c r="F70" s="12" t="str">
        <f>IFERROR(IF(LoanIsNotPaid*LoanIsGood,Principal,""), "")</f>
        <v/>
      </c>
      <c r="G70" s="12" t="str">
        <f>IFERROR(IF(LoanIsNotPaid*LoanIsGood,InterestAmt,""), "")</f>
        <v/>
      </c>
      <c r="H70" s="12" t="str">
        <f>IFERROR(IF(LoanIsNotPaid*LoanIsGood,EndingBalance,""), "")</f>
        <v/>
      </c>
    </row>
    <row r="71" spans="2:8" ht="20.149999999999999" customHeight="1">
      <c r="B71" s="9" t="str">
        <f>IFERROR(IF(LoanIsNotPaid*LoanIsGood,PaymentNumber,""), "")</f>
        <v/>
      </c>
      <c r="C71" s="10" t="str">
        <f>IFERROR(IF(LoanIsNotPaid*LoanIsGood,PaymentDate,""), "")</f>
        <v/>
      </c>
      <c r="D71" s="12" t="str">
        <f>IFERROR(IF(LoanIsNotPaid*LoanIsGood,LoanValue,""), "")</f>
        <v/>
      </c>
      <c r="E71" s="12" t="str">
        <f>IFERROR(IF(LoanIsNotPaid*LoanIsGood,MonthlyPayment,""), "")</f>
        <v/>
      </c>
      <c r="F71" s="12" t="str">
        <f>IFERROR(IF(LoanIsNotPaid*LoanIsGood,Principal,""), "")</f>
        <v/>
      </c>
      <c r="G71" s="12" t="str">
        <f>IFERROR(IF(LoanIsNotPaid*LoanIsGood,InterestAmt,""), "")</f>
        <v/>
      </c>
      <c r="H71" s="12" t="str">
        <f>IFERROR(IF(LoanIsNotPaid*LoanIsGood,EndingBalance,""), "")</f>
        <v/>
      </c>
    </row>
    <row r="72" spans="2:8" ht="20.149999999999999" customHeight="1">
      <c r="B72" s="9" t="str">
        <f>IFERROR(IF(LoanIsNotPaid*LoanIsGood,PaymentNumber,""), "")</f>
        <v/>
      </c>
      <c r="C72" s="10" t="str">
        <f>IFERROR(IF(LoanIsNotPaid*LoanIsGood,PaymentDate,""), "")</f>
        <v/>
      </c>
      <c r="D72" s="12" t="str">
        <f>IFERROR(IF(LoanIsNotPaid*LoanIsGood,LoanValue,""), "")</f>
        <v/>
      </c>
      <c r="E72" s="12" t="str">
        <f>IFERROR(IF(LoanIsNotPaid*LoanIsGood,MonthlyPayment,""), "")</f>
        <v/>
      </c>
      <c r="F72" s="12" t="str">
        <f>IFERROR(IF(LoanIsNotPaid*LoanIsGood,Principal,""), "")</f>
        <v/>
      </c>
      <c r="G72" s="12" t="str">
        <f>IFERROR(IF(LoanIsNotPaid*LoanIsGood,InterestAmt,""), "")</f>
        <v/>
      </c>
      <c r="H72" s="12" t="str">
        <f>IFERROR(IF(LoanIsNotPaid*LoanIsGood,EndingBalance,""), "")</f>
        <v/>
      </c>
    </row>
    <row r="73" spans="2:8" ht="20.149999999999999" customHeight="1">
      <c r="B73" s="9" t="str">
        <f>IFERROR(IF(LoanIsNotPaid*LoanIsGood,PaymentNumber,""), "")</f>
        <v/>
      </c>
      <c r="C73" s="10" t="str">
        <f>IFERROR(IF(LoanIsNotPaid*LoanIsGood,PaymentDate,""), "")</f>
        <v/>
      </c>
      <c r="D73" s="12" t="str">
        <f>IFERROR(IF(LoanIsNotPaid*LoanIsGood,LoanValue,""), "")</f>
        <v/>
      </c>
      <c r="E73" s="12" t="str">
        <f>IFERROR(IF(LoanIsNotPaid*LoanIsGood,MonthlyPayment,""), "")</f>
        <v/>
      </c>
      <c r="F73" s="12" t="str">
        <f>IFERROR(IF(LoanIsNotPaid*LoanIsGood,Principal,""), "")</f>
        <v/>
      </c>
      <c r="G73" s="12" t="str">
        <f>IFERROR(IF(LoanIsNotPaid*LoanIsGood,InterestAmt,""), "")</f>
        <v/>
      </c>
      <c r="H73" s="12" t="str">
        <f>IFERROR(IF(LoanIsNotPaid*LoanIsGood,EndingBalance,""), "")</f>
        <v/>
      </c>
    </row>
    <row r="74" spans="2:8" ht="20.149999999999999" customHeight="1">
      <c r="B74" s="9" t="str">
        <f>IFERROR(IF(LoanIsNotPaid*LoanIsGood,PaymentNumber,""), "")</f>
        <v/>
      </c>
      <c r="C74" s="10" t="str">
        <f>IFERROR(IF(LoanIsNotPaid*LoanIsGood,PaymentDate,""), "")</f>
        <v/>
      </c>
      <c r="D74" s="12" t="str">
        <f>IFERROR(IF(LoanIsNotPaid*LoanIsGood,LoanValue,""), "")</f>
        <v/>
      </c>
      <c r="E74" s="12" t="str">
        <f>IFERROR(IF(LoanIsNotPaid*LoanIsGood,MonthlyPayment,""), "")</f>
        <v/>
      </c>
      <c r="F74" s="12" t="str">
        <f>IFERROR(IF(LoanIsNotPaid*LoanIsGood,Principal,""), "")</f>
        <v/>
      </c>
      <c r="G74" s="12" t="str">
        <f>IFERROR(IF(LoanIsNotPaid*LoanIsGood,InterestAmt,""), "")</f>
        <v/>
      </c>
      <c r="H74" s="12" t="str">
        <f>IFERROR(IF(LoanIsNotPaid*LoanIsGood,EndingBalance,""), "")</f>
        <v/>
      </c>
    </row>
    <row r="75" spans="2:8" ht="20.149999999999999" customHeight="1">
      <c r="B75" s="9" t="str">
        <f>IFERROR(IF(LoanIsNotPaid*LoanIsGood,PaymentNumber,""), "")</f>
        <v/>
      </c>
      <c r="C75" s="10" t="str">
        <f>IFERROR(IF(LoanIsNotPaid*LoanIsGood,PaymentDate,""), "")</f>
        <v/>
      </c>
      <c r="D75" s="12" t="str">
        <f>IFERROR(IF(LoanIsNotPaid*LoanIsGood,LoanValue,""), "")</f>
        <v/>
      </c>
      <c r="E75" s="12" t="str">
        <f>IFERROR(IF(LoanIsNotPaid*LoanIsGood,MonthlyPayment,""), "")</f>
        <v/>
      </c>
      <c r="F75" s="12" t="str">
        <f>IFERROR(IF(LoanIsNotPaid*LoanIsGood,Principal,""), "")</f>
        <v/>
      </c>
      <c r="G75" s="12" t="str">
        <f>IFERROR(IF(LoanIsNotPaid*LoanIsGood,InterestAmt,""), "")</f>
        <v/>
      </c>
      <c r="H75" s="12" t="str">
        <f>IFERROR(IF(LoanIsNotPaid*LoanIsGood,EndingBalance,""), "")</f>
        <v/>
      </c>
    </row>
    <row r="76" spans="2:8" ht="20.149999999999999" customHeight="1">
      <c r="B76" s="9" t="str">
        <f>IFERROR(IF(LoanIsNotPaid*LoanIsGood,PaymentNumber,""), "")</f>
        <v/>
      </c>
      <c r="C76" s="10" t="str">
        <f>IFERROR(IF(LoanIsNotPaid*LoanIsGood,PaymentDate,""), "")</f>
        <v/>
      </c>
      <c r="D76" s="12" t="str">
        <f>IFERROR(IF(LoanIsNotPaid*LoanIsGood,LoanValue,""), "")</f>
        <v/>
      </c>
      <c r="E76" s="12" t="str">
        <f>IFERROR(IF(LoanIsNotPaid*LoanIsGood,MonthlyPayment,""), "")</f>
        <v/>
      </c>
      <c r="F76" s="12" t="str">
        <f>IFERROR(IF(LoanIsNotPaid*LoanIsGood,Principal,""), "")</f>
        <v/>
      </c>
      <c r="G76" s="12" t="str">
        <f>IFERROR(IF(LoanIsNotPaid*LoanIsGood,InterestAmt,""), "")</f>
        <v/>
      </c>
      <c r="H76" s="12" t="str">
        <f>IFERROR(IF(LoanIsNotPaid*LoanIsGood,EndingBalance,""), "")</f>
        <v/>
      </c>
    </row>
    <row r="77" spans="2:8" ht="20.149999999999999" customHeight="1">
      <c r="B77" s="9" t="str">
        <f>IFERROR(IF(LoanIsNotPaid*LoanIsGood,PaymentNumber,""), "")</f>
        <v/>
      </c>
      <c r="C77" s="10" t="str">
        <f>IFERROR(IF(LoanIsNotPaid*LoanIsGood,PaymentDate,""), "")</f>
        <v/>
      </c>
      <c r="D77" s="12" t="str">
        <f>IFERROR(IF(LoanIsNotPaid*LoanIsGood,LoanValue,""), "")</f>
        <v/>
      </c>
      <c r="E77" s="12" t="str">
        <f>IFERROR(IF(LoanIsNotPaid*LoanIsGood,MonthlyPayment,""), "")</f>
        <v/>
      </c>
      <c r="F77" s="12" t="str">
        <f>IFERROR(IF(LoanIsNotPaid*LoanIsGood,Principal,""), "")</f>
        <v/>
      </c>
      <c r="G77" s="12" t="str">
        <f>IFERROR(IF(LoanIsNotPaid*LoanIsGood,InterestAmt,""), "")</f>
        <v/>
      </c>
      <c r="H77" s="12" t="str">
        <f>IFERROR(IF(LoanIsNotPaid*LoanIsGood,EndingBalance,""), "")</f>
        <v/>
      </c>
    </row>
    <row r="78" spans="2:8" ht="20.149999999999999" customHeight="1">
      <c r="B78" s="9" t="str">
        <f>IFERROR(IF(LoanIsNotPaid*LoanIsGood,PaymentNumber,""), "")</f>
        <v/>
      </c>
      <c r="C78" s="10" t="str">
        <f>IFERROR(IF(LoanIsNotPaid*LoanIsGood,PaymentDate,""), "")</f>
        <v/>
      </c>
      <c r="D78" s="12" t="str">
        <f>IFERROR(IF(LoanIsNotPaid*LoanIsGood,LoanValue,""), "")</f>
        <v/>
      </c>
      <c r="E78" s="12" t="str">
        <f>IFERROR(IF(LoanIsNotPaid*LoanIsGood,MonthlyPayment,""), "")</f>
        <v/>
      </c>
      <c r="F78" s="12" t="str">
        <f>IFERROR(IF(LoanIsNotPaid*LoanIsGood,Principal,""), "")</f>
        <v/>
      </c>
      <c r="G78" s="12" t="str">
        <f>IFERROR(IF(LoanIsNotPaid*LoanIsGood,InterestAmt,""), "")</f>
        <v/>
      </c>
      <c r="H78" s="12" t="str">
        <f>IFERROR(IF(LoanIsNotPaid*LoanIsGood,EndingBalance,""), "")</f>
        <v/>
      </c>
    </row>
    <row r="79" spans="2:8" ht="20.149999999999999" customHeight="1">
      <c r="B79" s="9" t="str">
        <f>IFERROR(IF(LoanIsNotPaid*LoanIsGood,PaymentNumber,""), "")</f>
        <v/>
      </c>
      <c r="C79" s="10" t="str">
        <f>IFERROR(IF(LoanIsNotPaid*LoanIsGood,PaymentDate,""), "")</f>
        <v/>
      </c>
      <c r="D79" s="12" t="str">
        <f>IFERROR(IF(LoanIsNotPaid*LoanIsGood,LoanValue,""), "")</f>
        <v/>
      </c>
      <c r="E79" s="12" t="str">
        <f>IFERROR(IF(LoanIsNotPaid*LoanIsGood,MonthlyPayment,""), "")</f>
        <v/>
      </c>
      <c r="F79" s="12" t="str">
        <f>IFERROR(IF(LoanIsNotPaid*LoanIsGood,Principal,""), "")</f>
        <v/>
      </c>
      <c r="G79" s="12" t="str">
        <f>IFERROR(IF(LoanIsNotPaid*LoanIsGood,InterestAmt,""), "")</f>
        <v/>
      </c>
      <c r="H79" s="12" t="str">
        <f>IFERROR(IF(LoanIsNotPaid*LoanIsGood,EndingBalance,""), "")</f>
        <v/>
      </c>
    </row>
    <row r="80" spans="2:8" ht="20.149999999999999" customHeight="1">
      <c r="B80" s="9" t="str">
        <f>IFERROR(IF(LoanIsNotPaid*LoanIsGood,PaymentNumber,""), "")</f>
        <v/>
      </c>
      <c r="C80" s="10" t="str">
        <f>IFERROR(IF(LoanIsNotPaid*LoanIsGood,PaymentDate,""), "")</f>
        <v/>
      </c>
      <c r="D80" s="12" t="str">
        <f>IFERROR(IF(LoanIsNotPaid*LoanIsGood,LoanValue,""), "")</f>
        <v/>
      </c>
      <c r="E80" s="12" t="str">
        <f>IFERROR(IF(LoanIsNotPaid*LoanIsGood,MonthlyPayment,""), "")</f>
        <v/>
      </c>
      <c r="F80" s="12" t="str">
        <f>IFERROR(IF(LoanIsNotPaid*LoanIsGood,Principal,""), "")</f>
        <v/>
      </c>
      <c r="G80" s="12" t="str">
        <f>IFERROR(IF(LoanIsNotPaid*LoanIsGood,InterestAmt,""), "")</f>
        <v/>
      </c>
      <c r="H80" s="12" t="str">
        <f>IFERROR(IF(LoanIsNotPaid*LoanIsGood,EndingBalance,""), "")</f>
        <v/>
      </c>
    </row>
    <row r="81" spans="2:8" ht="20.149999999999999" customHeight="1">
      <c r="B81" s="9" t="str">
        <f>IFERROR(IF(LoanIsNotPaid*LoanIsGood,PaymentNumber,""), "")</f>
        <v/>
      </c>
      <c r="C81" s="10" t="str">
        <f>IFERROR(IF(LoanIsNotPaid*LoanIsGood,PaymentDate,""), "")</f>
        <v/>
      </c>
      <c r="D81" s="12" t="str">
        <f>IFERROR(IF(LoanIsNotPaid*LoanIsGood,LoanValue,""), "")</f>
        <v/>
      </c>
      <c r="E81" s="12" t="str">
        <f>IFERROR(IF(LoanIsNotPaid*LoanIsGood,MonthlyPayment,""), "")</f>
        <v/>
      </c>
      <c r="F81" s="12" t="str">
        <f>IFERROR(IF(LoanIsNotPaid*LoanIsGood,Principal,""), "")</f>
        <v/>
      </c>
      <c r="G81" s="12" t="str">
        <f>IFERROR(IF(LoanIsNotPaid*LoanIsGood,InterestAmt,""), "")</f>
        <v/>
      </c>
      <c r="H81" s="12" t="str">
        <f>IFERROR(IF(LoanIsNotPaid*LoanIsGood,EndingBalance,""), "")</f>
        <v/>
      </c>
    </row>
    <row r="82" spans="2:8" ht="20.149999999999999" customHeight="1">
      <c r="B82" s="9" t="str">
        <f>IFERROR(IF(LoanIsNotPaid*LoanIsGood,PaymentNumber,""), "")</f>
        <v/>
      </c>
      <c r="C82" s="10" t="str">
        <f>IFERROR(IF(LoanIsNotPaid*LoanIsGood,PaymentDate,""), "")</f>
        <v/>
      </c>
      <c r="D82" s="12" t="str">
        <f>IFERROR(IF(LoanIsNotPaid*LoanIsGood,LoanValue,""), "")</f>
        <v/>
      </c>
      <c r="E82" s="12" t="str">
        <f>IFERROR(IF(LoanIsNotPaid*LoanIsGood,MonthlyPayment,""), "")</f>
        <v/>
      </c>
      <c r="F82" s="12" t="str">
        <f>IFERROR(IF(LoanIsNotPaid*LoanIsGood,Principal,""), "")</f>
        <v/>
      </c>
      <c r="G82" s="12" t="str">
        <f>IFERROR(IF(LoanIsNotPaid*LoanIsGood,InterestAmt,""), "")</f>
        <v/>
      </c>
      <c r="H82" s="12" t="str">
        <f>IFERROR(IF(LoanIsNotPaid*LoanIsGood,EndingBalance,""), "")</f>
        <v/>
      </c>
    </row>
    <row r="83" spans="2:8" ht="20.149999999999999" customHeight="1">
      <c r="B83" s="9" t="str">
        <f>IFERROR(IF(LoanIsNotPaid*LoanIsGood,PaymentNumber,""), "")</f>
        <v/>
      </c>
      <c r="C83" s="10" t="str">
        <f>IFERROR(IF(LoanIsNotPaid*LoanIsGood,PaymentDate,""), "")</f>
        <v/>
      </c>
      <c r="D83" s="12" t="str">
        <f>IFERROR(IF(LoanIsNotPaid*LoanIsGood,LoanValue,""), "")</f>
        <v/>
      </c>
      <c r="E83" s="12" t="str">
        <f>IFERROR(IF(LoanIsNotPaid*LoanIsGood,MonthlyPayment,""), "")</f>
        <v/>
      </c>
      <c r="F83" s="12" t="str">
        <f>IFERROR(IF(LoanIsNotPaid*LoanIsGood,Principal,""), "")</f>
        <v/>
      </c>
      <c r="G83" s="12" t="str">
        <f>IFERROR(IF(LoanIsNotPaid*LoanIsGood,InterestAmt,""), "")</f>
        <v/>
      </c>
      <c r="H83" s="12" t="str">
        <f>IFERROR(IF(LoanIsNotPaid*LoanIsGood,EndingBalance,""), "")</f>
        <v/>
      </c>
    </row>
    <row r="84" spans="2:8" ht="20.149999999999999" customHeight="1">
      <c r="B84" s="9" t="str">
        <f>IFERROR(IF(LoanIsNotPaid*LoanIsGood,PaymentNumber,""), "")</f>
        <v/>
      </c>
      <c r="C84" s="10" t="str">
        <f>IFERROR(IF(LoanIsNotPaid*LoanIsGood,PaymentDate,""), "")</f>
        <v/>
      </c>
      <c r="D84" s="12" t="str">
        <f>IFERROR(IF(LoanIsNotPaid*LoanIsGood,LoanValue,""), "")</f>
        <v/>
      </c>
      <c r="E84" s="12" t="str">
        <f>IFERROR(IF(LoanIsNotPaid*LoanIsGood,MonthlyPayment,""), "")</f>
        <v/>
      </c>
      <c r="F84" s="12" t="str">
        <f>IFERROR(IF(LoanIsNotPaid*LoanIsGood,Principal,""), "")</f>
        <v/>
      </c>
      <c r="G84" s="12" t="str">
        <f>IFERROR(IF(LoanIsNotPaid*LoanIsGood,InterestAmt,""), "")</f>
        <v/>
      </c>
      <c r="H84" s="12" t="str">
        <f>IFERROR(IF(LoanIsNotPaid*LoanIsGood,EndingBalance,""), "")</f>
        <v/>
      </c>
    </row>
    <row r="85" spans="2:8" ht="20.149999999999999" customHeight="1">
      <c r="B85" s="9" t="str">
        <f>IFERROR(IF(LoanIsNotPaid*LoanIsGood,PaymentNumber,""), "")</f>
        <v/>
      </c>
      <c r="C85" s="10" t="str">
        <f>IFERROR(IF(LoanIsNotPaid*LoanIsGood,PaymentDate,""), "")</f>
        <v/>
      </c>
      <c r="D85" s="12" t="str">
        <f>IFERROR(IF(LoanIsNotPaid*LoanIsGood,LoanValue,""), "")</f>
        <v/>
      </c>
      <c r="E85" s="12" t="str">
        <f>IFERROR(IF(LoanIsNotPaid*LoanIsGood,MonthlyPayment,""), "")</f>
        <v/>
      </c>
      <c r="F85" s="12" t="str">
        <f>IFERROR(IF(LoanIsNotPaid*LoanIsGood,Principal,""), "")</f>
        <v/>
      </c>
      <c r="G85" s="12" t="str">
        <f>IFERROR(IF(LoanIsNotPaid*LoanIsGood,InterestAmt,""), "")</f>
        <v/>
      </c>
      <c r="H85" s="12" t="str">
        <f>IFERROR(IF(LoanIsNotPaid*LoanIsGood,EndingBalance,""), "")</f>
        <v/>
      </c>
    </row>
    <row r="86" spans="2:8" ht="20.149999999999999" customHeight="1">
      <c r="B86" s="9" t="str">
        <f>IFERROR(IF(LoanIsNotPaid*LoanIsGood,PaymentNumber,""), "")</f>
        <v/>
      </c>
      <c r="C86" s="10" t="str">
        <f>IFERROR(IF(LoanIsNotPaid*LoanIsGood,PaymentDate,""), "")</f>
        <v/>
      </c>
      <c r="D86" s="12" t="str">
        <f>IFERROR(IF(LoanIsNotPaid*LoanIsGood,LoanValue,""), "")</f>
        <v/>
      </c>
      <c r="E86" s="12" t="str">
        <f>IFERROR(IF(LoanIsNotPaid*LoanIsGood,MonthlyPayment,""), "")</f>
        <v/>
      </c>
      <c r="F86" s="12" t="str">
        <f>IFERROR(IF(LoanIsNotPaid*LoanIsGood,Principal,""), "")</f>
        <v/>
      </c>
      <c r="G86" s="12" t="str">
        <f>IFERROR(IF(LoanIsNotPaid*LoanIsGood,InterestAmt,""), "")</f>
        <v/>
      </c>
      <c r="H86" s="12" t="str">
        <f>IFERROR(IF(LoanIsNotPaid*LoanIsGood,EndingBalance,""), "")</f>
        <v/>
      </c>
    </row>
    <row r="87" spans="2:8" ht="20.149999999999999" customHeight="1">
      <c r="B87" s="9" t="str">
        <f>IFERROR(IF(LoanIsNotPaid*LoanIsGood,PaymentNumber,""), "")</f>
        <v/>
      </c>
      <c r="C87" s="10" t="str">
        <f>IFERROR(IF(LoanIsNotPaid*LoanIsGood,PaymentDate,""), "")</f>
        <v/>
      </c>
      <c r="D87" s="12" t="str">
        <f>IFERROR(IF(LoanIsNotPaid*LoanIsGood,LoanValue,""), "")</f>
        <v/>
      </c>
      <c r="E87" s="12" t="str">
        <f>IFERROR(IF(LoanIsNotPaid*LoanIsGood,MonthlyPayment,""), "")</f>
        <v/>
      </c>
      <c r="F87" s="12" t="str">
        <f>IFERROR(IF(LoanIsNotPaid*LoanIsGood,Principal,""), "")</f>
        <v/>
      </c>
      <c r="G87" s="12" t="str">
        <f>IFERROR(IF(LoanIsNotPaid*LoanIsGood,InterestAmt,""), "")</f>
        <v/>
      </c>
      <c r="H87" s="12" t="str">
        <f>IFERROR(IF(LoanIsNotPaid*LoanIsGood,EndingBalance,""), "")</f>
        <v/>
      </c>
    </row>
    <row r="88" spans="2:8" ht="20.149999999999999" customHeight="1">
      <c r="B88" s="9" t="str">
        <f>IFERROR(IF(LoanIsNotPaid*LoanIsGood,PaymentNumber,""), "")</f>
        <v/>
      </c>
      <c r="C88" s="10" t="str">
        <f>IFERROR(IF(LoanIsNotPaid*LoanIsGood,PaymentDate,""), "")</f>
        <v/>
      </c>
      <c r="D88" s="12" t="str">
        <f>IFERROR(IF(LoanIsNotPaid*LoanIsGood,LoanValue,""), "")</f>
        <v/>
      </c>
      <c r="E88" s="12" t="str">
        <f>IFERROR(IF(LoanIsNotPaid*LoanIsGood,MonthlyPayment,""), "")</f>
        <v/>
      </c>
      <c r="F88" s="12" t="str">
        <f>IFERROR(IF(LoanIsNotPaid*LoanIsGood,Principal,""), "")</f>
        <v/>
      </c>
      <c r="G88" s="12" t="str">
        <f>IFERROR(IF(LoanIsNotPaid*LoanIsGood,InterestAmt,""), "")</f>
        <v/>
      </c>
      <c r="H88" s="12" t="str">
        <f>IFERROR(IF(LoanIsNotPaid*LoanIsGood,EndingBalance,""), "")</f>
        <v/>
      </c>
    </row>
    <row r="89" spans="2:8" ht="20.149999999999999" customHeight="1">
      <c r="B89" s="9" t="str">
        <f>IFERROR(IF(LoanIsNotPaid*LoanIsGood,PaymentNumber,""), "")</f>
        <v/>
      </c>
      <c r="C89" s="10" t="str">
        <f>IFERROR(IF(LoanIsNotPaid*LoanIsGood,PaymentDate,""), "")</f>
        <v/>
      </c>
      <c r="D89" s="12" t="str">
        <f>IFERROR(IF(LoanIsNotPaid*LoanIsGood,LoanValue,""), "")</f>
        <v/>
      </c>
      <c r="E89" s="12" t="str">
        <f>IFERROR(IF(LoanIsNotPaid*LoanIsGood,MonthlyPayment,""), "")</f>
        <v/>
      </c>
      <c r="F89" s="12" t="str">
        <f>IFERROR(IF(LoanIsNotPaid*LoanIsGood,Principal,""), "")</f>
        <v/>
      </c>
      <c r="G89" s="12" t="str">
        <f>IFERROR(IF(LoanIsNotPaid*LoanIsGood,InterestAmt,""), "")</f>
        <v/>
      </c>
      <c r="H89" s="12" t="str">
        <f>IFERROR(IF(LoanIsNotPaid*LoanIsGood,EndingBalance,""), "")</f>
        <v/>
      </c>
    </row>
    <row r="90" spans="2:8" ht="20.149999999999999" customHeight="1">
      <c r="B90" s="9" t="str">
        <f>IFERROR(IF(LoanIsNotPaid*LoanIsGood,PaymentNumber,""), "")</f>
        <v/>
      </c>
      <c r="C90" s="10" t="str">
        <f>IFERROR(IF(LoanIsNotPaid*LoanIsGood,PaymentDate,""), "")</f>
        <v/>
      </c>
      <c r="D90" s="12" t="str">
        <f>IFERROR(IF(LoanIsNotPaid*LoanIsGood,LoanValue,""), "")</f>
        <v/>
      </c>
      <c r="E90" s="12" t="str">
        <f>IFERROR(IF(LoanIsNotPaid*LoanIsGood,MonthlyPayment,""), "")</f>
        <v/>
      </c>
      <c r="F90" s="12" t="str">
        <f>IFERROR(IF(LoanIsNotPaid*LoanIsGood,Principal,""), "")</f>
        <v/>
      </c>
      <c r="G90" s="12" t="str">
        <f>IFERROR(IF(LoanIsNotPaid*LoanIsGood,InterestAmt,""), "")</f>
        <v/>
      </c>
      <c r="H90" s="12" t="str">
        <f>IFERROR(IF(LoanIsNotPaid*LoanIsGood,EndingBalance,""), "")</f>
        <v/>
      </c>
    </row>
    <row r="91" spans="2:8" ht="20.149999999999999" customHeight="1">
      <c r="B91" s="9" t="str">
        <f>IFERROR(IF(LoanIsNotPaid*LoanIsGood,PaymentNumber,""), "")</f>
        <v/>
      </c>
      <c r="C91" s="10" t="str">
        <f>IFERROR(IF(LoanIsNotPaid*LoanIsGood,PaymentDate,""), "")</f>
        <v/>
      </c>
      <c r="D91" s="12" t="str">
        <f>IFERROR(IF(LoanIsNotPaid*LoanIsGood,LoanValue,""), "")</f>
        <v/>
      </c>
      <c r="E91" s="12" t="str">
        <f>IFERROR(IF(LoanIsNotPaid*LoanIsGood,MonthlyPayment,""), "")</f>
        <v/>
      </c>
      <c r="F91" s="12" t="str">
        <f>IFERROR(IF(LoanIsNotPaid*LoanIsGood,Principal,""), "")</f>
        <v/>
      </c>
      <c r="G91" s="12" t="str">
        <f>IFERROR(IF(LoanIsNotPaid*LoanIsGood,InterestAmt,""), "")</f>
        <v/>
      </c>
      <c r="H91" s="12" t="str">
        <f>IFERROR(IF(LoanIsNotPaid*LoanIsGood,EndingBalance,""), "")</f>
        <v/>
      </c>
    </row>
    <row r="92" spans="2:8" ht="20.149999999999999" customHeight="1">
      <c r="B92" s="9" t="str">
        <f>IFERROR(IF(LoanIsNotPaid*LoanIsGood,PaymentNumber,""), "")</f>
        <v/>
      </c>
      <c r="C92" s="10" t="str">
        <f>IFERROR(IF(LoanIsNotPaid*LoanIsGood,PaymentDate,""), "")</f>
        <v/>
      </c>
      <c r="D92" s="12" t="str">
        <f>IFERROR(IF(LoanIsNotPaid*LoanIsGood,LoanValue,""), "")</f>
        <v/>
      </c>
      <c r="E92" s="12" t="str">
        <f>IFERROR(IF(LoanIsNotPaid*LoanIsGood,MonthlyPayment,""), "")</f>
        <v/>
      </c>
      <c r="F92" s="12" t="str">
        <f>IFERROR(IF(LoanIsNotPaid*LoanIsGood,Principal,""), "")</f>
        <v/>
      </c>
      <c r="G92" s="12" t="str">
        <f>IFERROR(IF(LoanIsNotPaid*LoanIsGood,InterestAmt,""), "")</f>
        <v/>
      </c>
      <c r="H92" s="12" t="str">
        <f>IFERROR(IF(LoanIsNotPaid*LoanIsGood,EndingBalance,""), "")</f>
        <v/>
      </c>
    </row>
    <row r="93" spans="2:8" ht="20.149999999999999" customHeight="1">
      <c r="B93" s="9" t="str">
        <f>IFERROR(IF(LoanIsNotPaid*LoanIsGood,PaymentNumber,""), "")</f>
        <v/>
      </c>
      <c r="C93" s="10" t="str">
        <f>IFERROR(IF(LoanIsNotPaid*LoanIsGood,PaymentDate,""), "")</f>
        <v/>
      </c>
      <c r="D93" s="12" t="str">
        <f>IFERROR(IF(LoanIsNotPaid*LoanIsGood,LoanValue,""), "")</f>
        <v/>
      </c>
      <c r="E93" s="12" t="str">
        <f>IFERROR(IF(LoanIsNotPaid*LoanIsGood,MonthlyPayment,""), "")</f>
        <v/>
      </c>
      <c r="F93" s="12" t="str">
        <f>IFERROR(IF(LoanIsNotPaid*LoanIsGood,Principal,""), "")</f>
        <v/>
      </c>
      <c r="G93" s="12" t="str">
        <f>IFERROR(IF(LoanIsNotPaid*LoanIsGood,InterestAmt,""), "")</f>
        <v/>
      </c>
      <c r="H93" s="12" t="str">
        <f>IFERROR(IF(LoanIsNotPaid*LoanIsGood,EndingBalance,""), "")</f>
        <v/>
      </c>
    </row>
    <row r="94" spans="2:8" ht="20.149999999999999" customHeight="1">
      <c r="B94" s="9" t="str">
        <f>IFERROR(IF(LoanIsNotPaid*LoanIsGood,PaymentNumber,""), "")</f>
        <v/>
      </c>
      <c r="C94" s="10" t="str">
        <f>IFERROR(IF(LoanIsNotPaid*LoanIsGood,PaymentDate,""), "")</f>
        <v/>
      </c>
      <c r="D94" s="12" t="str">
        <f>IFERROR(IF(LoanIsNotPaid*LoanIsGood,LoanValue,""), "")</f>
        <v/>
      </c>
      <c r="E94" s="12" t="str">
        <f>IFERROR(IF(LoanIsNotPaid*LoanIsGood,MonthlyPayment,""), "")</f>
        <v/>
      </c>
      <c r="F94" s="12" t="str">
        <f>IFERROR(IF(LoanIsNotPaid*LoanIsGood,Principal,""), "")</f>
        <v/>
      </c>
      <c r="G94" s="12" t="str">
        <f>IFERROR(IF(LoanIsNotPaid*LoanIsGood,InterestAmt,""), "")</f>
        <v/>
      </c>
      <c r="H94" s="12" t="str">
        <f>IFERROR(IF(LoanIsNotPaid*LoanIsGood,EndingBalance,""), "")</f>
        <v/>
      </c>
    </row>
    <row r="95" spans="2:8" ht="20.149999999999999" customHeight="1">
      <c r="B95" s="9" t="str">
        <f>IFERROR(IF(LoanIsNotPaid*LoanIsGood,PaymentNumber,""), "")</f>
        <v/>
      </c>
      <c r="C95" s="10" t="str">
        <f>IFERROR(IF(LoanIsNotPaid*LoanIsGood,PaymentDate,""), "")</f>
        <v/>
      </c>
      <c r="D95" s="12" t="str">
        <f>IFERROR(IF(LoanIsNotPaid*LoanIsGood,LoanValue,""), "")</f>
        <v/>
      </c>
      <c r="E95" s="12" t="str">
        <f>IFERROR(IF(LoanIsNotPaid*LoanIsGood,MonthlyPayment,""), "")</f>
        <v/>
      </c>
      <c r="F95" s="12" t="str">
        <f>IFERROR(IF(LoanIsNotPaid*LoanIsGood,Principal,""), "")</f>
        <v/>
      </c>
      <c r="G95" s="12" t="str">
        <f>IFERROR(IF(LoanIsNotPaid*LoanIsGood,InterestAmt,""), "")</f>
        <v/>
      </c>
      <c r="H95" s="12" t="str">
        <f>IFERROR(IF(LoanIsNotPaid*LoanIsGood,EndingBalance,""), "")</f>
        <v/>
      </c>
    </row>
    <row r="96" spans="2:8" ht="20.149999999999999" customHeight="1">
      <c r="B96" s="9" t="str">
        <f>IFERROR(IF(LoanIsNotPaid*LoanIsGood,PaymentNumber,""), "")</f>
        <v/>
      </c>
      <c r="C96" s="10" t="str">
        <f>IFERROR(IF(LoanIsNotPaid*LoanIsGood,PaymentDate,""), "")</f>
        <v/>
      </c>
      <c r="D96" s="12" t="str">
        <f>IFERROR(IF(LoanIsNotPaid*LoanIsGood,LoanValue,""), "")</f>
        <v/>
      </c>
      <c r="E96" s="12" t="str">
        <f>IFERROR(IF(LoanIsNotPaid*LoanIsGood,MonthlyPayment,""), "")</f>
        <v/>
      </c>
      <c r="F96" s="12" t="str">
        <f>IFERROR(IF(LoanIsNotPaid*LoanIsGood,Principal,""), "")</f>
        <v/>
      </c>
      <c r="G96" s="12" t="str">
        <f>IFERROR(IF(LoanIsNotPaid*LoanIsGood,InterestAmt,""), "")</f>
        <v/>
      </c>
      <c r="H96" s="12" t="str">
        <f>IFERROR(IF(LoanIsNotPaid*LoanIsGood,EndingBalance,""), "")</f>
        <v/>
      </c>
    </row>
    <row r="97" spans="2:8" ht="20.149999999999999" customHeight="1">
      <c r="B97" s="9" t="str">
        <f>IFERROR(IF(LoanIsNotPaid*LoanIsGood,PaymentNumber,""), "")</f>
        <v/>
      </c>
      <c r="C97" s="10" t="str">
        <f>IFERROR(IF(LoanIsNotPaid*LoanIsGood,PaymentDate,""), "")</f>
        <v/>
      </c>
      <c r="D97" s="12" t="str">
        <f>IFERROR(IF(LoanIsNotPaid*LoanIsGood,LoanValue,""), "")</f>
        <v/>
      </c>
      <c r="E97" s="12" t="str">
        <f>IFERROR(IF(LoanIsNotPaid*LoanIsGood,MonthlyPayment,""), "")</f>
        <v/>
      </c>
      <c r="F97" s="12" t="str">
        <f>IFERROR(IF(LoanIsNotPaid*LoanIsGood,Principal,""), "")</f>
        <v/>
      </c>
      <c r="G97" s="12" t="str">
        <f>IFERROR(IF(LoanIsNotPaid*LoanIsGood,InterestAmt,""), "")</f>
        <v/>
      </c>
      <c r="H97" s="12" t="str">
        <f>IFERROR(IF(LoanIsNotPaid*LoanIsGood,EndingBalance,""), "")</f>
        <v/>
      </c>
    </row>
    <row r="98" spans="2:8" ht="20.149999999999999" customHeight="1">
      <c r="B98" s="9" t="str">
        <f>IFERROR(IF(LoanIsNotPaid*LoanIsGood,PaymentNumber,""), "")</f>
        <v/>
      </c>
      <c r="C98" s="10" t="str">
        <f>IFERROR(IF(LoanIsNotPaid*LoanIsGood,PaymentDate,""), "")</f>
        <v/>
      </c>
      <c r="D98" s="12" t="str">
        <f>IFERROR(IF(LoanIsNotPaid*LoanIsGood,LoanValue,""), "")</f>
        <v/>
      </c>
      <c r="E98" s="12" t="str">
        <f>IFERROR(IF(LoanIsNotPaid*LoanIsGood,MonthlyPayment,""), "")</f>
        <v/>
      </c>
      <c r="F98" s="12" t="str">
        <f>IFERROR(IF(LoanIsNotPaid*LoanIsGood,Principal,""), "")</f>
        <v/>
      </c>
      <c r="G98" s="12" t="str">
        <f>IFERROR(IF(LoanIsNotPaid*LoanIsGood,InterestAmt,""), "")</f>
        <v/>
      </c>
      <c r="H98" s="12" t="str">
        <f>IFERROR(IF(LoanIsNotPaid*LoanIsGood,EndingBalance,""), "")</f>
        <v/>
      </c>
    </row>
    <row r="99" spans="2:8" ht="20.149999999999999" customHeight="1">
      <c r="B99" s="9" t="str">
        <f>IFERROR(IF(LoanIsNotPaid*LoanIsGood,PaymentNumber,""), "")</f>
        <v/>
      </c>
      <c r="C99" s="10" t="str">
        <f>IFERROR(IF(LoanIsNotPaid*LoanIsGood,PaymentDate,""), "")</f>
        <v/>
      </c>
      <c r="D99" s="12" t="str">
        <f>IFERROR(IF(LoanIsNotPaid*LoanIsGood,LoanValue,""), "")</f>
        <v/>
      </c>
      <c r="E99" s="12" t="str">
        <f>IFERROR(IF(LoanIsNotPaid*LoanIsGood,MonthlyPayment,""), "")</f>
        <v/>
      </c>
      <c r="F99" s="12" t="str">
        <f>IFERROR(IF(LoanIsNotPaid*LoanIsGood,Principal,""), "")</f>
        <v/>
      </c>
      <c r="G99" s="12" t="str">
        <f>IFERROR(IF(LoanIsNotPaid*LoanIsGood,InterestAmt,""), "")</f>
        <v/>
      </c>
      <c r="H99" s="12" t="str">
        <f>IFERROR(IF(LoanIsNotPaid*LoanIsGood,EndingBalance,""), "")</f>
        <v/>
      </c>
    </row>
    <row r="100" spans="2:8" ht="20.149999999999999" customHeight="1">
      <c r="B100" s="9" t="str">
        <f>IFERROR(IF(LoanIsNotPaid*LoanIsGood,PaymentNumber,""), "")</f>
        <v/>
      </c>
      <c r="C100" s="10" t="str">
        <f>IFERROR(IF(LoanIsNotPaid*LoanIsGood,PaymentDate,""), "")</f>
        <v/>
      </c>
      <c r="D100" s="12" t="str">
        <f>IFERROR(IF(LoanIsNotPaid*LoanIsGood,LoanValue,""), "")</f>
        <v/>
      </c>
      <c r="E100" s="12" t="str">
        <f>IFERROR(IF(LoanIsNotPaid*LoanIsGood,MonthlyPayment,""), "")</f>
        <v/>
      </c>
      <c r="F100" s="12" t="str">
        <f>IFERROR(IF(LoanIsNotPaid*LoanIsGood,Principal,""), "")</f>
        <v/>
      </c>
      <c r="G100" s="12" t="str">
        <f>IFERROR(IF(LoanIsNotPaid*LoanIsGood,InterestAmt,""), "")</f>
        <v/>
      </c>
      <c r="H100" s="12" t="str">
        <f>IFERROR(IF(LoanIsNotPaid*LoanIsGood,EndingBalance,""), "")</f>
        <v/>
      </c>
    </row>
    <row r="101" spans="2:8" ht="20.149999999999999" customHeight="1">
      <c r="B101" s="9" t="str">
        <f>IFERROR(IF(LoanIsNotPaid*LoanIsGood,PaymentNumber,""), "")</f>
        <v/>
      </c>
      <c r="C101" s="10" t="str">
        <f>IFERROR(IF(LoanIsNotPaid*LoanIsGood,PaymentDate,""), "")</f>
        <v/>
      </c>
      <c r="D101" s="12" t="str">
        <f>IFERROR(IF(LoanIsNotPaid*LoanIsGood,LoanValue,""), "")</f>
        <v/>
      </c>
      <c r="E101" s="12" t="str">
        <f>IFERROR(IF(LoanIsNotPaid*LoanIsGood,MonthlyPayment,""), "")</f>
        <v/>
      </c>
      <c r="F101" s="12" t="str">
        <f>IFERROR(IF(LoanIsNotPaid*LoanIsGood,Principal,""), "")</f>
        <v/>
      </c>
      <c r="G101" s="12" t="str">
        <f>IFERROR(IF(LoanIsNotPaid*LoanIsGood,InterestAmt,""), "")</f>
        <v/>
      </c>
      <c r="H101" s="12" t="str">
        <f>IFERROR(IF(LoanIsNotPaid*LoanIsGood,EndingBalance,""), "")</f>
        <v/>
      </c>
    </row>
    <row r="102" spans="2:8" ht="20.149999999999999" customHeight="1">
      <c r="B102" s="9" t="str">
        <f>IFERROR(IF(LoanIsNotPaid*LoanIsGood,PaymentNumber,""), "")</f>
        <v/>
      </c>
      <c r="C102" s="10" t="str">
        <f>IFERROR(IF(LoanIsNotPaid*LoanIsGood,PaymentDate,""), "")</f>
        <v/>
      </c>
      <c r="D102" s="12" t="str">
        <f>IFERROR(IF(LoanIsNotPaid*LoanIsGood,LoanValue,""), "")</f>
        <v/>
      </c>
      <c r="E102" s="12" t="str">
        <f>IFERROR(IF(LoanIsNotPaid*LoanIsGood,MonthlyPayment,""), "")</f>
        <v/>
      </c>
      <c r="F102" s="12" t="str">
        <f>IFERROR(IF(LoanIsNotPaid*LoanIsGood,Principal,""), "")</f>
        <v/>
      </c>
      <c r="G102" s="12" t="str">
        <f>IFERROR(IF(LoanIsNotPaid*LoanIsGood,InterestAmt,""), "")</f>
        <v/>
      </c>
      <c r="H102" s="12" t="str">
        <f>IFERROR(IF(LoanIsNotPaid*LoanIsGood,EndingBalance,""), "")</f>
        <v/>
      </c>
    </row>
    <row r="103" spans="2:8" ht="20.149999999999999" customHeight="1">
      <c r="B103" s="9" t="str">
        <f>IFERROR(IF(LoanIsNotPaid*LoanIsGood,PaymentNumber,""), "")</f>
        <v/>
      </c>
      <c r="C103" s="10" t="str">
        <f>IFERROR(IF(LoanIsNotPaid*LoanIsGood,PaymentDate,""), "")</f>
        <v/>
      </c>
      <c r="D103" s="12" t="str">
        <f>IFERROR(IF(LoanIsNotPaid*LoanIsGood,LoanValue,""), "")</f>
        <v/>
      </c>
      <c r="E103" s="12" t="str">
        <f>IFERROR(IF(LoanIsNotPaid*LoanIsGood,MonthlyPayment,""), "")</f>
        <v/>
      </c>
      <c r="F103" s="12" t="str">
        <f>IFERROR(IF(LoanIsNotPaid*LoanIsGood,Principal,""), "")</f>
        <v/>
      </c>
      <c r="G103" s="12" t="str">
        <f>IFERROR(IF(LoanIsNotPaid*LoanIsGood,InterestAmt,""), "")</f>
        <v/>
      </c>
      <c r="H103" s="12" t="str">
        <f>IFERROR(IF(LoanIsNotPaid*LoanIsGood,EndingBalance,""), "")</f>
        <v/>
      </c>
    </row>
    <row r="104" spans="2:8" ht="20.149999999999999" customHeight="1">
      <c r="B104" s="9" t="str">
        <f>IFERROR(IF(LoanIsNotPaid*LoanIsGood,PaymentNumber,""), "")</f>
        <v/>
      </c>
      <c r="C104" s="10" t="str">
        <f>IFERROR(IF(LoanIsNotPaid*LoanIsGood,PaymentDate,""), "")</f>
        <v/>
      </c>
      <c r="D104" s="12" t="str">
        <f>IFERROR(IF(LoanIsNotPaid*LoanIsGood,LoanValue,""), "")</f>
        <v/>
      </c>
      <c r="E104" s="12" t="str">
        <f>IFERROR(IF(LoanIsNotPaid*LoanIsGood,MonthlyPayment,""), "")</f>
        <v/>
      </c>
      <c r="F104" s="12" t="str">
        <f>IFERROR(IF(LoanIsNotPaid*LoanIsGood,Principal,""), "")</f>
        <v/>
      </c>
      <c r="G104" s="12" t="str">
        <f>IFERROR(IF(LoanIsNotPaid*LoanIsGood,InterestAmt,""), "")</f>
        <v/>
      </c>
      <c r="H104" s="12" t="str">
        <f>IFERROR(IF(LoanIsNotPaid*LoanIsGood,EndingBalance,""), "")</f>
        <v/>
      </c>
    </row>
    <row r="105" spans="2:8" ht="20.149999999999999" customHeight="1">
      <c r="B105" s="9" t="str">
        <f>IFERROR(IF(LoanIsNotPaid*LoanIsGood,PaymentNumber,""), "")</f>
        <v/>
      </c>
      <c r="C105" s="10" t="str">
        <f>IFERROR(IF(LoanIsNotPaid*LoanIsGood,PaymentDate,""), "")</f>
        <v/>
      </c>
      <c r="D105" s="12" t="str">
        <f>IFERROR(IF(LoanIsNotPaid*LoanIsGood,LoanValue,""), "")</f>
        <v/>
      </c>
      <c r="E105" s="12" t="str">
        <f>IFERROR(IF(LoanIsNotPaid*LoanIsGood,MonthlyPayment,""), "")</f>
        <v/>
      </c>
      <c r="F105" s="12" t="str">
        <f>IFERROR(IF(LoanIsNotPaid*LoanIsGood,Principal,""), "")</f>
        <v/>
      </c>
      <c r="G105" s="12" t="str">
        <f>IFERROR(IF(LoanIsNotPaid*LoanIsGood,InterestAmt,""), "")</f>
        <v/>
      </c>
      <c r="H105" s="12" t="str">
        <f>IFERROR(IF(LoanIsNotPaid*LoanIsGood,EndingBalance,""), "")</f>
        <v/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41" priority="4" stopIfTrue="1">
      <formula>NOT(LoanIsNotPaid)</formula>
    </cfRule>
    <cfRule type="expression" dxfId="40" priority="5" stopIfTrue="1">
      <formula>IF(ROW(B10)=LastRow,TRUE,FALSE)</formula>
    </cfRule>
  </conditionalFormatting>
  <conditionalFormatting sqref="B10:H369">
    <cfRule type="expression" dxfId="39" priority="1">
      <formula>$B10=""</formula>
    </cfRule>
  </conditionalFormatting>
  <conditionalFormatting sqref="C10:G369">
    <cfRule type="expression" dxfId="38" priority="2" stopIfTrue="1">
      <formula>NOT(LoanIsNotPaid)</formula>
    </cfRule>
    <cfRule type="expression" dxfId="37" priority="3" stopIfTrue="1">
      <formula>IF(ROW(C10)=LastRow,TRUE,FALSE)</formula>
    </cfRule>
  </conditionalFormatting>
  <conditionalFormatting sqref="H10:H369">
    <cfRule type="expression" dxfId="36" priority="6" stopIfTrue="1">
      <formula>NOT(LoanIsNotPaid)</formula>
    </cfRule>
    <cfRule type="expression" dxfId="35" priority="7" stopIfTrue="1">
      <formula>IF(ROW(H10)=LastRow,TRUE,FALSE)</formula>
    </cfRule>
  </conditionalFormatting>
  <dataValidations count="27">
    <dataValidation allowBlank="1" showInputMessage="1" showErrorMessage="1" prompt="Enter Loan Values in cells D4 through D7 for each description in cells below. Loan Summary in cells H4 through H7 and Loan table are automatically updated" sqref="B3:D3" xr:uid="{72A7B559-AF84-44A9-8E3F-0C02233868A6}"/>
    <dataValidation allowBlank="1" showInputMessage="1" showErrorMessage="1" prompt="Ending Balance is automatically updated in this column under this heading" sqref="H9" xr:uid="{714D9307-2C92-4ABA-A5C6-CE33A142F6D5}"/>
    <dataValidation allowBlank="1" showInputMessage="1" showErrorMessage="1" prompt="Interest amount is automatically updated in this column under this heading" sqref="G9" xr:uid="{58C712D0-A203-423A-AA18-4BB5BF04EC28}"/>
    <dataValidation allowBlank="1" showInputMessage="1" showErrorMessage="1" prompt="Principal amount is automatically updated in this column under this heading" sqref="F9" xr:uid="{11720D23-18F8-4758-9533-C027E41F280B}"/>
    <dataValidation allowBlank="1" showInputMessage="1" showErrorMessage="1" prompt="Payment amount is automatically calculated in this column under this heading" sqref="E9" xr:uid="{40E547BB-5644-46D0-881B-AA7C9524994E}"/>
    <dataValidation allowBlank="1" showInputMessage="1" showErrorMessage="1" prompt="Beginning Balance is automatically calculated in this column under this heading" sqref="D9" xr:uid="{C973086D-584E-4F68-856B-358A4E03505F}"/>
    <dataValidation allowBlank="1" showInputMessage="1" showErrorMessage="1" prompt="Payment Date is automatically updated in this column under this heading" sqref="C9" xr:uid="{99FA6A9C-4DDA-444C-B89D-8150A0690B51}"/>
    <dataValidation allowBlank="1" showInputMessage="1" showErrorMessage="1" prompt="Payment Number is automatically updated in this column under this heading" sqref="B9" xr:uid="{520149F6-BE50-40A1-B119-915346E042FA}"/>
    <dataValidation allowBlank="1" showInputMessage="1" showErrorMessage="1" prompt="Number of payments is automatically calculated in this cell" sqref="H5" xr:uid="{45B60422-856F-4008-BA22-303A51A4D763}"/>
    <dataValidation allowBlank="1" showInputMessage="1" showErrorMessage="1" prompt="Total interest is automatically calculated in this cell" sqref="H6" xr:uid="{693C240D-2111-47CC-A3AD-0BF0323E72FC}"/>
    <dataValidation allowBlank="1" showInputMessage="1" showErrorMessage="1" prompt="Total cost of loan is automatically calculated in this cell" sqref="H7" xr:uid="{1F6CA767-493A-4179-86B7-798EB730EB11}"/>
    <dataValidation allowBlank="1" showInputMessage="1" showErrorMessage="1" prompt="Total cost of loan is automatically calculated in cell at right" sqref="F7:G7" xr:uid="{8831A5A2-7617-4843-9E8D-FDFEA9AD65CE}"/>
    <dataValidation allowBlank="1" showInputMessage="1" showErrorMessage="1" prompt="Total interest is automatically calculated in cell at right" sqref="F6:G6" xr:uid="{279BFCFD-A5B4-4E1A-A558-4BBEA6FAC432}"/>
    <dataValidation allowBlank="1" showInputMessage="1" showErrorMessage="1" prompt="Number of payments is automatically calculated in cell at right" sqref="F5:G5" xr:uid="{87778852-D091-4535-9D4D-28C15E97CF3C}"/>
    <dataValidation allowBlank="1" showInputMessage="1" showErrorMessage="1" prompt="Monthly payment is automatically calculated in cell at right" sqref="F4:G4" xr:uid="{282FF6AB-7B79-455A-B157-E2BDAABFDD14}"/>
    <dataValidation allowBlank="1" showInputMessage="1" showErrorMessage="1" prompt="Monthly payment is automatically calculated in this cell" sqref="H4" xr:uid="{B1A0C281-84F0-47DF-B049-AD6F5F9F375E}"/>
    <dataValidation allowBlank="1" showInputMessage="1" showErrorMessage="1" prompt="Enter Start date of loan in cell at right" sqref="B7:C7" xr:uid="{8FD12029-2046-4B48-A73E-919B91ABCD18}"/>
    <dataValidation allowBlank="1" showInputMessage="1" showErrorMessage="1" prompt="Enter Start date of loan in this cell" sqref="D7" xr:uid="{E423D1F2-A47B-4D91-9AAA-39FE4DE696FE}"/>
    <dataValidation allowBlank="1" showInputMessage="1" showErrorMessage="1" prompt="Enter Loan period in years in cell at right" sqref="B6:C6" xr:uid="{F2972D41-C760-4949-8470-A17B43850B79}"/>
    <dataValidation allowBlank="1" showInputMessage="1" showErrorMessage="1" prompt="Enter Loan period in years in this cell" sqref="D6" xr:uid="{3DE4936A-C86C-444C-8FEA-23556BD3EF67}"/>
    <dataValidation allowBlank="1" showInputMessage="1" showErrorMessage="1" prompt="Enter Annual interest rate in cell at right" sqref="B5:C5" xr:uid="{82D2CA3D-F75E-41F6-9996-9D979C861B73}"/>
    <dataValidation allowBlank="1" showInputMessage="1" showErrorMessage="1" prompt="Enter Annual interest rate in this cell" sqref="D5" xr:uid="{00014452-20E8-45E6-A25B-1E441DD9711B}"/>
    <dataValidation allowBlank="1" showInputMessage="1" showErrorMessage="1" prompt="Enter Loan amount in cell at right" sqref="B4:C4" xr:uid="{F92C9ED0-4A60-449B-9F17-3152B1104CF8}"/>
    <dataValidation allowBlank="1" showInputMessage="1" showErrorMessage="1" prompt="Enter Loan amount in this cell" sqref="D4" xr:uid="{A4713439-2F51-4B7B-ACB6-C5E6D783437A}"/>
    <dataValidation allowBlank="1" showInputMessage="1" showErrorMessage="1" prompt="Loan Summary is automatically updated in cells below" sqref="F3" xr:uid="{3811F3D4-17F9-477C-9348-F6A0915F886C}"/>
    <dataValidation allowBlank="1" showInputMessage="1" showErrorMessage="1" prompt="Title of this worksheet is in this cell. Enter Loan Values in cells D3 through D6. Loan Summary in cells H3 through H6 and Loan table are automatically updated" sqref="B1:B2" xr:uid="{4E365CE5-8A64-4B0C-AE70-E7F716CDCEAA}"/>
    <dataValidation allowBlank="1" showInputMessage="1" showErrorMessage="1" prompt="Make a loan repayment schedule using this Loan Calculator worksheet. Total interest and total payments are automatically calculated" sqref="A1:A2" xr:uid="{1D0F250F-0957-42F6-9B53-DC677D4997A7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06A6-65B7-4B11-8B3F-698639F85DE9}">
  <sheetPr>
    <tabColor theme="4"/>
    <pageSetUpPr fitToPage="1"/>
  </sheetPr>
  <dimension ref="B1:H369"/>
  <sheetViews>
    <sheetView showGridLines="0" zoomScale="80" zoomScaleNormal="80" workbookViewId="0">
      <pane ySplit="9" topLeftCell="A60" activePane="bottomLeft" state="frozenSplit"/>
      <selection activeCell="D40" sqref="D40"/>
      <selection pane="bottomLeft" activeCell="F62" sqref="F62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880000</v>
      </c>
      <c r="E4"/>
      <c r="F4" s="43" t="s">
        <v>4</v>
      </c>
      <c r="G4" s="43"/>
      <c r="H4" s="13">
        <f>IFERROR(IF(LoanIsGood,MonthlyPayment,""), "")</f>
        <v>21050.796373119774</v>
      </c>
    </row>
    <row r="5" spans="2:8" ht="20.149999999999999" customHeight="1">
      <c r="B5" s="40" t="s">
        <v>1</v>
      </c>
      <c r="C5" s="40"/>
      <c r="D5" s="3">
        <v>0.1525</v>
      </c>
      <c r="E5"/>
      <c r="F5" s="40" t="s">
        <v>5</v>
      </c>
      <c r="G5" s="40"/>
      <c r="H5" s="6">
        <v>60</v>
      </c>
    </row>
    <row r="6" spans="2:8" ht="20.149999999999999" customHeight="1">
      <c r="B6" s="40" t="s">
        <v>2</v>
      </c>
      <c r="C6" s="40"/>
      <c r="D6" s="4">
        <v>5</v>
      </c>
      <c r="E6"/>
      <c r="F6" s="40" t="s">
        <v>6</v>
      </c>
      <c r="G6" s="40"/>
      <c r="H6" s="14">
        <f>IFERROR(IF(LoanIsGood,TotalLoanCost-LoanAmount,""), "")</f>
        <v>383047.78238718654</v>
      </c>
    </row>
    <row r="7" spans="2:8" ht="20.149999999999999" customHeight="1">
      <c r="B7" s="40" t="s">
        <v>3</v>
      </c>
      <c r="C7" s="40"/>
      <c r="D7" s="5">
        <v>44015</v>
      </c>
      <c r="E7"/>
      <c r="F7" s="40" t="s">
        <v>7</v>
      </c>
      <c r="G7" s="40"/>
      <c r="H7" s="14">
        <f>IFERROR(IF(LoanIsGood,MonthlyPayment*NumberOfPayments,""), "")</f>
        <v>1263047.7823871865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44046</v>
      </c>
      <c r="D10" s="12">
        <f>IFERROR(IF(LoanIsNotPaid*LoanIsGood,LoanValue,""), "")</f>
        <v>880000</v>
      </c>
      <c r="E10" s="12">
        <f>IFERROR(IF(LoanIsNotPaid*LoanIsGood,MonthlyPayment,""), "")</f>
        <v>21050.796373119774</v>
      </c>
      <c r="F10" s="12">
        <f>IFERROR(IF(LoanIsNotPaid*LoanIsGood,Principal,""), "")</f>
        <v>9867.4630397864403</v>
      </c>
      <c r="G10" s="12">
        <f>IFERROR(IF(LoanIsNotPaid*LoanIsGood,InterestAmt,""), "")</f>
        <v>11183.333333333334</v>
      </c>
      <c r="H10" s="12">
        <f>IFERROR(IF(LoanIsNotPaid*LoanIsGood,EndingBalance,""), "")</f>
        <v>870132.53696021368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44077</v>
      </c>
      <c r="D11" s="12">
        <f>IFERROR(IF(LoanIsNotPaid*LoanIsGood,LoanValue,""), "")</f>
        <v>870132.53696021368</v>
      </c>
      <c r="E11" s="12">
        <f>IFERROR(IF(LoanIsNotPaid*LoanIsGood,MonthlyPayment,""), "")</f>
        <v>21050.796373119774</v>
      </c>
      <c r="F11" s="12">
        <f>IFERROR(IF(LoanIsNotPaid*LoanIsGood,Principal,""), "")</f>
        <v>9992.8620492503942</v>
      </c>
      <c r="G11" s="12">
        <f>IFERROR(IF(LoanIsNotPaid*LoanIsGood,InterestAmt,""), "")</f>
        <v>11057.934323869382</v>
      </c>
      <c r="H11" s="12">
        <f>IFERROR(IF(LoanIsNotPaid*LoanIsGood,EndingBalance,""), "")</f>
        <v>860139.67491096316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44107</v>
      </c>
      <c r="D12" s="12">
        <f>IFERROR(IF(LoanIsNotPaid*LoanIsGood,LoanValue,""), "")</f>
        <v>860139.67491096316</v>
      </c>
      <c r="E12" s="12">
        <f>IFERROR(IF(LoanIsNotPaid*LoanIsGood,MonthlyPayment,""), "")</f>
        <v>21050.796373119774</v>
      </c>
      <c r="F12" s="12">
        <f>IFERROR(IF(LoanIsNotPaid*LoanIsGood,Principal,""), "")</f>
        <v>10119.854671126284</v>
      </c>
      <c r="G12" s="12">
        <f>IFERROR(IF(LoanIsNotPaid*LoanIsGood,InterestAmt,""), "")</f>
        <v>10930.94170199349</v>
      </c>
      <c r="H12" s="12">
        <f>IFERROR(IF(LoanIsNotPaid*LoanIsGood,EndingBalance,""), "")</f>
        <v>850019.82023983682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44138</v>
      </c>
      <c r="D13" s="12">
        <f>IFERROR(IF(LoanIsNotPaid*LoanIsGood,LoanValue,""), "")</f>
        <v>850019.82023983682</v>
      </c>
      <c r="E13" s="12">
        <f>IFERROR(IF(LoanIsNotPaid*LoanIsGood,MonthlyPayment,""), "")</f>
        <v>21050.796373119774</v>
      </c>
      <c r="F13" s="12">
        <f>IFERROR(IF(LoanIsNotPaid*LoanIsGood,Principal,""), "")</f>
        <v>10248.461157571848</v>
      </c>
      <c r="G13" s="12">
        <f>IFERROR(IF(LoanIsNotPaid*LoanIsGood,InterestAmt,""), "")</f>
        <v>10802.335215547926</v>
      </c>
      <c r="H13" s="12">
        <f>IFERROR(IF(LoanIsNotPaid*LoanIsGood,EndingBalance,""), "")</f>
        <v>839771.35908226494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44168</v>
      </c>
      <c r="D14" s="12">
        <f>IFERROR(IF(LoanIsNotPaid*LoanIsGood,LoanValue,""), "")</f>
        <v>839771.35908226494</v>
      </c>
      <c r="E14" s="12">
        <f>IFERROR(IF(LoanIsNotPaid*LoanIsGood,MonthlyPayment,""), "")</f>
        <v>21050.796373119774</v>
      </c>
      <c r="F14" s="12">
        <f>IFERROR(IF(LoanIsNotPaid*LoanIsGood,Principal,""), "")</f>
        <v>10378.70201811599</v>
      </c>
      <c r="G14" s="12">
        <f>IFERROR(IF(LoanIsNotPaid*LoanIsGood,InterestAmt,""), "")</f>
        <v>10672.094355003785</v>
      </c>
      <c r="H14" s="12">
        <f>IFERROR(IF(LoanIsNotPaid*LoanIsGood,EndingBalance,""), "")</f>
        <v>829392.65706414881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44199</v>
      </c>
      <c r="D15" s="12">
        <f>IFERROR(IF(LoanIsNotPaid*LoanIsGood,LoanValue,""), "")</f>
        <v>829392.65706414881</v>
      </c>
      <c r="E15" s="12">
        <f>IFERROR(IF(LoanIsNotPaid*LoanIsGood,MonthlyPayment,""), "")</f>
        <v>21050.796373119774</v>
      </c>
      <c r="F15" s="12">
        <f>IFERROR(IF(LoanIsNotPaid*LoanIsGood,Principal,""), "")</f>
        <v>10510.598022929547</v>
      </c>
      <c r="G15" s="12">
        <f>IFERROR(IF(LoanIsNotPaid*LoanIsGood,InterestAmt,""), "")</f>
        <v>10540.198350190227</v>
      </c>
      <c r="H15" s="12">
        <f>IFERROR(IF(LoanIsNotPaid*LoanIsGood,EndingBalance,""), "")</f>
        <v>818882.0590412193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44230</v>
      </c>
      <c r="D16" s="12">
        <f>IFERROR(IF(LoanIsNotPaid*LoanIsGood,LoanValue,""), "")</f>
        <v>818882.0590412193</v>
      </c>
      <c r="E16" s="12">
        <f>IFERROR(IF(LoanIsNotPaid*LoanIsGood,MonthlyPayment,""), "")</f>
        <v>21050.796373119774</v>
      </c>
      <c r="F16" s="12">
        <f>IFERROR(IF(LoanIsNotPaid*LoanIsGood,Principal,""), "")</f>
        <v>10644.170206137611</v>
      </c>
      <c r="G16" s="12">
        <f>IFERROR(IF(LoanIsNotPaid*LoanIsGood,InterestAmt,""), "")</f>
        <v>10406.626166982167</v>
      </c>
      <c r="H16" s="12">
        <f>IFERROR(IF(LoanIsNotPaid*LoanIsGood,EndingBalance,""), "")</f>
        <v>808237.88883508171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44258</v>
      </c>
      <c r="D17" s="12">
        <f>IFERROR(IF(LoanIsNotPaid*LoanIsGood,LoanValue,""), "")</f>
        <v>808237.88883508171</v>
      </c>
      <c r="E17" s="12">
        <f>IFERROR(IF(LoanIsNotPaid*LoanIsGood,MonthlyPayment,""), "")</f>
        <v>21050.796373119774</v>
      </c>
      <c r="F17" s="12">
        <f>IFERROR(IF(LoanIsNotPaid*LoanIsGood,Principal,""), "")</f>
        <v>10779.439869173944</v>
      </c>
      <c r="G17" s="12">
        <f>IFERROR(IF(LoanIsNotPaid*LoanIsGood,InterestAmt,""), "")</f>
        <v>10271.35650394583</v>
      </c>
      <c r="H17" s="12">
        <f>IFERROR(IF(LoanIsNotPaid*LoanIsGood,EndingBalance,""), "")</f>
        <v>797458.4489659078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44289</v>
      </c>
      <c r="D18" s="12">
        <f>IFERROR(IF(LoanIsNotPaid*LoanIsGood,LoanValue,""), "")</f>
        <v>797458.4489659078</v>
      </c>
      <c r="E18" s="12">
        <f>IFERROR(IF(LoanIsNotPaid*LoanIsGood,MonthlyPayment,""), "")</f>
        <v>21050.796373119774</v>
      </c>
      <c r="F18" s="12">
        <f>IFERROR(IF(LoanIsNotPaid*LoanIsGood,Principal,""), "")</f>
        <v>10916.428584178027</v>
      </c>
      <c r="G18" s="12">
        <f>IFERROR(IF(LoanIsNotPaid*LoanIsGood,InterestAmt,""), "")</f>
        <v>10134.367788941747</v>
      </c>
      <c r="H18" s="12">
        <f>IFERROR(IF(LoanIsNotPaid*LoanIsGood,EndingBalance,""), "")</f>
        <v>786542.02038172982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44319</v>
      </c>
      <c r="D19" s="12">
        <f>IFERROR(IF(LoanIsNotPaid*LoanIsGood,LoanValue,""), "")</f>
        <v>786542.02038172982</v>
      </c>
      <c r="E19" s="12">
        <f>IFERROR(IF(LoanIsNotPaid*LoanIsGood,MonthlyPayment,""), "")</f>
        <v>21050.796373119774</v>
      </c>
      <c r="F19" s="12">
        <f>IFERROR(IF(LoanIsNotPaid*LoanIsGood,Principal,""), "")</f>
        <v>11055.158197435288</v>
      </c>
      <c r="G19" s="12">
        <f>IFERROR(IF(LoanIsNotPaid*LoanIsGood,InterestAmt,""), "")</f>
        <v>9995.6381756844858</v>
      </c>
      <c r="H19" s="12">
        <f>IFERROR(IF(LoanIsNotPaid*LoanIsGood,EndingBalance,""), "")</f>
        <v>775486.86218429438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44350</v>
      </c>
      <c r="D20" s="12">
        <f>IFERROR(IF(LoanIsNotPaid*LoanIsGood,LoanValue,""), "")</f>
        <v>775486.86218429438</v>
      </c>
      <c r="E20" s="12">
        <f>IFERROR(IF(LoanIsNotPaid*LoanIsGood,MonthlyPayment,""), "")</f>
        <v>21050.796373119774</v>
      </c>
      <c r="F20" s="12">
        <f>IFERROR(IF(LoanIsNotPaid*LoanIsGood,Principal,""), "")</f>
        <v>11195.650832861031</v>
      </c>
      <c r="G20" s="12">
        <f>IFERROR(IF(LoanIsNotPaid*LoanIsGood,InterestAmt,""), "")</f>
        <v>9855.1455402587435</v>
      </c>
      <c r="H20" s="12">
        <f>IFERROR(IF(LoanIsNotPaid*LoanIsGood,EndingBalance,""), "")</f>
        <v>764291.2113514333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44380</v>
      </c>
      <c r="D21" s="12">
        <f>IFERROR(IF(LoanIsNotPaid*LoanIsGood,LoanValue,""), "")</f>
        <v>764291.2113514333</v>
      </c>
      <c r="E21" s="12">
        <f>IFERROR(IF(LoanIsNotPaid*LoanIsGood,MonthlyPayment,""), "")</f>
        <v>21050.796373119774</v>
      </c>
      <c r="F21" s="12">
        <f>IFERROR(IF(LoanIsNotPaid*LoanIsGood,Principal,""), "")</f>
        <v>11337.928895528637</v>
      </c>
      <c r="G21" s="12">
        <f>IFERROR(IF(LoanIsNotPaid*LoanIsGood,InterestAmt,""), "")</f>
        <v>9712.8674775911368</v>
      </c>
      <c r="H21" s="12">
        <f>IFERROR(IF(LoanIsNotPaid*LoanIsGood,EndingBalance,""), "")</f>
        <v>752953.28245590464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44411</v>
      </c>
      <c r="D22" s="12">
        <f>IFERROR(IF(LoanIsNotPaid*LoanIsGood,LoanValue,""), "")</f>
        <v>752953.28245590464</v>
      </c>
      <c r="E22" s="12">
        <f>IFERROR(IF(LoanIsNotPaid*LoanIsGood,MonthlyPayment,""), "")</f>
        <v>21050.796373119774</v>
      </c>
      <c r="F22" s="12">
        <f>IFERROR(IF(LoanIsNotPaid*LoanIsGood,Principal,""), "")</f>
        <v>11482.015075242649</v>
      </c>
      <c r="G22" s="12">
        <f>IFERROR(IF(LoanIsNotPaid*LoanIsGood,InterestAmt,""), "")</f>
        <v>9568.7812978771253</v>
      </c>
      <c r="H22" s="12">
        <f>IFERROR(IF(LoanIsNotPaid*LoanIsGood,EndingBalance,""), "")</f>
        <v>741471.26738066203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44442</v>
      </c>
      <c r="D23" s="12">
        <f>IFERROR(IF(LoanIsNotPaid*LoanIsGood,LoanValue,""), "")</f>
        <v>741471.26738066203</v>
      </c>
      <c r="E23" s="12">
        <f>IFERROR(IF(LoanIsNotPaid*LoanIsGood,MonthlyPayment,""), "")</f>
        <v>21050.796373119774</v>
      </c>
      <c r="F23" s="12">
        <f>IFERROR(IF(LoanIsNotPaid*LoanIsGood,Principal,""), "")</f>
        <v>11627.932350157193</v>
      </c>
      <c r="G23" s="12">
        <f>IFERROR(IF(LoanIsNotPaid*LoanIsGood,InterestAmt,""), "")</f>
        <v>9422.8640229625835</v>
      </c>
      <c r="H23" s="12">
        <f>IFERROR(IF(LoanIsNotPaid*LoanIsGood,EndingBalance,""), "")</f>
        <v>729843.33503050462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44472</v>
      </c>
      <c r="D24" s="12">
        <f>IFERROR(IF(LoanIsNotPaid*LoanIsGood,LoanValue,""), "")</f>
        <v>729843.33503050462</v>
      </c>
      <c r="E24" s="12">
        <f>IFERROR(IF(LoanIsNotPaid*LoanIsGood,MonthlyPayment,""), "")</f>
        <v>21050.796373119774</v>
      </c>
      <c r="F24" s="12">
        <f>IFERROR(IF(LoanIsNotPaid*LoanIsGood,Principal,""), "")</f>
        <v>11775.703990440439</v>
      </c>
      <c r="G24" s="12">
        <f>IFERROR(IF(LoanIsNotPaid*LoanIsGood,InterestAmt,""), "")</f>
        <v>9275.0923826793351</v>
      </c>
      <c r="H24" s="12">
        <f>IFERROR(IF(LoanIsNotPaid*LoanIsGood,EndingBalance,""), "")</f>
        <v>718067.63104006415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44503</v>
      </c>
      <c r="D25" s="12">
        <f>IFERROR(IF(LoanIsNotPaid*LoanIsGood,LoanValue,""), "")</f>
        <v>718067.63104006415</v>
      </c>
      <c r="E25" s="12">
        <f>IFERROR(IF(LoanIsNotPaid*LoanIsGood,MonthlyPayment,""), "")</f>
        <v>21050.796373119774</v>
      </c>
      <c r="F25" s="12">
        <f>IFERROR(IF(LoanIsNotPaid*LoanIsGood,Principal,""), "")</f>
        <v>11925.353561985619</v>
      </c>
      <c r="G25" s="12">
        <f>IFERROR(IF(LoanIsNotPaid*LoanIsGood,InterestAmt,""), "")</f>
        <v>9125.4428111341567</v>
      </c>
      <c r="H25" s="12">
        <f>IFERROR(IF(LoanIsNotPaid*LoanIsGood,EndingBalance,""), "")</f>
        <v>706142.27747807838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44533</v>
      </c>
      <c r="D26" s="12">
        <f>IFERROR(IF(LoanIsNotPaid*LoanIsGood,LoanValue,""), "")</f>
        <v>706142.27747807838</v>
      </c>
      <c r="E26" s="12">
        <f>IFERROR(IF(LoanIsNotPaid*LoanIsGood,MonthlyPayment,""), "")</f>
        <v>21050.796373119774</v>
      </c>
      <c r="F26" s="12">
        <f>IFERROR(IF(LoanIsNotPaid*LoanIsGood,Principal,""), "")</f>
        <v>12076.904930169188</v>
      </c>
      <c r="G26" s="12">
        <f>IFERROR(IF(LoanIsNotPaid*LoanIsGood,InterestAmt,""), "")</f>
        <v>8973.8914429505894</v>
      </c>
      <c r="H26" s="12">
        <f>IFERROR(IF(LoanIsNotPaid*LoanIsGood,EndingBalance,""), "")</f>
        <v>694065.37254790915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44564</v>
      </c>
      <c r="D27" s="12">
        <f>IFERROR(IF(LoanIsNotPaid*LoanIsGood,LoanValue,""), "")</f>
        <v>694065.37254790915</v>
      </c>
      <c r="E27" s="12">
        <f>IFERROR(IF(LoanIsNotPaid*LoanIsGood,MonthlyPayment,""), "")</f>
        <v>21050.796373119774</v>
      </c>
      <c r="F27" s="12">
        <f>IFERROR(IF(LoanIsNotPaid*LoanIsGood,Principal,""), "")</f>
        <v>12230.382263656753</v>
      </c>
      <c r="G27" s="12">
        <f>IFERROR(IF(LoanIsNotPaid*LoanIsGood,InterestAmt,""), "")</f>
        <v>8820.4141094630195</v>
      </c>
      <c r="H27" s="12">
        <f>IFERROR(IF(LoanIsNotPaid*LoanIsGood,EndingBalance,""), "")</f>
        <v>681834.99028425245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44595</v>
      </c>
      <c r="D28" s="12">
        <f>IFERROR(IF(LoanIsNotPaid*LoanIsGood,LoanValue,""), "")</f>
        <v>681834.99028425245</v>
      </c>
      <c r="E28" s="12">
        <f>IFERROR(IF(LoanIsNotPaid*LoanIsGood,MonthlyPayment,""), "")</f>
        <v>21050.796373119774</v>
      </c>
      <c r="F28" s="12">
        <f>IFERROR(IF(LoanIsNotPaid*LoanIsGood,Principal,""), "")</f>
        <v>12385.81003825739</v>
      </c>
      <c r="G28" s="12">
        <f>IFERROR(IF(LoanIsNotPaid*LoanIsGood,InterestAmt,""), "")</f>
        <v>8664.9863348623858</v>
      </c>
      <c r="H28" s="12">
        <f>IFERROR(IF(LoanIsNotPaid*LoanIsGood,EndingBalance,""), "")</f>
        <v>669449.18024599517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44623</v>
      </c>
      <c r="D29" s="12">
        <f>IFERROR(IF(LoanIsNotPaid*LoanIsGood,LoanValue,""), "")</f>
        <v>669449.18024599517</v>
      </c>
      <c r="E29" s="12">
        <f>IFERROR(IF(LoanIsNotPaid*LoanIsGood,MonthlyPayment,""), "")</f>
        <v>21050.796373119774</v>
      </c>
      <c r="F29" s="12">
        <f>IFERROR(IF(LoanIsNotPaid*LoanIsGood,Principal,""), "")</f>
        <v>12543.213040826913</v>
      </c>
      <c r="G29" s="12">
        <f>IFERROR(IF(LoanIsNotPaid*LoanIsGood,InterestAmt,""), "")</f>
        <v>8507.5833322928629</v>
      </c>
      <c r="H29" s="12">
        <f>IFERROR(IF(LoanIsNotPaid*LoanIsGood,EndingBalance,""), "")</f>
        <v>656905.9672051681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44654</v>
      </c>
      <c r="D30" s="12">
        <f>IFERROR(IF(LoanIsNotPaid*LoanIsGood,LoanValue,""), "")</f>
        <v>656905.9672051681</v>
      </c>
      <c r="E30" s="12">
        <f>IFERROR(IF(LoanIsNotPaid*LoanIsGood,MonthlyPayment,""), "")</f>
        <v>21050.796373119774</v>
      </c>
      <c r="F30" s="12">
        <f>IFERROR(IF(LoanIsNotPaid*LoanIsGood,Principal,""), "")</f>
        <v>12702.616373220755</v>
      </c>
      <c r="G30" s="12">
        <f>IFERROR(IF(LoanIsNotPaid*LoanIsGood,InterestAmt,""), "")</f>
        <v>8348.1799998990209</v>
      </c>
      <c r="H30" s="12">
        <f>IFERROR(IF(LoanIsNotPaid*LoanIsGood,EndingBalance,""), "")</f>
        <v>644203.35083194729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44684</v>
      </c>
      <c r="D31" s="12">
        <f>IFERROR(IF(LoanIsNotPaid*LoanIsGood,LoanValue,""), "")</f>
        <v>644203.35083194729</v>
      </c>
      <c r="E31" s="12">
        <f>IFERROR(IF(LoanIsNotPaid*LoanIsGood,MonthlyPayment,""), "")</f>
        <v>21050.796373119774</v>
      </c>
      <c r="F31" s="12">
        <f>IFERROR(IF(LoanIsNotPaid*LoanIsGood,Principal,""), "")</f>
        <v>12864.045456297101</v>
      </c>
      <c r="G31" s="12">
        <f>IFERROR(IF(LoanIsNotPaid*LoanIsGood,InterestAmt,""), "")</f>
        <v>8186.7509168226743</v>
      </c>
      <c r="H31" s="12">
        <f>IFERROR(IF(LoanIsNotPaid*LoanIsGood,EndingBalance,""), "")</f>
        <v>631339.30537565006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44715</v>
      </c>
      <c r="D32" s="12">
        <f>IFERROR(IF(LoanIsNotPaid*LoanIsGood,LoanValue,""), "")</f>
        <v>631339.30537565006</v>
      </c>
      <c r="E32" s="12">
        <f>IFERROR(IF(LoanIsNotPaid*LoanIsGood,MonthlyPayment,""), "")</f>
        <v>21050.796373119774</v>
      </c>
      <c r="F32" s="12">
        <f>IFERROR(IF(LoanIsNotPaid*LoanIsGood,Principal,""), "")</f>
        <v>13027.526033970878</v>
      </c>
      <c r="G32" s="12">
        <f>IFERROR(IF(LoanIsNotPaid*LoanIsGood,InterestAmt,""), "")</f>
        <v>8023.2703391488985</v>
      </c>
      <c r="H32" s="12">
        <f>IFERROR(IF(LoanIsNotPaid*LoanIsGood,EndingBalance,""), "")</f>
        <v>618311.7793416793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44745</v>
      </c>
      <c r="D33" s="12">
        <f>IFERROR(IF(LoanIsNotPaid*LoanIsGood,LoanValue,""), "")</f>
        <v>618311.7793416793</v>
      </c>
      <c r="E33" s="12">
        <f>IFERROR(IF(LoanIsNotPaid*LoanIsGood,MonthlyPayment,""), "")</f>
        <v>21050.796373119774</v>
      </c>
      <c r="F33" s="12">
        <f>IFERROR(IF(LoanIsNotPaid*LoanIsGood,Principal,""), "")</f>
        <v>13193.084177319259</v>
      </c>
      <c r="G33" s="12">
        <f>IFERROR(IF(LoanIsNotPaid*LoanIsGood,InterestAmt,""), "")</f>
        <v>7857.7121958005182</v>
      </c>
      <c r="H33" s="12">
        <f>IFERROR(IF(LoanIsNotPaid*LoanIsGood,EndingBalance,""), "")</f>
        <v>605118.69516435999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44776</v>
      </c>
      <c r="D34" s="12">
        <f>IFERROR(IF(LoanIsNotPaid*LoanIsGood,LoanValue,""), "")</f>
        <v>605118.69516435999</v>
      </c>
      <c r="E34" s="12">
        <f>IFERROR(IF(LoanIsNotPaid*LoanIsGood,MonthlyPayment,""), "")</f>
        <v>21050.796373119774</v>
      </c>
      <c r="F34" s="12">
        <f>IFERROR(IF(LoanIsNotPaid*LoanIsGood,Principal,""), "")</f>
        <v>13360.746288739358</v>
      </c>
      <c r="G34" s="12">
        <f>IFERROR(IF(LoanIsNotPaid*LoanIsGood,InterestAmt,""), "")</f>
        <v>7690.0500843804202</v>
      </c>
      <c r="H34" s="12">
        <f>IFERROR(IF(LoanIsNotPaid*LoanIsGood,EndingBalance,""), "")</f>
        <v>591757.94887562061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44807</v>
      </c>
      <c r="D35" s="12">
        <f>IFERROR(IF(LoanIsNotPaid*LoanIsGood,LoanValue,""), "")</f>
        <v>591757.94887562061</v>
      </c>
      <c r="E35" s="12">
        <f>IFERROR(IF(LoanIsNotPaid*LoanIsGood,MonthlyPayment,""), "")</f>
        <v>21050.796373119774</v>
      </c>
      <c r="F35" s="12">
        <f>IFERROR(IF(LoanIsNotPaid*LoanIsGood,Principal,""), "")</f>
        <v>13530.539106158752</v>
      </c>
      <c r="G35" s="12">
        <f>IFERROR(IF(LoanIsNotPaid*LoanIsGood,InterestAmt,""), "")</f>
        <v>7520.2572669610236</v>
      </c>
      <c r="H35" s="12">
        <f>IFERROR(IF(LoanIsNotPaid*LoanIsGood,EndingBalance,""), "")</f>
        <v>578227.40976946172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44837</v>
      </c>
      <c r="D36" s="12">
        <f>IFERROR(IF(LoanIsNotPaid*LoanIsGood,LoanValue,""), "")</f>
        <v>578227.40976946172</v>
      </c>
      <c r="E36" s="12">
        <f>IFERROR(IF(LoanIsNotPaid*LoanIsGood,MonthlyPayment,""), "")</f>
        <v>21050.796373119774</v>
      </c>
      <c r="F36" s="12">
        <f>IFERROR(IF(LoanIsNotPaid*LoanIsGood,Principal,""), "")</f>
        <v>13702.489707299517</v>
      </c>
      <c r="G36" s="12">
        <f>IFERROR(IF(LoanIsNotPaid*LoanIsGood,InterestAmt,""), "")</f>
        <v>7348.3066658202561</v>
      </c>
      <c r="H36" s="12">
        <f>IFERROR(IF(LoanIsNotPaid*LoanIsGood,EndingBalance,""), "")</f>
        <v>564524.92006216221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44868</v>
      </c>
      <c r="D37" s="12">
        <f>IFERROR(IF(LoanIsNotPaid*LoanIsGood,LoanValue,""), "")</f>
        <v>564524.92006216221</v>
      </c>
      <c r="E37" s="12">
        <f>IFERROR(IF(LoanIsNotPaid*LoanIsGood,MonthlyPayment,""), "")</f>
        <v>21050.796373119774</v>
      </c>
      <c r="F37" s="12">
        <f>IFERROR(IF(LoanIsNotPaid*LoanIsGood,Principal,""), "")</f>
        <v>13876.625513996452</v>
      </c>
      <c r="G37" s="12">
        <f>IFERROR(IF(LoanIsNotPaid*LoanIsGood,InterestAmt,""), "")</f>
        <v>7174.1708591233246</v>
      </c>
      <c r="H37" s="12">
        <f>IFERROR(IF(LoanIsNotPaid*LoanIsGood,EndingBalance,""), "")</f>
        <v>550648.29454816575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44898</v>
      </c>
      <c r="D38" s="12">
        <f>IFERROR(IF(LoanIsNotPaid*LoanIsGood,LoanValue,""), "")</f>
        <v>550648.29454816575</v>
      </c>
      <c r="E38" s="12">
        <f>IFERROR(IF(LoanIsNotPaid*LoanIsGood,MonthlyPayment,""), "")</f>
        <v>21050.796373119774</v>
      </c>
      <c r="F38" s="12">
        <f>IFERROR(IF(LoanIsNotPaid*LoanIsGood,Principal,""), "")</f>
        <v>14052.974296570153</v>
      </c>
      <c r="G38" s="12">
        <f>IFERROR(IF(LoanIsNotPaid*LoanIsGood,InterestAmt,""), "")</f>
        <v>6997.8220765496217</v>
      </c>
      <c r="H38" s="12">
        <f>IFERROR(IF(LoanIsNotPaid*LoanIsGood,EndingBalance,""), "")</f>
        <v>536595.32025159546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44929</v>
      </c>
      <c r="D39" s="12">
        <f>IFERROR(IF(LoanIsNotPaid*LoanIsGood,LoanValue,""), "")</f>
        <v>536595.32025159546</v>
      </c>
      <c r="E39" s="12">
        <f>IFERROR(IF(LoanIsNotPaid*LoanIsGood,MonthlyPayment,""), "")</f>
        <v>21050.796373119774</v>
      </c>
      <c r="F39" s="12">
        <f>IFERROR(IF(LoanIsNotPaid*LoanIsGood,Principal,""), "")</f>
        <v>14231.564178255734</v>
      </c>
      <c r="G39" s="12">
        <f>IFERROR(IF(LoanIsNotPaid*LoanIsGood,InterestAmt,""), "")</f>
        <v>6819.232194864041</v>
      </c>
      <c r="H39" s="12">
        <f>IFERROR(IF(LoanIsNotPaid*LoanIsGood,EndingBalance,""), "")</f>
        <v>522363.75607333938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44960</v>
      </c>
      <c r="D40" s="12">
        <f>IFERROR(IF(LoanIsNotPaid*LoanIsGood,LoanValue,""), "")</f>
        <v>522363.75607333938</v>
      </c>
      <c r="E40" s="12">
        <f>IFERROR(IF(LoanIsNotPaid*LoanIsGood,MonthlyPayment,""), "")</f>
        <v>21050.796373119774</v>
      </c>
      <c r="F40" s="12">
        <f>IFERROR(IF(LoanIsNotPaid*LoanIsGood,Principal,""), "")</f>
        <v>14412.423639687737</v>
      </c>
      <c r="G40" s="12">
        <f>IFERROR(IF(LoanIsNotPaid*LoanIsGood,InterestAmt,""), "")</f>
        <v>6638.3727334320411</v>
      </c>
      <c r="H40" s="12">
        <f>IFERROR(IF(LoanIsNotPaid*LoanIsGood,EndingBalance,""), "")</f>
        <v>507951.33243365202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44988</v>
      </c>
      <c r="D41" s="12">
        <f>IFERROR(IF(LoanIsNotPaid*LoanIsGood,LoanValue,""), "")</f>
        <v>507951.33243365202</v>
      </c>
      <c r="E41" s="12">
        <f>IFERROR(IF(LoanIsNotPaid*LoanIsGood,MonthlyPayment,""), "")</f>
        <v>21050.796373119774</v>
      </c>
      <c r="F41" s="12">
        <f>IFERROR(IF(LoanIsNotPaid*LoanIsGood,Principal,""), "")</f>
        <v>14595.581523442101</v>
      </c>
      <c r="G41" s="12">
        <f>IFERROR(IF(LoanIsNotPaid*LoanIsGood,InterestAmt,""), "")</f>
        <v>6455.2148496776763</v>
      </c>
      <c r="H41" s="12">
        <f>IFERROR(IF(LoanIsNotPaid*LoanIsGood,EndingBalance,""), "")</f>
        <v>493355.75091020949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45019</v>
      </c>
      <c r="D42" s="12">
        <f>IFERROR(IF(LoanIsNotPaid*LoanIsGood,LoanValue,""), "")</f>
        <v>493355.75091020949</v>
      </c>
      <c r="E42" s="12">
        <f>IFERROR(IF(LoanIsNotPaid*LoanIsGood,MonthlyPayment,""), "")</f>
        <v>21050.796373119774</v>
      </c>
      <c r="F42" s="12">
        <f>IFERROR(IF(LoanIsNotPaid*LoanIsGood,Principal,""), "")</f>
        <v>14781.067038635845</v>
      </c>
      <c r="G42" s="12">
        <f>IFERROR(IF(LoanIsNotPaid*LoanIsGood,InterestAmt,""), "")</f>
        <v>6269.7293344839327</v>
      </c>
      <c r="H42" s="12">
        <f>IFERROR(IF(LoanIsNotPaid*LoanIsGood,EndingBalance,""), "")</f>
        <v>478574.68387157365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45049</v>
      </c>
      <c r="D43" s="12">
        <f>IFERROR(IF(LoanIsNotPaid*LoanIsGood,LoanValue,""), "")</f>
        <v>478574.68387157365</v>
      </c>
      <c r="E43" s="12">
        <f>IFERROR(IF(LoanIsNotPaid*LoanIsGood,MonthlyPayment,""), "")</f>
        <v>21050.796373119774</v>
      </c>
      <c r="F43" s="12">
        <f>IFERROR(IF(LoanIsNotPaid*LoanIsGood,Principal,""), "")</f>
        <v>14968.909765585175</v>
      </c>
      <c r="G43" s="12">
        <f>IFERROR(IF(LoanIsNotPaid*LoanIsGood,InterestAmt,""), "")</f>
        <v>6081.8866075346023</v>
      </c>
      <c r="H43" s="12">
        <f>IFERROR(IF(LoanIsNotPaid*LoanIsGood,EndingBalance,""), "")</f>
        <v>463605.77410598844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45080</v>
      </c>
      <c r="D44" s="12">
        <f>IFERROR(IF(LoanIsNotPaid*LoanIsGood,LoanValue,""), "")</f>
        <v>463605.77410598844</v>
      </c>
      <c r="E44" s="12">
        <f>IFERROR(IF(LoanIsNotPaid*LoanIsGood,MonthlyPayment,""), "")</f>
        <v>21050.796373119774</v>
      </c>
      <c r="F44" s="12">
        <f>IFERROR(IF(LoanIsNotPaid*LoanIsGood,Principal,""), "")</f>
        <v>15159.139660522818</v>
      </c>
      <c r="G44" s="12">
        <f>IFERROR(IF(LoanIsNotPaid*LoanIsGood,InterestAmt,""), "")</f>
        <v>5891.6567125969568</v>
      </c>
      <c r="H44" s="12">
        <f>IFERROR(IF(LoanIsNotPaid*LoanIsGood,EndingBalance,""), "")</f>
        <v>448446.63444546552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45110</v>
      </c>
      <c r="D45" s="12">
        <f>IFERROR(IF(LoanIsNotPaid*LoanIsGood,LoanValue,""), "")</f>
        <v>448446.63444546552</v>
      </c>
      <c r="E45" s="12">
        <f>IFERROR(IF(LoanIsNotPaid*LoanIsGood,MonthlyPayment,""), "")</f>
        <v>21050.796373119774</v>
      </c>
      <c r="F45" s="12">
        <f>IFERROR(IF(LoanIsNotPaid*LoanIsGood,Principal,""), "")</f>
        <v>15351.787060375296</v>
      </c>
      <c r="G45" s="12">
        <f>IFERROR(IF(LoanIsNotPaid*LoanIsGood,InterestAmt,""), "")</f>
        <v>5699.0093127444788</v>
      </c>
      <c r="H45" s="12">
        <f>IFERROR(IF(LoanIsNotPaid*LoanIsGood,EndingBalance,""), "")</f>
        <v>433094.84738509031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45141</v>
      </c>
      <c r="D46" s="12">
        <f>IFERROR(IF(LoanIsNotPaid*LoanIsGood,LoanValue,""), "")</f>
        <v>433094.84738509031</v>
      </c>
      <c r="E46" s="12">
        <f>IFERROR(IF(LoanIsNotPaid*LoanIsGood,MonthlyPayment,""), "")</f>
        <v>21050.796373119774</v>
      </c>
      <c r="F46" s="12">
        <f>IFERROR(IF(LoanIsNotPaid*LoanIsGood,Principal,""), "")</f>
        <v>15546.882687600899</v>
      </c>
      <c r="G46" s="12">
        <f>IFERROR(IF(LoanIsNotPaid*LoanIsGood,InterestAmt,""), "")</f>
        <v>5503.9136855188772</v>
      </c>
      <c r="H46" s="12">
        <f>IFERROR(IF(LoanIsNotPaid*LoanIsGood,EndingBalance,""), "")</f>
        <v>417547.96469748917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45172</v>
      </c>
      <c r="D47" s="12">
        <f>IFERROR(IF(LoanIsNotPaid*LoanIsGood,LoanValue,""), "")</f>
        <v>417547.96469748917</v>
      </c>
      <c r="E47" s="12">
        <f>IFERROR(IF(LoanIsNotPaid*LoanIsGood,MonthlyPayment,""), "")</f>
        <v>21050.796373119774</v>
      </c>
      <c r="F47" s="12">
        <f>IFERROR(IF(LoanIsNotPaid*LoanIsGood,Principal,""), "")</f>
        <v>15744.457655089162</v>
      </c>
      <c r="G47" s="12">
        <f>IFERROR(IF(LoanIsNotPaid*LoanIsGood,InterestAmt,""), "")</f>
        <v>5306.3387180306145</v>
      </c>
      <c r="H47" s="12">
        <f>IFERROR(IF(LoanIsNotPaid*LoanIsGood,EndingBalance,""), "")</f>
        <v>401803.50704239996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45202</v>
      </c>
      <c r="D48" s="12">
        <f>IFERROR(IF(LoanIsNotPaid*LoanIsGood,LoanValue,""), "")</f>
        <v>401803.50704239996</v>
      </c>
      <c r="E48" s="12">
        <f>IFERROR(IF(LoanIsNotPaid*LoanIsGood,MonthlyPayment,""), "")</f>
        <v>21050.796373119774</v>
      </c>
      <c r="F48" s="12">
        <f>IFERROR(IF(LoanIsNotPaid*LoanIsGood,Principal,""), "")</f>
        <v>15944.543471122586</v>
      </c>
      <c r="G48" s="12">
        <f>IFERROR(IF(LoanIsNotPaid*LoanIsGood,InterestAmt,""), "")</f>
        <v>5106.2529019971889</v>
      </c>
      <c r="H48" s="12">
        <f>IFERROR(IF(LoanIsNotPaid*LoanIsGood,EndingBalance,""), "")</f>
        <v>385858.96357127745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45233</v>
      </c>
      <c r="D49" s="12">
        <f>IFERROR(IF(LoanIsNotPaid*LoanIsGood,LoanValue,""), "")</f>
        <v>385858.96357127745</v>
      </c>
      <c r="E49" s="12">
        <f>IFERROR(IF(LoanIsNotPaid*LoanIsGood,MonthlyPayment,""), "")</f>
        <v>21050.796373119774</v>
      </c>
      <c r="F49" s="12">
        <f>IFERROR(IF(LoanIsNotPaid*LoanIsGood,Principal,""), "")</f>
        <v>16147.172044401434</v>
      </c>
      <c r="G49" s="12">
        <f>IFERROR(IF(LoanIsNotPaid*LoanIsGood,InterestAmt,""), "")</f>
        <v>4903.6243287183415</v>
      </c>
      <c r="H49" s="12">
        <f>IFERROR(IF(LoanIsNotPaid*LoanIsGood,EndingBalance,""), "")</f>
        <v>369711.79152687592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45263</v>
      </c>
      <c r="D50" s="12">
        <f>IFERROR(IF(LoanIsNotPaid*LoanIsGood,LoanValue,""), "")</f>
        <v>369711.79152687592</v>
      </c>
      <c r="E50" s="12">
        <f>IFERROR(IF(LoanIsNotPaid*LoanIsGood,MonthlyPayment,""), "")</f>
        <v>21050.796373119774</v>
      </c>
      <c r="F50" s="12">
        <f>IFERROR(IF(LoanIsNotPaid*LoanIsGood,Principal,""), "")</f>
        <v>16352.375689132366</v>
      </c>
      <c r="G50" s="12">
        <f>IFERROR(IF(LoanIsNotPaid*LoanIsGood,InterestAmt,""), "")</f>
        <v>4698.4206839874059</v>
      </c>
      <c r="H50" s="12">
        <f>IFERROR(IF(LoanIsNotPaid*LoanIsGood,EndingBalance,""), "")</f>
        <v>353359.41583774355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45294</v>
      </c>
      <c r="D51" s="12">
        <f>IFERROR(IF(LoanIsNotPaid*LoanIsGood,LoanValue,""), "")</f>
        <v>353359.41583774355</v>
      </c>
      <c r="E51" s="12">
        <f>IFERROR(IF(LoanIsNotPaid*LoanIsGood,MonthlyPayment,""), "")</f>
        <v>21050.796373119774</v>
      </c>
      <c r="F51" s="12">
        <f>IFERROR(IF(LoanIsNotPaid*LoanIsGood,Principal,""), "")</f>
        <v>16560.187130181759</v>
      </c>
      <c r="G51" s="12">
        <f>IFERROR(IF(LoanIsNotPaid*LoanIsGood,InterestAmt,""), "")</f>
        <v>4490.6092429380151</v>
      </c>
      <c r="H51" s="12">
        <f>IFERROR(IF(LoanIsNotPaid*LoanIsGood,EndingBalance,""), "")</f>
        <v>336799.22870756174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45325</v>
      </c>
      <c r="D52" s="12">
        <f>IFERROR(IF(LoanIsNotPaid*LoanIsGood,LoanValue,""), "")</f>
        <v>336799.22870756174</v>
      </c>
      <c r="E52" s="12">
        <f>IFERROR(IF(LoanIsNotPaid*LoanIsGood,MonthlyPayment,""), "")</f>
        <v>21050.796373119774</v>
      </c>
      <c r="F52" s="12">
        <f>IFERROR(IF(LoanIsNotPaid*LoanIsGood,Principal,""), "")</f>
        <v>16770.639508294484</v>
      </c>
      <c r="G52" s="12">
        <f>IFERROR(IF(LoanIsNotPaid*LoanIsGood,InterestAmt,""), "")</f>
        <v>4280.1568648252887</v>
      </c>
      <c r="H52" s="12">
        <f>IFERROR(IF(LoanIsNotPaid*LoanIsGood,EndingBalance,""), "")</f>
        <v>320028.58919926686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45354</v>
      </c>
      <c r="D53" s="12">
        <f>IFERROR(IF(LoanIsNotPaid*LoanIsGood,LoanValue,""), "")</f>
        <v>320028.58919926686</v>
      </c>
      <c r="E53" s="12">
        <f>IFERROR(IF(LoanIsNotPaid*LoanIsGood,MonthlyPayment,""), "")</f>
        <v>21050.796373119774</v>
      </c>
      <c r="F53" s="12">
        <f>IFERROR(IF(LoanIsNotPaid*LoanIsGood,Principal,""), "")</f>
        <v>16983.766385379062</v>
      </c>
      <c r="G53" s="12">
        <f>IFERROR(IF(LoanIsNotPaid*LoanIsGood,InterestAmt,""), "")</f>
        <v>4067.0299877407128</v>
      </c>
      <c r="H53" s="12">
        <f>IFERROR(IF(LoanIsNotPaid*LoanIsGood,EndingBalance,""), "")</f>
        <v>303044.82281388808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45385</v>
      </c>
      <c r="D54" s="12">
        <f>IFERROR(IF(LoanIsNotPaid*LoanIsGood,LoanValue,""), "")</f>
        <v>303044.82281388808</v>
      </c>
      <c r="E54" s="12">
        <f>IFERROR(IF(LoanIsNotPaid*LoanIsGood,MonthlyPayment,""), "")</f>
        <v>21050.796373119774</v>
      </c>
      <c r="F54" s="12">
        <f>IFERROR(IF(LoanIsNotPaid*LoanIsGood,Principal,""), "")</f>
        <v>17199.601749859921</v>
      </c>
      <c r="G54" s="12">
        <f>IFERROR(IF(LoanIsNotPaid*LoanIsGood,InterestAmt,""), "")</f>
        <v>3851.1946232598543</v>
      </c>
      <c r="H54" s="12">
        <f>IFERROR(IF(LoanIsNotPaid*LoanIsGood,EndingBalance,""), "")</f>
        <v>285845.2210640281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45415</v>
      </c>
      <c r="D55" s="12">
        <f>IFERROR(IF(LoanIsNotPaid*LoanIsGood,LoanValue,""), "")</f>
        <v>285845.2210640281</v>
      </c>
      <c r="E55" s="12">
        <f>IFERROR(IF(LoanIsNotPaid*LoanIsGood,MonthlyPayment,""), "")</f>
        <v>21050.796373119774</v>
      </c>
      <c r="F55" s="12">
        <f>IFERROR(IF(LoanIsNotPaid*LoanIsGood,Principal,""), "")</f>
        <v>17418.180022097724</v>
      </c>
      <c r="G55" s="12">
        <f>IFERROR(IF(LoanIsNotPaid*LoanIsGood,InterestAmt,""), "")</f>
        <v>3632.6163510220513</v>
      </c>
      <c r="H55" s="12">
        <f>IFERROR(IF(LoanIsNotPaid*LoanIsGood,EndingBalance,""), "")</f>
        <v>268427.04104193021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45446</v>
      </c>
      <c r="D56" s="12">
        <f>IFERROR(IF(LoanIsNotPaid*LoanIsGood,LoanValue,""), "")</f>
        <v>268427.04104193021</v>
      </c>
      <c r="E56" s="12">
        <f>IFERROR(IF(LoanIsNotPaid*LoanIsGood,MonthlyPayment,""), "")</f>
        <v>21050.796373119774</v>
      </c>
      <c r="F56" s="12">
        <f>IFERROR(IF(LoanIsNotPaid*LoanIsGood,Principal,""), "")</f>
        <v>17639.536059878548</v>
      </c>
      <c r="G56" s="12">
        <f>IFERROR(IF(LoanIsNotPaid*LoanIsGood,InterestAmt,""), "")</f>
        <v>3411.2603132412255</v>
      </c>
      <c r="H56" s="12">
        <f>IFERROR(IF(LoanIsNotPaid*LoanIsGood,EndingBalance,""), "")</f>
        <v>250787.50498205167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45476</v>
      </c>
      <c r="D57" s="12">
        <f>IFERROR(IF(LoanIsNotPaid*LoanIsGood,LoanValue,""), "")</f>
        <v>250787.50498205167</v>
      </c>
      <c r="E57" s="12">
        <f>IFERROR(IF(LoanIsNotPaid*LoanIsGood,MonthlyPayment,""), "")</f>
        <v>21050.796373119774</v>
      </c>
      <c r="F57" s="12">
        <f>IFERROR(IF(LoanIsNotPaid*LoanIsGood,Principal,""), "")</f>
        <v>17863.705163972838</v>
      </c>
      <c r="G57" s="12">
        <f>IFERROR(IF(LoanIsNotPaid*LoanIsGood,InterestAmt,""), "")</f>
        <v>3187.0912091469363</v>
      </c>
      <c r="H57" s="12">
        <f>IFERROR(IF(LoanIsNotPaid*LoanIsGood,EndingBalance,""), "")</f>
        <v>232923.79981807852</v>
      </c>
    </row>
    <row r="58" spans="2:8" ht="20.149999999999999" customHeight="1">
      <c r="B58" s="9">
        <f>IFERROR(IF(LoanIsNotPaid*LoanIsGood,PaymentNumber,""), "")</f>
        <v>49</v>
      </c>
      <c r="C58" s="10">
        <f>IFERROR(IF(LoanIsNotPaid*LoanIsGood,PaymentDate,""), "")</f>
        <v>45507</v>
      </c>
      <c r="D58" s="12">
        <f>IFERROR(IF(LoanIsNotPaid*LoanIsGood,LoanValue,""), "")</f>
        <v>232923.79981807852</v>
      </c>
      <c r="E58" s="12">
        <f>IFERROR(IF(LoanIsNotPaid*LoanIsGood,MonthlyPayment,""), "")</f>
        <v>21050.796373119774</v>
      </c>
      <c r="F58" s="12">
        <f>IFERROR(IF(LoanIsNotPaid*LoanIsGood,Principal,""), "")</f>
        <v>18090.723083764995</v>
      </c>
      <c r="G58" s="12">
        <f>IFERROR(IF(LoanIsNotPaid*LoanIsGood,InterestAmt,""), "")</f>
        <v>2960.0732893547811</v>
      </c>
      <c r="H58" s="12">
        <f>IFERROR(IF(LoanIsNotPaid*LoanIsGood,EndingBalance,""), "")</f>
        <v>214833.07673431328</v>
      </c>
    </row>
    <row r="59" spans="2:8" ht="20.149999999999999" customHeight="1">
      <c r="B59" s="9">
        <f>IFERROR(IF(LoanIsNotPaid*LoanIsGood,PaymentNumber,""), "")</f>
        <v>50</v>
      </c>
      <c r="C59" s="10">
        <f>IFERROR(IF(LoanIsNotPaid*LoanIsGood,PaymentDate,""), "")</f>
        <v>45538</v>
      </c>
      <c r="D59" s="12">
        <f>IFERROR(IF(LoanIsNotPaid*LoanIsGood,LoanValue,""), "")</f>
        <v>214833.07673431328</v>
      </c>
      <c r="E59" s="12">
        <f>IFERROR(IF(LoanIsNotPaid*LoanIsGood,MonthlyPayment,""), "")</f>
        <v>21050.796373119774</v>
      </c>
      <c r="F59" s="12">
        <f>IFERROR(IF(LoanIsNotPaid*LoanIsGood,Principal,""), "")</f>
        <v>18320.626022954508</v>
      </c>
      <c r="G59" s="12">
        <f>IFERROR(IF(LoanIsNotPaid*LoanIsGood,InterestAmt,""), "")</f>
        <v>2730.1703501652673</v>
      </c>
      <c r="H59" s="12">
        <f>IFERROR(IF(LoanIsNotPaid*LoanIsGood,EndingBalance,""), "")</f>
        <v>196512.45071135904</v>
      </c>
    </row>
    <row r="60" spans="2:8" ht="20.149999999999999" customHeight="1">
      <c r="B60" s="9">
        <f>IFERROR(IF(LoanIsNotPaid*LoanIsGood,PaymentNumber,""), "")</f>
        <v>51</v>
      </c>
      <c r="C60" s="10">
        <f>IFERROR(IF(LoanIsNotPaid*LoanIsGood,PaymentDate,""), "")</f>
        <v>45568</v>
      </c>
      <c r="D60" s="12">
        <f>IFERROR(IF(LoanIsNotPaid*LoanIsGood,LoanValue,""), "")</f>
        <v>196512.45071135904</v>
      </c>
      <c r="E60" s="12">
        <f>IFERROR(IF(LoanIsNotPaid*LoanIsGood,MonthlyPayment,""), "")</f>
        <v>21050.796373119774</v>
      </c>
      <c r="F60" s="12">
        <f>IFERROR(IF(LoanIsNotPaid*LoanIsGood,Principal,""), "")</f>
        <v>18553.450645329554</v>
      </c>
      <c r="G60" s="12">
        <f>IFERROR(IF(LoanIsNotPaid*LoanIsGood,InterestAmt,""), "")</f>
        <v>2497.3457277902207</v>
      </c>
      <c r="H60" s="12">
        <f>IFERROR(IF(LoanIsNotPaid*LoanIsGood,EndingBalance,""), "")</f>
        <v>177959.00006602937</v>
      </c>
    </row>
    <row r="61" spans="2:8" ht="20.149999999999999" customHeight="1">
      <c r="B61" s="9">
        <f>IFERROR(IF(LoanIsNotPaid*LoanIsGood,PaymentNumber,""), "")</f>
        <v>52</v>
      </c>
      <c r="C61" s="10">
        <f>IFERROR(IF(LoanIsNotPaid*LoanIsGood,PaymentDate,""), "")</f>
        <v>45599</v>
      </c>
      <c r="D61" s="12">
        <f>IFERROR(IF(LoanIsNotPaid*LoanIsGood,LoanValue,""), "")</f>
        <v>177959.00006602937</v>
      </c>
      <c r="E61" s="12">
        <f>IFERROR(IF(LoanIsNotPaid*LoanIsGood,MonthlyPayment,""), "")</f>
        <v>21050.796373119774</v>
      </c>
      <c r="F61" s="12">
        <f>IFERROR(IF(LoanIsNotPaid*LoanIsGood,Principal,""), "")</f>
        <v>18789.234080613951</v>
      </c>
      <c r="G61" s="12">
        <f>IFERROR(IF(LoanIsNotPaid*LoanIsGood,InterestAmt,""), "")</f>
        <v>2261.5622925058242</v>
      </c>
      <c r="H61" s="12">
        <f>IFERROR(IF(LoanIsNotPaid*LoanIsGood,EndingBalance,""), "")</f>
        <v>159169.76598541532</v>
      </c>
    </row>
    <row r="62" spans="2:8" ht="20.149999999999999" customHeight="1">
      <c r="B62" s="9">
        <f>IFERROR(IF(LoanIsNotPaid*LoanIsGood,PaymentNumber,""), "")</f>
        <v>53</v>
      </c>
      <c r="C62" s="10">
        <f>IFERROR(IF(LoanIsNotPaid*LoanIsGood,PaymentDate,""), "")</f>
        <v>45629</v>
      </c>
      <c r="D62" s="12">
        <f>IFERROR(IF(LoanIsNotPaid*LoanIsGood,LoanValue,""), "")</f>
        <v>159169.76598541532</v>
      </c>
      <c r="E62" s="12">
        <f>IFERROR(IF(LoanIsNotPaid*LoanIsGood,MonthlyPayment,""), "")</f>
        <v>21050.796373119774</v>
      </c>
      <c r="F62" s="12">
        <f>IFERROR(IF(LoanIsNotPaid*LoanIsGood,Principal,""), "")</f>
        <v>19028.013930388421</v>
      </c>
      <c r="G62" s="12">
        <f>IFERROR(IF(LoanIsNotPaid*LoanIsGood,InterestAmt,""), "")</f>
        <v>2022.7824427313556</v>
      </c>
      <c r="H62" s="12">
        <f>IFERROR(IF(LoanIsNotPaid*LoanIsGood,EndingBalance,""), "")</f>
        <v>140141.75205502659</v>
      </c>
    </row>
    <row r="63" spans="2:8" ht="20.149999999999999" customHeight="1">
      <c r="B63" s="9">
        <f>IFERROR(IF(LoanIsNotPaid*LoanIsGood,PaymentNumber,""), "")</f>
        <v>54</v>
      </c>
      <c r="C63" s="10">
        <f>IFERROR(IF(LoanIsNotPaid*LoanIsGood,PaymentDate,""), "")</f>
        <v>45660</v>
      </c>
      <c r="D63" s="12">
        <f>IFERROR(IF(LoanIsNotPaid*LoanIsGood,LoanValue,""), "")</f>
        <v>140141.75205502659</v>
      </c>
      <c r="E63" s="12">
        <f>IFERROR(IF(LoanIsNotPaid*LoanIsGood,MonthlyPayment,""), "")</f>
        <v>21050.796373119774</v>
      </c>
      <c r="F63" s="12">
        <f>IFERROR(IF(LoanIsNotPaid*LoanIsGood,Principal,""), "")</f>
        <v>19269.828274087107</v>
      </c>
      <c r="G63" s="12">
        <f>IFERROR(IF(LoanIsNotPaid*LoanIsGood,InterestAmt,""), "")</f>
        <v>1780.9680990326692</v>
      </c>
      <c r="H63" s="12">
        <f>IFERROR(IF(LoanIsNotPaid*LoanIsGood,EndingBalance,""), "")</f>
        <v>120871.92378093931</v>
      </c>
    </row>
    <row r="64" spans="2:8" ht="20.149999999999999" customHeight="1">
      <c r="B64" s="9">
        <f>IFERROR(IF(LoanIsNotPaid*LoanIsGood,PaymentNumber,""), "")</f>
        <v>55</v>
      </c>
      <c r="C64" s="10">
        <f>IFERROR(IF(LoanIsNotPaid*LoanIsGood,PaymentDate,""), "")</f>
        <v>45691</v>
      </c>
      <c r="D64" s="12">
        <f>IFERROR(IF(LoanIsNotPaid*LoanIsGood,LoanValue,""), "")</f>
        <v>120871.92378093931</v>
      </c>
      <c r="E64" s="12">
        <f>IFERROR(IF(LoanIsNotPaid*LoanIsGood,MonthlyPayment,""), "")</f>
        <v>21050.796373119774</v>
      </c>
      <c r="F64" s="12">
        <f>IFERROR(IF(LoanIsNotPaid*LoanIsGood,Principal,""), "")</f>
        <v>19514.715675070296</v>
      </c>
      <c r="G64" s="12">
        <f>IFERROR(IF(LoanIsNotPaid*LoanIsGood,InterestAmt,""), "")</f>
        <v>1536.0806980494788</v>
      </c>
      <c r="H64" s="12">
        <f>IFERROR(IF(LoanIsNotPaid*LoanIsGood,EndingBalance,""), "")</f>
        <v>101357.20810586913</v>
      </c>
    </row>
    <row r="65" spans="2:8" ht="20.149999999999999" customHeight="1">
      <c r="B65" s="9">
        <f>IFERROR(IF(LoanIsNotPaid*LoanIsGood,PaymentNumber,""), "")</f>
        <v>56</v>
      </c>
      <c r="C65" s="10">
        <f>IFERROR(IF(LoanIsNotPaid*LoanIsGood,PaymentDate,""), "")</f>
        <v>45719</v>
      </c>
      <c r="D65" s="12">
        <f>IFERROR(IF(LoanIsNotPaid*LoanIsGood,LoanValue,""), "")</f>
        <v>101357.20810586913</v>
      </c>
      <c r="E65" s="12">
        <f>IFERROR(IF(LoanIsNotPaid*LoanIsGood,MonthlyPayment,""), "")</f>
        <v>21050.796373119774</v>
      </c>
      <c r="F65" s="12">
        <f>IFERROR(IF(LoanIsNotPaid*LoanIsGood,Principal,""), "")</f>
        <v>19762.715186774312</v>
      </c>
      <c r="G65" s="12">
        <f>IFERROR(IF(LoanIsNotPaid*LoanIsGood,InterestAmt,""), "")</f>
        <v>1288.0811863454603</v>
      </c>
      <c r="H65" s="12">
        <f>IFERROR(IF(LoanIsNotPaid*LoanIsGood,EndingBalance,""), "")</f>
        <v>81594.492919094395</v>
      </c>
    </row>
    <row r="66" spans="2:8" ht="20.149999999999999" customHeight="1">
      <c r="B66" s="9">
        <f>IFERROR(IF(LoanIsNotPaid*LoanIsGood,PaymentNumber,""), "")</f>
        <v>57</v>
      </c>
      <c r="C66" s="10">
        <f>IFERROR(IF(LoanIsNotPaid*LoanIsGood,PaymentDate,""), "")</f>
        <v>45750</v>
      </c>
      <c r="D66" s="12">
        <f>IFERROR(IF(LoanIsNotPaid*LoanIsGood,LoanValue,""), "")</f>
        <v>81594.492919094395</v>
      </c>
      <c r="E66" s="12">
        <f>IFERROR(IF(LoanIsNotPaid*LoanIsGood,MonthlyPayment,""), "")</f>
        <v>21050.796373119774</v>
      </c>
      <c r="F66" s="12">
        <f>IFERROR(IF(LoanIsNotPaid*LoanIsGood,Principal,""), "")</f>
        <v>20013.866358939573</v>
      </c>
      <c r="G66" s="12">
        <f>IFERROR(IF(LoanIsNotPaid*LoanIsGood,InterestAmt,""), "")</f>
        <v>1036.9300141802034</v>
      </c>
      <c r="H66" s="12">
        <f>IFERROR(IF(LoanIsNotPaid*LoanIsGood,EndingBalance,""), "")</f>
        <v>61580.626560154837</v>
      </c>
    </row>
    <row r="67" spans="2:8" ht="20.149999999999999" customHeight="1">
      <c r="B67" s="9">
        <f>IFERROR(IF(LoanIsNotPaid*LoanIsGood,PaymentNumber,""), "")</f>
        <v>58</v>
      </c>
      <c r="C67" s="10">
        <f>IFERROR(IF(LoanIsNotPaid*LoanIsGood,PaymentDate,""), "")</f>
        <v>45780</v>
      </c>
      <c r="D67" s="12">
        <f>IFERROR(IF(LoanIsNotPaid*LoanIsGood,LoanValue,""), "")</f>
        <v>61580.626560154837</v>
      </c>
      <c r="E67" s="12">
        <f>IFERROR(IF(LoanIsNotPaid*LoanIsGood,MonthlyPayment,""), "")</f>
        <v>21050.796373119774</v>
      </c>
      <c r="F67" s="12">
        <f>IFERROR(IF(LoanIsNotPaid*LoanIsGood,Principal,""), "")</f>
        <v>20268.209243917761</v>
      </c>
      <c r="G67" s="12">
        <f>IFERROR(IF(LoanIsNotPaid*LoanIsGood,InterestAmt,""), "")</f>
        <v>782.58712920201322</v>
      </c>
      <c r="H67" s="12">
        <f>IFERROR(IF(LoanIsNotPaid*LoanIsGood,EndingBalance,""), "")</f>
        <v>41312.417316237232</v>
      </c>
    </row>
    <row r="68" spans="2:8" ht="20.149999999999999" customHeight="1">
      <c r="B68" s="9">
        <f>IFERROR(IF(LoanIsNotPaid*LoanIsGood,PaymentNumber,""), "")</f>
        <v>59</v>
      </c>
      <c r="C68" s="10">
        <f>IFERROR(IF(LoanIsNotPaid*LoanIsGood,PaymentDate,""), "")</f>
        <v>45811</v>
      </c>
      <c r="D68" s="12">
        <f>IFERROR(IF(LoanIsNotPaid*LoanIsGood,LoanValue,""), "")</f>
        <v>41312.417316237232</v>
      </c>
      <c r="E68" s="12">
        <f>IFERROR(IF(LoanIsNotPaid*LoanIsGood,MonthlyPayment,""), "")</f>
        <v>21050.796373119774</v>
      </c>
      <c r="F68" s="12">
        <f>IFERROR(IF(LoanIsNotPaid*LoanIsGood,Principal,""), "")</f>
        <v>20525.784403059217</v>
      </c>
      <c r="G68" s="12">
        <f>IFERROR(IF(LoanIsNotPaid*LoanIsGood,InterestAmt,""), "")</f>
        <v>525.01197006055816</v>
      </c>
      <c r="H68" s="12">
        <f>IFERROR(IF(LoanIsNotPaid*LoanIsGood,EndingBalance,""), "")</f>
        <v>20786.6329131776</v>
      </c>
    </row>
    <row r="69" spans="2:8" ht="20.149999999999999" customHeight="1">
      <c r="B69" s="9">
        <f>IFERROR(IF(LoanIsNotPaid*LoanIsGood,PaymentNumber,""), "")</f>
        <v>60</v>
      </c>
      <c r="C69" s="10">
        <f>IFERROR(IF(LoanIsNotPaid*LoanIsGood,PaymentDate,""), "")</f>
        <v>45841</v>
      </c>
      <c r="D69" s="12">
        <f>IFERROR(IF(LoanIsNotPaid*LoanIsGood,LoanValue,""), "")</f>
        <v>20786.6329131776</v>
      </c>
      <c r="E69" s="12">
        <f>IFERROR(IF(LoanIsNotPaid*LoanIsGood,MonthlyPayment,""), "")</f>
        <v>21050.796373119774</v>
      </c>
      <c r="F69" s="12">
        <f>IFERROR(IF(LoanIsNotPaid*LoanIsGood,Principal,""), "")</f>
        <v>20786.632913181427</v>
      </c>
      <c r="G69" s="12">
        <f>IFERROR(IF(LoanIsNotPaid*LoanIsGood,InterestAmt,""), "")</f>
        <v>264.16345993834733</v>
      </c>
      <c r="H69" s="12">
        <f>IFERROR(IF(LoanIsNotPaid*LoanIsGood,EndingBalance,""), "")</f>
        <v>-3.7252902984619141E-9</v>
      </c>
    </row>
    <row r="70" spans="2:8" ht="20.149999999999999" customHeight="1">
      <c r="B70" s="9" t="str">
        <f>IFERROR(IF(LoanIsNotPaid*LoanIsGood,PaymentNumber,""), "")</f>
        <v/>
      </c>
      <c r="C70" s="10" t="str">
        <f>IFERROR(IF(LoanIsNotPaid*LoanIsGood,PaymentDate,""), "")</f>
        <v/>
      </c>
      <c r="D70" s="12" t="str">
        <f>IFERROR(IF(LoanIsNotPaid*LoanIsGood,LoanValue,""), "")</f>
        <v/>
      </c>
      <c r="E70" s="12" t="str">
        <f>IFERROR(IF(LoanIsNotPaid*LoanIsGood,MonthlyPayment,""), "")</f>
        <v/>
      </c>
      <c r="F70" s="12" t="str">
        <f>IFERROR(IF(LoanIsNotPaid*LoanIsGood,Principal,""), "")</f>
        <v/>
      </c>
      <c r="G70" s="12" t="str">
        <f>IFERROR(IF(LoanIsNotPaid*LoanIsGood,InterestAmt,""), "")</f>
        <v/>
      </c>
      <c r="H70" s="12" t="str">
        <f>IFERROR(IF(LoanIsNotPaid*LoanIsGood,EndingBalance,""), "")</f>
        <v/>
      </c>
    </row>
    <row r="71" spans="2:8" ht="20.149999999999999" customHeight="1">
      <c r="B71" s="9" t="str">
        <f>IFERROR(IF(LoanIsNotPaid*LoanIsGood,PaymentNumber,""), "")</f>
        <v/>
      </c>
      <c r="C71" s="10" t="str">
        <f>IFERROR(IF(LoanIsNotPaid*LoanIsGood,PaymentDate,""), "")</f>
        <v/>
      </c>
      <c r="D71" s="12" t="str">
        <f>IFERROR(IF(LoanIsNotPaid*LoanIsGood,LoanValue,""), "")</f>
        <v/>
      </c>
      <c r="E71" s="12" t="str">
        <f>IFERROR(IF(LoanIsNotPaid*LoanIsGood,MonthlyPayment,""), "")</f>
        <v/>
      </c>
      <c r="F71" s="12" t="str">
        <f>IFERROR(IF(LoanIsNotPaid*LoanIsGood,Principal,""), "")</f>
        <v/>
      </c>
      <c r="G71" s="12" t="str">
        <f>IFERROR(IF(LoanIsNotPaid*LoanIsGood,InterestAmt,""), "")</f>
        <v/>
      </c>
      <c r="H71" s="12" t="str">
        <f>IFERROR(IF(LoanIsNotPaid*LoanIsGood,EndingBalance,""), "")</f>
        <v/>
      </c>
    </row>
    <row r="72" spans="2:8" ht="20.149999999999999" customHeight="1">
      <c r="B72" s="9" t="str">
        <f>IFERROR(IF(LoanIsNotPaid*LoanIsGood,PaymentNumber,""), "")</f>
        <v/>
      </c>
      <c r="C72" s="10" t="str">
        <f>IFERROR(IF(LoanIsNotPaid*LoanIsGood,PaymentDate,""), "")</f>
        <v/>
      </c>
      <c r="D72" s="12" t="str">
        <f>IFERROR(IF(LoanIsNotPaid*LoanIsGood,LoanValue,""), "")</f>
        <v/>
      </c>
      <c r="E72" s="12" t="str">
        <f>IFERROR(IF(LoanIsNotPaid*LoanIsGood,MonthlyPayment,""), "")</f>
        <v/>
      </c>
      <c r="F72" s="12" t="str">
        <f>IFERROR(IF(LoanIsNotPaid*LoanIsGood,Principal,""), "")</f>
        <v/>
      </c>
      <c r="G72" s="12" t="str">
        <f>IFERROR(IF(LoanIsNotPaid*LoanIsGood,InterestAmt,""), "")</f>
        <v/>
      </c>
      <c r="H72" s="12" t="str">
        <f>IFERROR(IF(LoanIsNotPaid*LoanIsGood,EndingBalance,""), "")</f>
        <v/>
      </c>
    </row>
    <row r="73" spans="2:8" ht="20.149999999999999" customHeight="1">
      <c r="B73" s="9" t="str">
        <f>IFERROR(IF(LoanIsNotPaid*LoanIsGood,PaymentNumber,""), "")</f>
        <v/>
      </c>
      <c r="C73" s="10" t="str">
        <f>IFERROR(IF(LoanIsNotPaid*LoanIsGood,PaymentDate,""), "")</f>
        <v/>
      </c>
      <c r="D73" s="12" t="str">
        <f>IFERROR(IF(LoanIsNotPaid*LoanIsGood,LoanValue,""), "")</f>
        <v/>
      </c>
      <c r="E73" s="12" t="str">
        <f>IFERROR(IF(LoanIsNotPaid*LoanIsGood,MonthlyPayment,""), "")</f>
        <v/>
      </c>
      <c r="F73" s="12" t="str">
        <f>IFERROR(IF(LoanIsNotPaid*LoanIsGood,Principal,""), "")</f>
        <v/>
      </c>
      <c r="G73" s="12" t="str">
        <f>IFERROR(IF(LoanIsNotPaid*LoanIsGood,InterestAmt,""), "")</f>
        <v/>
      </c>
      <c r="H73" s="12" t="str">
        <f>IFERROR(IF(LoanIsNotPaid*LoanIsGood,EndingBalance,""), "")</f>
        <v/>
      </c>
    </row>
    <row r="74" spans="2:8" ht="20.149999999999999" customHeight="1">
      <c r="B74" s="9" t="str">
        <f>IFERROR(IF(LoanIsNotPaid*LoanIsGood,PaymentNumber,""), "")</f>
        <v/>
      </c>
      <c r="C74" s="10" t="str">
        <f>IFERROR(IF(LoanIsNotPaid*LoanIsGood,PaymentDate,""), "")</f>
        <v/>
      </c>
      <c r="D74" s="12" t="str">
        <f>IFERROR(IF(LoanIsNotPaid*LoanIsGood,LoanValue,""), "")</f>
        <v/>
      </c>
      <c r="E74" s="12" t="str">
        <f>IFERROR(IF(LoanIsNotPaid*LoanIsGood,MonthlyPayment,""), "")</f>
        <v/>
      </c>
      <c r="F74" s="12" t="str">
        <f>IFERROR(IF(LoanIsNotPaid*LoanIsGood,Principal,""), "")</f>
        <v/>
      </c>
      <c r="G74" s="12" t="str">
        <f>IFERROR(IF(LoanIsNotPaid*LoanIsGood,InterestAmt,""), "")</f>
        <v/>
      </c>
      <c r="H74" s="12" t="str">
        <f>IFERROR(IF(LoanIsNotPaid*LoanIsGood,EndingBalance,""), "")</f>
        <v/>
      </c>
    </row>
    <row r="75" spans="2:8" ht="20.149999999999999" customHeight="1">
      <c r="B75" s="9" t="str">
        <f>IFERROR(IF(LoanIsNotPaid*LoanIsGood,PaymentNumber,""), "")</f>
        <v/>
      </c>
      <c r="C75" s="10" t="str">
        <f>IFERROR(IF(LoanIsNotPaid*LoanIsGood,PaymentDate,""), "")</f>
        <v/>
      </c>
      <c r="D75" s="12" t="str">
        <f>IFERROR(IF(LoanIsNotPaid*LoanIsGood,LoanValue,""), "")</f>
        <v/>
      </c>
      <c r="E75" s="12" t="str">
        <f>IFERROR(IF(LoanIsNotPaid*LoanIsGood,MonthlyPayment,""), "")</f>
        <v/>
      </c>
      <c r="F75" s="12" t="str">
        <f>IFERROR(IF(LoanIsNotPaid*LoanIsGood,Principal,""), "")</f>
        <v/>
      </c>
      <c r="G75" s="12" t="str">
        <f>IFERROR(IF(LoanIsNotPaid*LoanIsGood,InterestAmt,""), "")</f>
        <v/>
      </c>
      <c r="H75" s="12" t="str">
        <f>IFERROR(IF(LoanIsNotPaid*LoanIsGood,EndingBalance,""), "")</f>
        <v/>
      </c>
    </row>
    <row r="76" spans="2:8" ht="20.149999999999999" customHeight="1">
      <c r="B76" s="9" t="str">
        <f>IFERROR(IF(LoanIsNotPaid*LoanIsGood,PaymentNumber,""), "")</f>
        <v/>
      </c>
      <c r="C76" s="10" t="str">
        <f>IFERROR(IF(LoanIsNotPaid*LoanIsGood,PaymentDate,""), "")</f>
        <v/>
      </c>
      <c r="D76" s="12" t="str">
        <f>IFERROR(IF(LoanIsNotPaid*LoanIsGood,LoanValue,""), "")</f>
        <v/>
      </c>
      <c r="E76" s="12" t="str">
        <f>IFERROR(IF(LoanIsNotPaid*LoanIsGood,MonthlyPayment,""), "")</f>
        <v/>
      </c>
      <c r="F76" s="12" t="str">
        <f>IFERROR(IF(LoanIsNotPaid*LoanIsGood,Principal,""), "")</f>
        <v/>
      </c>
      <c r="G76" s="12" t="str">
        <f>IFERROR(IF(LoanIsNotPaid*LoanIsGood,InterestAmt,""), "")</f>
        <v/>
      </c>
      <c r="H76" s="12" t="str">
        <f>IFERROR(IF(LoanIsNotPaid*LoanIsGood,EndingBalance,""), "")</f>
        <v/>
      </c>
    </row>
    <row r="77" spans="2:8" ht="20.149999999999999" customHeight="1">
      <c r="B77" s="9" t="str">
        <f>IFERROR(IF(LoanIsNotPaid*LoanIsGood,PaymentNumber,""), "")</f>
        <v/>
      </c>
      <c r="C77" s="10" t="str">
        <f>IFERROR(IF(LoanIsNotPaid*LoanIsGood,PaymentDate,""), "")</f>
        <v/>
      </c>
      <c r="D77" s="12" t="str">
        <f>IFERROR(IF(LoanIsNotPaid*LoanIsGood,LoanValue,""), "")</f>
        <v/>
      </c>
      <c r="E77" s="12" t="str">
        <f>IFERROR(IF(LoanIsNotPaid*LoanIsGood,MonthlyPayment,""), "")</f>
        <v/>
      </c>
      <c r="F77" s="12" t="str">
        <f>IFERROR(IF(LoanIsNotPaid*LoanIsGood,Principal,""), "")</f>
        <v/>
      </c>
      <c r="G77" s="12" t="str">
        <f>IFERROR(IF(LoanIsNotPaid*LoanIsGood,InterestAmt,""), "")</f>
        <v/>
      </c>
      <c r="H77" s="12" t="str">
        <f>IFERROR(IF(LoanIsNotPaid*LoanIsGood,EndingBalance,""), "")</f>
        <v/>
      </c>
    </row>
    <row r="78" spans="2:8" ht="20.149999999999999" customHeight="1">
      <c r="B78" s="9" t="str">
        <f>IFERROR(IF(LoanIsNotPaid*LoanIsGood,PaymentNumber,""), "")</f>
        <v/>
      </c>
      <c r="C78" s="10" t="str">
        <f>IFERROR(IF(LoanIsNotPaid*LoanIsGood,PaymentDate,""), "")</f>
        <v/>
      </c>
      <c r="D78" s="12" t="str">
        <f>IFERROR(IF(LoanIsNotPaid*LoanIsGood,LoanValue,""), "")</f>
        <v/>
      </c>
      <c r="E78" s="12" t="str">
        <f>IFERROR(IF(LoanIsNotPaid*LoanIsGood,MonthlyPayment,""), "")</f>
        <v/>
      </c>
      <c r="F78" s="12" t="str">
        <f>IFERROR(IF(LoanIsNotPaid*LoanIsGood,Principal,""), "")</f>
        <v/>
      </c>
      <c r="G78" s="12" t="str">
        <f>IFERROR(IF(LoanIsNotPaid*LoanIsGood,InterestAmt,""), "")</f>
        <v/>
      </c>
      <c r="H78" s="12" t="str">
        <f>IFERROR(IF(LoanIsNotPaid*LoanIsGood,EndingBalance,""), "")</f>
        <v/>
      </c>
    </row>
    <row r="79" spans="2:8" ht="20.149999999999999" customHeight="1">
      <c r="B79" s="9" t="str">
        <f>IFERROR(IF(LoanIsNotPaid*LoanIsGood,PaymentNumber,""), "")</f>
        <v/>
      </c>
      <c r="C79" s="10" t="str">
        <f>IFERROR(IF(LoanIsNotPaid*LoanIsGood,PaymentDate,""), "")</f>
        <v/>
      </c>
      <c r="D79" s="12" t="str">
        <f>IFERROR(IF(LoanIsNotPaid*LoanIsGood,LoanValue,""), "")</f>
        <v/>
      </c>
      <c r="E79" s="12" t="str">
        <f>IFERROR(IF(LoanIsNotPaid*LoanIsGood,MonthlyPayment,""), "")</f>
        <v/>
      </c>
      <c r="F79" s="12" t="str">
        <f>IFERROR(IF(LoanIsNotPaid*LoanIsGood,Principal,""), "")</f>
        <v/>
      </c>
      <c r="G79" s="12" t="str">
        <f>IFERROR(IF(LoanIsNotPaid*LoanIsGood,InterestAmt,""), "")</f>
        <v/>
      </c>
      <c r="H79" s="12" t="str">
        <f>IFERROR(IF(LoanIsNotPaid*LoanIsGood,EndingBalance,""), "")</f>
        <v/>
      </c>
    </row>
    <row r="80" spans="2:8" ht="20.149999999999999" customHeight="1">
      <c r="B80" s="9" t="str">
        <f>IFERROR(IF(LoanIsNotPaid*LoanIsGood,PaymentNumber,""), "")</f>
        <v/>
      </c>
      <c r="C80" s="10" t="str">
        <f>IFERROR(IF(LoanIsNotPaid*LoanIsGood,PaymentDate,""), "")</f>
        <v/>
      </c>
      <c r="D80" s="12" t="str">
        <f>IFERROR(IF(LoanIsNotPaid*LoanIsGood,LoanValue,""), "")</f>
        <v/>
      </c>
      <c r="E80" s="12" t="str">
        <f>IFERROR(IF(LoanIsNotPaid*LoanIsGood,MonthlyPayment,""), "")</f>
        <v/>
      </c>
      <c r="F80" s="12" t="str">
        <f>IFERROR(IF(LoanIsNotPaid*LoanIsGood,Principal,""), "")</f>
        <v/>
      </c>
      <c r="G80" s="12" t="str">
        <f>IFERROR(IF(LoanIsNotPaid*LoanIsGood,InterestAmt,""), "")</f>
        <v/>
      </c>
      <c r="H80" s="12" t="str">
        <f>IFERROR(IF(LoanIsNotPaid*LoanIsGood,EndingBalance,""), "")</f>
        <v/>
      </c>
    </row>
    <row r="81" spans="2:8" ht="20.149999999999999" customHeight="1">
      <c r="B81" s="9" t="str">
        <f>IFERROR(IF(LoanIsNotPaid*LoanIsGood,PaymentNumber,""), "")</f>
        <v/>
      </c>
      <c r="C81" s="10" t="str">
        <f>IFERROR(IF(LoanIsNotPaid*LoanIsGood,PaymentDate,""), "")</f>
        <v/>
      </c>
      <c r="D81" s="12" t="str">
        <f>IFERROR(IF(LoanIsNotPaid*LoanIsGood,LoanValue,""), "")</f>
        <v/>
      </c>
      <c r="E81" s="12" t="str">
        <f>IFERROR(IF(LoanIsNotPaid*LoanIsGood,MonthlyPayment,""), "")</f>
        <v/>
      </c>
      <c r="F81" s="12" t="str">
        <f>IFERROR(IF(LoanIsNotPaid*LoanIsGood,Principal,""), "")</f>
        <v/>
      </c>
      <c r="G81" s="12" t="str">
        <f>IFERROR(IF(LoanIsNotPaid*LoanIsGood,InterestAmt,""), "")</f>
        <v/>
      </c>
      <c r="H81" s="12" t="str">
        <f>IFERROR(IF(LoanIsNotPaid*LoanIsGood,EndingBalance,""), "")</f>
        <v/>
      </c>
    </row>
    <row r="82" spans="2:8" ht="20.149999999999999" customHeight="1">
      <c r="B82" s="9" t="str">
        <f>IFERROR(IF(LoanIsNotPaid*LoanIsGood,PaymentNumber,""), "")</f>
        <v/>
      </c>
      <c r="C82" s="10" t="str">
        <f>IFERROR(IF(LoanIsNotPaid*LoanIsGood,PaymentDate,""), "")</f>
        <v/>
      </c>
      <c r="D82" s="12" t="str">
        <f>IFERROR(IF(LoanIsNotPaid*LoanIsGood,LoanValue,""), "")</f>
        <v/>
      </c>
      <c r="E82" s="12" t="str">
        <f>IFERROR(IF(LoanIsNotPaid*LoanIsGood,MonthlyPayment,""), "")</f>
        <v/>
      </c>
      <c r="F82" s="12" t="str">
        <f>IFERROR(IF(LoanIsNotPaid*LoanIsGood,Principal,""), "")</f>
        <v/>
      </c>
      <c r="G82" s="12" t="str">
        <f>IFERROR(IF(LoanIsNotPaid*LoanIsGood,InterestAmt,""), "")</f>
        <v/>
      </c>
      <c r="H82" s="12" t="str">
        <f>IFERROR(IF(LoanIsNotPaid*LoanIsGood,EndingBalance,""), "")</f>
        <v/>
      </c>
    </row>
    <row r="83" spans="2:8" ht="20.149999999999999" customHeight="1">
      <c r="B83" s="9" t="str">
        <f>IFERROR(IF(LoanIsNotPaid*LoanIsGood,PaymentNumber,""), "")</f>
        <v/>
      </c>
      <c r="C83" s="10" t="str">
        <f>IFERROR(IF(LoanIsNotPaid*LoanIsGood,PaymentDate,""), "")</f>
        <v/>
      </c>
      <c r="D83" s="12" t="str">
        <f>IFERROR(IF(LoanIsNotPaid*LoanIsGood,LoanValue,""), "")</f>
        <v/>
      </c>
      <c r="E83" s="12" t="str">
        <f>IFERROR(IF(LoanIsNotPaid*LoanIsGood,MonthlyPayment,""), "")</f>
        <v/>
      </c>
      <c r="F83" s="12" t="str">
        <f>IFERROR(IF(LoanIsNotPaid*LoanIsGood,Principal,""), "")</f>
        <v/>
      </c>
      <c r="G83" s="12" t="str">
        <f>IFERROR(IF(LoanIsNotPaid*LoanIsGood,InterestAmt,""), "")</f>
        <v/>
      </c>
      <c r="H83" s="12" t="str">
        <f>IFERROR(IF(LoanIsNotPaid*LoanIsGood,EndingBalance,""), "")</f>
        <v/>
      </c>
    </row>
    <row r="84" spans="2:8" ht="20.149999999999999" customHeight="1">
      <c r="B84" s="9" t="str">
        <f>IFERROR(IF(LoanIsNotPaid*LoanIsGood,PaymentNumber,""), "")</f>
        <v/>
      </c>
      <c r="C84" s="10" t="str">
        <f>IFERROR(IF(LoanIsNotPaid*LoanIsGood,PaymentDate,""), "")</f>
        <v/>
      </c>
      <c r="D84" s="12" t="str">
        <f>IFERROR(IF(LoanIsNotPaid*LoanIsGood,LoanValue,""), "")</f>
        <v/>
      </c>
      <c r="E84" s="12" t="str">
        <f>IFERROR(IF(LoanIsNotPaid*LoanIsGood,MonthlyPayment,""), "")</f>
        <v/>
      </c>
      <c r="F84" s="12" t="str">
        <f>IFERROR(IF(LoanIsNotPaid*LoanIsGood,Principal,""), "")</f>
        <v/>
      </c>
      <c r="G84" s="12" t="str">
        <f>IFERROR(IF(LoanIsNotPaid*LoanIsGood,InterestAmt,""), "")</f>
        <v/>
      </c>
      <c r="H84" s="12" t="str">
        <f>IFERROR(IF(LoanIsNotPaid*LoanIsGood,EndingBalance,""), "")</f>
        <v/>
      </c>
    </row>
    <row r="85" spans="2:8" ht="20.149999999999999" customHeight="1">
      <c r="B85" s="9" t="str">
        <f>IFERROR(IF(LoanIsNotPaid*LoanIsGood,PaymentNumber,""), "")</f>
        <v/>
      </c>
      <c r="C85" s="10" t="str">
        <f>IFERROR(IF(LoanIsNotPaid*LoanIsGood,PaymentDate,""), "")</f>
        <v/>
      </c>
      <c r="D85" s="12" t="str">
        <f>IFERROR(IF(LoanIsNotPaid*LoanIsGood,LoanValue,""), "")</f>
        <v/>
      </c>
      <c r="E85" s="12" t="str">
        <f>IFERROR(IF(LoanIsNotPaid*LoanIsGood,MonthlyPayment,""), "")</f>
        <v/>
      </c>
      <c r="F85" s="12" t="str">
        <f>IFERROR(IF(LoanIsNotPaid*LoanIsGood,Principal,""), "")</f>
        <v/>
      </c>
      <c r="G85" s="12" t="str">
        <f>IFERROR(IF(LoanIsNotPaid*LoanIsGood,InterestAmt,""), "")</f>
        <v/>
      </c>
      <c r="H85" s="12" t="str">
        <f>IFERROR(IF(LoanIsNotPaid*LoanIsGood,EndingBalance,""), "")</f>
        <v/>
      </c>
    </row>
    <row r="86" spans="2:8" ht="20.149999999999999" customHeight="1">
      <c r="B86" s="9" t="str">
        <f>IFERROR(IF(LoanIsNotPaid*LoanIsGood,PaymentNumber,""), "")</f>
        <v/>
      </c>
      <c r="C86" s="10" t="str">
        <f>IFERROR(IF(LoanIsNotPaid*LoanIsGood,PaymentDate,""), "")</f>
        <v/>
      </c>
      <c r="D86" s="12" t="str">
        <f>IFERROR(IF(LoanIsNotPaid*LoanIsGood,LoanValue,""), "")</f>
        <v/>
      </c>
      <c r="E86" s="12" t="str">
        <f>IFERROR(IF(LoanIsNotPaid*LoanIsGood,MonthlyPayment,""), "")</f>
        <v/>
      </c>
      <c r="F86" s="12" t="str">
        <f>IFERROR(IF(LoanIsNotPaid*LoanIsGood,Principal,""), "")</f>
        <v/>
      </c>
      <c r="G86" s="12" t="str">
        <f>IFERROR(IF(LoanIsNotPaid*LoanIsGood,InterestAmt,""), "")</f>
        <v/>
      </c>
      <c r="H86" s="12" t="str">
        <f>IFERROR(IF(LoanIsNotPaid*LoanIsGood,EndingBalance,""), "")</f>
        <v/>
      </c>
    </row>
    <row r="87" spans="2:8" ht="20.149999999999999" customHeight="1">
      <c r="B87" s="9" t="str">
        <f>IFERROR(IF(LoanIsNotPaid*LoanIsGood,PaymentNumber,""), "")</f>
        <v/>
      </c>
      <c r="C87" s="10" t="str">
        <f>IFERROR(IF(LoanIsNotPaid*LoanIsGood,PaymentDate,""), "")</f>
        <v/>
      </c>
      <c r="D87" s="12" t="str">
        <f>IFERROR(IF(LoanIsNotPaid*LoanIsGood,LoanValue,""), "")</f>
        <v/>
      </c>
      <c r="E87" s="12" t="str">
        <f>IFERROR(IF(LoanIsNotPaid*LoanIsGood,MonthlyPayment,""), "")</f>
        <v/>
      </c>
      <c r="F87" s="12" t="str">
        <f>IFERROR(IF(LoanIsNotPaid*LoanIsGood,Principal,""), "")</f>
        <v/>
      </c>
      <c r="G87" s="12" t="str">
        <f>IFERROR(IF(LoanIsNotPaid*LoanIsGood,InterestAmt,""), "")</f>
        <v/>
      </c>
      <c r="H87" s="12" t="str">
        <f>IFERROR(IF(LoanIsNotPaid*LoanIsGood,EndingBalance,""), "")</f>
        <v/>
      </c>
    </row>
    <row r="88" spans="2:8" ht="20.149999999999999" customHeight="1">
      <c r="B88" s="9" t="str">
        <f>IFERROR(IF(LoanIsNotPaid*LoanIsGood,PaymentNumber,""), "")</f>
        <v/>
      </c>
      <c r="C88" s="10" t="str">
        <f>IFERROR(IF(LoanIsNotPaid*LoanIsGood,PaymentDate,""), "")</f>
        <v/>
      </c>
      <c r="D88" s="12" t="str">
        <f>IFERROR(IF(LoanIsNotPaid*LoanIsGood,LoanValue,""), "")</f>
        <v/>
      </c>
      <c r="E88" s="12" t="str">
        <f>IFERROR(IF(LoanIsNotPaid*LoanIsGood,MonthlyPayment,""), "")</f>
        <v/>
      </c>
      <c r="F88" s="12" t="str">
        <f>IFERROR(IF(LoanIsNotPaid*LoanIsGood,Principal,""), "")</f>
        <v/>
      </c>
      <c r="G88" s="12" t="str">
        <f>IFERROR(IF(LoanIsNotPaid*LoanIsGood,InterestAmt,""), "")</f>
        <v/>
      </c>
      <c r="H88" s="12" t="str">
        <f>IFERROR(IF(LoanIsNotPaid*LoanIsGood,EndingBalance,""), "")</f>
        <v/>
      </c>
    </row>
    <row r="89" spans="2:8" ht="20.149999999999999" customHeight="1">
      <c r="B89" s="9" t="str">
        <f>IFERROR(IF(LoanIsNotPaid*LoanIsGood,PaymentNumber,""), "")</f>
        <v/>
      </c>
      <c r="C89" s="10" t="str">
        <f>IFERROR(IF(LoanIsNotPaid*LoanIsGood,PaymentDate,""), "")</f>
        <v/>
      </c>
      <c r="D89" s="12" t="str">
        <f>IFERROR(IF(LoanIsNotPaid*LoanIsGood,LoanValue,""), "")</f>
        <v/>
      </c>
      <c r="E89" s="12" t="str">
        <f>IFERROR(IF(LoanIsNotPaid*LoanIsGood,MonthlyPayment,""), "")</f>
        <v/>
      </c>
      <c r="F89" s="12" t="str">
        <f>IFERROR(IF(LoanIsNotPaid*LoanIsGood,Principal,""), "")</f>
        <v/>
      </c>
      <c r="G89" s="12" t="str">
        <f>IFERROR(IF(LoanIsNotPaid*LoanIsGood,InterestAmt,""), "")</f>
        <v/>
      </c>
      <c r="H89" s="12" t="str">
        <f>IFERROR(IF(LoanIsNotPaid*LoanIsGood,EndingBalance,""), "")</f>
        <v/>
      </c>
    </row>
    <row r="90" spans="2:8" ht="20.149999999999999" customHeight="1">
      <c r="B90" s="9" t="str">
        <f>IFERROR(IF(LoanIsNotPaid*LoanIsGood,PaymentNumber,""), "")</f>
        <v/>
      </c>
      <c r="C90" s="10" t="str">
        <f>IFERROR(IF(LoanIsNotPaid*LoanIsGood,PaymentDate,""), "")</f>
        <v/>
      </c>
      <c r="D90" s="12" t="str">
        <f>IFERROR(IF(LoanIsNotPaid*LoanIsGood,LoanValue,""), "")</f>
        <v/>
      </c>
      <c r="E90" s="12" t="str">
        <f>IFERROR(IF(LoanIsNotPaid*LoanIsGood,MonthlyPayment,""), "")</f>
        <v/>
      </c>
      <c r="F90" s="12" t="str">
        <f>IFERROR(IF(LoanIsNotPaid*LoanIsGood,Principal,""), "")</f>
        <v/>
      </c>
      <c r="G90" s="12" t="str">
        <f>IFERROR(IF(LoanIsNotPaid*LoanIsGood,InterestAmt,""), "")</f>
        <v/>
      </c>
      <c r="H90" s="12" t="str">
        <f>IFERROR(IF(LoanIsNotPaid*LoanIsGood,EndingBalance,""), "")</f>
        <v/>
      </c>
    </row>
    <row r="91" spans="2:8" ht="20.149999999999999" customHeight="1">
      <c r="B91" s="9" t="str">
        <f>IFERROR(IF(LoanIsNotPaid*LoanIsGood,PaymentNumber,""), "")</f>
        <v/>
      </c>
      <c r="C91" s="10" t="str">
        <f>IFERROR(IF(LoanIsNotPaid*LoanIsGood,PaymentDate,""), "")</f>
        <v/>
      </c>
      <c r="D91" s="12" t="str">
        <f>IFERROR(IF(LoanIsNotPaid*LoanIsGood,LoanValue,""), "")</f>
        <v/>
      </c>
      <c r="E91" s="12" t="str">
        <f>IFERROR(IF(LoanIsNotPaid*LoanIsGood,MonthlyPayment,""), "")</f>
        <v/>
      </c>
      <c r="F91" s="12" t="str">
        <f>IFERROR(IF(LoanIsNotPaid*LoanIsGood,Principal,""), "")</f>
        <v/>
      </c>
      <c r="G91" s="12" t="str">
        <f>IFERROR(IF(LoanIsNotPaid*LoanIsGood,InterestAmt,""), "")</f>
        <v/>
      </c>
      <c r="H91" s="12" t="str">
        <f>IFERROR(IF(LoanIsNotPaid*LoanIsGood,EndingBalance,""), "")</f>
        <v/>
      </c>
    </row>
    <row r="92" spans="2:8" ht="20.149999999999999" customHeight="1">
      <c r="B92" s="9" t="str">
        <f>IFERROR(IF(LoanIsNotPaid*LoanIsGood,PaymentNumber,""), "")</f>
        <v/>
      </c>
      <c r="C92" s="10" t="str">
        <f>IFERROR(IF(LoanIsNotPaid*LoanIsGood,PaymentDate,""), "")</f>
        <v/>
      </c>
      <c r="D92" s="12" t="str">
        <f>IFERROR(IF(LoanIsNotPaid*LoanIsGood,LoanValue,""), "")</f>
        <v/>
      </c>
      <c r="E92" s="12" t="str">
        <f>IFERROR(IF(LoanIsNotPaid*LoanIsGood,MonthlyPayment,""), "")</f>
        <v/>
      </c>
      <c r="F92" s="12" t="str">
        <f>IFERROR(IF(LoanIsNotPaid*LoanIsGood,Principal,""), "")</f>
        <v/>
      </c>
      <c r="G92" s="12" t="str">
        <f>IFERROR(IF(LoanIsNotPaid*LoanIsGood,InterestAmt,""), "")</f>
        <v/>
      </c>
      <c r="H92" s="12" t="str">
        <f>IFERROR(IF(LoanIsNotPaid*LoanIsGood,EndingBalance,""), "")</f>
        <v/>
      </c>
    </row>
    <row r="93" spans="2:8" ht="20.149999999999999" customHeight="1">
      <c r="B93" s="9" t="str">
        <f>IFERROR(IF(LoanIsNotPaid*LoanIsGood,PaymentNumber,""), "")</f>
        <v/>
      </c>
      <c r="C93" s="10" t="str">
        <f>IFERROR(IF(LoanIsNotPaid*LoanIsGood,PaymentDate,""), "")</f>
        <v/>
      </c>
      <c r="D93" s="12" t="str">
        <f>IFERROR(IF(LoanIsNotPaid*LoanIsGood,LoanValue,""), "")</f>
        <v/>
      </c>
      <c r="E93" s="12" t="str">
        <f>IFERROR(IF(LoanIsNotPaid*LoanIsGood,MonthlyPayment,""), "")</f>
        <v/>
      </c>
      <c r="F93" s="12" t="str">
        <f>IFERROR(IF(LoanIsNotPaid*LoanIsGood,Principal,""), "")</f>
        <v/>
      </c>
      <c r="G93" s="12" t="str">
        <f>IFERROR(IF(LoanIsNotPaid*LoanIsGood,InterestAmt,""), "")</f>
        <v/>
      </c>
      <c r="H93" s="12" t="str">
        <f>IFERROR(IF(LoanIsNotPaid*LoanIsGood,EndingBalance,""), "")</f>
        <v/>
      </c>
    </row>
    <row r="94" spans="2:8" ht="20.149999999999999" customHeight="1">
      <c r="B94" s="9" t="str">
        <f>IFERROR(IF(LoanIsNotPaid*LoanIsGood,PaymentNumber,""), "")</f>
        <v/>
      </c>
      <c r="C94" s="10" t="str">
        <f>IFERROR(IF(LoanIsNotPaid*LoanIsGood,PaymentDate,""), "")</f>
        <v/>
      </c>
      <c r="D94" s="12" t="str">
        <f>IFERROR(IF(LoanIsNotPaid*LoanIsGood,LoanValue,""), "")</f>
        <v/>
      </c>
      <c r="E94" s="12" t="str">
        <f>IFERROR(IF(LoanIsNotPaid*LoanIsGood,MonthlyPayment,""), "")</f>
        <v/>
      </c>
      <c r="F94" s="12" t="str">
        <f>IFERROR(IF(LoanIsNotPaid*LoanIsGood,Principal,""), "")</f>
        <v/>
      </c>
      <c r="G94" s="12" t="str">
        <f>IFERROR(IF(LoanIsNotPaid*LoanIsGood,InterestAmt,""), "")</f>
        <v/>
      </c>
      <c r="H94" s="12" t="str">
        <f>IFERROR(IF(LoanIsNotPaid*LoanIsGood,EndingBalance,""), "")</f>
        <v/>
      </c>
    </row>
    <row r="95" spans="2:8" ht="20.149999999999999" customHeight="1">
      <c r="B95" s="9" t="str">
        <f>IFERROR(IF(LoanIsNotPaid*LoanIsGood,PaymentNumber,""), "")</f>
        <v/>
      </c>
      <c r="C95" s="10" t="str">
        <f>IFERROR(IF(LoanIsNotPaid*LoanIsGood,PaymentDate,""), "")</f>
        <v/>
      </c>
      <c r="D95" s="12" t="str">
        <f>IFERROR(IF(LoanIsNotPaid*LoanIsGood,LoanValue,""), "")</f>
        <v/>
      </c>
      <c r="E95" s="12" t="str">
        <f>IFERROR(IF(LoanIsNotPaid*LoanIsGood,MonthlyPayment,""), "")</f>
        <v/>
      </c>
      <c r="F95" s="12" t="str">
        <f>IFERROR(IF(LoanIsNotPaid*LoanIsGood,Principal,""), "")</f>
        <v/>
      </c>
      <c r="G95" s="12" t="str">
        <f>IFERROR(IF(LoanIsNotPaid*LoanIsGood,InterestAmt,""), "")</f>
        <v/>
      </c>
      <c r="H95" s="12" t="str">
        <f>IFERROR(IF(LoanIsNotPaid*LoanIsGood,EndingBalance,""), "")</f>
        <v/>
      </c>
    </row>
    <row r="96" spans="2:8" ht="20.149999999999999" customHeight="1">
      <c r="B96" s="9" t="str">
        <f>IFERROR(IF(LoanIsNotPaid*LoanIsGood,PaymentNumber,""), "")</f>
        <v/>
      </c>
      <c r="C96" s="10" t="str">
        <f>IFERROR(IF(LoanIsNotPaid*LoanIsGood,PaymentDate,""), "")</f>
        <v/>
      </c>
      <c r="D96" s="12" t="str">
        <f>IFERROR(IF(LoanIsNotPaid*LoanIsGood,LoanValue,""), "")</f>
        <v/>
      </c>
      <c r="E96" s="12" t="str">
        <f>IFERROR(IF(LoanIsNotPaid*LoanIsGood,MonthlyPayment,""), "")</f>
        <v/>
      </c>
      <c r="F96" s="12" t="str">
        <f>IFERROR(IF(LoanIsNotPaid*LoanIsGood,Principal,""), "")</f>
        <v/>
      </c>
      <c r="G96" s="12" t="str">
        <f>IFERROR(IF(LoanIsNotPaid*LoanIsGood,InterestAmt,""), "")</f>
        <v/>
      </c>
      <c r="H96" s="12" t="str">
        <f>IFERROR(IF(LoanIsNotPaid*LoanIsGood,EndingBalance,""), "")</f>
        <v/>
      </c>
    </row>
    <row r="97" spans="2:8" ht="20.149999999999999" customHeight="1">
      <c r="B97" s="9" t="str">
        <f>IFERROR(IF(LoanIsNotPaid*LoanIsGood,PaymentNumber,""), "")</f>
        <v/>
      </c>
      <c r="C97" s="10" t="str">
        <f>IFERROR(IF(LoanIsNotPaid*LoanIsGood,PaymentDate,""), "")</f>
        <v/>
      </c>
      <c r="D97" s="12" t="str">
        <f>IFERROR(IF(LoanIsNotPaid*LoanIsGood,LoanValue,""), "")</f>
        <v/>
      </c>
      <c r="E97" s="12" t="str">
        <f>IFERROR(IF(LoanIsNotPaid*LoanIsGood,MonthlyPayment,""), "")</f>
        <v/>
      </c>
      <c r="F97" s="12" t="str">
        <f>IFERROR(IF(LoanIsNotPaid*LoanIsGood,Principal,""), "")</f>
        <v/>
      </c>
      <c r="G97" s="12" t="str">
        <f>IFERROR(IF(LoanIsNotPaid*LoanIsGood,InterestAmt,""), "")</f>
        <v/>
      </c>
      <c r="H97" s="12" t="str">
        <f>IFERROR(IF(LoanIsNotPaid*LoanIsGood,EndingBalance,""), "")</f>
        <v/>
      </c>
    </row>
    <row r="98" spans="2:8" ht="20.149999999999999" customHeight="1">
      <c r="B98" s="9" t="str">
        <f>IFERROR(IF(LoanIsNotPaid*LoanIsGood,PaymentNumber,""), "")</f>
        <v/>
      </c>
      <c r="C98" s="10" t="str">
        <f>IFERROR(IF(LoanIsNotPaid*LoanIsGood,PaymentDate,""), "")</f>
        <v/>
      </c>
      <c r="D98" s="12" t="str">
        <f>IFERROR(IF(LoanIsNotPaid*LoanIsGood,LoanValue,""), "")</f>
        <v/>
      </c>
      <c r="E98" s="12" t="str">
        <f>IFERROR(IF(LoanIsNotPaid*LoanIsGood,MonthlyPayment,""), "")</f>
        <v/>
      </c>
      <c r="F98" s="12" t="str">
        <f>IFERROR(IF(LoanIsNotPaid*LoanIsGood,Principal,""), "")</f>
        <v/>
      </c>
      <c r="G98" s="12" t="str">
        <f>IFERROR(IF(LoanIsNotPaid*LoanIsGood,InterestAmt,""), "")</f>
        <v/>
      </c>
      <c r="H98" s="12" t="str">
        <f>IFERROR(IF(LoanIsNotPaid*LoanIsGood,EndingBalance,""), "")</f>
        <v/>
      </c>
    </row>
    <row r="99" spans="2:8" ht="20.149999999999999" customHeight="1">
      <c r="B99" s="9" t="str">
        <f>IFERROR(IF(LoanIsNotPaid*LoanIsGood,PaymentNumber,""), "")</f>
        <v/>
      </c>
      <c r="C99" s="10" t="str">
        <f>IFERROR(IF(LoanIsNotPaid*LoanIsGood,PaymentDate,""), "")</f>
        <v/>
      </c>
      <c r="D99" s="12" t="str">
        <f>IFERROR(IF(LoanIsNotPaid*LoanIsGood,LoanValue,""), "")</f>
        <v/>
      </c>
      <c r="E99" s="12" t="str">
        <f>IFERROR(IF(LoanIsNotPaid*LoanIsGood,MonthlyPayment,""), "")</f>
        <v/>
      </c>
      <c r="F99" s="12" t="str">
        <f>IFERROR(IF(LoanIsNotPaid*LoanIsGood,Principal,""), "")</f>
        <v/>
      </c>
      <c r="G99" s="12" t="str">
        <f>IFERROR(IF(LoanIsNotPaid*LoanIsGood,InterestAmt,""), "")</f>
        <v/>
      </c>
      <c r="H99" s="12" t="str">
        <f>IFERROR(IF(LoanIsNotPaid*LoanIsGood,EndingBalance,""), "")</f>
        <v/>
      </c>
    </row>
    <row r="100" spans="2:8" ht="20.149999999999999" customHeight="1">
      <c r="B100" s="9" t="str">
        <f>IFERROR(IF(LoanIsNotPaid*LoanIsGood,PaymentNumber,""), "")</f>
        <v/>
      </c>
      <c r="C100" s="10" t="str">
        <f>IFERROR(IF(LoanIsNotPaid*LoanIsGood,PaymentDate,""), "")</f>
        <v/>
      </c>
      <c r="D100" s="12" t="str">
        <f>IFERROR(IF(LoanIsNotPaid*LoanIsGood,LoanValue,""), "")</f>
        <v/>
      </c>
      <c r="E100" s="12" t="str">
        <f>IFERROR(IF(LoanIsNotPaid*LoanIsGood,MonthlyPayment,""), "")</f>
        <v/>
      </c>
      <c r="F100" s="12" t="str">
        <f>IFERROR(IF(LoanIsNotPaid*LoanIsGood,Principal,""), "")</f>
        <v/>
      </c>
      <c r="G100" s="12" t="str">
        <f>IFERROR(IF(LoanIsNotPaid*LoanIsGood,InterestAmt,""), "")</f>
        <v/>
      </c>
      <c r="H100" s="12" t="str">
        <f>IFERROR(IF(LoanIsNotPaid*LoanIsGood,EndingBalance,""), "")</f>
        <v/>
      </c>
    </row>
    <row r="101" spans="2:8" ht="20.149999999999999" customHeight="1">
      <c r="B101" s="9" t="str">
        <f>IFERROR(IF(LoanIsNotPaid*LoanIsGood,PaymentNumber,""), "")</f>
        <v/>
      </c>
      <c r="C101" s="10" t="str">
        <f>IFERROR(IF(LoanIsNotPaid*LoanIsGood,PaymentDate,""), "")</f>
        <v/>
      </c>
      <c r="D101" s="12" t="str">
        <f>IFERROR(IF(LoanIsNotPaid*LoanIsGood,LoanValue,""), "")</f>
        <v/>
      </c>
      <c r="E101" s="12" t="str">
        <f>IFERROR(IF(LoanIsNotPaid*LoanIsGood,MonthlyPayment,""), "")</f>
        <v/>
      </c>
      <c r="F101" s="12" t="str">
        <f>IFERROR(IF(LoanIsNotPaid*LoanIsGood,Principal,""), "")</f>
        <v/>
      </c>
      <c r="G101" s="12" t="str">
        <f>IFERROR(IF(LoanIsNotPaid*LoanIsGood,InterestAmt,""), "")</f>
        <v/>
      </c>
      <c r="H101" s="12" t="str">
        <f>IFERROR(IF(LoanIsNotPaid*LoanIsGood,EndingBalance,""), "")</f>
        <v/>
      </c>
    </row>
    <row r="102" spans="2:8" ht="20.149999999999999" customHeight="1">
      <c r="B102" s="9" t="str">
        <f>IFERROR(IF(LoanIsNotPaid*LoanIsGood,PaymentNumber,""), "")</f>
        <v/>
      </c>
      <c r="C102" s="10" t="str">
        <f>IFERROR(IF(LoanIsNotPaid*LoanIsGood,PaymentDate,""), "")</f>
        <v/>
      </c>
      <c r="D102" s="12" t="str">
        <f>IFERROR(IF(LoanIsNotPaid*LoanIsGood,LoanValue,""), "")</f>
        <v/>
      </c>
      <c r="E102" s="12" t="str">
        <f>IFERROR(IF(LoanIsNotPaid*LoanIsGood,MonthlyPayment,""), "")</f>
        <v/>
      </c>
      <c r="F102" s="12" t="str">
        <f>IFERROR(IF(LoanIsNotPaid*LoanIsGood,Principal,""), "")</f>
        <v/>
      </c>
      <c r="G102" s="12" t="str">
        <f>IFERROR(IF(LoanIsNotPaid*LoanIsGood,InterestAmt,""), "")</f>
        <v/>
      </c>
      <c r="H102" s="12" t="str">
        <f>IFERROR(IF(LoanIsNotPaid*LoanIsGood,EndingBalance,""), "")</f>
        <v/>
      </c>
    </row>
    <row r="103" spans="2:8" ht="20.149999999999999" customHeight="1">
      <c r="B103" s="9" t="str">
        <f>IFERROR(IF(LoanIsNotPaid*LoanIsGood,PaymentNumber,""), "")</f>
        <v/>
      </c>
      <c r="C103" s="10" t="str">
        <f>IFERROR(IF(LoanIsNotPaid*LoanIsGood,PaymentDate,""), "")</f>
        <v/>
      </c>
      <c r="D103" s="12" t="str">
        <f>IFERROR(IF(LoanIsNotPaid*LoanIsGood,LoanValue,""), "")</f>
        <v/>
      </c>
      <c r="E103" s="12" t="str">
        <f>IFERROR(IF(LoanIsNotPaid*LoanIsGood,MonthlyPayment,""), "")</f>
        <v/>
      </c>
      <c r="F103" s="12" t="str">
        <f>IFERROR(IF(LoanIsNotPaid*LoanIsGood,Principal,""), "")</f>
        <v/>
      </c>
      <c r="G103" s="12" t="str">
        <f>IFERROR(IF(LoanIsNotPaid*LoanIsGood,InterestAmt,""), "")</f>
        <v/>
      </c>
      <c r="H103" s="12" t="str">
        <f>IFERROR(IF(LoanIsNotPaid*LoanIsGood,EndingBalance,""), "")</f>
        <v/>
      </c>
    </row>
    <row r="104" spans="2:8" ht="20.149999999999999" customHeight="1">
      <c r="B104" s="9" t="str">
        <f>IFERROR(IF(LoanIsNotPaid*LoanIsGood,PaymentNumber,""), "")</f>
        <v/>
      </c>
      <c r="C104" s="10" t="str">
        <f>IFERROR(IF(LoanIsNotPaid*LoanIsGood,PaymentDate,""), "")</f>
        <v/>
      </c>
      <c r="D104" s="12" t="str">
        <f>IFERROR(IF(LoanIsNotPaid*LoanIsGood,LoanValue,""), "")</f>
        <v/>
      </c>
      <c r="E104" s="12" t="str">
        <f>IFERROR(IF(LoanIsNotPaid*LoanIsGood,MonthlyPayment,""), "")</f>
        <v/>
      </c>
      <c r="F104" s="12" t="str">
        <f>IFERROR(IF(LoanIsNotPaid*LoanIsGood,Principal,""), "")</f>
        <v/>
      </c>
      <c r="G104" s="12" t="str">
        <f>IFERROR(IF(LoanIsNotPaid*LoanIsGood,InterestAmt,""), "")</f>
        <v/>
      </c>
      <c r="H104" s="12" t="str">
        <f>IFERROR(IF(LoanIsNotPaid*LoanIsGood,EndingBalance,""), "")</f>
        <v/>
      </c>
    </row>
    <row r="105" spans="2:8" ht="20.149999999999999" customHeight="1">
      <c r="B105" s="9" t="str">
        <f>IFERROR(IF(LoanIsNotPaid*LoanIsGood,PaymentNumber,""), "")</f>
        <v/>
      </c>
      <c r="C105" s="10" t="str">
        <f>IFERROR(IF(LoanIsNotPaid*LoanIsGood,PaymentDate,""), "")</f>
        <v/>
      </c>
      <c r="D105" s="12" t="str">
        <f>IFERROR(IF(LoanIsNotPaid*LoanIsGood,LoanValue,""), "")</f>
        <v/>
      </c>
      <c r="E105" s="12" t="str">
        <f>IFERROR(IF(LoanIsNotPaid*LoanIsGood,MonthlyPayment,""), "")</f>
        <v/>
      </c>
      <c r="F105" s="12" t="str">
        <f>IFERROR(IF(LoanIsNotPaid*LoanIsGood,Principal,""), "")</f>
        <v/>
      </c>
      <c r="G105" s="12" t="str">
        <f>IFERROR(IF(LoanIsNotPaid*LoanIsGood,InterestAmt,""), "")</f>
        <v/>
      </c>
      <c r="H105" s="12" t="str">
        <f>IFERROR(IF(LoanIsNotPaid*LoanIsGood,EndingBalance,""), "")</f>
        <v/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34" priority="4" stopIfTrue="1">
      <formula>NOT(LoanIsNotPaid)</formula>
    </cfRule>
    <cfRule type="expression" dxfId="33" priority="5" stopIfTrue="1">
      <formula>IF(ROW(B10)=LastRow,TRUE,FALSE)</formula>
    </cfRule>
  </conditionalFormatting>
  <conditionalFormatting sqref="B10:H369">
    <cfRule type="expression" dxfId="32" priority="1">
      <formula>$B10=""</formula>
    </cfRule>
  </conditionalFormatting>
  <conditionalFormatting sqref="C10:G369">
    <cfRule type="expression" dxfId="31" priority="2" stopIfTrue="1">
      <formula>NOT(LoanIsNotPaid)</formula>
    </cfRule>
    <cfRule type="expression" dxfId="30" priority="3" stopIfTrue="1">
      <formula>IF(ROW(C10)=LastRow,TRUE,FALSE)</formula>
    </cfRule>
  </conditionalFormatting>
  <conditionalFormatting sqref="H10:H369">
    <cfRule type="expression" dxfId="29" priority="6" stopIfTrue="1">
      <formula>NOT(LoanIsNotPaid)</formula>
    </cfRule>
    <cfRule type="expression" dxfId="28" priority="7" stopIfTrue="1">
      <formula>IF(ROW(H10)=LastRow,TRUE,FALSE)</formula>
    </cfRule>
  </conditionalFormatting>
  <dataValidations count="27">
    <dataValidation allowBlank="1" showInputMessage="1" showErrorMessage="1" prompt="Make a loan repayment schedule using this Loan Calculator worksheet. Total interest and total payments are automatically calculated" sqref="A1:A2" xr:uid="{CD6E658C-F348-4504-BA21-3EB315D3470A}"/>
    <dataValidation allowBlank="1" showInputMessage="1" showErrorMessage="1" prompt="Title of this worksheet is in this cell. Enter Loan Values in cells D3 through D6. Loan Summary in cells H3 through H6 and Loan table are automatically updated" sqref="B1:B2" xr:uid="{FBF23580-EBE5-4F55-A3AA-B632B8FEA5D2}"/>
    <dataValidation allowBlank="1" showInputMessage="1" showErrorMessage="1" prompt="Loan Summary is automatically updated in cells below" sqref="F3" xr:uid="{3EED77E8-AAFB-4AE3-9CB6-FACCB8FE3205}"/>
    <dataValidation allowBlank="1" showInputMessage="1" showErrorMessage="1" prompt="Enter Loan amount in this cell" sqref="D4" xr:uid="{1B6B628B-7BA1-480A-9287-7E612F763AD8}"/>
    <dataValidation allowBlank="1" showInputMessage="1" showErrorMessage="1" prompt="Enter Loan amount in cell at right" sqref="B4:C4" xr:uid="{CF153470-B3F9-47CA-A973-A7C992E83DCD}"/>
    <dataValidation allowBlank="1" showInputMessage="1" showErrorMessage="1" prompt="Enter Annual interest rate in this cell" sqref="D5" xr:uid="{E93ED3A8-3636-486D-A437-5008E64BBAF9}"/>
    <dataValidation allowBlank="1" showInputMessage="1" showErrorMessage="1" prompt="Enter Annual interest rate in cell at right" sqref="B5:C5" xr:uid="{008A0E69-7A33-4C15-AE13-3EE21BE607B1}"/>
    <dataValidation allowBlank="1" showInputMessage="1" showErrorMessage="1" prompt="Enter Loan period in years in this cell" sqref="D6" xr:uid="{9C682D4D-7133-4312-AA71-A11FBEB28480}"/>
    <dataValidation allowBlank="1" showInputMessage="1" showErrorMessage="1" prompt="Enter Loan period in years in cell at right" sqref="B6:C6" xr:uid="{4479C5D0-7481-4BD2-8F6C-C6DE89E3BFBA}"/>
    <dataValidation allowBlank="1" showInputMessage="1" showErrorMessage="1" prompt="Enter Start date of loan in this cell" sqref="D7" xr:uid="{E7266B92-0243-4C90-9B7F-B704F7A35347}"/>
    <dataValidation allowBlank="1" showInputMessage="1" showErrorMessage="1" prompt="Enter Start date of loan in cell at right" sqref="B7:C7" xr:uid="{78CB6B6F-5E56-49A0-9D96-0E0017064A58}"/>
    <dataValidation allowBlank="1" showInputMessage="1" showErrorMessage="1" prompt="Monthly payment is automatically calculated in this cell" sqref="H4" xr:uid="{46936E52-1298-4A75-9B54-AC69719CBE13}"/>
    <dataValidation allowBlank="1" showInputMessage="1" showErrorMessage="1" prompt="Monthly payment is automatically calculated in cell at right" sqref="F4:G4" xr:uid="{89D2EEE6-26D1-44B2-9834-54A30D17749C}"/>
    <dataValidation allowBlank="1" showInputMessage="1" showErrorMessage="1" prompt="Number of payments is automatically calculated in cell at right" sqref="F5:G5" xr:uid="{2184AFC1-FD20-43E3-A9FD-70C5EF90B3CB}"/>
    <dataValidation allowBlank="1" showInputMessage="1" showErrorMessage="1" prompt="Total interest is automatically calculated in cell at right" sqref="F6:G6" xr:uid="{352237E9-7744-4FEB-B7AA-6C9CBD989CA4}"/>
    <dataValidation allowBlank="1" showInputMessage="1" showErrorMessage="1" prompt="Total cost of loan is automatically calculated in cell at right" sqref="F7:G7" xr:uid="{4DBECA3D-F780-44BE-937D-36C13200A766}"/>
    <dataValidation allowBlank="1" showInputMessage="1" showErrorMessage="1" prompt="Total cost of loan is automatically calculated in this cell" sqref="H7" xr:uid="{BB3A37A3-BD94-40C5-A699-FC22E1A9CC29}"/>
    <dataValidation allowBlank="1" showInputMessage="1" showErrorMessage="1" prompt="Total interest is automatically calculated in this cell" sqref="H6" xr:uid="{0B35292E-AA82-494A-88BA-EA509ADF7C12}"/>
    <dataValidation allowBlank="1" showInputMessage="1" showErrorMessage="1" prompt="Number of payments is automatically calculated in this cell" sqref="H5" xr:uid="{4F7FB303-9591-4CB2-859D-6CEF5A7BE058}"/>
    <dataValidation allowBlank="1" showInputMessage="1" showErrorMessage="1" prompt="Payment Number is automatically updated in this column under this heading" sqref="B9" xr:uid="{FF76B50A-6329-40B1-9229-B158D228B001}"/>
    <dataValidation allowBlank="1" showInputMessage="1" showErrorMessage="1" prompt="Payment Date is automatically updated in this column under this heading" sqref="C9" xr:uid="{F41C1297-E2FD-4256-A70A-8B3E7001D62F}"/>
    <dataValidation allowBlank="1" showInputMessage="1" showErrorMessage="1" prompt="Beginning Balance is automatically calculated in this column under this heading" sqref="D9" xr:uid="{665EB27A-A31D-4154-9217-17797D0737F6}"/>
    <dataValidation allowBlank="1" showInputMessage="1" showErrorMessage="1" prompt="Payment amount is automatically calculated in this column under this heading" sqref="E9" xr:uid="{D32308C4-AC1A-4B52-9C2E-16A75128A78B}"/>
    <dataValidation allowBlank="1" showInputMessage="1" showErrorMessage="1" prompt="Principal amount is automatically updated in this column under this heading" sqref="F9" xr:uid="{C8258262-0EA6-425C-A5D7-B90EDB4B0942}"/>
    <dataValidation allowBlank="1" showInputMessage="1" showErrorMessage="1" prompt="Interest amount is automatically updated in this column under this heading" sqref="G9" xr:uid="{A5BC63AC-9233-4041-A938-4CE28D80B4DD}"/>
    <dataValidation allowBlank="1" showInputMessage="1" showErrorMessage="1" prompt="Ending Balance is automatically updated in this column under this heading" sqref="H9" xr:uid="{10AFDC47-6B1D-4A93-A17E-1B5DE9424880}"/>
    <dataValidation allowBlank="1" showInputMessage="1" showErrorMessage="1" prompt="Enter Loan Values in cells D4 through D7 for each description in cells below. Loan Summary in cells H4 through H7 and Loan table are automatically updated" sqref="B3:D3" xr:uid="{2DA52E44-7C82-48A1-8FED-27FF0556B3B2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H369"/>
  <sheetViews>
    <sheetView showGridLines="0" zoomScale="80" zoomScaleNormal="80" workbookViewId="0">
      <pane ySplit="9" topLeftCell="A37" activePane="bottomLeft" state="frozenSplit"/>
      <selection activeCell="D40" sqref="D40"/>
      <selection pane="bottomLeft" activeCell="D7" sqref="D7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2000000</v>
      </c>
      <c r="E4"/>
      <c r="F4" s="43" t="s">
        <v>4</v>
      </c>
      <c r="G4" s="43"/>
      <c r="H4" s="13">
        <f>IFERROR(IF(LoanIsGood,MonthlyPayment,""), "")</f>
        <v>43484.84614528661</v>
      </c>
    </row>
    <row r="5" spans="2:8" ht="20.149999999999999" customHeight="1">
      <c r="B5" s="40" t="s">
        <v>1</v>
      </c>
      <c r="C5" s="40"/>
      <c r="D5" s="3">
        <v>0.11</v>
      </c>
      <c r="E5"/>
      <c r="F5" s="40" t="s">
        <v>5</v>
      </c>
      <c r="G5" s="40"/>
      <c r="H5" s="6">
        <v>60</v>
      </c>
    </row>
    <row r="6" spans="2:8" ht="20.149999999999999" customHeight="1">
      <c r="B6" s="40" t="s">
        <v>2</v>
      </c>
      <c r="C6" s="40"/>
      <c r="D6" s="4">
        <v>5</v>
      </c>
      <c r="E6"/>
      <c r="F6" s="40" t="s">
        <v>6</v>
      </c>
      <c r="G6" s="40"/>
      <c r="H6" s="14">
        <f>IFERROR(IF(LoanIsGood,TotalLoanCost-LoanAmount,""), "")</f>
        <v>609090.76871719677</v>
      </c>
    </row>
    <row r="7" spans="2:8" ht="20.149999999999999" customHeight="1">
      <c r="B7" s="40" t="s">
        <v>3</v>
      </c>
      <c r="C7" s="40"/>
      <c r="D7" s="5">
        <v>44015</v>
      </c>
      <c r="E7"/>
      <c r="F7" s="40" t="s">
        <v>7</v>
      </c>
      <c r="G7" s="40"/>
      <c r="H7" s="14">
        <f>IFERROR(IF(LoanIsGood,MonthlyPayment*NumberOfPayments,""), "")</f>
        <v>2609090.7687171968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44046</v>
      </c>
      <c r="D10" s="12">
        <f>IFERROR(IF(LoanIsNotPaid*LoanIsGood,LoanValue,""), "")</f>
        <v>2000000</v>
      </c>
      <c r="E10" s="12">
        <f>IFERROR(IF(LoanIsNotPaid*LoanIsGood,MonthlyPayment,""), "")</f>
        <v>43484.84614528661</v>
      </c>
      <c r="F10" s="12">
        <f>IFERROR(IF(LoanIsNotPaid*LoanIsGood,Principal,""), "")</f>
        <v>25151.512811953282</v>
      </c>
      <c r="G10" s="12">
        <f>IFERROR(IF(LoanIsNotPaid*LoanIsGood,InterestAmt,""), "")</f>
        <v>18333.333333333332</v>
      </c>
      <c r="H10" s="12">
        <f>IFERROR(IF(LoanIsNotPaid*LoanIsGood,EndingBalance,""), "")</f>
        <v>1974848.4871880463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44077</v>
      </c>
      <c r="D11" s="12">
        <f>IFERROR(IF(LoanIsNotPaid*LoanIsGood,LoanValue,""), "")</f>
        <v>1974848.4871880463</v>
      </c>
      <c r="E11" s="12">
        <f>IFERROR(IF(LoanIsNotPaid*LoanIsGood,MonthlyPayment,""), "")</f>
        <v>43484.84614528661</v>
      </c>
      <c r="F11" s="12">
        <f>IFERROR(IF(LoanIsNotPaid*LoanIsGood,Principal,""), "")</f>
        <v>25382.06834606285</v>
      </c>
      <c r="G11" s="12">
        <f>IFERROR(IF(LoanIsNotPaid*LoanIsGood,InterestAmt,""), "")</f>
        <v>18102.777799223757</v>
      </c>
      <c r="H11" s="12">
        <f>IFERROR(IF(LoanIsNotPaid*LoanIsGood,EndingBalance,""), "")</f>
        <v>1949466.4188419832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44107</v>
      </c>
      <c r="D12" s="12">
        <f>IFERROR(IF(LoanIsNotPaid*LoanIsGood,LoanValue,""), "")</f>
        <v>1949466.4188419832</v>
      </c>
      <c r="E12" s="12">
        <f>IFERROR(IF(LoanIsNotPaid*LoanIsGood,MonthlyPayment,""), "")</f>
        <v>43484.84614528661</v>
      </c>
      <c r="F12" s="12">
        <f>IFERROR(IF(LoanIsNotPaid*LoanIsGood,Principal,""), "")</f>
        <v>25614.737305901763</v>
      </c>
      <c r="G12" s="12">
        <f>IFERROR(IF(LoanIsNotPaid*LoanIsGood,InterestAmt,""), "")</f>
        <v>17870.108839384851</v>
      </c>
      <c r="H12" s="12">
        <f>IFERROR(IF(LoanIsNotPaid*LoanIsGood,EndingBalance,""), "")</f>
        <v>1923851.6815360808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44138</v>
      </c>
      <c r="D13" s="12">
        <f>IFERROR(IF(LoanIsNotPaid*LoanIsGood,LoanValue,""), "")</f>
        <v>1923851.6815360808</v>
      </c>
      <c r="E13" s="12">
        <f>IFERROR(IF(LoanIsNotPaid*LoanIsGood,MonthlyPayment,""), "")</f>
        <v>43484.84614528661</v>
      </c>
      <c r="F13" s="12">
        <f>IFERROR(IF(LoanIsNotPaid*LoanIsGood,Principal,""), "")</f>
        <v>25849.539064539196</v>
      </c>
      <c r="G13" s="12">
        <f>IFERROR(IF(LoanIsNotPaid*LoanIsGood,InterestAmt,""), "")</f>
        <v>17635.307080747418</v>
      </c>
      <c r="H13" s="12">
        <f>IFERROR(IF(LoanIsNotPaid*LoanIsGood,EndingBalance,""), "")</f>
        <v>1898002.1424715417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44168</v>
      </c>
      <c r="D14" s="12">
        <f>IFERROR(IF(LoanIsNotPaid*LoanIsGood,LoanValue,""), "")</f>
        <v>1898002.1424715417</v>
      </c>
      <c r="E14" s="12">
        <f>IFERROR(IF(LoanIsNotPaid*LoanIsGood,MonthlyPayment,""), "")</f>
        <v>43484.84614528661</v>
      </c>
      <c r="F14" s="12">
        <f>IFERROR(IF(LoanIsNotPaid*LoanIsGood,Principal,""), "")</f>
        <v>26086.49317263081</v>
      </c>
      <c r="G14" s="12">
        <f>IFERROR(IF(LoanIsNotPaid*LoanIsGood,InterestAmt,""), "")</f>
        <v>17398.352972655808</v>
      </c>
      <c r="H14" s="12">
        <f>IFERROR(IF(LoanIsNotPaid*LoanIsGood,EndingBalance,""), "")</f>
        <v>1871915.649298911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44199</v>
      </c>
      <c r="D15" s="12">
        <f>IFERROR(IF(LoanIsNotPaid*LoanIsGood,LoanValue,""), "")</f>
        <v>1871915.649298911</v>
      </c>
      <c r="E15" s="12">
        <f>IFERROR(IF(LoanIsNotPaid*LoanIsGood,MonthlyPayment,""), "")</f>
        <v>43484.84614528661</v>
      </c>
      <c r="F15" s="12">
        <f>IFERROR(IF(LoanIsNotPaid*LoanIsGood,Principal,""), "")</f>
        <v>26325.619360046592</v>
      </c>
      <c r="G15" s="12">
        <f>IFERROR(IF(LoanIsNotPaid*LoanIsGood,InterestAmt,""), "")</f>
        <v>17159.226785240025</v>
      </c>
      <c r="H15" s="12">
        <f>IFERROR(IF(LoanIsNotPaid*LoanIsGood,EndingBalance,""), "")</f>
        <v>1845590.0299388636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44230</v>
      </c>
      <c r="D16" s="12">
        <f>IFERROR(IF(LoanIsNotPaid*LoanIsGood,LoanValue,""), "")</f>
        <v>1845590.0299388636</v>
      </c>
      <c r="E16" s="12">
        <f>IFERROR(IF(LoanIsNotPaid*LoanIsGood,MonthlyPayment,""), "")</f>
        <v>43484.84614528661</v>
      </c>
      <c r="F16" s="12">
        <f>IFERROR(IF(LoanIsNotPaid*LoanIsGood,Principal,""), "")</f>
        <v>26566.937537513681</v>
      </c>
      <c r="G16" s="12">
        <f>IFERROR(IF(LoanIsNotPaid*LoanIsGood,InterestAmt,""), "")</f>
        <v>16917.90860777293</v>
      </c>
      <c r="H16" s="12">
        <f>IFERROR(IF(LoanIsNotPaid*LoanIsGood,EndingBalance,""), "")</f>
        <v>1819023.092401349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44258</v>
      </c>
      <c r="D17" s="12">
        <f>IFERROR(IF(LoanIsNotPaid*LoanIsGood,LoanValue,""), "")</f>
        <v>1819023.092401349</v>
      </c>
      <c r="E17" s="12">
        <f>IFERROR(IF(LoanIsNotPaid*LoanIsGood,MonthlyPayment,""), "")</f>
        <v>43484.84614528661</v>
      </c>
      <c r="F17" s="12">
        <f>IFERROR(IF(LoanIsNotPaid*LoanIsGood,Principal,""), "")</f>
        <v>26810.467798274225</v>
      </c>
      <c r="G17" s="12">
        <f>IFERROR(IF(LoanIsNotPaid*LoanIsGood,InterestAmt,""), "")</f>
        <v>16674.378347012385</v>
      </c>
      <c r="H17" s="12">
        <f>IFERROR(IF(LoanIsNotPaid*LoanIsGood,EndingBalance,""), "")</f>
        <v>1792212.6246030754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44289</v>
      </c>
      <c r="D18" s="12">
        <f>IFERROR(IF(LoanIsNotPaid*LoanIsGood,LoanValue,""), "")</f>
        <v>1792212.6246030754</v>
      </c>
      <c r="E18" s="12">
        <f>IFERROR(IF(LoanIsNotPaid*LoanIsGood,MonthlyPayment,""), "")</f>
        <v>43484.84614528661</v>
      </c>
      <c r="F18" s="12">
        <f>IFERROR(IF(LoanIsNotPaid*LoanIsGood,Principal,""), "")</f>
        <v>27056.230419758405</v>
      </c>
      <c r="G18" s="12">
        <f>IFERROR(IF(LoanIsNotPaid*LoanIsGood,InterestAmt,""), "")</f>
        <v>16428.615725528209</v>
      </c>
      <c r="H18" s="12">
        <f>IFERROR(IF(LoanIsNotPaid*LoanIsGood,EndingBalance,""), "")</f>
        <v>1765156.3941833165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44319</v>
      </c>
      <c r="D19" s="12">
        <f>IFERROR(IF(LoanIsNotPaid*LoanIsGood,LoanValue,""), "")</f>
        <v>1765156.3941833165</v>
      </c>
      <c r="E19" s="12">
        <f>IFERROR(IF(LoanIsNotPaid*LoanIsGood,MonthlyPayment,""), "")</f>
        <v>43484.84614528661</v>
      </c>
      <c r="F19" s="12">
        <f>IFERROR(IF(LoanIsNotPaid*LoanIsGood,Principal,""), "")</f>
        <v>27304.245865272856</v>
      </c>
      <c r="G19" s="12">
        <f>IFERROR(IF(LoanIsNotPaid*LoanIsGood,InterestAmt,""), "")</f>
        <v>16180.600280013756</v>
      </c>
      <c r="H19" s="12">
        <f>IFERROR(IF(LoanIsNotPaid*LoanIsGood,EndingBalance,""), "")</f>
        <v>1737852.1483180437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44350</v>
      </c>
      <c r="D20" s="12">
        <f>IFERROR(IF(LoanIsNotPaid*LoanIsGood,LoanValue,""), "")</f>
        <v>1737852.1483180437</v>
      </c>
      <c r="E20" s="12">
        <f>IFERROR(IF(LoanIsNotPaid*LoanIsGood,MonthlyPayment,""), "")</f>
        <v>43484.84614528661</v>
      </c>
      <c r="F20" s="12">
        <f>IFERROR(IF(LoanIsNotPaid*LoanIsGood,Principal,""), "")</f>
        <v>27554.534785704527</v>
      </c>
      <c r="G20" s="12">
        <f>IFERROR(IF(LoanIsNotPaid*LoanIsGood,InterestAmt,""), "")</f>
        <v>15930.311359582089</v>
      </c>
      <c r="H20" s="12">
        <f>IFERROR(IF(LoanIsNotPaid*LoanIsGood,EndingBalance,""), "")</f>
        <v>1710297.6135323385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44380</v>
      </c>
      <c r="D21" s="12">
        <f>IFERROR(IF(LoanIsNotPaid*LoanIsGood,LoanValue,""), "")</f>
        <v>1710297.6135323385</v>
      </c>
      <c r="E21" s="12">
        <f>IFERROR(IF(LoanIsNotPaid*LoanIsGood,MonthlyPayment,""), "")</f>
        <v>43484.84614528661</v>
      </c>
      <c r="F21" s="12">
        <f>IFERROR(IF(LoanIsNotPaid*LoanIsGood,Principal,""), "")</f>
        <v>27807.118021240149</v>
      </c>
      <c r="G21" s="12">
        <f>IFERROR(IF(LoanIsNotPaid*LoanIsGood,InterestAmt,""), "")</f>
        <v>15677.728124046467</v>
      </c>
      <c r="H21" s="12">
        <f>IFERROR(IF(LoanIsNotPaid*LoanIsGood,EndingBalance,""), "")</f>
        <v>1682490.4955110981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44411</v>
      </c>
      <c r="D22" s="12">
        <f>IFERROR(IF(LoanIsNotPaid*LoanIsGood,LoanValue,""), "")</f>
        <v>1682490.4955110981</v>
      </c>
      <c r="E22" s="12">
        <f>IFERROR(IF(LoanIsNotPaid*LoanIsGood,MonthlyPayment,""), "")</f>
        <v>43484.84614528661</v>
      </c>
      <c r="F22" s="12">
        <f>IFERROR(IF(LoanIsNotPaid*LoanIsGood,Principal,""), "")</f>
        <v>28062.016603101518</v>
      </c>
      <c r="G22" s="12">
        <f>IFERROR(IF(LoanIsNotPaid*LoanIsGood,InterestAmt,""), "")</f>
        <v>15422.829542185093</v>
      </c>
      <c r="H22" s="12">
        <f>IFERROR(IF(LoanIsNotPaid*LoanIsGood,EndingBalance,""), "")</f>
        <v>1654428.4789079968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44442</v>
      </c>
      <c r="D23" s="12">
        <f>IFERROR(IF(LoanIsNotPaid*LoanIsGood,LoanValue,""), "")</f>
        <v>1654428.4789079968</v>
      </c>
      <c r="E23" s="12">
        <f>IFERROR(IF(LoanIsNotPaid*LoanIsGood,MonthlyPayment,""), "")</f>
        <v>43484.84614528661</v>
      </c>
      <c r="F23" s="12">
        <f>IFERROR(IF(LoanIsNotPaid*LoanIsGood,Principal,""), "")</f>
        <v>28319.251755296616</v>
      </c>
      <c r="G23" s="12">
        <f>IFERROR(IF(LoanIsNotPaid*LoanIsGood,InterestAmt,""), "")</f>
        <v>15165.594389989998</v>
      </c>
      <c r="H23" s="12">
        <f>IFERROR(IF(LoanIsNotPaid*LoanIsGood,EndingBalance,""), "")</f>
        <v>1626109.2271526991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44472</v>
      </c>
      <c r="D24" s="12">
        <f>IFERROR(IF(LoanIsNotPaid*LoanIsGood,LoanValue,""), "")</f>
        <v>1626109.2271526991</v>
      </c>
      <c r="E24" s="12">
        <f>IFERROR(IF(LoanIsNotPaid*LoanIsGood,MonthlyPayment,""), "")</f>
        <v>43484.84614528661</v>
      </c>
      <c r="F24" s="12">
        <f>IFERROR(IF(LoanIsNotPaid*LoanIsGood,Principal,""), "")</f>
        <v>28578.844896386832</v>
      </c>
      <c r="G24" s="12">
        <f>IFERROR(IF(LoanIsNotPaid*LoanIsGood,InterestAmt,""), "")</f>
        <v>14906.001248899778</v>
      </c>
      <c r="H24" s="12">
        <f>IFERROR(IF(LoanIsNotPaid*LoanIsGood,EndingBalance,""), "")</f>
        <v>1597530.3822563116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44503</v>
      </c>
      <c r="D25" s="12">
        <f>IFERROR(IF(LoanIsNotPaid*LoanIsGood,LoanValue,""), "")</f>
        <v>1597530.3822563116</v>
      </c>
      <c r="E25" s="12">
        <f>IFERROR(IF(LoanIsNotPaid*LoanIsGood,MonthlyPayment,""), "")</f>
        <v>43484.84614528661</v>
      </c>
      <c r="F25" s="12">
        <f>IFERROR(IF(LoanIsNotPaid*LoanIsGood,Principal,""), "")</f>
        <v>28840.81764127038</v>
      </c>
      <c r="G25" s="12">
        <f>IFERROR(IF(LoanIsNotPaid*LoanIsGood,InterestAmt,""), "")</f>
        <v>14644.028504016233</v>
      </c>
      <c r="H25" s="12">
        <f>IFERROR(IF(LoanIsNotPaid*LoanIsGood,EndingBalance,""), "")</f>
        <v>1568689.5646150419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44533</v>
      </c>
      <c r="D26" s="12">
        <f>IFERROR(IF(LoanIsNotPaid*LoanIsGood,LoanValue,""), "")</f>
        <v>1568689.5646150419</v>
      </c>
      <c r="E26" s="12">
        <f>IFERROR(IF(LoanIsNotPaid*LoanIsGood,MonthlyPayment,""), "")</f>
        <v>43484.84614528661</v>
      </c>
      <c r="F26" s="12">
        <f>IFERROR(IF(LoanIsNotPaid*LoanIsGood,Principal,""), "")</f>
        <v>29105.19180298203</v>
      </c>
      <c r="G26" s="12">
        <f>IFERROR(IF(LoanIsNotPaid*LoanIsGood,InterestAmt,""), "")</f>
        <v>14379.65434230459</v>
      </c>
      <c r="H26" s="12">
        <f>IFERROR(IF(LoanIsNotPaid*LoanIsGood,EndingBalance,""), "")</f>
        <v>1539584.3728120597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44564</v>
      </c>
      <c r="D27" s="12">
        <f>IFERROR(IF(LoanIsNotPaid*LoanIsGood,LoanValue,""), "")</f>
        <v>1539584.3728120597</v>
      </c>
      <c r="E27" s="12">
        <f>IFERROR(IF(LoanIsNotPaid*LoanIsGood,MonthlyPayment,""), "")</f>
        <v>43484.84614528661</v>
      </c>
      <c r="F27" s="12">
        <f>IFERROR(IF(LoanIsNotPaid*LoanIsGood,Principal,""), "")</f>
        <v>29371.989394509357</v>
      </c>
      <c r="G27" s="12">
        <f>IFERROR(IF(LoanIsNotPaid*LoanIsGood,InterestAmt,""), "")</f>
        <v>14112.856750777253</v>
      </c>
      <c r="H27" s="12">
        <f>IFERROR(IF(LoanIsNotPaid*LoanIsGood,EndingBalance,""), "")</f>
        <v>1510212.3834175493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44595</v>
      </c>
      <c r="D28" s="12">
        <f>IFERROR(IF(LoanIsNotPaid*LoanIsGood,LoanValue,""), "")</f>
        <v>1510212.3834175493</v>
      </c>
      <c r="E28" s="12">
        <f>IFERROR(IF(LoanIsNotPaid*LoanIsGood,MonthlyPayment,""), "")</f>
        <v>43484.84614528661</v>
      </c>
      <c r="F28" s="12">
        <f>IFERROR(IF(LoanIsNotPaid*LoanIsGood,Principal,""), "")</f>
        <v>29641.232630625695</v>
      </c>
      <c r="G28" s="12">
        <f>IFERROR(IF(LoanIsNotPaid*LoanIsGood,InterestAmt,""), "")</f>
        <v>13843.613514660918</v>
      </c>
      <c r="H28" s="12">
        <f>IFERROR(IF(LoanIsNotPaid*LoanIsGood,EndingBalance,""), "")</f>
        <v>1480571.1507869232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44623</v>
      </c>
      <c r="D29" s="12">
        <f>IFERROR(IF(LoanIsNotPaid*LoanIsGood,LoanValue,""), "")</f>
        <v>1480571.1507869232</v>
      </c>
      <c r="E29" s="12">
        <f>IFERROR(IF(LoanIsNotPaid*LoanIsGood,MonthlyPayment,""), "")</f>
        <v>43484.84614528661</v>
      </c>
      <c r="F29" s="12">
        <f>IFERROR(IF(LoanIsNotPaid*LoanIsGood,Principal,""), "")</f>
        <v>29912.943929739766</v>
      </c>
      <c r="G29" s="12">
        <f>IFERROR(IF(LoanIsNotPaid*LoanIsGood,InterestAmt,""), "")</f>
        <v>13571.902215546848</v>
      </c>
      <c r="H29" s="12">
        <f>IFERROR(IF(LoanIsNotPaid*LoanIsGood,EndingBalance,""), "")</f>
        <v>1450658.2068571835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44654</v>
      </c>
      <c r="D30" s="12">
        <f>IFERROR(IF(LoanIsNotPaid*LoanIsGood,LoanValue,""), "")</f>
        <v>1450658.2068571835</v>
      </c>
      <c r="E30" s="12">
        <f>IFERROR(IF(LoanIsNotPaid*LoanIsGood,MonthlyPayment,""), "")</f>
        <v>43484.84614528661</v>
      </c>
      <c r="F30" s="12">
        <f>IFERROR(IF(LoanIsNotPaid*LoanIsGood,Principal,""), "")</f>
        <v>30187.145915762379</v>
      </c>
      <c r="G30" s="12">
        <f>IFERROR(IF(LoanIsNotPaid*LoanIsGood,InterestAmt,""), "")</f>
        <v>13297.700229524235</v>
      </c>
      <c r="H30" s="12">
        <f>IFERROR(IF(LoanIsNotPaid*LoanIsGood,EndingBalance,""), "")</f>
        <v>1420471.0609414205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44684</v>
      </c>
      <c r="D31" s="12">
        <f>IFERROR(IF(LoanIsNotPaid*LoanIsGood,LoanValue,""), "")</f>
        <v>1420471.0609414205</v>
      </c>
      <c r="E31" s="12">
        <f>IFERROR(IF(LoanIsNotPaid*LoanIsGood,MonthlyPayment,""), "")</f>
        <v>43484.84614528661</v>
      </c>
      <c r="F31" s="12">
        <f>IFERROR(IF(LoanIsNotPaid*LoanIsGood,Principal,""), "")</f>
        <v>30463.8614199902</v>
      </c>
      <c r="G31" s="12">
        <f>IFERROR(IF(LoanIsNotPaid*LoanIsGood,InterestAmt,""), "")</f>
        <v>13020.984725296412</v>
      </c>
      <c r="H31" s="12">
        <f>IFERROR(IF(LoanIsNotPaid*LoanIsGood,EndingBalance,""), "")</f>
        <v>1390007.1995214296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44715</v>
      </c>
      <c r="D32" s="12">
        <f>IFERROR(IF(LoanIsNotPaid*LoanIsGood,LoanValue,""), "")</f>
        <v>1390007.1995214296</v>
      </c>
      <c r="E32" s="12">
        <f>IFERROR(IF(LoanIsNotPaid*LoanIsGood,MonthlyPayment,""), "")</f>
        <v>43484.84614528661</v>
      </c>
      <c r="F32" s="12">
        <f>IFERROR(IF(LoanIsNotPaid*LoanIsGood,Principal,""), "")</f>
        <v>30743.113483006775</v>
      </c>
      <c r="G32" s="12">
        <f>IFERROR(IF(LoanIsNotPaid*LoanIsGood,InterestAmt,""), "")</f>
        <v>12741.732662279835</v>
      </c>
      <c r="H32" s="12">
        <f>IFERROR(IF(LoanIsNotPaid*LoanIsGood,EndingBalance,""), "")</f>
        <v>1359264.0860384225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44745</v>
      </c>
      <c r="D33" s="12">
        <f>IFERROR(IF(LoanIsNotPaid*LoanIsGood,LoanValue,""), "")</f>
        <v>1359264.0860384225</v>
      </c>
      <c r="E33" s="12">
        <f>IFERROR(IF(LoanIsNotPaid*LoanIsGood,MonthlyPayment,""), "")</f>
        <v>43484.84614528661</v>
      </c>
      <c r="F33" s="12">
        <f>IFERROR(IF(LoanIsNotPaid*LoanIsGood,Principal,""), "")</f>
        <v>31024.925356601008</v>
      </c>
      <c r="G33" s="12">
        <f>IFERROR(IF(LoanIsNotPaid*LoanIsGood,InterestAmt,""), "")</f>
        <v>12459.920788685606</v>
      </c>
      <c r="H33" s="12">
        <f>IFERROR(IF(LoanIsNotPaid*LoanIsGood,EndingBalance,""), "")</f>
        <v>1328239.1606818219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44776</v>
      </c>
      <c r="D34" s="12">
        <f>IFERROR(IF(LoanIsNotPaid*LoanIsGood,LoanValue,""), "")</f>
        <v>1328239.1606818219</v>
      </c>
      <c r="E34" s="12">
        <f>IFERROR(IF(LoanIsNotPaid*LoanIsGood,MonthlyPayment,""), "")</f>
        <v>43484.84614528661</v>
      </c>
      <c r="F34" s="12">
        <f>IFERROR(IF(LoanIsNotPaid*LoanIsGood,Principal,""), "")</f>
        <v>31309.320505703181</v>
      </c>
      <c r="G34" s="12">
        <f>IFERROR(IF(LoanIsNotPaid*LoanIsGood,InterestAmt,""), "")</f>
        <v>12175.525639583431</v>
      </c>
      <c r="H34" s="12">
        <f>IFERROR(IF(LoanIsNotPaid*LoanIsGood,EndingBalance,""), "")</f>
        <v>1296929.8401761181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44807</v>
      </c>
      <c r="D35" s="12">
        <f>IFERROR(IF(LoanIsNotPaid*LoanIsGood,LoanValue,""), "")</f>
        <v>1296929.8401761181</v>
      </c>
      <c r="E35" s="12">
        <f>IFERROR(IF(LoanIsNotPaid*LoanIsGood,MonthlyPayment,""), "")</f>
        <v>43484.84614528661</v>
      </c>
      <c r="F35" s="12">
        <f>IFERROR(IF(LoanIsNotPaid*LoanIsGood,Principal,""), "")</f>
        <v>31596.322610338793</v>
      </c>
      <c r="G35" s="12">
        <f>IFERROR(IF(LoanIsNotPaid*LoanIsGood,InterestAmt,""), "")</f>
        <v>11888.523534947817</v>
      </c>
      <c r="H35" s="12">
        <f>IFERROR(IF(LoanIsNotPaid*LoanIsGood,EndingBalance,""), "")</f>
        <v>1265333.5175657787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44837</v>
      </c>
      <c r="D36" s="12">
        <f>IFERROR(IF(LoanIsNotPaid*LoanIsGood,LoanValue,""), "")</f>
        <v>1265333.5175657787</v>
      </c>
      <c r="E36" s="12">
        <f>IFERROR(IF(LoanIsNotPaid*LoanIsGood,MonthlyPayment,""), "")</f>
        <v>43484.84614528661</v>
      </c>
      <c r="F36" s="12">
        <f>IFERROR(IF(LoanIsNotPaid*LoanIsGood,Principal,""), "")</f>
        <v>31885.955567600235</v>
      </c>
      <c r="G36" s="12">
        <f>IFERROR(IF(LoanIsNotPaid*LoanIsGood,InterestAmt,""), "")</f>
        <v>11598.890577686379</v>
      </c>
      <c r="H36" s="12">
        <f>IFERROR(IF(LoanIsNotPaid*LoanIsGood,EndingBalance,""), "")</f>
        <v>1233447.5619981776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44868</v>
      </c>
      <c r="D37" s="12">
        <f>IFERROR(IF(LoanIsNotPaid*LoanIsGood,LoanValue,""), "")</f>
        <v>1233447.5619981776</v>
      </c>
      <c r="E37" s="12">
        <f>IFERROR(IF(LoanIsNotPaid*LoanIsGood,MonthlyPayment,""), "")</f>
        <v>43484.84614528661</v>
      </c>
      <c r="F37" s="12">
        <f>IFERROR(IF(LoanIsNotPaid*LoanIsGood,Principal,""), "")</f>
        <v>32178.243493636564</v>
      </c>
      <c r="G37" s="12">
        <f>IFERROR(IF(LoanIsNotPaid*LoanIsGood,InterestAmt,""), "")</f>
        <v>11306.602651650046</v>
      </c>
      <c r="H37" s="12">
        <f>IFERROR(IF(LoanIsNotPaid*LoanIsGood,EndingBalance,""), "")</f>
        <v>1201269.3185045407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44898</v>
      </c>
      <c r="D38" s="12">
        <f>IFERROR(IF(LoanIsNotPaid*LoanIsGood,LoanValue,""), "")</f>
        <v>1201269.3185045407</v>
      </c>
      <c r="E38" s="12">
        <f>IFERROR(IF(LoanIsNotPaid*LoanIsGood,MonthlyPayment,""), "")</f>
        <v>43484.84614528661</v>
      </c>
      <c r="F38" s="12">
        <f>IFERROR(IF(LoanIsNotPaid*LoanIsGood,Principal,""), "")</f>
        <v>32473.210725661571</v>
      </c>
      <c r="G38" s="12">
        <f>IFERROR(IF(LoanIsNotPaid*LoanIsGood,InterestAmt,""), "")</f>
        <v>11011.635419625041</v>
      </c>
      <c r="H38" s="12">
        <f>IFERROR(IF(LoanIsNotPaid*LoanIsGood,EndingBalance,""), "")</f>
        <v>1168796.1077788796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44929</v>
      </c>
      <c r="D39" s="12">
        <f>IFERROR(IF(LoanIsNotPaid*LoanIsGood,LoanValue,""), "")</f>
        <v>1168796.1077788796</v>
      </c>
      <c r="E39" s="12">
        <f>IFERROR(IF(LoanIsNotPaid*LoanIsGood,MonthlyPayment,""), "")</f>
        <v>43484.84614528661</v>
      </c>
      <c r="F39" s="12">
        <f>IFERROR(IF(LoanIsNotPaid*LoanIsGood,Principal,""), "")</f>
        <v>32770.881823980133</v>
      </c>
      <c r="G39" s="12">
        <f>IFERROR(IF(LoanIsNotPaid*LoanIsGood,InterestAmt,""), "")</f>
        <v>10713.964321306477</v>
      </c>
      <c r="H39" s="12">
        <f>IFERROR(IF(LoanIsNotPaid*LoanIsGood,EndingBalance,""), "")</f>
        <v>1136025.2259548989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44960</v>
      </c>
      <c r="D40" s="12">
        <f>IFERROR(IF(LoanIsNotPaid*LoanIsGood,LoanValue,""), "")</f>
        <v>1136025.2259548989</v>
      </c>
      <c r="E40" s="12">
        <f>IFERROR(IF(LoanIsNotPaid*LoanIsGood,MonthlyPayment,""), "")</f>
        <v>43484.84614528661</v>
      </c>
      <c r="F40" s="12">
        <f>IFERROR(IF(LoanIsNotPaid*LoanIsGood,Principal,""), "")</f>
        <v>33071.281574033288</v>
      </c>
      <c r="G40" s="12">
        <f>IFERROR(IF(LoanIsNotPaid*LoanIsGood,InterestAmt,""), "")</f>
        <v>10413.56457125333</v>
      </c>
      <c r="H40" s="12">
        <f>IFERROR(IF(LoanIsNotPaid*LoanIsGood,EndingBalance,""), "")</f>
        <v>1102953.9443808636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44988</v>
      </c>
      <c r="D41" s="12">
        <f>IFERROR(IF(LoanIsNotPaid*LoanIsGood,LoanValue,""), "")</f>
        <v>1102953.9443808636</v>
      </c>
      <c r="E41" s="12">
        <f>IFERROR(IF(LoanIsNotPaid*LoanIsGood,MonthlyPayment,""), "")</f>
        <v>43484.84614528661</v>
      </c>
      <c r="F41" s="12">
        <f>IFERROR(IF(LoanIsNotPaid*LoanIsGood,Principal,""), "")</f>
        <v>33374.434988461922</v>
      </c>
      <c r="G41" s="12">
        <f>IFERROR(IF(LoanIsNotPaid*LoanIsGood,InterestAmt,""), "")</f>
        <v>10110.41115682469</v>
      </c>
      <c r="H41" s="12">
        <f>IFERROR(IF(LoanIsNotPaid*LoanIsGood,EndingBalance,""), "")</f>
        <v>1069579.5093924028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45019</v>
      </c>
      <c r="D42" s="12">
        <f>IFERROR(IF(LoanIsNotPaid*LoanIsGood,LoanValue,""), "")</f>
        <v>1069579.5093924028</v>
      </c>
      <c r="E42" s="12">
        <f>IFERROR(IF(LoanIsNotPaid*LoanIsGood,MonthlyPayment,""), "")</f>
        <v>43484.84614528661</v>
      </c>
      <c r="F42" s="12">
        <f>IFERROR(IF(LoanIsNotPaid*LoanIsGood,Principal,""), "")</f>
        <v>33680.367309189489</v>
      </c>
      <c r="G42" s="12">
        <f>IFERROR(IF(LoanIsNotPaid*LoanIsGood,InterestAmt,""), "")</f>
        <v>9804.4788360971197</v>
      </c>
      <c r="H42" s="12">
        <f>IFERROR(IF(LoanIsNotPaid*LoanIsGood,EndingBalance,""), "")</f>
        <v>1035899.142083213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45049</v>
      </c>
      <c r="D43" s="12">
        <f>IFERROR(IF(LoanIsNotPaid*LoanIsGood,LoanValue,""), "")</f>
        <v>1035899.142083213</v>
      </c>
      <c r="E43" s="12">
        <f>IFERROR(IF(LoanIsNotPaid*LoanIsGood,MonthlyPayment,""), "")</f>
        <v>43484.84614528661</v>
      </c>
      <c r="F43" s="12">
        <f>IFERROR(IF(LoanIsNotPaid*LoanIsGood,Principal,""), "")</f>
        <v>33989.104009523733</v>
      </c>
      <c r="G43" s="12">
        <f>IFERROR(IF(LoanIsNotPaid*LoanIsGood,InterestAmt,""), "")</f>
        <v>9495.7421357628828</v>
      </c>
      <c r="H43" s="12">
        <f>IFERROR(IF(LoanIsNotPaid*LoanIsGood,EndingBalance,""), "")</f>
        <v>1001910.0380736887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45080</v>
      </c>
      <c r="D44" s="12">
        <f>IFERROR(IF(LoanIsNotPaid*LoanIsGood,LoanValue,""), "")</f>
        <v>1001910.0380736887</v>
      </c>
      <c r="E44" s="12">
        <f>IFERROR(IF(LoanIsNotPaid*LoanIsGood,MonthlyPayment,""), "")</f>
        <v>43484.84614528661</v>
      </c>
      <c r="F44" s="12">
        <f>IFERROR(IF(LoanIsNotPaid*LoanIsGood,Principal,""), "")</f>
        <v>34300.670796277693</v>
      </c>
      <c r="G44" s="12">
        <f>IFERROR(IF(LoanIsNotPaid*LoanIsGood,InterestAmt,""), "")</f>
        <v>9184.1753490089159</v>
      </c>
      <c r="H44" s="12">
        <f>IFERROR(IF(LoanIsNotPaid*LoanIsGood,EndingBalance,""), "")</f>
        <v>967609.36727741011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45110</v>
      </c>
      <c r="D45" s="12">
        <f>IFERROR(IF(LoanIsNotPaid*LoanIsGood,LoanValue,""), "")</f>
        <v>967609.36727741011</v>
      </c>
      <c r="E45" s="12">
        <f>IFERROR(IF(LoanIsNotPaid*LoanIsGood,MonthlyPayment,""), "")</f>
        <v>43484.84614528661</v>
      </c>
      <c r="F45" s="12">
        <f>IFERROR(IF(LoanIsNotPaid*LoanIsGood,Principal,""), "")</f>
        <v>34615.093611910241</v>
      </c>
      <c r="G45" s="12">
        <f>IFERROR(IF(LoanIsNotPaid*LoanIsGood,InterestAmt,""), "")</f>
        <v>8869.7525333763697</v>
      </c>
      <c r="H45" s="12">
        <f>IFERROR(IF(LoanIsNotPaid*LoanIsGood,EndingBalance,""), "")</f>
        <v>932994.27366549987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45141</v>
      </c>
      <c r="D46" s="12">
        <f>IFERROR(IF(LoanIsNotPaid*LoanIsGood,LoanValue,""), "")</f>
        <v>932994.27366549987</v>
      </c>
      <c r="E46" s="12">
        <f>IFERROR(IF(LoanIsNotPaid*LoanIsGood,MonthlyPayment,""), "")</f>
        <v>43484.84614528661</v>
      </c>
      <c r="F46" s="12">
        <f>IFERROR(IF(LoanIsNotPaid*LoanIsGood,Principal,""), "")</f>
        <v>34932.398636686085</v>
      </c>
      <c r="G46" s="12">
        <f>IFERROR(IF(LoanIsNotPaid*LoanIsGood,InterestAmt,""), "")</f>
        <v>8552.4475086005277</v>
      </c>
      <c r="H46" s="12">
        <f>IFERROR(IF(LoanIsNotPaid*LoanIsGood,EndingBalance,""), "")</f>
        <v>898061.87502881419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45172</v>
      </c>
      <c r="D47" s="12">
        <f>IFERROR(IF(LoanIsNotPaid*LoanIsGood,LoanValue,""), "")</f>
        <v>898061.87502881419</v>
      </c>
      <c r="E47" s="12">
        <f>IFERROR(IF(LoanIsNotPaid*LoanIsGood,MonthlyPayment,""), "")</f>
        <v>43484.84614528661</v>
      </c>
      <c r="F47" s="12">
        <f>IFERROR(IF(LoanIsNotPaid*LoanIsGood,Principal,""), "")</f>
        <v>35252.612290855708</v>
      </c>
      <c r="G47" s="12">
        <f>IFERROR(IF(LoanIsNotPaid*LoanIsGood,InterestAmt,""), "")</f>
        <v>8232.2338544309041</v>
      </c>
      <c r="H47" s="12">
        <f>IFERROR(IF(LoanIsNotPaid*LoanIsGood,EndingBalance,""), "")</f>
        <v>862809.2627379573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45202</v>
      </c>
      <c r="D48" s="12">
        <f>IFERROR(IF(LoanIsNotPaid*LoanIsGood,LoanValue,""), "")</f>
        <v>862809.2627379573</v>
      </c>
      <c r="E48" s="12">
        <f>IFERROR(IF(LoanIsNotPaid*LoanIsGood,MonthlyPayment,""), "")</f>
        <v>43484.84614528661</v>
      </c>
      <c r="F48" s="12">
        <f>IFERROR(IF(LoanIsNotPaid*LoanIsGood,Principal,""), "")</f>
        <v>35575.761236855222</v>
      </c>
      <c r="G48" s="12">
        <f>IFERROR(IF(LoanIsNotPaid*LoanIsGood,InterestAmt,""), "")</f>
        <v>7909.0849084313941</v>
      </c>
      <c r="H48" s="12">
        <f>IFERROR(IF(LoanIsNotPaid*LoanIsGood,EndingBalance,""), "")</f>
        <v>827233.50150110037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45233</v>
      </c>
      <c r="D49" s="12">
        <f>IFERROR(IF(LoanIsNotPaid*LoanIsGood,LoanValue,""), "")</f>
        <v>827233.50150110037</v>
      </c>
      <c r="E49" s="12">
        <f>IFERROR(IF(LoanIsNotPaid*LoanIsGood,MonthlyPayment,""), "")</f>
        <v>43484.84614528661</v>
      </c>
      <c r="F49" s="12">
        <f>IFERROR(IF(LoanIsNotPaid*LoanIsGood,Principal,""), "")</f>
        <v>35901.872381526395</v>
      </c>
      <c r="G49" s="12">
        <f>IFERROR(IF(LoanIsNotPaid*LoanIsGood,InterestAmt,""), "")</f>
        <v>7582.9737637602211</v>
      </c>
      <c r="H49" s="12">
        <f>IFERROR(IF(LoanIsNotPaid*LoanIsGood,EndingBalance,""), "")</f>
        <v>791331.62911957456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45263</v>
      </c>
      <c r="D50" s="12">
        <f>IFERROR(IF(LoanIsNotPaid*LoanIsGood,LoanValue,""), "")</f>
        <v>791331.62911957456</v>
      </c>
      <c r="E50" s="12">
        <f>IFERROR(IF(LoanIsNotPaid*LoanIsGood,MonthlyPayment,""), "")</f>
        <v>43484.84614528661</v>
      </c>
      <c r="F50" s="12">
        <f>IFERROR(IF(LoanIsNotPaid*LoanIsGood,Principal,""), "")</f>
        <v>36230.972878357054</v>
      </c>
      <c r="G50" s="12">
        <f>IFERROR(IF(LoanIsNotPaid*LoanIsGood,InterestAmt,""), "")</f>
        <v>7253.8732669295623</v>
      </c>
      <c r="H50" s="12">
        <f>IFERROR(IF(LoanIsNotPaid*LoanIsGood,EndingBalance,""), "")</f>
        <v>755100.6562412167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45294</v>
      </c>
      <c r="D51" s="12">
        <f>IFERROR(IF(LoanIsNotPaid*LoanIsGood,LoanValue,""), "")</f>
        <v>755100.6562412167</v>
      </c>
      <c r="E51" s="12">
        <f>IFERROR(IF(LoanIsNotPaid*LoanIsGood,MonthlyPayment,""), "")</f>
        <v>43484.84614528661</v>
      </c>
      <c r="F51" s="12">
        <f>IFERROR(IF(LoanIsNotPaid*LoanIsGood,Principal,""), "")</f>
        <v>36563.090129741991</v>
      </c>
      <c r="G51" s="12">
        <f>IFERROR(IF(LoanIsNotPaid*LoanIsGood,InterestAmt,""), "")</f>
        <v>6921.7560155446217</v>
      </c>
      <c r="H51" s="12">
        <f>IFERROR(IF(LoanIsNotPaid*LoanIsGood,EndingBalance,""), "")</f>
        <v>718537.5661114743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45325</v>
      </c>
      <c r="D52" s="12">
        <f>IFERROR(IF(LoanIsNotPaid*LoanIsGood,LoanValue,""), "")</f>
        <v>718537.5661114743</v>
      </c>
      <c r="E52" s="12">
        <f>IFERROR(IF(LoanIsNotPaid*LoanIsGood,MonthlyPayment,""), "")</f>
        <v>43484.84614528661</v>
      </c>
      <c r="F52" s="12">
        <f>IFERROR(IF(LoanIsNotPaid*LoanIsGood,Principal,""), "")</f>
        <v>36898.251789264628</v>
      </c>
      <c r="G52" s="12">
        <f>IFERROR(IF(LoanIsNotPaid*LoanIsGood,InterestAmt,""), "")</f>
        <v>6586.5943560219876</v>
      </c>
      <c r="H52" s="12">
        <f>IFERROR(IF(LoanIsNotPaid*LoanIsGood,EndingBalance,""), "")</f>
        <v>681639.31432220852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45354</v>
      </c>
      <c r="D53" s="12">
        <f>IFERROR(IF(LoanIsNotPaid*LoanIsGood,LoanValue,""), "")</f>
        <v>681639.31432220852</v>
      </c>
      <c r="E53" s="12">
        <f>IFERROR(IF(LoanIsNotPaid*LoanIsGood,MonthlyPayment,""), "")</f>
        <v>43484.84614528661</v>
      </c>
      <c r="F53" s="12">
        <f>IFERROR(IF(LoanIsNotPaid*LoanIsGood,Principal,""), "")</f>
        <v>37236.485763999553</v>
      </c>
      <c r="G53" s="12">
        <f>IFERROR(IF(LoanIsNotPaid*LoanIsGood,InterestAmt,""), "")</f>
        <v>6248.3603812870615</v>
      </c>
      <c r="H53" s="12">
        <f>IFERROR(IF(LoanIsNotPaid*LoanIsGood,EndingBalance,""), "")</f>
        <v>644402.82855820889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45385</v>
      </c>
      <c r="D54" s="12">
        <f>IFERROR(IF(LoanIsNotPaid*LoanIsGood,LoanValue,""), "")</f>
        <v>644402.82855820889</v>
      </c>
      <c r="E54" s="12">
        <f>IFERROR(IF(LoanIsNotPaid*LoanIsGood,MonthlyPayment,""), "")</f>
        <v>43484.84614528661</v>
      </c>
      <c r="F54" s="12">
        <f>IFERROR(IF(LoanIsNotPaid*LoanIsGood,Principal,""), "")</f>
        <v>37577.820216836211</v>
      </c>
      <c r="G54" s="12">
        <f>IFERROR(IF(LoanIsNotPaid*LoanIsGood,InterestAmt,""), "")</f>
        <v>5907.0259284503982</v>
      </c>
      <c r="H54" s="12">
        <f>IFERROR(IF(LoanIsNotPaid*LoanIsGood,EndingBalance,""), "")</f>
        <v>606825.00834137341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45415</v>
      </c>
      <c r="D55" s="12">
        <f>IFERROR(IF(LoanIsNotPaid*LoanIsGood,LoanValue,""), "")</f>
        <v>606825.00834137341</v>
      </c>
      <c r="E55" s="12">
        <f>IFERROR(IF(LoanIsNotPaid*LoanIsGood,MonthlyPayment,""), "")</f>
        <v>43484.84614528661</v>
      </c>
      <c r="F55" s="12">
        <f>IFERROR(IF(LoanIsNotPaid*LoanIsGood,Principal,""), "")</f>
        <v>37922.283568823877</v>
      </c>
      <c r="G55" s="12">
        <f>IFERROR(IF(LoanIsNotPaid*LoanIsGood,InterestAmt,""), "")</f>
        <v>5562.5625764627348</v>
      </c>
      <c r="H55" s="12">
        <f>IFERROR(IF(LoanIsNotPaid*LoanIsGood,EndingBalance,""), "")</f>
        <v>568902.72477254784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45446</v>
      </c>
      <c r="D56" s="12">
        <f>IFERROR(IF(LoanIsNotPaid*LoanIsGood,LoanValue,""), "")</f>
        <v>568902.72477254784</v>
      </c>
      <c r="E56" s="12">
        <f>IFERROR(IF(LoanIsNotPaid*LoanIsGood,MonthlyPayment,""), "")</f>
        <v>43484.84614528661</v>
      </c>
      <c r="F56" s="12">
        <f>IFERROR(IF(LoanIsNotPaid*LoanIsGood,Principal,""), "")</f>
        <v>38269.904501538098</v>
      </c>
      <c r="G56" s="12">
        <f>IFERROR(IF(LoanIsNotPaid*LoanIsGood,InterestAmt,""), "")</f>
        <v>5214.9416437485152</v>
      </c>
      <c r="H56" s="12">
        <f>IFERROR(IF(LoanIsNotPaid*LoanIsGood,EndingBalance,""), "")</f>
        <v>530632.82027100865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45476</v>
      </c>
      <c r="D57" s="12">
        <f>IFERROR(IF(LoanIsNotPaid*LoanIsGood,LoanValue,""), "")</f>
        <v>530632.82027100865</v>
      </c>
      <c r="E57" s="12">
        <f>IFERROR(IF(LoanIsNotPaid*LoanIsGood,MonthlyPayment,""), "")</f>
        <v>43484.84614528661</v>
      </c>
      <c r="F57" s="12">
        <f>IFERROR(IF(LoanIsNotPaid*LoanIsGood,Principal,""), "")</f>
        <v>38620.711959468863</v>
      </c>
      <c r="G57" s="12">
        <f>IFERROR(IF(LoanIsNotPaid*LoanIsGood,InterestAmt,""), "")</f>
        <v>4864.1341858177502</v>
      </c>
      <c r="H57" s="12">
        <f>IFERROR(IF(LoanIsNotPaid*LoanIsGood,EndingBalance,""), "")</f>
        <v>492012.10831154045</v>
      </c>
    </row>
    <row r="58" spans="2:8" ht="20.149999999999999" customHeight="1">
      <c r="B58" s="9">
        <f>IFERROR(IF(LoanIsNotPaid*LoanIsGood,PaymentNumber,""), "")</f>
        <v>49</v>
      </c>
      <c r="C58" s="10">
        <f>IFERROR(IF(LoanIsNotPaid*LoanIsGood,PaymentDate,""), "")</f>
        <v>45507</v>
      </c>
      <c r="D58" s="12">
        <f>IFERROR(IF(LoanIsNotPaid*LoanIsGood,LoanValue,""), "")</f>
        <v>492012.10831154045</v>
      </c>
      <c r="E58" s="12">
        <f>IFERROR(IF(LoanIsNotPaid*LoanIsGood,MonthlyPayment,""), "")</f>
        <v>43484.84614528661</v>
      </c>
      <c r="F58" s="12">
        <f>IFERROR(IF(LoanIsNotPaid*LoanIsGood,Principal,""), "")</f>
        <v>38974.735152430665</v>
      </c>
      <c r="G58" s="12">
        <f>IFERROR(IF(LoanIsNotPaid*LoanIsGood,InterestAmt,""), "")</f>
        <v>4510.1109928559526</v>
      </c>
      <c r="H58" s="12">
        <f>IFERROR(IF(LoanIsNotPaid*LoanIsGood,EndingBalance,""), "")</f>
        <v>453037.37315910961</v>
      </c>
    </row>
    <row r="59" spans="2:8" ht="20.149999999999999" customHeight="1">
      <c r="B59" s="9">
        <f>IFERROR(IF(LoanIsNotPaid*LoanIsGood,PaymentNumber,""), "")</f>
        <v>50</v>
      </c>
      <c r="C59" s="10">
        <f>IFERROR(IF(LoanIsNotPaid*LoanIsGood,PaymentDate,""), "")</f>
        <v>45538</v>
      </c>
      <c r="D59" s="12">
        <f>IFERROR(IF(LoanIsNotPaid*LoanIsGood,LoanValue,""), "")</f>
        <v>453037.37315910961</v>
      </c>
      <c r="E59" s="12">
        <f>IFERROR(IF(LoanIsNotPaid*LoanIsGood,MonthlyPayment,""), "")</f>
        <v>43484.84614528661</v>
      </c>
      <c r="F59" s="12">
        <f>IFERROR(IF(LoanIsNotPaid*LoanIsGood,Principal,""), "")</f>
        <v>39332.003557994612</v>
      </c>
      <c r="G59" s="12">
        <f>IFERROR(IF(LoanIsNotPaid*LoanIsGood,InterestAmt,""), "")</f>
        <v>4152.8425872920043</v>
      </c>
      <c r="H59" s="12">
        <f>IFERROR(IF(LoanIsNotPaid*LoanIsGood,EndingBalance,""), "")</f>
        <v>413705.36960111372</v>
      </c>
    </row>
    <row r="60" spans="2:8" ht="20.149999999999999" customHeight="1">
      <c r="B60" s="9">
        <f>IFERROR(IF(LoanIsNotPaid*LoanIsGood,PaymentNumber,""), "")</f>
        <v>51</v>
      </c>
      <c r="C60" s="10">
        <f>IFERROR(IF(LoanIsNotPaid*LoanIsGood,PaymentDate,""), "")</f>
        <v>45568</v>
      </c>
      <c r="D60" s="12">
        <f>IFERROR(IF(LoanIsNotPaid*LoanIsGood,LoanValue,""), "")</f>
        <v>413705.36960111372</v>
      </c>
      <c r="E60" s="12">
        <f>IFERROR(IF(LoanIsNotPaid*LoanIsGood,MonthlyPayment,""), "")</f>
        <v>43484.84614528661</v>
      </c>
      <c r="F60" s="12">
        <f>IFERROR(IF(LoanIsNotPaid*LoanIsGood,Principal,""), "")</f>
        <v>39692.546923942893</v>
      </c>
      <c r="G60" s="12">
        <f>IFERROR(IF(LoanIsNotPaid*LoanIsGood,InterestAmt,""), "")</f>
        <v>3792.2992213437201</v>
      </c>
      <c r="H60" s="12">
        <f>IFERROR(IF(LoanIsNotPaid*LoanIsGood,EndingBalance,""), "")</f>
        <v>374012.82267717086</v>
      </c>
    </row>
    <row r="61" spans="2:8" ht="20.149999999999999" customHeight="1">
      <c r="B61" s="9">
        <f>IFERROR(IF(LoanIsNotPaid*LoanIsGood,PaymentNumber,""), "")</f>
        <v>52</v>
      </c>
      <c r="C61" s="10">
        <f>IFERROR(IF(LoanIsNotPaid*LoanIsGood,PaymentDate,""), "")</f>
        <v>45599</v>
      </c>
      <c r="D61" s="12">
        <f>IFERROR(IF(LoanIsNotPaid*LoanIsGood,LoanValue,""), "")</f>
        <v>374012.82267717086</v>
      </c>
      <c r="E61" s="12">
        <f>IFERROR(IF(LoanIsNotPaid*LoanIsGood,MonthlyPayment,""), "")</f>
        <v>43484.84614528661</v>
      </c>
      <c r="F61" s="12">
        <f>IFERROR(IF(LoanIsNotPaid*LoanIsGood,Principal,""), "")</f>
        <v>40056.395270745699</v>
      </c>
      <c r="G61" s="12">
        <f>IFERROR(IF(LoanIsNotPaid*LoanIsGood,InterestAmt,""), "")</f>
        <v>3428.4508745409107</v>
      </c>
      <c r="H61" s="12">
        <f>IFERROR(IF(LoanIsNotPaid*LoanIsGood,EndingBalance,""), "")</f>
        <v>333956.42740642373</v>
      </c>
    </row>
    <row r="62" spans="2:8" ht="20.149999999999999" customHeight="1">
      <c r="B62" s="9">
        <f>IFERROR(IF(LoanIsNotPaid*LoanIsGood,PaymentNumber,""), "")</f>
        <v>53</v>
      </c>
      <c r="C62" s="10">
        <f>IFERROR(IF(LoanIsNotPaid*LoanIsGood,PaymentDate,""), "")</f>
        <v>45629</v>
      </c>
      <c r="D62" s="12">
        <f>IFERROR(IF(LoanIsNotPaid*LoanIsGood,LoanValue,""), "")</f>
        <v>333956.42740642373</v>
      </c>
      <c r="E62" s="12">
        <f>IFERROR(IF(LoanIsNotPaid*LoanIsGood,MonthlyPayment,""), "")</f>
        <v>43484.84614528661</v>
      </c>
      <c r="F62" s="12">
        <f>IFERROR(IF(LoanIsNotPaid*LoanIsGood,Principal,""), "")</f>
        <v>40423.578894060876</v>
      </c>
      <c r="G62" s="12">
        <f>IFERROR(IF(LoanIsNotPaid*LoanIsGood,InterestAmt,""), "")</f>
        <v>3061.2672512257409</v>
      </c>
      <c r="H62" s="12">
        <f>IFERROR(IF(LoanIsNotPaid*LoanIsGood,EndingBalance,""), "")</f>
        <v>293532.84851236315</v>
      </c>
    </row>
    <row r="63" spans="2:8" ht="20.149999999999999" customHeight="1">
      <c r="B63" s="9">
        <f>IFERROR(IF(LoanIsNotPaid*LoanIsGood,PaymentNumber,""), "")</f>
        <v>54</v>
      </c>
      <c r="C63" s="10">
        <f>IFERROR(IF(LoanIsNotPaid*LoanIsGood,PaymentDate,""), "")</f>
        <v>45660</v>
      </c>
      <c r="D63" s="12">
        <f>IFERROR(IF(LoanIsNotPaid*LoanIsGood,LoanValue,""), "")</f>
        <v>293532.84851236315</v>
      </c>
      <c r="E63" s="12">
        <f>IFERROR(IF(LoanIsNotPaid*LoanIsGood,MonthlyPayment,""), "")</f>
        <v>43484.84614528661</v>
      </c>
      <c r="F63" s="12">
        <f>IFERROR(IF(LoanIsNotPaid*LoanIsGood,Principal,""), "")</f>
        <v>40794.128367256424</v>
      </c>
      <c r="G63" s="12">
        <f>IFERROR(IF(LoanIsNotPaid*LoanIsGood,InterestAmt,""), "")</f>
        <v>2690.7177780301836</v>
      </c>
      <c r="H63" s="12">
        <f>IFERROR(IF(LoanIsNotPaid*LoanIsGood,EndingBalance,""), "")</f>
        <v>252738.72014510538</v>
      </c>
    </row>
    <row r="64" spans="2:8" ht="20.149999999999999" customHeight="1">
      <c r="B64" s="9">
        <f>IFERROR(IF(LoanIsNotPaid*LoanIsGood,PaymentNumber,""), "")</f>
        <v>55</v>
      </c>
      <c r="C64" s="10">
        <f>IFERROR(IF(LoanIsNotPaid*LoanIsGood,PaymentDate,""), "")</f>
        <v>45691</v>
      </c>
      <c r="D64" s="12">
        <f>IFERROR(IF(LoanIsNotPaid*LoanIsGood,LoanValue,""), "")</f>
        <v>252738.72014510538</v>
      </c>
      <c r="E64" s="12">
        <f>IFERROR(IF(LoanIsNotPaid*LoanIsGood,MonthlyPayment,""), "")</f>
        <v>43484.84614528661</v>
      </c>
      <c r="F64" s="12">
        <f>IFERROR(IF(LoanIsNotPaid*LoanIsGood,Principal,""), "")</f>
        <v>41168.074543956282</v>
      </c>
      <c r="G64" s="12">
        <f>IFERROR(IF(LoanIsNotPaid*LoanIsGood,InterestAmt,""), "")</f>
        <v>2316.7716013303329</v>
      </c>
      <c r="H64" s="12">
        <f>IFERROR(IF(LoanIsNotPaid*LoanIsGood,EndingBalance,""), "")</f>
        <v>211570.64560114779</v>
      </c>
    </row>
    <row r="65" spans="2:8" ht="20.149999999999999" customHeight="1">
      <c r="B65" s="9">
        <f>IFERROR(IF(LoanIsNotPaid*LoanIsGood,PaymentNumber,""), "")</f>
        <v>56</v>
      </c>
      <c r="C65" s="10">
        <f>IFERROR(IF(LoanIsNotPaid*LoanIsGood,PaymentDate,""), "")</f>
        <v>45719</v>
      </c>
      <c r="D65" s="12">
        <f>IFERROR(IF(LoanIsNotPaid*LoanIsGood,LoanValue,""), "")</f>
        <v>211570.64560114779</v>
      </c>
      <c r="E65" s="12">
        <f>IFERROR(IF(LoanIsNotPaid*LoanIsGood,MonthlyPayment,""), "")</f>
        <v>43484.84614528661</v>
      </c>
      <c r="F65" s="12">
        <f>IFERROR(IF(LoanIsNotPaid*LoanIsGood,Principal,""), "")</f>
        <v>41545.448560609213</v>
      </c>
      <c r="G65" s="12">
        <f>IFERROR(IF(LoanIsNotPaid*LoanIsGood,InterestAmt,""), "")</f>
        <v>1939.3975846774003</v>
      </c>
      <c r="H65" s="12">
        <f>IFERROR(IF(LoanIsNotPaid*LoanIsGood,EndingBalance,""), "")</f>
        <v>170025.19704053877</v>
      </c>
    </row>
    <row r="66" spans="2:8" ht="20.149999999999999" customHeight="1">
      <c r="B66" s="9">
        <f>IFERROR(IF(LoanIsNotPaid*LoanIsGood,PaymentNumber,""), "")</f>
        <v>57</v>
      </c>
      <c r="C66" s="10">
        <f>IFERROR(IF(LoanIsNotPaid*LoanIsGood,PaymentDate,""), "")</f>
        <v>45750</v>
      </c>
      <c r="D66" s="12">
        <f>IFERROR(IF(LoanIsNotPaid*LoanIsGood,LoanValue,""), "")</f>
        <v>170025.19704053877</v>
      </c>
      <c r="E66" s="12">
        <f>IFERROR(IF(LoanIsNotPaid*LoanIsGood,MonthlyPayment,""), "")</f>
        <v>43484.84614528661</v>
      </c>
      <c r="F66" s="12">
        <f>IFERROR(IF(LoanIsNotPaid*LoanIsGood,Principal,""), "")</f>
        <v>41926.281839081465</v>
      </c>
      <c r="G66" s="12">
        <f>IFERROR(IF(LoanIsNotPaid*LoanIsGood,InterestAmt,""), "")</f>
        <v>1558.564306205149</v>
      </c>
      <c r="H66" s="12">
        <f>IFERROR(IF(LoanIsNotPaid*LoanIsGood,EndingBalance,""), "")</f>
        <v>128098.91520145629</v>
      </c>
    </row>
    <row r="67" spans="2:8" ht="20.149999999999999" customHeight="1">
      <c r="B67" s="9">
        <f>IFERROR(IF(LoanIsNotPaid*LoanIsGood,PaymentNumber,""), "")</f>
        <v>58</v>
      </c>
      <c r="C67" s="10">
        <f>IFERROR(IF(LoanIsNotPaid*LoanIsGood,PaymentDate,""), "")</f>
        <v>45780</v>
      </c>
      <c r="D67" s="12">
        <f>IFERROR(IF(LoanIsNotPaid*LoanIsGood,LoanValue,""), "")</f>
        <v>128098.91520145629</v>
      </c>
      <c r="E67" s="12">
        <f>IFERROR(IF(LoanIsNotPaid*LoanIsGood,MonthlyPayment,""), "")</f>
        <v>43484.84614528661</v>
      </c>
      <c r="F67" s="12">
        <f>IFERROR(IF(LoanIsNotPaid*LoanIsGood,Principal,""), "")</f>
        <v>42310.606089273046</v>
      </c>
      <c r="G67" s="12">
        <f>IFERROR(IF(LoanIsNotPaid*LoanIsGood,InterestAmt,""), "")</f>
        <v>1174.2400560135691</v>
      </c>
      <c r="H67" s="12">
        <f>IFERROR(IF(LoanIsNotPaid*LoanIsGood,EndingBalance,""), "")</f>
        <v>85788.309112182818</v>
      </c>
    </row>
    <row r="68" spans="2:8" ht="20.149999999999999" customHeight="1">
      <c r="B68" s="9">
        <f>IFERROR(IF(LoanIsNotPaid*LoanIsGood,PaymentNumber,""), "")</f>
        <v>59</v>
      </c>
      <c r="C68" s="10">
        <f>IFERROR(IF(LoanIsNotPaid*LoanIsGood,PaymentDate,""), "")</f>
        <v>45811</v>
      </c>
      <c r="D68" s="12">
        <f>IFERROR(IF(LoanIsNotPaid*LoanIsGood,LoanValue,""), "")</f>
        <v>85788.309112182818</v>
      </c>
      <c r="E68" s="12">
        <f>IFERROR(IF(LoanIsNotPaid*LoanIsGood,MonthlyPayment,""), "")</f>
        <v>43484.84614528661</v>
      </c>
      <c r="F68" s="12">
        <f>IFERROR(IF(LoanIsNotPaid*LoanIsGood,Principal,""), "")</f>
        <v>42698.45331175805</v>
      </c>
      <c r="G68" s="12">
        <f>IFERROR(IF(LoanIsNotPaid*LoanIsGood,InterestAmt,""), "")</f>
        <v>786.39283352856603</v>
      </c>
      <c r="H68" s="12">
        <f>IFERROR(IF(LoanIsNotPaid*LoanIsGood,EndingBalance,""), "")</f>
        <v>43089.855800423771</v>
      </c>
    </row>
    <row r="69" spans="2:8" ht="20.149999999999999" customHeight="1">
      <c r="B69" s="9">
        <f>IFERROR(IF(LoanIsNotPaid*LoanIsGood,PaymentNumber,""), "")</f>
        <v>60</v>
      </c>
      <c r="C69" s="10">
        <f>IFERROR(IF(LoanIsNotPaid*LoanIsGood,PaymentDate,""), "")</f>
        <v>45841</v>
      </c>
      <c r="D69" s="12">
        <f>IFERROR(IF(LoanIsNotPaid*LoanIsGood,LoanValue,""), "")</f>
        <v>43089.855800423771</v>
      </c>
      <c r="E69" s="12">
        <f>IFERROR(IF(LoanIsNotPaid*LoanIsGood,MonthlyPayment,""), "")</f>
        <v>43484.84614528661</v>
      </c>
      <c r="F69" s="12">
        <f>IFERROR(IF(LoanIsNotPaid*LoanIsGood,Principal,""), "")</f>
        <v>43089.855800449164</v>
      </c>
      <c r="G69" s="12">
        <f>IFERROR(IF(LoanIsNotPaid*LoanIsGood,InterestAmt,""), "")</f>
        <v>394.99034483745061</v>
      </c>
      <c r="H69" s="12">
        <f>IFERROR(IF(LoanIsNotPaid*LoanIsGood,EndingBalance,""), "")</f>
        <v>-2.6542693376541138E-8</v>
      </c>
    </row>
    <row r="70" spans="2:8" ht="20.149999999999999" customHeight="1">
      <c r="B70" s="9" t="str">
        <f>IFERROR(IF(LoanIsNotPaid*LoanIsGood,PaymentNumber,""), "")</f>
        <v/>
      </c>
      <c r="C70" s="10" t="str">
        <f>IFERROR(IF(LoanIsNotPaid*LoanIsGood,PaymentDate,""), "")</f>
        <v/>
      </c>
      <c r="D70" s="12" t="str">
        <f>IFERROR(IF(LoanIsNotPaid*LoanIsGood,LoanValue,""), "")</f>
        <v/>
      </c>
      <c r="E70" s="12" t="str">
        <f>IFERROR(IF(LoanIsNotPaid*LoanIsGood,MonthlyPayment,""), "")</f>
        <v/>
      </c>
      <c r="F70" s="12" t="str">
        <f>IFERROR(IF(LoanIsNotPaid*LoanIsGood,Principal,""), "")</f>
        <v/>
      </c>
      <c r="G70" s="12" t="str">
        <f>IFERROR(IF(LoanIsNotPaid*LoanIsGood,InterestAmt,""), "")</f>
        <v/>
      </c>
      <c r="H70" s="12" t="str">
        <f>IFERROR(IF(LoanIsNotPaid*LoanIsGood,EndingBalance,""), "")</f>
        <v/>
      </c>
    </row>
    <row r="71" spans="2:8" ht="20.149999999999999" customHeight="1">
      <c r="B71" s="9" t="str">
        <f>IFERROR(IF(LoanIsNotPaid*LoanIsGood,PaymentNumber,""), "")</f>
        <v/>
      </c>
      <c r="C71" s="10" t="str">
        <f>IFERROR(IF(LoanIsNotPaid*LoanIsGood,PaymentDate,""), "")</f>
        <v/>
      </c>
      <c r="D71" s="12" t="str">
        <f>IFERROR(IF(LoanIsNotPaid*LoanIsGood,LoanValue,""), "")</f>
        <v/>
      </c>
      <c r="E71" s="12" t="str">
        <f>IFERROR(IF(LoanIsNotPaid*LoanIsGood,MonthlyPayment,""), "")</f>
        <v/>
      </c>
      <c r="F71" s="12" t="str">
        <f>IFERROR(IF(LoanIsNotPaid*LoanIsGood,Principal,""), "")</f>
        <v/>
      </c>
      <c r="G71" s="12" t="str">
        <f>IFERROR(IF(LoanIsNotPaid*LoanIsGood,InterestAmt,""), "")</f>
        <v/>
      </c>
      <c r="H71" s="12" t="str">
        <f>IFERROR(IF(LoanIsNotPaid*LoanIsGood,EndingBalance,""), "")</f>
        <v/>
      </c>
    </row>
    <row r="72" spans="2:8" ht="20.149999999999999" customHeight="1">
      <c r="B72" s="9" t="str">
        <f>IFERROR(IF(LoanIsNotPaid*LoanIsGood,PaymentNumber,""), "")</f>
        <v/>
      </c>
      <c r="C72" s="10" t="str">
        <f>IFERROR(IF(LoanIsNotPaid*LoanIsGood,PaymentDate,""), "")</f>
        <v/>
      </c>
      <c r="D72" s="12" t="str">
        <f>IFERROR(IF(LoanIsNotPaid*LoanIsGood,LoanValue,""), "")</f>
        <v/>
      </c>
      <c r="E72" s="12" t="str">
        <f>IFERROR(IF(LoanIsNotPaid*LoanIsGood,MonthlyPayment,""), "")</f>
        <v/>
      </c>
      <c r="F72" s="12" t="str">
        <f>IFERROR(IF(LoanIsNotPaid*LoanIsGood,Principal,""), "")</f>
        <v/>
      </c>
      <c r="G72" s="12" t="str">
        <f>IFERROR(IF(LoanIsNotPaid*LoanIsGood,InterestAmt,""), "")</f>
        <v/>
      </c>
      <c r="H72" s="12" t="str">
        <f>IFERROR(IF(LoanIsNotPaid*LoanIsGood,EndingBalance,""), "")</f>
        <v/>
      </c>
    </row>
    <row r="73" spans="2:8" ht="20.149999999999999" customHeight="1">
      <c r="B73" s="9" t="str">
        <f>IFERROR(IF(LoanIsNotPaid*LoanIsGood,PaymentNumber,""), "")</f>
        <v/>
      </c>
      <c r="C73" s="10" t="str">
        <f>IFERROR(IF(LoanIsNotPaid*LoanIsGood,PaymentDate,""), "")</f>
        <v/>
      </c>
      <c r="D73" s="12" t="str">
        <f>IFERROR(IF(LoanIsNotPaid*LoanIsGood,LoanValue,""), "")</f>
        <v/>
      </c>
      <c r="E73" s="12" t="str">
        <f>IFERROR(IF(LoanIsNotPaid*LoanIsGood,MonthlyPayment,""), "")</f>
        <v/>
      </c>
      <c r="F73" s="12" t="str">
        <f>IFERROR(IF(LoanIsNotPaid*LoanIsGood,Principal,""), "")</f>
        <v/>
      </c>
      <c r="G73" s="12" t="str">
        <f>IFERROR(IF(LoanIsNotPaid*LoanIsGood,InterestAmt,""), "")</f>
        <v/>
      </c>
      <c r="H73" s="12" t="str">
        <f>IFERROR(IF(LoanIsNotPaid*LoanIsGood,EndingBalance,""), "")</f>
        <v/>
      </c>
    </row>
    <row r="74" spans="2:8" ht="20.149999999999999" customHeight="1">
      <c r="B74" s="9" t="str">
        <f>IFERROR(IF(LoanIsNotPaid*LoanIsGood,PaymentNumber,""), "")</f>
        <v/>
      </c>
      <c r="C74" s="10" t="str">
        <f>IFERROR(IF(LoanIsNotPaid*LoanIsGood,PaymentDate,""), "")</f>
        <v/>
      </c>
      <c r="D74" s="12" t="str">
        <f>IFERROR(IF(LoanIsNotPaid*LoanIsGood,LoanValue,""), "")</f>
        <v/>
      </c>
      <c r="E74" s="12" t="str">
        <f>IFERROR(IF(LoanIsNotPaid*LoanIsGood,MonthlyPayment,""), "")</f>
        <v/>
      </c>
      <c r="F74" s="12" t="str">
        <f>IFERROR(IF(LoanIsNotPaid*LoanIsGood,Principal,""), "")</f>
        <v/>
      </c>
      <c r="G74" s="12" t="str">
        <f>IFERROR(IF(LoanIsNotPaid*LoanIsGood,InterestAmt,""), "")</f>
        <v/>
      </c>
      <c r="H74" s="12" t="str">
        <f>IFERROR(IF(LoanIsNotPaid*LoanIsGood,EndingBalance,""), "")</f>
        <v/>
      </c>
    </row>
    <row r="75" spans="2:8" ht="20.149999999999999" customHeight="1">
      <c r="B75" s="9" t="str">
        <f>IFERROR(IF(LoanIsNotPaid*LoanIsGood,PaymentNumber,""), "")</f>
        <v/>
      </c>
      <c r="C75" s="10" t="str">
        <f>IFERROR(IF(LoanIsNotPaid*LoanIsGood,PaymentDate,""), "")</f>
        <v/>
      </c>
      <c r="D75" s="12" t="str">
        <f>IFERROR(IF(LoanIsNotPaid*LoanIsGood,LoanValue,""), "")</f>
        <v/>
      </c>
      <c r="E75" s="12" t="str">
        <f>IFERROR(IF(LoanIsNotPaid*LoanIsGood,MonthlyPayment,""), "")</f>
        <v/>
      </c>
      <c r="F75" s="12" t="str">
        <f>IFERROR(IF(LoanIsNotPaid*LoanIsGood,Principal,""), "")</f>
        <v/>
      </c>
      <c r="G75" s="12" t="str">
        <f>IFERROR(IF(LoanIsNotPaid*LoanIsGood,InterestAmt,""), "")</f>
        <v/>
      </c>
      <c r="H75" s="12" t="str">
        <f>IFERROR(IF(LoanIsNotPaid*LoanIsGood,EndingBalance,""), "")</f>
        <v/>
      </c>
    </row>
    <row r="76" spans="2:8" ht="20.149999999999999" customHeight="1">
      <c r="B76" s="9" t="str">
        <f>IFERROR(IF(LoanIsNotPaid*LoanIsGood,PaymentNumber,""), "")</f>
        <v/>
      </c>
      <c r="C76" s="10" t="str">
        <f>IFERROR(IF(LoanIsNotPaid*LoanIsGood,PaymentDate,""), "")</f>
        <v/>
      </c>
      <c r="D76" s="12" t="str">
        <f>IFERROR(IF(LoanIsNotPaid*LoanIsGood,LoanValue,""), "")</f>
        <v/>
      </c>
      <c r="E76" s="12" t="str">
        <f>IFERROR(IF(LoanIsNotPaid*LoanIsGood,MonthlyPayment,""), "")</f>
        <v/>
      </c>
      <c r="F76" s="12" t="str">
        <f>IFERROR(IF(LoanIsNotPaid*LoanIsGood,Principal,""), "")</f>
        <v/>
      </c>
      <c r="G76" s="12" t="str">
        <f>IFERROR(IF(LoanIsNotPaid*LoanIsGood,InterestAmt,""), "")</f>
        <v/>
      </c>
      <c r="H76" s="12" t="str">
        <f>IFERROR(IF(LoanIsNotPaid*LoanIsGood,EndingBalance,""), "")</f>
        <v/>
      </c>
    </row>
    <row r="77" spans="2:8" ht="20.149999999999999" customHeight="1">
      <c r="B77" s="9" t="str">
        <f>IFERROR(IF(LoanIsNotPaid*LoanIsGood,PaymentNumber,""), "")</f>
        <v/>
      </c>
      <c r="C77" s="10" t="str">
        <f>IFERROR(IF(LoanIsNotPaid*LoanIsGood,PaymentDate,""), "")</f>
        <v/>
      </c>
      <c r="D77" s="12" t="str">
        <f>IFERROR(IF(LoanIsNotPaid*LoanIsGood,LoanValue,""), "")</f>
        <v/>
      </c>
      <c r="E77" s="12" t="str">
        <f>IFERROR(IF(LoanIsNotPaid*LoanIsGood,MonthlyPayment,""), "")</f>
        <v/>
      </c>
      <c r="F77" s="12" t="str">
        <f>IFERROR(IF(LoanIsNotPaid*LoanIsGood,Principal,""), "")</f>
        <v/>
      </c>
      <c r="G77" s="12" t="str">
        <f>IFERROR(IF(LoanIsNotPaid*LoanIsGood,InterestAmt,""), "")</f>
        <v/>
      </c>
      <c r="H77" s="12" t="str">
        <f>IFERROR(IF(LoanIsNotPaid*LoanIsGood,EndingBalance,""), "")</f>
        <v/>
      </c>
    </row>
    <row r="78" spans="2:8" ht="20.149999999999999" customHeight="1">
      <c r="B78" s="9" t="str">
        <f>IFERROR(IF(LoanIsNotPaid*LoanIsGood,PaymentNumber,""), "")</f>
        <v/>
      </c>
      <c r="C78" s="10" t="str">
        <f>IFERROR(IF(LoanIsNotPaid*LoanIsGood,PaymentDate,""), "")</f>
        <v/>
      </c>
      <c r="D78" s="12" t="str">
        <f>IFERROR(IF(LoanIsNotPaid*LoanIsGood,LoanValue,""), "")</f>
        <v/>
      </c>
      <c r="E78" s="12" t="str">
        <f>IFERROR(IF(LoanIsNotPaid*LoanIsGood,MonthlyPayment,""), "")</f>
        <v/>
      </c>
      <c r="F78" s="12" t="str">
        <f>IFERROR(IF(LoanIsNotPaid*LoanIsGood,Principal,""), "")</f>
        <v/>
      </c>
      <c r="G78" s="12" t="str">
        <f>IFERROR(IF(LoanIsNotPaid*LoanIsGood,InterestAmt,""), "")</f>
        <v/>
      </c>
      <c r="H78" s="12" t="str">
        <f>IFERROR(IF(LoanIsNotPaid*LoanIsGood,EndingBalance,""), "")</f>
        <v/>
      </c>
    </row>
    <row r="79" spans="2:8" ht="20.149999999999999" customHeight="1">
      <c r="B79" s="9" t="str">
        <f>IFERROR(IF(LoanIsNotPaid*LoanIsGood,PaymentNumber,""), "")</f>
        <v/>
      </c>
      <c r="C79" s="10" t="str">
        <f>IFERROR(IF(LoanIsNotPaid*LoanIsGood,PaymentDate,""), "")</f>
        <v/>
      </c>
      <c r="D79" s="12" t="str">
        <f>IFERROR(IF(LoanIsNotPaid*LoanIsGood,LoanValue,""), "")</f>
        <v/>
      </c>
      <c r="E79" s="12" t="str">
        <f>IFERROR(IF(LoanIsNotPaid*LoanIsGood,MonthlyPayment,""), "")</f>
        <v/>
      </c>
      <c r="F79" s="12" t="str">
        <f>IFERROR(IF(LoanIsNotPaid*LoanIsGood,Principal,""), "")</f>
        <v/>
      </c>
      <c r="G79" s="12" t="str">
        <f>IFERROR(IF(LoanIsNotPaid*LoanIsGood,InterestAmt,""), "")</f>
        <v/>
      </c>
      <c r="H79" s="12" t="str">
        <f>IFERROR(IF(LoanIsNotPaid*LoanIsGood,EndingBalance,""), "")</f>
        <v/>
      </c>
    </row>
    <row r="80" spans="2:8" ht="20.149999999999999" customHeight="1">
      <c r="B80" s="9" t="str">
        <f>IFERROR(IF(LoanIsNotPaid*LoanIsGood,PaymentNumber,""), "")</f>
        <v/>
      </c>
      <c r="C80" s="10" t="str">
        <f>IFERROR(IF(LoanIsNotPaid*LoanIsGood,PaymentDate,""), "")</f>
        <v/>
      </c>
      <c r="D80" s="12" t="str">
        <f>IFERROR(IF(LoanIsNotPaid*LoanIsGood,LoanValue,""), "")</f>
        <v/>
      </c>
      <c r="E80" s="12" t="str">
        <f>IFERROR(IF(LoanIsNotPaid*LoanIsGood,MonthlyPayment,""), "")</f>
        <v/>
      </c>
      <c r="F80" s="12" t="str">
        <f>IFERROR(IF(LoanIsNotPaid*LoanIsGood,Principal,""), "")</f>
        <v/>
      </c>
      <c r="G80" s="12" t="str">
        <f>IFERROR(IF(LoanIsNotPaid*LoanIsGood,InterestAmt,""), "")</f>
        <v/>
      </c>
      <c r="H80" s="12" t="str">
        <f>IFERROR(IF(LoanIsNotPaid*LoanIsGood,EndingBalance,""), "")</f>
        <v/>
      </c>
    </row>
    <row r="81" spans="2:8" ht="20.149999999999999" customHeight="1">
      <c r="B81" s="9" t="str">
        <f>IFERROR(IF(LoanIsNotPaid*LoanIsGood,PaymentNumber,""), "")</f>
        <v/>
      </c>
      <c r="C81" s="10" t="str">
        <f>IFERROR(IF(LoanIsNotPaid*LoanIsGood,PaymentDate,""), "")</f>
        <v/>
      </c>
      <c r="D81" s="12" t="str">
        <f>IFERROR(IF(LoanIsNotPaid*LoanIsGood,LoanValue,""), "")</f>
        <v/>
      </c>
      <c r="E81" s="12" t="str">
        <f>IFERROR(IF(LoanIsNotPaid*LoanIsGood,MonthlyPayment,""), "")</f>
        <v/>
      </c>
      <c r="F81" s="12" t="str">
        <f>IFERROR(IF(LoanIsNotPaid*LoanIsGood,Principal,""), "")</f>
        <v/>
      </c>
      <c r="G81" s="12" t="str">
        <f>IFERROR(IF(LoanIsNotPaid*LoanIsGood,InterestAmt,""), "")</f>
        <v/>
      </c>
      <c r="H81" s="12" t="str">
        <f>IFERROR(IF(LoanIsNotPaid*LoanIsGood,EndingBalance,""), "")</f>
        <v/>
      </c>
    </row>
    <row r="82" spans="2:8" ht="20.149999999999999" customHeight="1">
      <c r="B82" s="9" t="str">
        <f>IFERROR(IF(LoanIsNotPaid*LoanIsGood,PaymentNumber,""), "")</f>
        <v/>
      </c>
      <c r="C82" s="10" t="str">
        <f>IFERROR(IF(LoanIsNotPaid*LoanIsGood,PaymentDate,""), "")</f>
        <v/>
      </c>
      <c r="D82" s="12" t="str">
        <f>IFERROR(IF(LoanIsNotPaid*LoanIsGood,LoanValue,""), "")</f>
        <v/>
      </c>
      <c r="E82" s="12" t="str">
        <f>IFERROR(IF(LoanIsNotPaid*LoanIsGood,MonthlyPayment,""), "")</f>
        <v/>
      </c>
      <c r="F82" s="12" t="str">
        <f>IFERROR(IF(LoanIsNotPaid*LoanIsGood,Principal,""), "")</f>
        <v/>
      </c>
      <c r="G82" s="12" t="str">
        <f>IFERROR(IF(LoanIsNotPaid*LoanIsGood,InterestAmt,""), "")</f>
        <v/>
      </c>
      <c r="H82" s="12" t="str">
        <f>IFERROR(IF(LoanIsNotPaid*LoanIsGood,EndingBalance,""), "")</f>
        <v/>
      </c>
    </row>
    <row r="83" spans="2:8" ht="20.149999999999999" customHeight="1">
      <c r="B83" s="9" t="str">
        <f>IFERROR(IF(LoanIsNotPaid*LoanIsGood,PaymentNumber,""), "")</f>
        <v/>
      </c>
      <c r="C83" s="10" t="str">
        <f>IFERROR(IF(LoanIsNotPaid*LoanIsGood,PaymentDate,""), "")</f>
        <v/>
      </c>
      <c r="D83" s="12" t="str">
        <f>IFERROR(IF(LoanIsNotPaid*LoanIsGood,LoanValue,""), "")</f>
        <v/>
      </c>
      <c r="E83" s="12" t="str">
        <f>IFERROR(IF(LoanIsNotPaid*LoanIsGood,MonthlyPayment,""), "")</f>
        <v/>
      </c>
      <c r="F83" s="12" t="str">
        <f>IFERROR(IF(LoanIsNotPaid*LoanIsGood,Principal,""), "")</f>
        <v/>
      </c>
      <c r="G83" s="12" t="str">
        <f>IFERROR(IF(LoanIsNotPaid*LoanIsGood,InterestAmt,""), "")</f>
        <v/>
      </c>
      <c r="H83" s="12" t="str">
        <f>IFERROR(IF(LoanIsNotPaid*LoanIsGood,EndingBalance,""), "")</f>
        <v/>
      </c>
    </row>
    <row r="84" spans="2:8" ht="20.149999999999999" customHeight="1">
      <c r="B84" s="9" t="str">
        <f>IFERROR(IF(LoanIsNotPaid*LoanIsGood,PaymentNumber,""), "")</f>
        <v/>
      </c>
      <c r="C84" s="10" t="str">
        <f>IFERROR(IF(LoanIsNotPaid*LoanIsGood,PaymentDate,""), "")</f>
        <v/>
      </c>
      <c r="D84" s="12" t="str">
        <f>IFERROR(IF(LoanIsNotPaid*LoanIsGood,LoanValue,""), "")</f>
        <v/>
      </c>
      <c r="E84" s="12" t="str">
        <f>IFERROR(IF(LoanIsNotPaid*LoanIsGood,MonthlyPayment,""), "")</f>
        <v/>
      </c>
      <c r="F84" s="12" t="str">
        <f>IFERROR(IF(LoanIsNotPaid*LoanIsGood,Principal,""), "")</f>
        <v/>
      </c>
      <c r="G84" s="12" t="str">
        <f>IFERROR(IF(LoanIsNotPaid*LoanIsGood,InterestAmt,""), "")</f>
        <v/>
      </c>
      <c r="H84" s="12" t="str">
        <f>IFERROR(IF(LoanIsNotPaid*LoanIsGood,EndingBalance,""), "")</f>
        <v/>
      </c>
    </row>
    <row r="85" spans="2:8" ht="20.149999999999999" customHeight="1">
      <c r="B85" s="9" t="str">
        <f>IFERROR(IF(LoanIsNotPaid*LoanIsGood,PaymentNumber,""), "")</f>
        <v/>
      </c>
      <c r="C85" s="10" t="str">
        <f>IFERROR(IF(LoanIsNotPaid*LoanIsGood,PaymentDate,""), "")</f>
        <v/>
      </c>
      <c r="D85" s="12" t="str">
        <f>IFERROR(IF(LoanIsNotPaid*LoanIsGood,LoanValue,""), "")</f>
        <v/>
      </c>
      <c r="E85" s="12" t="str">
        <f>IFERROR(IF(LoanIsNotPaid*LoanIsGood,MonthlyPayment,""), "")</f>
        <v/>
      </c>
      <c r="F85" s="12" t="str">
        <f>IFERROR(IF(LoanIsNotPaid*LoanIsGood,Principal,""), "")</f>
        <v/>
      </c>
      <c r="G85" s="12" t="str">
        <f>IFERROR(IF(LoanIsNotPaid*LoanIsGood,InterestAmt,""), "")</f>
        <v/>
      </c>
      <c r="H85" s="12" t="str">
        <f>IFERROR(IF(LoanIsNotPaid*LoanIsGood,EndingBalance,""), "")</f>
        <v/>
      </c>
    </row>
    <row r="86" spans="2:8" ht="20.149999999999999" customHeight="1">
      <c r="B86" s="9" t="str">
        <f>IFERROR(IF(LoanIsNotPaid*LoanIsGood,PaymentNumber,""), "")</f>
        <v/>
      </c>
      <c r="C86" s="10" t="str">
        <f>IFERROR(IF(LoanIsNotPaid*LoanIsGood,PaymentDate,""), "")</f>
        <v/>
      </c>
      <c r="D86" s="12" t="str">
        <f>IFERROR(IF(LoanIsNotPaid*LoanIsGood,LoanValue,""), "")</f>
        <v/>
      </c>
      <c r="E86" s="12" t="str">
        <f>IFERROR(IF(LoanIsNotPaid*LoanIsGood,MonthlyPayment,""), "")</f>
        <v/>
      </c>
      <c r="F86" s="12" t="str">
        <f>IFERROR(IF(LoanIsNotPaid*LoanIsGood,Principal,""), "")</f>
        <v/>
      </c>
      <c r="G86" s="12" t="str">
        <f>IFERROR(IF(LoanIsNotPaid*LoanIsGood,InterestAmt,""), "")</f>
        <v/>
      </c>
      <c r="H86" s="12" t="str">
        <f>IFERROR(IF(LoanIsNotPaid*LoanIsGood,EndingBalance,""), "")</f>
        <v/>
      </c>
    </row>
    <row r="87" spans="2:8" ht="20.149999999999999" customHeight="1">
      <c r="B87" s="9" t="str">
        <f>IFERROR(IF(LoanIsNotPaid*LoanIsGood,PaymentNumber,""), "")</f>
        <v/>
      </c>
      <c r="C87" s="10" t="str">
        <f>IFERROR(IF(LoanIsNotPaid*LoanIsGood,PaymentDate,""), "")</f>
        <v/>
      </c>
      <c r="D87" s="12" t="str">
        <f>IFERROR(IF(LoanIsNotPaid*LoanIsGood,LoanValue,""), "")</f>
        <v/>
      </c>
      <c r="E87" s="12" t="str">
        <f>IFERROR(IF(LoanIsNotPaid*LoanIsGood,MonthlyPayment,""), "")</f>
        <v/>
      </c>
      <c r="F87" s="12" t="str">
        <f>IFERROR(IF(LoanIsNotPaid*LoanIsGood,Principal,""), "")</f>
        <v/>
      </c>
      <c r="G87" s="12" t="str">
        <f>IFERROR(IF(LoanIsNotPaid*LoanIsGood,InterestAmt,""), "")</f>
        <v/>
      </c>
      <c r="H87" s="12" t="str">
        <f>IFERROR(IF(LoanIsNotPaid*LoanIsGood,EndingBalance,""), "")</f>
        <v/>
      </c>
    </row>
    <row r="88" spans="2:8" ht="20.149999999999999" customHeight="1">
      <c r="B88" s="9" t="str">
        <f>IFERROR(IF(LoanIsNotPaid*LoanIsGood,PaymentNumber,""), "")</f>
        <v/>
      </c>
      <c r="C88" s="10" t="str">
        <f>IFERROR(IF(LoanIsNotPaid*LoanIsGood,PaymentDate,""), "")</f>
        <v/>
      </c>
      <c r="D88" s="12" t="str">
        <f>IFERROR(IF(LoanIsNotPaid*LoanIsGood,LoanValue,""), "")</f>
        <v/>
      </c>
      <c r="E88" s="12" t="str">
        <f>IFERROR(IF(LoanIsNotPaid*LoanIsGood,MonthlyPayment,""), "")</f>
        <v/>
      </c>
      <c r="F88" s="12" t="str">
        <f>IFERROR(IF(LoanIsNotPaid*LoanIsGood,Principal,""), "")</f>
        <v/>
      </c>
      <c r="G88" s="12" t="str">
        <f>IFERROR(IF(LoanIsNotPaid*LoanIsGood,InterestAmt,""), "")</f>
        <v/>
      </c>
      <c r="H88" s="12" t="str">
        <f>IFERROR(IF(LoanIsNotPaid*LoanIsGood,EndingBalance,""), "")</f>
        <v/>
      </c>
    </row>
    <row r="89" spans="2:8" ht="20.149999999999999" customHeight="1">
      <c r="B89" s="9" t="str">
        <f>IFERROR(IF(LoanIsNotPaid*LoanIsGood,PaymentNumber,""), "")</f>
        <v/>
      </c>
      <c r="C89" s="10" t="str">
        <f>IFERROR(IF(LoanIsNotPaid*LoanIsGood,PaymentDate,""), "")</f>
        <v/>
      </c>
      <c r="D89" s="12" t="str">
        <f>IFERROR(IF(LoanIsNotPaid*LoanIsGood,LoanValue,""), "")</f>
        <v/>
      </c>
      <c r="E89" s="12" t="str">
        <f>IFERROR(IF(LoanIsNotPaid*LoanIsGood,MonthlyPayment,""), "")</f>
        <v/>
      </c>
      <c r="F89" s="12" t="str">
        <f>IFERROR(IF(LoanIsNotPaid*LoanIsGood,Principal,""), "")</f>
        <v/>
      </c>
      <c r="G89" s="12" t="str">
        <f>IFERROR(IF(LoanIsNotPaid*LoanIsGood,InterestAmt,""), "")</f>
        <v/>
      </c>
      <c r="H89" s="12" t="str">
        <f>IFERROR(IF(LoanIsNotPaid*LoanIsGood,EndingBalance,""), "")</f>
        <v/>
      </c>
    </row>
    <row r="90" spans="2:8" ht="20.149999999999999" customHeight="1">
      <c r="B90" s="9" t="str">
        <f>IFERROR(IF(LoanIsNotPaid*LoanIsGood,PaymentNumber,""), "")</f>
        <v/>
      </c>
      <c r="C90" s="10" t="str">
        <f>IFERROR(IF(LoanIsNotPaid*LoanIsGood,PaymentDate,""), "")</f>
        <v/>
      </c>
      <c r="D90" s="12" t="str">
        <f>IFERROR(IF(LoanIsNotPaid*LoanIsGood,LoanValue,""), "")</f>
        <v/>
      </c>
      <c r="E90" s="12" t="str">
        <f>IFERROR(IF(LoanIsNotPaid*LoanIsGood,MonthlyPayment,""), "")</f>
        <v/>
      </c>
      <c r="F90" s="12" t="str">
        <f>IFERROR(IF(LoanIsNotPaid*LoanIsGood,Principal,""), "")</f>
        <v/>
      </c>
      <c r="G90" s="12" t="str">
        <f>IFERROR(IF(LoanIsNotPaid*LoanIsGood,InterestAmt,""), "")</f>
        <v/>
      </c>
      <c r="H90" s="12" t="str">
        <f>IFERROR(IF(LoanIsNotPaid*LoanIsGood,EndingBalance,""), "")</f>
        <v/>
      </c>
    </row>
    <row r="91" spans="2:8" ht="20.149999999999999" customHeight="1">
      <c r="B91" s="9" t="str">
        <f>IFERROR(IF(LoanIsNotPaid*LoanIsGood,PaymentNumber,""), "")</f>
        <v/>
      </c>
      <c r="C91" s="10" t="str">
        <f>IFERROR(IF(LoanIsNotPaid*LoanIsGood,PaymentDate,""), "")</f>
        <v/>
      </c>
      <c r="D91" s="12" t="str">
        <f>IFERROR(IF(LoanIsNotPaid*LoanIsGood,LoanValue,""), "")</f>
        <v/>
      </c>
      <c r="E91" s="12" t="str">
        <f>IFERROR(IF(LoanIsNotPaid*LoanIsGood,MonthlyPayment,""), "")</f>
        <v/>
      </c>
      <c r="F91" s="12" t="str">
        <f>IFERROR(IF(LoanIsNotPaid*LoanIsGood,Principal,""), "")</f>
        <v/>
      </c>
      <c r="G91" s="12" t="str">
        <f>IFERROR(IF(LoanIsNotPaid*LoanIsGood,InterestAmt,""), "")</f>
        <v/>
      </c>
      <c r="H91" s="12" t="str">
        <f>IFERROR(IF(LoanIsNotPaid*LoanIsGood,EndingBalance,""), "")</f>
        <v/>
      </c>
    </row>
    <row r="92" spans="2:8" ht="20.149999999999999" customHeight="1">
      <c r="B92" s="9" t="str">
        <f>IFERROR(IF(LoanIsNotPaid*LoanIsGood,PaymentNumber,""), "")</f>
        <v/>
      </c>
      <c r="C92" s="10" t="str">
        <f>IFERROR(IF(LoanIsNotPaid*LoanIsGood,PaymentDate,""), "")</f>
        <v/>
      </c>
      <c r="D92" s="12" t="str">
        <f>IFERROR(IF(LoanIsNotPaid*LoanIsGood,LoanValue,""), "")</f>
        <v/>
      </c>
      <c r="E92" s="12" t="str">
        <f>IFERROR(IF(LoanIsNotPaid*LoanIsGood,MonthlyPayment,""), "")</f>
        <v/>
      </c>
      <c r="F92" s="12" t="str">
        <f>IFERROR(IF(LoanIsNotPaid*LoanIsGood,Principal,""), "")</f>
        <v/>
      </c>
      <c r="G92" s="12" t="str">
        <f>IFERROR(IF(LoanIsNotPaid*LoanIsGood,InterestAmt,""), "")</f>
        <v/>
      </c>
      <c r="H92" s="12" t="str">
        <f>IFERROR(IF(LoanIsNotPaid*LoanIsGood,EndingBalance,""), "")</f>
        <v/>
      </c>
    </row>
    <row r="93" spans="2:8" ht="20.149999999999999" customHeight="1">
      <c r="B93" s="9" t="str">
        <f>IFERROR(IF(LoanIsNotPaid*LoanIsGood,PaymentNumber,""), "")</f>
        <v/>
      </c>
      <c r="C93" s="10" t="str">
        <f>IFERROR(IF(LoanIsNotPaid*LoanIsGood,PaymentDate,""), "")</f>
        <v/>
      </c>
      <c r="D93" s="12" t="str">
        <f>IFERROR(IF(LoanIsNotPaid*LoanIsGood,LoanValue,""), "")</f>
        <v/>
      </c>
      <c r="E93" s="12" t="str">
        <f>IFERROR(IF(LoanIsNotPaid*LoanIsGood,MonthlyPayment,""), "")</f>
        <v/>
      </c>
      <c r="F93" s="12" t="str">
        <f>IFERROR(IF(LoanIsNotPaid*LoanIsGood,Principal,""), "")</f>
        <v/>
      </c>
      <c r="G93" s="12" t="str">
        <f>IFERROR(IF(LoanIsNotPaid*LoanIsGood,InterestAmt,""), "")</f>
        <v/>
      </c>
      <c r="H93" s="12" t="str">
        <f>IFERROR(IF(LoanIsNotPaid*LoanIsGood,EndingBalance,""), "")</f>
        <v/>
      </c>
    </row>
    <row r="94" spans="2:8" ht="20.149999999999999" customHeight="1">
      <c r="B94" s="9" t="str">
        <f>IFERROR(IF(LoanIsNotPaid*LoanIsGood,PaymentNumber,""), "")</f>
        <v/>
      </c>
      <c r="C94" s="10" t="str">
        <f>IFERROR(IF(LoanIsNotPaid*LoanIsGood,PaymentDate,""), "")</f>
        <v/>
      </c>
      <c r="D94" s="12" t="str">
        <f>IFERROR(IF(LoanIsNotPaid*LoanIsGood,LoanValue,""), "")</f>
        <v/>
      </c>
      <c r="E94" s="12" t="str">
        <f>IFERROR(IF(LoanIsNotPaid*LoanIsGood,MonthlyPayment,""), "")</f>
        <v/>
      </c>
      <c r="F94" s="12" t="str">
        <f>IFERROR(IF(LoanIsNotPaid*LoanIsGood,Principal,""), "")</f>
        <v/>
      </c>
      <c r="G94" s="12" t="str">
        <f>IFERROR(IF(LoanIsNotPaid*LoanIsGood,InterestAmt,""), "")</f>
        <v/>
      </c>
      <c r="H94" s="12" t="str">
        <f>IFERROR(IF(LoanIsNotPaid*LoanIsGood,EndingBalance,""), "")</f>
        <v/>
      </c>
    </row>
    <row r="95" spans="2:8" ht="20.149999999999999" customHeight="1">
      <c r="B95" s="9" t="str">
        <f>IFERROR(IF(LoanIsNotPaid*LoanIsGood,PaymentNumber,""), "")</f>
        <v/>
      </c>
      <c r="C95" s="10" t="str">
        <f>IFERROR(IF(LoanIsNotPaid*LoanIsGood,PaymentDate,""), "")</f>
        <v/>
      </c>
      <c r="D95" s="12" t="str">
        <f>IFERROR(IF(LoanIsNotPaid*LoanIsGood,LoanValue,""), "")</f>
        <v/>
      </c>
      <c r="E95" s="12" t="str">
        <f>IFERROR(IF(LoanIsNotPaid*LoanIsGood,MonthlyPayment,""), "")</f>
        <v/>
      </c>
      <c r="F95" s="12" t="str">
        <f>IFERROR(IF(LoanIsNotPaid*LoanIsGood,Principal,""), "")</f>
        <v/>
      </c>
      <c r="G95" s="12" t="str">
        <f>IFERROR(IF(LoanIsNotPaid*LoanIsGood,InterestAmt,""), "")</f>
        <v/>
      </c>
      <c r="H95" s="12" t="str">
        <f>IFERROR(IF(LoanIsNotPaid*LoanIsGood,EndingBalance,""), "")</f>
        <v/>
      </c>
    </row>
    <row r="96" spans="2:8" ht="20.149999999999999" customHeight="1">
      <c r="B96" s="9" t="str">
        <f>IFERROR(IF(LoanIsNotPaid*LoanIsGood,PaymentNumber,""), "")</f>
        <v/>
      </c>
      <c r="C96" s="10" t="str">
        <f>IFERROR(IF(LoanIsNotPaid*LoanIsGood,PaymentDate,""), "")</f>
        <v/>
      </c>
      <c r="D96" s="12" t="str">
        <f>IFERROR(IF(LoanIsNotPaid*LoanIsGood,LoanValue,""), "")</f>
        <v/>
      </c>
      <c r="E96" s="12" t="str">
        <f>IFERROR(IF(LoanIsNotPaid*LoanIsGood,MonthlyPayment,""), "")</f>
        <v/>
      </c>
      <c r="F96" s="12" t="str">
        <f>IFERROR(IF(LoanIsNotPaid*LoanIsGood,Principal,""), "")</f>
        <v/>
      </c>
      <c r="G96" s="12" t="str">
        <f>IFERROR(IF(LoanIsNotPaid*LoanIsGood,InterestAmt,""), "")</f>
        <v/>
      </c>
      <c r="H96" s="12" t="str">
        <f>IFERROR(IF(LoanIsNotPaid*LoanIsGood,EndingBalance,""), "")</f>
        <v/>
      </c>
    </row>
    <row r="97" spans="2:8" ht="20.149999999999999" customHeight="1">
      <c r="B97" s="9" t="str">
        <f>IFERROR(IF(LoanIsNotPaid*LoanIsGood,PaymentNumber,""), "")</f>
        <v/>
      </c>
      <c r="C97" s="10" t="str">
        <f>IFERROR(IF(LoanIsNotPaid*LoanIsGood,PaymentDate,""), "")</f>
        <v/>
      </c>
      <c r="D97" s="12" t="str">
        <f>IFERROR(IF(LoanIsNotPaid*LoanIsGood,LoanValue,""), "")</f>
        <v/>
      </c>
      <c r="E97" s="12" t="str">
        <f>IFERROR(IF(LoanIsNotPaid*LoanIsGood,MonthlyPayment,""), "")</f>
        <v/>
      </c>
      <c r="F97" s="12" t="str">
        <f>IFERROR(IF(LoanIsNotPaid*LoanIsGood,Principal,""), "")</f>
        <v/>
      </c>
      <c r="G97" s="12" t="str">
        <f>IFERROR(IF(LoanIsNotPaid*LoanIsGood,InterestAmt,""), "")</f>
        <v/>
      </c>
      <c r="H97" s="12" t="str">
        <f>IFERROR(IF(LoanIsNotPaid*LoanIsGood,EndingBalance,""), "")</f>
        <v/>
      </c>
    </row>
    <row r="98" spans="2:8" ht="20.149999999999999" customHeight="1">
      <c r="B98" s="9" t="str">
        <f>IFERROR(IF(LoanIsNotPaid*LoanIsGood,PaymentNumber,""), "")</f>
        <v/>
      </c>
      <c r="C98" s="10" t="str">
        <f>IFERROR(IF(LoanIsNotPaid*LoanIsGood,PaymentDate,""), "")</f>
        <v/>
      </c>
      <c r="D98" s="12" t="str">
        <f>IFERROR(IF(LoanIsNotPaid*LoanIsGood,LoanValue,""), "")</f>
        <v/>
      </c>
      <c r="E98" s="12" t="str">
        <f>IFERROR(IF(LoanIsNotPaid*LoanIsGood,MonthlyPayment,""), "")</f>
        <v/>
      </c>
      <c r="F98" s="12" t="str">
        <f>IFERROR(IF(LoanIsNotPaid*LoanIsGood,Principal,""), "")</f>
        <v/>
      </c>
      <c r="G98" s="12" t="str">
        <f>IFERROR(IF(LoanIsNotPaid*LoanIsGood,InterestAmt,""), "")</f>
        <v/>
      </c>
      <c r="H98" s="12" t="str">
        <f>IFERROR(IF(LoanIsNotPaid*LoanIsGood,EndingBalance,""), "")</f>
        <v/>
      </c>
    </row>
    <row r="99" spans="2:8" ht="20.149999999999999" customHeight="1">
      <c r="B99" s="9" t="str">
        <f>IFERROR(IF(LoanIsNotPaid*LoanIsGood,PaymentNumber,""), "")</f>
        <v/>
      </c>
      <c r="C99" s="10" t="str">
        <f>IFERROR(IF(LoanIsNotPaid*LoanIsGood,PaymentDate,""), "")</f>
        <v/>
      </c>
      <c r="D99" s="12" t="str">
        <f>IFERROR(IF(LoanIsNotPaid*LoanIsGood,LoanValue,""), "")</f>
        <v/>
      </c>
      <c r="E99" s="12" t="str">
        <f>IFERROR(IF(LoanIsNotPaid*LoanIsGood,MonthlyPayment,""), "")</f>
        <v/>
      </c>
      <c r="F99" s="12" t="str">
        <f>IFERROR(IF(LoanIsNotPaid*LoanIsGood,Principal,""), "")</f>
        <v/>
      </c>
      <c r="G99" s="12" t="str">
        <f>IFERROR(IF(LoanIsNotPaid*LoanIsGood,InterestAmt,""), "")</f>
        <v/>
      </c>
      <c r="H99" s="12" t="str">
        <f>IFERROR(IF(LoanIsNotPaid*LoanIsGood,EndingBalance,""), "")</f>
        <v/>
      </c>
    </row>
    <row r="100" spans="2:8" ht="20.149999999999999" customHeight="1">
      <c r="B100" s="9" t="str">
        <f>IFERROR(IF(LoanIsNotPaid*LoanIsGood,PaymentNumber,""), "")</f>
        <v/>
      </c>
      <c r="C100" s="10" t="str">
        <f>IFERROR(IF(LoanIsNotPaid*LoanIsGood,PaymentDate,""), "")</f>
        <v/>
      </c>
      <c r="D100" s="12" t="str">
        <f>IFERROR(IF(LoanIsNotPaid*LoanIsGood,LoanValue,""), "")</f>
        <v/>
      </c>
      <c r="E100" s="12" t="str">
        <f>IFERROR(IF(LoanIsNotPaid*LoanIsGood,MonthlyPayment,""), "")</f>
        <v/>
      </c>
      <c r="F100" s="12" t="str">
        <f>IFERROR(IF(LoanIsNotPaid*LoanIsGood,Principal,""), "")</f>
        <v/>
      </c>
      <c r="G100" s="12" t="str">
        <f>IFERROR(IF(LoanIsNotPaid*LoanIsGood,InterestAmt,""), "")</f>
        <v/>
      </c>
      <c r="H100" s="12" t="str">
        <f>IFERROR(IF(LoanIsNotPaid*LoanIsGood,EndingBalance,""), "")</f>
        <v/>
      </c>
    </row>
    <row r="101" spans="2:8" ht="20.149999999999999" customHeight="1">
      <c r="B101" s="9" t="str">
        <f>IFERROR(IF(LoanIsNotPaid*LoanIsGood,PaymentNumber,""), "")</f>
        <v/>
      </c>
      <c r="C101" s="10" t="str">
        <f>IFERROR(IF(LoanIsNotPaid*LoanIsGood,PaymentDate,""), "")</f>
        <v/>
      </c>
      <c r="D101" s="12" t="str">
        <f>IFERROR(IF(LoanIsNotPaid*LoanIsGood,LoanValue,""), "")</f>
        <v/>
      </c>
      <c r="E101" s="12" t="str">
        <f>IFERROR(IF(LoanIsNotPaid*LoanIsGood,MonthlyPayment,""), "")</f>
        <v/>
      </c>
      <c r="F101" s="12" t="str">
        <f>IFERROR(IF(LoanIsNotPaid*LoanIsGood,Principal,""), "")</f>
        <v/>
      </c>
      <c r="G101" s="12" t="str">
        <f>IFERROR(IF(LoanIsNotPaid*LoanIsGood,InterestAmt,""), "")</f>
        <v/>
      </c>
      <c r="H101" s="12" t="str">
        <f>IFERROR(IF(LoanIsNotPaid*LoanIsGood,EndingBalance,""), "")</f>
        <v/>
      </c>
    </row>
    <row r="102" spans="2:8" ht="20.149999999999999" customHeight="1">
      <c r="B102" s="9" t="str">
        <f>IFERROR(IF(LoanIsNotPaid*LoanIsGood,PaymentNumber,""), "")</f>
        <v/>
      </c>
      <c r="C102" s="10" t="str">
        <f>IFERROR(IF(LoanIsNotPaid*LoanIsGood,PaymentDate,""), "")</f>
        <v/>
      </c>
      <c r="D102" s="12" t="str">
        <f>IFERROR(IF(LoanIsNotPaid*LoanIsGood,LoanValue,""), "")</f>
        <v/>
      </c>
      <c r="E102" s="12" t="str">
        <f>IFERROR(IF(LoanIsNotPaid*LoanIsGood,MonthlyPayment,""), "")</f>
        <v/>
      </c>
      <c r="F102" s="12" t="str">
        <f>IFERROR(IF(LoanIsNotPaid*LoanIsGood,Principal,""), "")</f>
        <v/>
      </c>
      <c r="G102" s="12" t="str">
        <f>IFERROR(IF(LoanIsNotPaid*LoanIsGood,InterestAmt,""), "")</f>
        <v/>
      </c>
      <c r="H102" s="12" t="str">
        <f>IFERROR(IF(LoanIsNotPaid*LoanIsGood,EndingBalance,""), "")</f>
        <v/>
      </c>
    </row>
    <row r="103" spans="2:8" ht="20.149999999999999" customHeight="1">
      <c r="B103" s="9" t="str">
        <f>IFERROR(IF(LoanIsNotPaid*LoanIsGood,PaymentNumber,""), "")</f>
        <v/>
      </c>
      <c r="C103" s="10" t="str">
        <f>IFERROR(IF(LoanIsNotPaid*LoanIsGood,PaymentDate,""), "")</f>
        <v/>
      </c>
      <c r="D103" s="12" t="str">
        <f>IFERROR(IF(LoanIsNotPaid*LoanIsGood,LoanValue,""), "")</f>
        <v/>
      </c>
      <c r="E103" s="12" t="str">
        <f>IFERROR(IF(LoanIsNotPaid*LoanIsGood,MonthlyPayment,""), "")</f>
        <v/>
      </c>
      <c r="F103" s="12" t="str">
        <f>IFERROR(IF(LoanIsNotPaid*LoanIsGood,Principal,""), "")</f>
        <v/>
      </c>
      <c r="G103" s="12" t="str">
        <f>IFERROR(IF(LoanIsNotPaid*LoanIsGood,InterestAmt,""), "")</f>
        <v/>
      </c>
      <c r="H103" s="12" t="str">
        <f>IFERROR(IF(LoanIsNotPaid*LoanIsGood,EndingBalance,""), "")</f>
        <v/>
      </c>
    </row>
    <row r="104" spans="2:8" ht="20.149999999999999" customHeight="1">
      <c r="B104" s="9" t="str">
        <f>IFERROR(IF(LoanIsNotPaid*LoanIsGood,PaymentNumber,""), "")</f>
        <v/>
      </c>
      <c r="C104" s="10" t="str">
        <f>IFERROR(IF(LoanIsNotPaid*LoanIsGood,PaymentDate,""), "")</f>
        <v/>
      </c>
      <c r="D104" s="12" t="str">
        <f>IFERROR(IF(LoanIsNotPaid*LoanIsGood,LoanValue,""), "")</f>
        <v/>
      </c>
      <c r="E104" s="12" t="str">
        <f>IFERROR(IF(LoanIsNotPaid*LoanIsGood,MonthlyPayment,""), "")</f>
        <v/>
      </c>
      <c r="F104" s="12" t="str">
        <f>IFERROR(IF(LoanIsNotPaid*LoanIsGood,Principal,""), "")</f>
        <v/>
      </c>
      <c r="G104" s="12" t="str">
        <f>IFERROR(IF(LoanIsNotPaid*LoanIsGood,InterestAmt,""), "")</f>
        <v/>
      </c>
      <c r="H104" s="12" t="str">
        <f>IFERROR(IF(LoanIsNotPaid*LoanIsGood,EndingBalance,""), "")</f>
        <v/>
      </c>
    </row>
    <row r="105" spans="2:8" ht="20.149999999999999" customHeight="1">
      <c r="B105" s="9" t="str">
        <f>IFERROR(IF(LoanIsNotPaid*LoanIsGood,PaymentNumber,""), "")</f>
        <v/>
      </c>
      <c r="C105" s="10" t="str">
        <f>IFERROR(IF(LoanIsNotPaid*LoanIsGood,PaymentDate,""), "")</f>
        <v/>
      </c>
      <c r="D105" s="12" t="str">
        <f>IFERROR(IF(LoanIsNotPaid*LoanIsGood,LoanValue,""), "")</f>
        <v/>
      </c>
      <c r="E105" s="12" t="str">
        <f>IFERROR(IF(LoanIsNotPaid*LoanIsGood,MonthlyPayment,""), "")</f>
        <v/>
      </c>
      <c r="F105" s="12" t="str">
        <f>IFERROR(IF(LoanIsNotPaid*LoanIsGood,Principal,""), "")</f>
        <v/>
      </c>
      <c r="G105" s="12" t="str">
        <f>IFERROR(IF(LoanIsNotPaid*LoanIsGood,InterestAmt,""), "")</f>
        <v/>
      </c>
      <c r="H105" s="12" t="str">
        <f>IFERROR(IF(LoanIsNotPaid*LoanIsGood,EndingBalance,""), "")</f>
        <v/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3:D3"/>
    <mergeCell ref="F3:H3"/>
    <mergeCell ref="B1:H1"/>
    <mergeCell ref="B4:C4"/>
    <mergeCell ref="B5:C5"/>
    <mergeCell ref="B6:C6"/>
    <mergeCell ref="B7:C7"/>
    <mergeCell ref="F4:G4"/>
    <mergeCell ref="F5:G5"/>
    <mergeCell ref="F6:G6"/>
    <mergeCell ref="F7:G7"/>
  </mergeCells>
  <phoneticPr fontId="0" type="noConversion"/>
  <conditionalFormatting sqref="B10:B369">
    <cfRule type="expression" dxfId="27" priority="4" stopIfTrue="1">
      <formula>NOT(LoanIsNotPaid)</formula>
    </cfRule>
    <cfRule type="expression" dxfId="26" priority="5" stopIfTrue="1">
      <formula>IF(ROW(B10)=LastRow,TRUE,FALSE)</formula>
    </cfRule>
  </conditionalFormatting>
  <conditionalFormatting sqref="B10:H369">
    <cfRule type="expression" dxfId="25" priority="1">
      <formula>$B10=""</formula>
    </cfRule>
  </conditionalFormatting>
  <conditionalFormatting sqref="C10:G369">
    <cfRule type="expression" dxfId="24" priority="2" stopIfTrue="1">
      <formula>NOT(LoanIsNotPaid)</formula>
    </cfRule>
    <cfRule type="expression" dxfId="23" priority="3" stopIfTrue="1">
      <formula>IF(ROW(C10)=LastRow,TRUE,FALSE)</formula>
    </cfRule>
  </conditionalFormatting>
  <conditionalFormatting sqref="H10:H369">
    <cfRule type="expression" dxfId="22" priority="6" stopIfTrue="1">
      <formula>NOT(LoanIsNotPaid)</formula>
    </cfRule>
    <cfRule type="expression" dxfId="21" priority="7" stopIfTrue="1">
      <formula>IF(ROW(H10)=LastRow,TRUE,FALSE)</formula>
    </cfRule>
  </conditionalFormatting>
  <dataValidations count="27">
    <dataValidation allowBlank="1" showInputMessage="1" showErrorMessage="1" prompt="Make a loan repayment schedule using this Loan Calculator worksheet. Total interest and total payments are automatically calculated" sqref="A1:A2" xr:uid="{00000000-0002-0000-0000-000000000000}"/>
    <dataValidation allowBlank="1" showInputMessage="1" showErrorMessage="1" prompt="Title of this worksheet is in this cell. Enter Loan Values in cells D3 through D6. Loan Summary in cells H3 through H6 and Loan table are automatically updated" sqref="B1:B2" xr:uid="{00000000-0002-0000-0000-000001000000}"/>
    <dataValidation allowBlank="1" showInputMessage="1" showErrorMessage="1" prompt="Loan Summary is automatically updated in cells below" sqref="F3" xr:uid="{00000000-0002-0000-0000-000003000000}"/>
    <dataValidation allowBlank="1" showInputMessage="1" showErrorMessage="1" prompt="Enter Loan amount in this cell" sqref="D4" xr:uid="{00000000-0002-0000-0000-000004000000}"/>
    <dataValidation allowBlank="1" showInputMessage="1" showErrorMessage="1" prompt="Enter Loan amount in cell at right" sqref="B4:C4" xr:uid="{00000000-0002-0000-0000-000005000000}"/>
    <dataValidation allowBlank="1" showInputMessage="1" showErrorMessage="1" prompt="Enter Annual interest rate in this cell" sqref="D5" xr:uid="{00000000-0002-0000-0000-000006000000}"/>
    <dataValidation allowBlank="1" showInputMessage="1" showErrorMessage="1" prompt="Enter Annual interest rate in cell at right" sqref="B5:C5" xr:uid="{00000000-0002-0000-0000-000007000000}"/>
    <dataValidation allowBlank="1" showInputMessage="1" showErrorMessage="1" prompt="Enter Loan period in years in this cell" sqref="D6" xr:uid="{00000000-0002-0000-0000-000008000000}"/>
    <dataValidation allowBlank="1" showInputMessage="1" showErrorMessage="1" prompt="Enter Loan period in years in cell at right" sqref="B6:C6" xr:uid="{00000000-0002-0000-0000-000009000000}"/>
    <dataValidation allowBlank="1" showInputMessage="1" showErrorMessage="1" prompt="Enter Start date of loan in this cell" sqref="D7" xr:uid="{00000000-0002-0000-0000-00000A000000}"/>
    <dataValidation allowBlank="1" showInputMessage="1" showErrorMessage="1" prompt="Enter Start date of loan in cell at right" sqref="B7:C7" xr:uid="{00000000-0002-0000-0000-00000B000000}"/>
    <dataValidation allowBlank="1" showInputMessage="1" showErrorMessage="1" prompt="Monthly payment is automatically calculated in this cell" sqref="H4" xr:uid="{00000000-0002-0000-0000-00000C000000}"/>
    <dataValidation allowBlank="1" showInputMessage="1" showErrorMessage="1" prompt="Monthly payment is automatically calculated in cell at right" sqref="F4:G4" xr:uid="{00000000-0002-0000-0000-00000D000000}"/>
    <dataValidation allowBlank="1" showInputMessage="1" showErrorMessage="1" prompt="Number of payments is automatically calculated in cell at right" sqref="F5:G5" xr:uid="{00000000-0002-0000-0000-00000E000000}"/>
    <dataValidation allowBlank="1" showInputMessage="1" showErrorMessage="1" prompt="Total interest is automatically calculated in cell at right" sqref="F6:G6" xr:uid="{00000000-0002-0000-0000-00000F000000}"/>
    <dataValidation allowBlank="1" showInputMessage="1" showErrorMessage="1" prompt="Total cost of loan is automatically calculated in cell at right" sqref="F7:G7" xr:uid="{00000000-0002-0000-0000-000010000000}"/>
    <dataValidation allowBlank="1" showInputMessage="1" showErrorMessage="1" prompt="Total cost of loan is automatically calculated in this cell" sqref="H7" xr:uid="{00000000-0002-0000-0000-000011000000}"/>
    <dataValidation allowBlank="1" showInputMessage="1" showErrorMessage="1" prompt="Total interest is automatically calculated in this cell" sqref="H6" xr:uid="{00000000-0002-0000-0000-000012000000}"/>
    <dataValidation allowBlank="1" showInputMessage="1" showErrorMessage="1" prompt="Number of payments is automatically calculated in this cell" sqref="H5" xr:uid="{00000000-0002-0000-0000-000013000000}"/>
    <dataValidation allowBlank="1" showInputMessage="1" showErrorMessage="1" prompt="Payment Number is automatically updated in this column under this heading" sqref="B9" xr:uid="{00000000-0002-0000-0000-000014000000}"/>
    <dataValidation allowBlank="1" showInputMessage="1" showErrorMessage="1" prompt="Payment Date is automatically updated in this column under this heading" sqref="C9" xr:uid="{00000000-0002-0000-0000-000015000000}"/>
    <dataValidation allowBlank="1" showInputMessage="1" showErrorMessage="1" prompt="Beginning Balance is automatically calculated in this column under this heading" sqref="D9" xr:uid="{00000000-0002-0000-0000-000016000000}"/>
    <dataValidation allowBlank="1" showInputMessage="1" showErrorMessage="1" prompt="Payment amount is automatically calculated in this column under this heading" sqref="E9" xr:uid="{00000000-0002-0000-0000-000017000000}"/>
    <dataValidation allowBlank="1" showInputMessage="1" showErrorMessage="1" prompt="Principal amount is automatically updated in this column under this heading" sqref="F9" xr:uid="{00000000-0002-0000-0000-000018000000}"/>
    <dataValidation allowBlank="1" showInputMessage="1" showErrorMessage="1" prompt="Interest amount is automatically updated in this column under this heading" sqref="G9" xr:uid="{00000000-0002-0000-0000-000019000000}"/>
    <dataValidation allowBlank="1" showInputMessage="1" showErrorMessage="1" prompt="Ending Balance is automatically updated in this column under this heading" sqref="H9" xr:uid="{00000000-0002-0000-0000-00001A000000}"/>
    <dataValidation allowBlank="1" showInputMessage="1" showErrorMessage="1" prompt="Enter Loan Values in cells D4 through D7 for each description in cells below. Loan Summary in cells H4 through H7 and Loan table are automatically updated" sqref="B3:D3" xr:uid="{B5C1D0CA-0032-4DA0-B24E-02C06925AE5C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ignoredErrors>
    <ignoredError sqref="H4 H6:H7" emptyCellReference="1"/>
  </ignoredError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686A-7D2F-4140-8043-EBD2B1D390FD}">
  <sheetPr>
    <tabColor theme="4"/>
    <pageSetUpPr fitToPage="1"/>
  </sheetPr>
  <dimension ref="B1:H369"/>
  <sheetViews>
    <sheetView showGridLines="0" zoomScale="80" zoomScaleNormal="80" workbookViewId="0">
      <pane ySplit="9" topLeftCell="A74" activePane="bottomLeft" state="frozenSplit"/>
      <selection activeCell="D40" sqref="D40"/>
      <selection pane="bottomLeft" activeCell="E6" sqref="E6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1500000</v>
      </c>
      <c r="E4"/>
      <c r="F4" s="43" t="s">
        <v>4</v>
      </c>
      <c r="G4" s="43"/>
      <c r="H4" s="13">
        <f>IFERROR(IF(LoanIsGood,MonthlyPayment,""), "")</f>
        <v>32426.930522135284</v>
      </c>
    </row>
    <row r="5" spans="2:8" ht="20.149999999999999" customHeight="1">
      <c r="B5" s="40" t="s">
        <v>1</v>
      </c>
      <c r="C5" s="40"/>
      <c r="D5" s="3">
        <v>0.1075</v>
      </c>
      <c r="E5"/>
      <c r="F5" s="40" t="s">
        <v>5</v>
      </c>
      <c r="G5" s="40"/>
      <c r="H5" s="6">
        <v>60</v>
      </c>
    </row>
    <row r="6" spans="2:8" ht="20.149999999999999" customHeight="1">
      <c r="B6" s="40" t="s">
        <v>2</v>
      </c>
      <c r="C6" s="40"/>
      <c r="D6" s="4">
        <v>5</v>
      </c>
      <c r="E6"/>
      <c r="F6" s="40" t="s">
        <v>6</v>
      </c>
      <c r="G6" s="40"/>
      <c r="H6" s="14">
        <f>IFERROR(IF(LoanIsGood,TotalLoanCost-LoanAmount,""), "")</f>
        <v>445615.83132811706</v>
      </c>
    </row>
    <row r="7" spans="2:8" ht="20.149999999999999" customHeight="1">
      <c r="B7" s="40" t="s">
        <v>3</v>
      </c>
      <c r="C7" s="40"/>
      <c r="D7" s="5">
        <v>44107</v>
      </c>
      <c r="E7"/>
      <c r="F7" s="40" t="s">
        <v>7</v>
      </c>
      <c r="G7" s="40"/>
      <c r="H7" s="14">
        <f>IFERROR(IF(LoanIsGood,MonthlyPayment*NumberOfPayments,""), "")</f>
        <v>1945615.8313281171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44138</v>
      </c>
      <c r="D10" s="12">
        <f>IFERROR(IF(LoanIsNotPaid*LoanIsGood,LoanValue,""), "")</f>
        <v>1500000</v>
      </c>
      <c r="E10" s="12">
        <f>IFERROR(IF(LoanIsNotPaid*LoanIsGood,MonthlyPayment,""), "")</f>
        <v>32426.930522135284</v>
      </c>
      <c r="F10" s="12">
        <f>IFERROR(IF(LoanIsNotPaid*LoanIsGood,Principal,""), "")</f>
        <v>18989.430522135277</v>
      </c>
      <c r="G10" s="12">
        <f>IFERROR(IF(LoanIsNotPaid*LoanIsGood,InterestAmt,""), "")</f>
        <v>13437.5</v>
      </c>
      <c r="H10" s="12">
        <f>IFERROR(IF(LoanIsNotPaid*LoanIsGood,EndingBalance,""), "")</f>
        <v>1481010.5694778645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44168</v>
      </c>
      <c r="D11" s="12">
        <f>IFERROR(IF(LoanIsNotPaid*LoanIsGood,LoanValue,""), "")</f>
        <v>1481010.5694778645</v>
      </c>
      <c r="E11" s="12">
        <f>IFERROR(IF(LoanIsNotPaid*LoanIsGood,MonthlyPayment,""), "")</f>
        <v>32426.930522135284</v>
      </c>
      <c r="F11" s="12">
        <f>IFERROR(IF(LoanIsNotPaid*LoanIsGood,Principal,""), "")</f>
        <v>19159.544170562742</v>
      </c>
      <c r="G11" s="12">
        <f>IFERROR(IF(LoanIsNotPaid*LoanIsGood,InterestAmt,""), "")</f>
        <v>13267.386351572541</v>
      </c>
      <c r="H11" s="12">
        <f>IFERROR(IF(LoanIsNotPaid*LoanIsGood,EndingBalance,""), "")</f>
        <v>1461851.0253073017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44199</v>
      </c>
      <c r="D12" s="12">
        <f>IFERROR(IF(LoanIsNotPaid*LoanIsGood,LoanValue,""), "")</f>
        <v>1461851.0253073017</v>
      </c>
      <c r="E12" s="12">
        <f>IFERROR(IF(LoanIsNotPaid*LoanIsGood,MonthlyPayment,""), "")</f>
        <v>32426.930522135284</v>
      </c>
      <c r="F12" s="12">
        <f>IFERROR(IF(LoanIsNotPaid*LoanIsGood,Principal,""), "")</f>
        <v>19331.181753757366</v>
      </c>
      <c r="G12" s="12">
        <f>IFERROR(IF(LoanIsNotPaid*LoanIsGood,InterestAmt,""), "")</f>
        <v>13095.74876837792</v>
      </c>
      <c r="H12" s="12">
        <f>IFERROR(IF(LoanIsNotPaid*LoanIsGood,EndingBalance,""), "")</f>
        <v>1442519.843553544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44230</v>
      </c>
      <c r="D13" s="12">
        <f>IFERROR(IF(LoanIsNotPaid*LoanIsGood,LoanValue,""), "")</f>
        <v>1442519.843553544</v>
      </c>
      <c r="E13" s="12">
        <f>IFERROR(IF(LoanIsNotPaid*LoanIsGood,MonthlyPayment,""), "")</f>
        <v>32426.930522135284</v>
      </c>
      <c r="F13" s="12">
        <f>IFERROR(IF(LoanIsNotPaid*LoanIsGood,Principal,""), "")</f>
        <v>19504.356923634776</v>
      </c>
      <c r="G13" s="12">
        <f>IFERROR(IF(LoanIsNotPaid*LoanIsGood,InterestAmt,""), "")</f>
        <v>12922.573598500507</v>
      </c>
      <c r="H13" s="12">
        <f>IFERROR(IF(LoanIsNotPaid*LoanIsGood,EndingBalance,""), "")</f>
        <v>1423015.4866299089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44258</v>
      </c>
      <c r="D14" s="12">
        <f>IFERROR(IF(LoanIsNotPaid*LoanIsGood,LoanValue,""), "")</f>
        <v>1423015.4866299089</v>
      </c>
      <c r="E14" s="12">
        <f>IFERROR(IF(LoanIsNotPaid*LoanIsGood,MonthlyPayment,""), "")</f>
        <v>32426.930522135284</v>
      </c>
      <c r="F14" s="12">
        <f>IFERROR(IF(LoanIsNotPaid*LoanIsGood,Principal,""), "")</f>
        <v>19679.083454409003</v>
      </c>
      <c r="G14" s="12">
        <f>IFERROR(IF(LoanIsNotPaid*LoanIsGood,InterestAmt,""), "")</f>
        <v>12747.847067726281</v>
      </c>
      <c r="H14" s="12">
        <f>IFERROR(IF(LoanIsNotPaid*LoanIsGood,EndingBalance,""), "")</f>
        <v>1403336.4031754995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44289</v>
      </c>
      <c r="D15" s="12">
        <f>IFERROR(IF(LoanIsNotPaid*LoanIsGood,LoanValue,""), "")</f>
        <v>1403336.4031754995</v>
      </c>
      <c r="E15" s="12">
        <f>IFERROR(IF(LoanIsNotPaid*LoanIsGood,MonthlyPayment,""), "")</f>
        <v>32426.930522135284</v>
      </c>
      <c r="F15" s="12">
        <f>IFERROR(IF(LoanIsNotPaid*LoanIsGood,Principal,""), "")</f>
        <v>19855.375243688086</v>
      </c>
      <c r="G15" s="12">
        <f>IFERROR(IF(LoanIsNotPaid*LoanIsGood,InterestAmt,""), "")</f>
        <v>12571.555278447198</v>
      </c>
      <c r="H15" s="12">
        <f>IFERROR(IF(LoanIsNotPaid*LoanIsGood,EndingBalance,""), "")</f>
        <v>1383481.0279318115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44319</v>
      </c>
      <c r="D16" s="12">
        <f>IFERROR(IF(LoanIsNotPaid*LoanIsGood,LoanValue,""), "")</f>
        <v>1383481.0279318115</v>
      </c>
      <c r="E16" s="12">
        <f>IFERROR(IF(LoanIsNotPaid*LoanIsGood,MonthlyPayment,""), "")</f>
        <v>32426.930522135284</v>
      </c>
      <c r="F16" s="12">
        <f>IFERROR(IF(LoanIsNotPaid*LoanIsGood,Principal,""), "")</f>
        <v>20033.246313579457</v>
      </c>
      <c r="G16" s="12">
        <f>IFERROR(IF(LoanIsNotPaid*LoanIsGood,InterestAmt,""), "")</f>
        <v>12393.684208555826</v>
      </c>
      <c r="H16" s="12">
        <f>IFERROR(IF(LoanIsNotPaid*LoanIsGood,EndingBalance,""), "")</f>
        <v>1363447.7816182319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44350</v>
      </c>
      <c r="D17" s="12">
        <f>IFERROR(IF(LoanIsNotPaid*LoanIsGood,LoanValue,""), "")</f>
        <v>1363447.7816182319</v>
      </c>
      <c r="E17" s="12">
        <f>IFERROR(IF(LoanIsNotPaid*LoanIsGood,MonthlyPayment,""), "")</f>
        <v>32426.930522135284</v>
      </c>
      <c r="F17" s="12">
        <f>IFERROR(IF(LoanIsNotPaid*LoanIsGood,Principal,""), "")</f>
        <v>20212.710811805271</v>
      </c>
      <c r="G17" s="12">
        <f>IFERROR(IF(LoanIsNotPaid*LoanIsGood,InterestAmt,""), "")</f>
        <v>12214.21971033001</v>
      </c>
      <c r="H17" s="12">
        <f>IFERROR(IF(LoanIsNotPaid*LoanIsGood,EndingBalance,""), "")</f>
        <v>1343235.0708064262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44380</v>
      </c>
      <c r="D18" s="12">
        <f>IFERROR(IF(LoanIsNotPaid*LoanIsGood,LoanValue,""), "")</f>
        <v>1343235.0708064262</v>
      </c>
      <c r="E18" s="12">
        <f>IFERROR(IF(LoanIsNotPaid*LoanIsGood,MonthlyPayment,""), "")</f>
        <v>32426.930522135284</v>
      </c>
      <c r="F18" s="12">
        <f>IFERROR(IF(LoanIsNotPaid*LoanIsGood,Principal,""), "")</f>
        <v>20393.783012827695</v>
      </c>
      <c r="G18" s="12">
        <f>IFERROR(IF(LoanIsNotPaid*LoanIsGood,InterestAmt,""), "")</f>
        <v>12033.147509307588</v>
      </c>
      <c r="H18" s="12">
        <f>IFERROR(IF(LoanIsNotPaid*LoanIsGood,EndingBalance,""), "")</f>
        <v>1322841.2877935986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44411</v>
      </c>
      <c r="D19" s="12">
        <f>IFERROR(IF(LoanIsNotPaid*LoanIsGood,LoanValue,""), "")</f>
        <v>1322841.2877935986</v>
      </c>
      <c r="E19" s="12">
        <f>IFERROR(IF(LoanIsNotPaid*LoanIsGood,MonthlyPayment,""), "")</f>
        <v>32426.930522135284</v>
      </c>
      <c r="F19" s="12">
        <f>IFERROR(IF(LoanIsNotPaid*LoanIsGood,Principal,""), "")</f>
        <v>20576.477318984278</v>
      </c>
      <c r="G19" s="12">
        <f>IFERROR(IF(LoanIsNotPaid*LoanIsGood,InterestAmt,""), "")</f>
        <v>11850.45320315101</v>
      </c>
      <c r="H19" s="12">
        <f>IFERROR(IF(LoanIsNotPaid*LoanIsGood,EndingBalance,""), "")</f>
        <v>1302264.8104746139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44442</v>
      </c>
      <c r="D20" s="12">
        <f>IFERROR(IF(LoanIsNotPaid*LoanIsGood,LoanValue,""), "")</f>
        <v>1302264.8104746139</v>
      </c>
      <c r="E20" s="12">
        <f>IFERROR(IF(LoanIsNotPaid*LoanIsGood,MonthlyPayment,""), "")</f>
        <v>32426.930522135284</v>
      </c>
      <c r="F20" s="12">
        <f>IFERROR(IF(LoanIsNotPaid*LoanIsGood,Principal,""), "")</f>
        <v>20760.808261633509</v>
      </c>
      <c r="G20" s="12">
        <f>IFERROR(IF(LoanIsNotPaid*LoanIsGood,InterestAmt,""), "")</f>
        <v>11666.122260501774</v>
      </c>
      <c r="H20" s="12">
        <f>IFERROR(IF(LoanIsNotPaid*LoanIsGood,EndingBalance,""), "")</f>
        <v>1281504.0022129803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44472</v>
      </c>
      <c r="D21" s="12">
        <f>IFERROR(IF(LoanIsNotPaid*LoanIsGood,LoanValue,""), "")</f>
        <v>1281504.0022129803</v>
      </c>
      <c r="E21" s="12">
        <f>IFERROR(IF(LoanIsNotPaid*LoanIsGood,MonthlyPayment,""), "")</f>
        <v>32426.930522135284</v>
      </c>
      <c r="F21" s="12">
        <f>IFERROR(IF(LoanIsNotPaid*LoanIsGood,Principal,""), "")</f>
        <v>20946.790502310647</v>
      </c>
      <c r="G21" s="12">
        <f>IFERROR(IF(LoanIsNotPaid*LoanIsGood,InterestAmt,""), "")</f>
        <v>11480.140019824639</v>
      </c>
      <c r="H21" s="12">
        <f>IFERROR(IF(LoanIsNotPaid*LoanIsGood,EndingBalance,""), "")</f>
        <v>1260557.2117106689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44503</v>
      </c>
      <c r="D22" s="12">
        <f>IFERROR(IF(LoanIsNotPaid*LoanIsGood,LoanValue,""), "")</f>
        <v>1260557.2117106689</v>
      </c>
      <c r="E22" s="12">
        <f>IFERROR(IF(LoanIsNotPaid*LoanIsGood,MonthlyPayment,""), "")</f>
        <v>32426.930522135284</v>
      </c>
      <c r="F22" s="12">
        <f>IFERROR(IF(LoanIsNotPaid*LoanIsGood,Principal,""), "")</f>
        <v>21134.438833893844</v>
      </c>
      <c r="G22" s="12">
        <f>IFERROR(IF(LoanIsNotPaid*LoanIsGood,InterestAmt,""), "")</f>
        <v>11292.491688241438</v>
      </c>
      <c r="H22" s="12">
        <f>IFERROR(IF(LoanIsNotPaid*LoanIsGood,EndingBalance,""), "")</f>
        <v>1239422.7728767749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44533</v>
      </c>
      <c r="D23" s="12">
        <f>IFERROR(IF(LoanIsNotPaid*LoanIsGood,LoanValue,""), "")</f>
        <v>1239422.7728767749</v>
      </c>
      <c r="E23" s="12">
        <f>IFERROR(IF(LoanIsNotPaid*LoanIsGood,MonthlyPayment,""), "")</f>
        <v>32426.930522135284</v>
      </c>
      <c r="F23" s="12">
        <f>IFERROR(IF(LoanIsNotPaid*LoanIsGood,Principal,""), "")</f>
        <v>21323.768181780812</v>
      </c>
      <c r="G23" s="12">
        <f>IFERROR(IF(LoanIsNotPaid*LoanIsGood,InterestAmt,""), "")</f>
        <v>11103.162340354473</v>
      </c>
      <c r="H23" s="12">
        <f>IFERROR(IF(LoanIsNotPaid*LoanIsGood,EndingBalance,""), "")</f>
        <v>1218099.0046949943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44564</v>
      </c>
      <c r="D24" s="12">
        <f>IFERROR(IF(LoanIsNotPaid*LoanIsGood,LoanValue,""), "")</f>
        <v>1218099.0046949943</v>
      </c>
      <c r="E24" s="12">
        <f>IFERROR(IF(LoanIsNotPaid*LoanIsGood,MonthlyPayment,""), "")</f>
        <v>32426.930522135284</v>
      </c>
      <c r="F24" s="12">
        <f>IFERROR(IF(LoanIsNotPaid*LoanIsGood,Principal,""), "")</f>
        <v>21514.793605075931</v>
      </c>
      <c r="G24" s="12">
        <f>IFERROR(IF(LoanIsNotPaid*LoanIsGood,InterestAmt,""), "")</f>
        <v>10912.136917059353</v>
      </c>
      <c r="H24" s="12">
        <f>IFERROR(IF(LoanIsNotPaid*LoanIsGood,EndingBalance,""), "")</f>
        <v>1196584.2110899177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44595</v>
      </c>
      <c r="D25" s="12">
        <f>IFERROR(IF(LoanIsNotPaid*LoanIsGood,LoanValue,""), "")</f>
        <v>1196584.2110899177</v>
      </c>
      <c r="E25" s="12">
        <f>IFERROR(IF(LoanIsNotPaid*LoanIsGood,MonthlyPayment,""), "")</f>
        <v>32426.930522135284</v>
      </c>
      <c r="F25" s="12">
        <f>IFERROR(IF(LoanIsNotPaid*LoanIsGood,Principal,""), "")</f>
        <v>21707.530297788067</v>
      </c>
      <c r="G25" s="12">
        <f>IFERROR(IF(LoanIsNotPaid*LoanIsGood,InterestAmt,""), "")</f>
        <v>10719.400224347215</v>
      </c>
      <c r="H25" s="12">
        <f>IFERROR(IF(LoanIsNotPaid*LoanIsGood,EndingBalance,""), "")</f>
        <v>1174876.6807921296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44623</v>
      </c>
      <c r="D26" s="12">
        <f>IFERROR(IF(LoanIsNotPaid*LoanIsGood,LoanValue,""), "")</f>
        <v>1174876.6807921296</v>
      </c>
      <c r="E26" s="12">
        <f>IFERROR(IF(LoanIsNotPaid*LoanIsGood,MonthlyPayment,""), "")</f>
        <v>32426.930522135284</v>
      </c>
      <c r="F26" s="12">
        <f>IFERROR(IF(LoanIsNotPaid*LoanIsGood,Principal,""), "")</f>
        <v>21901.993590039088</v>
      </c>
      <c r="G26" s="12">
        <f>IFERROR(IF(LoanIsNotPaid*LoanIsGood,InterestAmt,""), "")</f>
        <v>10524.936932096198</v>
      </c>
      <c r="H26" s="12">
        <f>IFERROR(IF(LoanIsNotPaid*LoanIsGood,EndingBalance,""), "")</f>
        <v>1152974.6872020904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44654</v>
      </c>
      <c r="D27" s="12">
        <f>IFERROR(IF(LoanIsNotPaid*LoanIsGood,LoanValue,""), "")</f>
        <v>1152974.6872020904</v>
      </c>
      <c r="E27" s="12">
        <f>IFERROR(IF(LoanIsNotPaid*LoanIsGood,MonthlyPayment,""), "")</f>
        <v>32426.930522135284</v>
      </c>
      <c r="F27" s="12">
        <f>IFERROR(IF(LoanIsNotPaid*LoanIsGood,Principal,""), "")</f>
        <v>22098.198949283185</v>
      </c>
      <c r="G27" s="12">
        <f>IFERROR(IF(LoanIsNotPaid*LoanIsGood,InterestAmt,""), "")</f>
        <v>10328.731572852095</v>
      </c>
      <c r="H27" s="12">
        <f>IFERROR(IF(LoanIsNotPaid*LoanIsGood,EndingBalance,""), "")</f>
        <v>1130876.4882528065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44684</v>
      </c>
      <c r="D28" s="12">
        <f>IFERROR(IF(LoanIsNotPaid*LoanIsGood,LoanValue,""), "")</f>
        <v>1130876.4882528065</v>
      </c>
      <c r="E28" s="12">
        <f>IFERROR(IF(LoanIsNotPaid*LoanIsGood,MonthlyPayment,""), "")</f>
        <v>32426.930522135284</v>
      </c>
      <c r="F28" s="12">
        <f>IFERROR(IF(LoanIsNotPaid*LoanIsGood,Principal,""), "")</f>
        <v>22296.161981537181</v>
      </c>
      <c r="G28" s="12">
        <f>IFERROR(IF(LoanIsNotPaid*LoanIsGood,InterestAmt,""), "")</f>
        <v>10130.768540598103</v>
      </c>
      <c r="H28" s="12">
        <f>IFERROR(IF(LoanIsNotPaid*LoanIsGood,EndingBalance,""), "")</f>
        <v>1108580.3262712695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44715</v>
      </c>
      <c r="D29" s="12">
        <f>IFERROR(IF(LoanIsNotPaid*LoanIsGood,LoanValue,""), "")</f>
        <v>1108580.3262712695</v>
      </c>
      <c r="E29" s="12">
        <f>IFERROR(IF(LoanIsNotPaid*LoanIsGood,MonthlyPayment,""), "")</f>
        <v>32426.930522135284</v>
      </c>
      <c r="F29" s="12">
        <f>IFERROR(IF(LoanIsNotPaid*LoanIsGood,Principal,""), "")</f>
        <v>22495.898432621787</v>
      </c>
      <c r="G29" s="12">
        <f>IFERROR(IF(LoanIsNotPaid*LoanIsGood,InterestAmt,""), "")</f>
        <v>9931.0320895134973</v>
      </c>
      <c r="H29" s="12">
        <f>IFERROR(IF(LoanIsNotPaid*LoanIsGood,EndingBalance,""), "")</f>
        <v>1086084.4278386473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44745</v>
      </c>
      <c r="D30" s="12">
        <f>IFERROR(IF(LoanIsNotPaid*LoanIsGood,LoanValue,""), "")</f>
        <v>1086084.4278386473</v>
      </c>
      <c r="E30" s="12">
        <f>IFERROR(IF(LoanIsNotPaid*LoanIsGood,MonthlyPayment,""), "")</f>
        <v>32426.930522135284</v>
      </c>
      <c r="F30" s="12">
        <f>IFERROR(IF(LoanIsNotPaid*LoanIsGood,Principal,""), "")</f>
        <v>22697.424189414021</v>
      </c>
      <c r="G30" s="12">
        <f>IFERROR(IF(LoanIsNotPaid*LoanIsGood,InterestAmt,""), "")</f>
        <v>9729.5063327212611</v>
      </c>
      <c r="H30" s="12">
        <f>IFERROR(IF(LoanIsNotPaid*LoanIsGood,EndingBalance,""), "")</f>
        <v>1063387.0036492329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44776</v>
      </c>
      <c r="D31" s="12">
        <f>IFERROR(IF(LoanIsNotPaid*LoanIsGood,LoanValue,""), "")</f>
        <v>1063387.0036492329</v>
      </c>
      <c r="E31" s="12">
        <f>IFERROR(IF(LoanIsNotPaid*LoanIsGood,MonthlyPayment,""), "")</f>
        <v>32426.930522135284</v>
      </c>
      <c r="F31" s="12">
        <f>IFERROR(IF(LoanIsNotPaid*LoanIsGood,Principal,""), "")</f>
        <v>22900.755281110854</v>
      </c>
      <c r="G31" s="12">
        <f>IFERROR(IF(LoanIsNotPaid*LoanIsGood,InterestAmt,""), "")</f>
        <v>9526.1752410244262</v>
      </c>
      <c r="H31" s="12">
        <f>IFERROR(IF(LoanIsNotPaid*LoanIsGood,EndingBalance,""), "")</f>
        <v>1040486.2483681217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44807</v>
      </c>
      <c r="D32" s="12">
        <f>IFERROR(IF(LoanIsNotPaid*LoanIsGood,LoanValue,""), "")</f>
        <v>1040486.2483681217</v>
      </c>
      <c r="E32" s="12">
        <f>IFERROR(IF(LoanIsNotPaid*LoanIsGood,MonthlyPayment,""), "")</f>
        <v>32426.930522135284</v>
      </c>
      <c r="F32" s="12">
        <f>IFERROR(IF(LoanIsNotPaid*LoanIsGood,Principal,""), "")</f>
        <v>23105.907880504143</v>
      </c>
      <c r="G32" s="12">
        <f>IFERROR(IF(LoanIsNotPaid*LoanIsGood,InterestAmt,""), "")</f>
        <v>9321.0226416311416</v>
      </c>
      <c r="H32" s="12">
        <f>IFERROR(IF(LoanIsNotPaid*LoanIsGood,EndingBalance,""), "")</f>
        <v>1017380.3404876174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44837</v>
      </c>
      <c r="D33" s="12">
        <f>IFERROR(IF(LoanIsNotPaid*LoanIsGood,LoanValue,""), "")</f>
        <v>1017380.3404876174</v>
      </c>
      <c r="E33" s="12">
        <f>IFERROR(IF(LoanIsNotPaid*LoanIsGood,MonthlyPayment,""), "")</f>
        <v>32426.930522135284</v>
      </c>
      <c r="F33" s="12">
        <f>IFERROR(IF(LoanIsNotPaid*LoanIsGood,Principal,""), "")</f>
        <v>23312.89830526699</v>
      </c>
      <c r="G33" s="12">
        <f>IFERROR(IF(LoanIsNotPaid*LoanIsGood,InterestAmt,""), "")</f>
        <v>9114.0322168682924</v>
      </c>
      <c r="H33" s="12">
        <f>IFERROR(IF(LoanIsNotPaid*LoanIsGood,EndingBalance,""), "")</f>
        <v>994067.44218235021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44868</v>
      </c>
      <c r="D34" s="12">
        <f>IFERROR(IF(LoanIsNotPaid*LoanIsGood,LoanValue,""), "")</f>
        <v>994067.44218235021</v>
      </c>
      <c r="E34" s="12">
        <f>IFERROR(IF(LoanIsNotPaid*LoanIsGood,MonthlyPayment,""), "")</f>
        <v>32426.930522135284</v>
      </c>
      <c r="F34" s="12">
        <f>IFERROR(IF(LoanIsNotPaid*LoanIsGood,Principal,""), "")</f>
        <v>23521.743019251673</v>
      </c>
      <c r="G34" s="12">
        <f>IFERROR(IF(LoanIsNotPaid*LoanIsGood,InterestAmt,""), "")</f>
        <v>8905.1875028836093</v>
      </c>
      <c r="H34" s="12">
        <f>IFERROR(IF(LoanIsNotPaid*LoanIsGood,EndingBalance,""), "")</f>
        <v>970545.69916309847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44898</v>
      </c>
      <c r="D35" s="12">
        <f>IFERROR(IF(LoanIsNotPaid*LoanIsGood,LoanValue,""), "")</f>
        <v>970545.69916309847</v>
      </c>
      <c r="E35" s="12">
        <f>IFERROR(IF(LoanIsNotPaid*LoanIsGood,MonthlyPayment,""), "")</f>
        <v>32426.930522135284</v>
      </c>
      <c r="F35" s="12">
        <f>IFERROR(IF(LoanIsNotPaid*LoanIsGood,Principal,""), "")</f>
        <v>23732.458633799135</v>
      </c>
      <c r="G35" s="12">
        <f>IFERROR(IF(LoanIsNotPaid*LoanIsGood,InterestAmt,""), "")</f>
        <v>8694.4718883361456</v>
      </c>
      <c r="H35" s="12">
        <f>IFERROR(IF(LoanIsNotPaid*LoanIsGood,EndingBalance,""), "")</f>
        <v>946813.24052929867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44929</v>
      </c>
      <c r="D36" s="12">
        <f>IFERROR(IF(LoanIsNotPaid*LoanIsGood,LoanValue,""), "")</f>
        <v>946813.24052929867</v>
      </c>
      <c r="E36" s="12">
        <f>IFERROR(IF(LoanIsNotPaid*LoanIsGood,MonthlyPayment,""), "")</f>
        <v>32426.930522135284</v>
      </c>
      <c r="F36" s="12">
        <f>IFERROR(IF(LoanIsNotPaid*LoanIsGood,Principal,""), "")</f>
        <v>23945.061909060256</v>
      </c>
      <c r="G36" s="12">
        <f>IFERROR(IF(LoanIsNotPaid*LoanIsGood,InterestAmt,""), "")</f>
        <v>8481.8686130750284</v>
      </c>
      <c r="H36" s="12">
        <f>IFERROR(IF(LoanIsNotPaid*LoanIsGood,EndingBalance,""), "")</f>
        <v>922868.17862023867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44960</v>
      </c>
      <c r="D37" s="12">
        <f>IFERROR(IF(LoanIsNotPaid*LoanIsGood,LoanValue,""), "")</f>
        <v>922868.17862023867</v>
      </c>
      <c r="E37" s="12">
        <f>IFERROR(IF(LoanIsNotPaid*LoanIsGood,MonthlyPayment,""), "")</f>
        <v>32426.930522135284</v>
      </c>
      <c r="F37" s="12">
        <f>IFERROR(IF(LoanIsNotPaid*LoanIsGood,Principal,""), "")</f>
        <v>24159.569755328925</v>
      </c>
      <c r="G37" s="12">
        <f>IFERROR(IF(LoanIsNotPaid*LoanIsGood,InterestAmt,""), "")</f>
        <v>8267.3607668063651</v>
      </c>
      <c r="H37" s="12">
        <f>IFERROR(IF(LoanIsNotPaid*LoanIsGood,EndingBalance,""), "")</f>
        <v>898708.60886490857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44988</v>
      </c>
      <c r="D38" s="12">
        <f>IFERROR(IF(LoanIsNotPaid*LoanIsGood,LoanValue,""), "")</f>
        <v>898708.60886490857</v>
      </c>
      <c r="E38" s="12">
        <f>IFERROR(IF(LoanIsNotPaid*LoanIsGood,MonthlyPayment,""), "")</f>
        <v>32426.930522135284</v>
      </c>
      <c r="F38" s="12">
        <f>IFERROR(IF(LoanIsNotPaid*LoanIsGood,Principal,""), "")</f>
        <v>24375.999234387076</v>
      </c>
      <c r="G38" s="12">
        <f>IFERROR(IF(LoanIsNotPaid*LoanIsGood,InterestAmt,""), "")</f>
        <v>8050.9312877482098</v>
      </c>
      <c r="H38" s="12">
        <f>IFERROR(IF(LoanIsNotPaid*LoanIsGood,EndingBalance,""), "")</f>
        <v>874332.60963052115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45019</v>
      </c>
      <c r="D39" s="12">
        <f>IFERROR(IF(LoanIsNotPaid*LoanIsGood,LoanValue,""), "")</f>
        <v>874332.60963052115</v>
      </c>
      <c r="E39" s="12">
        <f>IFERROR(IF(LoanIsNotPaid*LoanIsGood,MonthlyPayment,""), "")</f>
        <v>32426.930522135284</v>
      </c>
      <c r="F39" s="12">
        <f>IFERROR(IF(LoanIsNotPaid*LoanIsGood,Principal,""), "")</f>
        <v>24594.367560861796</v>
      </c>
      <c r="G39" s="12">
        <f>IFERROR(IF(LoanIsNotPaid*LoanIsGood,InterestAmt,""), "")</f>
        <v>7832.5629612734901</v>
      </c>
      <c r="H39" s="12">
        <f>IFERROR(IF(LoanIsNotPaid*LoanIsGood,EndingBalance,""), "")</f>
        <v>849738.24206965929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45049</v>
      </c>
      <c r="D40" s="12">
        <f>IFERROR(IF(LoanIsNotPaid*LoanIsGood,LoanValue,""), "")</f>
        <v>849738.24206965929</v>
      </c>
      <c r="E40" s="12">
        <f>IFERROR(IF(LoanIsNotPaid*LoanIsGood,MonthlyPayment,""), "")</f>
        <v>32426.930522135284</v>
      </c>
      <c r="F40" s="12">
        <f>IFERROR(IF(LoanIsNotPaid*LoanIsGood,Principal,""), "")</f>
        <v>24814.692103594516</v>
      </c>
      <c r="G40" s="12">
        <f>IFERROR(IF(LoanIsNotPaid*LoanIsGood,InterestAmt,""), "")</f>
        <v>7612.23841854077</v>
      </c>
      <c r="H40" s="12">
        <f>IFERROR(IF(LoanIsNotPaid*LoanIsGood,EndingBalance,""), "")</f>
        <v>824923.54996606428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45080</v>
      </c>
      <c r="D41" s="12">
        <f>IFERROR(IF(LoanIsNotPaid*LoanIsGood,LoanValue,""), "")</f>
        <v>824923.54996606428</v>
      </c>
      <c r="E41" s="12">
        <f>IFERROR(IF(LoanIsNotPaid*LoanIsGood,MonthlyPayment,""), "")</f>
        <v>32426.930522135284</v>
      </c>
      <c r="F41" s="12">
        <f>IFERROR(IF(LoanIsNotPaid*LoanIsGood,Principal,""), "")</f>
        <v>25036.99038702255</v>
      </c>
      <c r="G41" s="12">
        <f>IFERROR(IF(LoanIsNotPaid*LoanIsGood,InterestAmt,""), "")</f>
        <v>7389.9401351127381</v>
      </c>
      <c r="H41" s="12">
        <f>IFERROR(IF(LoanIsNotPaid*LoanIsGood,EndingBalance,""), "")</f>
        <v>799886.55957904155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45110</v>
      </c>
      <c r="D42" s="12">
        <f>IFERROR(IF(LoanIsNotPaid*LoanIsGood,LoanValue,""), "")</f>
        <v>799886.55957904155</v>
      </c>
      <c r="E42" s="12">
        <f>IFERROR(IF(LoanIsNotPaid*LoanIsGood,MonthlyPayment,""), "")</f>
        <v>32426.930522135284</v>
      </c>
      <c r="F42" s="12">
        <f>IFERROR(IF(LoanIsNotPaid*LoanIsGood,Principal,""), "")</f>
        <v>25261.280092572957</v>
      </c>
      <c r="G42" s="12">
        <f>IFERROR(IF(LoanIsNotPaid*LoanIsGood,InterestAmt,""), "")</f>
        <v>7165.6504295623254</v>
      </c>
      <c r="H42" s="12">
        <f>IFERROR(IF(LoanIsNotPaid*LoanIsGood,EndingBalance,""), "")</f>
        <v>774625.27948646829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45141</v>
      </c>
      <c r="D43" s="12">
        <f>IFERROR(IF(LoanIsNotPaid*LoanIsGood,LoanValue,""), "")</f>
        <v>774625.27948646829</v>
      </c>
      <c r="E43" s="12">
        <f>IFERROR(IF(LoanIsNotPaid*LoanIsGood,MonthlyPayment,""), "")</f>
        <v>32426.930522135284</v>
      </c>
      <c r="F43" s="12">
        <f>IFERROR(IF(LoanIsNotPaid*LoanIsGood,Principal,""), "")</f>
        <v>25487.579060068922</v>
      </c>
      <c r="G43" s="12">
        <f>IFERROR(IF(LoanIsNotPaid*LoanIsGood,InterestAmt,""), "")</f>
        <v>6939.35146206636</v>
      </c>
      <c r="H43" s="12">
        <f>IFERROR(IF(LoanIsNotPaid*LoanIsGood,EndingBalance,""), "")</f>
        <v>749137.70042639901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45172</v>
      </c>
      <c r="D44" s="12">
        <f>IFERROR(IF(LoanIsNotPaid*LoanIsGood,LoanValue,""), "")</f>
        <v>749137.70042639901</v>
      </c>
      <c r="E44" s="12">
        <f>IFERROR(IF(LoanIsNotPaid*LoanIsGood,MonthlyPayment,""), "")</f>
        <v>32426.930522135284</v>
      </c>
      <c r="F44" s="12">
        <f>IFERROR(IF(LoanIsNotPaid*LoanIsGood,Principal,""), "")</f>
        <v>25715.905289148712</v>
      </c>
      <c r="G44" s="12">
        <f>IFERROR(IF(LoanIsNotPaid*LoanIsGood,InterestAmt,""), "")</f>
        <v>6711.0252329865762</v>
      </c>
      <c r="H44" s="12">
        <f>IFERROR(IF(LoanIsNotPaid*LoanIsGood,EndingBalance,""), "")</f>
        <v>723421.79513724986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45202</v>
      </c>
      <c r="D45" s="12">
        <f>IFERROR(IF(LoanIsNotPaid*LoanIsGood,LoanValue,""), "")</f>
        <v>723421.79513724986</v>
      </c>
      <c r="E45" s="12">
        <f>IFERROR(IF(LoanIsNotPaid*LoanIsGood,MonthlyPayment,""), "")</f>
        <v>32426.930522135284</v>
      </c>
      <c r="F45" s="12">
        <f>IFERROR(IF(LoanIsNotPaid*LoanIsGood,Principal,""), "")</f>
        <v>25946.276940697331</v>
      </c>
      <c r="G45" s="12">
        <f>IFERROR(IF(LoanIsNotPaid*LoanIsGood,InterestAmt,""), "")</f>
        <v>6480.6535814379531</v>
      </c>
      <c r="H45" s="12">
        <f>IFERROR(IF(LoanIsNotPaid*LoanIsGood,EndingBalance,""), "")</f>
        <v>697475.51819655229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45233</v>
      </c>
      <c r="D46" s="12">
        <f>IFERROR(IF(LoanIsNotPaid*LoanIsGood,LoanValue,""), "")</f>
        <v>697475.51819655229</v>
      </c>
      <c r="E46" s="12">
        <f>IFERROR(IF(LoanIsNotPaid*LoanIsGood,MonthlyPayment,""), "")</f>
        <v>32426.930522135284</v>
      </c>
      <c r="F46" s="12">
        <f>IFERROR(IF(LoanIsNotPaid*LoanIsGood,Principal,""), "")</f>
        <v>26178.71233829108</v>
      </c>
      <c r="G46" s="12">
        <f>IFERROR(IF(LoanIsNotPaid*LoanIsGood,InterestAmt,""), "")</f>
        <v>6248.2181838442057</v>
      </c>
      <c r="H46" s="12">
        <f>IFERROR(IF(LoanIsNotPaid*LoanIsGood,EndingBalance,""), "")</f>
        <v>671296.80585826072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45263</v>
      </c>
      <c r="D47" s="12">
        <f>IFERROR(IF(LoanIsNotPaid*LoanIsGood,LoanValue,""), "")</f>
        <v>671296.80585826072</v>
      </c>
      <c r="E47" s="12">
        <f>IFERROR(IF(LoanIsNotPaid*LoanIsGood,MonthlyPayment,""), "")</f>
        <v>32426.930522135284</v>
      </c>
      <c r="F47" s="12">
        <f>IFERROR(IF(LoanIsNotPaid*LoanIsGood,Principal,""), "")</f>
        <v>26413.229969654934</v>
      </c>
      <c r="G47" s="12">
        <f>IFERROR(IF(LoanIsNotPaid*LoanIsGood,InterestAmt,""), "")</f>
        <v>6013.7005524803462</v>
      </c>
      <c r="H47" s="12">
        <f>IFERROR(IF(LoanIsNotPaid*LoanIsGood,EndingBalance,""), "")</f>
        <v>644883.57588860579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45294</v>
      </c>
      <c r="D48" s="12">
        <f>IFERROR(IF(LoanIsNotPaid*LoanIsGood,LoanValue,""), "")</f>
        <v>644883.57588860579</v>
      </c>
      <c r="E48" s="12">
        <f>IFERROR(IF(LoanIsNotPaid*LoanIsGood,MonthlyPayment,""), "")</f>
        <v>32426.930522135284</v>
      </c>
      <c r="F48" s="12">
        <f>IFERROR(IF(LoanIsNotPaid*LoanIsGood,Principal,""), "")</f>
        <v>26649.848488133099</v>
      </c>
      <c r="G48" s="12">
        <f>IFERROR(IF(LoanIsNotPaid*LoanIsGood,InterestAmt,""), "")</f>
        <v>5777.0820340021883</v>
      </c>
      <c r="H48" s="12">
        <f>IFERROR(IF(LoanIsNotPaid*LoanIsGood,EndingBalance,""), "")</f>
        <v>618233.72740047192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45325</v>
      </c>
      <c r="D49" s="12">
        <f>IFERROR(IF(LoanIsNotPaid*LoanIsGood,LoanValue,""), "")</f>
        <v>618233.72740047192</v>
      </c>
      <c r="E49" s="12">
        <f>IFERROR(IF(LoanIsNotPaid*LoanIsGood,MonthlyPayment,""), "")</f>
        <v>32426.930522135284</v>
      </c>
      <c r="F49" s="12">
        <f>IFERROR(IF(LoanIsNotPaid*LoanIsGood,Principal,""), "")</f>
        <v>26888.586714172623</v>
      </c>
      <c r="G49" s="12">
        <f>IFERROR(IF(LoanIsNotPaid*LoanIsGood,InterestAmt,""), "")</f>
        <v>5538.3438079626649</v>
      </c>
      <c r="H49" s="12">
        <f>IFERROR(IF(LoanIsNotPaid*LoanIsGood,EndingBalance,""), "")</f>
        <v>591345.14068629919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45354</v>
      </c>
      <c r="D50" s="12">
        <f>IFERROR(IF(LoanIsNotPaid*LoanIsGood,LoanValue,""), "")</f>
        <v>591345.14068629919</v>
      </c>
      <c r="E50" s="12">
        <f>IFERROR(IF(LoanIsNotPaid*LoanIsGood,MonthlyPayment,""), "")</f>
        <v>32426.930522135284</v>
      </c>
      <c r="F50" s="12">
        <f>IFERROR(IF(LoanIsNotPaid*LoanIsGood,Principal,""), "")</f>
        <v>27129.463636820416</v>
      </c>
      <c r="G50" s="12">
        <f>IFERROR(IF(LoanIsNotPaid*LoanIsGood,InterestAmt,""), "")</f>
        <v>5297.4668853148669</v>
      </c>
      <c r="H50" s="12">
        <f>IFERROR(IF(LoanIsNotPaid*LoanIsGood,EndingBalance,""), "")</f>
        <v>564215.67704947875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45385</v>
      </c>
      <c r="D51" s="12">
        <f>IFERROR(IF(LoanIsNotPaid*LoanIsGood,LoanValue,""), "")</f>
        <v>564215.67704947875</v>
      </c>
      <c r="E51" s="12">
        <f>IFERROR(IF(LoanIsNotPaid*LoanIsGood,MonthlyPayment,""), "")</f>
        <v>32426.930522135284</v>
      </c>
      <c r="F51" s="12">
        <f>IFERROR(IF(LoanIsNotPaid*LoanIsGood,Principal,""), "")</f>
        <v>27372.4984152336</v>
      </c>
      <c r="G51" s="12">
        <f>IFERROR(IF(LoanIsNotPaid*LoanIsGood,InterestAmt,""), "")</f>
        <v>5054.4321069016842</v>
      </c>
      <c r="H51" s="12">
        <f>IFERROR(IF(LoanIsNotPaid*LoanIsGood,EndingBalance,""), "")</f>
        <v>536843.17863424402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45415</v>
      </c>
      <c r="D52" s="12">
        <f>IFERROR(IF(LoanIsNotPaid*LoanIsGood,LoanValue,""), "")</f>
        <v>536843.17863424402</v>
      </c>
      <c r="E52" s="12">
        <f>IFERROR(IF(LoanIsNotPaid*LoanIsGood,MonthlyPayment,""), "")</f>
        <v>32426.930522135284</v>
      </c>
      <c r="F52" s="12">
        <f>IFERROR(IF(LoanIsNotPaid*LoanIsGood,Principal,""), "")</f>
        <v>27617.7103802034</v>
      </c>
      <c r="G52" s="12">
        <f>IFERROR(IF(LoanIsNotPaid*LoanIsGood,InterestAmt,""), "")</f>
        <v>4809.2201419318826</v>
      </c>
      <c r="H52" s="12">
        <f>IFERROR(IF(LoanIsNotPaid*LoanIsGood,EndingBalance,""), "")</f>
        <v>509225.46825404069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45446</v>
      </c>
      <c r="D53" s="12">
        <f>IFERROR(IF(LoanIsNotPaid*LoanIsGood,LoanValue,""), "")</f>
        <v>509225.46825404069</v>
      </c>
      <c r="E53" s="12">
        <f>IFERROR(IF(LoanIsNotPaid*LoanIsGood,MonthlyPayment,""), "")</f>
        <v>32426.930522135284</v>
      </c>
      <c r="F53" s="12">
        <f>IFERROR(IF(LoanIsNotPaid*LoanIsGood,Principal,""), "")</f>
        <v>27865.119035692722</v>
      </c>
      <c r="G53" s="12">
        <f>IFERROR(IF(LoanIsNotPaid*LoanIsGood,InterestAmt,""), "")</f>
        <v>4561.8114864425606</v>
      </c>
      <c r="H53" s="12">
        <f>IFERROR(IF(LoanIsNotPaid*LoanIsGood,EndingBalance,""), "")</f>
        <v>481360.34921834688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45476</v>
      </c>
      <c r="D54" s="12">
        <f>IFERROR(IF(LoanIsNotPaid*LoanIsGood,LoanValue,""), "")</f>
        <v>481360.34921834688</v>
      </c>
      <c r="E54" s="12">
        <f>IFERROR(IF(LoanIsNotPaid*LoanIsGood,MonthlyPayment,""), "")</f>
        <v>32426.930522135284</v>
      </c>
      <c r="F54" s="12">
        <f>IFERROR(IF(LoanIsNotPaid*LoanIsGood,Principal,""), "")</f>
        <v>28114.744060387471</v>
      </c>
      <c r="G54" s="12">
        <f>IFERROR(IF(LoanIsNotPaid*LoanIsGood,InterestAmt,""), "")</f>
        <v>4312.1864617478132</v>
      </c>
      <c r="H54" s="12">
        <f>IFERROR(IF(LoanIsNotPaid*LoanIsGood,EndingBalance,""), "")</f>
        <v>453245.60515795927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45507</v>
      </c>
      <c r="D55" s="12">
        <f>IFERROR(IF(LoanIsNotPaid*LoanIsGood,LoanValue,""), "")</f>
        <v>453245.60515795927</v>
      </c>
      <c r="E55" s="12">
        <f>IFERROR(IF(LoanIsNotPaid*LoanIsGood,MonthlyPayment,""), "")</f>
        <v>32426.930522135284</v>
      </c>
      <c r="F55" s="12">
        <f>IFERROR(IF(LoanIsNotPaid*LoanIsGood,Principal,""), "")</f>
        <v>28366.605309261777</v>
      </c>
      <c r="G55" s="12">
        <f>IFERROR(IF(LoanIsNotPaid*LoanIsGood,InterestAmt,""), "")</f>
        <v>4060.3252128735085</v>
      </c>
      <c r="H55" s="12">
        <f>IFERROR(IF(LoanIsNotPaid*LoanIsGood,EndingBalance,""), "")</f>
        <v>424878.99984869757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45538</v>
      </c>
      <c r="D56" s="12">
        <f>IFERROR(IF(LoanIsNotPaid*LoanIsGood,LoanValue,""), "")</f>
        <v>424878.99984869757</v>
      </c>
      <c r="E56" s="12">
        <f>IFERROR(IF(LoanIsNotPaid*LoanIsGood,MonthlyPayment,""), "")</f>
        <v>32426.930522135284</v>
      </c>
      <c r="F56" s="12">
        <f>IFERROR(IF(LoanIsNotPaid*LoanIsGood,Principal,""), "")</f>
        <v>28620.722815157245</v>
      </c>
      <c r="G56" s="12">
        <f>IFERROR(IF(LoanIsNotPaid*LoanIsGood,InterestAmt,""), "")</f>
        <v>3806.2077069780389</v>
      </c>
      <c r="H56" s="12">
        <f>IFERROR(IF(LoanIsNotPaid*LoanIsGood,EndingBalance,""), "")</f>
        <v>396258.27703353902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45568</v>
      </c>
      <c r="D57" s="12">
        <f>IFERROR(IF(LoanIsNotPaid*LoanIsGood,LoanValue,""), "")</f>
        <v>396258.27703353902</v>
      </c>
      <c r="E57" s="12">
        <f>IFERROR(IF(LoanIsNotPaid*LoanIsGood,MonthlyPayment,""), "")</f>
        <v>32426.930522135284</v>
      </c>
      <c r="F57" s="12">
        <f>IFERROR(IF(LoanIsNotPaid*LoanIsGood,Principal,""), "")</f>
        <v>28877.11679037636</v>
      </c>
      <c r="G57" s="12">
        <f>IFERROR(IF(LoanIsNotPaid*LoanIsGood,InterestAmt,""), "")</f>
        <v>3549.8137317589217</v>
      </c>
      <c r="H57" s="12">
        <f>IFERROR(IF(LoanIsNotPaid*LoanIsGood,EndingBalance,""), "")</f>
        <v>367381.16024316289</v>
      </c>
    </row>
    <row r="58" spans="2:8" ht="20.149999999999999" customHeight="1">
      <c r="B58" s="9">
        <f>IFERROR(IF(LoanIsNotPaid*LoanIsGood,PaymentNumber,""), "")</f>
        <v>49</v>
      </c>
      <c r="C58" s="10">
        <f>IFERROR(IF(LoanIsNotPaid*LoanIsGood,PaymentDate,""), "")</f>
        <v>45599</v>
      </c>
      <c r="D58" s="12">
        <f>IFERROR(IF(LoanIsNotPaid*LoanIsGood,LoanValue,""), "")</f>
        <v>367381.16024316289</v>
      </c>
      <c r="E58" s="12">
        <f>IFERROR(IF(LoanIsNotPaid*LoanIsGood,MonthlyPayment,""), "")</f>
        <v>32426.930522135284</v>
      </c>
      <c r="F58" s="12">
        <f>IFERROR(IF(LoanIsNotPaid*LoanIsGood,Principal,""), "")</f>
        <v>29135.807628290149</v>
      </c>
      <c r="G58" s="12">
        <f>IFERROR(IF(LoanIsNotPaid*LoanIsGood,InterestAmt,""), "")</f>
        <v>3291.1228938451336</v>
      </c>
      <c r="H58" s="12">
        <f>IFERROR(IF(LoanIsNotPaid*LoanIsGood,EndingBalance,""), "")</f>
        <v>338245.35261487216</v>
      </c>
    </row>
    <row r="59" spans="2:8" ht="20.149999999999999" customHeight="1">
      <c r="B59" s="9">
        <f>IFERROR(IF(LoanIsNotPaid*LoanIsGood,PaymentNumber,""), "")</f>
        <v>50</v>
      </c>
      <c r="C59" s="10">
        <f>IFERROR(IF(LoanIsNotPaid*LoanIsGood,PaymentDate,""), "")</f>
        <v>45629</v>
      </c>
      <c r="D59" s="12">
        <f>IFERROR(IF(LoanIsNotPaid*LoanIsGood,LoanValue,""), "")</f>
        <v>338245.35261487216</v>
      </c>
      <c r="E59" s="12">
        <f>IFERROR(IF(LoanIsNotPaid*LoanIsGood,MonthlyPayment,""), "")</f>
        <v>32426.930522135284</v>
      </c>
      <c r="F59" s="12">
        <f>IFERROR(IF(LoanIsNotPaid*LoanIsGood,Principal,""), "")</f>
        <v>29396.815904960251</v>
      </c>
      <c r="G59" s="12">
        <f>IFERROR(IF(LoanIsNotPaid*LoanIsGood,InterestAmt,""), "")</f>
        <v>3030.1146171750347</v>
      </c>
      <c r="H59" s="12">
        <f>IFERROR(IF(LoanIsNotPaid*LoanIsGood,EndingBalance,""), "")</f>
        <v>308848.53670991142</v>
      </c>
    </row>
    <row r="60" spans="2:8" ht="20.149999999999999" customHeight="1">
      <c r="B60" s="9">
        <f>IFERROR(IF(LoanIsNotPaid*LoanIsGood,PaymentNumber,""), "")</f>
        <v>51</v>
      </c>
      <c r="C60" s="10">
        <f>IFERROR(IF(LoanIsNotPaid*LoanIsGood,PaymentDate,""), "")</f>
        <v>45660</v>
      </c>
      <c r="D60" s="12">
        <f>IFERROR(IF(LoanIsNotPaid*LoanIsGood,LoanValue,""), "")</f>
        <v>308848.53670991142</v>
      </c>
      <c r="E60" s="12">
        <f>IFERROR(IF(LoanIsNotPaid*LoanIsGood,MonthlyPayment,""), "")</f>
        <v>32426.930522135284</v>
      </c>
      <c r="F60" s="12">
        <f>IFERROR(IF(LoanIsNotPaid*LoanIsGood,Principal,""), "")</f>
        <v>29660.162380775517</v>
      </c>
      <c r="G60" s="12">
        <f>IFERROR(IF(LoanIsNotPaid*LoanIsGood,InterestAmt,""), "")</f>
        <v>2766.7681413597652</v>
      </c>
      <c r="H60" s="12">
        <f>IFERROR(IF(LoanIsNotPaid*LoanIsGood,EndingBalance,""), "")</f>
        <v>279188.37432913575</v>
      </c>
    </row>
    <row r="61" spans="2:8" ht="20.149999999999999" customHeight="1">
      <c r="B61" s="9">
        <f>IFERROR(IF(LoanIsNotPaid*LoanIsGood,PaymentNumber,""), "")</f>
        <v>52</v>
      </c>
      <c r="C61" s="10">
        <f>IFERROR(IF(LoanIsNotPaid*LoanIsGood,PaymentDate,""), "")</f>
        <v>45691</v>
      </c>
      <c r="D61" s="12">
        <f>IFERROR(IF(LoanIsNotPaid*LoanIsGood,LoanValue,""), "")</f>
        <v>279188.37432913575</v>
      </c>
      <c r="E61" s="12">
        <f>IFERROR(IF(LoanIsNotPaid*LoanIsGood,MonthlyPayment,""), "")</f>
        <v>32426.930522135284</v>
      </c>
      <c r="F61" s="12">
        <f>IFERROR(IF(LoanIsNotPaid*LoanIsGood,Principal,""), "")</f>
        <v>29925.868002103296</v>
      </c>
      <c r="G61" s="12">
        <f>IFERROR(IF(LoanIsNotPaid*LoanIsGood,InterestAmt,""), "")</f>
        <v>2501.0625200319841</v>
      </c>
      <c r="H61" s="12">
        <f>IFERROR(IF(LoanIsNotPaid*LoanIsGood,EndingBalance,""), "")</f>
        <v>249262.50632703118</v>
      </c>
    </row>
    <row r="62" spans="2:8" ht="20.149999999999999" customHeight="1">
      <c r="B62" s="9">
        <f>IFERROR(IF(LoanIsNotPaid*LoanIsGood,PaymentNumber,""), "")</f>
        <v>53</v>
      </c>
      <c r="C62" s="10">
        <f>IFERROR(IF(LoanIsNotPaid*LoanIsGood,PaymentDate,""), "")</f>
        <v>45719</v>
      </c>
      <c r="D62" s="12">
        <f>IFERROR(IF(LoanIsNotPaid*LoanIsGood,LoanValue,""), "")</f>
        <v>249262.50632703118</v>
      </c>
      <c r="E62" s="12">
        <f>IFERROR(IF(LoanIsNotPaid*LoanIsGood,MonthlyPayment,""), "")</f>
        <v>32426.930522135284</v>
      </c>
      <c r="F62" s="12">
        <f>IFERROR(IF(LoanIsNotPaid*LoanIsGood,Principal,""), "")</f>
        <v>30193.953902955476</v>
      </c>
      <c r="G62" s="12">
        <f>IFERROR(IF(LoanIsNotPaid*LoanIsGood,InterestAmt,""), "")</f>
        <v>2232.9766191798089</v>
      </c>
      <c r="H62" s="12">
        <f>IFERROR(IF(LoanIsNotPaid*LoanIsGood,EndingBalance,""), "")</f>
        <v>219068.55242407555</v>
      </c>
    </row>
    <row r="63" spans="2:8" ht="20.149999999999999" customHeight="1">
      <c r="B63" s="9">
        <f>IFERROR(IF(LoanIsNotPaid*LoanIsGood,PaymentNumber,""), "")</f>
        <v>54</v>
      </c>
      <c r="C63" s="10">
        <f>IFERROR(IF(LoanIsNotPaid*LoanIsGood,PaymentDate,""), "")</f>
        <v>45750</v>
      </c>
      <c r="D63" s="12">
        <f>IFERROR(IF(LoanIsNotPaid*LoanIsGood,LoanValue,""), "")</f>
        <v>219068.55242407555</v>
      </c>
      <c r="E63" s="12">
        <f>IFERROR(IF(LoanIsNotPaid*LoanIsGood,MonthlyPayment,""), "")</f>
        <v>32426.930522135284</v>
      </c>
      <c r="F63" s="12">
        <f>IFERROR(IF(LoanIsNotPaid*LoanIsGood,Principal,""), "")</f>
        <v>30464.441406669452</v>
      </c>
      <c r="G63" s="12">
        <f>IFERROR(IF(LoanIsNotPaid*LoanIsGood,InterestAmt,""), "")</f>
        <v>1962.489115465833</v>
      </c>
      <c r="H63" s="12">
        <f>IFERROR(IF(LoanIsNotPaid*LoanIsGood,EndingBalance,""), "")</f>
        <v>188604.11101740599</v>
      </c>
    </row>
    <row r="64" spans="2:8" ht="20.149999999999999" customHeight="1">
      <c r="B64" s="9">
        <f>IFERROR(IF(LoanIsNotPaid*LoanIsGood,PaymentNumber,""), "")</f>
        <v>55</v>
      </c>
      <c r="C64" s="10">
        <f>IFERROR(IF(LoanIsNotPaid*LoanIsGood,PaymentDate,""), "")</f>
        <v>45780</v>
      </c>
      <c r="D64" s="12">
        <f>IFERROR(IF(LoanIsNotPaid*LoanIsGood,LoanValue,""), "")</f>
        <v>188604.11101740599</v>
      </c>
      <c r="E64" s="12">
        <f>IFERROR(IF(LoanIsNotPaid*LoanIsGood,MonthlyPayment,""), "")</f>
        <v>32426.930522135284</v>
      </c>
      <c r="F64" s="12">
        <f>IFERROR(IF(LoanIsNotPaid*LoanIsGood,Principal,""), "")</f>
        <v>30737.3520276042</v>
      </c>
      <c r="G64" s="12">
        <f>IFERROR(IF(LoanIsNotPaid*LoanIsGood,InterestAmt,""), "")</f>
        <v>1689.5784945310859</v>
      </c>
      <c r="H64" s="12">
        <f>IFERROR(IF(LoanIsNotPaid*LoanIsGood,EndingBalance,""), "")</f>
        <v>157866.75898980116</v>
      </c>
    </row>
    <row r="65" spans="2:8" ht="20.149999999999999" customHeight="1">
      <c r="B65" s="9">
        <f>IFERROR(IF(LoanIsNotPaid*LoanIsGood,PaymentNumber,""), "")</f>
        <v>56</v>
      </c>
      <c r="C65" s="10">
        <f>IFERROR(IF(LoanIsNotPaid*LoanIsGood,PaymentDate,""), "")</f>
        <v>45811</v>
      </c>
      <c r="D65" s="12">
        <f>IFERROR(IF(LoanIsNotPaid*LoanIsGood,LoanValue,""), "")</f>
        <v>157866.75898980116</v>
      </c>
      <c r="E65" s="12">
        <f>IFERROR(IF(LoanIsNotPaid*LoanIsGood,MonthlyPayment,""), "")</f>
        <v>32426.930522135284</v>
      </c>
      <c r="F65" s="12">
        <f>IFERROR(IF(LoanIsNotPaid*LoanIsGood,Principal,""), "")</f>
        <v>31012.707472851485</v>
      </c>
      <c r="G65" s="12">
        <f>IFERROR(IF(LoanIsNotPaid*LoanIsGood,InterestAmt,""), "")</f>
        <v>1414.2230492837982</v>
      </c>
      <c r="H65" s="12">
        <f>IFERROR(IF(LoanIsNotPaid*LoanIsGood,EndingBalance,""), "")</f>
        <v>126854.0515169492</v>
      </c>
    </row>
    <row r="66" spans="2:8" ht="20.149999999999999" customHeight="1">
      <c r="B66" s="9">
        <f>IFERROR(IF(LoanIsNotPaid*LoanIsGood,PaymentNumber,""), "")</f>
        <v>57</v>
      </c>
      <c r="C66" s="10">
        <f>IFERROR(IF(LoanIsNotPaid*LoanIsGood,PaymentDate,""), "")</f>
        <v>45841</v>
      </c>
      <c r="D66" s="12">
        <f>IFERROR(IF(LoanIsNotPaid*LoanIsGood,LoanValue,""), "")</f>
        <v>126854.0515169492</v>
      </c>
      <c r="E66" s="12">
        <f>IFERROR(IF(LoanIsNotPaid*LoanIsGood,MonthlyPayment,""), "")</f>
        <v>32426.930522135284</v>
      </c>
      <c r="F66" s="12">
        <f>IFERROR(IF(LoanIsNotPaid*LoanIsGood,Principal,""), "")</f>
        <v>31290.529643962447</v>
      </c>
      <c r="G66" s="12">
        <f>IFERROR(IF(LoanIsNotPaid*LoanIsGood,InterestAmt,""), "")</f>
        <v>1136.4008781728369</v>
      </c>
      <c r="H66" s="12">
        <f>IFERROR(IF(LoanIsNotPaid*LoanIsGood,EndingBalance,""), "")</f>
        <v>95563.521872986108</v>
      </c>
    </row>
    <row r="67" spans="2:8" ht="20.149999999999999" customHeight="1">
      <c r="B67" s="9">
        <f>IFERROR(IF(LoanIsNotPaid*LoanIsGood,PaymentNumber,""), "")</f>
        <v>58</v>
      </c>
      <c r="C67" s="10">
        <f>IFERROR(IF(LoanIsNotPaid*LoanIsGood,PaymentDate,""), "")</f>
        <v>45872</v>
      </c>
      <c r="D67" s="12">
        <f>IFERROR(IF(LoanIsNotPaid*LoanIsGood,LoanValue,""), "")</f>
        <v>95563.521872986108</v>
      </c>
      <c r="E67" s="12">
        <f>IFERROR(IF(LoanIsNotPaid*LoanIsGood,MonthlyPayment,""), "")</f>
        <v>32426.930522135284</v>
      </c>
      <c r="F67" s="12">
        <f>IFERROR(IF(LoanIsNotPaid*LoanIsGood,Principal,""), "")</f>
        <v>31570.840638689606</v>
      </c>
      <c r="G67" s="12">
        <f>IFERROR(IF(LoanIsNotPaid*LoanIsGood,InterestAmt,""), "")</f>
        <v>856.08988344567319</v>
      </c>
      <c r="H67" s="12">
        <f>IFERROR(IF(LoanIsNotPaid*LoanIsGood,EndingBalance,""), "")</f>
        <v>63992.681234296411</v>
      </c>
    </row>
    <row r="68" spans="2:8" ht="20.149999999999999" customHeight="1">
      <c r="B68" s="9">
        <f>IFERROR(IF(LoanIsNotPaid*LoanIsGood,PaymentNumber,""), "")</f>
        <v>59</v>
      </c>
      <c r="C68" s="10">
        <f>IFERROR(IF(LoanIsNotPaid*LoanIsGood,PaymentDate,""), "")</f>
        <v>45903</v>
      </c>
      <c r="D68" s="12">
        <f>IFERROR(IF(LoanIsNotPaid*LoanIsGood,LoanValue,""), "")</f>
        <v>63992.681234296411</v>
      </c>
      <c r="E68" s="12">
        <f>IFERROR(IF(LoanIsNotPaid*LoanIsGood,MonthlyPayment,""), "")</f>
        <v>32426.930522135284</v>
      </c>
      <c r="F68" s="12">
        <f>IFERROR(IF(LoanIsNotPaid*LoanIsGood,Principal,""), "")</f>
        <v>31853.662752744542</v>
      </c>
      <c r="G68" s="12">
        <f>IFERROR(IF(LoanIsNotPaid*LoanIsGood,InterestAmt,""), "")</f>
        <v>573.26776939074534</v>
      </c>
      <c r="H68" s="12">
        <f>IFERROR(IF(LoanIsNotPaid*LoanIsGood,EndingBalance,""), "")</f>
        <v>32139.01848155167</v>
      </c>
    </row>
    <row r="69" spans="2:8" ht="20.149999999999999" customHeight="1">
      <c r="B69" s="9">
        <f>IFERROR(IF(LoanIsNotPaid*LoanIsGood,PaymentNumber,""), "")</f>
        <v>60</v>
      </c>
      <c r="C69" s="10">
        <f>IFERROR(IF(LoanIsNotPaid*LoanIsGood,PaymentDate,""), "")</f>
        <v>45933</v>
      </c>
      <c r="D69" s="12">
        <f>IFERROR(IF(LoanIsNotPaid*LoanIsGood,LoanValue,""), "")</f>
        <v>32139.01848155167</v>
      </c>
      <c r="E69" s="12">
        <f>IFERROR(IF(LoanIsNotPaid*LoanIsGood,MonthlyPayment,""), "")</f>
        <v>32426.930522135284</v>
      </c>
      <c r="F69" s="12">
        <f>IFERROR(IF(LoanIsNotPaid*LoanIsGood,Principal,""), "")</f>
        <v>32139.018481571209</v>
      </c>
      <c r="G69" s="12">
        <f>IFERROR(IF(LoanIsNotPaid*LoanIsGood,InterestAmt,""), "")</f>
        <v>287.91204056407543</v>
      </c>
      <c r="H69" s="12">
        <f>IFERROR(IF(LoanIsNotPaid*LoanIsGood,EndingBalance,""), "")</f>
        <v>-2.0954757928848267E-8</v>
      </c>
    </row>
    <row r="70" spans="2:8" ht="20.149999999999999" customHeight="1">
      <c r="B70" s="9" t="str">
        <f>IFERROR(IF(LoanIsNotPaid*LoanIsGood,PaymentNumber,""), "")</f>
        <v/>
      </c>
      <c r="C70" s="10" t="str">
        <f>IFERROR(IF(LoanIsNotPaid*LoanIsGood,PaymentDate,""), "")</f>
        <v/>
      </c>
      <c r="D70" s="12" t="str">
        <f>IFERROR(IF(LoanIsNotPaid*LoanIsGood,LoanValue,""), "")</f>
        <v/>
      </c>
      <c r="E70" s="12" t="str">
        <f>IFERROR(IF(LoanIsNotPaid*LoanIsGood,MonthlyPayment,""), "")</f>
        <v/>
      </c>
      <c r="F70" s="12" t="str">
        <f>IFERROR(IF(LoanIsNotPaid*LoanIsGood,Principal,""), "")</f>
        <v/>
      </c>
      <c r="G70" s="12" t="str">
        <f>IFERROR(IF(LoanIsNotPaid*LoanIsGood,InterestAmt,""), "")</f>
        <v/>
      </c>
      <c r="H70" s="12" t="str">
        <f>IFERROR(IF(LoanIsNotPaid*LoanIsGood,EndingBalance,""), "")</f>
        <v/>
      </c>
    </row>
    <row r="71" spans="2:8" ht="20.149999999999999" customHeight="1">
      <c r="B71" s="9" t="str">
        <f>IFERROR(IF(LoanIsNotPaid*LoanIsGood,PaymentNumber,""), "")</f>
        <v/>
      </c>
      <c r="C71" s="10" t="str">
        <f>IFERROR(IF(LoanIsNotPaid*LoanIsGood,PaymentDate,""), "")</f>
        <v/>
      </c>
      <c r="D71" s="12" t="str">
        <f>IFERROR(IF(LoanIsNotPaid*LoanIsGood,LoanValue,""), "")</f>
        <v/>
      </c>
      <c r="E71" s="12" t="str">
        <f>IFERROR(IF(LoanIsNotPaid*LoanIsGood,MonthlyPayment,""), "")</f>
        <v/>
      </c>
      <c r="F71" s="12" t="str">
        <f>IFERROR(IF(LoanIsNotPaid*LoanIsGood,Principal,""), "")</f>
        <v/>
      </c>
      <c r="G71" s="12" t="str">
        <f>IFERROR(IF(LoanIsNotPaid*LoanIsGood,InterestAmt,""), "")</f>
        <v/>
      </c>
      <c r="H71" s="12" t="str">
        <f>IFERROR(IF(LoanIsNotPaid*LoanIsGood,EndingBalance,""), "")</f>
        <v/>
      </c>
    </row>
    <row r="72" spans="2:8" ht="20.149999999999999" customHeight="1">
      <c r="B72" s="9" t="str">
        <f>IFERROR(IF(LoanIsNotPaid*LoanIsGood,PaymentNumber,""), "")</f>
        <v/>
      </c>
      <c r="C72" s="10" t="str">
        <f>IFERROR(IF(LoanIsNotPaid*LoanIsGood,PaymentDate,""), "")</f>
        <v/>
      </c>
      <c r="D72" s="12" t="str">
        <f>IFERROR(IF(LoanIsNotPaid*LoanIsGood,LoanValue,""), "")</f>
        <v/>
      </c>
      <c r="E72" s="12" t="str">
        <f>IFERROR(IF(LoanIsNotPaid*LoanIsGood,MonthlyPayment,""), "")</f>
        <v/>
      </c>
      <c r="F72" s="12" t="str">
        <f>IFERROR(IF(LoanIsNotPaid*LoanIsGood,Principal,""), "")</f>
        <v/>
      </c>
      <c r="G72" s="12" t="str">
        <f>IFERROR(IF(LoanIsNotPaid*LoanIsGood,InterestAmt,""), "")</f>
        <v/>
      </c>
      <c r="H72" s="12" t="str">
        <f>IFERROR(IF(LoanIsNotPaid*LoanIsGood,EndingBalance,""), "")</f>
        <v/>
      </c>
    </row>
    <row r="73" spans="2:8" ht="20.149999999999999" customHeight="1">
      <c r="B73" s="9" t="str">
        <f>IFERROR(IF(LoanIsNotPaid*LoanIsGood,PaymentNumber,""), "")</f>
        <v/>
      </c>
      <c r="C73" s="10" t="str">
        <f>IFERROR(IF(LoanIsNotPaid*LoanIsGood,PaymentDate,""), "")</f>
        <v/>
      </c>
      <c r="D73" s="12" t="str">
        <f>IFERROR(IF(LoanIsNotPaid*LoanIsGood,LoanValue,""), "")</f>
        <v/>
      </c>
      <c r="E73" s="12" t="str">
        <f>IFERROR(IF(LoanIsNotPaid*LoanIsGood,MonthlyPayment,""), "")</f>
        <v/>
      </c>
      <c r="F73" s="12" t="str">
        <f>IFERROR(IF(LoanIsNotPaid*LoanIsGood,Principal,""), "")</f>
        <v/>
      </c>
      <c r="G73" s="12" t="str">
        <f>IFERROR(IF(LoanIsNotPaid*LoanIsGood,InterestAmt,""), "")</f>
        <v/>
      </c>
      <c r="H73" s="12" t="str">
        <f>IFERROR(IF(LoanIsNotPaid*LoanIsGood,EndingBalance,""), "")</f>
        <v/>
      </c>
    </row>
    <row r="74" spans="2:8" ht="20.149999999999999" customHeight="1">
      <c r="B74" s="9" t="str">
        <f>IFERROR(IF(LoanIsNotPaid*LoanIsGood,PaymentNumber,""), "")</f>
        <v/>
      </c>
      <c r="C74" s="10" t="str">
        <f>IFERROR(IF(LoanIsNotPaid*LoanIsGood,PaymentDate,""), "")</f>
        <v/>
      </c>
      <c r="D74" s="12" t="str">
        <f>IFERROR(IF(LoanIsNotPaid*LoanIsGood,LoanValue,""), "")</f>
        <v/>
      </c>
      <c r="E74" s="12" t="str">
        <f>IFERROR(IF(LoanIsNotPaid*LoanIsGood,MonthlyPayment,""), "")</f>
        <v/>
      </c>
      <c r="F74" s="12" t="str">
        <f>IFERROR(IF(LoanIsNotPaid*LoanIsGood,Principal,""), "")</f>
        <v/>
      </c>
      <c r="G74" s="12" t="str">
        <f>IFERROR(IF(LoanIsNotPaid*LoanIsGood,InterestAmt,""), "")</f>
        <v/>
      </c>
      <c r="H74" s="12" t="str">
        <f>IFERROR(IF(LoanIsNotPaid*LoanIsGood,EndingBalance,""), "")</f>
        <v/>
      </c>
    </row>
    <row r="75" spans="2:8" ht="20.149999999999999" customHeight="1">
      <c r="B75" s="9" t="str">
        <f>IFERROR(IF(LoanIsNotPaid*LoanIsGood,PaymentNumber,""), "")</f>
        <v/>
      </c>
      <c r="C75" s="10" t="str">
        <f>IFERROR(IF(LoanIsNotPaid*LoanIsGood,PaymentDate,""), "")</f>
        <v/>
      </c>
      <c r="D75" s="12" t="str">
        <f>IFERROR(IF(LoanIsNotPaid*LoanIsGood,LoanValue,""), "")</f>
        <v/>
      </c>
      <c r="E75" s="12" t="str">
        <f>IFERROR(IF(LoanIsNotPaid*LoanIsGood,MonthlyPayment,""), "")</f>
        <v/>
      </c>
      <c r="F75" s="12" t="str">
        <f>IFERROR(IF(LoanIsNotPaid*LoanIsGood,Principal,""), "")</f>
        <v/>
      </c>
      <c r="G75" s="12" t="str">
        <f>IFERROR(IF(LoanIsNotPaid*LoanIsGood,InterestAmt,""), "")</f>
        <v/>
      </c>
      <c r="H75" s="12" t="str">
        <f>IFERROR(IF(LoanIsNotPaid*LoanIsGood,EndingBalance,""), "")</f>
        <v/>
      </c>
    </row>
    <row r="76" spans="2:8" ht="20.149999999999999" customHeight="1">
      <c r="B76" s="9" t="str">
        <f>IFERROR(IF(LoanIsNotPaid*LoanIsGood,PaymentNumber,""), "")</f>
        <v/>
      </c>
      <c r="C76" s="10" t="str">
        <f>IFERROR(IF(LoanIsNotPaid*LoanIsGood,PaymentDate,""), "")</f>
        <v/>
      </c>
      <c r="D76" s="12" t="str">
        <f>IFERROR(IF(LoanIsNotPaid*LoanIsGood,LoanValue,""), "")</f>
        <v/>
      </c>
      <c r="E76" s="12" t="str">
        <f>IFERROR(IF(LoanIsNotPaid*LoanIsGood,MonthlyPayment,""), "")</f>
        <v/>
      </c>
      <c r="F76" s="12" t="str">
        <f>IFERROR(IF(LoanIsNotPaid*LoanIsGood,Principal,""), "")</f>
        <v/>
      </c>
      <c r="G76" s="12" t="str">
        <f>IFERROR(IF(LoanIsNotPaid*LoanIsGood,InterestAmt,""), "")</f>
        <v/>
      </c>
      <c r="H76" s="12" t="str">
        <f>IFERROR(IF(LoanIsNotPaid*LoanIsGood,EndingBalance,""), "")</f>
        <v/>
      </c>
    </row>
    <row r="77" spans="2:8" ht="20.149999999999999" customHeight="1">
      <c r="B77" s="9" t="str">
        <f>IFERROR(IF(LoanIsNotPaid*LoanIsGood,PaymentNumber,""), "")</f>
        <v/>
      </c>
      <c r="C77" s="10" t="str">
        <f>IFERROR(IF(LoanIsNotPaid*LoanIsGood,PaymentDate,""), "")</f>
        <v/>
      </c>
      <c r="D77" s="12" t="str">
        <f>IFERROR(IF(LoanIsNotPaid*LoanIsGood,LoanValue,""), "")</f>
        <v/>
      </c>
      <c r="E77" s="12" t="str">
        <f>IFERROR(IF(LoanIsNotPaid*LoanIsGood,MonthlyPayment,""), "")</f>
        <v/>
      </c>
      <c r="F77" s="12" t="str">
        <f>IFERROR(IF(LoanIsNotPaid*LoanIsGood,Principal,""), "")</f>
        <v/>
      </c>
      <c r="G77" s="12" t="str">
        <f>IFERROR(IF(LoanIsNotPaid*LoanIsGood,InterestAmt,""), "")</f>
        <v/>
      </c>
      <c r="H77" s="12" t="str">
        <f>IFERROR(IF(LoanIsNotPaid*LoanIsGood,EndingBalance,""), "")</f>
        <v/>
      </c>
    </row>
    <row r="78" spans="2:8" ht="20.149999999999999" customHeight="1">
      <c r="B78" s="9" t="str">
        <f>IFERROR(IF(LoanIsNotPaid*LoanIsGood,PaymentNumber,""), "")</f>
        <v/>
      </c>
      <c r="C78" s="10" t="str">
        <f>IFERROR(IF(LoanIsNotPaid*LoanIsGood,PaymentDate,""), "")</f>
        <v/>
      </c>
      <c r="D78" s="12" t="str">
        <f>IFERROR(IF(LoanIsNotPaid*LoanIsGood,LoanValue,""), "")</f>
        <v/>
      </c>
      <c r="E78" s="12" t="str">
        <f>IFERROR(IF(LoanIsNotPaid*LoanIsGood,MonthlyPayment,""), "")</f>
        <v/>
      </c>
      <c r="F78" s="12" t="str">
        <f>IFERROR(IF(LoanIsNotPaid*LoanIsGood,Principal,""), "")</f>
        <v/>
      </c>
      <c r="G78" s="12" t="str">
        <f>IFERROR(IF(LoanIsNotPaid*LoanIsGood,InterestAmt,""), "")</f>
        <v/>
      </c>
      <c r="H78" s="12" t="str">
        <f>IFERROR(IF(LoanIsNotPaid*LoanIsGood,EndingBalance,""), "")</f>
        <v/>
      </c>
    </row>
    <row r="79" spans="2:8" ht="20.149999999999999" customHeight="1">
      <c r="B79" s="9" t="str">
        <f>IFERROR(IF(LoanIsNotPaid*LoanIsGood,PaymentNumber,""), "")</f>
        <v/>
      </c>
      <c r="C79" s="10" t="str">
        <f>IFERROR(IF(LoanIsNotPaid*LoanIsGood,PaymentDate,""), "")</f>
        <v/>
      </c>
      <c r="D79" s="12" t="str">
        <f>IFERROR(IF(LoanIsNotPaid*LoanIsGood,LoanValue,""), "")</f>
        <v/>
      </c>
      <c r="E79" s="12" t="str">
        <f>IFERROR(IF(LoanIsNotPaid*LoanIsGood,MonthlyPayment,""), "")</f>
        <v/>
      </c>
      <c r="F79" s="12" t="str">
        <f>IFERROR(IF(LoanIsNotPaid*LoanIsGood,Principal,""), "")</f>
        <v/>
      </c>
      <c r="G79" s="12" t="str">
        <f>IFERROR(IF(LoanIsNotPaid*LoanIsGood,InterestAmt,""), "")</f>
        <v/>
      </c>
      <c r="H79" s="12" t="str">
        <f>IFERROR(IF(LoanIsNotPaid*LoanIsGood,EndingBalance,""), "")</f>
        <v/>
      </c>
    </row>
    <row r="80" spans="2:8" ht="20.149999999999999" customHeight="1">
      <c r="B80" s="9" t="str">
        <f>IFERROR(IF(LoanIsNotPaid*LoanIsGood,PaymentNumber,""), "")</f>
        <v/>
      </c>
      <c r="C80" s="10" t="str">
        <f>IFERROR(IF(LoanIsNotPaid*LoanIsGood,PaymentDate,""), "")</f>
        <v/>
      </c>
      <c r="D80" s="12" t="str">
        <f>IFERROR(IF(LoanIsNotPaid*LoanIsGood,LoanValue,""), "")</f>
        <v/>
      </c>
      <c r="E80" s="12" t="str">
        <f>IFERROR(IF(LoanIsNotPaid*LoanIsGood,MonthlyPayment,""), "")</f>
        <v/>
      </c>
      <c r="F80" s="12" t="str">
        <f>IFERROR(IF(LoanIsNotPaid*LoanIsGood,Principal,""), "")</f>
        <v/>
      </c>
      <c r="G80" s="12" t="str">
        <f>IFERROR(IF(LoanIsNotPaid*LoanIsGood,InterestAmt,""), "")</f>
        <v/>
      </c>
      <c r="H80" s="12" t="str">
        <f>IFERROR(IF(LoanIsNotPaid*LoanIsGood,EndingBalance,""), "")</f>
        <v/>
      </c>
    </row>
    <row r="81" spans="2:8" ht="20.149999999999999" customHeight="1">
      <c r="B81" s="9" t="str">
        <f>IFERROR(IF(LoanIsNotPaid*LoanIsGood,PaymentNumber,""), "")</f>
        <v/>
      </c>
      <c r="C81" s="10" t="str">
        <f>IFERROR(IF(LoanIsNotPaid*LoanIsGood,PaymentDate,""), "")</f>
        <v/>
      </c>
      <c r="D81" s="12" t="str">
        <f>IFERROR(IF(LoanIsNotPaid*LoanIsGood,LoanValue,""), "")</f>
        <v/>
      </c>
      <c r="E81" s="12" t="str">
        <f>IFERROR(IF(LoanIsNotPaid*LoanIsGood,MonthlyPayment,""), "")</f>
        <v/>
      </c>
      <c r="F81" s="12" t="str">
        <f>IFERROR(IF(LoanIsNotPaid*LoanIsGood,Principal,""), "")</f>
        <v/>
      </c>
      <c r="G81" s="12" t="str">
        <f>IFERROR(IF(LoanIsNotPaid*LoanIsGood,InterestAmt,""), "")</f>
        <v/>
      </c>
      <c r="H81" s="12" t="str">
        <f>IFERROR(IF(LoanIsNotPaid*LoanIsGood,EndingBalance,""), "")</f>
        <v/>
      </c>
    </row>
    <row r="82" spans="2:8" ht="20.149999999999999" customHeight="1">
      <c r="B82" s="9" t="str">
        <f>IFERROR(IF(LoanIsNotPaid*LoanIsGood,PaymentNumber,""), "")</f>
        <v/>
      </c>
      <c r="C82" s="10" t="str">
        <f>IFERROR(IF(LoanIsNotPaid*LoanIsGood,PaymentDate,""), "")</f>
        <v/>
      </c>
      <c r="D82" s="12" t="str">
        <f>IFERROR(IF(LoanIsNotPaid*LoanIsGood,LoanValue,""), "")</f>
        <v/>
      </c>
      <c r="E82" s="12" t="str">
        <f>IFERROR(IF(LoanIsNotPaid*LoanIsGood,MonthlyPayment,""), "")</f>
        <v/>
      </c>
      <c r="F82" s="12" t="str">
        <f>IFERROR(IF(LoanIsNotPaid*LoanIsGood,Principal,""), "")</f>
        <v/>
      </c>
      <c r="G82" s="12" t="str">
        <f>IFERROR(IF(LoanIsNotPaid*LoanIsGood,InterestAmt,""), "")</f>
        <v/>
      </c>
      <c r="H82" s="12" t="str">
        <f>IFERROR(IF(LoanIsNotPaid*LoanIsGood,EndingBalance,""), "")</f>
        <v/>
      </c>
    </row>
    <row r="83" spans="2:8" ht="20.149999999999999" customHeight="1">
      <c r="B83" s="9" t="str">
        <f>IFERROR(IF(LoanIsNotPaid*LoanIsGood,PaymentNumber,""), "")</f>
        <v/>
      </c>
      <c r="C83" s="10" t="str">
        <f>IFERROR(IF(LoanIsNotPaid*LoanIsGood,PaymentDate,""), "")</f>
        <v/>
      </c>
      <c r="D83" s="12" t="str">
        <f>IFERROR(IF(LoanIsNotPaid*LoanIsGood,LoanValue,""), "")</f>
        <v/>
      </c>
      <c r="E83" s="12" t="str">
        <f>IFERROR(IF(LoanIsNotPaid*LoanIsGood,MonthlyPayment,""), "")</f>
        <v/>
      </c>
      <c r="F83" s="12" t="str">
        <f>IFERROR(IF(LoanIsNotPaid*LoanIsGood,Principal,""), "")</f>
        <v/>
      </c>
      <c r="G83" s="12" t="str">
        <f>IFERROR(IF(LoanIsNotPaid*LoanIsGood,InterestAmt,""), "")</f>
        <v/>
      </c>
      <c r="H83" s="12" t="str">
        <f>IFERROR(IF(LoanIsNotPaid*LoanIsGood,EndingBalance,""), "")</f>
        <v/>
      </c>
    </row>
    <row r="84" spans="2:8" ht="20.149999999999999" customHeight="1">
      <c r="B84" s="9" t="str">
        <f>IFERROR(IF(LoanIsNotPaid*LoanIsGood,PaymentNumber,""), "")</f>
        <v/>
      </c>
      <c r="C84" s="10" t="str">
        <f>IFERROR(IF(LoanIsNotPaid*LoanIsGood,PaymentDate,""), "")</f>
        <v/>
      </c>
      <c r="D84" s="12" t="str">
        <f>IFERROR(IF(LoanIsNotPaid*LoanIsGood,LoanValue,""), "")</f>
        <v/>
      </c>
      <c r="E84" s="12" t="str">
        <f>IFERROR(IF(LoanIsNotPaid*LoanIsGood,MonthlyPayment,""), "")</f>
        <v/>
      </c>
      <c r="F84" s="12" t="str">
        <f>IFERROR(IF(LoanIsNotPaid*LoanIsGood,Principal,""), "")</f>
        <v/>
      </c>
      <c r="G84" s="12" t="str">
        <f>IFERROR(IF(LoanIsNotPaid*LoanIsGood,InterestAmt,""), "")</f>
        <v/>
      </c>
      <c r="H84" s="12" t="str">
        <f>IFERROR(IF(LoanIsNotPaid*LoanIsGood,EndingBalance,""), "")</f>
        <v/>
      </c>
    </row>
    <row r="85" spans="2:8" ht="20.149999999999999" customHeight="1">
      <c r="B85" s="9" t="str">
        <f>IFERROR(IF(LoanIsNotPaid*LoanIsGood,PaymentNumber,""), "")</f>
        <v/>
      </c>
      <c r="C85" s="10" t="str">
        <f>IFERROR(IF(LoanIsNotPaid*LoanIsGood,PaymentDate,""), "")</f>
        <v/>
      </c>
      <c r="D85" s="12" t="str">
        <f>IFERROR(IF(LoanIsNotPaid*LoanIsGood,LoanValue,""), "")</f>
        <v/>
      </c>
      <c r="E85" s="12" t="str">
        <f>IFERROR(IF(LoanIsNotPaid*LoanIsGood,MonthlyPayment,""), "")</f>
        <v/>
      </c>
      <c r="F85" s="12" t="str">
        <f>IFERROR(IF(LoanIsNotPaid*LoanIsGood,Principal,""), "")</f>
        <v/>
      </c>
      <c r="G85" s="12" t="str">
        <f>IFERROR(IF(LoanIsNotPaid*LoanIsGood,InterestAmt,""), "")</f>
        <v/>
      </c>
      <c r="H85" s="12" t="str">
        <f>IFERROR(IF(LoanIsNotPaid*LoanIsGood,EndingBalance,""), "")</f>
        <v/>
      </c>
    </row>
    <row r="86" spans="2:8" ht="20.149999999999999" customHeight="1">
      <c r="B86" s="9" t="str">
        <f>IFERROR(IF(LoanIsNotPaid*LoanIsGood,PaymentNumber,""), "")</f>
        <v/>
      </c>
      <c r="C86" s="10" t="str">
        <f>IFERROR(IF(LoanIsNotPaid*LoanIsGood,PaymentDate,""), "")</f>
        <v/>
      </c>
      <c r="D86" s="12" t="str">
        <f>IFERROR(IF(LoanIsNotPaid*LoanIsGood,LoanValue,""), "")</f>
        <v/>
      </c>
      <c r="E86" s="12" t="str">
        <f>IFERROR(IF(LoanIsNotPaid*LoanIsGood,MonthlyPayment,""), "")</f>
        <v/>
      </c>
      <c r="F86" s="12" t="str">
        <f>IFERROR(IF(LoanIsNotPaid*LoanIsGood,Principal,""), "")</f>
        <v/>
      </c>
      <c r="G86" s="12" t="str">
        <f>IFERROR(IF(LoanIsNotPaid*LoanIsGood,InterestAmt,""), "")</f>
        <v/>
      </c>
      <c r="H86" s="12" t="str">
        <f>IFERROR(IF(LoanIsNotPaid*LoanIsGood,EndingBalance,""), "")</f>
        <v/>
      </c>
    </row>
    <row r="87" spans="2:8" ht="20.149999999999999" customHeight="1">
      <c r="B87" s="9" t="str">
        <f>IFERROR(IF(LoanIsNotPaid*LoanIsGood,PaymentNumber,""), "")</f>
        <v/>
      </c>
      <c r="C87" s="10" t="str">
        <f>IFERROR(IF(LoanIsNotPaid*LoanIsGood,PaymentDate,""), "")</f>
        <v/>
      </c>
      <c r="D87" s="12" t="str">
        <f>IFERROR(IF(LoanIsNotPaid*LoanIsGood,LoanValue,""), "")</f>
        <v/>
      </c>
      <c r="E87" s="12" t="str">
        <f>IFERROR(IF(LoanIsNotPaid*LoanIsGood,MonthlyPayment,""), "")</f>
        <v/>
      </c>
      <c r="F87" s="12" t="str">
        <f>IFERROR(IF(LoanIsNotPaid*LoanIsGood,Principal,""), "")</f>
        <v/>
      </c>
      <c r="G87" s="12" t="str">
        <f>IFERROR(IF(LoanIsNotPaid*LoanIsGood,InterestAmt,""), "")</f>
        <v/>
      </c>
      <c r="H87" s="12" t="str">
        <f>IFERROR(IF(LoanIsNotPaid*LoanIsGood,EndingBalance,""), "")</f>
        <v/>
      </c>
    </row>
    <row r="88" spans="2:8" ht="20.149999999999999" customHeight="1">
      <c r="B88" s="9" t="str">
        <f>IFERROR(IF(LoanIsNotPaid*LoanIsGood,PaymentNumber,""), "")</f>
        <v/>
      </c>
      <c r="C88" s="10" t="str">
        <f>IFERROR(IF(LoanIsNotPaid*LoanIsGood,PaymentDate,""), "")</f>
        <v/>
      </c>
      <c r="D88" s="12" t="str">
        <f>IFERROR(IF(LoanIsNotPaid*LoanIsGood,LoanValue,""), "")</f>
        <v/>
      </c>
      <c r="E88" s="12" t="str">
        <f>IFERROR(IF(LoanIsNotPaid*LoanIsGood,MonthlyPayment,""), "")</f>
        <v/>
      </c>
      <c r="F88" s="12" t="str">
        <f>IFERROR(IF(LoanIsNotPaid*LoanIsGood,Principal,""), "")</f>
        <v/>
      </c>
      <c r="G88" s="12" t="str">
        <f>IFERROR(IF(LoanIsNotPaid*LoanIsGood,InterestAmt,""), "")</f>
        <v/>
      </c>
      <c r="H88" s="12" t="str">
        <f>IFERROR(IF(LoanIsNotPaid*LoanIsGood,EndingBalance,""), "")</f>
        <v/>
      </c>
    </row>
    <row r="89" spans="2:8" ht="20.149999999999999" customHeight="1">
      <c r="B89" s="9" t="str">
        <f>IFERROR(IF(LoanIsNotPaid*LoanIsGood,PaymentNumber,""), "")</f>
        <v/>
      </c>
      <c r="C89" s="10" t="str">
        <f>IFERROR(IF(LoanIsNotPaid*LoanIsGood,PaymentDate,""), "")</f>
        <v/>
      </c>
      <c r="D89" s="12" t="str">
        <f>IFERROR(IF(LoanIsNotPaid*LoanIsGood,LoanValue,""), "")</f>
        <v/>
      </c>
      <c r="E89" s="12" t="str">
        <f>IFERROR(IF(LoanIsNotPaid*LoanIsGood,MonthlyPayment,""), "")</f>
        <v/>
      </c>
      <c r="F89" s="12" t="str">
        <f>IFERROR(IF(LoanIsNotPaid*LoanIsGood,Principal,""), "")</f>
        <v/>
      </c>
      <c r="G89" s="12" t="str">
        <f>IFERROR(IF(LoanIsNotPaid*LoanIsGood,InterestAmt,""), "")</f>
        <v/>
      </c>
      <c r="H89" s="12" t="str">
        <f>IFERROR(IF(LoanIsNotPaid*LoanIsGood,EndingBalance,""), "")</f>
        <v/>
      </c>
    </row>
    <row r="90" spans="2:8" ht="20.149999999999999" customHeight="1">
      <c r="B90" s="9" t="str">
        <f>IFERROR(IF(LoanIsNotPaid*LoanIsGood,PaymentNumber,""), "")</f>
        <v/>
      </c>
      <c r="C90" s="10" t="str">
        <f>IFERROR(IF(LoanIsNotPaid*LoanIsGood,PaymentDate,""), "")</f>
        <v/>
      </c>
      <c r="D90" s="12" t="str">
        <f>IFERROR(IF(LoanIsNotPaid*LoanIsGood,LoanValue,""), "")</f>
        <v/>
      </c>
      <c r="E90" s="12" t="str">
        <f>IFERROR(IF(LoanIsNotPaid*LoanIsGood,MonthlyPayment,""), "")</f>
        <v/>
      </c>
      <c r="F90" s="12" t="str">
        <f>IFERROR(IF(LoanIsNotPaid*LoanIsGood,Principal,""), "")</f>
        <v/>
      </c>
      <c r="G90" s="12" t="str">
        <f>IFERROR(IF(LoanIsNotPaid*LoanIsGood,InterestAmt,""), "")</f>
        <v/>
      </c>
      <c r="H90" s="12" t="str">
        <f>IFERROR(IF(LoanIsNotPaid*LoanIsGood,EndingBalance,""), "")</f>
        <v/>
      </c>
    </row>
    <row r="91" spans="2:8" ht="20.149999999999999" customHeight="1">
      <c r="B91" s="9" t="str">
        <f>IFERROR(IF(LoanIsNotPaid*LoanIsGood,PaymentNumber,""), "")</f>
        <v/>
      </c>
      <c r="C91" s="10" t="str">
        <f>IFERROR(IF(LoanIsNotPaid*LoanIsGood,PaymentDate,""), "")</f>
        <v/>
      </c>
      <c r="D91" s="12" t="str">
        <f>IFERROR(IF(LoanIsNotPaid*LoanIsGood,LoanValue,""), "")</f>
        <v/>
      </c>
      <c r="E91" s="12" t="str">
        <f>IFERROR(IF(LoanIsNotPaid*LoanIsGood,MonthlyPayment,""), "")</f>
        <v/>
      </c>
      <c r="F91" s="12" t="str">
        <f>IFERROR(IF(LoanIsNotPaid*LoanIsGood,Principal,""), "")</f>
        <v/>
      </c>
      <c r="G91" s="12" t="str">
        <f>IFERROR(IF(LoanIsNotPaid*LoanIsGood,InterestAmt,""), "")</f>
        <v/>
      </c>
      <c r="H91" s="12" t="str">
        <f>IFERROR(IF(LoanIsNotPaid*LoanIsGood,EndingBalance,""), "")</f>
        <v/>
      </c>
    </row>
    <row r="92" spans="2:8" ht="20.149999999999999" customHeight="1">
      <c r="B92" s="9" t="str">
        <f>IFERROR(IF(LoanIsNotPaid*LoanIsGood,PaymentNumber,""), "")</f>
        <v/>
      </c>
      <c r="C92" s="10" t="str">
        <f>IFERROR(IF(LoanIsNotPaid*LoanIsGood,PaymentDate,""), "")</f>
        <v/>
      </c>
      <c r="D92" s="12" t="str">
        <f>IFERROR(IF(LoanIsNotPaid*LoanIsGood,LoanValue,""), "")</f>
        <v/>
      </c>
      <c r="E92" s="12" t="str">
        <f>IFERROR(IF(LoanIsNotPaid*LoanIsGood,MonthlyPayment,""), "")</f>
        <v/>
      </c>
      <c r="F92" s="12" t="str">
        <f>IFERROR(IF(LoanIsNotPaid*LoanIsGood,Principal,""), "")</f>
        <v/>
      </c>
      <c r="G92" s="12" t="str">
        <f>IFERROR(IF(LoanIsNotPaid*LoanIsGood,InterestAmt,""), "")</f>
        <v/>
      </c>
      <c r="H92" s="12" t="str">
        <f>IFERROR(IF(LoanIsNotPaid*LoanIsGood,EndingBalance,""), "")</f>
        <v/>
      </c>
    </row>
    <row r="93" spans="2:8" ht="20.149999999999999" customHeight="1">
      <c r="B93" s="9" t="str">
        <f>IFERROR(IF(LoanIsNotPaid*LoanIsGood,PaymentNumber,""), "")</f>
        <v/>
      </c>
      <c r="C93" s="10" t="str">
        <f>IFERROR(IF(LoanIsNotPaid*LoanIsGood,PaymentDate,""), "")</f>
        <v/>
      </c>
      <c r="D93" s="12" t="str">
        <f>IFERROR(IF(LoanIsNotPaid*LoanIsGood,LoanValue,""), "")</f>
        <v/>
      </c>
      <c r="E93" s="12" t="str">
        <f>IFERROR(IF(LoanIsNotPaid*LoanIsGood,MonthlyPayment,""), "")</f>
        <v/>
      </c>
      <c r="F93" s="12" t="str">
        <f>IFERROR(IF(LoanIsNotPaid*LoanIsGood,Principal,""), "")</f>
        <v/>
      </c>
      <c r="G93" s="12" t="str">
        <f>IFERROR(IF(LoanIsNotPaid*LoanIsGood,InterestAmt,""), "")</f>
        <v/>
      </c>
      <c r="H93" s="12" t="str">
        <f>IFERROR(IF(LoanIsNotPaid*LoanIsGood,EndingBalance,""), "")</f>
        <v/>
      </c>
    </row>
    <row r="94" spans="2:8" ht="20.149999999999999" customHeight="1">
      <c r="B94" s="9" t="str">
        <f>IFERROR(IF(LoanIsNotPaid*LoanIsGood,PaymentNumber,""), "")</f>
        <v/>
      </c>
      <c r="C94" s="10" t="str">
        <f>IFERROR(IF(LoanIsNotPaid*LoanIsGood,PaymentDate,""), "")</f>
        <v/>
      </c>
      <c r="D94" s="12" t="str">
        <f>IFERROR(IF(LoanIsNotPaid*LoanIsGood,LoanValue,""), "")</f>
        <v/>
      </c>
      <c r="E94" s="12" t="str">
        <f>IFERROR(IF(LoanIsNotPaid*LoanIsGood,MonthlyPayment,""), "")</f>
        <v/>
      </c>
      <c r="F94" s="12" t="str">
        <f>IFERROR(IF(LoanIsNotPaid*LoanIsGood,Principal,""), "")</f>
        <v/>
      </c>
      <c r="G94" s="12" t="str">
        <f>IFERROR(IF(LoanIsNotPaid*LoanIsGood,InterestAmt,""), "")</f>
        <v/>
      </c>
      <c r="H94" s="12" t="str">
        <f>IFERROR(IF(LoanIsNotPaid*LoanIsGood,EndingBalance,""), "")</f>
        <v/>
      </c>
    </row>
    <row r="95" spans="2:8" ht="20.149999999999999" customHeight="1">
      <c r="B95" s="9" t="str">
        <f>IFERROR(IF(LoanIsNotPaid*LoanIsGood,PaymentNumber,""), "")</f>
        <v/>
      </c>
      <c r="C95" s="10" t="str">
        <f>IFERROR(IF(LoanIsNotPaid*LoanIsGood,PaymentDate,""), "")</f>
        <v/>
      </c>
      <c r="D95" s="12" t="str">
        <f>IFERROR(IF(LoanIsNotPaid*LoanIsGood,LoanValue,""), "")</f>
        <v/>
      </c>
      <c r="E95" s="12" t="str">
        <f>IFERROR(IF(LoanIsNotPaid*LoanIsGood,MonthlyPayment,""), "")</f>
        <v/>
      </c>
      <c r="F95" s="12" t="str">
        <f>IFERROR(IF(LoanIsNotPaid*LoanIsGood,Principal,""), "")</f>
        <v/>
      </c>
      <c r="G95" s="12" t="str">
        <f>IFERROR(IF(LoanIsNotPaid*LoanIsGood,InterestAmt,""), "")</f>
        <v/>
      </c>
      <c r="H95" s="12" t="str">
        <f>IFERROR(IF(LoanIsNotPaid*LoanIsGood,EndingBalance,""), "")</f>
        <v/>
      </c>
    </row>
    <row r="96" spans="2:8" ht="20.149999999999999" customHeight="1">
      <c r="B96" s="9" t="str">
        <f>IFERROR(IF(LoanIsNotPaid*LoanIsGood,PaymentNumber,""), "")</f>
        <v/>
      </c>
      <c r="C96" s="10" t="str">
        <f>IFERROR(IF(LoanIsNotPaid*LoanIsGood,PaymentDate,""), "")</f>
        <v/>
      </c>
      <c r="D96" s="12" t="str">
        <f>IFERROR(IF(LoanIsNotPaid*LoanIsGood,LoanValue,""), "")</f>
        <v/>
      </c>
      <c r="E96" s="12" t="str">
        <f>IFERROR(IF(LoanIsNotPaid*LoanIsGood,MonthlyPayment,""), "")</f>
        <v/>
      </c>
      <c r="F96" s="12" t="str">
        <f>IFERROR(IF(LoanIsNotPaid*LoanIsGood,Principal,""), "")</f>
        <v/>
      </c>
      <c r="G96" s="12" t="str">
        <f>IFERROR(IF(LoanIsNotPaid*LoanIsGood,InterestAmt,""), "")</f>
        <v/>
      </c>
      <c r="H96" s="12" t="str">
        <f>IFERROR(IF(LoanIsNotPaid*LoanIsGood,EndingBalance,""), "")</f>
        <v/>
      </c>
    </row>
    <row r="97" spans="2:8" ht="20.149999999999999" customHeight="1">
      <c r="B97" s="9" t="str">
        <f>IFERROR(IF(LoanIsNotPaid*LoanIsGood,PaymentNumber,""), "")</f>
        <v/>
      </c>
      <c r="C97" s="10" t="str">
        <f>IFERROR(IF(LoanIsNotPaid*LoanIsGood,PaymentDate,""), "")</f>
        <v/>
      </c>
      <c r="D97" s="12" t="str">
        <f>IFERROR(IF(LoanIsNotPaid*LoanIsGood,LoanValue,""), "")</f>
        <v/>
      </c>
      <c r="E97" s="12" t="str">
        <f>IFERROR(IF(LoanIsNotPaid*LoanIsGood,MonthlyPayment,""), "")</f>
        <v/>
      </c>
      <c r="F97" s="12" t="str">
        <f>IFERROR(IF(LoanIsNotPaid*LoanIsGood,Principal,""), "")</f>
        <v/>
      </c>
      <c r="G97" s="12" t="str">
        <f>IFERROR(IF(LoanIsNotPaid*LoanIsGood,InterestAmt,""), "")</f>
        <v/>
      </c>
      <c r="H97" s="12" t="str">
        <f>IFERROR(IF(LoanIsNotPaid*LoanIsGood,EndingBalance,""), "")</f>
        <v/>
      </c>
    </row>
    <row r="98" spans="2:8" ht="20.149999999999999" customHeight="1">
      <c r="B98" s="9" t="str">
        <f>IFERROR(IF(LoanIsNotPaid*LoanIsGood,PaymentNumber,""), "")</f>
        <v/>
      </c>
      <c r="C98" s="10" t="str">
        <f>IFERROR(IF(LoanIsNotPaid*LoanIsGood,PaymentDate,""), "")</f>
        <v/>
      </c>
      <c r="D98" s="12" t="str">
        <f>IFERROR(IF(LoanIsNotPaid*LoanIsGood,LoanValue,""), "")</f>
        <v/>
      </c>
      <c r="E98" s="12" t="str">
        <f>IFERROR(IF(LoanIsNotPaid*LoanIsGood,MonthlyPayment,""), "")</f>
        <v/>
      </c>
      <c r="F98" s="12" t="str">
        <f>IFERROR(IF(LoanIsNotPaid*LoanIsGood,Principal,""), "")</f>
        <v/>
      </c>
      <c r="G98" s="12" t="str">
        <f>IFERROR(IF(LoanIsNotPaid*LoanIsGood,InterestAmt,""), "")</f>
        <v/>
      </c>
      <c r="H98" s="12" t="str">
        <f>IFERROR(IF(LoanIsNotPaid*LoanIsGood,EndingBalance,""), "")</f>
        <v/>
      </c>
    </row>
    <row r="99" spans="2:8" ht="20.149999999999999" customHeight="1">
      <c r="B99" s="9" t="str">
        <f>IFERROR(IF(LoanIsNotPaid*LoanIsGood,PaymentNumber,""), "")</f>
        <v/>
      </c>
      <c r="C99" s="10" t="str">
        <f>IFERROR(IF(LoanIsNotPaid*LoanIsGood,PaymentDate,""), "")</f>
        <v/>
      </c>
      <c r="D99" s="12" t="str">
        <f>IFERROR(IF(LoanIsNotPaid*LoanIsGood,LoanValue,""), "")</f>
        <v/>
      </c>
      <c r="E99" s="12" t="str">
        <f>IFERROR(IF(LoanIsNotPaid*LoanIsGood,MonthlyPayment,""), "")</f>
        <v/>
      </c>
      <c r="F99" s="12" t="str">
        <f>IFERROR(IF(LoanIsNotPaid*LoanIsGood,Principal,""), "")</f>
        <v/>
      </c>
      <c r="G99" s="12" t="str">
        <f>IFERROR(IF(LoanIsNotPaid*LoanIsGood,InterestAmt,""), "")</f>
        <v/>
      </c>
      <c r="H99" s="12" t="str">
        <f>IFERROR(IF(LoanIsNotPaid*LoanIsGood,EndingBalance,""), "")</f>
        <v/>
      </c>
    </row>
    <row r="100" spans="2:8" ht="20.149999999999999" customHeight="1">
      <c r="B100" s="9" t="str">
        <f>IFERROR(IF(LoanIsNotPaid*LoanIsGood,PaymentNumber,""), "")</f>
        <v/>
      </c>
      <c r="C100" s="10" t="str">
        <f>IFERROR(IF(LoanIsNotPaid*LoanIsGood,PaymentDate,""), "")</f>
        <v/>
      </c>
      <c r="D100" s="12" t="str">
        <f>IFERROR(IF(LoanIsNotPaid*LoanIsGood,LoanValue,""), "")</f>
        <v/>
      </c>
      <c r="E100" s="12" t="str">
        <f>IFERROR(IF(LoanIsNotPaid*LoanIsGood,MonthlyPayment,""), "")</f>
        <v/>
      </c>
      <c r="F100" s="12" t="str">
        <f>IFERROR(IF(LoanIsNotPaid*LoanIsGood,Principal,""), "")</f>
        <v/>
      </c>
      <c r="G100" s="12" t="str">
        <f>IFERROR(IF(LoanIsNotPaid*LoanIsGood,InterestAmt,""), "")</f>
        <v/>
      </c>
      <c r="H100" s="12" t="str">
        <f>IFERROR(IF(LoanIsNotPaid*LoanIsGood,EndingBalance,""), "")</f>
        <v/>
      </c>
    </row>
    <row r="101" spans="2:8" ht="20.149999999999999" customHeight="1">
      <c r="B101" s="9" t="str">
        <f>IFERROR(IF(LoanIsNotPaid*LoanIsGood,PaymentNumber,""), "")</f>
        <v/>
      </c>
      <c r="C101" s="10" t="str">
        <f>IFERROR(IF(LoanIsNotPaid*LoanIsGood,PaymentDate,""), "")</f>
        <v/>
      </c>
      <c r="D101" s="12" t="str">
        <f>IFERROR(IF(LoanIsNotPaid*LoanIsGood,LoanValue,""), "")</f>
        <v/>
      </c>
      <c r="E101" s="12" t="str">
        <f>IFERROR(IF(LoanIsNotPaid*LoanIsGood,MonthlyPayment,""), "")</f>
        <v/>
      </c>
      <c r="F101" s="12" t="str">
        <f>IFERROR(IF(LoanIsNotPaid*LoanIsGood,Principal,""), "")</f>
        <v/>
      </c>
      <c r="G101" s="12" t="str">
        <f>IFERROR(IF(LoanIsNotPaid*LoanIsGood,InterestAmt,""), "")</f>
        <v/>
      </c>
      <c r="H101" s="12" t="str">
        <f>IFERROR(IF(LoanIsNotPaid*LoanIsGood,EndingBalance,""), "")</f>
        <v/>
      </c>
    </row>
    <row r="102" spans="2:8" ht="20.149999999999999" customHeight="1">
      <c r="B102" s="9" t="str">
        <f>IFERROR(IF(LoanIsNotPaid*LoanIsGood,PaymentNumber,""), "")</f>
        <v/>
      </c>
      <c r="C102" s="10" t="str">
        <f>IFERROR(IF(LoanIsNotPaid*LoanIsGood,PaymentDate,""), "")</f>
        <v/>
      </c>
      <c r="D102" s="12" t="str">
        <f>IFERROR(IF(LoanIsNotPaid*LoanIsGood,LoanValue,""), "")</f>
        <v/>
      </c>
      <c r="E102" s="12" t="str">
        <f>IFERROR(IF(LoanIsNotPaid*LoanIsGood,MonthlyPayment,""), "")</f>
        <v/>
      </c>
      <c r="F102" s="12" t="str">
        <f>IFERROR(IF(LoanIsNotPaid*LoanIsGood,Principal,""), "")</f>
        <v/>
      </c>
      <c r="G102" s="12" t="str">
        <f>IFERROR(IF(LoanIsNotPaid*LoanIsGood,InterestAmt,""), "")</f>
        <v/>
      </c>
      <c r="H102" s="12" t="str">
        <f>IFERROR(IF(LoanIsNotPaid*LoanIsGood,EndingBalance,""), "")</f>
        <v/>
      </c>
    </row>
    <row r="103" spans="2:8" ht="20.149999999999999" customHeight="1">
      <c r="B103" s="9" t="str">
        <f>IFERROR(IF(LoanIsNotPaid*LoanIsGood,PaymentNumber,""), "")</f>
        <v/>
      </c>
      <c r="C103" s="10" t="str">
        <f>IFERROR(IF(LoanIsNotPaid*LoanIsGood,PaymentDate,""), "")</f>
        <v/>
      </c>
      <c r="D103" s="12" t="str">
        <f>IFERROR(IF(LoanIsNotPaid*LoanIsGood,LoanValue,""), "")</f>
        <v/>
      </c>
      <c r="E103" s="12" t="str">
        <f>IFERROR(IF(LoanIsNotPaid*LoanIsGood,MonthlyPayment,""), "")</f>
        <v/>
      </c>
      <c r="F103" s="12" t="str">
        <f>IFERROR(IF(LoanIsNotPaid*LoanIsGood,Principal,""), "")</f>
        <v/>
      </c>
      <c r="G103" s="12" t="str">
        <f>IFERROR(IF(LoanIsNotPaid*LoanIsGood,InterestAmt,""), "")</f>
        <v/>
      </c>
      <c r="H103" s="12" t="str">
        <f>IFERROR(IF(LoanIsNotPaid*LoanIsGood,EndingBalance,""), "")</f>
        <v/>
      </c>
    </row>
    <row r="104" spans="2:8" ht="20.149999999999999" customHeight="1">
      <c r="B104" s="9" t="str">
        <f>IFERROR(IF(LoanIsNotPaid*LoanIsGood,PaymentNumber,""), "")</f>
        <v/>
      </c>
      <c r="C104" s="10" t="str">
        <f>IFERROR(IF(LoanIsNotPaid*LoanIsGood,PaymentDate,""), "")</f>
        <v/>
      </c>
      <c r="D104" s="12" t="str">
        <f>IFERROR(IF(LoanIsNotPaid*LoanIsGood,LoanValue,""), "")</f>
        <v/>
      </c>
      <c r="E104" s="12" t="str">
        <f>IFERROR(IF(LoanIsNotPaid*LoanIsGood,MonthlyPayment,""), "")</f>
        <v/>
      </c>
      <c r="F104" s="12" t="str">
        <f>IFERROR(IF(LoanIsNotPaid*LoanIsGood,Principal,""), "")</f>
        <v/>
      </c>
      <c r="G104" s="12" t="str">
        <f>IFERROR(IF(LoanIsNotPaid*LoanIsGood,InterestAmt,""), "")</f>
        <v/>
      </c>
      <c r="H104" s="12" t="str">
        <f>IFERROR(IF(LoanIsNotPaid*LoanIsGood,EndingBalance,""), "")</f>
        <v/>
      </c>
    </row>
    <row r="105" spans="2:8" ht="20.149999999999999" customHeight="1">
      <c r="B105" s="9" t="str">
        <f>IFERROR(IF(LoanIsNotPaid*LoanIsGood,PaymentNumber,""), "")</f>
        <v/>
      </c>
      <c r="C105" s="10" t="str">
        <f>IFERROR(IF(LoanIsNotPaid*LoanIsGood,PaymentDate,""), "")</f>
        <v/>
      </c>
      <c r="D105" s="12" t="str">
        <f>IFERROR(IF(LoanIsNotPaid*LoanIsGood,LoanValue,""), "")</f>
        <v/>
      </c>
      <c r="E105" s="12" t="str">
        <f>IFERROR(IF(LoanIsNotPaid*LoanIsGood,MonthlyPayment,""), "")</f>
        <v/>
      </c>
      <c r="F105" s="12" t="str">
        <f>IFERROR(IF(LoanIsNotPaid*LoanIsGood,Principal,""), "")</f>
        <v/>
      </c>
      <c r="G105" s="12" t="str">
        <f>IFERROR(IF(LoanIsNotPaid*LoanIsGood,InterestAmt,""), "")</f>
        <v/>
      </c>
      <c r="H105" s="12" t="str">
        <f>IFERROR(IF(LoanIsNotPaid*LoanIsGood,EndingBalance,""), "")</f>
        <v/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20" priority="4" stopIfTrue="1">
      <formula>NOT(LoanIsNotPaid)</formula>
    </cfRule>
    <cfRule type="expression" dxfId="19" priority="5" stopIfTrue="1">
      <formula>IF(ROW(B10)=LastRow,TRUE,FALSE)</formula>
    </cfRule>
  </conditionalFormatting>
  <conditionalFormatting sqref="B10:H369">
    <cfRule type="expression" dxfId="18" priority="1">
      <formula>$B10=""</formula>
    </cfRule>
  </conditionalFormatting>
  <conditionalFormatting sqref="C10:G369">
    <cfRule type="expression" dxfId="17" priority="2" stopIfTrue="1">
      <formula>NOT(LoanIsNotPaid)</formula>
    </cfRule>
    <cfRule type="expression" dxfId="16" priority="3" stopIfTrue="1">
      <formula>IF(ROW(C10)=LastRow,TRUE,FALSE)</formula>
    </cfRule>
  </conditionalFormatting>
  <conditionalFormatting sqref="H10:H369">
    <cfRule type="expression" dxfId="15" priority="6" stopIfTrue="1">
      <formula>NOT(LoanIsNotPaid)</formula>
    </cfRule>
    <cfRule type="expression" dxfId="14" priority="7" stopIfTrue="1">
      <formula>IF(ROW(H10)=LastRow,TRUE,FALSE)</formula>
    </cfRule>
  </conditionalFormatting>
  <dataValidations count="27">
    <dataValidation allowBlank="1" showInputMessage="1" showErrorMessage="1" prompt="Make a loan repayment schedule using this Loan Calculator worksheet. Total interest and total payments are automatically calculated" sqref="A1:A2" xr:uid="{350B7EBC-2E8C-4242-9339-0DEF1B30752A}"/>
    <dataValidation allowBlank="1" showInputMessage="1" showErrorMessage="1" prompt="Title of this worksheet is in this cell. Enter Loan Values in cells D3 through D6. Loan Summary in cells H3 through H6 and Loan table are automatically updated" sqref="B1:B2" xr:uid="{7D46418A-FF18-4278-9C97-6CCACF85F39D}"/>
    <dataValidation allowBlank="1" showInputMessage="1" showErrorMessage="1" prompt="Loan Summary is automatically updated in cells below" sqref="F3" xr:uid="{EB1669DC-02F1-4DFA-BC5C-CCD58A1B5611}"/>
    <dataValidation allowBlank="1" showInputMessage="1" showErrorMessage="1" prompt="Enter Loan amount in this cell" sqref="D4" xr:uid="{C1B3F721-36A5-4A66-8C12-39804487D1D1}"/>
    <dataValidation allowBlank="1" showInputMessage="1" showErrorMessage="1" prompt="Enter Loan amount in cell at right" sqref="B4:C4" xr:uid="{32FADC64-E86F-4388-A44F-B023E926EC41}"/>
    <dataValidation allowBlank="1" showInputMessage="1" showErrorMessage="1" prompt="Enter Annual interest rate in this cell" sqref="D5" xr:uid="{7F4B9D4C-4B13-4D2E-AB02-FF80F85BC77A}"/>
    <dataValidation allowBlank="1" showInputMessage="1" showErrorMessage="1" prompt="Enter Annual interest rate in cell at right" sqref="B5:C5" xr:uid="{85FA4758-402F-462F-B739-5B62FBF5EF24}"/>
    <dataValidation allowBlank="1" showInputMessage="1" showErrorMessage="1" prompt="Enter Loan period in years in this cell" sqref="D6" xr:uid="{F9A467F5-9160-46E1-BABE-DE544CC1153B}"/>
    <dataValidation allowBlank="1" showInputMessage="1" showErrorMessage="1" prompt="Enter Loan period in years in cell at right" sqref="B6:C6" xr:uid="{CF76D4F4-8A1F-4BE5-A846-C4B54EA0540C}"/>
    <dataValidation allowBlank="1" showInputMessage="1" showErrorMessage="1" prompt="Enter Start date of loan in this cell" sqref="D7" xr:uid="{D280DF25-7E0A-49C5-8F31-AD6D0E242F93}"/>
    <dataValidation allowBlank="1" showInputMessage="1" showErrorMessage="1" prompt="Enter Start date of loan in cell at right" sqref="B7:C7" xr:uid="{9B09D2B9-D148-4F31-ADA1-616DF95B28B0}"/>
    <dataValidation allowBlank="1" showInputMessage="1" showErrorMessage="1" prompt="Monthly payment is automatically calculated in this cell" sqref="H4" xr:uid="{AC9EE64B-6D18-4938-810E-2D957A5816D6}"/>
    <dataValidation allowBlank="1" showInputMessage="1" showErrorMessage="1" prompt="Monthly payment is automatically calculated in cell at right" sqref="F4:G4" xr:uid="{0BFE98AF-36ED-4C18-BCB1-0E127CF6470B}"/>
    <dataValidation allowBlank="1" showInputMessage="1" showErrorMessage="1" prompt="Number of payments is automatically calculated in cell at right" sqref="F5:G5" xr:uid="{B32A1DA0-AAD2-48EB-AF5B-46B3C6440D4F}"/>
    <dataValidation allowBlank="1" showInputMessage="1" showErrorMessage="1" prompt="Total interest is automatically calculated in cell at right" sqref="F6:G6" xr:uid="{F82D1263-8F57-4F46-A5FE-699CD0957F27}"/>
    <dataValidation allowBlank="1" showInputMessage="1" showErrorMessage="1" prompt="Total cost of loan is automatically calculated in cell at right" sqref="F7:G7" xr:uid="{7A6CE465-314C-4FBB-B1E5-1A05495AE9BF}"/>
    <dataValidation allowBlank="1" showInputMessage="1" showErrorMessage="1" prompt="Total cost of loan is automatically calculated in this cell" sqref="H7" xr:uid="{F4AC4094-E307-4326-93D4-AE775E56AF60}"/>
    <dataValidation allowBlank="1" showInputMessage="1" showErrorMessage="1" prompt="Total interest is automatically calculated in this cell" sqref="H6" xr:uid="{0C0D1291-43BD-41D6-8DD6-520540F299F2}"/>
    <dataValidation allowBlank="1" showInputMessage="1" showErrorMessage="1" prompt="Number of payments is automatically calculated in this cell" sqref="H5" xr:uid="{94F22C6D-2B15-4948-9EEA-609B2B64A0A5}"/>
    <dataValidation allowBlank="1" showInputMessage="1" showErrorMessage="1" prompt="Payment Number is automatically updated in this column under this heading" sqref="B9" xr:uid="{AA7E1B55-05E0-47D1-B6AD-48BD85DA5385}"/>
    <dataValidation allowBlank="1" showInputMessage="1" showErrorMessage="1" prompt="Payment Date is automatically updated in this column under this heading" sqref="C9" xr:uid="{269C8748-B9DC-4DEF-AA89-3A14964E8E10}"/>
    <dataValidation allowBlank="1" showInputMessage="1" showErrorMessage="1" prompt="Beginning Balance is automatically calculated in this column under this heading" sqref="D9" xr:uid="{18EC316B-5BBE-4CDB-A0FC-F165985DCB3F}"/>
    <dataValidation allowBlank="1" showInputMessage="1" showErrorMessage="1" prompt="Payment amount is automatically calculated in this column under this heading" sqref="E9" xr:uid="{455DC202-F0B0-412D-B9C0-F0C038AC9C9D}"/>
    <dataValidation allowBlank="1" showInputMessage="1" showErrorMessage="1" prompt="Principal amount is automatically updated in this column under this heading" sqref="F9" xr:uid="{2514CBD4-6087-4876-9E4E-E82A7EB59F2B}"/>
    <dataValidation allowBlank="1" showInputMessage="1" showErrorMessage="1" prompt="Interest amount is automatically updated in this column under this heading" sqref="G9" xr:uid="{E856418C-39F8-493E-A2B9-5FB2B72FD68F}"/>
    <dataValidation allowBlank="1" showInputMessage="1" showErrorMessage="1" prompt="Ending Balance is automatically updated in this column under this heading" sqref="H9" xr:uid="{616392D3-D716-450A-AAF1-7E821D432ECE}"/>
    <dataValidation allowBlank="1" showInputMessage="1" showErrorMessage="1" prompt="Enter Loan Values in cells D4 through D7 for each description in cells below. Loan Summary in cells H4 through H7 and Loan table are automatically updated" sqref="B3:D3" xr:uid="{3D9BE8F6-6445-48FB-85BA-DF4FF88DE500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4C2A-5F6B-4692-A048-CFC161C03725}">
  <sheetPr>
    <tabColor theme="4"/>
    <pageSetUpPr fitToPage="1"/>
  </sheetPr>
  <dimension ref="B1:H369"/>
  <sheetViews>
    <sheetView showGridLines="0" zoomScale="80" zoomScaleNormal="80" workbookViewId="0">
      <pane ySplit="9" topLeftCell="A45" activePane="bottomLeft" state="frozenSplit"/>
      <selection activeCell="D40" sqref="D40"/>
      <selection pane="bottomLeft" activeCell="D4" sqref="D4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1081652</v>
      </c>
      <c r="E4"/>
      <c r="F4" s="43" t="s">
        <v>4</v>
      </c>
      <c r="G4" s="43"/>
      <c r="H4" s="13">
        <f>IFERROR(IF(LoanIsGood,MonthlyPayment,""), "")</f>
        <v>24230.062013057915</v>
      </c>
    </row>
    <row r="5" spans="2:8" ht="20.149999999999999" customHeight="1">
      <c r="B5" s="40" t="s">
        <v>1</v>
      </c>
      <c r="C5" s="40"/>
      <c r="D5" s="3">
        <v>0.16614699999999999</v>
      </c>
      <c r="E5"/>
      <c r="F5" s="40" t="s">
        <v>5</v>
      </c>
      <c r="G5" s="40"/>
      <c r="H5" s="6">
        <v>70</v>
      </c>
    </row>
    <row r="6" spans="2:8" ht="20.149999999999999" customHeight="1">
      <c r="B6" s="40" t="s">
        <v>2</v>
      </c>
      <c r="C6" s="40"/>
      <c r="D6" s="4">
        <v>5</v>
      </c>
      <c r="E6"/>
      <c r="F6" s="40" t="s">
        <v>6</v>
      </c>
      <c r="G6" s="40"/>
      <c r="H6" s="14">
        <f>IFERROR(IF(LoanIsGood,TotalLoanCost-LoanAmount,""), "")</f>
        <v>614452.34091405408</v>
      </c>
    </row>
    <row r="7" spans="2:8" ht="20.149999999999999" customHeight="1">
      <c r="B7" s="40" t="s">
        <v>3</v>
      </c>
      <c r="C7" s="40"/>
      <c r="D7" s="5">
        <v>43893</v>
      </c>
      <c r="E7"/>
      <c r="F7" s="40" t="s">
        <v>7</v>
      </c>
      <c r="G7" s="40"/>
      <c r="H7" s="14">
        <f>IFERROR(IF(LoanIsGood,MonthlyPayment*NumberOfPayments,""), "")</f>
        <v>1696104.3409140541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43924</v>
      </c>
      <c r="D10" s="12">
        <f>IFERROR(IF(LoanIsNotPaid*LoanIsGood,LoanValue,""), "")</f>
        <v>1081652</v>
      </c>
      <c r="E10" s="12">
        <f>IFERROR(IF(LoanIsNotPaid*LoanIsGood,MonthlyPayment,""), "")</f>
        <v>24230.062013057915</v>
      </c>
      <c r="F10" s="12">
        <f>IFERROR(IF(LoanIsNotPaid*LoanIsGood,Principal,""), "")</f>
        <v>9253.9591093912459</v>
      </c>
      <c r="G10" s="12">
        <f>IFERROR(IF(LoanIsNotPaid*LoanIsGood,InterestAmt,""), "")</f>
        <v>14976.102903666666</v>
      </c>
      <c r="H10" s="12">
        <f>IFERROR(IF(LoanIsNotPaid*LoanIsGood,EndingBalance,""), "")</f>
        <v>1072398.0408906089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43954</v>
      </c>
      <c r="D11" s="12">
        <f>IFERROR(IF(LoanIsNotPaid*LoanIsGood,LoanValue,""), "")</f>
        <v>1072398.0408906089</v>
      </c>
      <c r="E11" s="12">
        <f>IFERROR(IF(LoanIsNotPaid*LoanIsGood,MonthlyPayment,""), "")</f>
        <v>24230.062013057915</v>
      </c>
      <c r="F11" s="12">
        <f>IFERROR(IF(LoanIsNotPaid*LoanIsGood,Principal,""), "")</f>
        <v>9382.0855714035806</v>
      </c>
      <c r="G11" s="12">
        <f>IFERROR(IF(LoanIsNotPaid*LoanIsGood,InterestAmt,""), "")</f>
        <v>14847.976441654329</v>
      </c>
      <c r="H11" s="12">
        <f>IFERROR(IF(LoanIsNotPaid*LoanIsGood,EndingBalance,""), "")</f>
        <v>1063015.9553192051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43985</v>
      </c>
      <c r="D12" s="12">
        <f>IFERROR(IF(LoanIsNotPaid*LoanIsGood,LoanValue,""), "")</f>
        <v>1063015.9553192051</v>
      </c>
      <c r="E12" s="12">
        <f>IFERROR(IF(LoanIsNotPaid*LoanIsGood,MonthlyPayment,""), "")</f>
        <v>24230.062013057915</v>
      </c>
      <c r="F12" s="12">
        <f>IFERROR(IF(LoanIsNotPaid*LoanIsGood,Principal,""), "")</f>
        <v>9511.9860190229138</v>
      </c>
      <c r="G12" s="12">
        <f>IFERROR(IF(LoanIsNotPaid*LoanIsGood,InterestAmt,""), "")</f>
        <v>14718.075994035</v>
      </c>
      <c r="H12" s="12">
        <f>IFERROR(IF(LoanIsNotPaid*LoanIsGood,EndingBalance,""), "")</f>
        <v>1053503.9693001825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44015</v>
      </c>
      <c r="D13" s="12">
        <f>IFERROR(IF(LoanIsNotPaid*LoanIsGood,LoanValue,""), "")</f>
        <v>1053503.9693001825</v>
      </c>
      <c r="E13" s="12">
        <f>IFERROR(IF(LoanIsNotPaid*LoanIsGood,MonthlyPayment,""), "")</f>
        <v>24230.062013057915</v>
      </c>
      <c r="F13" s="12">
        <f>IFERROR(IF(LoanIsNotPaid*LoanIsGood,Principal,""), "")</f>
        <v>9643.685014114797</v>
      </c>
      <c r="G13" s="12">
        <f>IFERROR(IF(LoanIsNotPaid*LoanIsGood,InterestAmt,""), "")</f>
        <v>14586.376998943115</v>
      </c>
      <c r="H13" s="12">
        <f>IFERROR(IF(LoanIsNotPaid*LoanIsGood,EndingBalance,""), "")</f>
        <v>1043860.2842860676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44046</v>
      </c>
      <c r="D14" s="12">
        <f>IFERROR(IF(LoanIsNotPaid*LoanIsGood,LoanValue,""), "")</f>
        <v>1043860.2842860676</v>
      </c>
      <c r="E14" s="12">
        <f>IFERROR(IF(LoanIsNotPaid*LoanIsGood,MonthlyPayment,""), "")</f>
        <v>24230.062013057915</v>
      </c>
      <c r="F14" s="12">
        <f>IFERROR(IF(LoanIsNotPaid*LoanIsGood,Principal,""), "")</f>
        <v>9777.2074586181407</v>
      </c>
      <c r="G14" s="12">
        <f>IFERROR(IF(LoanIsNotPaid*LoanIsGood,InterestAmt,""), "")</f>
        <v>14452.854554439771</v>
      </c>
      <c r="H14" s="12">
        <f>IFERROR(IF(LoanIsNotPaid*LoanIsGood,EndingBalance,""), "")</f>
        <v>1034083.0768274495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44077</v>
      </c>
      <c r="D15" s="12">
        <f>IFERROR(IF(LoanIsNotPaid*LoanIsGood,LoanValue,""), "")</f>
        <v>1034083.0768274495</v>
      </c>
      <c r="E15" s="12">
        <f>IFERROR(IF(LoanIsNotPaid*LoanIsGood,MonthlyPayment,""), "")</f>
        <v>24230.062013057915</v>
      </c>
      <c r="F15" s="12">
        <f>IFERROR(IF(LoanIsNotPaid*LoanIsGood,Principal,""), "")</f>
        <v>9912.5785992537258</v>
      </c>
      <c r="G15" s="12">
        <f>IFERROR(IF(LoanIsNotPaid*LoanIsGood,InterestAmt,""), "")</f>
        <v>14317.48341380419</v>
      </c>
      <c r="H15" s="12">
        <f>IFERROR(IF(LoanIsNotPaid*LoanIsGood,EndingBalance,""), "")</f>
        <v>1024170.4982281958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44107</v>
      </c>
      <c r="D16" s="12">
        <f>IFERROR(IF(LoanIsNotPaid*LoanIsGood,LoanValue,""), "")</f>
        <v>1024170.4982281958</v>
      </c>
      <c r="E16" s="12">
        <f>IFERROR(IF(LoanIsNotPaid*LoanIsGood,MonthlyPayment,""), "")</f>
        <v>24230.062013057915</v>
      </c>
      <c r="F16" s="12">
        <f>IFERROR(IF(LoanIsNotPaid*LoanIsGood,Principal,""), "")</f>
        <v>10049.824032297911</v>
      </c>
      <c r="G16" s="12">
        <f>IFERROR(IF(LoanIsNotPaid*LoanIsGood,InterestAmt,""), "")</f>
        <v>14180.237980760003</v>
      </c>
      <c r="H16" s="12">
        <f>IFERROR(IF(LoanIsNotPaid*LoanIsGood,EndingBalance,""), "")</f>
        <v>1014120.674195898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44138</v>
      </c>
      <c r="D17" s="12">
        <f>IFERROR(IF(LoanIsNotPaid*LoanIsGood,LoanValue,""), "")</f>
        <v>1014120.674195898</v>
      </c>
      <c r="E17" s="12">
        <f>IFERROR(IF(LoanIsNotPaid*LoanIsGood,MonthlyPayment,""), "")</f>
        <v>24230.062013057915</v>
      </c>
      <c r="F17" s="12">
        <f>IFERROR(IF(LoanIsNotPaid*LoanIsGood,Principal,""), "")</f>
        <v>10188.969708422428</v>
      </c>
      <c r="G17" s="12">
        <f>IFERROR(IF(LoanIsNotPaid*LoanIsGood,InterestAmt,""), "")</f>
        <v>14041.092304635486</v>
      </c>
      <c r="H17" s="12">
        <f>IFERROR(IF(LoanIsNotPaid*LoanIsGood,EndingBalance,""), "")</f>
        <v>1003931.7044874758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44168</v>
      </c>
      <c r="D18" s="12">
        <f>IFERROR(IF(LoanIsNotPaid*LoanIsGood,LoanValue,""), "")</f>
        <v>1003931.7044874758</v>
      </c>
      <c r="E18" s="12">
        <f>IFERROR(IF(LoanIsNotPaid*LoanIsGood,MonthlyPayment,""), "")</f>
        <v>24230.062013057915</v>
      </c>
      <c r="F18" s="12">
        <f>IFERROR(IF(LoanIsNotPaid*LoanIsGood,Principal,""), "")</f>
        <v>10330.0419376012</v>
      </c>
      <c r="G18" s="12">
        <f>IFERROR(IF(LoanIsNotPaid*LoanIsGood,InterestAmt,""), "")</f>
        <v>13900.020075456716</v>
      </c>
      <c r="H18" s="12">
        <f>IFERROR(IF(LoanIsNotPaid*LoanIsGood,EndingBalance,""), "")</f>
        <v>993601.66254987428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44199</v>
      </c>
      <c r="D19" s="12">
        <f>IFERROR(IF(LoanIsNotPaid*LoanIsGood,LoanValue,""), "")</f>
        <v>993601.66254987428</v>
      </c>
      <c r="E19" s="12">
        <f>IFERROR(IF(LoanIsNotPaid*LoanIsGood,MonthlyPayment,""), "")</f>
        <v>24230.062013057915</v>
      </c>
      <c r="F19" s="12">
        <f>IFERROR(IF(LoanIsNotPaid*LoanIsGood,Principal,""), "")</f>
        <v>10473.067394085085</v>
      </c>
      <c r="G19" s="12">
        <f>IFERROR(IF(LoanIsNotPaid*LoanIsGood,InterestAmt,""), "")</f>
        <v>13756.994618972827</v>
      </c>
      <c r="H19" s="12">
        <f>IFERROR(IF(LoanIsNotPaid*LoanIsGood,EndingBalance,""), "")</f>
        <v>983128.59515578963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44230</v>
      </c>
      <c r="D20" s="12">
        <f>IFERROR(IF(LoanIsNotPaid*LoanIsGood,LoanValue,""), "")</f>
        <v>983128.59515578963</v>
      </c>
      <c r="E20" s="12">
        <f>IFERROR(IF(LoanIsNotPaid*LoanIsGood,MonthlyPayment,""), "")</f>
        <v>24230.062013057915</v>
      </c>
      <c r="F20" s="12">
        <f>IFERROR(IF(LoanIsNotPaid*LoanIsGood,Principal,""), "")</f>
        <v>10618.073121445506</v>
      </c>
      <c r="G20" s="12">
        <f>IFERROR(IF(LoanIsNotPaid*LoanIsGood,InterestAmt,""), "")</f>
        <v>13611.988891612409</v>
      </c>
      <c r="H20" s="12">
        <f>IFERROR(IF(LoanIsNotPaid*LoanIsGood,EndingBalance,""), "")</f>
        <v>972510.52203434403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44258</v>
      </c>
      <c r="D21" s="12">
        <f>IFERROR(IF(LoanIsNotPaid*LoanIsGood,LoanValue,""), "")</f>
        <v>972510.52203434403</v>
      </c>
      <c r="E21" s="12">
        <f>IFERROR(IF(LoanIsNotPaid*LoanIsGood,MonthlyPayment,""), "")</f>
        <v>24230.062013057915</v>
      </c>
      <c r="F21" s="12">
        <f>IFERROR(IF(LoanIsNotPaid*LoanIsGood,Principal,""), "")</f>
        <v>10765.086537687908</v>
      </c>
      <c r="G21" s="12">
        <f>IFERROR(IF(LoanIsNotPaid*LoanIsGood,InterestAmt,""), "")</f>
        <v>13464.975475370007</v>
      </c>
      <c r="H21" s="12">
        <f>IFERROR(IF(LoanIsNotPaid*LoanIsGood,EndingBalance,""), "")</f>
        <v>961745.43549665622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44289</v>
      </c>
      <c r="D22" s="12">
        <f>IFERROR(IF(LoanIsNotPaid*LoanIsGood,LoanValue,""), "")</f>
        <v>961745.43549665622</v>
      </c>
      <c r="E22" s="12">
        <f>IFERROR(IF(LoanIsNotPaid*LoanIsGood,MonthlyPayment,""), "")</f>
        <v>24230.062013057915</v>
      </c>
      <c r="F22" s="12">
        <f>IFERROR(IF(LoanIsNotPaid*LoanIsGood,Principal,""), "")</f>
        <v>10914.13544043601</v>
      </c>
      <c r="G22" s="12">
        <f>IFERROR(IF(LoanIsNotPaid*LoanIsGood,InterestAmt,""), "")</f>
        <v>13315.926572621909</v>
      </c>
      <c r="H22" s="12">
        <f>IFERROR(IF(LoanIsNotPaid*LoanIsGood,EndingBalance,""), "")</f>
        <v>950831.30005622038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44319</v>
      </c>
      <c r="D23" s="12">
        <f>IFERROR(IF(LoanIsNotPaid*LoanIsGood,LoanValue,""), "")</f>
        <v>950831.30005622038</v>
      </c>
      <c r="E23" s="12">
        <f>IFERROR(IF(LoanIsNotPaid*LoanIsGood,MonthlyPayment,""), "")</f>
        <v>24230.062013057915</v>
      </c>
      <c r="F23" s="12">
        <f>IFERROR(IF(LoanIsNotPaid*LoanIsGood,Principal,""), "")</f>
        <v>11065.248012187853</v>
      </c>
      <c r="G23" s="12">
        <f>IFERROR(IF(LoanIsNotPaid*LoanIsGood,InterestAmt,""), "")</f>
        <v>13164.814000870061</v>
      </c>
      <c r="H23" s="12">
        <f>IFERROR(IF(LoanIsNotPaid*LoanIsGood,EndingBalance,""), "")</f>
        <v>939766.05204403249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44350</v>
      </c>
      <c r="D24" s="12">
        <f>IFERROR(IF(LoanIsNotPaid*LoanIsGood,LoanValue,""), "")</f>
        <v>939766.05204403249</v>
      </c>
      <c r="E24" s="12">
        <f>IFERROR(IF(LoanIsNotPaid*LoanIsGood,MonthlyPayment,""), "")</f>
        <v>24230.062013057915</v>
      </c>
      <c r="F24" s="12">
        <f>IFERROR(IF(LoanIsNotPaid*LoanIsGood,Principal,""), "")</f>
        <v>11218.452825644601</v>
      </c>
      <c r="G24" s="12">
        <f>IFERROR(IF(LoanIsNotPaid*LoanIsGood,InterestAmt,""), "")</f>
        <v>13011.609187413313</v>
      </c>
      <c r="H24" s="12">
        <f>IFERROR(IF(LoanIsNotPaid*LoanIsGood,EndingBalance,""), "")</f>
        <v>928547.59921838809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44380</v>
      </c>
      <c r="D25" s="12">
        <f>IFERROR(IF(LoanIsNotPaid*LoanIsGood,LoanValue,""), "")</f>
        <v>928547.59921838809</v>
      </c>
      <c r="E25" s="12">
        <f>IFERROR(IF(LoanIsNotPaid*LoanIsGood,MonthlyPayment,""), "")</f>
        <v>24230.062013057915</v>
      </c>
      <c r="F25" s="12">
        <f>IFERROR(IF(LoanIsNotPaid*LoanIsGood,Principal,""), "")</f>
        <v>11373.778849113134</v>
      </c>
      <c r="G25" s="12">
        <f>IFERROR(IF(LoanIsNotPaid*LoanIsGood,InterestAmt,""), "")</f>
        <v>12856.283163944781</v>
      </c>
      <c r="H25" s="12">
        <f>IFERROR(IF(LoanIsNotPaid*LoanIsGood,EndingBalance,""), "")</f>
        <v>917173.82036927505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44411</v>
      </c>
      <c r="D26" s="12">
        <f>IFERROR(IF(LoanIsNotPaid*LoanIsGood,LoanValue,""), "")</f>
        <v>917173.82036927505</v>
      </c>
      <c r="E26" s="12">
        <f>IFERROR(IF(LoanIsNotPaid*LoanIsGood,MonthlyPayment,""), "")</f>
        <v>24230.062013057915</v>
      </c>
      <c r="F26" s="12">
        <f>IFERROR(IF(LoanIsNotPaid*LoanIsGood,Principal,""), "")</f>
        <v>11531.255451983432</v>
      </c>
      <c r="G26" s="12">
        <f>IFERROR(IF(LoanIsNotPaid*LoanIsGood,InterestAmt,""), "")</f>
        <v>12698.806561074482</v>
      </c>
      <c r="H26" s="12">
        <f>IFERROR(IF(LoanIsNotPaid*LoanIsGood,EndingBalance,""), "")</f>
        <v>905642.56491729151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44442</v>
      </c>
      <c r="D27" s="12">
        <f>IFERROR(IF(LoanIsNotPaid*LoanIsGood,LoanValue,""), "")</f>
        <v>905642.56491729151</v>
      </c>
      <c r="E27" s="12">
        <f>IFERROR(IF(LoanIsNotPaid*LoanIsGood,MonthlyPayment,""), "")</f>
        <v>24230.062013057915</v>
      </c>
      <c r="F27" s="12">
        <f>IFERROR(IF(LoanIsNotPaid*LoanIsGood,Principal,""), "")</f>
        <v>11690.912410281822</v>
      </c>
      <c r="G27" s="12">
        <f>IFERROR(IF(LoanIsNotPaid*LoanIsGood,InterestAmt,""), "")</f>
        <v>12539.149602776091</v>
      </c>
      <c r="H27" s="12">
        <f>IFERROR(IF(LoanIsNotPaid*LoanIsGood,EndingBalance,""), "")</f>
        <v>893951.6525070098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44472</v>
      </c>
      <c r="D28" s="12">
        <f>IFERROR(IF(LoanIsNotPaid*LoanIsGood,LoanValue,""), "")</f>
        <v>893951.6525070098</v>
      </c>
      <c r="E28" s="12">
        <f>IFERROR(IF(LoanIsNotPaid*LoanIsGood,MonthlyPayment,""), "")</f>
        <v>24230.062013057915</v>
      </c>
      <c r="F28" s="12">
        <f>IFERROR(IF(LoanIsNotPaid*LoanIsGood,Principal,""), "")</f>
        <v>11852.779912301083</v>
      </c>
      <c r="G28" s="12">
        <f>IFERROR(IF(LoanIsNotPaid*LoanIsGood,InterestAmt,""), "")</f>
        <v>12377.282100756831</v>
      </c>
      <c r="H28" s="12">
        <f>IFERROR(IF(LoanIsNotPaid*LoanIsGood,EndingBalance,""), "")</f>
        <v>882098.87259470881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44503</v>
      </c>
      <c r="D29" s="12">
        <f>IFERROR(IF(LoanIsNotPaid*LoanIsGood,LoanValue,""), "")</f>
        <v>882098.87259470881</v>
      </c>
      <c r="E29" s="12">
        <f>IFERROR(IF(LoanIsNotPaid*LoanIsGood,MonthlyPayment,""), "")</f>
        <v>24230.062013057915</v>
      </c>
      <c r="F29" s="12">
        <f>IFERROR(IF(LoanIsNotPaid*LoanIsGood,Principal,""), "")</f>
        <v>12016.888564308507</v>
      </c>
      <c r="G29" s="12">
        <f>IFERROR(IF(LoanIsNotPaid*LoanIsGood,InterestAmt,""), "")</f>
        <v>12213.173448749409</v>
      </c>
      <c r="H29" s="12">
        <f>IFERROR(IF(LoanIsNotPaid*LoanIsGood,EndingBalance,""), "")</f>
        <v>870081.9840304004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44533</v>
      </c>
      <c r="D30" s="12">
        <f>IFERROR(IF(LoanIsNotPaid*LoanIsGood,LoanValue,""), "")</f>
        <v>870081.9840304004</v>
      </c>
      <c r="E30" s="12">
        <f>IFERROR(IF(LoanIsNotPaid*LoanIsGood,MonthlyPayment,""), "")</f>
        <v>24230.062013057915</v>
      </c>
      <c r="F30" s="12">
        <f>IFERROR(IF(LoanIsNotPaid*LoanIsGood,Principal,""), "")</f>
        <v>12183.269396333018</v>
      </c>
      <c r="G30" s="12">
        <f>IFERROR(IF(LoanIsNotPaid*LoanIsGood,InterestAmt,""), "")</f>
        <v>12046.792616724895</v>
      </c>
      <c r="H30" s="12">
        <f>IFERROR(IF(LoanIsNotPaid*LoanIsGood,EndingBalance,""), "")</f>
        <v>857898.71463406738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44564</v>
      </c>
      <c r="D31" s="12">
        <f>IFERROR(IF(LoanIsNotPaid*LoanIsGood,LoanValue,""), "")</f>
        <v>857898.71463406738</v>
      </c>
      <c r="E31" s="12">
        <f>IFERROR(IF(LoanIsNotPaid*LoanIsGood,MonthlyPayment,""), "")</f>
        <v>24230.062013057915</v>
      </c>
      <c r="F31" s="12">
        <f>IFERROR(IF(LoanIsNotPaid*LoanIsGood,Principal,""), "")</f>
        <v>12351.953868032397</v>
      </c>
      <c r="G31" s="12">
        <f>IFERROR(IF(LoanIsNotPaid*LoanIsGood,InterestAmt,""), "")</f>
        <v>11878.108145025517</v>
      </c>
      <c r="H31" s="12">
        <f>IFERROR(IF(LoanIsNotPaid*LoanIsGood,EndingBalance,""), "")</f>
        <v>845546.7607660353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44595</v>
      </c>
      <c r="D32" s="12">
        <f>IFERROR(IF(LoanIsNotPaid*LoanIsGood,LoanValue,""), "")</f>
        <v>845546.7607660353</v>
      </c>
      <c r="E32" s="12">
        <f>IFERROR(IF(LoanIsNotPaid*LoanIsGood,MonthlyPayment,""), "")</f>
        <v>24230.062013057915</v>
      </c>
      <c r="F32" s="12">
        <f>IFERROR(IF(LoanIsNotPaid*LoanIsGood,Principal,""), "")</f>
        <v>12522.973874641728</v>
      </c>
      <c r="G32" s="12">
        <f>IFERROR(IF(LoanIsNotPaid*LoanIsGood,InterestAmt,""), "")</f>
        <v>11707.088138416184</v>
      </c>
      <c r="H32" s="12">
        <f>IFERROR(IF(LoanIsNotPaid*LoanIsGood,EndingBalance,""), "")</f>
        <v>833023.78689139371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44623</v>
      </c>
      <c r="D33" s="12">
        <f>IFERROR(IF(LoanIsNotPaid*LoanIsGood,LoanValue,""), "")</f>
        <v>833023.78689139371</v>
      </c>
      <c r="E33" s="12">
        <f>IFERROR(IF(LoanIsNotPaid*LoanIsGood,MonthlyPayment,""), "")</f>
        <v>24230.062013057915</v>
      </c>
      <c r="F33" s="12">
        <f>IFERROR(IF(LoanIsNotPaid*LoanIsGood,Principal,""), "")</f>
        <v>12696.361753004237</v>
      </c>
      <c r="G33" s="12">
        <f>IFERROR(IF(LoanIsNotPaid*LoanIsGood,InterestAmt,""), "")</f>
        <v>11533.700260053678</v>
      </c>
      <c r="H33" s="12">
        <f>IFERROR(IF(LoanIsNotPaid*LoanIsGood,EndingBalance,""), "")</f>
        <v>820327.42513838923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44654</v>
      </c>
      <c r="D34" s="12">
        <f>IFERROR(IF(LoanIsNotPaid*LoanIsGood,LoanValue,""), "")</f>
        <v>820327.42513838923</v>
      </c>
      <c r="E34" s="12">
        <f>IFERROR(IF(LoanIsNotPaid*LoanIsGood,MonthlyPayment,""), "")</f>
        <v>24230.062013057915</v>
      </c>
      <c r="F34" s="12">
        <f>IFERROR(IF(LoanIsNotPaid*LoanIsGood,Principal,""), "")</f>
        <v>12872.150287685605</v>
      </c>
      <c r="G34" s="12">
        <f>IFERROR(IF(LoanIsNotPaid*LoanIsGood,InterestAmt,""), "")</f>
        <v>11357.911725372311</v>
      </c>
      <c r="H34" s="12">
        <f>IFERROR(IF(LoanIsNotPaid*LoanIsGood,EndingBalance,""), "")</f>
        <v>807455.27485070366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44684</v>
      </c>
      <c r="D35" s="12">
        <f>IFERROR(IF(LoanIsNotPaid*LoanIsGood,LoanValue,""), "")</f>
        <v>807455.27485070366</v>
      </c>
      <c r="E35" s="12">
        <f>IFERROR(IF(LoanIsNotPaid*LoanIsGood,MonthlyPayment,""), "")</f>
        <v>24230.062013057915</v>
      </c>
      <c r="F35" s="12">
        <f>IFERROR(IF(LoanIsNotPaid*LoanIsGood,Principal,""), "")</f>
        <v>13050.372717172944</v>
      </c>
      <c r="G35" s="12">
        <f>IFERROR(IF(LoanIsNotPaid*LoanIsGood,InterestAmt,""), "")</f>
        <v>11179.689295884969</v>
      </c>
      <c r="H35" s="12">
        <f>IFERROR(IF(LoanIsNotPaid*LoanIsGood,EndingBalance,""), "")</f>
        <v>794404.90213353117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44715</v>
      </c>
      <c r="D36" s="12">
        <f>IFERROR(IF(LoanIsNotPaid*LoanIsGood,LoanValue,""), "")</f>
        <v>794404.90213353117</v>
      </c>
      <c r="E36" s="12">
        <f>IFERROR(IF(LoanIsNotPaid*LoanIsGood,MonthlyPayment,""), "")</f>
        <v>24230.062013057915</v>
      </c>
      <c r="F36" s="12">
        <f>IFERROR(IF(LoanIsNotPaid*LoanIsGood,Principal,""), "")</f>
        <v>13231.062740159625</v>
      </c>
      <c r="G36" s="12">
        <f>IFERROR(IF(LoanIsNotPaid*LoanIsGood,InterestAmt,""), "")</f>
        <v>10998.999272898292</v>
      </c>
      <c r="H36" s="12">
        <f>IFERROR(IF(LoanIsNotPaid*LoanIsGood,EndingBalance,""), "")</f>
        <v>781173.83939337148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44745</v>
      </c>
      <c r="D37" s="12">
        <f>IFERROR(IF(LoanIsNotPaid*LoanIsGood,LoanValue,""), "")</f>
        <v>781173.83939337148</v>
      </c>
      <c r="E37" s="12">
        <f>IFERROR(IF(LoanIsNotPaid*LoanIsGood,MonthlyPayment,""), "")</f>
        <v>24230.062013057915</v>
      </c>
      <c r="F37" s="12">
        <f>IFERROR(IF(LoanIsNotPaid*LoanIsGood,Principal,""), "")</f>
        <v>13414.254521917064</v>
      </c>
      <c r="G37" s="12">
        <f>IFERROR(IF(LoanIsNotPaid*LoanIsGood,InterestAmt,""), "")</f>
        <v>10815.807491140849</v>
      </c>
      <c r="H37" s="12">
        <f>IFERROR(IF(LoanIsNotPaid*LoanIsGood,EndingBalance,""), "")</f>
        <v>767759.58487145463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44776</v>
      </c>
      <c r="D38" s="12">
        <f>IFERROR(IF(LoanIsNotPaid*LoanIsGood,LoanValue,""), "")</f>
        <v>767759.58487145463</v>
      </c>
      <c r="E38" s="12">
        <f>IFERROR(IF(LoanIsNotPaid*LoanIsGood,MonthlyPayment,""), "")</f>
        <v>24230.062013057915</v>
      </c>
      <c r="F38" s="12">
        <f>IFERROR(IF(LoanIsNotPaid*LoanIsGood,Principal,""), "")</f>
        <v>13599.982700754812</v>
      </c>
      <c r="G38" s="12">
        <f>IFERROR(IF(LoanIsNotPaid*LoanIsGood,InterestAmt,""), "")</f>
        <v>10630.079312303104</v>
      </c>
      <c r="H38" s="12">
        <f>IFERROR(IF(LoanIsNotPaid*LoanIsGood,EndingBalance,""), "")</f>
        <v>754159.60217069986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44807</v>
      </c>
      <c r="D39" s="12">
        <f>IFERROR(IF(LoanIsNotPaid*LoanIsGood,LoanValue,""), "")</f>
        <v>754159.60217069986</v>
      </c>
      <c r="E39" s="12">
        <f>IFERROR(IF(LoanIsNotPaid*LoanIsGood,MonthlyPayment,""), "")</f>
        <v>24230.062013057915</v>
      </c>
      <c r="F39" s="12">
        <f>IFERROR(IF(LoanIsNotPaid*LoanIsGood,Principal,""), "")</f>
        <v>13788.282394570002</v>
      </c>
      <c r="G39" s="12">
        <f>IFERROR(IF(LoanIsNotPaid*LoanIsGood,InterestAmt,""), "")</f>
        <v>10441.779618487912</v>
      </c>
      <c r="H39" s="12">
        <f>IFERROR(IF(LoanIsNotPaid*LoanIsGood,EndingBalance,""), "")</f>
        <v>740371.31977613003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44837</v>
      </c>
      <c r="D40" s="12">
        <f>IFERROR(IF(LoanIsNotPaid*LoanIsGood,LoanValue,""), "")</f>
        <v>740371.31977613003</v>
      </c>
      <c r="E40" s="12">
        <f>IFERROR(IF(LoanIsNotPaid*LoanIsGood,MonthlyPayment,""), "")</f>
        <v>24230.062013057915</v>
      </c>
      <c r="F40" s="12">
        <f>IFERROR(IF(LoanIsNotPaid*LoanIsGood,Principal,""), "")</f>
        <v>13979.189207487556</v>
      </c>
      <c r="G40" s="12">
        <f>IFERROR(IF(LoanIsNotPaid*LoanIsGood,InterestAmt,""), "")</f>
        <v>10250.87280557036</v>
      </c>
      <c r="H40" s="12">
        <f>IFERROR(IF(LoanIsNotPaid*LoanIsGood,EndingBalance,""), "")</f>
        <v>726392.13056864275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44868</v>
      </c>
      <c r="D41" s="12">
        <f>IFERROR(IF(LoanIsNotPaid*LoanIsGood,LoanValue,""), "")</f>
        <v>726392.13056864275</v>
      </c>
      <c r="E41" s="12">
        <f>IFERROR(IF(LoanIsNotPaid*LoanIsGood,MonthlyPayment,""), "")</f>
        <v>24230.062013057915</v>
      </c>
      <c r="F41" s="12">
        <f>IFERROR(IF(LoanIsNotPaid*LoanIsGood,Principal,""), "")</f>
        <v>14172.739236592255</v>
      </c>
      <c r="G41" s="12">
        <f>IFERROR(IF(LoanIsNotPaid*LoanIsGood,InterestAmt,""), "")</f>
        <v>10057.322776465657</v>
      </c>
      <c r="H41" s="12">
        <f>IFERROR(IF(LoanIsNotPaid*LoanIsGood,EndingBalance,""), "")</f>
        <v>712219.39133205044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44898</v>
      </c>
      <c r="D42" s="12">
        <f>IFERROR(IF(LoanIsNotPaid*LoanIsGood,LoanValue,""), "")</f>
        <v>712219.39133205044</v>
      </c>
      <c r="E42" s="12">
        <f>IFERROR(IF(LoanIsNotPaid*LoanIsGood,MonthlyPayment,""), "")</f>
        <v>24230.062013057915</v>
      </c>
      <c r="F42" s="12">
        <f>IFERROR(IF(LoanIsNotPaid*LoanIsGood,Principal,""), "")</f>
        <v>14368.969078754099</v>
      </c>
      <c r="G42" s="12">
        <f>IFERROR(IF(LoanIsNotPaid*LoanIsGood,InterestAmt,""), "")</f>
        <v>9861.0929343038151</v>
      </c>
      <c r="H42" s="12">
        <f>IFERROR(IF(LoanIsNotPaid*LoanIsGood,EndingBalance,""), "")</f>
        <v>697850.42225329624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44929</v>
      </c>
      <c r="D43" s="12">
        <f>IFERROR(IF(LoanIsNotPaid*LoanIsGood,LoanValue,""), "")</f>
        <v>697850.42225329624</v>
      </c>
      <c r="E43" s="12">
        <f>IFERROR(IF(LoanIsNotPaid*LoanIsGood,MonthlyPayment,""), "")</f>
        <v>24230.062013057915</v>
      </c>
      <c r="F43" s="12">
        <f>IFERROR(IF(LoanIsNotPaid*LoanIsGood,Principal,""), "")</f>
        <v>14567.915837548078</v>
      </c>
      <c r="G43" s="12">
        <f>IFERROR(IF(LoanIsNotPaid*LoanIsGood,InterestAmt,""), "")</f>
        <v>9662.1461755098335</v>
      </c>
      <c r="H43" s="12">
        <f>IFERROR(IF(LoanIsNotPaid*LoanIsGood,EndingBalance,""), "")</f>
        <v>683282.50641574839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44960</v>
      </c>
      <c r="D44" s="12">
        <f>IFERROR(IF(LoanIsNotPaid*LoanIsGood,LoanValue,""), "")</f>
        <v>683282.50641574839</v>
      </c>
      <c r="E44" s="12">
        <f>IFERROR(IF(LoanIsNotPaid*LoanIsGood,MonthlyPayment,""), "")</f>
        <v>24230.062013057915</v>
      </c>
      <c r="F44" s="12">
        <f>IFERROR(IF(LoanIsNotPaid*LoanIsGood,Principal,""), "")</f>
        <v>14769.617130269839</v>
      </c>
      <c r="G44" s="12">
        <f>IFERROR(IF(LoanIsNotPaid*LoanIsGood,InterestAmt,""), "")</f>
        <v>9460.4448827880769</v>
      </c>
      <c r="H44" s="12">
        <f>IFERROR(IF(LoanIsNotPaid*LoanIsGood,EndingBalance,""), "")</f>
        <v>668512.88928547874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44988</v>
      </c>
      <c r="D45" s="12">
        <f>IFERROR(IF(LoanIsNotPaid*LoanIsGood,LoanValue,""), "")</f>
        <v>668512.88928547874</v>
      </c>
      <c r="E45" s="12">
        <f>IFERROR(IF(LoanIsNotPaid*LoanIsGood,MonthlyPayment,""), "")</f>
        <v>24230.062013057915</v>
      </c>
      <c r="F45" s="12">
        <f>IFERROR(IF(LoanIsNotPaid*LoanIsGood,Principal,""), "")</f>
        <v>14974.111095048416</v>
      </c>
      <c r="G45" s="12">
        <f>IFERROR(IF(LoanIsNotPaid*LoanIsGood,InterestAmt,""), "")</f>
        <v>9255.9509180094974</v>
      </c>
      <c r="H45" s="12">
        <f>IFERROR(IF(LoanIsNotPaid*LoanIsGood,EndingBalance,""), "")</f>
        <v>653538.77819043049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45019</v>
      </c>
      <c r="D46" s="12">
        <f>IFERROR(IF(LoanIsNotPaid*LoanIsGood,LoanValue,""), "")</f>
        <v>653538.77819043049</v>
      </c>
      <c r="E46" s="12">
        <f>IFERROR(IF(LoanIsNotPaid*LoanIsGood,MonthlyPayment,""), "")</f>
        <v>24230.062013057915</v>
      </c>
      <c r="F46" s="12">
        <f>IFERROR(IF(LoanIsNotPaid*LoanIsGood,Principal,""), "")</f>
        <v>15181.436398057502</v>
      </c>
      <c r="G46" s="12">
        <f>IFERROR(IF(LoanIsNotPaid*LoanIsGood,InterestAmt,""), "")</f>
        <v>9048.6256150004137</v>
      </c>
      <c r="H46" s="12">
        <f>IFERROR(IF(LoanIsNotPaid*LoanIsGood,EndingBalance,""), "")</f>
        <v>638357.34179237275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45049</v>
      </c>
      <c r="D47" s="12">
        <f>IFERROR(IF(LoanIsNotPaid*LoanIsGood,LoanValue,""), "")</f>
        <v>638357.34179237275</v>
      </c>
      <c r="E47" s="12">
        <f>IFERROR(IF(LoanIsNotPaid*LoanIsGood,MonthlyPayment,""), "")</f>
        <v>24230.062013057915</v>
      </c>
      <c r="F47" s="12">
        <f>IFERROR(IF(LoanIsNotPaid*LoanIsGood,Principal,""), "")</f>
        <v>15391.632240826506</v>
      </c>
      <c r="G47" s="12">
        <f>IFERROR(IF(LoanIsNotPaid*LoanIsGood,InterestAmt,""), "")</f>
        <v>8838.4297722314095</v>
      </c>
      <c r="H47" s="12">
        <f>IFERROR(IF(LoanIsNotPaid*LoanIsGood,EndingBalance,""), "")</f>
        <v>622965.70955154672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45080</v>
      </c>
      <c r="D48" s="12">
        <f>IFERROR(IF(LoanIsNotPaid*LoanIsGood,LoanValue,""), "")</f>
        <v>622965.70955154672</v>
      </c>
      <c r="E48" s="12">
        <f>IFERROR(IF(LoanIsNotPaid*LoanIsGood,MonthlyPayment,""), "")</f>
        <v>24230.062013057915</v>
      </c>
      <c r="F48" s="12">
        <f>IFERROR(IF(LoanIsNotPaid*LoanIsGood,Principal,""), "")</f>
        <v>15604.73836765289</v>
      </c>
      <c r="G48" s="12">
        <f>IFERROR(IF(LoanIsNotPaid*LoanIsGood,InterestAmt,""), "")</f>
        <v>8625.3236454050257</v>
      </c>
      <c r="H48" s="12">
        <f>IFERROR(IF(LoanIsNotPaid*LoanIsGood,EndingBalance,""), "")</f>
        <v>607360.9711838942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45110</v>
      </c>
      <c r="D49" s="12">
        <f>IFERROR(IF(LoanIsNotPaid*LoanIsGood,LoanValue,""), "")</f>
        <v>607360.9711838942</v>
      </c>
      <c r="E49" s="12">
        <f>IFERROR(IF(LoanIsNotPaid*LoanIsGood,MonthlyPayment,""), "")</f>
        <v>24230.062013057915</v>
      </c>
      <c r="F49" s="12">
        <f>IFERROR(IF(LoanIsNotPaid*LoanIsGood,Principal,""), "")</f>
        <v>15820.795073117089</v>
      </c>
      <c r="G49" s="12">
        <f>IFERROR(IF(LoanIsNotPaid*LoanIsGood,InterestAmt,""), "")</f>
        <v>8409.2669399408242</v>
      </c>
      <c r="H49" s="12">
        <f>IFERROR(IF(LoanIsNotPaid*LoanIsGood,EndingBalance,""), "")</f>
        <v>591540.17611077684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45141</v>
      </c>
      <c r="D50" s="12">
        <f>IFERROR(IF(LoanIsNotPaid*LoanIsGood,LoanValue,""), "")</f>
        <v>591540.17611077684</v>
      </c>
      <c r="E50" s="12">
        <f>IFERROR(IF(LoanIsNotPaid*LoanIsGood,MonthlyPayment,""), "")</f>
        <v>24230.062013057915</v>
      </c>
      <c r="F50" s="12">
        <f>IFERROR(IF(LoanIsNotPaid*LoanIsGood,Principal,""), "")</f>
        <v>16039.843209701523</v>
      </c>
      <c r="G50" s="12">
        <f>IFERROR(IF(LoanIsNotPaid*LoanIsGood,InterestAmt,""), "")</f>
        <v>8190.2188033563925</v>
      </c>
      <c r="H50" s="12">
        <f>IFERROR(IF(LoanIsNotPaid*LoanIsGood,EndingBalance,""), "")</f>
        <v>575500.33290107548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45172</v>
      </c>
      <c r="D51" s="12">
        <f>IFERROR(IF(LoanIsNotPaid*LoanIsGood,LoanValue,""), "")</f>
        <v>575500.33290107548</v>
      </c>
      <c r="E51" s="12">
        <f>IFERROR(IF(LoanIsNotPaid*LoanIsGood,MonthlyPayment,""), "")</f>
        <v>24230.062013057915</v>
      </c>
      <c r="F51" s="12">
        <f>IFERROR(IF(LoanIsNotPaid*LoanIsGood,Principal,""), "")</f>
        <v>16261.924195515043</v>
      </c>
      <c r="G51" s="12">
        <f>IFERROR(IF(LoanIsNotPaid*LoanIsGood,InterestAmt,""), "")</f>
        <v>7968.137817542869</v>
      </c>
      <c r="H51" s="12">
        <f>IFERROR(IF(LoanIsNotPaid*LoanIsGood,EndingBalance,""), "")</f>
        <v>559238.40870556072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45202</v>
      </c>
      <c r="D52" s="12">
        <f>IFERROR(IF(LoanIsNotPaid*LoanIsGood,LoanValue,""), "")</f>
        <v>559238.40870556072</v>
      </c>
      <c r="E52" s="12">
        <f>IFERROR(IF(LoanIsNotPaid*LoanIsGood,MonthlyPayment,""), "")</f>
        <v>24230.062013057915</v>
      </c>
      <c r="F52" s="12">
        <f>IFERROR(IF(LoanIsNotPaid*LoanIsGood,Principal,""), "")</f>
        <v>16487.080022124399</v>
      </c>
      <c r="G52" s="12">
        <f>IFERROR(IF(LoanIsNotPaid*LoanIsGood,InterestAmt,""), "")</f>
        <v>7742.9819909335147</v>
      </c>
      <c r="H52" s="12">
        <f>IFERROR(IF(LoanIsNotPaid*LoanIsGood,EndingBalance,""), "")</f>
        <v>542751.32868343615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45233</v>
      </c>
      <c r="D53" s="12">
        <f>IFERROR(IF(LoanIsNotPaid*LoanIsGood,LoanValue,""), "")</f>
        <v>542751.32868343615</v>
      </c>
      <c r="E53" s="12">
        <f>IFERROR(IF(LoanIsNotPaid*LoanIsGood,MonthlyPayment,""), "")</f>
        <v>24230.062013057915</v>
      </c>
      <c r="F53" s="12">
        <f>IFERROR(IF(LoanIsNotPaid*LoanIsGood,Principal,""), "")</f>
        <v>16715.35326249406</v>
      </c>
      <c r="G53" s="12">
        <f>IFERROR(IF(LoanIsNotPaid*LoanIsGood,InterestAmt,""), "")</f>
        <v>7514.7087505638574</v>
      </c>
      <c r="H53" s="12">
        <f>IFERROR(IF(LoanIsNotPaid*LoanIsGood,EndingBalance,""), "")</f>
        <v>526035.97542094253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45263</v>
      </c>
      <c r="D54" s="12">
        <f>IFERROR(IF(LoanIsNotPaid*LoanIsGood,LoanValue,""), "")</f>
        <v>526035.97542094253</v>
      </c>
      <c r="E54" s="12">
        <f>IFERROR(IF(LoanIsNotPaid*LoanIsGood,MonthlyPayment,""), "")</f>
        <v>24230.062013057915</v>
      </c>
      <c r="F54" s="12">
        <f>IFERROR(IF(LoanIsNotPaid*LoanIsGood,Principal,""), "")</f>
        <v>16946.787079036025</v>
      </c>
      <c r="G54" s="12">
        <f>IFERROR(IF(LoanIsNotPaid*LoanIsGood,InterestAmt,""), "")</f>
        <v>7283.2749340218897</v>
      </c>
      <c r="H54" s="12">
        <f>IFERROR(IF(LoanIsNotPaid*LoanIsGood,EndingBalance,""), "")</f>
        <v>509089.18834190653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45294</v>
      </c>
      <c r="D55" s="12">
        <f>IFERROR(IF(LoanIsNotPaid*LoanIsGood,LoanValue,""), "")</f>
        <v>509089.18834190653</v>
      </c>
      <c r="E55" s="12">
        <f>IFERROR(IF(LoanIsNotPaid*LoanIsGood,MonthlyPayment,""), "")</f>
        <v>24230.062013057915</v>
      </c>
      <c r="F55" s="12">
        <f>IFERROR(IF(LoanIsNotPaid*LoanIsGood,Principal,""), "")</f>
        <v>17181.425231771074</v>
      </c>
      <c r="G55" s="12">
        <f>IFERROR(IF(LoanIsNotPaid*LoanIsGood,InterestAmt,""), "")</f>
        <v>7048.6367812868402</v>
      </c>
      <c r="H55" s="12">
        <f>IFERROR(IF(LoanIsNotPaid*LoanIsGood,EndingBalance,""), "")</f>
        <v>491907.76311013568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45325</v>
      </c>
      <c r="D56" s="12">
        <f>IFERROR(IF(LoanIsNotPaid*LoanIsGood,LoanValue,""), "")</f>
        <v>491907.76311013568</v>
      </c>
      <c r="E56" s="12">
        <f>IFERROR(IF(LoanIsNotPaid*LoanIsGood,MonthlyPayment,""), "")</f>
        <v>24230.062013057915</v>
      </c>
      <c r="F56" s="12">
        <f>IFERROR(IF(LoanIsNotPaid*LoanIsGood,Principal,""), "")</f>
        <v>17419.312086602997</v>
      </c>
      <c r="G56" s="12">
        <f>IFERROR(IF(LoanIsNotPaid*LoanIsGood,InterestAmt,""), "")</f>
        <v>6810.7499264549178</v>
      </c>
      <c r="H56" s="12">
        <f>IFERROR(IF(LoanIsNotPaid*LoanIsGood,EndingBalance,""), "")</f>
        <v>474488.45102353301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45354</v>
      </c>
      <c r="D57" s="12">
        <f>IFERROR(IF(LoanIsNotPaid*LoanIsGood,LoanValue,""), "")</f>
        <v>474488.45102353301</v>
      </c>
      <c r="E57" s="12">
        <f>IFERROR(IF(LoanIsNotPaid*LoanIsGood,MonthlyPayment,""), "")</f>
        <v>24230.062013057915</v>
      </c>
      <c r="F57" s="12">
        <f>IFERROR(IF(LoanIsNotPaid*LoanIsGood,Principal,""), "")</f>
        <v>17660.492623707396</v>
      </c>
      <c r="G57" s="12">
        <f>IFERROR(IF(LoanIsNotPaid*LoanIsGood,InterestAmt,""), "")</f>
        <v>6569.5693893505149</v>
      </c>
      <c r="H57" s="12">
        <f>IFERROR(IF(LoanIsNotPaid*LoanIsGood,EndingBalance,""), "")</f>
        <v>456827.9583998255</v>
      </c>
    </row>
    <row r="58" spans="2:8" ht="20.149999999999999" customHeight="1">
      <c r="B58" s="9">
        <f>IFERROR(IF(LoanIsNotPaid*LoanIsGood,PaymentNumber,""), "")</f>
        <v>49</v>
      </c>
      <c r="C58" s="10">
        <f>IFERROR(IF(LoanIsNotPaid*LoanIsGood,PaymentDate,""), "")</f>
        <v>45385</v>
      </c>
      <c r="D58" s="12">
        <f>IFERROR(IF(LoanIsNotPaid*LoanIsGood,LoanValue,""), "")</f>
        <v>456827.9583998255</v>
      </c>
      <c r="E58" s="12">
        <f>IFERROR(IF(LoanIsNotPaid*LoanIsGood,MonthlyPayment,""), "")</f>
        <v>24230.062013057915</v>
      </c>
      <c r="F58" s="12">
        <f>IFERROR(IF(LoanIsNotPaid*LoanIsGood,Principal,""), "")</f>
        <v>17905.012446036657</v>
      </c>
      <c r="G58" s="12">
        <f>IFERROR(IF(LoanIsNotPaid*LoanIsGood,InterestAmt,""), "")</f>
        <v>6325.0495670212549</v>
      </c>
      <c r="H58" s="12">
        <f>IFERROR(IF(LoanIsNotPaid*LoanIsGood,EndingBalance,""), "")</f>
        <v>438922.9459537887</v>
      </c>
    </row>
    <row r="59" spans="2:8" ht="20.149999999999999" customHeight="1">
      <c r="B59" s="9">
        <f>IFERROR(IF(LoanIsNotPaid*LoanIsGood,PaymentNumber,""), "")</f>
        <v>50</v>
      </c>
      <c r="C59" s="10">
        <f>IFERROR(IF(LoanIsNotPaid*LoanIsGood,PaymentDate,""), "")</f>
        <v>45415</v>
      </c>
      <c r="D59" s="12">
        <f>IFERROR(IF(LoanIsNotPaid*LoanIsGood,LoanValue,""), "")</f>
        <v>438922.9459537887</v>
      </c>
      <c r="E59" s="12">
        <f>IFERROR(IF(LoanIsNotPaid*LoanIsGood,MonthlyPayment,""), "")</f>
        <v>24230.062013057915</v>
      </c>
      <c r="F59" s="12">
        <f>IFERROR(IF(LoanIsNotPaid*LoanIsGood,Principal,""), "")</f>
        <v>18152.917787942628</v>
      </c>
      <c r="G59" s="12">
        <f>IFERROR(IF(LoanIsNotPaid*LoanIsGood,InterestAmt,""), "")</f>
        <v>6077.1442251152848</v>
      </c>
      <c r="H59" s="12">
        <f>IFERROR(IF(LoanIsNotPaid*LoanIsGood,EndingBalance,""), "")</f>
        <v>420770.02816584683</v>
      </c>
    </row>
    <row r="60" spans="2:8" ht="20.149999999999999" customHeight="1">
      <c r="B60" s="9">
        <f>IFERROR(IF(LoanIsNotPaid*LoanIsGood,PaymentNumber,""), "")</f>
        <v>51</v>
      </c>
      <c r="C60" s="10">
        <f>IFERROR(IF(LoanIsNotPaid*LoanIsGood,PaymentDate,""), "")</f>
        <v>45446</v>
      </c>
      <c r="D60" s="12">
        <f>IFERROR(IF(LoanIsNotPaid*LoanIsGood,LoanValue,""), "")</f>
        <v>420770.02816584683</v>
      </c>
      <c r="E60" s="12">
        <f>IFERROR(IF(LoanIsNotPaid*LoanIsGood,MonthlyPayment,""), "")</f>
        <v>24230.062013057915</v>
      </c>
      <c r="F60" s="12">
        <f>IFERROR(IF(LoanIsNotPaid*LoanIsGood,Principal,""), "")</f>
        <v>18404.255523918735</v>
      </c>
      <c r="G60" s="12">
        <f>IFERROR(IF(LoanIsNotPaid*LoanIsGood,InterestAmt,""), "")</f>
        <v>5825.8064891391759</v>
      </c>
      <c r="H60" s="12">
        <f>IFERROR(IF(LoanIsNotPaid*LoanIsGood,EndingBalance,""), "")</f>
        <v>402365.77264192817</v>
      </c>
    </row>
    <row r="61" spans="2:8" ht="20.149999999999999" customHeight="1">
      <c r="B61" s="9">
        <f>IFERROR(IF(LoanIsNotPaid*LoanIsGood,PaymentNumber,""), "")</f>
        <v>52</v>
      </c>
      <c r="C61" s="10">
        <f>IFERROR(IF(LoanIsNotPaid*LoanIsGood,PaymentDate,""), "")</f>
        <v>45476</v>
      </c>
      <c r="D61" s="12">
        <f>IFERROR(IF(LoanIsNotPaid*LoanIsGood,LoanValue,""), "")</f>
        <v>402365.77264192817</v>
      </c>
      <c r="E61" s="12">
        <f>IFERROR(IF(LoanIsNotPaid*LoanIsGood,MonthlyPayment,""), "")</f>
        <v>24230.062013057915</v>
      </c>
      <c r="F61" s="12">
        <f>IFERROR(IF(LoanIsNotPaid*LoanIsGood,Principal,""), "")</f>
        <v>18659.073177463117</v>
      </c>
      <c r="G61" s="12">
        <f>IFERROR(IF(LoanIsNotPaid*LoanIsGood,InterestAmt,""), "")</f>
        <v>5570.9888355947996</v>
      </c>
      <c r="H61" s="12">
        <f>IFERROR(IF(LoanIsNotPaid*LoanIsGood,EndingBalance,""), "")</f>
        <v>383706.69946446526</v>
      </c>
    </row>
    <row r="62" spans="2:8" ht="20.149999999999999" customHeight="1">
      <c r="B62" s="9">
        <f>IFERROR(IF(LoanIsNotPaid*LoanIsGood,PaymentNumber,""), "")</f>
        <v>53</v>
      </c>
      <c r="C62" s="10">
        <f>IFERROR(IF(LoanIsNotPaid*LoanIsGood,PaymentDate,""), "")</f>
        <v>45507</v>
      </c>
      <c r="D62" s="12">
        <f>IFERROR(IF(LoanIsNotPaid*LoanIsGood,LoanValue,""), "")</f>
        <v>383706.69946446526</v>
      </c>
      <c r="E62" s="12">
        <f>IFERROR(IF(LoanIsNotPaid*LoanIsGood,MonthlyPayment,""), "")</f>
        <v>24230.062013057915</v>
      </c>
      <c r="F62" s="12">
        <f>IFERROR(IF(LoanIsNotPaid*LoanIsGood,Principal,""), "")</f>
        <v>18917.418930064447</v>
      </c>
      <c r="G62" s="12">
        <f>IFERROR(IF(LoanIsNotPaid*LoanIsGood,InterestAmt,""), "")</f>
        <v>5312.6430829934679</v>
      </c>
      <c r="H62" s="12">
        <f>IFERROR(IF(LoanIsNotPaid*LoanIsGood,EndingBalance,""), "")</f>
        <v>364789.28053440107</v>
      </c>
    </row>
    <row r="63" spans="2:8" ht="20.149999999999999" customHeight="1">
      <c r="B63" s="9">
        <f>IFERROR(IF(LoanIsNotPaid*LoanIsGood,PaymentNumber,""), "")</f>
        <v>54</v>
      </c>
      <c r="C63" s="10">
        <f>IFERROR(IF(LoanIsNotPaid*LoanIsGood,PaymentDate,""), "")</f>
        <v>45538</v>
      </c>
      <c r="D63" s="12">
        <f>IFERROR(IF(LoanIsNotPaid*LoanIsGood,LoanValue,""), "")</f>
        <v>364789.28053440107</v>
      </c>
      <c r="E63" s="12">
        <f>IFERROR(IF(LoanIsNotPaid*LoanIsGood,MonthlyPayment,""), "")</f>
        <v>24230.062013057915</v>
      </c>
      <c r="F63" s="12">
        <f>IFERROR(IF(LoanIsNotPaid*LoanIsGood,Principal,""), "")</f>
        <v>19179.341630312229</v>
      </c>
      <c r="G63" s="12">
        <f>IFERROR(IF(LoanIsNotPaid*LoanIsGood,InterestAmt,""), "")</f>
        <v>5050.7203827456833</v>
      </c>
      <c r="H63" s="12">
        <f>IFERROR(IF(LoanIsNotPaid*LoanIsGood,EndingBalance,""), "")</f>
        <v>345609.93890408915</v>
      </c>
    </row>
    <row r="64" spans="2:8" ht="20.149999999999999" customHeight="1">
      <c r="B64" s="9">
        <f>IFERROR(IF(LoanIsNotPaid*LoanIsGood,PaymentNumber,""), "")</f>
        <v>55</v>
      </c>
      <c r="C64" s="10">
        <f>IFERROR(IF(LoanIsNotPaid*LoanIsGood,PaymentDate,""), "")</f>
        <v>45568</v>
      </c>
      <c r="D64" s="12">
        <f>IFERROR(IF(LoanIsNotPaid*LoanIsGood,LoanValue,""), "")</f>
        <v>345609.93890408915</v>
      </c>
      <c r="E64" s="12">
        <f>IFERROR(IF(LoanIsNotPaid*LoanIsGood,MonthlyPayment,""), "")</f>
        <v>24230.062013057915</v>
      </c>
      <c r="F64" s="12">
        <f>IFERROR(IF(LoanIsNotPaid*LoanIsGood,Principal,""), "")</f>
        <v>19444.890803133185</v>
      </c>
      <c r="G64" s="12">
        <f>IFERROR(IF(LoanIsNotPaid*LoanIsGood,InterestAmt,""), "")</f>
        <v>4785.171209924727</v>
      </c>
      <c r="H64" s="12">
        <f>IFERROR(IF(LoanIsNotPaid*LoanIsGood,EndingBalance,""), "")</f>
        <v>326165.04810095625</v>
      </c>
    </row>
    <row r="65" spans="2:8" ht="20.149999999999999" customHeight="1">
      <c r="B65" s="9">
        <f>IFERROR(IF(LoanIsNotPaid*LoanIsGood,PaymentNumber,""), "")</f>
        <v>56</v>
      </c>
      <c r="C65" s="10">
        <f>IFERROR(IF(LoanIsNotPaid*LoanIsGood,PaymentDate,""), "")</f>
        <v>45599</v>
      </c>
      <c r="D65" s="12">
        <f>IFERROR(IF(LoanIsNotPaid*LoanIsGood,LoanValue,""), "")</f>
        <v>326165.04810095625</v>
      </c>
      <c r="E65" s="12">
        <f>IFERROR(IF(LoanIsNotPaid*LoanIsGood,MonthlyPayment,""), "")</f>
        <v>24230.062013057915</v>
      </c>
      <c r="F65" s="12">
        <f>IFERROR(IF(LoanIsNotPaid*LoanIsGood,Principal,""), "")</f>
        <v>19714.116659155537</v>
      </c>
      <c r="G65" s="12">
        <f>IFERROR(IF(LoanIsNotPaid*LoanIsGood,InterestAmt,""), "")</f>
        <v>4515.9453539023789</v>
      </c>
      <c r="H65" s="12">
        <f>IFERROR(IF(LoanIsNotPaid*LoanIsGood,EndingBalance,""), "")</f>
        <v>306450.93144180044</v>
      </c>
    </row>
    <row r="66" spans="2:8" ht="20.149999999999999" customHeight="1">
      <c r="B66" s="9">
        <f>IFERROR(IF(LoanIsNotPaid*LoanIsGood,PaymentNumber,""), "")</f>
        <v>57</v>
      </c>
      <c r="C66" s="10">
        <f>IFERROR(IF(LoanIsNotPaid*LoanIsGood,PaymentDate,""), "")</f>
        <v>45629</v>
      </c>
      <c r="D66" s="12">
        <f>IFERROR(IF(LoanIsNotPaid*LoanIsGood,LoanValue,""), "")</f>
        <v>306450.93144180044</v>
      </c>
      <c r="E66" s="12">
        <f>IFERROR(IF(LoanIsNotPaid*LoanIsGood,MonthlyPayment,""), "")</f>
        <v>24230.062013057915</v>
      </c>
      <c r="F66" s="12">
        <f>IFERROR(IF(LoanIsNotPaid*LoanIsGood,Principal,""), "")</f>
        <v>19987.070104202929</v>
      </c>
      <c r="G66" s="12">
        <f>IFERROR(IF(LoanIsNotPaid*LoanIsGood,InterestAmt,""), "")</f>
        <v>4242.9919088549868</v>
      </c>
      <c r="H66" s="12">
        <f>IFERROR(IF(LoanIsNotPaid*LoanIsGood,EndingBalance,""), "")</f>
        <v>286463.86133759771</v>
      </c>
    </row>
    <row r="67" spans="2:8" ht="20.149999999999999" customHeight="1">
      <c r="B67" s="9">
        <f>IFERROR(IF(LoanIsNotPaid*LoanIsGood,PaymentNumber,""), "")</f>
        <v>58</v>
      </c>
      <c r="C67" s="10">
        <f>IFERROR(IF(LoanIsNotPaid*LoanIsGood,PaymentDate,""), "")</f>
        <v>45660</v>
      </c>
      <c r="D67" s="12">
        <f>IFERROR(IF(LoanIsNotPaid*LoanIsGood,LoanValue,""), "")</f>
        <v>286463.86133759771</v>
      </c>
      <c r="E67" s="12">
        <f>IFERROR(IF(LoanIsNotPaid*LoanIsGood,MonthlyPayment,""), "")</f>
        <v>24230.062013057915</v>
      </c>
      <c r="F67" s="12">
        <f>IFERROR(IF(LoanIsNotPaid*LoanIsGood,Principal,""), "")</f>
        <v>20263.802748919843</v>
      </c>
      <c r="G67" s="12">
        <f>IFERROR(IF(LoanIsNotPaid*LoanIsGood,InterestAmt,""), "")</f>
        <v>3966.2592641380693</v>
      </c>
      <c r="H67" s="12">
        <f>IFERROR(IF(LoanIsNotPaid*LoanIsGood,EndingBalance,""), "")</f>
        <v>266200.05858867848</v>
      </c>
    </row>
    <row r="68" spans="2:8" ht="20.149999999999999" customHeight="1">
      <c r="B68" s="9">
        <f>IFERROR(IF(LoanIsNotPaid*LoanIsGood,PaymentNumber,""), "")</f>
        <v>59</v>
      </c>
      <c r="C68" s="10">
        <f>IFERROR(IF(LoanIsNotPaid*LoanIsGood,PaymentDate,""), "")</f>
        <v>45691</v>
      </c>
      <c r="D68" s="12">
        <f>IFERROR(IF(LoanIsNotPaid*LoanIsGood,LoanValue,""), "")</f>
        <v>266200.05858867848</v>
      </c>
      <c r="E68" s="12">
        <f>IFERROR(IF(LoanIsNotPaid*LoanIsGood,MonthlyPayment,""), "")</f>
        <v>24230.062013057915</v>
      </c>
      <c r="F68" s="12">
        <f>IFERROR(IF(LoanIsNotPaid*LoanIsGood,Principal,""), "")</f>
        <v>20544.366918530242</v>
      </c>
      <c r="G68" s="12">
        <f>IFERROR(IF(LoanIsNotPaid*LoanIsGood,InterestAmt,""), "")</f>
        <v>3685.6950945276708</v>
      </c>
      <c r="H68" s="12">
        <f>IFERROR(IF(LoanIsNotPaid*LoanIsGood,EndingBalance,""), "")</f>
        <v>245655.69167014817</v>
      </c>
    </row>
    <row r="69" spans="2:8" ht="20.149999999999999" customHeight="1">
      <c r="B69" s="9">
        <f>IFERROR(IF(LoanIsNotPaid*LoanIsGood,PaymentNumber,""), "")</f>
        <v>60</v>
      </c>
      <c r="C69" s="10">
        <f>IFERROR(IF(LoanIsNotPaid*LoanIsGood,PaymentDate,""), "")</f>
        <v>45719</v>
      </c>
      <c r="D69" s="12">
        <f>IFERROR(IF(LoanIsNotPaid*LoanIsGood,LoanValue,""), "")</f>
        <v>245655.69167014817</v>
      </c>
      <c r="E69" s="12">
        <f>IFERROR(IF(LoanIsNotPaid*LoanIsGood,MonthlyPayment,""), "")</f>
        <v>24230.062013057915</v>
      </c>
      <c r="F69" s="12">
        <f>IFERROR(IF(LoanIsNotPaid*LoanIsGood,Principal,""), "")</f>
        <v>20828.815662731333</v>
      </c>
      <c r="G69" s="12">
        <f>IFERROR(IF(LoanIsNotPaid*LoanIsGood,InterestAmt,""), "")</f>
        <v>3401.2463503265831</v>
      </c>
      <c r="H69" s="12">
        <f>IFERROR(IF(LoanIsNotPaid*LoanIsGood,EndingBalance,""), "")</f>
        <v>224826.87600741675</v>
      </c>
    </row>
    <row r="70" spans="2:8" ht="20.149999999999999" customHeight="1">
      <c r="B70" s="9">
        <f>IFERROR(IF(LoanIsNotPaid*LoanIsGood,PaymentNumber,""), "")</f>
        <v>61</v>
      </c>
      <c r="C70" s="10">
        <f>IFERROR(IF(LoanIsNotPaid*LoanIsGood,PaymentDate,""), "")</f>
        <v>45750</v>
      </c>
      <c r="D70" s="12">
        <f>IFERROR(IF(LoanIsNotPaid*LoanIsGood,LoanValue,""), "")</f>
        <v>224826.87600741675</v>
      </c>
      <c r="E70" s="12">
        <f>IFERROR(IF(LoanIsNotPaid*LoanIsGood,MonthlyPayment,""), "")</f>
        <v>24230.062013057915</v>
      </c>
      <c r="F70" s="12">
        <f>IFERROR(IF(LoanIsNotPaid*LoanIsGood,Principal,""), "")</f>
        <v>21117.20276572432</v>
      </c>
      <c r="G70" s="12">
        <f>IFERROR(IF(LoanIsNotPaid*LoanIsGood,InterestAmt,""), "")</f>
        <v>3112.8592473335984</v>
      </c>
      <c r="H70" s="12">
        <f>IFERROR(IF(LoanIsNotPaid*LoanIsGood,EndingBalance,""), "")</f>
        <v>203709.6732416926</v>
      </c>
    </row>
    <row r="71" spans="2:8" ht="20.149999999999999" customHeight="1">
      <c r="B71" s="9">
        <f>IFERROR(IF(LoanIsNotPaid*LoanIsGood,PaymentNumber,""), "")</f>
        <v>62</v>
      </c>
      <c r="C71" s="10">
        <f>IFERROR(IF(LoanIsNotPaid*LoanIsGood,PaymentDate,""), "")</f>
        <v>45780</v>
      </c>
      <c r="D71" s="12">
        <f>IFERROR(IF(LoanIsNotPaid*LoanIsGood,LoanValue,""), "")</f>
        <v>203709.6732416926</v>
      </c>
      <c r="E71" s="12">
        <f>IFERROR(IF(LoanIsNotPaid*LoanIsGood,MonthlyPayment,""), "")</f>
        <v>24230.062013057915</v>
      </c>
      <c r="F71" s="12">
        <f>IFERROR(IF(LoanIsNotPaid*LoanIsGood,Principal,""), "")</f>
        <v>21409.58275638405</v>
      </c>
      <c r="G71" s="12">
        <f>IFERROR(IF(LoanIsNotPaid*LoanIsGood,InterestAmt,""), "")</f>
        <v>2820.4792566738652</v>
      </c>
      <c r="H71" s="12">
        <f>IFERROR(IF(LoanIsNotPaid*LoanIsGood,EndingBalance,""), "")</f>
        <v>182300.09048530925</v>
      </c>
    </row>
    <row r="72" spans="2:8" ht="20.149999999999999" customHeight="1">
      <c r="B72" s="9">
        <f>IFERROR(IF(LoanIsNotPaid*LoanIsGood,PaymentNumber,""), "")</f>
        <v>63</v>
      </c>
      <c r="C72" s="10">
        <f>IFERROR(IF(LoanIsNotPaid*LoanIsGood,PaymentDate,""), "")</f>
        <v>45811</v>
      </c>
      <c r="D72" s="12">
        <f>IFERROR(IF(LoanIsNotPaid*LoanIsGood,LoanValue,""), "")</f>
        <v>182300.09048530925</v>
      </c>
      <c r="E72" s="12">
        <f>IFERROR(IF(LoanIsNotPaid*LoanIsGood,MonthlyPayment,""), "")</f>
        <v>24230.062013057915</v>
      </c>
      <c r="F72" s="12">
        <f>IFERROR(IF(LoanIsNotPaid*LoanIsGood,Principal,""), "")</f>
        <v>21706.01091856946</v>
      </c>
      <c r="G72" s="12">
        <f>IFERROR(IF(LoanIsNotPaid*LoanIsGood,InterestAmt,""), "")</f>
        <v>2524.0510944884536</v>
      </c>
      <c r="H72" s="12">
        <f>IFERROR(IF(LoanIsNotPaid*LoanIsGood,EndingBalance,""), "")</f>
        <v>160594.07956674043</v>
      </c>
    </row>
    <row r="73" spans="2:8" ht="20.149999999999999" customHeight="1">
      <c r="B73" s="9">
        <f>IFERROR(IF(LoanIsNotPaid*LoanIsGood,PaymentNumber,""), "")</f>
        <v>64</v>
      </c>
      <c r="C73" s="10">
        <f>IFERROR(IF(LoanIsNotPaid*LoanIsGood,PaymentDate,""), "")</f>
        <v>45841</v>
      </c>
      <c r="D73" s="12">
        <f>IFERROR(IF(LoanIsNotPaid*LoanIsGood,LoanValue,""), "")</f>
        <v>160594.07956674043</v>
      </c>
      <c r="E73" s="12">
        <f>IFERROR(IF(LoanIsNotPaid*LoanIsGood,MonthlyPayment,""), "")</f>
        <v>24230.062013057915</v>
      </c>
      <c r="F73" s="12">
        <f>IFERROR(IF(LoanIsNotPaid*LoanIsGood,Principal,""), "")</f>
        <v>22006.543301576759</v>
      </c>
      <c r="G73" s="12">
        <f>IFERROR(IF(LoanIsNotPaid*LoanIsGood,InterestAmt,""), "")</f>
        <v>2223.518711481157</v>
      </c>
      <c r="H73" s="12">
        <f>IFERROR(IF(LoanIsNotPaid*LoanIsGood,EndingBalance,""), "")</f>
        <v>138587.53626516322</v>
      </c>
    </row>
    <row r="74" spans="2:8" ht="20.149999999999999" customHeight="1">
      <c r="B74" s="9">
        <f>IFERROR(IF(LoanIsNotPaid*LoanIsGood,PaymentNumber,""), "")</f>
        <v>65</v>
      </c>
      <c r="C74" s="10">
        <f>IFERROR(IF(LoanIsNotPaid*LoanIsGood,PaymentDate,""), "")</f>
        <v>45872</v>
      </c>
      <c r="D74" s="12">
        <f>IFERROR(IF(LoanIsNotPaid*LoanIsGood,LoanValue,""), "")</f>
        <v>138587.53626516322</v>
      </c>
      <c r="E74" s="12">
        <f>IFERROR(IF(LoanIsNotPaid*LoanIsGood,MonthlyPayment,""), "")</f>
        <v>24230.062013057915</v>
      </c>
      <c r="F74" s="12">
        <f>IFERROR(IF(LoanIsNotPaid*LoanIsGood,Principal,""), "")</f>
        <v>22311.236730737346</v>
      </c>
      <c r="G74" s="12">
        <f>IFERROR(IF(LoanIsNotPaid*LoanIsGood,InterestAmt,""), "")</f>
        <v>1918.8252823205676</v>
      </c>
      <c r="H74" s="12">
        <f>IFERROR(IF(LoanIsNotPaid*LoanIsGood,EndingBalance,""), "")</f>
        <v>116276.29953442561</v>
      </c>
    </row>
    <row r="75" spans="2:8" ht="20.149999999999999" customHeight="1">
      <c r="B75" s="9">
        <f>IFERROR(IF(LoanIsNotPaid*LoanIsGood,PaymentNumber,""), "")</f>
        <v>66</v>
      </c>
      <c r="C75" s="10">
        <f>IFERROR(IF(LoanIsNotPaid*LoanIsGood,PaymentDate,""), "")</f>
        <v>45903</v>
      </c>
      <c r="D75" s="12">
        <f>IFERROR(IF(LoanIsNotPaid*LoanIsGood,LoanValue,""), "")</f>
        <v>116276.29953442561</v>
      </c>
      <c r="E75" s="12">
        <f>IFERROR(IF(LoanIsNotPaid*LoanIsGood,MonthlyPayment,""), "")</f>
        <v>24230.062013057915</v>
      </c>
      <c r="F75" s="12">
        <f>IFERROR(IF(LoanIsNotPaid*LoanIsGood,Principal,""), "")</f>
        <v>22620.148818162499</v>
      </c>
      <c r="G75" s="12">
        <f>IFERROR(IF(LoanIsNotPaid*LoanIsGood,InterestAmt,""), "")</f>
        <v>1609.9131948954157</v>
      </c>
      <c r="H75" s="12">
        <f>IFERROR(IF(LoanIsNotPaid*LoanIsGood,EndingBalance,""), "")</f>
        <v>93656.150716263801</v>
      </c>
    </row>
    <row r="76" spans="2:8" ht="20.149999999999999" customHeight="1">
      <c r="B76" s="9">
        <f>IFERROR(IF(LoanIsNotPaid*LoanIsGood,PaymentNumber,""), "")</f>
        <v>67</v>
      </c>
      <c r="C76" s="10">
        <f>IFERROR(IF(LoanIsNotPaid*LoanIsGood,PaymentDate,""), "")</f>
        <v>45933</v>
      </c>
      <c r="D76" s="12">
        <f>IFERROR(IF(LoanIsNotPaid*LoanIsGood,LoanValue,""), "")</f>
        <v>93656.150716263801</v>
      </c>
      <c r="E76" s="12">
        <f>IFERROR(IF(LoanIsNotPaid*LoanIsGood,MonthlyPayment,""), "")</f>
        <v>24230.062013057915</v>
      </c>
      <c r="F76" s="12">
        <f>IFERROR(IF(LoanIsNotPaid*LoanIsGood,Principal,""), "")</f>
        <v>22933.337973636771</v>
      </c>
      <c r="G76" s="12">
        <f>IFERROR(IF(LoanIsNotPaid*LoanIsGood,InterestAmt,""), "")</f>
        <v>1296.7240394211453</v>
      </c>
      <c r="H76" s="12">
        <f>IFERROR(IF(LoanIsNotPaid*LoanIsGood,EndingBalance,""), "")</f>
        <v>70722.812742627691</v>
      </c>
    </row>
    <row r="77" spans="2:8" ht="20.149999999999999" customHeight="1">
      <c r="B77" s="9">
        <f>IFERROR(IF(LoanIsNotPaid*LoanIsGood,PaymentNumber,""), "")</f>
        <v>68</v>
      </c>
      <c r="C77" s="10">
        <f>IFERROR(IF(LoanIsNotPaid*LoanIsGood,PaymentDate,""), "")</f>
        <v>45964</v>
      </c>
      <c r="D77" s="12">
        <f>IFERROR(IF(LoanIsNotPaid*LoanIsGood,LoanValue,""), "")</f>
        <v>70722.812742627691</v>
      </c>
      <c r="E77" s="12">
        <f>IFERROR(IF(LoanIsNotPaid*LoanIsGood,MonthlyPayment,""), "")</f>
        <v>24230.062013057915</v>
      </c>
      <c r="F77" s="12">
        <f>IFERROR(IF(LoanIsNotPaid*LoanIsGood,Principal,""), "")</f>
        <v>23250.863415662254</v>
      </c>
      <c r="G77" s="12">
        <f>IFERROR(IF(LoanIsNotPaid*LoanIsGood,InterestAmt,""), "")</f>
        <v>979.1985973956597</v>
      </c>
      <c r="H77" s="12">
        <f>IFERROR(IF(LoanIsNotPaid*LoanIsGood,EndingBalance,""), "")</f>
        <v>47471.949326965492</v>
      </c>
    </row>
    <row r="78" spans="2:8" ht="20.149999999999999" customHeight="1">
      <c r="B78" s="9">
        <f>IFERROR(IF(LoanIsNotPaid*LoanIsGood,PaymentNumber,""), "")</f>
        <v>69</v>
      </c>
      <c r="C78" s="10">
        <f>IFERROR(IF(LoanIsNotPaid*LoanIsGood,PaymentDate,""), "")</f>
        <v>45994</v>
      </c>
      <c r="D78" s="12">
        <f>IFERROR(IF(LoanIsNotPaid*LoanIsGood,LoanValue,""), "")</f>
        <v>47471.949326965492</v>
      </c>
      <c r="E78" s="12">
        <f>IFERROR(IF(LoanIsNotPaid*LoanIsGood,MonthlyPayment,""), "")</f>
        <v>24230.062013057915</v>
      </c>
      <c r="F78" s="12">
        <f>IFERROR(IF(LoanIsNotPaid*LoanIsGood,Principal,""), "")</f>
        <v>23572.78518265576</v>
      </c>
      <c r="G78" s="12">
        <f>IFERROR(IF(LoanIsNotPaid*LoanIsGood,InterestAmt,""), "")</f>
        <v>657.27683040215675</v>
      </c>
      <c r="H78" s="12">
        <f>IFERROR(IF(LoanIsNotPaid*LoanIsGood,EndingBalance,""), "")</f>
        <v>23899.164144309703</v>
      </c>
    </row>
    <row r="79" spans="2:8" ht="20.149999999999999" customHeight="1">
      <c r="B79" s="9">
        <f>IFERROR(IF(LoanIsNotPaid*LoanIsGood,PaymentNumber,""), "")</f>
        <v>70</v>
      </c>
      <c r="C79" s="10">
        <f>IFERROR(IF(LoanIsNotPaid*LoanIsGood,PaymentDate,""), "")</f>
        <v>46025</v>
      </c>
      <c r="D79" s="12">
        <f>IFERROR(IF(LoanIsNotPaid*LoanIsGood,LoanValue,""), "")</f>
        <v>23899.164144309703</v>
      </c>
      <c r="E79" s="12">
        <f>IFERROR(IF(LoanIsNotPaid*LoanIsGood,MonthlyPayment,""), "")</f>
        <v>24230.062013057915</v>
      </c>
      <c r="F79" s="12">
        <f>IFERROR(IF(LoanIsNotPaid*LoanIsGood,Principal,""), "")</f>
        <v>23899.164144300979</v>
      </c>
      <c r="G79" s="12">
        <f>IFERROR(IF(LoanIsNotPaid*LoanIsGood,InterestAmt,""), "")</f>
        <v>330.89786875693125</v>
      </c>
      <c r="H79" s="12">
        <f>IFERROR(IF(LoanIsNotPaid*LoanIsGood,EndingBalance,""), "")</f>
        <v>8.8475644588470459E-9</v>
      </c>
    </row>
    <row r="80" spans="2:8" ht="20.149999999999999" customHeight="1">
      <c r="B80" s="9" t="str">
        <f>IFERROR(IF(LoanIsNotPaid*LoanIsGood,PaymentNumber,""), "")</f>
        <v/>
      </c>
      <c r="C80" s="10" t="str">
        <f>IFERROR(IF(LoanIsNotPaid*LoanIsGood,PaymentDate,""), "")</f>
        <v/>
      </c>
      <c r="D80" s="12" t="str">
        <f>IFERROR(IF(LoanIsNotPaid*LoanIsGood,LoanValue,""), "")</f>
        <v/>
      </c>
      <c r="E80" s="12" t="str">
        <f>IFERROR(IF(LoanIsNotPaid*LoanIsGood,MonthlyPayment,""), "")</f>
        <v/>
      </c>
      <c r="F80" s="12" t="str">
        <f>IFERROR(IF(LoanIsNotPaid*LoanIsGood,Principal,""), "")</f>
        <v/>
      </c>
      <c r="G80" s="12" t="str">
        <f>IFERROR(IF(LoanIsNotPaid*LoanIsGood,InterestAmt,""), "")</f>
        <v/>
      </c>
      <c r="H80" s="12" t="str">
        <f>IFERROR(IF(LoanIsNotPaid*LoanIsGood,EndingBalance,""), "")</f>
        <v/>
      </c>
    </row>
    <row r="81" spans="2:8" ht="20.149999999999999" customHeight="1">
      <c r="B81" s="9" t="str">
        <f>IFERROR(IF(LoanIsNotPaid*LoanIsGood,PaymentNumber,""), "")</f>
        <v/>
      </c>
      <c r="C81" s="10" t="str">
        <f>IFERROR(IF(LoanIsNotPaid*LoanIsGood,PaymentDate,""), "")</f>
        <v/>
      </c>
      <c r="D81" s="12" t="str">
        <f>IFERROR(IF(LoanIsNotPaid*LoanIsGood,LoanValue,""), "")</f>
        <v/>
      </c>
      <c r="E81" s="12" t="str">
        <f>IFERROR(IF(LoanIsNotPaid*LoanIsGood,MonthlyPayment,""), "")</f>
        <v/>
      </c>
      <c r="F81" s="12" t="str">
        <f>IFERROR(IF(LoanIsNotPaid*LoanIsGood,Principal,""), "")</f>
        <v/>
      </c>
      <c r="G81" s="12" t="str">
        <f>IFERROR(IF(LoanIsNotPaid*LoanIsGood,InterestAmt,""), "")</f>
        <v/>
      </c>
      <c r="H81" s="12" t="str">
        <f>IFERROR(IF(LoanIsNotPaid*LoanIsGood,EndingBalance,""), "")</f>
        <v/>
      </c>
    </row>
    <row r="82" spans="2:8" ht="20.149999999999999" customHeight="1">
      <c r="B82" s="9" t="str">
        <f>IFERROR(IF(LoanIsNotPaid*LoanIsGood,PaymentNumber,""), "")</f>
        <v/>
      </c>
      <c r="C82" s="10" t="str">
        <f>IFERROR(IF(LoanIsNotPaid*LoanIsGood,PaymentDate,""), "")</f>
        <v/>
      </c>
      <c r="D82" s="12" t="str">
        <f>IFERROR(IF(LoanIsNotPaid*LoanIsGood,LoanValue,""), "")</f>
        <v/>
      </c>
      <c r="E82" s="12" t="str">
        <f>IFERROR(IF(LoanIsNotPaid*LoanIsGood,MonthlyPayment,""), "")</f>
        <v/>
      </c>
      <c r="F82" s="12" t="str">
        <f>IFERROR(IF(LoanIsNotPaid*LoanIsGood,Principal,""), "")</f>
        <v/>
      </c>
      <c r="G82" s="12" t="str">
        <f>IFERROR(IF(LoanIsNotPaid*LoanIsGood,InterestAmt,""), "")</f>
        <v/>
      </c>
      <c r="H82" s="12" t="str">
        <f>IFERROR(IF(LoanIsNotPaid*LoanIsGood,EndingBalance,""), "")</f>
        <v/>
      </c>
    </row>
    <row r="83" spans="2:8" ht="20.149999999999999" customHeight="1">
      <c r="B83" s="9" t="str">
        <f>IFERROR(IF(LoanIsNotPaid*LoanIsGood,PaymentNumber,""), "")</f>
        <v/>
      </c>
      <c r="C83" s="10" t="str">
        <f>IFERROR(IF(LoanIsNotPaid*LoanIsGood,PaymentDate,""), "")</f>
        <v/>
      </c>
      <c r="D83" s="12" t="str">
        <f>IFERROR(IF(LoanIsNotPaid*LoanIsGood,LoanValue,""), "")</f>
        <v/>
      </c>
      <c r="E83" s="12" t="str">
        <f>IFERROR(IF(LoanIsNotPaid*LoanIsGood,MonthlyPayment,""), "")</f>
        <v/>
      </c>
      <c r="F83" s="12" t="str">
        <f>IFERROR(IF(LoanIsNotPaid*LoanIsGood,Principal,""), "")</f>
        <v/>
      </c>
      <c r="G83" s="12" t="str">
        <f>IFERROR(IF(LoanIsNotPaid*LoanIsGood,InterestAmt,""), "")</f>
        <v/>
      </c>
      <c r="H83" s="12" t="str">
        <f>IFERROR(IF(LoanIsNotPaid*LoanIsGood,EndingBalance,""), "")</f>
        <v/>
      </c>
    </row>
    <row r="84" spans="2:8" ht="20.149999999999999" customHeight="1">
      <c r="B84" s="9" t="str">
        <f>IFERROR(IF(LoanIsNotPaid*LoanIsGood,PaymentNumber,""), "")</f>
        <v/>
      </c>
      <c r="C84" s="10" t="str">
        <f>IFERROR(IF(LoanIsNotPaid*LoanIsGood,PaymentDate,""), "")</f>
        <v/>
      </c>
      <c r="D84" s="12" t="str">
        <f>IFERROR(IF(LoanIsNotPaid*LoanIsGood,LoanValue,""), "")</f>
        <v/>
      </c>
      <c r="E84" s="12" t="str">
        <f>IFERROR(IF(LoanIsNotPaid*LoanIsGood,MonthlyPayment,""), "")</f>
        <v/>
      </c>
      <c r="F84" s="12" t="str">
        <f>IFERROR(IF(LoanIsNotPaid*LoanIsGood,Principal,""), "")</f>
        <v/>
      </c>
      <c r="G84" s="12" t="str">
        <f>IFERROR(IF(LoanIsNotPaid*LoanIsGood,InterestAmt,""), "")</f>
        <v/>
      </c>
      <c r="H84" s="12" t="str">
        <f>IFERROR(IF(LoanIsNotPaid*LoanIsGood,EndingBalance,""), "")</f>
        <v/>
      </c>
    </row>
    <row r="85" spans="2:8" ht="20.149999999999999" customHeight="1">
      <c r="B85" s="9" t="str">
        <f>IFERROR(IF(LoanIsNotPaid*LoanIsGood,PaymentNumber,""), "")</f>
        <v/>
      </c>
      <c r="C85" s="10" t="str">
        <f>IFERROR(IF(LoanIsNotPaid*LoanIsGood,PaymentDate,""), "")</f>
        <v/>
      </c>
      <c r="D85" s="12" t="str">
        <f>IFERROR(IF(LoanIsNotPaid*LoanIsGood,LoanValue,""), "")</f>
        <v/>
      </c>
      <c r="E85" s="12" t="str">
        <f>IFERROR(IF(LoanIsNotPaid*LoanIsGood,MonthlyPayment,""), "")</f>
        <v/>
      </c>
      <c r="F85" s="12" t="str">
        <f>IFERROR(IF(LoanIsNotPaid*LoanIsGood,Principal,""), "")</f>
        <v/>
      </c>
      <c r="G85" s="12" t="str">
        <f>IFERROR(IF(LoanIsNotPaid*LoanIsGood,InterestAmt,""), "")</f>
        <v/>
      </c>
      <c r="H85" s="12" t="str">
        <f>IFERROR(IF(LoanIsNotPaid*LoanIsGood,EndingBalance,""), "")</f>
        <v/>
      </c>
    </row>
    <row r="86" spans="2:8" ht="20.149999999999999" customHeight="1">
      <c r="B86" s="9" t="str">
        <f>IFERROR(IF(LoanIsNotPaid*LoanIsGood,PaymentNumber,""), "")</f>
        <v/>
      </c>
      <c r="C86" s="10" t="str">
        <f>IFERROR(IF(LoanIsNotPaid*LoanIsGood,PaymentDate,""), "")</f>
        <v/>
      </c>
      <c r="D86" s="12" t="str">
        <f>IFERROR(IF(LoanIsNotPaid*LoanIsGood,LoanValue,""), "")</f>
        <v/>
      </c>
      <c r="E86" s="12" t="str">
        <f>IFERROR(IF(LoanIsNotPaid*LoanIsGood,MonthlyPayment,""), "")</f>
        <v/>
      </c>
      <c r="F86" s="12" t="str">
        <f>IFERROR(IF(LoanIsNotPaid*LoanIsGood,Principal,""), "")</f>
        <v/>
      </c>
      <c r="G86" s="12" t="str">
        <f>IFERROR(IF(LoanIsNotPaid*LoanIsGood,InterestAmt,""), "")</f>
        <v/>
      </c>
      <c r="H86" s="12" t="str">
        <f>IFERROR(IF(LoanIsNotPaid*LoanIsGood,EndingBalance,""), "")</f>
        <v/>
      </c>
    </row>
    <row r="87" spans="2:8" ht="20.149999999999999" customHeight="1">
      <c r="B87" s="9" t="str">
        <f>IFERROR(IF(LoanIsNotPaid*LoanIsGood,PaymentNumber,""), "")</f>
        <v/>
      </c>
      <c r="C87" s="10" t="str">
        <f>IFERROR(IF(LoanIsNotPaid*LoanIsGood,PaymentDate,""), "")</f>
        <v/>
      </c>
      <c r="D87" s="12" t="str">
        <f>IFERROR(IF(LoanIsNotPaid*LoanIsGood,LoanValue,""), "")</f>
        <v/>
      </c>
      <c r="E87" s="12" t="str">
        <f>IFERROR(IF(LoanIsNotPaid*LoanIsGood,MonthlyPayment,""), "")</f>
        <v/>
      </c>
      <c r="F87" s="12" t="str">
        <f>IFERROR(IF(LoanIsNotPaid*LoanIsGood,Principal,""), "")</f>
        <v/>
      </c>
      <c r="G87" s="12" t="str">
        <f>IFERROR(IF(LoanIsNotPaid*LoanIsGood,InterestAmt,""), "")</f>
        <v/>
      </c>
      <c r="H87" s="12" t="str">
        <f>IFERROR(IF(LoanIsNotPaid*LoanIsGood,EndingBalance,""), "")</f>
        <v/>
      </c>
    </row>
    <row r="88" spans="2:8" ht="20.149999999999999" customHeight="1">
      <c r="B88" s="9" t="str">
        <f>IFERROR(IF(LoanIsNotPaid*LoanIsGood,PaymentNumber,""), "")</f>
        <v/>
      </c>
      <c r="C88" s="10" t="str">
        <f>IFERROR(IF(LoanIsNotPaid*LoanIsGood,PaymentDate,""), "")</f>
        <v/>
      </c>
      <c r="D88" s="12" t="str">
        <f>IFERROR(IF(LoanIsNotPaid*LoanIsGood,LoanValue,""), "")</f>
        <v/>
      </c>
      <c r="E88" s="12" t="str">
        <f>IFERROR(IF(LoanIsNotPaid*LoanIsGood,MonthlyPayment,""), "")</f>
        <v/>
      </c>
      <c r="F88" s="12" t="str">
        <f>IFERROR(IF(LoanIsNotPaid*LoanIsGood,Principal,""), "")</f>
        <v/>
      </c>
      <c r="G88" s="12" t="str">
        <f>IFERROR(IF(LoanIsNotPaid*LoanIsGood,InterestAmt,""), "")</f>
        <v/>
      </c>
      <c r="H88" s="12" t="str">
        <f>IFERROR(IF(LoanIsNotPaid*LoanIsGood,EndingBalance,""), "")</f>
        <v/>
      </c>
    </row>
    <row r="89" spans="2:8" ht="20.149999999999999" customHeight="1">
      <c r="B89" s="9" t="str">
        <f>IFERROR(IF(LoanIsNotPaid*LoanIsGood,PaymentNumber,""), "")</f>
        <v/>
      </c>
      <c r="C89" s="10" t="str">
        <f>IFERROR(IF(LoanIsNotPaid*LoanIsGood,PaymentDate,""), "")</f>
        <v/>
      </c>
      <c r="D89" s="12" t="str">
        <f>IFERROR(IF(LoanIsNotPaid*LoanIsGood,LoanValue,""), "")</f>
        <v/>
      </c>
      <c r="E89" s="12" t="str">
        <f>IFERROR(IF(LoanIsNotPaid*LoanIsGood,MonthlyPayment,""), "")</f>
        <v/>
      </c>
      <c r="F89" s="12" t="str">
        <f>IFERROR(IF(LoanIsNotPaid*LoanIsGood,Principal,""), "")</f>
        <v/>
      </c>
      <c r="G89" s="12" t="str">
        <f>IFERROR(IF(LoanIsNotPaid*LoanIsGood,InterestAmt,""), "")</f>
        <v/>
      </c>
      <c r="H89" s="12" t="str">
        <f>IFERROR(IF(LoanIsNotPaid*LoanIsGood,EndingBalance,""), "")</f>
        <v/>
      </c>
    </row>
    <row r="90" spans="2:8" ht="20.149999999999999" customHeight="1">
      <c r="B90" s="9" t="str">
        <f>IFERROR(IF(LoanIsNotPaid*LoanIsGood,PaymentNumber,""), "")</f>
        <v/>
      </c>
      <c r="C90" s="10" t="str">
        <f>IFERROR(IF(LoanIsNotPaid*LoanIsGood,PaymentDate,""), "")</f>
        <v/>
      </c>
      <c r="D90" s="12" t="str">
        <f>IFERROR(IF(LoanIsNotPaid*LoanIsGood,LoanValue,""), "")</f>
        <v/>
      </c>
      <c r="E90" s="12" t="str">
        <f>IFERROR(IF(LoanIsNotPaid*LoanIsGood,MonthlyPayment,""), "")</f>
        <v/>
      </c>
      <c r="F90" s="12" t="str">
        <f>IFERROR(IF(LoanIsNotPaid*LoanIsGood,Principal,""), "")</f>
        <v/>
      </c>
      <c r="G90" s="12" t="str">
        <f>IFERROR(IF(LoanIsNotPaid*LoanIsGood,InterestAmt,""), "")</f>
        <v/>
      </c>
      <c r="H90" s="12" t="str">
        <f>IFERROR(IF(LoanIsNotPaid*LoanIsGood,EndingBalance,""), "")</f>
        <v/>
      </c>
    </row>
    <row r="91" spans="2:8" ht="20.149999999999999" customHeight="1">
      <c r="B91" s="9" t="str">
        <f>IFERROR(IF(LoanIsNotPaid*LoanIsGood,PaymentNumber,""), "")</f>
        <v/>
      </c>
      <c r="C91" s="10" t="str">
        <f>IFERROR(IF(LoanIsNotPaid*LoanIsGood,PaymentDate,""), "")</f>
        <v/>
      </c>
      <c r="D91" s="12" t="str">
        <f>IFERROR(IF(LoanIsNotPaid*LoanIsGood,LoanValue,""), "")</f>
        <v/>
      </c>
      <c r="E91" s="12" t="str">
        <f>IFERROR(IF(LoanIsNotPaid*LoanIsGood,MonthlyPayment,""), "")</f>
        <v/>
      </c>
      <c r="F91" s="12" t="str">
        <f>IFERROR(IF(LoanIsNotPaid*LoanIsGood,Principal,""), "")</f>
        <v/>
      </c>
      <c r="G91" s="12" t="str">
        <f>IFERROR(IF(LoanIsNotPaid*LoanIsGood,InterestAmt,""), "")</f>
        <v/>
      </c>
      <c r="H91" s="12" t="str">
        <f>IFERROR(IF(LoanIsNotPaid*LoanIsGood,EndingBalance,""), "")</f>
        <v/>
      </c>
    </row>
    <row r="92" spans="2:8" ht="20.149999999999999" customHeight="1">
      <c r="B92" s="9" t="str">
        <f>IFERROR(IF(LoanIsNotPaid*LoanIsGood,PaymentNumber,""), "")</f>
        <v/>
      </c>
      <c r="C92" s="10" t="str">
        <f>IFERROR(IF(LoanIsNotPaid*LoanIsGood,PaymentDate,""), "")</f>
        <v/>
      </c>
      <c r="D92" s="12" t="str">
        <f>IFERROR(IF(LoanIsNotPaid*LoanIsGood,LoanValue,""), "")</f>
        <v/>
      </c>
      <c r="E92" s="12" t="str">
        <f>IFERROR(IF(LoanIsNotPaid*LoanIsGood,MonthlyPayment,""), "")</f>
        <v/>
      </c>
      <c r="F92" s="12" t="str">
        <f>IFERROR(IF(LoanIsNotPaid*LoanIsGood,Principal,""), "")</f>
        <v/>
      </c>
      <c r="G92" s="12" t="str">
        <f>IFERROR(IF(LoanIsNotPaid*LoanIsGood,InterestAmt,""), "")</f>
        <v/>
      </c>
      <c r="H92" s="12" t="str">
        <f>IFERROR(IF(LoanIsNotPaid*LoanIsGood,EndingBalance,""), "")</f>
        <v/>
      </c>
    </row>
    <row r="93" spans="2:8" ht="20.149999999999999" customHeight="1">
      <c r="B93" s="9" t="str">
        <f>IFERROR(IF(LoanIsNotPaid*LoanIsGood,PaymentNumber,""), "")</f>
        <v/>
      </c>
      <c r="C93" s="10" t="str">
        <f>IFERROR(IF(LoanIsNotPaid*LoanIsGood,PaymentDate,""), "")</f>
        <v/>
      </c>
      <c r="D93" s="12" t="str">
        <f>IFERROR(IF(LoanIsNotPaid*LoanIsGood,LoanValue,""), "")</f>
        <v/>
      </c>
      <c r="E93" s="12" t="str">
        <f>IFERROR(IF(LoanIsNotPaid*LoanIsGood,MonthlyPayment,""), "")</f>
        <v/>
      </c>
      <c r="F93" s="12" t="str">
        <f>IFERROR(IF(LoanIsNotPaid*LoanIsGood,Principal,""), "")</f>
        <v/>
      </c>
      <c r="G93" s="12" t="str">
        <f>IFERROR(IF(LoanIsNotPaid*LoanIsGood,InterestAmt,""), "")</f>
        <v/>
      </c>
      <c r="H93" s="12" t="str">
        <f>IFERROR(IF(LoanIsNotPaid*LoanIsGood,EndingBalance,""), "")</f>
        <v/>
      </c>
    </row>
    <row r="94" spans="2:8" ht="20.149999999999999" customHeight="1">
      <c r="B94" s="9" t="str">
        <f>IFERROR(IF(LoanIsNotPaid*LoanIsGood,PaymentNumber,""), "")</f>
        <v/>
      </c>
      <c r="C94" s="10" t="str">
        <f>IFERROR(IF(LoanIsNotPaid*LoanIsGood,PaymentDate,""), "")</f>
        <v/>
      </c>
      <c r="D94" s="12" t="str">
        <f>IFERROR(IF(LoanIsNotPaid*LoanIsGood,LoanValue,""), "")</f>
        <v/>
      </c>
      <c r="E94" s="12" t="str">
        <f>IFERROR(IF(LoanIsNotPaid*LoanIsGood,MonthlyPayment,""), "")</f>
        <v/>
      </c>
      <c r="F94" s="12" t="str">
        <f>IFERROR(IF(LoanIsNotPaid*LoanIsGood,Principal,""), "")</f>
        <v/>
      </c>
      <c r="G94" s="12" t="str">
        <f>IFERROR(IF(LoanIsNotPaid*LoanIsGood,InterestAmt,""), "")</f>
        <v/>
      </c>
      <c r="H94" s="12" t="str">
        <f>IFERROR(IF(LoanIsNotPaid*LoanIsGood,EndingBalance,""), "")</f>
        <v/>
      </c>
    </row>
    <row r="95" spans="2:8" ht="20.149999999999999" customHeight="1">
      <c r="B95" s="9" t="str">
        <f>IFERROR(IF(LoanIsNotPaid*LoanIsGood,PaymentNumber,""), "")</f>
        <v/>
      </c>
      <c r="C95" s="10" t="str">
        <f>IFERROR(IF(LoanIsNotPaid*LoanIsGood,PaymentDate,""), "")</f>
        <v/>
      </c>
      <c r="D95" s="12" t="str">
        <f>IFERROR(IF(LoanIsNotPaid*LoanIsGood,LoanValue,""), "")</f>
        <v/>
      </c>
      <c r="E95" s="12" t="str">
        <f>IFERROR(IF(LoanIsNotPaid*LoanIsGood,MonthlyPayment,""), "")</f>
        <v/>
      </c>
      <c r="F95" s="12" t="str">
        <f>IFERROR(IF(LoanIsNotPaid*LoanIsGood,Principal,""), "")</f>
        <v/>
      </c>
      <c r="G95" s="12" t="str">
        <f>IFERROR(IF(LoanIsNotPaid*LoanIsGood,InterestAmt,""), "")</f>
        <v/>
      </c>
      <c r="H95" s="12" t="str">
        <f>IFERROR(IF(LoanIsNotPaid*LoanIsGood,EndingBalance,""), "")</f>
        <v/>
      </c>
    </row>
    <row r="96" spans="2:8" ht="20.149999999999999" customHeight="1">
      <c r="B96" s="9" t="str">
        <f>IFERROR(IF(LoanIsNotPaid*LoanIsGood,PaymentNumber,""), "")</f>
        <v/>
      </c>
      <c r="C96" s="10" t="str">
        <f>IFERROR(IF(LoanIsNotPaid*LoanIsGood,PaymentDate,""), "")</f>
        <v/>
      </c>
      <c r="D96" s="12" t="str">
        <f>IFERROR(IF(LoanIsNotPaid*LoanIsGood,LoanValue,""), "")</f>
        <v/>
      </c>
      <c r="E96" s="12" t="str">
        <f>IFERROR(IF(LoanIsNotPaid*LoanIsGood,MonthlyPayment,""), "")</f>
        <v/>
      </c>
      <c r="F96" s="12" t="str">
        <f>IFERROR(IF(LoanIsNotPaid*LoanIsGood,Principal,""), "")</f>
        <v/>
      </c>
      <c r="G96" s="12" t="str">
        <f>IFERROR(IF(LoanIsNotPaid*LoanIsGood,InterestAmt,""), "")</f>
        <v/>
      </c>
      <c r="H96" s="12" t="str">
        <f>IFERROR(IF(LoanIsNotPaid*LoanIsGood,EndingBalance,""), "")</f>
        <v/>
      </c>
    </row>
    <row r="97" spans="2:8" ht="20.149999999999999" customHeight="1">
      <c r="B97" s="9" t="str">
        <f>IFERROR(IF(LoanIsNotPaid*LoanIsGood,PaymentNumber,""), "")</f>
        <v/>
      </c>
      <c r="C97" s="10" t="str">
        <f>IFERROR(IF(LoanIsNotPaid*LoanIsGood,PaymentDate,""), "")</f>
        <v/>
      </c>
      <c r="D97" s="12" t="str">
        <f>IFERROR(IF(LoanIsNotPaid*LoanIsGood,LoanValue,""), "")</f>
        <v/>
      </c>
      <c r="E97" s="12" t="str">
        <f>IFERROR(IF(LoanIsNotPaid*LoanIsGood,MonthlyPayment,""), "")</f>
        <v/>
      </c>
      <c r="F97" s="12" t="str">
        <f>IFERROR(IF(LoanIsNotPaid*LoanIsGood,Principal,""), "")</f>
        <v/>
      </c>
      <c r="G97" s="12" t="str">
        <f>IFERROR(IF(LoanIsNotPaid*LoanIsGood,InterestAmt,""), "")</f>
        <v/>
      </c>
      <c r="H97" s="12" t="str">
        <f>IFERROR(IF(LoanIsNotPaid*LoanIsGood,EndingBalance,""), "")</f>
        <v/>
      </c>
    </row>
    <row r="98" spans="2:8" ht="20.149999999999999" customHeight="1">
      <c r="B98" s="9" t="str">
        <f>IFERROR(IF(LoanIsNotPaid*LoanIsGood,PaymentNumber,""), "")</f>
        <v/>
      </c>
      <c r="C98" s="10" t="str">
        <f>IFERROR(IF(LoanIsNotPaid*LoanIsGood,PaymentDate,""), "")</f>
        <v/>
      </c>
      <c r="D98" s="12" t="str">
        <f>IFERROR(IF(LoanIsNotPaid*LoanIsGood,LoanValue,""), "")</f>
        <v/>
      </c>
      <c r="E98" s="12" t="str">
        <f>IFERROR(IF(LoanIsNotPaid*LoanIsGood,MonthlyPayment,""), "")</f>
        <v/>
      </c>
      <c r="F98" s="12" t="str">
        <f>IFERROR(IF(LoanIsNotPaid*LoanIsGood,Principal,""), "")</f>
        <v/>
      </c>
      <c r="G98" s="12" t="str">
        <f>IFERROR(IF(LoanIsNotPaid*LoanIsGood,InterestAmt,""), "")</f>
        <v/>
      </c>
      <c r="H98" s="12" t="str">
        <f>IFERROR(IF(LoanIsNotPaid*LoanIsGood,EndingBalance,""), "")</f>
        <v/>
      </c>
    </row>
    <row r="99" spans="2:8" ht="20.149999999999999" customHeight="1">
      <c r="B99" s="9" t="str">
        <f>IFERROR(IF(LoanIsNotPaid*LoanIsGood,PaymentNumber,""), "")</f>
        <v/>
      </c>
      <c r="C99" s="10" t="str">
        <f>IFERROR(IF(LoanIsNotPaid*LoanIsGood,PaymentDate,""), "")</f>
        <v/>
      </c>
      <c r="D99" s="12" t="str">
        <f>IFERROR(IF(LoanIsNotPaid*LoanIsGood,LoanValue,""), "")</f>
        <v/>
      </c>
      <c r="E99" s="12" t="str">
        <f>IFERROR(IF(LoanIsNotPaid*LoanIsGood,MonthlyPayment,""), "")</f>
        <v/>
      </c>
      <c r="F99" s="12" t="str">
        <f>IFERROR(IF(LoanIsNotPaid*LoanIsGood,Principal,""), "")</f>
        <v/>
      </c>
      <c r="G99" s="12" t="str">
        <f>IFERROR(IF(LoanIsNotPaid*LoanIsGood,InterestAmt,""), "")</f>
        <v/>
      </c>
      <c r="H99" s="12" t="str">
        <f>IFERROR(IF(LoanIsNotPaid*LoanIsGood,EndingBalance,""), "")</f>
        <v/>
      </c>
    </row>
    <row r="100" spans="2:8" ht="20.149999999999999" customHeight="1">
      <c r="B100" s="9" t="str">
        <f>IFERROR(IF(LoanIsNotPaid*LoanIsGood,PaymentNumber,""), "")</f>
        <v/>
      </c>
      <c r="C100" s="10" t="str">
        <f>IFERROR(IF(LoanIsNotPaid*LoanIsGood,PaymentDate,""), "")</f>
        <v/>
      </c>
      <c r="D100" s="12" t="str">
        <f>IFERROR(IF(LoanIsNotPaid*LoanIsGood,LoanValue,""), "")</f>
        <v/>
      </c>
      <c r="E100" s="12" t="str">
        <f>IFERROR(IF(LoanIsNotPaid*LoanIsGood,MonthlyPayment,""), "")</f>
        <v/>
      </c>
      <c r="F100" s="12" t="str">
        <f>IFERROR(IF(LoanIsNotPaid*LoanIsGood,Principal,""), "")</f>
        <v/>
      </c>
      <c r="G100" s="12" t="str">
        <f>IFERROR(IF(LoanIsNotPaid*LoanIsGood,InterestAmt,""), "")</f>
        <v/>
      </c>
      <c r="H100" s="12" t="str">
        <f>IFERROR(IF(LoanIsNotPaid*LoanIsGood,EndingBalance,""), "")</f>
        <v/>
      </c>
    </row>
    <row r="101" spans="2:8" ht="20.149999999999999" customHeight="1">
      <c r="B101" s="9" t="str">
        <f>IFERROR(IF(LoanIsNotPaid*LoanIsGood,PaymentNumber,""), "")</f>
        <v/>
      </c>
      <c r="C101" s="10" t="str">
        <f>IFERROR(IF(LoanIsNotPaid*LoanIsGood,PaymentDate,""), "")</f>
        <v/>
      </c>
      <c r="D101" s="12" t="str">
        <f>IFERROR(IF(LoanIsNotPaid*LoanIsGood,LoanValue,""), "")</f>
        <v/>
      </c>
      <c r="E101" s="12" t="str">
        <f>IFERROR(IF(LoanIsNotPaid*LoanIsGood,MonthlyPayment,""), "")</f>
        <v/>
      </c>
      <c r="F101" s="12" t="str">
        <f>IFERROR(IF(LoanIsNotPaid*LoanIsGood,Principal,""), "")</f>
        <v/>
      </c>
      <c r="G101" s="12" t="str">
        <f>IFERROR(IF(LoanIsNotPaid*LoanIsGood,InterestAmt,""), "")</f>
        <v/>
      </c>
      <c r="H101" s="12" t="str">
        <f>IFERROR(IF(LoanIsNotPaid*LoanIsGood,EndingBalance,""), "")</f>
        <v/>
      </c>
    </row>
    <row r="102" spans="2:8" ht="20.149999999999999" customHeight="1">
      <c r="B102" s="9" t="str">
        <f>IFERROR(IF(LoanIsNotPaid*LoanIsGood,PaymentNumber,""), "")</f>
        <v/>
      </c>
      <c r="C102" s="10" t="str">
        <f>IFERROR(IF(LoanIsNotPaid*LoanIsGood,PaymentDate,""), "")</f>
        <v/>
      </c>
      <c r="D102" s="12" t="str">
        <f>IFERROR(IF(LoanIsNotPaid*LoanIsGood,LoanValue,""), "")</f>
        <v/>
      </c>
      <c r="E102" s="12" t="str">
        <f>IFERROR(IF(LoanIsNotPaid*LoanIsGood,MonthlyPayment,""), "")</f>
        <v/>
      </c>
      <c r="F102" s="12" t="str">
        <f>IFERROR(IF(LoanIsNotPaid*LoanIsGood,Principal,""), "")</f>
        <v/>
      </c>
      <c r="G102" s="12" t="str">
        <f>IFERROR(IF(LoanIsNotPaid*LoanIsGood,InterestAmt,""), "")</f>
        <v/>
      </c>
      <c r="H102" s="12" t="str">
        <f>IFERROR(IF(LoanIsNotPaid*LoanIsGood,EndingBalance,""), "")</f>
        <v/>
      </c>
    </row>
    <row r="103" spans="2:8" ht="20.149999999999999" customHeight="1">
      <c r="B103" s="9" t="str">
        <f>IFERROR(IF(LoanIsNotPaid*LoanIsGood,PaymentNumber,""), "")</f>
        <v/>
      </c>
      <c r="C103" s="10" t="str">
        <f>IFERROR(IF(LoanIsNotPaid*LoanIsGood,PaymentDate,""), "")</f>
        <v/>
      </c>
      <c r="D103" s="12" t="str">
        <f>IFERROR(IF(LoanIsNotPaid*LoanIsGood,LoanValue,""), "")</f>
        <v/>
      </c>
      <c r="E103" s="12" t="str">
        <f>IFERROR(IF(LoanIsNotPaid*LoanIsGood,MonthlyPayment,""), "")</f>
        <v/>
      </c>
      <c r="F103" s="12" t="str">
        <f>IFERROR(IF(LoanIsNotPaid*LoanIsGood,Principal,""), "")</f>
        <v/>
      </c>
      <c r="G103" s="12" t="str">
        <f>IFERROR(IF(LoanIsNotPaid*LoanIsGood,InterestAmt,""), "")</f>
        <v/>
      </c>
      <c r="H103" s="12" t="str">
        <f>IFERROR(IF(LoanIsNotPaid*LoanIsGood,EndingBalance,""), "")</f>
        <v/>
      </c>
    </row>
    <row r="104" spans="2:8" ht="20.149999999999999" customHeight="1">
      <c r="B104" s="9" t="str">
        <f>IFERROR(IF(LoanIsNotPaid*LoanIsGood,PaymentNumber,""), "")</f>
        <v/>
      </c>
      <c r="C104" s="10" t="str">
        <f>IFERROR(IF(LoanIsNotPaid*LoanIsGood,PaymentDate,""), "")</f>
        <v/>
      </c>
      <c r="D104" s="12" t="str">
        <f>IFERROR(IF(LoanIsNotPaid*LoanIsGood,LoanValue,""), "")</f>
        <v/>
      </c>
      <c r="E104" s="12" t="str">
        <f>IFERROR(IF(LoanIsNotPaid*LoanIsGood,MonthlyPayment,""), "")</f>
        <v/>
      </c>
      <c r="F104" s="12" t="str">
        <f>IFERROR(IF(LoanIsNotPaid*LoanIsGood,Principal,""), "")</f>
        <v/>
      </c>
      <c r="G104" s="12" t="str">
        <f>IFERROR(IF(LoanIsNotPaid*LoanIsGood,InterestAmt,""), "")</f>
        <v/>
      </c>
      <c r="H104" s="12" t="str">
        <f>IFERROR(IF(LoanIsNotPaid*LoanIsGood,EndingBalance,""), "")</f>
        <v/>
      </c>
    </row>
    <row r="105" spans="2:8" ht="20.149999999999999" customHeight="1">
      <c r="B105" s="9" t="str">
        <f>IFERROR(IF(LoanIsNotPaid*LoanIsGood,PaymentNumber,""), "")</f>
        <v/>
      </c>
      <c r="C105" s="10" t="str">
        <f>IFERROR(IF(LoanIsNotPaid*LoanIsGood,PaymentDate,""), "")</f>
        <v/>
      </c>
      <c r="D105" s="12" t="str">
        <f>IFERROR(IF(LoanIsNotPaid*LoanIsGood,LoanValue,""), "")</f>
        <v/>
      </c>
      <c r="E105" s="12" t="str">
        <f>IFERROR(IF(LoanIsNotPaid*LoanIsGood,MonthlyPayment,""), "")</f>
        <v/>
      </c>
      <c r="F105" s="12" t="str">
        <f>IFERROR(IF(LoanIsNotPaid*LoanIsGood,Principal,""), "")</f>
        <v/>
      </c>
      <c r="G105" s="12" t="str">
        <f>IFERROR(IF(LoanIsNotPaid*LoanIsGood,InterestAmt,""), "")</f>
        <v/>
      </c>
      <c r="H105" s="12" t="str">
        <f>IFERROR(IF(LoanIsNotPaid*LoanIsGood,EndingBalance,""), "")</f>
        <v/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13" priority="4" stopIfTrue="1">
      <formula>NOT(LoanIsNotPaid)</formula>
    </cfRule>
    <cfRule type="expression" dxfId="12" priority="5" stopIfTrue="1">
      <formula>IF(ROW(B10)=LastRow,TRUE,FALSE)</formula>
    </cfRule>
  </conditionalFormatting>
  <conditionalFormatting sqref="B10:H369">
    <cfRule type="expression" dxfId="11" priority="1">
      <formula>$B10=""</formula>
    </cfRule>
  </conditionalFormatting>
  <conditionalFormatting sqref="C10:G369">
    <cfRule type="expression" dxfId="10" priority="2" stopIfTrue="1">
      <formula>NOT(LoanIsNotPaid)</formula>
    </cfRule>
    <cfRule type="expression" dxfId="9" priority="3" stopIfTrue="1">
      <formula>IF(ROW(C10)=LastRow,TRUE,FALSE)</formula>
    </cfRule>
  </conditionalFormatting>
  <conditionalFormatting sqref="H10:H369">
    <cfRule type="expression" dxfId="8" priority="6" stopIfTrue="1">
      <formula>NOT(LoanIsNotPaid)</formula>
    </cfRule>
    <cfRule type="expression" dxfId="7" priority="7" stopIfTrue="1">
      <formula>IF(ROW(H10)=LastRow,TRUE,FALSE)</formula>
    </cfRule>
  </conditionalFormatting>
  <dataValidations count="27">
    <dataValidation allowBlank="1" showInputMessage="1" showErrorMessage="1" prompt="Make a loan repayment schedule using this Loan Calculator worksheet. Total interest and total payments are automatically calculated" sqref="A1:A2" xr:uid="{1594FD4E-5143-4979-9A00-8385E29CA926}"/>
    <dataValidation allowBlank="1" showInputMessage="1" showErrorMessage="1" prompt="Title of this worksheet is in this cell. Enter Loan Values in cells D3 through D6. Loan Summary in cells H3 through H6 and Loan table are automatically updated" sqref="B1:B2" xr:uid="{95DD60CD-1553-491A-9D4D-9B983F73F862}"/>
    <dataValidation allowBlank="1" showInputMessage="1" showErrorMessage="1" prompt="Loan Summary is automatically updated in cells below" sqref="F3" xr:uid="{0B7750C0-516F-4781-89B8-E234FD9AD267}"/>
    <dataValidation allowBlank="1" showInputMessage="1" showErrorMessage="1" prompt="Enter Loan amount in this cell" sqref="D4" xr:uid="{C6BCFDC1-59EE-4C5D-851D-DA0DC3CB69BE}"/>
    <dataValidation allowBlank="1" showInputMessage="1" showErrorMessage="1" prompt="Enter Loan amount in cell at right" sqref="B4:C4" xr:uid="{49A4AF45-C674-402A-8B86-F958C32F1598}"/>
    <dataValidation allowBlank="1" showInputMessage="1" showErrorMessage="1" prompt="Enter Annual interest rate in this cell" sqref="D5" xr:uid="{08808833-AB37-4A56-903D-DBBDBD56633A}"/>
    <dataValidation allowBlank="1" showInputMessage="1" showErrorMessage="1" prompt="Enter Annual interest rate in cell at right" sqref="B5:C5" xr:uid="{C9867E8F-A604-467D-B1BF-230296AC5DF6}"/>
    <dataValidation allowBlank="1" showInputMessage="1" showErrorMessage="1" prompt="Enter Loan period in years in this cell" sqref="D6" xr:uid="{F85B7AAF-2302-4F77-A6A5-94876DC4CFF7}"/>
    <dataValidation allowBlank="1" showInputMessage="1" showErrorMessage="1" prompt="Enter Loan period in years in cell at right" sqref="B6:C6" xr:uid="{208808CC-4FAD-464D-8E75-E5F7FADCFC31}"/>
    <dataValidation allowBlank="1" showInputMessage="1" showErrorMessage="1" prompt="Enter Start date of loan in this cell" sqref="D7" xr:uid="{99ED7DAF-03AD-4A5D-9794-CE8302ECA008}"/>
    <dataValidation allowBlank="1" showInputMessage="1" showErrorMessage="1" prompt="Enter Start date of loan in cell at right" sqref="B7:C7" xr:uid="{19240591-FA6F-4254-9281-64CF90E8D953}"/>
    <dataValidation allowBlank="1" showInputMessage="1" showErrorMessage="1" prompt="Monthly payment is automatically calculated in this cell" sqref="H4" xr:uid="{3AAFCFCA-5B40-4B48-B81B-090AE3A4D8A5}"/>
    <dataValidation allowBlank="1" showInputMessage="1" showErrorMessage="1" prompt="Monthly payment is automatically calculated in cell at right" sqref="F4:G4" xr:uid="{376FF0C5-5312-4166-AC63-0DF678A58ABA}"/>
    <dataValidation allowBlank="1" showInputMessage="1" showErrorMessage="1" prompt="Number of payments is automatically calculated in cell at right" sqref="F5:G5" xr:uid="{C6998672-7600-4A62-9136-B9D9685F9395}"/>
    <dataValidation allowBlank="1" showInputMessage="1" showErrorMessage="1" prompt="Total interest is automatically calculated in cell at right" sqref="F6:G6" xr:uid="{9DEE3FC5-3EB8-40F8-924C-A274A7E1E206}"/>
    <dataValidation allowBlank="1" showInputMessage="1" showErrorMessage="1" prompt="Total cost of loan is automatically calculated in cell at right" sqref="F7:G7" xr:uid="{633FEBF3-D5A2-4B3F-83A4-065679BE18A0}"/>
    <dataValidation allowBlank="1" showInputMessage="1" showErrorMessage="1" prompt="Total cost of loan is automatically calculated in this cell" sqref="H7" xr:uid="{572594F0-74FC-47A3-A89B-32607AC1D228}"/>
    <dataValidation allowBlank="1" showInputMessage="1" showErrorMessage="1" prompt="Total interest is automatically calculated in this cell" sqref="H6" xr:uid="{FD10B9D8-C55D-4DB8-89F5-4D33C7345A5D}"/>
    <dataValidation allowBlank="1" showInputMessage="1" showErrorMessage="1" prompt="Number of payments is automatically calculated in this cell" sqref="H5" xr:uid="{2C43B589-C7A3-4A2A-A103-51C435D6F703}"/>
    <dataValidation allowBlank="1" showInputMessage="1" showErrorMessage="1" prompt="Payment Number is automatically updated in this column under this heading" sqref="B9" xr:uid="{2EECC853-B8ED-4A1B-B4C5-A8B2C98B7252}"/>
    <dataValidation allowBlank="1" showInputMessage="1" showErrorMessage="1" prompt="Payment Date is automatically updated in this column under this heading" sqref="C9" xr:uid="{766AA813-9EA8-4816-8EB4-F62F576FEC0D}"/>
    <dataValidation allowBlank="1" showInputMessage="1" showErrorMessage="1" prompt="Beginning Balance is automatically calculated in this column under this heading" sqref="D9" xr:uid="{CE0B1EA9-EA23-4FD8-B3E2-C99C5CD380E0}"/>
    <dataValidation allowBlank="1" showInputMessage="1" showErrorMessage="1" prompt="Payment amount is automatically calculated in this column under this heading" sqref="E9" xr:uid="{52BD6AFB-10CC-461A-B933-9D4F111AADB5}"/>
    <dataValidation allowBlank="1" showInputMessage="1" showErrorMessage="1" prompt="Principal amount is automatically updated in this column under this heading" sqref="F9" xr:uid="{BC459CA6-1A65-4BAA-83B7-14D37034AE8D}"/>
    <dataValidation allowBlank="1" showInputMessage="1" showErrorMessage="1" prompt="Interest amount is automatically updated in this column under this heading" sqref="G9" xr:uid="{61634F3F-F10F-4E1C-A6F7-EEFBFC6542EE}"/>
    <dataValidation allowBlank="1" showInputMessage="1" showErrorMessage="1" prompt="Ending Balance is automatically updated in this column under this heading" sqref="H9" xr:uid="{F7C1BCBB-4C7E-42D5-A664-66F4FA1651A2}"/>
    <dataValidation allowBlank="1" showInputMessage="1" showErrorMessage="1" prompt="Enter Loan Values in cells D4 through D7 for each description in cells below. Loan Summary in cells H4 through H7 and Loan table are automatically updated" sqref="B3:D3" xr:uid="{4BF124D8-1467-4ADD-8649-82786AD0374A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51F6-9555-4E35-A756-CC0CD2020DDF}">
  <sheetPr>
    <tabColor theme="4"/>
    <pageSetUpPr fitToPage="1"/>
  </sheetPr>
  <dimension ref="B1:H369"/>
  <sheetViews>
    <sheetView showGridLines="0" zoomScale="80" zoomScaleNormal="80" workbookViewId="0">
      <pane ySplit="9" topLeftCell="A37" activePane="bottomLeft" state="frozenSplit"/>
      <selection activeCell="D40" sqref="D40"/>
      <selection pane="bottomLeft" activeCell="D6" sqref="D6"/>
    </sheetView>
  </sheetViews>
  <sheetFormatPr defaultRowHeight="14"/>
  <cols>
    <col min="1" max="1" width="2.78515625" customWidth="1"/>
    <col min="2" max="2" width="5.85546875" style="1" customWidth="1"/>
    <col min="3" max="8" width="15.640625" style="1" customWidth="1"/>
    <col min="9" max="9" width="2.78515625" customWidth="1"/>
  </cols>
  <sheetData>
    <row r="1" spans="2:8" ht="60.75" customHeight="1">
      <c r="B1" s="41" t="s">
        <v>8</v>
      </c>
      <c r="C1" s="41"/>
      <c r="D1" s="41"/>
      <c r="E1" s="41"/>
      <c r="F1" s="41"/>
      <c r="G1" s="41"/>
      <c r="H1" s="41"/>
    </row>
    <row r="2" spans="2:8" ht="9.75" customHeight="1">
      <c r="B2" s="2"/>
      <c r="C2" s="2"/>
      <c r="D2" s="2"/>
      <c r="E2" s="2"/>
      <c r="F2" s="2"/>
      <c r="G2" s="2"/>
      <c r="H2" s="2"/>
    </row>
    <row r="3" spans="2:8" ht="20.149999999999999" customHeight="1" thickBot="1">
      <c r="B3" s="42" t="s">
        <v>9</v>
      </c>
      <c r="C3" s="42"/>
      <c r="D3" s="42"/>
      <c r="E3"/>
      <c r="F3" s="42" t="s">
        <v>10</v>
      </c>
      <c r="G3" s="42"/>
      <c r="H3" s="42"/>
    </row>
    <row r="4" spans="2:8" ht="20.149999999999999" customHeight="1" thickTop="1">
      <c r="B4" s="43" t="s">
        <v>0</v>
      </c>
      <c r="C4" s="43"/>
      <c r="D4" s="13">
        <v>1000000</v>
      </c>
      <c r="E4"/>
      <c r="F4" s="43" t="s">
        <v>4</v>
      </c>
      <c r="G4" s="43"/>
      <c r="H4" s="13">
        <f>IFERROR(IF(LoanIsGood,MonthlyPayment,""), "")</f>
        <v>21892.334615447373</v>
      </c>
    </row>
    <row r="5" spans="2:8" ht="20.149999999999999" customHeight="1">
      <c r="B5" s="40" t="s">
        <v>1</v>
      </c>
      <c r="C5" s="40"/>
      <c r="D5" s="3">
        <v>0.113</v>
      </c>
      <c r="E5"/>
      <c r="F5" s="40" t="s">
        <v>5</v>
      </c>
      <c r="G5" s="40"/>
      <c r="H5" s="6">
        <v>60</v>
      </c>
    </row>
    <row r="6" spans="2:8" ht="20.149999999999999" customHeight="1">
      <c r="B6" s="40" t="s">
        <v>2</v>
      </c>
      <c r="C6" s="40"/>
      <c r="D6" s="4">
        <v>5</v>
      </c>
      <c r="E6"/>
      <c r="F6" s="40" t="s">
        <v>6</v>
      </c>
      <c r="G6" s="40"/>
      <c r="H6" s="14">
        <f>IFERROR(IF(LoanIsGood,TotalLoanCost-LoanAmount,""), "")</f>
        <v>313540.07692684233</v>
      </c>
    </row>
    <row r="7" spans="2:8" ht="20.149999999999999" customHeight="1">
      <c r="B7" s="40" t="s">
        <v>3</v>
      </c>
      <c r="C7" s="40"/>
      <c r="D7" s="5">
        <v>44015</v>
      </c>
      <c r="E7"/>
      <c r="F7" s="40" t="s">
        <v>7</v>
      </c>
      <c r="G7" s="40"/>
      <c r="H7" s="14">
        <f>IFERROR(IF(LoanIsGood,MonthlyPayment*NumberOfPayments,""), "")</f>
        <v>1313540.0769268423</v>
      </c>
    </row>
    <row r="8" spans="2:8" ht="15" customHeight="1">
      <c r="B8"/>
      <c r="C8"/>
      <c r="D8"/>
      <c r="E8"/>
      <c r="F8"/>
      <c r="G8"/>
      <c r="H8"/>
    </row>
    <row r="9" spans="2:8" ht="29.25" customHeight="1"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2:8" ht="20.149999999999999" customHeight="1">
      <c r="B10" s="9">
        <f>IFERROR(IF(LoanIsNotPaid*LoanIsGood,PaymentNumber,""), "")</f>
        <v>1</v>
      </c>
      <c r="C10" s="10">
        <f>IFERROR(IF(LoanIsNotPaid*LoanIsGood,PaymentDate,""), "")</f>
        <v>44046</v>
      </c>
      <c r="D10" s="12">
        <f>IFERROR(IF(LoanIsNotPaid*LoanIsGood,LoanValue,""), "")</f>
        <v>1000000</v>
      </c>
      <c r="E10" s="12">
        <f>IFERROR(IF(LoanIsNotPaid*LoanIsGood,MonthlyPayment,""), "")</f>
        <v>21892.334615447373</v>
      </c>
      <c r="F10" s="12">
        <f>IFERROR(IF(LoanIsNotPaid*LoanIsGood,Principal,""), "")</f>
        <v>12475.667948780707</v>
      </c>
      <c r="G10" s="12">
        <f>IFERROR(IF(LoanIsNotPaid*LoanIsGood,InterestAmt,""), "")</f>
        <v>9416.6666666666661</v>
      </c>
      <c r="H10" s="12">
        <f>IFERROR(IF(LoanIsNotPaid*LoanIsGood,EndingBalance,""), "")</f>
        <v>987524.3320512193</v>
      </c>
    </row>
    <row r="11" spans="2:8" ht="20.149999999999999" customHeight="1">
      <c r="B11" s="9">
        <f>IFERROR(IF(LoanIsNotPaid*LoanIsGood,PaymentNumber,""), "")</f>
        <v>2</v>
      </c>
      <c r="C11" s="10">
        <f>IFERROR(IF(LoanIsNotPaid*LoanIsGood,PaymentDate,""), "")</f>
        <v>44077</v>
      </c>
      <c r="D11" s="12">
        <f>IFERROR(IF(LoanIsNotPaid*LoanIsGood,LoanValue,""), "")</f>
        <v>987524.3320512193</v>
      </c>
      <c r="E11" s="12">
        <f>IFERROR(IF(LoanIsNotPaid*LoanIsGood,MonthlyPayment,""), "")</f>
        <v>21892.334615447373</v>
      </c>
      <c r="F11" s="12">
        <f>IFERROR(IF(LoanIsNotPaid*LoanIsGood,Principal,""), "")</f>
        <v>12593.147155298393</v>
      </c>
      <c r="G11" s="12">
        <f>IFERROR(IF(LoanIsNotPaid*LoanIsGood,InterestAmt,""), "")</f>
        <v>9299.1874601489817</v>
      </c>
      <c r="H11" s="12">
        <f>IFERROR(IF(LoanIsNotPaid*LoanIsGood,EndingBalance,""), "")</f>
        <v>974931.18489592092</v>
      </c>
    </row>
    <row r="12" spans="2:8" ht="20.149999999999999" customHeight="1">
      <c r="B12" s="9">
        <f>IFERROR(IF(LoanIsNotPaid*LoanIsGood,PaymentNumber,""), "")</f>
        <v>3</v>
      </c>
      <c r="C12" s="10">
        <f>IFERROR(IF(LoanIsNotPaid*LoanIsGood,PaymentDate,""), "")</f>
        <v>44107</v>
      </c>
      <c r="D12" s="12">
        <f>IFERROR(IF(LoanIsNotPaid*LoanIsGood,LoanValue,""), "")</f>
        <v>974931.18489592092</v>
      </c>
      <c r="E12" s="12">
        <f>IFERROR(IF(LoanIsNotPaid*LoanIsGood,MonthlyPayment,""), "")</f>
        <v>21892.334615447373</v>
      </c>
      <c r="F12" s="12">
        <f>IFERROR(IF(LoanIsNotPaid*LoanIsGood,Principal,""), "")</f>
        <v>12711.732624344118</v>
      </c>
      <c r="G12" s="12">
        <f>IFERROR(IF(LoanIsNotPaid*LoanIsGood,InterestAmt,""), "")</f>
        <v>9180.6019911032563</v>
      </c>
      <c r="H12" s="12">
        <f>IFERROR(IF(LoanIsNotPaid*LoanIsGood,EndingBalance,""), "")</f>
        <v>962219.45227157697</v>
      </c>
    </row>
    <row r="13" spans="2:8" ht="20.149999999999999" customHeight="1">
      <c r="B13" s="9">
        <f>IFERROR(IF(LoanIsNotPaid*LoanIsGood,PaymentNumber,""), "")</f>
        <v>4</v>
      </c>
      <c r="C13" s="10">
        <f>IFERROR(IF(LoanIsNotPaid*LoanIsGood,PaymentDate,""), "")</f>
        <v>44138</v>
      </c>
      <c r="D13" s="12">
        <f>IFERROR(IF(LoanIsNotPaid*LoanIsGood,LoanValue,""), "")</f>
        <v>962219.45227157697</v>
      </c>
      <c r="E13" s="12">
        <f>IFERROR(IF(LoanIsNotPaid*LoanIsGood,MonthlyPayment,""), "")</f>
        <v>21892.334615447373</v>
      </c>
      <c r="F13" s="12">
        <f>IFERROR(IF(LoanIsNotPaid*LoanIsGood,Principal,""), "")</f>
        <v>12831.43477322336</v>
      </c>
      <c r="G13" s="12">
        <f>IFERROR(IF(LoanIsNotPaid*LoanIsGood,InterestAmt,""), "")</f>
        <v>9060.8998422240129</v>
      </c>
      <c r="H13" s="12">
        <f>IFERROR(IF(LoanIsNotPaid*LoanIsGood,EndingBalance,""), "")</f>
        <v>949388.01749835326</v>
      </c>
    </row>
    <row r="14" spans="2:8" ht="20.149999999999999" customHeight="1">
      <c r="B14" s="9">
        <f>IFERROR(IF(LoanIsNotPaid*LoanIsGood,PaymentNumber,""), "")</f>
        <v>5</v>
      </c>
      <c r="C14" s="10">
        <f>IFERROR(IF(LoanIsNotPaid*LoanIsGood,PaymentDate,""), "")</f>
        <v>44168</v>
      </c>
      <c r="D14" s="12">
        <f>IFERROR(IF(LoanIsNotPaid*LoanIsGood,LoanValue,""), "")</f>
        <v>949388.01749835326</v>
      </c>
      <c r="E14" s="12">
        <f>IFERROR(IF(LoanIsNotPaid*LoanIsGood,MonthlyPayment,""), "")</f>
        <v>21892.334615447373</v>
      </c>
      <c r="F14" s="12">
        <f>IFERROR(IF(LoanIsNotPaid*LoanIsGood,Principal,""), "")</f>
        <v>12952.26411733788</v>
      </c>
      <c r="G14" s="12">
        <f>IFERROR(IF(LoanIsNotPaid*LoanIsGood,InterestAmt,""), "")</f>
        <v>8940.070498109495</v>
      </c>
      <c r="H14" s="12">
        <f>IFERROR(IF(LoanIsNotPaid*LoanIsGood,EndingBalance,""), "")</f>
        <v>936435.75338101527</v>
      </c>
    </row>
    <row r="15" spans="2:8" ht="20.149999999999999" customHeight="1">
      <c r="B15" s="9">
        <f>IFERROR(IF(LoanIsNotPaid*LoanIsGood,PaymentNumber,""), "")</f>
        <v>6</v>
      </c>
      <c r="C15" s="10">
        <f>IFERROR(IF(LoanIsNotPaid*LoanIsGood,PaymentDate,""), "")</f>
        <v>44199</v>
      </c>
      <c r="D15" s="12">
        <f>IFERROR(IF(LoanIsNotPaid*LoanIsGood,LoanValue,""), "")</f>
        <v>936435.75338101527</v>
      </c>
      <c r="E15" s="12">
        <f>IFERROR(IF(LoanIsNotPaid*LoanIsGood,MonthlyPayment,""), "")</f>
        <v>21892.334615447373</v>
      </c>
      <c r="F15" s="12">
        <f>IFERROR(IF(LoanIsNotPaid*LoanIsGood,Principal,""), "")</f>
        <v>13074.23127110948</v>
      </c>
      <c r="G15" s="12">
        <f>IFERROR(IF(LoanIsNotPaid*LoanIsGood,InterestAmt,""), "")</f>
        <v>8818.1033443378965</v>
      </c>
      <c r="H15" s="12">
        <f>IFERROR(IF(LoanIsNotPaid*LoanIsGood,EndingBalance,""), "")</f>
        <v>923361.52210990596</v>
      </c>
    </row>
    <row r="16" spans="2:8" ht="20.149999999999999" customHeight="1">
      <c r="B16" s="9">
        <f>IFERROR(IF(LoanIsNotPaid*LoanIsGood,PaymentNumber,""), "")</f>
        <v>7</v>
      </c>
      <c r="C16" s="10">
        <f>IFERROR(IF(LoanIsNotPaid*LoanIsGood,PaymentDate,""), "")</f>
        <v>44230</v>
      </c>
      <c r="D16" s="12">
        <f>IFERROR(IF(LoanIsNotPaid*LoanIsGood,LoanValue,""), "")</f>
        <v>923361.52210990596</v>
      </c>
      <c r="E16" s="12">
        <f>IFERROR(IF(LoanIsNotPaid*LoanIsGood,MonthlyPayment,""), "")</f>
        <v>21892.334615447373</v>
      </c>
      <c r="F16" s="12">
        <f>IFERROR(IF(LoanIsNotPaid*LoanIsGood,Principal,""), "")</f>
        <v>13197.346948912425</v>
      </c>
      <c r="G16" s="12">
        <f>IFERROR(IF(LoanIsNotPaid*LoanIsGood,InterestAmt,""), "")</f>
        <v>8694.9876665349493</v>
      </c>
      <c r="H16" s="12">
        <f>IFERROR(IF(LoanIsNotPaid*LoanIsGood,EndingBalance,""), "")</f>
        <v>910164.17516099359</v>
      </c>
    </row>
    <row r="17" spans="2:8" ht="20.149999999999999" customHeight="1">
      <c r="B17" s="9">
        <f>IFERROR(IF(LoanIsNotPaid*LoanIsGood,PaymentNumber,""), "")</f>
        <v>8</v>
      </c>
      <c r="C17" s="10">
        <f>IFERROR(IF(LoanIsNotPaid*LoanIsGood,PaymentDate,""), "")</f>
        <v>44258</v>
      </c>
      <c r="D17" s="12">
        <f>IFERROR(IF(LoanIsNotPaid*LoanIsGood,LoanValue,""), "")</f>
        <v>910164.17516099359</v>
      </c>
      <c r="E17" s="12">
        <f>IFERROR(IF(LoanIsNotPaid*LoanIsGood,MonthlyPayment,""), "")</f>
        <v>21892.334615447373</v>
      </c>
      <c r="F17" s="12">
        <f>IFERROR(IF(LoanIsNotPaid*LoanIsGood,Principal,""), "")</f>
        <v>13321.621966014683</v>
      </c>
      <c r="G17" s="12">
        <f>IFERROR(IF(LoanIsNotPaid*LoanIsGood,InterestAmt,""), "")</f>
        <v>8570.7126494326894</v>
      </c>
      <c r="H17" s="12">
        <f>IFERROR(IF(LoanIsNotPaid*LoanIsGood,EndingBalance,""), "")</f>
        <v>896842.55319497874</v>
      </c>
    </row>
    <row r="18" spans="2:8" ht="20.149999999999999" customHeight="1">
      <c r="B18" s="9">
        <f>IFERROR(IF(LoanIsNotPaid*LoanIsGood,PaymentNumber,""), "")</f>
        <v>9</v>
      </c>
      <c r="C18" s="10">
        <f>IFERROR(IF(LoanIsNotPaid*LoanIsGood,PaymentDate,""), "")</f>
        <v>44289</v>
      </c>
      <c r="D18" s="12">
        <f>IFERROR(IF(LoanIsNotPaid*LoanIsGood,LoanValue,""), "")</f>
        <v>896842.55319497874</v>
      </c>
      <c r="E18" s="12">
        <f>IFERROR(IF(LoanIsNotPaid*LoanIsGood,MonthlyPayment,""), "")</f>
        <v>21892.334615447373</v>
      </c>
      <c r="F18" s="12">
        <f>IFERROR(IF(LoanIsNotPaid*LoanIsGood,Principal,""), "")</f>
        <v>13447.067239527989</v>
      </c>
      <c r="G18" s="12">
        <f>IFERROR(IF(LoanIsNotPaid*LoanIsGood,InterestAmt,""), "")</f>
        <v>8445.2673759193858</v>
      </c>
      <c r="H18" s="12">
        <f>IFERROR(IF(LoanIsNotPaid*LoanIsGood,EndingBalance,""), "")</f>
        <v>883395.48595545057</v>
      </c>
    </row>
    <row r="19" spans="2:8" ht="20.149999999999999" customHeight="1">
      <c r="B19" s="9">
        <f>IFERROR(IF(LoanIsNotPaid*LoanIsGood,PaymentNumber,""), "")</f>
        <v>10</v>
      </c>
      <c r="C19" s="10">
        <f>IFERROR(IF(LoanIsNotPaid*LoanIsGood,PaymentDate,""), "")</f>
        <v>44319</v>
      </c>
      <c r="D19" s="12">
        <f>IFERROR(IF(LoanIsNotPaid*LoanIsGood,LoanValue,""), "")</f>
        <v>883395.48595545057</v>
      </c>
      <c r="E19" s="12">
        <f>IFERROR(IF(LoanIsNotPaid*LoanIsGood,MonthlyPayment,""), "")</f>
        <v>21892.334615447373</v>
      </c>
      <c r="F19" s="12">
        <f>IFERROR(IF(LoanIsNotPaid*LoanIsGood,Principal,""), "")</f>
        <v>13573.693789366878</v>
      </c>
      <c r="G19" s="12">
        <f>IFERROR(IF(LoanIsNotPaid*LoanIsGood,InterestAmt,""), "")</f>
        <v>8318.6408260804947</v>
      </c>
      <c r="H19" s="12">
        <f>IFERROR(IF(LoanIsNotPaid*LoanIsGood,EndingBalance,""), "")</f>
        <v>869821.79216608382</v>
      </c>
    </row>
    <row r="20" spans="2:8" ht="20.149999999999999" customHeight="1">
      <c r="B20" s="9">
        <f>IFERROR(IF(LoanIsNotPaid*LoanIsGood,PaymentNumber,""), "")</f>
        <v>11</v>
      </c>
      <c r="C20" s="10">
        <f>IFERROR(IF(LoanIsNotPaid*LoanIsGood,PaymentDate,""), "")</f>
        <v>44350</v>
      </c>
      <c r="D20" s="12">
        <f>IFERROR(IF(LoanIsNotPaid*LoanIsGood,LoanValue,""), "")</f>
        <v>869821.79216608382</v>
      </c>
      <c r="E20" s="12">
        <f>IFERROR(IF(LoanIsNotPaid*LoanIsGood,MonthlyPayment,""), "")</f>
        <v>21892.334615447373</v>
      </c>
      <c r="F20" s="12">
        <f>IFERROR(IF(LoanIsNotPaid*LoanIsGood,Principal,""), "")</f>
        <v>13701.512739216747</v>
      </c>
      <c r="G20" s="12">
        <f>IFERROR(IF(LoanIsNotPaid*LoanIsGood,InterestAmt,""), "")</f>
        <v>8190.8218762306251</v>
      </c>
      <c r="H20" s="12">
        <f>IFERROR(IF(LoanIsNotPaid*LoanIsGood,EndingBalance,""), "")</f>
        <v>856120.27942686726</v>
      </c>
    </row>
    <row r="21" spans="2:8" ht="20.149999999999999" customHeight="1">
      <c r="B21" s="9">
        <f>IFERROR(IF(LoanIsNotPaid*LoanIsGood,PaymentNumber,""), "")</f>
        <v>12</v>
      </c>
      <c r="C21" s="10">
        <f>IFERROR(IF(LoanIsNotPaid*LoanIsGood,PaymentDate,""), "")</f>
        <v>44380</v>
      </c>
      <c r="D21" s="12">
        <f>IFERROR(IF(LoanIsNotPaid*LoanIsGood,LoanValue,""), "")</f>
        <v>856120.27942686726</v>
      </c>
      <c r="E21" s="12">
        <f>IFERROR(IF(LoanIsNotPaid*LoanIsGood,MonthlyPayment,""), "")</f>
        <v>21892.334615447373</v>
      </c>
      <c r="F21" s="12">
        <f>IFERROR(IF(LoanIsNotPaid*LoanIsGood,Principal,""), "")</f>
        <v>13830.535317511039</v>
      </c>
      <c r="G21" s="12">
        <f>IFERROR(IF(LoanIsNotPaid*LoanIsGood,InterestAmt,""), "")</f>
        <v>8061.7992979363344</v>
      </c>
      <c r="H21" s="12">
        <f>IFERROR(IF(LoanIsNotPaid*LoanIsGood,EndingBalance,""), "")</f>
        <v>842289.74410935584</v>
      </c>
    </row>
    <row r="22" spans="2:8" ht="20.149999999999999" customHeight="1">
      <c r="B22" s="9">
        <f>IFERROR(IF(LoanIsNotPaid*LoanIsGood,PaymentNumber,""), "")</f>
        <v>13</v>
      </c>
      <c r="C22" s="10">
        <f>IFERROR(IF(LoanIsNotPaid*LoanIsGood,PaymentDate,""), "")</f>
        <v>44411</v>
      </c>
      <c r="D22" s="12">
        <f>IFERROR(IF(LoanIsNotPaid*LoanIsGood,LoanValue,""), "")</f>
        <v>842289.74410935584</v>
      </c>
      <c r="E22" s="12">
        <f>IFERROR(IF(LoanIsNotPaid*LoanIsGood,MonthlyPayment,""), "")</f>
        <v>21892.334615447373</v>
      </c>
      <c r="F22" s="12">
        <f>IFERROR(IF(LoanIsNotPaid*LoanIsGood,Principal,""), "")</f>
        <v>13960.772858417602</v>
      </c>
      <c r="G22" s="12">
        <f>IFERROR(IF(LoanIsNotPaid*LoanIsGood,InterestAmt,""), "")</f>
        <v>7931.5617570297718</v>
      </c>
      <c r="H22" s="12">
        <f>IFERROR(IF(LoanIsNotPaid*LoanIsGood,EndingBalance,""), "")</f>
        <v>828328.97125093837</v>
      </c>
    </row>
    <row r="23" spans="2:8" ht="20.149999999999999" customHeight="1">
      <c r="B23" s="9">
        <f>IFERROR(IF(LoanIsNotPaid*LoanIsGood,PaymentNumber,""), "")</f>
        <v>14</v>
      </c>
      <c r="C23" s="10">
        <f>IFERROR(IF(LoanIsNotPaid*LoanIsGood,PaymentDate,""), "")</f>
        <v>44442</v>
      </c>
      <c r="D23" s="12">
        <f>IFERROR(IF(LoanIsNotPaid*LoanIsGood,LoanValue,""), "")</f>
        <v>828328.97125093837</v>
      </c>
      <c r="E23" s="12">
        <f>IFERROR(IF(LoanIsNotPaid*LoanIsGood,MonthlyPayment,""), "")</f>
        <v>21892.334615447373</v>
      </c>
      <c r="F23" s="12">
        <f>IFERROR(IF(LoanIsNotPaid*LoanIsGood,Principal,""), "")</f>
        <v>14092.236802834368</v>
      </c>
      <c r="G23" s="12">
        <f>IFERROR(IF(LoanIsNotPaid*LoanIsGood,InterestAmt,""), "")</f>
        <v>7800.0978126130067</v>
      </c>
      <c r="H23" s="12">
        <f>IFERROR(IF(LoanIsNotPaid*LoanIsGood,EndingBalance,""), "")</f>
        <v>814236.73444810382</v>
      </c>
    </row>
    <row r="24" spans="2:8" ht="20.149999999999999" customHeight="1">
      <c r="B24" s="9">
        <f>IFERROR(IF(LoanIsNotPaid*LoanIsGood,PaymentNumber,""), "")</f>
        <v>15</v>
      </c>
      <c r="C24" s="10">
        <f>IFERROR(IF(LoanIsNotPaid*LoanIsGood,PaymentDate,""), "")</f>
        <v>44472</v>
      </c>
      <c r="D24" s="12">
        <f>IFERROR(IF(LoanIsNotPaid*LoanIsGood,LoanValue,""), "")</f>
        <v>814236.73444810382</v>
      </c>
      <c r="E24" s="12">
        <f>IFERROR(IF(LoanIsNotPaid*LoanIsGood,MonthlyPayment,""), "")</f>
        <v>21892.334615447373</v>
      </c>
      <c r="F24" s="12">
        <f>IFERROR(IF(LoanIsNotPaid*LoanIsGood,Principal,""), "")</f>
        <v>14224.938699394392</v>
      </c>
      <c r="G24" s="12">
        <f>IFERROR(IF(LoanIsNotPaid*LoanIsGood,InterestAmt,""), "")</f>
        <v>7667.3959160529821</v>
      </c>
      <c r="H24" s="12">
        <f>IFERROR(IF(LoanIsNotPaid*LoanIsGood,EndingBalance,""), "")</f>
        <v>800011.79574870947</v>
      </c>
    </row>
    <row r="25" spans="2:8" ht="20.149999999999999" customHeight="1">
      <c r="B25" s="9">
        <f>IFERROR(IF(LoanIsNotPaid*LoanIsGood,PaymentNumber,""), "")</f>
        <v>16</v>
      </c>
      <c r="C25" s="10">
        <f>IFERROR(IF(LoanIsNotPaid*LoanIsGood,PaymentDate,""), "")</f>
        <v>44503</v>
      </c>
      <c r="D25" s="12">
        <f>IFERROR(IF(LoanIsNotPaid*LoanIsGood,LoanValue,""), "")</f>
        <v>800011.79574870947</v>
      </c>
      <c r="E25" s="12">
        <f>IFERROR(IF(LoanIsNotPaid*LoanIsGood,MonthlyPayment,""), "")</f>
        <v>21892.334615447373</v>
      </c>
      <c r="F25" s="12">
        <f>IFERROR(IF(LoanIsNotPaid*LoanIsGood,Principal,""), "")</f>
        <v>14358.890205480355</v>
      </c>
      <c r="G25" s="12">
        <f>IFERROR(IF(LoanIsNotPaid*LoanIsGood,InterestAmt,""), "")</f>
        <v>7533.4444099670191</v>
      </c>
      <c r="H25" s="12">
        <f>IFERROR(IF(LoanIsNotPaid*LoanIsGood,EndingBalance,""), "")</f>
        <v>785652.90554322908</v>
      </c>
    </row>
    <row r="26" spans="2:8" ht="20.149999999999999" customHeight="1">
      <c r="B26" s="9">
        <f>IFERROR(IF(LoanIsNotPaid*LoanIsGood,PaymentNumber,""), "")</f>
        <v>17</v>
      </c>
      <c r="C26" s="10">
        <f>IFERROR(IF(LoanIsNotPaid*LoanIsGood,PaymentDate,""), "")</f>
        <v>44533</v>
      </c>
      <c r="D26" s="12">
        <f>IFERROR(IF(LoanIsNotPaid*LoanIsGood,LoanValue,""), "")</f>
        <v>785652.90554322908</v>
      </c>
      <c r="E26" s="12">
        <f>IFERROR(IF(LoanIsNotPaid*LoanIsGood,MonthlyPayment,""), "")</f>
        <v>21892.334615447373</v>
      </c>
      <c r="F26" s="12">
        <f>IFERROR(IF(LoanIsNotPaid*LoanIsGood,Principal,""), "")</f>
        <v>14494.103088248628</v>
      </c>
      <c r="G26" s="12">
        <f>IFERROR(IF(LoanIsNotPaid*LoanIsGood,InterestAmt,""), "")</f>
        <v>7398.2315271987454</v>
      </c>
      <c r="H26" s="12">
        <f>IFERROR(IF(LoanIsNotPaid*LoanIsGood,EndingBalance,""), "")</f>
        <v>771158.80245498044</v>
      </c>
    </row>
    <row r="27" spans="2:8" ht="20.149999999999999" customHeight="1">
      <c r="B27" s="9">
        <f>IFERROR(IF(LoanIsNotPaid*LoanIsGood,PaymentNumber,""), "")</f>
        <v>18</v>
      </c>
      <c r="C27" s="10">
        <f>IFERROR(IF(LoanIsNotPaid*LoanIsGood,PaymentDate,""), "")</f>
        <v>44564</v>
      </c>
      <c r="D27" s="12">
        <f>IFERROR(IF(LoanIsNotPaid*LoanIsGood,LoanValue,""), "")</f>
        <v>771158.80245498044</v>
      </c>
      <c r="E27" s="12">
        <f>IFERROR(IF(LoanIsNotPaid*LoanIsGood,MonthlyPayment,""), "")</f>
        <v>21892.334615447373</v>
      </c>
      <c r="F27" s="12">
        <f>IFERROR(IF(LoanIsNotPaid*LoanIsGood,Principal,""), "")</f>
        <v>14630.589225662969</v>
      </c>
      <c r="G27" s="12">
        <f>IFERROR(IF(LoanIsNotPaid*LoanIsGood,InterestAmt,""), "")</f>
        <v>7261.7453897844034</v>
      </c>
      <c r="H27" s="12">
        <f>IFERROR(IF(LoanIsNotPaid*LoanIsGood,EndingBalance,""), "")</f>
        <v>756528.21322931745</v>
      </c>
    </row>
    <row r="28" spans="2:8" ht="20.149999999999999" customHeight="1">
      <c r="B28" s="9">
        <f>IFERROR(IF(LoanIsNotPaid*LoanIsGood,PaymentNumber,""), "")</f>
        <v>19</v>
      </c>
      <c r="C28" s="10">
        <f>IFERROR(IF(LoanIsNotPaid*LoanIsGood,PaymentDate,""), "")</f>
        <v>44595</v>
      </c>
      <c r="D28" s="12">
        <f>IFERROR(IF(LoanIsNotPaid*LoanIsGood,LoanValue,""), "")</f>
        <v>756528.21322931745</v>
      </c>
      <c r="E28" s="12">
        <f>IFERROR(IF(LoanIsNotPaid*LoanIsGood,MonthlyPayment,""), "")</f>
        <v>21892.334615447373</v>
      </c>
      <c r="F28" s="12">
        <f>IFERROR(IF(LoanIsNotPaid*LoanIsGood,Principal,""), "")</f>
        <v>14768.360607537963</v>
      </c>
      <c r="G28" s="12">
        <f>IFERROR(IF(LoanIsNotPaid*LoanIsGood,InterestAmt,""), "")</f>
        <v>7123.9740079094108</v>
      </c>
      <c r="H28" s="12">
        <f>IFERROR(IF(LoanIsNotPaid*LoanIsGood,EndingBalance,""), "")</f>
        <v>741759.85262177954</v>
      </c>
    </row>
    <row r="29" spans="2:8" ht="20.149999999999999" customHeight="1">
      <c r="B29" s="9">
        <f>IFERROR(IF(LoanIsNotPaid*LoanIsGood,PaymentNumber,""), "")</f>
        <v>20</v>
      </c>
      <c r="C29" s="10">
        <f>IFERROR(IF(LoanIsNotPaid*LoanIsGood,PaymentDate,""), "")</f>
        <v>44623</v>
      </c>
      <c r="D29" s="12">
        <f>IFERROR(IF(LoanIsNotPaid*LoanIsGood,LoanValue,""), "")</f>
        <v>741759.85262177954</v>
      </c>
      <c r="E29" s="12">
        <f>IFERROR(IF(LoanIsNotPaid*LoanIsGood,MonthlyPayment,""), "")</f>
        <v>21892.334615447373</v>
      </c>
      <c r="F29" s="12">
        <f>IFERROR(IF(LoanIsNotPaid*LoanIsGood,Principal,""), "")</f>
        <v>14907.42933659228</v>
      </c>
      <c r="G29" s="12">
        <f>IFERROR(IF(LoanIsNotPaid*LoanIsGood,InterestAmt,""), "")</f>
        <v>6984.9052788550953</v>
      </c>
      <c r="H29" s="12">
        <f>IFERROR(IF(LoanIsNotPaid*LoanIsGood,EndingBalance,""), "")</f>
        <v>726852.42328518699</v>
      </c>
    </row>
    <row r="30" spans="2:8" ht="20.149999999999999" customHeight="1">
      <c r="B30" s="9">
        <f>IFERROR(IF(LoanIsNotPaid*LoanIsGood,PaymentNumber,""), "")</f>
        <v>21</v>
      </c>
      <c r="C30" s="10">
        <f>IFERROR(IF(LoanIsNotPaid*LoanIsGood,PaymentDate,""), "")</f>
        <v>44654</v>
      </c>
      <c r="D30" s="12">
        <f>IFERROR(IF(LoanIsNotPaid*LoanIsGood,LoanValue,""), "")</f>
        <v>726852.42328518699</v>
      </c>
      <c r="E30" s="12">
        <f>IFERROR(IF(LoanIsNotPaid*LoanIsGood,MonthlyPayment,""), "")</f>
        <v>21892.334615447373</v>
      </c>
      <c r="F30" s="12">
        <f>IFERROR(IF(LoanIsNotPaid*LoanIsGood,Principal,""), "")</f>
        <v>15047.807629511854</v>
      </c>
      <c r="G30" s="12">
        <f>IFERROR(IF(LoanIsNotPaid*LoanIsGood,InterestAmt,""), "")</f>
        <v>6844.5269859355176</v>
      </c>
      <c r="H30" s="12">
        <f>IFERROR(IF(LoanIsNotPaid*LoanIsGood,EndingBalance,""), "")</f>
        <v>711804.61565567495</v>
      </c>
    </row>
    <row r="31" spans="2:8" ht="20.149999999999999" customHeight="1">
      <c r="B31" s="9">
        <f>IFERROR(IF(LoanIsNotPaid*LoanIsGood,PaymentNumber,""), "")</f>
        <v>22</v>
      </c>
      <c r="C31" s="10">
        <f>IFERROR(IF(LoanIsNotPaid*LoanIsGood,PaymentDate,""), "")</f>
        <v>44684</v>
      </c>
      <c r="D31" s="12">
        <f>IFERROR(IF(LoanIsNotPaid*LoanIsGood,LoanValue,""), "")</f>
        <v>711804.61565567495</v>
      </c>
      <c r="E31" s="12">
        <f>IFERROR(IF(LoanIsNotPaid*LoanIsGood,MonthlyPayment,""), "")</f>
        <v>21892.334615447373</v>
      </c>
      <c r="F31" s="12">
        <f>IFERROR(IF(LoanIsNotPaid*LoanIsGood,Principal,""), "")</f>
        <v>15189.507818023094</v>
      </c>
      <c r="G31" s="12">
        <f>IFERROR(IF(LoanIsNotPaid*LoanIsGood,InterestAmt,""), "")</f>
        <v>6702.8267974242817</v>
      </c>
      <c r="H31" s="12">
        <f>IFERROR(IF(LoanIsNotPaid*LoanIsGood,EndingBalance,""), "")</f>
        <v>696615.10783765186</v>
      </c>
    </row>
    <row r="32" spans="2:8" ht="20.149999999999999" customHeight="1">
      <c r="B32" s="9">
        <f>IFERROR(IF(LoanIsNotPaid*LoanIsGood,PaymentNumber,""), "")</f>
        <v>23</v>
      </c>
      <c r="C32" s="10">
        <f>IFERROR(IF(LoanIsNotPaid*LoanIsGood,PaymentDate,""), "")</f>
        <v>44715</v>
      </c>
      <c r="D32" s="12">
        <f>IFERROR(IF(LoanIsNotPaid*LoanIsGood,LoanValue,""), "")</f>
        <v>696615.10783765186</v>
      </c>
      <c r="E32" s="12">
        <f>IFERROR(IF(LoanIsNotPaid*LoanIsGood,MonthlyPayment,""), "")</f>
        <v>21892.334615447373</v>
      </c>
      <c r="F32" s="12">
        <f>IFERROR(IF(LoanIsNotPaid*LoanIsGood,Principal,""), "")</f>
        <v>15332.542349976144</v>
      </c>
      <c r="G32" s="12">
        <f>IFERROR(IF(LoanIsNotPaid*LoanIsGood,InterestAmt,""), "")</f>
        <v>6559.7922654712302</v>
      </c>
      <c r="H32" s="12">
        <f>IFERROR(IF(LoanIsNotPaid*LoanIsGood,EndingBalance,""), "")</f>
        <v>681282.56548767595</v>
      </c>
    </row>
    <row r="33" spans="2:8" ht="20.149999999999999" customHeight="1">
      <c r="B33" s="9">
        <f>IFERROR(IF(LoanIsNotPaid*LoanIsGood,PaymentNumber,""), "")</f>
        <v>24</v>
      </c>
      <c r="C33" s="10">
        <f>IFERROR(IF(LoanIsNotPaid*LoanIsGood,PaymentDate,""), "")</f>
        <v>44745</v>
      </c>
      <c r="D33" s="12">
        <f>IFERROR(IF(LoanIsNotPaid*LoanIsGood,LoanValue,""), "")</f>
        <v>681282.56548767595</v>
      </c>
      <c r="E33" s="12">
        <f>IFERROR(IF(LoanIsNotPaid*LoanIsGood,MonthlyPayment,""), "")</f>
        <v>21892.334615447373</v>
      </c>
      <c r="F33" s="12">
        <f>IFERROR(IF(LoanIsNotPaid*LoanIsGood,Principal,""), "")</f>
        <v>15476.923790438417</v>
      </c>
      <c r="G33" s="12">
        <f>IFERROR(IF(LoanIsNotPaid*LoanIsGood,InterestAmt,""), "")</f>
        <v>6415.4108250089539</v>
      </c>
      <c r="H33" s="12">
        <f>IFERROR(IF(LoanIsNotPaid*LoanIsGood,EndingBalance,""), "")</f>
        <v>665805.64169723738</v>
      </c>
    </row>
    <row r="34" spans="2:8" ht="20.149999999999999" customHeight="1">
      <c r="B34" s="9">
        <f>IFERROR(IF(LoanIsNotPaid*LoanIsGood,PaymentNumber,""), "")</f>
        <v>25</v>
      </c>
      <c r="C34" s="10">
        <f>IFERROR(IF(LoanIsNotPaid*LoanIsGood,PaymentDate,""), "")</f>
        <v>44776</v>
      </c>
      <c r="D34" s="12">
        <f>IFERROR(IF(LoanIsNotPaid*LoanIsGood,LoanValue,""), "")</f>
        <v>665805.64169723738</v>
      </c>
      <c r="E34" s="12">
        <f>IFERROR(IF(LoanIsNotPaid*LoanIsGood,MonthlyPayment,""), "")</f>
        <v>21892.334615447373</v>
      </c>
      <c r="F34" s="12">
        <f>IFERROR(IF(LoanIsNotPaid*LoanIsGood,Principal,""), "")</f>
        <v>15622.664822798381</v>
      </c>
      <c r="G34" s="12">
        <f>IFERROR(IF(LoanIsNotPaid*LoanIsGood,InterestAmt,""), "")</f>
        <v>6269.6697926489933</v>
      </c>
      <c r="H34" s="12">
        <f>IFERROR(IF(LoanIsNotPaid*LoanIsGood,EndingBalance,""), "")</f>
        <v>650182.97687443881</v>
      </c>
    </row>
    <row r="35" spans="2:8" ht="20.149999999999999" customHeight="1">
      <c r="B35" s="9">
        <f>IFERROR(IF(LoanIsNotPaid*LoanIsGood,PaymentNumber,""), "")</f>
        <v>26</v>
      </c>
      <c r="C35" s="10">
        <f>IFERROR(IF(LoanIsNotPaid*LoanIsGood,PaymentDate,""), "")</f>
        <v>44807</v>
      </c>
      <c r="D35" s="12">
        <f>IFERROR(IF(LoanIsNotPaid*LoanIsGood,LoanValue,""), "")</f>
        <v>650182.97687443881</v>
      </c>
      <c r="E35" s="12">
        <f>IFERROR(IF(LoanIsNotPaid*LoanIsGood,MonthlyPayment,""), "")</f>
        <v>21892.334615447373</v>
      </c>
      <c r="F35" s="12">
        <f>IFERROR(IF(LoanIsNotPaid*LoanIsGood,Principal,""), "")</f>
        <v>15769.778249879733</v>
      </c>
      <c r="G35" s="12">
        <f>IFERROR(IF(LoanIsNotPaid*LoanIsGood,InterestAmt,""), "")</f>
        <v>6122.5563655676415</v>
      </c>
      <c r="H35" s="12">
        <f>IFERROR(IF(LoanIsNotPaid*LoanIsGood,EndingBalance,""), "")</f>
        <v>634413.1986245591</v>
      </c>
    </row>
    <row r="36" spans="2:8" ht="20.149999999999999" customHeight="1">
      <c r="B36" s="9">
        <f>IFERROR(IF(LoanIsNotPaid*LoanIsGood,PaymentNumber,""), "")</f>
        <v>27</v>
      </c>
      <c r="C36" s="10">
        <f>IFERROR(IF(LoanIsNotPaid*LoanIsGood,PaymentDate,""), "")</f>
        <v>44837</v>
      </c>
      <c r="D36" s="12">
        <f>IFERROR(IF(LoanIsNotPaid*LoanIsGood,LoanValue,""), "")</f>
        <v>634413.1986245591</v>
      </c>
      <c r="E36" s="12">
        <f>IFERROR(IF(LoanIsNotPaid*LoanIsGood,MonthlyPayment,""), "")</f>
        <v>21892.334615447373</v>
      </c>
      <c r="F36" s="12">
        <f>IFERROR(IF(LoanIsNotPaid*LoanIsGood,Principal,""), "")</f>
        <v>15918.276995066099</v>
      </c>
      <c r="G36" s="12">
        <f>IFERROR(IF(LoanIsNotPaid*LoanIsGood,InterestAmt,""), "")</f>
        <v>5974.0576203812734</v>
      </c>
      <c r="H36" s="12">
        <f>IFERROR(IF(LoanIsNotPaid*LoanIsGood,EndingBalance,""), "")</f>
        <v>618494.92162949324</v>
      </c>
    </row>
    <row r="37" spans="2:8" ht="20.149999999999999" customHeight="1">
      <c r="B37" s="9">
        <f>IFERROR(IF(LoanIsNotPaid*LoanIsGood,PaymentNumber,""), "")</f>
        <v>28</v>
      </c>
      <c r="C37" s="10">
        <f>IFERROR(IF(LoanIsNotPaid*LoanIsGood,PaymentDate,""), "")</f>
        <v>44868</v>
      </c>
      <c r="D37" s="12">
        <f>IFERROR(IF(LoanIsNotPaid*LoanIsGood,LoanValue,""), "")</f>
        <v>618494.92162949324</v>
      </c>
      <c r="E37" s="12">
        <f>IFERROR(IF(LoanIsNotPaid*LoanIsGood,MonthlyPayment,""), "")</f>
        <v>21892.334615447373</v>
      </c>
      <c r="F37" s="12">
        <f>IFERROR(IF(LoanIsNotPaid*LoanIsGood,Principal,""), "")</f>
        <v>16068.174103436308</v>
      </c>
      <c r="G37" s="12">
        <f>IFERROR(IF(LoanIsNotPaid*LoanIsGood,InterestAmt,""), "")</f>
        <v>5824.160512011068</v>
      </c>
      <c r="H37" s="12">
        <f>IFERROR(IF(LoanIsNotPaid*LoanIsGood,EndingBalance,""), "")</f>
        <v>602426.74752605648</v>
      </c>
    </row>
    <row r="38" spans="2:8" ht="20.149999999999999" customHeight="1">
      <c r="B38" s="9">
        <f>IFERROR(IF(LoanIsNotPaid*LoanIsGood,PaymentNumber,""), "")</f>
        <v>29</v>
      </c>
      <c r="C38" s="10">
        <f>IFERROR(IF(LoanIsNotPaid*LoanIsGood,PaymentDate,""), "")</f>
        <v>44898</v>
      </c>
      <c r="D38" s="12">
        <f>IFERROR(IF(LoanIsNotPaid*LoanIsGood,LoanValue,""), "")</f>
        <v>602426.74752605648</v>
      </c>
      <c r="E38" s="12">
        <f>IFERROR(IF(LoanIsNotPaid*LoanIsGood,MonthlyPayment,""), "")</f>
        <v>21892.334615447373</v>
      </c>
      <c r="F38" s="12">
        <f>IFERROR(IF(LoanIsNotPaid*LoanIsGood,Principal,""), "")</f>
        <v>16219.48274291033</v>
      </c>
      <c r="G38" s="12">
        <f>IFERROR(IF(LoanIsNotPaid*LoanIsGood,InterestAmt,""), "")</f>
        <v>5672.8518725370432</v>
      </c>
      <c r="H38" s="12">
        <f>IFERROR(IF(LoanIsNotPaid*LoanIsGood,EndingBalance,""), "")</f>
        <v>586207.26478314621</v>
      </c>
    </row>
    <row r="39" spans="2:8" ht="20.149999999999999" customHeight="1">
      <c r="B39" s="9">
        <f>IFERROR(IF(LoanIsNotPaid*LoanIsGood,PaymentNumber,""), "")</f>
        <v>30</v>
      </c>
      <c r="C39" s="10">
        <f>IFERROR(IF(LoanIsNotPaid*LoanIsGood,PaymentDate,""), "")</f>
        <v>44929</v>
      </c>
      <c r="D39" s="12">
        <f>IFERROR(IF(LoanIsNotPaid*LoanIsGood,LoanValue,""), "")</f>
        <v>586207.26478314621</v>
      </c>
      <c r="E39" s="12">
        <f>IFERROR(IF(LoanIsNotPaid*LoanIsGood,MonthlyPayment,""), "")</f>
        <v>21892.334615447373</v>
      </c>
      <c r="F39" s="12">
        <f>IFERROR(IF(LoanIsNotPaid*LoanIsGood,Principal,""), "")</f>
        <v>16372.21620540607</v>
      </c>
      <c r="G39" s="12">
        <f>IFERROR(IF(LoanIsNotPaid*LoanIsGood,InterestAmt,""), "")</f>
        <v>5520.1184100413057</v>
      </c>
      <c r="H39" s="12">
        <f>IFERROR(IF(LoanIsNotPaid*LoanIsGood,EndingBalance,""), "")</f>
        <v>569835.04857774009</v>
      </c>
    </row>
    <row r="40" spans="2:8" ht="20.149999999999999" customHeight="1">
      <c r="B40" s="9">
        <f>IFERROR(IF(LoanIsNotPaid*LoanIsGood,PaymentNumber,""), "")</f>
        <v>31</v>
      </c>
      <c r="C40" s="10">
        <f>IFERROR(IF(LoanIsNotPaid*LoanIsGood,PaymentDate,""), "")</f>
        <v>44960</v>
      </c>
      <c r="D40" s="12">
        <f>IFERROR(IF(LoanIsNotPaid*LoanIsGood,LoanValue,""), "")</f>
        <v>569835.04857774009</v>
      </c>
      <c r="E40" s="12">
        <f>IFERROR(IF(LoanIsNotPaid*LoanIsGood,MonthlyPayment,""), "")</f>
        <v>21892.334615447373</v>
      </c>
      <c r="F40" s="12">
        <f>IFERROR(IF(LoanIsNotPaid*LoanIsGood,Principal,""), "")</f>
        <v>16526.387908006978</v>
      </c>
      <c r="G40" s="12">
        <f>IFERROR(IF(LoanIsNotPaid*LoanIsGood,InterestAmt,""), "")</f>
        <v>5365.9467074403974</v>
      </c>
      <c r="H40" s="12">
        <f>IFERROR(IF(LoanIsNotPaid*LoanIsGood,EndingBalance,""), "")</f>
        <v>553308.66066973319</v>
      </c>
    </row>
    <row r="41" spans="2:8" ht="20.149999999999999" customHeight="1">
      <c r="B41" s="9">
        <f>IFERROR(IF(LoanIsNotPaid*LoanIsGood,PaymentNumber,""), "")</f>
        <v>32</v>
      </c>
      <c r="C41" s="10">
        <f>IFERROR(IF(LoanIsNotPaid*LoanIsGood,PaymentDate,""), "")</f>
        <v>44988</v>
      </c>
      <c r="D41" s="12">
        <f>IFERROR(IF(LoanIsNotPaid*LoanIsGood,LoanValue,""), "")</f>
        <v>553308.66066973319</v>
      </c>
      <c r="E41" s="12">
        <f>IFERROR(IF(LoanIsNotPaid*LoanIsGood,MonthlyPayment,""), "")</f>
        <v>21892.334615447373</v>
      </c>
      <c r="F41" s="12">
        <f>IFERROR(IF(LoanIsNotPaid*LoanIsGood,Principal,""), "")</f>
        <v>16682.011394140707</v>
      </c>
      <c r="G41" s="12">
        <f>IFERROR(IF(LoanIsNotPaid*LoanIsGood,InterestAmt,""), "")</f>
        <v>5210.3232213066649</v>
      </c>
      <c r="H41" s="12">
        <f>IFERROR(IF(LoanIsNotPaid*LoanIsGood,EndingBalance,""), "")</f>
        <v>536626.6492755923</v>
      </c>
    </row>
    <row r="42" spans="2:8" ht="20.149999999999999" customHeight="1">
      <c r="B42" s="9">
        <f>IFERROR(IF(LoanIsNotPaid*LoanIsGood,PaymentNumber,""), "")</f>
        <v>33</v>
      </c>
      <c r="C42" s="10">
        <f>IFERROR(IF(LoanIsNotPaid*LoanIsGood,PaymentDate,""), "")</f>
        <v>45019</v>
      </c>
      <c r="D42" s="12">
        <f>IFERROR(IF(LoanIsNotPaid*LoanIsGood,LoanValue,""), "")</f>
        <v>536626.6492755923</v>
      </c>
      <c r="E42" s="12">
        <f>IFERROR(IF(LoanIsNotPaid*LoanIsGood,MonthlyPayment,""), "")</f>
        <v>21892.334615447373</v>
      </c>
      <c r="F42" s="12">
        <f>IFERROR(IF(LoanIsNotPaid*LoanIsGood,Principal,""), "")</f>
        <v>16839.100334768867</v>
      </c>
      <c r="G42" s="12">
        <f>IFERROR(IF(LoanIsNotPaid*LoanIsGood,InterestAmt,""), "")</f>
        <v>5053.2342806785064</v>
      </c>
      <c r="H42" s="12">
        <f>IFERROR(IF(LoanIsNotPaid*LoanIsGood,EndingBalance,""), "")</f>
        <v>519787.54894082341</v>
      </c>
    </row>
    <row r="43" spans="2:8" ht="20.149999999999999" customHeight="1">
      <c r="B43" s="9">
        <f>IFERROR(IF(LoanIsNotPaid*LoanIsGood,PaymentNumber,""), "")</f>
        <v>34</v>
      </c>
      <c r="C43" s="10">
        <f>IFERROR(IF(LoanIsNotPaid*LoanIsGood,PaymentDate,""), "")</f>
        <v>45049</v>
      </c>
      <c r="D43" s="12">
        <f>IFERROR(IF(LoanIsNotPaid*LoanIsGood,LoanValue,""), "")</f>
        <v>519787.54894082341</v>
      </c>
      <c r="E43" s="12">
        <f>IFERROR(IF(LoanIsNotPaid*LoanIsGood,MonthlyPayment,""), "")</f>
        <v>21892.334615447373</v>
      </c>
      <c r="F43" s="12">
        <f>IFERROR(IF(LoanIsNotPaid*LoanIsGood,Principal,""), "")</f>
        <v>16997.66852958794</v>
      </c>
      <c r="G43" s="12">
        <f>IFERROR(IF(LoanIsNotPaid*LoanIsGood,InterestAmt,""), "")</f>
        <v>4894.6660858594332</v>
      </c>
      <c r="H43" s="12">
        <f>IFERROR(IF(LoanIsNotPaid*LoanIsGood,EndingBalance,""), "")</f>
        <v>502789.88041123538</v>
      </c>
    </row>
    <row r="44" spans="2:8" ht="20.149999999999999" customHeight="1">
      <c r="B44" s="9">
        <f>IFERROR(IF(LoanIsNotPaid*LoanIsGood,PaymentNumber,""), "")</f>
        <v>35</v>
      </c>
      <c r="C44" s="10">
        <f>IFERROR(IF(LoanIsNotPaid*LoanIsGood,PaymentDate,""), "")</f>
        <v>45080</v>
      </c>
      <c r="D44" s="12">
        <f>IFERROR(IF(LoanIsNotPaid*LoanIsGood,LoanValue,""), "")</f>
        <v>502789.88041123538</v>
      </c>
      <c r="E44" s="12">
        <f>IFERROR(IF(LoanIsNotPaid*LoanIsGood,MonthlyPayment,""), "")</f>
        <v>21892.334615447373</v>
      </c>
      <c r="F44" s="12">
        <f>IFERROR(IF(LoanIsNotPaid*LoanIsGood,Principal,""), "")</f>
        <v>17157.729908241559</v>
      </c>
      <c r="G44" s="12">
        <f>IFERROR(IF(LoanIsNotPaid*LoanIsGood,InterestAmt,""), "")</f>
        <v>4734.6047072058127</v>
      </c>
      <c r="H44" s="12">
        <f>IFERROR(IF(LoanIsNotPaid*LoanIsGood,EndingBalance,""), "")</f>
        <v>485632.15050299384</v>
      </c>
    </row>
    <row r="45" spans="2:8" ht="20.149999999999999" customHeight="1">
      <c r="B45" s="9">
        <f>IFERROR(IF(LoanIsNotPaid*LoanIsGood,PaymentNumber,""), "")</f>
        <v>36</v>
      </c>
      <c r="C45" s="10">
        <f>IFERROR(IF(LoanIsNotPaid*LoanIsGood,PaymentDate,""), "")</f>
        <v>45110</v>
      </c>
      <c r="D45" s="12">
        <f>IFERROR(IF(LoanIsNotPaid*LoanIsGood,LoanValue,""), "")</f>
        <v>485632.15050299384</v>
      </c>
      <c r="E45" s="12">
        <f>IFERROR(IF(LoanIsNotPaid*LoanIsGood,MonthlyPayment,""), "")</f>
        <v>21892.334615447373</v>
      </c>
      <c r="F45" s="12">
        <f>IFERROR(IF(LoanIsNotPaid*LoanIsGood,Principal,""), "")</f>
        <v>17319.298531544166</v>
      </c>
      <c r="G45" s="12">
        <f>IFERROR(IF(LoanIsNotPaid*LoanIsGood,InterestAmt,""), "")</f>
        <v>4573.0360839032055</v>
      </c>
      <c r="H45" s="12">
        <f>IFERROR(IF(LoanIsNotPaid*LoanIsGood,EndingBalance,""), "")</f>
        <v>468312.85197144945</v>
      </c>
    </row>
    <row r="46" spans="2:8" ht="20.149999999999999" customHeight="1">
      <c r="B46" s="9">
        <f>IFERROR(IF(LoanIsNotPaid*LoanIsGood,PaymentNumber,""), "")</f>
        <v>37</v>
      </c>
      <c r="C46" s="10">
        <f>IFERROR(IF(LoanIsNotPaid*LoanIsGood,PaymentDate,""), "")</f>
        <v>45141</v>
      </c>
      <c r="D46" s="12">
        <f>IFERROR(IF(LoanIsNotPaid*LoanIsGood,LoanValue,""), "")</f>
        <v>468312.85197144945</v>
      </c>
      <c r="E46" s="12">
        <f>IFERROR(IF(LoanIsNotPaid*LoanIsGood,MonthlyPayment,""), "")</f>
        <v>21892.334615447373</v>
      </c>
      <c r="F46" s="12">
        <f>IFERROR(IF(LoanIsNotPaid*LoanIsGood,Principal,""), "")</f>
        <v>17482.388592716212</v>
      </c>
      <c r="G46" s="12">
        <f>IFERROR(IF(LoanIsNotPaid*LoanIsGood,InterestAmt,""), "")</f>
        <v>4409.9460227311638</v>
      </c>
      <c r="H46" s="12">
        <f>IFERROR(IF(LoanIsNotPaid*LoanIsGood,EndingBalance,""), "")</f>
        <v>450830.46337873337</v>
      </c>
    </row>
    <row r="47" spans="2:8" ht="20.149999999999999" customHeight="1">
      <c r="B47" s="9">
        <f>IFERROR(IF(LoanIsNotPaid*LoanIsGood,PaymentNumber,""), "")</f>
        <v>38</v>
      </c>
      <c r="C47" s="10">
        <f>IFERROR(IF(LoanIsNotPaid*LoanIsGood,PaymentDate,""), "")</f>
        <v>45172</v>
      </c>
      <c r="D47" s="12">
        <f>IFERROR(IF(LoanIsNotPaid*LoanIsGood,LoanValue,""), "")</f>
        <v>450830.46337873337</v>
      </c>
      <c r="E47" s="12">
        <f>IFERROR(IF(LoanIsNotPaid*LoanIsGood,MonthlyPayment,""), "")</f>
        <v>21892.334615447373</v>
      </c>
      <c r="F47" s="12">
        <f>IFERROR(IF(LoanIsNotPaid*LoanIsGood,Principal,""), "")</f>
        <v>17647.014418630955</v>
      </c>
      <c r="G47" s="12">
        <f>IFERROR(IF(LoanIsNotPaid*LoanIsGood,InterestAmt,""), "")</f>
        <v>4245.3201968164203</v>
      </c>
      <c r="H47" s="12">
        <f>IFERROR(IF(LoanIsNotPaid*LoanIsGood,EndingBalance,""), "")</f>
        <v>433183.44896010205</v>
      </c>
    </row>
    <row r="48" spans="2:8" ht="20.149999999999999" customHeight="1">
      <c r="B48" s="9">
        <f>IFERROR(IF(LoanIsNotPaid*LoanIsGood,PaymentNumber,""), "")</f>
        <v>39</v>
      </c>
      <c r="C48" s="10">
        <f>IFERROR(IF(LoanIsNotPaid*LoanIsGood,PaymentDate,""), "")</f>
        <v>45202</v>
      </c>
      <c r="D48" s="12">
        <f>IFERROR(IF(LoanIsNotPaid*LoanIsGood,LoanValue,""), "")</f>
        <v>433183.44896010205</v>
      </c>
      <c r="E48" s="12">
        <f>IFERROR(IF(LoanIsNotPaid*LoanIsGood,MonthlyPayment,""), "")</f>
        <v>21892.334615447373</v>
      </c>
      <c r="F48" s="12">
        <f>IFERROR(IF(LoanIsNotPaid*LoanIsGood,Principal,""), "")</f>
        <v>17813.19047107306</v>
      </c>
      <c r="G48" s="12">
        <f>IFERROR(IF(LoanIsNotPaid*LoanIsGood,InterestAmt,""), "")</f>
        <v>4079.1441443743115</v>
      </c>
      <c r="H48" s="12">
        <f>IFERROR(IF(LoanIsNotPaid*LoanIsGood,EndingBalance,""), "")</f>
        <v>415370.25848902913</v>
      </c>
    </row>
    <row r="49" spans="2:8" ht="20.149999999999999" customHeight="1">
      <c r="B49" s="9">
        <f>IFERROR(IF(LoanIsNotPaid*LoanIsGood,PaymentNumber,""), "")</f>
        <v>40</v>
      </c>
      <c r="C49" s="10">
        <f>IFERROR(IF(LoanIsNotPaid*LoanIsGood,PaymentDate,""), "")</f>
        <v>45233</v>
      </c>
      <c r="D49" s="12">
        <f>IFERROR(IF(LoanIsNotPaid*LoanIsGood,LoanValue,""), "")</f>
        <v>415370.25848902913</v>
      </c>
      <c r="E49" s="12">
        <f>IFERROR(IF(LoanIsNotPaid*LoanIsGood,MonthlyPayment,""), "")</f>
        <v>21892.334615447373</v>
      </c>
      <c r="F49" s="12">
        <f>IFERROR(IF(LoanIsNotPaid*LoanIsGood,Principal,""), "")</f>
        <v>17980.931348008999</v>
      </c>
      <c r="G49" s="12">
        <f>IFERROR(IF(LoanIsNotPaid*LoanIsGood,InterestAmt,""), "")</f>
        <v>3911.4032674383743</v>
      </c>
      <c r="H49" s="12">
        <f>IFERROR(IF(LoanIsNotPaid*LoanIsGood,EndingBalance,""), "")</f>
        <v>397389.32714101998</v>
      </c>
    </row>
    <row r="50" spans="2:8" ht="20.149999999999999" customHeight="1">
      <c r="B50" s="9">
        <f>IFERROR(IF(LoanIsNotPaid*LoanIsGood,PaymentNumber,""), "")</f>
        <v>41</v>
      </c>
      <c r="C50" s="10">
        <f>IFERROR(IF(LoanIsNotPaid*LoanIsGood,PaymentDate,""), "")</f>
        <v>45263</v>
      </c>
      <c r="D50" s="12">
        <f>IFERROR(IF(LoanIsNotPaid*LoanIsGood,LoanValue,""), "")</f>
        <v>397389.32714101998</v>
      </c>
      <c r="E50" s="12">
        <f>IFERROR(IF(LoanIsNotPaid*LoanIsGood,MonthlyPayment,""), "")</f>
        <v>21892.334615447373</v>
      </c>
      <c r="F50" s="12">
        <f>IFERROR(IF(LoanIsNotPaid*LoanIsGood,Principal,""), "")</f>
        <v>18150.251784869419</v>
      </c>
      <c r="G50" s="12">
        <f>IFERROR(IF(LoanIsNotPaid*LoanIsGood,InterestAmt,""), "")</f>
        <v>3742.0828305779564</v>
      </c>
      <c r="H50" s="12">
        <f>IFERROR(IF(LoanIsNotPaid*LoanIsGood,EndingBalance,""), "")</f>
        <v>379239.07535615051</v>
      </c>
    </row>
    <row r="51" spans="2:8" ht="20.149999999999999" customHeight="1">
      <c r="B51" s="9">
        <f>IFERROR(IF(LoanIsNotPaid*LoanIsGood,PaymentNumber,""), "")</f>
        <v>42</v>
      </c>
      <c r="C51" s="10">
        <f>IFERROR(IF(LoanIsNotPaid*LoanIsGood,PaymentDate,""), "")</f>
        <v>45294</v>
      </c>
      <c r="D51" s="12">
        <f>IFERROR(IF(LoanIsNotPaid*LoanIsGood,LoanValue,""), "")</f>
        <v>379239.07535615051</v>
      </c>
      <c r="E51" s="12">
        <f>IFERROR(IF(LoanIsNotPaid*LoanIsGood,MonthlyPayment,""), "")</f>
        <v>21892.334615447373</v>
      </c>
      <c r="F51" s="12">
        <f>IFERROR(IF(LoanIsNotPaid*LoanIsGood,Principal,""), "")</f>
        <v>18321.166655843605</v>
      </c>
      <c r="G51" s="12">
        <f>IFERROR(IF(LoanIsNotPaid*LoanIsGood,InterestAmt,""), "")</f>
        <v>3571.1679596037684</v>
      </c>
      <c r="H51" s="12">
        <f>IFERROR(IF(LoanIsNotPaid*LoanIsGood,EndingBalance,""), "")</f>
        <v>360917.90870030713</v>
      </c>
    </row>
    <row r="52" spans="2:8" ht="20.149999999999999" customHeight="1">
      <c r="B52" s="9">
        <f>IFERROR(IF(LoanIsNotPaid*LoanIsGood,PaymentNumber,""), "")</f>
        <v>43</v>
      </c>
      <c r="C52" s="10">
        <f>IFERROR(IF(LoanIsNotPaid*LoanIsGood,PaymentDate,""), "")</f>
        <v>45325</v>
      </c>
      <c r="D52" s="12">
        <f>IFERROR(IF(LoanIsNotPaid*LoanIsGood,LoanValue,""), "")</f>
        <v>360917.90870030713</v>
      </c>
      <c r="E52" s="12">
        <f>IFERROR(IF(LoanIsNotPaid*LoanIsGood,MonthlyPayment,""), "")</f>
        <v>21892.334615447373</v>
      </c>
      <c r="F52" s="12">
        <f>IFERROR(IF(LoanIsNotPaid*LoanIsGood,Principal,""), "")</f>
        <v>18493.690975186131</v>
      </c>
      <c r="G52" s="12">
        <f>IFERROR(IF(LoanIsNotPaid*LoanIsGood,InterestAmt,""), "")</f>
        <v>3398.6436402612408</v>
      </c>
      <c r="H52" s="12">
        <f>IFERROR(IF(LoanIsNotPaid*LoanIsGood,EndingBalance,""), "")</f>
        <v>342424.21772512118</v>
      </c>
    </row>
    <row r="53" spans="2:8" ht="20.149999999999999" customHeight="1">
      <c r="B53" s="9">
        <f>IFERROR(IF(LoanIsNotPaid*LoanIsGood,PaymentNumber,""), "")</f>
        <v>44</v>
      </c>
      <c r="C53" s="10">
        <f>IFERROR(IF(LoanIsNotPaid*LoanIsGood,PaymentDate,""), "")</f>
        <v>45354</v>
      </c>
      <c r="D53" s="12">
        <f>IFERROR(IF(LoanIsNotPaid*LoanIsGood,LoanValue,""), "")</f>
        <v>342424.21772512118</v>
      </c>
      <c r="E53" s="12">
        <f>IFERROR(IF(LoanIsNotPaid*LoanIsGood,MonthlyPayment,""), "")</f>
        <v>21892.334615447373</v>
      </c>
      <c r="F53" s="12">
        <f>IFERROR(IF(LoanIsNotPaid*LoanIsGood,Principal,""), "")</f>
        <v>18667.839898535804</v>
      </c>
      <c r="G53" s="12">
        <f>IFERROR(IF(LoanIsNotPaid*LoanIsGood,InterestAmt,""), "")</f>
        <v>3224.4947169115721</v>
      </c>
      <c r="H53" s="12">
        <f>IFERROR(IF(LoanIsNotPaid*LoanIsGood,EndingBalance,""), "")</f>
        <v>323756.37782658474</v>
      </c>
    </row>
    <row r="54" spans="2:8" ht="20.149999999999999" customHeight="1">
      <c r="B54" s="9">
        <f>IFERROR(IF(LoanIsNotPaid*LoanIsGood,PaymentNumber,""), "")</f>
        <v>45</v>
      </c>
      <c r="C54" s="10">
        <f>IFERROR(IF(LoanIsNotPaid*LoanIsGood,PaymentDate,""), "")</f>
        <v>45385</v>
      </c>
      <c r="D54" s="12">
        <f>IFERROR(IF(LoanIsNotPaid*LoanIsGood,LoanValue,""), "")</f>
        <v>323756.37782658474</v>
      </c>
      <c r="E54" s="12">
        <f>IFERROR(IF(LoanIsNotPaid*LoanIsGood,MonthlyPayment,""), "")</f>
        <v>21892.334615447373</v>
      </c>
      <c r="F54" s="12">
        <f>IFERROR(IF(LoanIsNotPaid*LoanIsGood,Principal,""), "")</f>
        <v>18843.628724247013</v>
      </c>
      <c r="G54" s="12">
        <f>IFERROR(IF(LoanIsNotPaid*LoanIsGood,InterestAmt,""), "")</f>
        <v>3048.7058912003599</v>
      </c>
      <c r="H54" s="12">
        <f>IFERROR(IF(LoanIsNotPaid*LoanIsGood,EndingBalance,""), "")</f>
        <v>304912.74910233775</v>
      </c>
    </row>
    <row r="55" spans="2:8" ht="20.149999999999999" customHeight="1">
      <c r="B55" s="9">
        <f>IFERROR(IF(LoanIsNotPaid*LoanIsGood,PaymentNumber,""), "")</f>
        <v>46</v>
      </c>
      <c r="C55" s="10">
        <f>IFERROR(IF(LoanIsNotPaid*LoanIsGood,PaymentDate,""), "")</f>
        <v>45415</v>
      </c>
      <c r="D55" s="12">
        <f>IFERROR(IF(LoanIsNotPaid*LoanIsGood,LoanValue,""), "")</f>
        <v>304912.74910233775</v>
      </c>
      <c r="E55" s="12">
        <f>IFERROR(IF(LoanIsNotPaid*LoanIsGood,MonthlyPayment,""), "")</f>
        <v>21892.334615447373</v>
      </c>
      <c r="F55" s="12">
        <f>IFERROR(IF(LoanIsNotPaid*LoanIsGood,Principal,""), "")</f>
        <v>19021.072894733672</v>
      </c>
      <c r="G55" s="12">
        <f>IFERROR(IF(LoanIsNotPaid*LoanIsGood,InterestAmt,""), "")</f>
        <v>2871.2617207137005</v>
      </c>
      <c r="H55" s="12">
        <f>IFERROR(IF(LoanIsNotPaid*LoanIsGood,EndingBalance,""), "")</f>
        <v>285891.67620760389</v>
      </c>
    </row>
    <row r="56" spans="2:8" ht="20.149999999999999" customHeight="1">
      <c r="B56" s="9">
        <f>IFERROR(IF(LoanIsNotPaid*LoanIsGood,PaymentNumber,""), "")</f>
        <v>47</v>
      </c>
      <c r="C56" s="10">
        <f>IFERROR(IF(LoanIsNotPaid*LoanIsGood,PaymentDate,""), "")</f>
        <v>45446</v>
      </c>
      <c r="D56" s="12">
        <f>IFERROR(IF(LoanIsNotPaid*LoanIsGood,LoanValue,""), "")</f>
        <v>285891.67620760389</v>
      </c>
      <c r="E56" s="12">
        <f>IFERROR(IF(LoanIsNotPaid*LoanIsGood,MonthlyPayment,""), "")</f>
        <v>21892.334615447373</v>
      </c>
      <c r="F56" s="12">
        <f>IFERROR(IF(LoanIsNotPaid*LoanIsGood,Principal,""), "")</f>
        <v>19200.187997825749</v>
      </c>
      <c r="G56" s="12">
        <f>IFERROR(IF(LoanIsNotPaid*LoanIsGood,InterestAmt,""), "")</f>
        <v>2692.1466176216245</v>
      </c>
      <c r="H56" s="12">
        <f>IFERROR(IF(LoanIsNotPaid*LoanIsGood,EndingBalance,""), "")</f>
        <v>266691.48820977821</v>
      </c>
    </row>
    <row r="57" spans="2:8" ht="20.149999999999999" customHeight="1">
      <c r="B57" s="9">
        <f>IFERROR(IF(LoanIsNotPaid*LoanIsGood,PaymentNumber,""), "")</f>
        <v>48</v>
      </c>
      <c r="C57" s="10">
        <f>IFERROR(IF(LoanIsNotPaid*LoanIsGood,PaymentDate,""), "")</f>
        <v>45476</v>
      </c>
      <c r="D57" s="12">
        <f>IFERROR(IF(LoanIsNotPaid*LoanIsGood,LoanValue,""), "")</f>
        <v>266691.48820977821</v>
      </c>
      <c r="E57" s="12">
        <f>IFERROR(IF(LoanIsNotPaid*LoanIsGood,MonthlyPayment,""), "")</f>
        <v>21892.334615447373</v>
      </c>
      <c r="F57" s="12">
        <f>IFERROR(IF(LoanIsNotPaid*LoanIsGood,Principal,""), "")</f>
        <v>19380.98976813861</v>
      </c>
      <c r="G57" s="12">
        <f>IFERROR(IF(LoanIsNotPaid*LoanIsGood,InterestAmt,""), "")</f>
        <v>2511.3448473087665</v>
      </c>
      <c r="H57" s="12">
        <f>IFERROR(IF(LoanIsNotPaid*LoanIsGood,EndingBalance,""), "")</f>
        <v>247310.49844163959</v>
      </c>
    </row>
    <row r="58" spans="2:8" ht="20.149999999999999" customHeight="1">
      <c r="B58" s="9">
        <f>IFERROR(IF(LoanIsNotPaid*LoanIsGood,PaymentNumber,""), "")</f>
        <v>49</v>
      </c>
      <c r="C58" s="10">
        <f>IFERROR(IF(LoanIsNotPaid*LoanIsGood,PaymentDate,""), "")</f>
        <v>45507</v>
      </c>
      <c r="D58" s="12">
        <f>IFERROR(IF(LoanIsNotPaid*LoanIsGood,LoanValue,""), "")</f>
        <v>247310.49844163959</v>
      </c>
      <c r="E58" s="12">
        <f>IFERROR(IF(LoanIsNotPaid*LoanIsGood,MonthlyPayment,""), "")</f>
        <v>21892.334615447373</v>
      </c>
      <c r="F58" s="12">
        <f>IFERROR(IF(LoanIsNotPaid*LoanIsGood,Principal,""), "")</f>
        <v>19563.494088455245</v>
      </c>
      <c r="G58" s="12">
        <f>IFERROR(IF(LoanIsNotPaid*LoanIsGood,InterestAmt,""), "")</f>
        <v>2328.8405269921273</v>
      </c>
      <c r="H58" s="12">
        <f>IFERROR(IF(LoanIsNotPaid*LoanIsGood,EndingBalance,""), "")</f>
        <v>227747.00435318425</v>
      </c>
    </row>
    <row r="59" spans="2:8" ht="20.149999999999999" customHeight="1">
      <c r="B59" s="9">
        <f>IFERROR(IF(LoanIsNotPaid*LoanIsGood,PaymentNumber,""), "")</f>
        <v>50</v>
      </c>
      <c r="C59" s="10">
        <f>IFERROR(IF(LoanIsNotPaid*LoanIsGood,PaymentDate,""), "")</f>
        <v>45538</v>
      </c>
      <c r="D59" s="12">
        <f>IFERROR(IF(LoanIsNotPaid*LoanIsGood,LoanValue,""), "")</f>
        <v>227747.00435318425</v>
      </c>
      <c r="E59" s="12">
        <f>IFERROR(IF(LoanIsNotPaid*LoanIsGood,MonthlyPayment,""), "")</f>
        <v>21892.334615447373</v>
      </c>
      <c r="F59" s="12">
        <f>IFERROR(IF(LoanIsNotPaid*LoanIsGood,Principal,""), "")</f>
        <v>19747.716991121535</v>
      </c>
      <c r="G59" s="12">
        <f>IFERROR(IF(LoanIsNotPaid*LoanIsGood,InterestAmt,""), "")</f>
        <v>2144.6176243258406</v>
      </c>
      <c r="H59" s="12">
        <f>IFERROR(IF(LoanIsNotPaid*LoanIsGood,EndingBalance,""), "")</f>
        <v>207999.28736206237</v>
      </c>
    </row>
    <row r="60" spans="2:8" ht="20.149999999999999" customHeight="1">
      <c r="B60" s="9">
        <f>IFERROR(IF(LoanIsNotPaid*LoanIsGood,PaymentNumber,""), "")</f>
        <v>51</v>
      </c>
      <c r="C60" s="10">
        <f>IFERROR(IF(LoanIsNotPaid*LoanIsGood,PaymentDate,""), "")</f>
        <v>45568</v>
      </c>
      <c r="D60" s="12">
        <f>IFERROR(IF(LoanIsNotPaid*LoanIsGood,LoanValue,""), "")</f>
        <v>207999.28736206237</v>
      </c>
      <c r="E60" s="12">
        <f>IFERROR(IF(LoanIsNotPaid*LoanIsGood,MonthlyPayment,""), "")</f>
        <v>21892.334615447373</v>
      </c>
      <c r="F60" s="12">
        <f>IFERROR(IF(LoanIsNotPaid*LoanIsGood,Principal,""), "")</f>
        <v>19933.674659454595</v>
      </c>
      <c r="G60" s="12">
        <f>IFERROR(IF(LoanIsNotPaid*LoanIsGood,InterestAmt,""), "")</f>
        <v>1958.6599559927793</v>
      </c>
      <c r="H60" s="12">
        <f>IFERROR(IF(LoanIsNotPaid*LoanIsGood,EndingBalance,""), "")</f>
        <v>188065.61270260811</v>
      </c>
    </row>
    <row r="61" spans="2:8" ht="20.149999999999999" customHeight="1">
      <c r="B61" s="9">
        <f>IFERROR(IF(LoanIsNotPaid*LoanIsGood,PaymentNumber,""), "")</f>
        <v>52</v>
      </c>
      <c r="C61" s="10">
        <f>IFERROR(IF(LoanIsNotPaid*LoanIsGood,PaymentDate,""), "")</f>
        <v>45599</v>
      </c>
      <c r="D61" s="12">
        <f>IFERROR(IF(LoanIsNotPaid*LoanIsGood,LoanValue,""), "")</f>
        <v>188065.61270260811</v>
      </c>
      <c r="E61" s="12">
        <f>IFERROR(IF(LoanIsNotPaid*LoanIsGood,MonthlyPayment,""), "")</f>
        <v>21892.334615447373</v>
      </c>
      <c r="F61" s="12">
        <f>IFERROR(IF(LoanIsNotPaid*LoanIsGood,Principal,""), "")</f>
        <v>20121.38342916446</v>
      </c>
      <c r="G61" s="12">
        <f>IFERROR(IF(LoanIsNotPaid*LoanIsGood,InterestAmt,""), "")</f>
        <v>1770.9511862829152</v>
      </c>
      <c r="H61" s="12">
        <f>IFERROR(IF(LoanIsNotPaid*LoanIsGood,EndingBalance,""), "")</f>
        <v>167944.22927344311</v>
      </c>
    </row>
    <row r="62" spans="2:8" ht="20.149999999999999" customHeight="1">
      <c r="B62" s="9">
        <f>IFERROR(IF(LoanIsNotPaid*LoanIsGood,PaymentNumber,""), "")</f>
        <v>53</v>
      </c>
      <c r="C62" s="10">
        <f>IFERROR(IF(LoanIsNotPaid*LoanIsGood,PaymentDate,""), "")</f>
        <v>45629</v>
      </c>
      <c r="D62" s="12">
        <f>IFERROR(IF(LoanIsNotPaid*LoanIsGood,LoanValue,""), "")</f>
        <v>167944.22927344311</v>
      </c>
      <c r="E62" s="12">
        <f>IFERROR(IF(LoanIsNotPaid*LoanIsGood,MonthlyPayment,""), "")</f>
        <v>21892.334615447373</v>
      </c>
      <c r="F62" s="12">
        <f>IFERROR(IF(LoanIsNotPaid*LoanIsGood,Principal,""), "")</f>
        <v>20310.85978978909</v>
      </c>
      <c r="G62" s="12">
        <f>IFERROR(IF(LoanIsNotPaid*LoanIsGood,InterestAmt,""), "")</f>
        <v>1581.4748256582834</v>
      </c>
      <c r="H62" s="12">
        <f>IFERROR(IF(LoanIsNotPaid*LoanIsGood,EndingBalance,""), "")</f>
        <v>147633.36948365392</v>
      </c>
    </row>
    <row r="63" spans="2:8" ht="20.149999999999999" customHeight="1">
      <c r="B63" s="9">
        <f>IFERROR(IF(LoanIsNotPaid*LoanIsGood,PaymentNumber,""), "")</f>
        <v>54</v>
      </c>
      <c r="C63" s="10">
        <f>IFERROR(IF(LoanIsNotPaid*LoanIsGood,PaymentDate,""), "")</f>
        <v>45660</v>
      </c>
      <c r="D63" s="12">
        <f>IFERROR(IF(LoanIsNotPaid*LoanIsGood,LoanValue,""), "")</f>
        <v>147633.36948365392</v>
      </c>
      <c r="E63" s="12">
        <f>IFERROR(IF(LoanIsNotPaid*LoanIsGood,MonthlyPayment,""), "")</f>
        <v>21892.334615447373</v>
      </c>
      <c r="F63" s="12">
        <f>IFERROR(IF(LoanIsNotPaid*LoanIsGood,Principal,""), "")</f>
        <v>20502.120386142935</v>
      </c>
      <c r="G63" s="12">
        <f>IFERROR(IF(LoanIsNotPaid*LoanIsGood,InterestAmt,""), "")</f>
        <v>1390.214229304436</v>
      </c>
      <c r="H63" s="12">
        <f>IFERROR(IF(LoanIsNotPaid*LoanIsGood,EndingBalance,""), "")</f>
        <v>127131.24909751117</v>
      </c>
    </row>
    <row r="64" spans="2:8" ht="20.149999999999999" customHeight="1">
      <c r="B64" s="9">
        <f>IFERROR(IF(LoanIsNotPaid*LoanIsGood,PaymentNumber,""), "")</f>
        <v>55</v>
      </c>
      <c r="C64" s="10">
        <f>IFERROR(IF(LoanIsNotPaid*LoanIsGood,PaymentDate,""), "")</f>
        <v>45691</v>
      </c>
      <c r="D64" s="12">
        <f>IFERROR(IF(LoanIsNotPaid*LoanIsGood,LoanValue,""), "")</f>
        <v>127131.24909751117</v>
      </c>
      <c r="E64" s="12">
        <f>IFERROR(IF(LoanIsNotPaid*LoanIsGood,MonthlyPayment,""), "")</f>
        <v>21892.334615447373</v>
      </c>
      <c r="F64" s="12">
        <f>IFERROR(IF(LoanIsNotPaid*LoanIsGood,Principal,""), "")</f>
        <v>20695.182019779117</v>
      </c>
      <c r="G64" s="12">
        <f>IFERROR(IF(LoanIsNotPaid*LoanIsGood,InterestAmt,""), "")</f>
        <v>1197.1525956682567</v>
      </c>
      <c r="H64" s="12">
        <f>IFERROR(IF(LoanIsNotPaid*LoanIsGood,EndingBalance,""), "")</f>
        <v>106436.06707773218</v>
      </c>
    </row>
    <row r="65" spans="2:8" ht="20.149999999999999" customHeight="1">
      <c r="B65" s="9">
        <f>IFERROR(IF(LoanIsNotPaid*LoanIsGood,PaymentNumber,""), "")</f>
        <v>56</v>
      </c>
      <c r="C65" s="10">
        <f>IFERROR(IF(LoanIsNotPaid*LoanIsGood,PaymentDate,""), "")</f>
        <v>45719</v>
      </c>
      <c r="D65" s="12">
        <f>IFERROR(IF(LoanIsNotPaid*LoanIsGood,LoanValue,""), "")</f>
        <v>106436.06707773218</v>
      </c>
      <c r="E65" s="12">
        <f>IFERROR(IF(LoanIsNotPaid*LoanIsGood,MonthlyPayment,""), "")</f>
        <v>21892.334615447373</v>
      </c>
      <c r="F65" s="12">
        <f>IFERROR(IF(LoanIsNotPaid*LoanIsGood,Principal,""), "")</f>
        <v>20890.06165046537</v>
      </c>
      <c r="G65" s="12">
        <f>IFERROR(IF(LoanIsNotPaid*LoanIsGood,InterestAmt,""), "")</f>
        <v>1002.2729649820035</v>
      </c>
      <c r="H65" s="12">
        <f>IFERROR(IF(LoanIsNotPaid*LoanIsGood,EndingBalance,""), "")</f>
        <v>85546.005427266937</v>
      </c>
    </row>
    <row r="66" spans="2:8" ht="20.149999999999999" customHeight="1">
      <c r="B66" s="9">
        <f>IFERROR(IF(LoanIsNotPaid*LoanIsGood,PaymentNumber,""), "")</f>
        <v>57</v>
      </c>
      <c r="C66" s="10">
        <f>IFERROR(IF(LoanIsNotPaid*LoanIsGood,PaymentDate,""), "")</f>
        <v>45750</v>
      </c>
      <c r="D66" s="12">
        <f>IFERROR(IF(LoanIsNotPaid*LoanIsGood,LoanValue,""), "")</f>
        <v>85546.005427266937</v>
      </c>
      <c r="E66" s="12">
        <f>IFERROR(IF(LoanIsNotPaid*LoanIsGood,MonthlyPayment,""), "")</f>
        <v>21892.334615447373</v>
      </c>
      <c r="F66" s="12">
        <f>IFERROR(IF(LoanIsNotPaid*LoanIsGood,Principal,""), "")</f>
        <v>21086.776397673922</v>
      </c>
      <c r="G66" s="12">
        <f>IFERROR(IF(LoanIsNotPaid*LoanIsGood,InterestAmt,""), "")</f>
        <v>805.55821777345443</v>
      </c>
      <c r="H66" s="12">
        <f>IFERROR(IF(LoanIsNotPaid*LoanIsGood,EndingBalance,""), "")</f>
        <v>64459.229029592592</v>
      </c>
    </row>
    <row r="67" spans="2:8" ht="20.149999999999999" customHeight="1">
      <c r="B67" s="9">
        <f>IFERROR(IF(LoanIsNotPaid*LoanIsGood,PaymentNumber,""), "")</f>
        <v>58</v>
      </c>
      <c r="C67" s="10">
        <f>IFERROR(IF(LoanIsNotPaid*LoanIsGood,PaymentDate,""), "")</f>
        <v>45780</v>
      </c>
      <c r="D67" s="12">
        <f>IFERROR(IF(LoanIsNotPaid*LoanIsGood,LoanValue,""), "")</f>
        <v>64459.229029592592</v>
      </c>
      <c r="E67" s="12">
        <f>IFERROR(IF(LoanIsNotPaid*LoanIsGood,MonthlyPayment,""), "")</f>
        <v>21892.334615447373</v>
      </c>
      <c r="F67" s="12">
        <f>IFERROR(IF(LoanIsNotPaid*LoanIsGood,Principal,""), "")</f>
        <v>21285.343542085349</v>
      </c>
      <c r="G67" s="12">
        <f>IFERROR(IF(LoanIsNotPaid*LoanIsGood,InterestAmt,""), "")</f>
        <v>606.99107336202496</v>
      </c>
      <c r="H67" s="12">
        <f>IFERROR(IF(LoanIsNotPaid*LoanIsGood,EndingBalance,""), "")</f>
        <v>43173.885487507097</v>
      </c>
    </row>
    <row r="68" spans="2:8" ht="20.149999999999999" customHeight="1">
      <c r="B68" s="9">
        <f>IFERROR(IF(LoanIsNotPaid*LoanIsGood,PaymentNumber,""), "")</f>
        <v>59</v>
      </c>
      <c r="C68" s="10">
        <f>IFERROR(IF(LoanIsNotPaid*LoanIsGood,PaymentDate,""), "")</f>
        <v>45811</v>
      </c>
      <c r="D68" s="12">
        <f>IFERROR(IF(LoanIsNotPaid*LoanIsGood,LoanValue,""), "")</f>
        <v>43173.885487507097</v>
      </c>
      <c r="E68" s="12">
        <f>IFERROR(IF(LoanIsNotPaid*LoanIsGood,MonthlyPayment,""), "")</f>
        <v>21892.334615447373</v>
      </c>
      <c r="F68" s="12">
        <f>IFERROR(IF(LoanIsNotPaid*LoanIsGood,Principal,""), "")</f>
        <v>21485.780527106657</v>
      </c>
      <c r="G68" s="12">
        <f>IFERROR(IF(LoanIsNotPaid*LoanIsGood,InterestAmt,""), "")</f>
        <v>406.55408834072131</v>
      </c>
      <c r="H68" s="12">
        <f>IFERROR(IF(LoanIsNotPaid*LoanIsGood,EndingBalance,""), "")</f>
        <v>21688.104960401077</v>
      </c>
    </row>
    <row r="69" spans="2:8" ht="20.149999999999999" customHeight="1">
      <c r="B69" s="9">
        <f>IFERROR(IF(LoanIsNotPaid*LoanIsGood,PaymentNumber,""), "")</f>
        <v>60</v>
      </c>
      <c r="C69" s="10">
        <f>IFERROR(IF(LoanIsNotPaid*LoanIsGood,PaymentDate,""), "")</f>
        <v>45841</v>
      </c>
      <c r="D69" s="12">
        <f>IFERROR(IF(LoanIsNotPaid*LoanIsGood,LoanValue,""), "")</f>
        <v>21688.104960401077</v>
      </c>
      <c r="E69" s="12">
        <f>IFERROR(IF(LoanIsNotPaid*LoanIsGood,MonthlyPayment,""), "")</f>
        <v>21892.334615447373</v>
      </c>
      <c r="F69" s="12">
        <f>IFERROR(IF(LoanIsNotPaid*LoanIsGood,Principal,""), "")</f>
        <v>21688.104960403576</v>
      </c>
      <c r="G69" s="12">
        <f>IFERROR(IF(LoanIsNotPaid*LoanIsGood,InterestAmt,""), "")</f>
        <v>204.22965504380031</v>
      </c>
      <c r="H69" s="12">
        <f>IFERROR(IF(LoanIsNotPaid*LoanIsGood,EndingBalance,""), "")</f>
        <v>-3.4924596548080444E-9</v>
      </c>
    </row>
    <row r="70" spans="2:8" ht="20.149999999999999" customHeight="1">
      <c r="B70" s="9" t="str">
        <f>IFERROR(IF(LoanIsNotPaid*LoanIsGood,PaymentNumber,""), "")</f>
        <v/>
      </c>
      <c r="C70" s="10" t="str">
        <f>IFERROR(IF(LoanIsNotPaid*LoanIsGood,PaymentDate,""), "")</f>
        <v/>
      </c>
      <c r="D70" s="12" t="str">
        <f>IFERROR(IF(LoanIsNotPaid*LoanIsGood,LoanValue,""), "")</f>
        <v/>
      </c>
      <c r="E70" s="12" t="str">
        <f>IFERROR(IF(LoanIsNotPaid*LoanIsGood,MonthlyPayment,""), "")</f>
        <v/>
      </c>
      <c r="F70" s="12" t="str">
        <f>IFERROR(IF(LoanIsNotPaid*LoanIsGood,Principal,""), "")</f>
        <v/>
      </c>
      <c r="G70" s="12" t="str">
        <f>IFERROR(IF(LoanIsNotPaid*LoanIsGood,InterestAmt,""), "")</f>
        <v/>
      </c>
      <c r="H70" s="12" t="str">
        <f>IFERROR(IF(LoanIsNotPaid*LoanIsGood,EndingBalance,""), "")</f>
        <v/>
      </c>
    </row>
    <row r="71" spans="2:8" ht="20.149999999999999" customHeight="1">
      <c r="B71" s="9" t="str">
        <f>IFERROR(IF(LoanIsNotPaid*LoanIsGood,PaymentNumber,""), "")</f>
        <v/>
      </c>
      <c r="C71" s="10" t="str">
        <f>IFERROR(IF(LoanIsNotPaid*LoanIsGood,PaymentDate,""), "")</f>
        <v/>
      </c>
      <c r="D71" s="12" t="str">
        <f>IFERROR(IF(LoanIsNotPaid*LoanIsGood,LoanValue,""), "")</f>
        <v/>
      </c>
      <c r="E71" s="12" t="str">
        <f>IFERROR(IF(LoanIsNotPaid*LoanIsGood,MonthlyPayment,""), "")</f>
        <v/>
      </c>
      <c r="F71" s="12" t="str">
        <f>IFERROR(IF(LoanIsNotPaid*LoanIsGood,Principal,""), "")</f>
        <v/>
      </c>
      <c r="G71" s="12" t="str">
        <f>IFERROR(IF(LoanIsNotPaid*LoanIsGood,InterestAmt,""), "")</f>
        <v/>
      </c>
      <c r="H71" s="12" t="str">
        <f>IFERROR(IF(LoanIsNotPaid*LoanIsGood,EndingBalance,""), "")</f>
        <v/>
      </c>
    </row>
    <row r="72" spans="2:8" ht="20.149999999999999" customHeight="1">
      <c r="B72" s="9" t="str">
        <f>IFERROR(IF(LoanIsNotPaid*LoanIsGood,PaymentNumber,""), "")</f>
        <v/>
      </c>
      <c r="C72" s="10" t="str">
        <f>IFERROR(IF(LoanIsNotPaid*LoanIsGood,PaymentDate,""), "")</f>
        <v/>
      </c>
      <c r="D72" s="12" t="str">
        <f>IFERROR(IF(LoanIsNotPaid*LoanIsGood,LoanValue,""), "")</f>
        <v/>
      </c>
      <c r="E72" s="12" t="str">
        <f>IFERROR(IF(LoanIsNotPaid*LoanIsGood,MonthlyPayment,""), "")</f>
        <v/>
      </c>
      <c r="F72" s="12" t="str">
        <f>IFERROR(IF(LoanIsNotPaid*LoanIsGood,Principal,""), "")</f>
        <v/>
      </c>
      <c r="G72" s="12" t="str">
        <f>IFERROR(IF(LoanIsNotPaid*LoanIsGood,InterestAmt,""), "")</f>
        <v/>
      </c>
      <c r="H72" s="12" t="str">
        <f>IFERROR(IF(LoanIsNotPaid*LoanIsGood,EndingBalance,""), "")</f>
        <v/>
      </c>
    </row>
    <row r="73" spans="2:8" ht="20.149999999999999" customHeight="1">
      <c r="B73" s="9" t="str">
        <f>IFERROR(IF(LoanIsNotPaid*LoanIsGood,PaymentNumber,""), "")</f>
        <v/>
      </c>
      <c r="C73" s="10" t="str">
        <f>IFERROR(IF(LoanIsNotPaid*LoanIsGood,PaymentDate,""), "")</f>
        <v/>
      </c>
      <c r="D73" s="12" t="str">
        <f>IFERROR(IF(LoanIsNotPaid*LoanIsGood,LoanValue,""), "")</f>
        <v/>
      </c>
      <c r="E73" s="12" t="str">
        <f>IFERROR(IF(LoanIsNotPaid*LoanIsGood,MonthlyPayment,""), "")</f>
        <v/>
      </c>
      <c r="F73" s="12" t="str">
        <f>IFERROR(IF(LoanIsNotPaid*LoanIsGood,Principal,""), "")</f>
        <v/>
      </c>
      <c r="G73" s="12" t="str">
        <f>IFERROR(IF(LoanIsNotPaid*LoanIsGood,InterestAmt,""), "")</f>
        <v/>
      </c>
      <c r="H73" s="12" t="str">
        <f>IFERROR(IF(LoanIsNotPaid*LoanIsGood,EndingBalance,""), "")</f>
        <v/>
      </c>
    </row>
    <row r="74" spans="2:8" ht="20.149999999999999" customHeight="1">
      <c r="B74" s="9" t="str">
        <f>IFERROR(IF(LoanIsNotPaid*LoanIsGood,PaymentNumber,""), "")</f>
        <v/>
      </c>
      <c r="C74" s="10" t="str">
        <f>IFERROR(IF(LoanIsNotPaid*LoanIsGood,PaymentDate,""), "")</f>
        <v/>
      </c>
      <c r="D74" s="12" t="str">
        <f>IFERROR(IF(LoanIsNotPaid*LoanIsGood,LoanValue,""), "")</f>
        <v/>
      </c>
      <c r="E74" s="12" t="str">
        <f>IFERROR(IF(LoanIsNotPaid*LoanIsGood,MonthlyPayment,""), "")</f>
        <v/>
      </c>
      <c r="F74" s="12" t="str">
        <f>IFERROR(IF(LoanIsNotPaid*LoanIsGood,Principal,""), "")</f>
        <v/>
      </c>
      <c r="G74" s="12" t="str">
        <f>IFERROR(IF(LoanIsNotPaid*LoanIsGood,InterestAmt,""), "")</f>
        <v/>
      </c>
      <c r="H74" s="12" t="str">
        <f>IFERROR(IF(LoanIsNotPaid*LoanIsGood,EndingBalance,""), "")</f>
        <v/>
      </c>
    </row>
    <row r="75" spans="2:8" ht="20.149999999999999" customHeight="1">
      <c r="B75" s="9" t="str">
        <f>IFERROR(IF(LoanIsNotPaid*LoanIsGood,PaymentNumber,""), "")</f>
        <v/>
      </c>
      <c r="C75" s="10" t="str">
        <f>IFERROR(IF(LoanIsNotPaid*LoanIsGood,PaymentDate,""), "")</f>
        <v/>
      </c>
      <c r="D75" s="12" t="str">
        <f>IFERROR(IF(LoanIsNotPaid*LoanIsGood,LoanValue,""), "")</f>
        <v/>
      </c>
      <c r="E75" s="12" t="str">
        <f>IFERROR(IF(LoanIsNotPaid*LoanIsGood,MonthlyPayment,""), "")</f>
        <v/>
      </c>
      <c r="F75" s="12" t="str">
        <f>IFERROR(IF(LoanIsNotPaid*LoanIsGood,Principal,""), "")</f>
        <v/>
      </c>
      <c r="G75" s="12" t="str">
        <f>IFERROR(IF(LoanIsNotPaid*LoanIsGood,InterestAmt,""), "")</f>
        <v/>
      </c>
      <c r="H75" s="12" t="str">
        <f>IFERROR(IF(LoanIsNotPaid*LoanIsGood,EndingBalance,""), "")</f>
        <v/>
      </c>
    </row>
    <row r="76" spans="2:8" ht="20.149999999999999" customHeight="1">
      <c r="B76" s="9" t="str">
        <f>IFERROR(IF(LoanIsNotPaid*LoanIsGood,PaymentNumber,""), "")</f>
        <v/>
      </c>
      <c r="C76" s="10" t="str">
        <f>IFERROR(IF(LoanIsNotPaid*LoanIsGood,PaymentDate,""), "")</f>
        <v/>
      </c>
      <c r="D76" s="12" t="str">
        <f>IFERROR(IF(LoanIsNotPaid*LoanIsGood,LoanValue,""), "")</f>
        <v/>
      </c>
      <c r="E76" s="12" t="str">
        <f>IFERROR(IF(LoanIsNotPaid*LoanIsGood,MonthlyPayment,""), "")</f>
        <v/>
      </c>
      <c r="F76" s="12" t="str">
        <f>IFERROR(IF(LoanIsNotPaid*LoanIsGood,Principal,""), "")</f>
        <v/>
      </c>
      <c r="G76" s="12" t="str">
        <f>IFERROR(IF(LoanIsNotPaid*LoanIsGood,InterestAmt,""), "")</f>
        <v/>
      </c>
      <c r="H76" s="12" t="str">
        <f>IFERROR(IF(LoanIsNotPaid*LoanIsGood,EndingBalance,""), "")</f>
        <v/>
      </c>
    </row>
    <row r="77" spans="2:8" ht="20.149999999999999" customHeight="1">
      <c r="B77" s="9" t="str">
        <f>IFERROR(IF(LoanIsNotPaid*LoanIsGood,PaymentNumber,""), "")</f>
        <v/>
      </c>
      <c r="C77" s="10" t="str">
        <f>IFERROR(IF(LoanIsNotPaid*LoanIsGood,PaymentDate,""), "")</f>
        <v/>
      </c>
      <c r="D77" s="12" t="str">
        <f>IFERROR(IF(LoanIsNotPaid*LoanIsGood,LoanValue,""), "")</f>
        <v/>
      </c>
      <c r="E77" s="12" t="str">
        <f>IFERROR(IF(LoanIsNotPaid*LoanIsGood,MonthlyPayment,""), "")</f>
        <v/>
      </c>
      <c r="F77" s="12" t="str">
        <f>IFERROR(IF(LoanIsNotPaid*LoanIsGood,Principal,""), "")</f>
        <v/>
      </c>
      <c r="G77" s="12" t="str">
        <f>IFERROR(IF(LoanIsNotPaid*LoanIsGood,InterestAmt,""), "")</f>
        <v/>
      </c>
      <c r="H77" s="12" t="str">
        <f>IFERROR(IF(LoanIsNotPaid*LoanIsGood,EndingBalance,""), "")</f>
        <v/>
      </c>
    </row>
    <row r="78" spans="2:8" ht="20.149999999999999" customHeight="1">
      <c r="B78" s="9" t="str">
        <f>IFERROR(IF(LoanIsNotPaid*LoanIsGood,PaymentNumber,""), "")</f>
        <v/>
      </c>
      <c r="C78" s="10" t="str">
        <f>IFERROR(IF(LoanIsNotPaid*LoanIsGood,PaymentDate,""), "")</f>
        <v/>
      </c>
      <c r="D78" s="12" t="str">
        <f>IFERROR(IF(LoanIsNotPaid*LoanIsGood,LoanValue,""), "")</f>
        <v/>
      </c>
      <c r="E78" s="12" t="str">
        <f>IFERROR(IF(LoanIsNotPaid*LoanIsGood,MonthlyPayment,""), "")</f>
        <v/>
      </c>
      <c r="F78" s="12" t="str">
        <f>IFERROR(IF(LoanIsNotPaid*LoanIsGood,Principal,""), "")</f>
        <v/>
      </c>
      <c r="G78" s="12" t="str">
        <f>IFERROR(IF(LoanIsNotPaid*LoanIsGood,InterestAmt,""), "")</f>
        <v/>
      </c>
      <c r="H78" s="12" t="str">
        <f>IFERROR(IF(LoanIsNotPaid*LoanIsGood,EndingBalance,""), "")</f>
        <v/>
      </c>
    </row>
    <row r="79" spans="2:8" ht="20.149999999999999" customHeight="1">
      <c r="B79" s="9" t="str">
        <f>IFERROR(IF(LoanIsNotPaid*LoanIsGood,PaymentNumber,""), "")</f>
        <v/>
      </c>
      <c r="C79" s="10" t="str">
        <f>IFERROR(IF(LoanIsNotPaid*LoanIsGood,PaymentDate,""), "")</f>
        <v/>
      </c>
      <c r="D79" s="12" t="str">
        <f>IFERROR(IF(LoanIsNotPaid*LoanIsGood,LoanValue,""), "")</f>
        <v/>
      </c>
      <c r="E79" s="12" t="str">
        <f>IFERROR(IF(LoanIsNotPaid*LoanIsGood,MonthlyPayment,""), "")</f>
        <v/>
      </c>
      <c r="F79" s="12" t="str">
        <f>IFERROR(IF(LoanIsNotPaid*LoanIsGood,Principal,""), "")</f>
        <v/>
      </c>
      <c r="G79" s="12" t="str">
        <f>IFERROR(IF(LoanIsNotPaid*LoanIsGood,InterestAmt,""), "")</f>
        <v/>
      </c>
      <c r="H79" s="12" t="str">
        <f>IFERROR(IF(LoanIsNotPaid*LoanIsGood,EndingBalance,""), "")</f>
        <v/>
      </c>
    </row>
    <row r="80" spans="2:8" ht="20.149999999999999" customHeight="1">
      <c r="B80" s="9" t="str">
        <f>IFERROR(IF(LoanIsNotPaid*LoanIsGood,PaymentNumber,""), "")</f>
        <v/>
      </c>
      <c r="C80" s="10" t="str">
        <f>IFERROR(IF(LoanIsNotPaid*LoanIsGood,PaymentDate,""), "")</f>
        <v/>
      </c>
      <c r="D80" s="12" t="str">
        <f>IFERROR(IF(LoanIsNotPaid*LoanIsGood,LoanValue,""), "")</f>
        <v/>
      </c>
      <c r="E80" s="12" t="str">
        <f>IFERROR(IF(LoanIsNotPaid*LoanIsGood,MonthlyPayment,""), "")</f>
        <v/>
      </c>
      <c r="F80" s="12" t="str">
        <f>IFERROR(IF(LoanIsNotPaid*LoanIsGood,Principal,""), "")</f>
        <v/>
      </c>
      <c r="G80" s="12" t="str">
        <f>IFERROR(IF(LoanIsNotPaid*LoanIsGood,InterestAmt,""), "")</f>
        <v/>
      </c>
      <c r="H80" s="12" t="str">
        <f>IFERROR(IF(LoanIsNotPaid*LoanIsGood,EndingBalance,""), "")</f>
        <v/>
      </c>
    </row>
    <row r="81" spans="2:8" ht="20.149999999999999" customHeight="1">
      <c r="B81" s="9" t="str">
        <f>IFERROR(IF(LoanIsNotPaid*LoanIsGood,PaymentNumber,""), "")</f>
        <v/>
      </c>
      <c r="C81" s="10" t="str">
        <f>IFERROR(IF(LoanIsNotPaid*LoanIsGood,PaymentDate,""), "")</f>
        <v/>
      </c>
      <c r="D81" s="12" t="str">
        <f>IFERROR(IF(LoanIsNotPaid*LoanIsGood,LoanValue,""), "")</f>
        <v/>
      </c>
      <c r="E81" s="12" t="str">
        <f>IFERROR(IF(LoanIsNotPaid*LoanIsGood,MonthlyPayment,""), "")</f>
        <v/>
      </c>
      <c r="F81" s="12" t="str">
        <f>IFERROR(IF(LoanIsNotPaid*LoanIsGood,Principal,""), "")</f>
        <v/>
      </c>
      <c r="G81" s="12" t="str">
        <f>IFERROR(IF(LoanIsNotPaid*LoanIsGood,InterestAmt,""), "")</f>
        <v/>
      </c>
      <c r="H81" s="12" t="str">
        <f>IFERROR(IF(LoanIsNotPaid*LoanIsGood,EndingBalance,""), "")</f>
        <v/>
      </c>
    </row>
    <row r="82" spans="2:8" ht="20.149999999999999" customHeight="1">
      <c r="B82" s="9" t="str">
        <f>IFERROR(IF(LoanIsNotPaid*LoanIsGood,PaymentNumber,""), "")</f>
        <v/>
      </c>
      <c r="C82" s="10" t="str">
        <f>IFERROR(IF(LoanIsNotPaid*LoanIsGood,PaymentDate,""), "")</f>
        <v/>
      </c>
      <c r="D82" s="12" t="str">
        <f>IFERROR(IF(LoanIsNotPaid*LoanIsGood,LoanValue,""), "")</f>
        <v/>
      </c>
      <c r="E82" s="12" t="str">
        <f>IFERROR(IF(LoanIsNotPaid*LoanIsGood,MonthlyPayment,""), "")</f>
        <v/>
      </c>
      <c r="F82" s="12" t="str">
        <f>IFERROR(IF(LoanIsNotPaid*LoanIsGood,Principal,""), "")</f>
        <v/>
      </c>
      <c r="G82" s="12" t="str">
        <f>IFERROR(IF(LoanIsNotPaid*LoanIsGood,InterestAmt,""), "")</f>
        <v/>
      </c>
      <c r="H82" s="12" t="str">
        <f>IFERROR(IF(LoanIsNotPaid*LoanIsGood,EndingBalance,""), "")</f>
        <v/>
      </c>
    </row>
    <row r="83" spans="2:8" ht="20.149999999999999" customHeight="1">
      <c r="B83" s="9" t="str">
        <f>IFERROR(IF(LoanIsNotPaid*LoanIsGood,PaymentNumber,""), "")</f>
        <v/>
      </c>
      <c r="C83" s="10" t="str">
        <f>IFERROR(IF(LoanIsNotPaid*LoanIsGood,PaymentDate,""), "")</f>
        <v/>
      </c>
      <c r="D83" s="12" t="str">
        <f>IFERROR(IF(LoanIsNotPaid*LoanIsGood,LoanValue,""), "")</f>
        <v/>
      </c>
      <c r="E83" s="12" t="str">
        <f>IFERROR(IF(LoanIsNotPaid*LoanIsGood,MonthlyPayment,""), "")</f>
        <v/>
      </c>
      <c r="F83" s="12" t="str">
        <f>IFERROR(IF(LoanIsNotPaid*LoanIsGood,Principal,""), "")</f>
        <v/>
      </c>
      <c r="G83" s="12" t="str">
        <f>IFERROR(IF(LoanIsNotPaid*LoanIsGood,InterestAmt,""), "")</f>
        <v/>
      </c>
      <c r="H83" s="12" t="str">
        <f>IFERROR(IF(LoanIsNotPaid*LoanIsGood,EndingBalance,""), "")</f>
        <v/>
      </c>
    </row>
    <row r="84" spans="2:8" ht="20.149999999999999" customHeight="1">
      <c r="B84" s="9" t="str">
        <f>IFERROR(IF(LoanIsNotPaid*LoanIsGood,PaymentNumber,""), "")</f>
        <v/>
      </c>
      <c r="C84" s="10" t="str">
        <f>IFERROR(IF(LoanIsNotPaid*LoanIsGood,PaymentDate,""), "")</f>
        <v/>
      </c>
      <c r="D84" s="12" t="str">
        <f>IFERROR(IF(LoanIsNotPaid*LoanIsGood,LoanValue,""), "")</f>
        <v/>
      </c>
      <c r="E84" s="12" t="str">
        <f>IFERROR(IF(LoanIsNotPaid*LoanIsGood,MonthlyPayment,""), "")</f>
        <v/>
      </c>
      <c r="F84" s="12" t="str">
        <f>IFERROR(IF(LoanIsNotPaid*LoanIsGood,Principal,""), "")</f>
        <v/>
      </c>
      <c r="G84" s="12" t="str">
        <f>IFERROR(IF(LoanIsNotPaid*LoanIsGood,InterestAmt,""), "")</f>
        <v/>
      </c>
      <c r="H84" s="12" t="str">
        <f>IFERROR(IF(LoanIsNotPaid*LoanIsGood,EndingBalance,""), "")</f>
        <v/>
      </c>
    </row>
    <row r="85" spans="2:8" ht="20.149999999999999" customHeight="1">
      <c r="B85" s="9" t="str">
        <f>IFERROR(IF(LoanIsNotPaid*LoanIsGood,PaymentNumber,""), "")</f>
        <v/>
      </c>
      <c r="C85" s="10" t="str">
        <f>IFERROR(IF(LoanIsNotPaid*LoanIsGood,PaymentDate,""), "")</f>
        <v/>
      </c>
      <c r="D85" s="12" t="str">
        <f>IFERROR(IF(LoanIsNotPaid*LoanIsGood,LoanValue,""), "")</f>
        <v/>
      </c>
      <c r="E85" s="12" t="str">
        <f>IFERROR(IF(LoanIsNotPaid*LoanIsGood,MonthlyPayment,""), "")</f>
        <v/>
      </c>
      <c r="F85" s="12" t="str">
        <f>IFERROR(IF(LoanIsNotPaid*LoanIsGood,Principal,""), "")</f>
        <v/>
      </c>
      <c r="G85" s="12" t="str">
        <f>IFERROR(IF(LoanIsNotPaid*LoanIsGood,InterestAmt,""), "")</f>
        <v/>
      </c>
      <c r="H85" s="12" t="str">
        <f>IFERROR(IF(LoanIsNotPaid*LoanIsGood,EndingBalance,""), "")</f>
        <v/>
      </c>
    </row>
    <row r="86" spans="2:8" ht="20.149999999999999" customHeight="1">
      <c r="B86" s="9" t="str">
        <f>IFERROR(IF(LoanIsNotPaid*LoanIsGood,PaymentNumber,""), "")</f>
        <v/>
      </c>
      <c r="C86" s="10" t="str">
        <f>IFERROR(IF(LoanIsNotPaid*LoanIsGood,PaymentDate,""), "")</f>
        <v/>
      </c>
      <c r="D86" s="12" t="str">
        <f>IFERROR(IF(LoanIsNotPaid*LoanIsGood,LoanValue,""), "")</f>
        <v/>
      </c>
      <c r="E86" s="12" t="str">
        <f>IFERROR(IF(LoanIsNotPaid*LoanIsGood,MonthlyPayment,""), "")</f>
        <v/>
      </c>
      <c r="F86" s="12" t="str">
        <f>IFERROR(IF(LoanIsNotPaid*LoanIsGood,Principal,""), "")</f>
        <v/>
      </c>
      <c r="G86" s="12" t="str">
        <f>IFERROR(IF(LoanIsNotPaid*LoanIsGood,InterestAmt,""), "")</f>
        <v/>
      </c>
      <c r="H86" s="12" t="str">
        <f>IFERROR(IF(LoanIsNotPaid*LoanIsGood,EndingBalance,""), "")</f>
        <v/>
      </c>
    </row>
    <row r="87" spans="2:8" ht="20.149999999999999" customHeight="1">
      <c r="B87" s="9" t="str">
        <f>IFERROR(IF(LoanIsNotPaid*LoanIsGood,PaymentNumber,""), "")</f>
        <v/>
      </c>
      <c r="C87" s="10" t="str">
        <f>IFERROR(IF(LoanIsNotPaid*LoanIsGood,PaymentDate,""), "")</f>
        <v/>
      </c>
      <c r="D87" s="12" t="str">
        <f>IFERROR(IF(LoanIsNotPaid*LoanIsGood,LoanValue,""), "")</f>
        <v/>
      </c>
      <c r="E87" s="12" t="str">
        <f>IFERROR(IF(LoanIsNotPaid*LoanIsGood,MonthlyPayment,""), "")</f>
        <v/>
      </c>
      <c r="F87" s="12" t="str">
        <f>IFERROR(IF(LoanIsNotPaid*LoanIsGood,Principal,""), "")</f>
        <v/>
      </c>
      <c r="G87" s="12" t="str">
        <f>IFERROR(IF(LoanIsNotPaid*LoanIsGood,InterestAmt,""), "")</f>
        <v/>
      </c>
      <c r="H87" s="12" t="str">
        <f>IFERROR(IF(LoanIsNotPaid*LoanIsGood,EndingBalance,""), "")</f>
        <v/>
      </c>
    </row>
    <row r="88" spans="2:8" ht="20.149999999999999" customHeight="1">
      <c r="B88" s="9" t="str">
        <f>IFERROR(IF(LoanIsNotPaid*LoanIsGood,PaymentNumber,""), "")</f>
        <v/>
      </c>
      <c r="C88" s="10" t="str">
        <f>IFERROR(IF(LoanIsNotPaid*LoanIsGood,PaymentDate,""), "")</f>
        <v/>
      </c>
      <c r="D88" s="12" t="str">
        <f>IFERROR(IF(LoanIsNotPaid*LoanIsGood,LoanValue,""), "")</f>
        <v/>
      </c>
      <c r="E88" s="12" t="str">
        <f>IFERROR(IF(LoanIsNotPaid*LoanIsGood,MonthlyPayment,""), "")</f>
        <v/>
      </c>
      <c r="F88" s="12" t="str">
        <f>IFERROR(IF(LoanIsNotPaid*LoanIsGood,Principal,""), "")</f>
        <v/>
      </c>
      <c r="G88" s="12" t="str">
        <f>IFERROR(IF(LoanIsNotPaid*LoanIsGood,InterestAmt,""), "")</f>
        <v/>
      </c>
      <c r="H88" s="12" t="str">
        <f>IFERROR(IF(LoanIsNotPaid*LoanIsGood,EndingBalance,""), "")</f>
        <v/>
      </c>
    </row>
    <row r="89" spans="2:8" ht="20.149999999999999" customHeight="1">
      <c r="B89" s="9" t="str">
        <f>IFERROR(IF(LoanIsNotPaid*LoanIsGood,PaymentNumber,""), "")</f>
        <v/>
      </c>
      <c r="C89" s="10" t="str">
        <f>IFERROR(IF(LoanIsNotPaid*LoanIsGood,PaymentDate,""), "")</f>
        <v/>
      </c>
      <c r="D89" s="12" t="str">
        <f>IFERROR(IF(LoanIsNotPaid*LoanIsGood,LoanValue,""), "")</f>
        <v/>
      </c>
      <c r="E89" s="12" t="str">
        <f>IFERROR(IF(LoanIsNotPaid*LoanIsGood,MonthlyPayment,""), "")</f>
        <v/>
      </c>
      <c r="F89" s="12" t="str">
        <f>IFERROR(IF(LoanIsNotPaid*LoanIsGood,Principal,""), "")</f>
        <v/>
      </c>
      <c r="G89" s="12" t="str">
        <f>IFERROR(IF(LoanIsNotPaid*LoanIsGood,InterestAmt,""), "")</f>
        <v/>
      </c>
      <c r="H89" s="12" t="str">
        <f>IFERROR(IF(LoanIsNotPaid*LoanIsGood,EndingBalance,""), "")</f>
        <v/>
      </c>
    </row>
    <row r="90" spans="2:8" ht="20.149999999999999" customHeight="1">
      <c r="B90" s="9" t="str">
        <f>IFERROR(IF(LoanIsNotPaid*LoanIsGood,PaymentNumber,""), "")</f>
        <v/>
      </c>
      <c r="C90" s="10" t="str">
        <f>IFERROR(IF(LoanIsNotPaid*LoanIsGood,PaymentDate,""), "")</f>
        <v/>
      </c>
      <c r="D90" s="12" t="str">
        <f>IFERROR(IF(LoanIsNotPaid*LoanIsGood,LoanValue,""), "")</f>
        <v/>
      </c>
      <c r="E90" s="12" t="str">
        <f>IFERROR(IF(LoanIsNotPaid*LoanIsGood,MonthlyPayment,""), "")</f>
        <v/>
      </c>
      <c r="F90" s="12" t="str">
        <f>IFERROR(IF(LoanIsNotPaid*LoanIsGood,Principal,""), "")</f>
        <v/>
      </c>
      <c r="G90" s="12" t="str">
        <f>IFERROR(IF(LoanIsNotPaid*LoanIsGood,InterestAmt,""), "")</f>
        <v/>
      </c>
      <c r="H90" s="12" t="str">
        <f>IFERROR(IF(LoanIsNotPaid*LoanIsGood,EndingBalance,""), "")</f>
        <v/>
      </c>
    </row>
    <row r="91" spans="2:8" ht="20.149999999999999" customHeight="1">
      <c r="B91" s="9" t="str">
        <f>IFERROR(IF(LoanIsNotPaid*LoanIsGood,PaymentNumber,""), "")</f>
        <v/>
      </c>
      <c r="C91" s="10" t="str">
        <f>IFERROR(IF(LoanIsNotPaid*LoanIsGood,PaymentDate,""), "")</f>
        <v/>
      </c>
      <c r="D91" s="12" t="str">
        <f>IFERROR(IF(LoanIsNotPaid*LoanIsGood,LoanValue,""), "")</f>
        <v/>
      </c>
      <c r="E91" s="12" t="str">
        <f>IFERROR(IF(LoanIsNotPaid*LoanIsGood,MonthlyPayment,""), "")</f>
        <v/>
      </c>
      <c r="F91" s="12" t="str">
        <f>IFERROR(IF(LoanIsNotPaid*LoanIsGood,Principal,""), "")</f>
        <v/>
      </c>
      <c r="G91" s="12" t="str">
        <f>IFERROR(IF(LoanIsNotPaid*LoanIsGood,InterestAmt,""), "")</f>
        <v/>
      </c>
      <c r="H91" s="12" t="str">
        <f>IFERROR(IF(LoanIsNotPaid*LoanIsGood,EndingBalance,""), "")</f>
        <v/>
      </c>
    </row>
    <row r="92" spans="2:8" ht="20.149999999999999" customHeight="1">
      <c r="B92" s="9" t="str">
        <f>IFERROR(IF(LoanIsNotPaid*LoanIsGood,PaymentNumber,""), "")</f>
        <v/>
      </c>
      <c r="C92" s="10" t="str">
        <f>IFERROR(IF(LoanIsNotPaid*LoanIsGood,PaymentDate,""), "")</f>
        <v/>
      </c>
      <c r="D92" s="12" t="str">
        <f>IFERROR(IF(LoanIsNotPaid*LoanIsGood,LoanValue,""), "")</f>
        <v/>
      </c>
      <c r="E92" s="12" t="str">
        <f>IFERROR(IF(LoanIsNotPaid*LoanIsGood,MonthlyPayment,""), "")</f>
        <v/>
      </c>
      <c r="F92" s="12" t="str">
        <f>IFERROR(IF(LoanIsNotPaid*LoanIsGood,Principal,""), "")</f>
        <v/>
      </c>
      <c r="G92" s="12" t="str">
        <f>IFERROR(IF(LoanIsNotPaid*LoanIsGood,InterestAmt,""), "")</f>
        <v/>
      </c>
      <c r="H92" s="12" t="str">
        <f>IFERROR(IF(LoanIsNotPaid*LoanIsGood,EndingBalance,""), "")</f>
        <v/>
      </c>
    </row>
    <row r="93" spans="2:8" ht="20.149999999999999" customHeight="1">
      <c r="B93" s="9" t="str">
        <f>IFERROR(IF(LoanIsNotPaid*LoanIsGood,PaymentNumber,""), "")</f>
        <v/>
      </c>
      <c r="C93" s="10" t="str">
        <f>IFERROR(IF(LoanIsNotPaid*LoanIsGood,PaymentDate,""), "")</f>
        <v/>
      </c>
      <c r="D93" s="12" t="str">
        <f>IFERROR(IF(LoanIsNotPaid*LoanIsGood,LoanValue,""), "")</f>
        <v/>
      </c>
      <c r="E93" s="12" t="str">
        <f>IFERROR(IF(LoanIsNotPaid*LoanIsGood,MonthlyPayment,""), "")</f>
        <v/>
      </c>
      <c r="F93" s="12" t="str">
        <f>IFERROR(IF(LoanIsNotPaid*LoanIsGood,Principal,""), "")</f>
        <v/>
      </c>
      <c r="G93" s="12" t="str">
        <f>IFERROR(IF(LoanIsNotPaid*LoanIsGood,InterestAmt,""), "")</f>
        <v/>
      </c>
      <c r="H93" s="12" t="str">
        <f>IFERROR(IF(LoanIsNotPaid*LoanIsGood,EndingBalance,""), "")</f>
        <v/>
      </c>
    </row>
    <row r="94" spans="2:8" ht="20.149999999999999" customHeight="1">
      <c r="B94" s="9" t="str">
        <f>IFERROR(IF(LoanIsNotPaid*LoanIsGood,PaymentNumber,""), "")</f>
        <v/>
      </c>
      <c r="C94" s="10" t="str">
        <f>IFERROR(IF(LoanIsNotPaid*LoanIsGood,PaymentDate,""), "")</f>
        <v/>
      </c>
      <c r="D94" s="12" t="str">
        <f>IFERROR(IF(LoanIsNotPaid*LoanIsGood,LoanValue,""), "")</f>
        <v/>
      </c>
      <c r="E94" s="12" t="str">
        <f>IFERROR(IF(LoanIsNotPaid*LoanIsGood,MonthlyPayment,""), "")</f>
        <v/>
      </c>
      <c r="F94" s="12" t="str">
        <f>IFERROR(IF(LoanIsNotPaid*LoanIsGood,Principal,""), "")</f>
        <v/>
      </c>
      <c r="G94" s="12" t="str">
        <f>IFERROR(IF(LoanIsNotPaid*LoanIsGood,InterestAmt,""), "")</f>
        <v/>
      </c>
      <c r="H94" s="12" t="str">
        <f>IFERROR(IF(LoanIsNotPaid*LoanIsGood,EndingBalance,""), "")</f>
        <v/>
      </c>
    </row>
    <row r="95" spans="2:8" ht="20.149999999999999" customHeight="1">
      <c r="B95" s="9" t="str">
        <f>IFERROR(IF(LoanIsNotPaid*LoanIsGood,PaymentNumber,""), "")</f>
        <v/>
      </c>
      <c r="C95" s="10" t="str">
        <f>IFERROR(IF(LoanIsNotPaid*LoanIsGood,PaymentDate,""), "")</f>
        <v/>
      </c>
      <c r="D95" s="12" t="str">
        <f>IFERROR(IF(LoanIsNotPaid*LoanIsGood,LoanValue,""), "")</f>
        <v/>
      </c>
      <c r="E95" s="12" t="str">
        <f>IFERROR(IF(LoanIsNotPaid*LoanIsGood,MonthlyPayment,""), "")</f>
        <v/>
      </c>
      <c r="F95" s="12" t="str">
        <f>IFERROR(IF(LoanIsNotPaid*LoanIsGood,Principal,""), "")</f>
        <v/>
      </c>
      <c r="G95" s="12" t="str">
        <f>IFERROR(IF(LoanIsNotPaid*LoanIsGood,InterestAmt,""), "")</f>
        <v/>
      </c>
      <c r="H95" s="12" t="str">
        <f>IFERROR(IF(LoanIsNotPaid*LoanIsGood,EndingBalance,""), "")</f>
        <v/>
      </c>
    </row>
    <row r="96" spans="2:8" ht="20.149999999999999" customHeight="1">
      <c r="B96" s="9" t="str">
        <f>IFERROR(IF(LoanIsNotPaid*LoanIsGood,PaymentNumber,""), "")</f>
        <v/>
      </c>
      <c r="C96" s="10" t="str">
        <f>IFERROR(IF(LoanIsNotPaid*LoanIsGood,PaymentDate,""), "")</f>
        <v/>
      </c>
      <c r="D96" s="12" t="str">
        <f>IFERROR(IF(LoanIsNotPaid*LoanIsGood,LoanValue,""), "")</f>
        <v/>
      </c>
      <c r="E96" s="12" t="str">
        <f>IFERROR(IF(LoanIsNotPaid*LoanIsGood,MonthlyPayment,""), "")</f>
        <v/>
      </c>
      <c r="F96" s="12" t="str">
        <f>IFERROR(IF(LoanIsNotPaid*LoanIsGood,Principal,""), "")</f>
        <v/>
      </c>
      <c r="G96" s="12" t="str">
        <f>IFERROR(IF(LoanIsNotPaid*LoanIsGood,InterestAmt,""), "")</f>
        <v/>
      </c>
      <c r="H96" s="12" t="str">
        <f>IFERROR(IF(LoanIsNotPaid*LoanIsGood,EndingBalance,""), "")</f>
        <v/>
      </c>
    </row>
    <row r="97" spans="2:8" ht="20.149999999999999" customHeight="1">
      <c r="B97" s="9" t="str">
        <f>IFERROR(IF(LoanIsNotPaid*LoanIsGood,PaymentNumber,""), "")</f>
        <v/>
      </c>
      <c r="C97" s="10" t="str">
        <f>IFERROR(IF(LoanIsNotPaid*LoanIsGood,PaymentDate,""), "")</f>
        <v/>
      </c>
      <c r="D97" s="12" t="str">
        <f>IFERROR(IF(LoanIsNotPaid*LoanIsGood,LoanValue,""), "")</f>
        <v/>
      </c>
      <c r="E97" s="12" t="str">
        <f>IFERROR(IF(LoanIsNotPaid*LoanIsGood,MonthlyPayment,""), "")</f>
        <v/>
      </c>
      <c r="F97" s="12" t="str">
        <f>IFERROR(IF(LoanIsNotPaid*LoanIsGood,Principal,""), "")</f>
        <v/>
      </c>
      <c r="G97" s="12" t="str">
        <f>IFERROR(IF(LoanIsNotPaid*LoanIsGood,InterestAmt,""), "")</f>
        <v/>
      </c>
      <c r="H97" s="12" t="str">
        <f>IFERROR(IF(LoanIsNotPaid*LoanIsGood,EndingBalance,""), "")</f>
        <v/>
      </c>
    </row>
    <row r="98" spans="2:8" ht="20.149999999999999" customHeight="1">
      <c r="B98" s="9" t="str">
        <f>IFERROR(IF(LoanIsNotPaid*LoanIsGood,PaymentNumber,""), "")</f>
        <v/>
      </c>
      <c r="C98" s="10" t="str">
        <f>IFERROR(IF(LoanIsNotPaid*LoanIsGood,PaymentDate,""), "")</f>
        <v/>
      </c>
      <c r="D98" s="12" t="str">
        <f>IFERROR(IF(LoanIsNotPaid*LoanIsGood,LoanValue,""), "")</f>
        <v/>
      </c>
      <c r="E98" s="12" t="str">
        <f>IFERROR(IF(LoanIsNotPaid*LoanIsGood,MonthlyPayment,""), "")</f>
        <v/>
      </c>
      <c r="F98" s="12" t="str">
        <f>IFERROR(IF(LoanIsNotPaid*LoanIsGood,Principal,""), "")</f>
        <v/>
      </c>
      <c r="G98" s="12" t="str">
        <f>IFERROR(IF(LoanIsNotPaid*LoanIsGood,InterestAmt,""), "")</f>
        <v/>
      </c>
      <c r="H98" s="12" t="str">
        <f>IFERROR(IF(LoanIsNotPaid*LoanIsGood,EndingBalance,""), "")</f>
        <v/>
      </c>
    </row>
    <row r="99" spans="2:8" ht="20.149999999999999" customHeight="1">
      <c r="B99" s="9" t="str">
        <f>IFERROR(IF(LoanIsNotPaid*LoanIsGood,PaymentNumber,""), "")</f>
        <v/>
      </c>
      <c r="C99" s="10" t="str">
        <f>IFERROR(IF(LoanIsNotPaid*LoanIsGood,PaymentDate,""), "")</f>
        <v/>
      </c>
      <c r="D99" s="12" t="str">
        <f>IFERROR(IF(LoanIsNotPaid*LoanIsGood,LoanValue,""), "")</f>
        <v/>
      </c>
      <c r="E99" s="12" t="str">
        <f>IFERROR(IF(LoanIsNotPaid*LoanIsGood,MonthlyPayment,""), "")</f>
        <v/>
      </c>
      <c r="F99" s="12" t="str">
        <f>IFERROR(IF(LoanIsNotPaid*LoanIsGood,Principal,""), "")</f>
        <v/>
      </c>
      <c r="G99" s="12" t="str">
        <f>IFERROR(IF(LoanIsNotPaid*LoanIsGood,InterestAmt,""), "")</f>
        <v/>
      </c>
      <c r="H99" s="12" t="str">
        <f>IFERROR(IF(LoanIsNotPaid*LoanIsGood,EndingBalance,""), "")</f>
        <v/>
      </c>
    </row>
    <row r="100" spans="2:8" ht="20.149999999999999" customHeight="1">
      <c r="B100" s="9" t="str">
        <f>IFERROR(IF(LoanIsNotPaid*LoanIsGood,PaymentNumber,""), "")</f>
        <v/>
      </c>
      <c r="C100" s="10" t="str">
        <f>IFERROR(IF(LoanIsNotPaid*LoanIsGood,PaymentDate,""), "")</f>
        <v/>
      </c>
      <c r="D100" s="12" t="str">
        <f>IFERROR(IF(LoanIsNotPaid*LoanIsGood,LoanValue,""), "")</f>
        <v/>
      </c>
      <c r="E100" s="12" t="str">
        <f>IFERROR(IF(LoanIsNotPaid*LoanIsGood,MonthlyPayment,""), "")</f>
        <v/>
      </c>
      <c r="F100" s="12" t="str">
        <f>IFERROR(IF(LoanIsNotPaid*LoanIsGood,Principal,""), "")</f>
        <v/>
      </c>
      <c r="G100" s="12" t="str">
        <f>IFERROR(IF(LoanIsNotPaid*LoanIsGood,InterestAmt,""), "")</f>
        <v/>
      </c>
      <c r="H100" s="12" t="str">
        <f>IFERROR(IF(LoanIsNotPaid*LoanIsGood,EndingBalance,""), "")</f>
        <v/>
      </c>
    </row>
    <row r="101" spans="2:8" ht="20.149999999999999" customHeight="1">
      <c r="B101" s="9" t="str">
        <f>IFERROR(IF(LoanIsNotPaid*LoanIsGood,PaymentNumber,""), "")</f>
        <v/>
      </c>
      <c r="C101" s="10" t="str">
        <f>IFERROR(IF(LoanIsNotPaid*LoanIsGood,PaymentDate,""), "")</f>
        <v/>
      </c>
      <c r="D101" s="12" t="str">
        <f>IFERROR(IF(LoanIsNotPaid*LoanIsGood,LoanValue,""), "")</f>
        <v/>
      </c>
      <c r="E101" s="12" t="str">
        <f>IFERROR(IF(LoanIsNotPaid*LoanIsGood,MonthlyPayment,""), "")</f>
        <v/>
      </c>
      <c r="F101" s="12" t="str">
        <f>IFERROR(IF(LoanIsNotPaid*LoanIsGood,Principal,""), "")</f>
        <v/>
      </c>
      <c r="G101" s="12" t="str">
        <f>IFERROR(IF(LoanIsNotPaid*LoanIsGood,InterestAmt,""), "")</f>
        <v/>
      </c>
      <c r="H101" s="12" t="str">
        <f>IFERROR(IF(LoanIsNotPaid*LoanIsGood,EndingBalance,""), "")</f>
        <v/>
      </c>
    </row>
    <row r="102" spans="2:8" ht="20.149999999999999" customHeight="1">
      <c r="B102" s="9" t="str">
        <f>IFERROR(IF(LoanIsNotPaid*LoanIsGood,PaymentNumber,""), "")</f>
        <v/>
      </c>
      <c r="C102" s="10" t="str">
        <f>IFERROR(IF(LoanIsNotPaid*LoanIsGood,PaymentDate,""), "")</f>
        <v/>
      </c>
      <c r="D102" s="12" t="str">
        <f>IFERROR(IF(LoanIsNotPaid*LoanIsGood,LoanValue,""), "")</f>
        <v/>
      </c>
      <c r="E102" s="12" t="str">
        <f>IFERROR(IF(LoanIsNotPaid*LoanIsGood,MonthlyPayment,""), "")</f>
        <v/>
      </c>
      <c r="F102" s="12" t="str">
        <f>IFERROR(IF(LoanIsNotPaid*LoanIsGood,Principal,""), "")</f>
        <v/>
      </c>
      <c r="G102" s="12" t="str">
        <f>IFERROR(IF(LoanIsNotPaid*LoanIsGood,InterestAmt,""), "")</f>
        <v/>
      </c>
      <c r="H102" s="12" t="str">
        <f>IFERROR(IF(LoanIsNotPaid*LoanIsGood,EndingBalance,""), "")</f>
        <v/>
      </c>
    </row>
    <row r="103" spans="2:8" ht="20.149999999999999" customHeight="1">
      <c r="B103" s="9" t="str">
        <f>IFERROR(IF(LoanIsNotPaid*LoanIsGood,PaymentNumber,""), "")</f>
        <v/>
      </c>
      <c r="C103" s="10" t="str">
        <f>IFERROR(IF(LoanIsNotPaid*LoanIsGood,PaymentDate,""), "")</f>
        <v/>
      </c>
      <c r="D103" s="12" t="str">
        <f>IFERROR(IF(LoanIsNotPaid*LoanIsGood,LoanValue,""), "")</f>
        <v/>
      </c>
      <c r="E103" s="12" t="str">
        <f>IFERROR(IF(LoanIsNotPaid*LoanIsGood,MonthlyPayment,""), "")</f>
        <v/>
      </c>
      <c r="F103" s="12" t="str">
        <f>IFERROR(IF(LoanIsNotPaid*LoanIsGood,Principal,""), "")</f>
        <v/>
      </c>
      <c r="G103" s="12" t="str">
        <f>IFERROR(IF(LoanIsNotPaid*LoanIsGood,InterestAmt,""), "")</f>
        <v/>
      </c>
      <c r="H103" s="12" t="str">
        <f>IFERROR(IF(LoanIsNotPaid*LoanIsGood,EndingBalance,""), "")</f>
        <v/>
      </c>
    </row>
    <row r="104" spans="2:8" ht="20.149999999999999" customHeight="1">
      <c r="B104" s="9" t="str">
        <f>IFERROR(IF(LoanIsNotPaid*LoanIsGood,PaymentNumber,""), "")</f>
        <v/>
      </c>
      <c r="C104" s="10" t="str">
        <f>IFERROR(IF(LoanIsNotPaid*LoanIsGood,PaymentDate,""), "")</f>
        <v/>
      </c>
      <c r="D104" s="12" t="str">
        <f>IFERROR(IF(LoanIsNotPaid*LoanIsGood,LoanValue,""), "")</f>
        <v/>
      </c>
      <c r="E104" s="12" t="str">
        <f>IFERROR(IF(LoanIsNotPaid*LoanIsGood,MonthlyPayment,""), "")</f>
        <v/>
      </c>
      <c r="F104" s="12" t="str">
        <f>IFERROR(IF(LoanIsNotPaid*LoanIsGood,Principal,""), "")</f>
        <v/>
      </c>
      <c r="G104" s="12" t="str">
        <f>IFERROR(IF(LoanIsNotPaid*LoanIsGood,InterestAmt,""), "")</f>
        <v/>
      </c>
      <c r="H104" s="12" t="str">
        <f>IFERROR(IF(LoanIsNotPaid*LoanIsGood,EndingBalance,""), "")</f>
        <v/>
      </c>
    </row>
    <row r="105" spans="2:8" ht="20.149999999999999" customHeight="1">
      <c r="B105" s="9" t="str">
        <f>IFERROR(IF(LoanIsNotPaid*LoanIsGood,PaymentNumber,""), "")</f>
        <v/>
      </c>
      <c r="C105" s="10" t="str">
        <f>IFERROR(IF(LoanIsNotPaid*LoanIsGood,PaymentDate,""), "")</f>
        <v/>
      </c>
      <c r="D105" s="12" t="str">
        <f>IFERROR(IF(LoanIsNotPaid*LoanIsGood,LoanValue,""), "")</f>
        <v/>
      </c>
      <c r="E105" s="12" t="str">
        <f>IFERROR(IF(LoanIsNotPaid*LoanIsGood,MonthlyPayment,""), "")</f>
        <v/>
      </c>
      <c r="F105" s="12" t="str">
        <f>IFERROR(IF(LoanIsNotPaid*LoanIsGood,Principal,""), "")</f>
        <v/>
      </c>
      <c r="G105" s="12" t="str">
        <f>IFERROR(IF(LoanIsNotPaid*LoanIsGood,InterestAmt,""), "")</f>
        <v/>
      </c>
      <c r="H105" s="12" t="str">
        <f>IFERROR(IF(LoanIsNotPaid*LoanIsGood,EndingBalance,""), "")</f>
        <v/>
      </c>
    </row>
    <row r="106" spans="2:8" ht="20.149999999999999" customHeight="1">
      <c r="B106" s="9" t="str">
        <f>IFERROR(IF(LoanIsNotPaid*LoanIsGood,PaymentNumber,""), "")</f>
        <v/>
      </c>
      <c r="C106" s="10" t="str">
        <f>IFERROR(IF(LoanIsNotPaid*LoanIsGood,PaymentDate,""), "")</f>
        <v/>
      </c>
      <c r="D106" s="12" t="str">
        <f>IFERROR(IF(LoanIsNotPaid*LoanIsGood,LoanValue,""), "")</f>
        <v/>
      </c>
      <c r="E106" s="12" t="str">
        <f>IFERROR(IF(LoanIsNotPaid*LoanIsGood,MonthlyPayment,""), "")</f>
        <v/>
      </c>
      <c r="F106" s="12" t="str">
        <f>IFERROR(IF(LoanIsNotPaid*LoanIsGood,Principal,""), "")</f>
        <v/>
      </c>
      <c r="G106" s="12" t="str">
        <f>IFERROR(IF(LoanIsNotPaid*LoanIsGood,InterestAmt,""), "")</f>
        <v/>
      </c>
      <c r="H106" s="12" t="str">
        <f>IFERROR(IF(LoanIsNotPaid*LoanIsGood,EndingBalance,""), "")</f>
        <v/>
      </c>
    </row>
    <row r="107" spans="2:8" ht="20.149999999999999" customHeight="1">
      <c r="B107" s="9" t="str">
        <f>IFERROR(IF(LoanIsNotPaid*LoanIsGood,PaymentNumber,""), "")</f>
        <v/>
      </c>
      <c r="C107" s="10" t="str">
        <f>IFERROR(IF(LoanIsNotPaid*LoanIsGood,PaymentDate,""), "")</f>
        <v/>
      </c>
      <c r="D107" s="12" t="str">
        <f>IFERROR(IF(LoanIsNotPaid*LoanIsGood,LoanValue,""), "")</f>
        <v/>
      </c>
      <c r="E107" s="12" t="str">
        <f>IFERROR(IF(LoanIsNotPaid*LoanIsGood,MonthlyPayment,""), "")</f>
        <v/>
      </c>
      <c r="F107" s="12" t="str">
        <f>IFERROR(IF(LoanIsNotPaid*LoanIsGood,Principal,""), "")</f>
        <v/>
      </c>
      <c r="G107" s="12" t="str">
        <f>IFERROR(IF(LoanIsNotPaid*LoanIsGood,InterestAmt,""), "")</f>
        <v/>
      </c>
      <c r="H107" s="12" t="str">
        <f>IFERROR(IF(LoanIsNotPaid*LoanIsGood,EndingBalance,""), "")</f>
        <v/>
      </c>
    </row>
    <row r="108" spans="2:8" ht="20.149999999999999" customHeight="1">
      <c r="B108" s="9" t="str">
        <f>IFERROR(IF(LoanIsNotPaid*LoanIsGood,PaymentNumber,""), "")</f>
        <v/>
      </c>
      <c r="C108" s="10" t="str">
        <f>IFERROR(IF(LoanIsNotPaid*LoanIsGood,PaymentDate,""), "")</f>
        <v/>
      </c>
      <c r="D108" s="12" t="str">
        <f>IFERROR(IF(LoanIsNotPaid*LoanIsGood,LoanValue,""), "")</f>
        <v/>
      </c>
      <c r="E108" s="12" t="str">
        <f>IFERROR(IF(LoanIsNotPaid*LoanIsGood,MonthlyPayment,""), "")</f>
        <v/>
      </c>
      <c r="F108" s="12" t="str">
        <f>IFERROR(IF(LoanIsNotPaid*LoanIsGood,Principal,""), "")</f>
        <v/>
      </c>
      <c r="G108" s="12" t="str">
        <f>IFERROR(IF(LoanIsNotPaid*LoanIsGood,InterestAmt,""), "")</f>
        <v/>
      </c>
      <c r="H108" s="12" t="str">
        <f>IFERROR(IF(LoanIsNotPaid*LoanIsGood,EndingBalance,""), "")</f>
        <v/>
      </c>
    </row>
    <row r="109" spans="2:8" ht="20.149999999999999" customHeight="1">
      <c r="B109" s="9" t="str">
        <f>IFERROR(IF(LoanIsNotPaid*LoanIsGood,PaymentNumber,""), "")</f>
        <v/>
      </c>
      <c r="C109" s="10" t="str">
        <f>IFERROR(IF(LoanIsNotPaid*LoanIsGood,PaymentDate,""), "")</f>
        <v/>
      </c>
      <c r="D109" s="12" t="str">
        <f>IFERROR(IF(LoanIsNotPaid*LoanIsGood,LoanValue,""), "")</f>
        <v/>
      </c>
      <c r="E109" s="12" t="str">
        <f>IFERROR(IF(LoanIsNotPaid*LoanIsGood,MonthlyPayment,""), "")</f>
        <v/>
      </c>
      <c r="F109" s="12" t="str">
        <f>IFERROR(IF(LoanIsNotPaid*LoanIsGood,Principal,""), "")</f>
        <v/>
      </c>
      <c r="G109" s="12" t="str">
        <f>IFERROR(IF(LoanIsNotPaid*LoanIsGood,InterestAmt,""), "")</f>
        <v/>
      </c>
      <c r="H109" s="12" t="str">
        <f>IFERROR(IF(LoanIsNotPaid*LoanIsGood,EndingBalance,""), "")</f>
        <v/>
      </c>
    </row>
    <row r="110" spans="2:8" ht="20.149999999999999" customHeight="1">
      <c r="B110" s="9" t="str">
        <f>IFERROR(IF(LoanIsNotPaid*LoanIsGood,PaymentNumber,""), "")</f>
        <v/>
      </c>
      <c r="C110" s="10" t="str">
        <f>IFERROR(IF(LoanIsNotPaid*LoanIsGood,PaymentDate,""), "")</f>
        <v/>
      </c>
      <c r="D110" s="12" t="str">
        <f>IFERROR(IF(LoanIsNotPaid*LoanIsGood,LoanValue,""), "")</f>
        <v/>
      </c>
      <c r="E110" s="12" t="str">
        <f>IFERROR(IF(LoanIsNotPaid*LoanIsGood,MonthlyPayment,""), "")</f>
        <v/>
      </c>
      <c r="F110" s="12" t="str">
        <f>IFERROR(IF(LoanIsNotPaid*LoanIsGood,Principal,""), "")</f>
        <v/>
      </c>
      <c r="G110" s="12" t="str">
        <f>IFERROR(IF(LoanIsNotPaid*LoanIsGood,InterestAmt,""), "")</f>
        <v/>
      </c>
      <c r="H110" s="12" t="str">
        <f>IFERROR(IF(LoanIsNotPaid*LoanIsGood,EndingBalance,""), "")</f>
        <v/>
      </c>
    </row>
    <row r="111" spans="2:8" ht="20.149999999999999" customHeight="1">
      <c r="B111" s="9" t="str">
        <f>IFERROR(IF(LoanIsNotPaid*LoanIsGood,PaymentNumber,""), "")</f>
        <v/>
      </c>
      <c r="C111" s="10" t="str">
        <f>IFERROR(IF(LoanIsNotPaid*LoanIsGood,PaymentDate,""), "")</f>
        <v/>
      </c>
      <c r="D111" s="12" t="str">
        <f>IFERROR(IF(LoanIsNotPaid*LoanIsGood,LoanValue,""), "")</f>
        <v/>
      </c>
      <c r="E111" s="12" t="str">
        <f>IFERROR(IF(LoanIsNotPaid*LoanIsGood,MonthlyPayment,""), "")</f>
        <v/>
      </c>
      <c r="F111" s="12" t="str">
        <f>IFERROR(IF(LoanIsNotPaid*LoanIsGood,Principal,""), "")</f>
        <v/>
      </c>
      <c r="G111" s="12" t="str">
        <f>IFERROR(IF(LoanIsNotPaid*LoanIsGood,InterestAmt,""), "")</f>
        <v/>
      </c>
      <c r="H111" s="12" t="str">
        <f>IFERROR(IF(LoanIsNotPaid*LoanIsGood,EndingBalance,""), "")</f>
        <v/>
      </c>
    </row>
    <row r="112" spans="2:8" ht="20.149999999999999" customHeight="1">
      <c r="B112" s="9" t="str">
        <f>IFERROR(IF(LoanIsNotPaid*LoanIsGood,PaymentNumber,""), "")</f>
        <v/>
      </c>
      <c r="C112" s="10" t="str">
        <f>IFERROR(IF(LoanIsNotPaid*LoanIsGood,PaymentDate,""), "")</f>
        <v/>
      </c>
      <c r="D112" s="12" t="str">
        <f>IFERROR(IF(LoanIsNotPaid*LoanIsGood,LoanValue,""), "")</f>
        <v/>
      </c>
      <c r="E112" s="12" t="str">
        <f>IFERROR(IF(LoanIsNotPaid*LoanIsGood,MonthlyPayment,""), "")</f>
        <v/>
      </c>
      <c r="F112" s="12" t="str">
        <f>IFERROR(IF(LoanIsNotPaid*LoanIsGood,Principal,""), "")</f>
        <v/>
      </c>
      <c r="G112" s="12" t="str">
        <f>IFERROR(IF(LoanIsNotPaid*LoanIsGood,InterestAmt,""), "")</f>
        <v/>
      </c>
      <c r="H112" s="12" t="str">
        <f>IFERROR(IF(LoanIsNotPaid*LoanIsGood,EndingBalance,""), "")</f>
        <v/>
      </c>
    </row>
    <row r="113" spans="2:8" ht="20.149999999999999" customHeight="1">
      <c r="B113" s="9" t="str">
        <f>IFERROR(IF(LoanIsNotPaid*LoanIsGood,PaymentNumber,""), "")</f>
        <v/>
      </c>
      <c r="C113" s="10" t="str">
        <f>IFERROR(IF(LoanIsNotPaid*LoanIsGood,PaymentDate,""), "")</f>
        <v/>
      </c>
      <c r="D113" s="12" t="str">
        <f>IFERROR(IF(LoanIsNotPaid*LoanIsGood,LoanValue,""), "")</f>
        <v/>
      </c>
      <c r="E113" s="12" t="str">
        <f>IFERROR(IF(LoanIsNotPaid*LoanIsGood,MonthlyPayment,""), "")</f>
        <v/>
      </c>
      <c r="F113" s="12" t="str">
        <f>IFERROR(IF(LoanIsNotPaid*LoanIsGood,Principal,""), "")</f>
        <v/>
      </c>
      <c r="G113" s="12" t="str">
        <f>IFERROR(IF(LoanIsNotPaid*LoanIsGood,InterestAmt,""), "")</f>
        <v/>
      </c>
      <c r="H113" s="12" t="str">
        <f>IFERROR(IF(LoanIsNotPaid*LoanIsGood,EndingBalance,""), "")</f>
        <v/>
      </c>
    </row>
    <row r="114" spans="2:8" ht="20.149999999999999" customHeight="1">
      <c r="B114" s="9" t="str">
        <f>IFERROR(IF(LoanIsNotPaid*LoanIsGood,PaymentNumber,""), "")</f>
        <v/>
      </c>
      <c r="C114" s="10" t="str">
        <f>IFERROR(IF(LoanIsNotPaid*LoanIsGood,PaymentDate,""), "")</f>
        <v/>
      </c>
      <c r="D114" s="12" t="str">
        <f>IFERROR(IF(LoanIsNotPaid*LoanIsGood,LoanValue,""), "")</f>
        <v/>
      </c>
      <c r="E114" s="12" t="str">
        <f>IFERROR(IF(LoanIsNotPaid*LoanIsGood,MonthlyPayment,""), "")</f>
        <v/>
      </c>
      <c r="F114" s="12" t="str">
        <f>IFERROR(IF(LoanIsNotPaid*LoanIsGood,Principal,""), "")</f>
        <v/>
      </c>
      <c r="G114" s="12" t="str">
        <f>IFERROR(IF(LoanIsNotPaid*LoanIsGood,InterestAmt,""), "")</f>
        <v/>
      </c>
      <c r="H114" s="12" t="str">
        <f>IFERROR(IF(LoanIsNotPaid*LoanIsGood,EndingBalance,""), "")</f>
        <v/>
      </c>
    </row>
    <row r="115" spans="2:8" ht="20.149999999999999" customHeight="1">
      <c r="B115" s="9" t="str">
        <f>IFERROR(IF(LoanIsNotPaid*LoanIsGood,PaymentNumber,""), "")</f>
        <v/>
      </c>
      <c r="C115" s="10" t="str">
        <f>IFERROR(IF(LoanIsNotPaid*LoanIsGood,PaymentDate,""), "")</f>
        <v/>
      </c>
      <c r="D115" s="12" t="str">
        <f>IFERROR(IF(LoanIsNotPaid*LoanIsGood,LoanValue,""), "")</f>
        <v/>
      </c>
      <c r="E115" s="12" t="str">
        <f>IFERROR(IF(LoanIsNotPaid*LoanIsGood,MonthlyPayment,""), "")</f>
        <v/>
      </c>
      <c r="F115" s="12" t="str">
        <f>IFERROR(IF(LoanIsNotPaid*LoanIsGood,Principal,""), "")</f>
        <v/>
      </c>
      <c r="G115" s="12" t="str">
        <f>IFERROR(IF(LoanIsNotPaid*LoanIsGood,InterestAmt,""), "")</f>
        <v/>
      </c>
      <c r="H115" s="12" t="str">
        <f>IFERROR(IF(LoanIsNotPaid*LoanIsGood,EndingBalance,""), "")</f>
        <v/>
      </c>
    </row>
    <row r="116" spans="2:8" ht="20.149999999999999" customHeight="1">
      <c r="B116" s="9" t="str">
        <f>IFERROR(IF(LoanIsNotPaid*LoanIsGood,PaymentNumber,""), "")</f>
        <v/>
      </c>
      <c r="C116" s="10" t="str">
        <f>IFERROR(IF(LoanIsNotPaid*LoanIsGood,PaymentDate,""), "")</f>
        <v/>
      </c>
      <c r="D116" s="12" t="str">
        <f>IFERROR(IF(LoanIsNotPaid*LoanIsGood,LoanValue,""), "")</f>
        <v/>
      </c>
      <c r="E116" s="12" t="str">
        <f>IFERROR(IF(LoanIsNotPaid*LoanIsGood,MonthlyPayment,""), "")</f>
        <v/>
      </c>
      <c r="F116" s="12" t="str">
        <f>IFERROR(IF(LoanIsNotPaid*LoanIsGood,Principal,""), "")</f>
        <v/>
      </c>
      <c r="G116" s="12" t="str">
        <f>IFERROR(IF(LoanIsNotPaid*LoanIsGood,InterestAmt,""), "")</f>
        <v/>
      </c>
      <c r="H116" s="12" t="str">
        <f>IFERROR(IF(LoanIsNotPaid*LoanIsGood,EndingBalance,""), "")</f>
        <v/>
      </c>
    </row>
    <row r="117" spans="2:8" ht="20.149999999999999" customHeight="1">
      <c r="B117" s="9" t="str">
        <f>IFERROR(IF(LoanIsNotPaid*LoanIsGood,PaymentNumber,""), "")</f>
        <v/>
      </c>
      <c r="C117" s="10" t="str">
        <f>IFERROR(IF(LoanIsNotPaid*LoanIsGood,PaymentDate,""), "")</f>
        <v/>
      </c>
      <c r="D117" s="12" t="str">
        <f>IFERROR(IF(LoanIsNotPaid*LoanIsGood,LoanValue,""), "")</f>
        <v/>
      </c>
      <c r="E117" s="12" t="str">
        <f>IFERROR(IF(LoanIsNotPaid*LoanIsGood,MonthlyPayment,""), "")</f>
        <v/>
      </c>
      <c r="F117" s="12" t="str">
        <f>IFERROR(IF(LoanIsNotPaid*LoanIsGood,Principal,""), "")</f>
        <v/>
      </c>
      <c r="G117" s="12" t="str">
        <f>IFERROR(IF(LoanIsNotPaid*LoanIsGood,InterestAmt,""), "")</f>
        <v/>
      </c>
      <c r="H117" s="12" t="str">
        <f>IFERROR(IF(LoanIsNotPaid*LoanIsGood,EndingBalance,""), "")</f>
        <v/>
      </c>
    </row>
    <row r="118" spans="2:8" ht="20.149999999999999" customHeight="1">
      <c r="B118" s="9" t="str">
        <f>IFERROR(IF(LoanIsNotPaid*LoanIsGood,PaymentNumber,""), "")</f>
        <v/>
      </c>
      <c r="C118" s="10" t="str">
        <f>IFERROR(IF(LoanIsNotPaid*LoanIsGood,PaymentDate,""), "")</f>
        <v/>
      </c>
      <c r="D118" s="12" t="str">
        <f>IFERROR(IF(LoanIsNotPaid*LoanIsGood,LoanValue,""), "")</f>
        <v/>
      </c>
      <c r="E118" s="12" t="str">
        <f>IFERROR(IF(LoanIsNotPaid*LoanIsGood,MonthlyPayment,""), "")</f>
        <v/>
      </c>
      <c r="F118" s="12" t="str">
        <f>IFERROR(IF(LoanIsNotPaid*LoanIsGood,Principal,""), "")</f>
        <v/>
      </c>
      <c r="G118" s="12" t="str">
        <f>IFERROR(IF(LoanIsNotPaid*LoanIsGood,InterestAmt,""), "")</f>
        <v/>
      </c>
      <c r="H118" s="12" t="str">
        <f>IFERROR(IF(LoanIsNotPaid*LoanIsGood,EndingBalance,""), "")</f>
        <v/>
      </c>
    </row>
    <row r="119" spans="2:8" ht="20.149999999999999" customHeight="1">
      <c r="B119" s="9" t="str">
        <f>IFERROR(IF(LoanIsNotPaid*LoanIsGood,PaymentNumber,""), "")</f>
        <v/>
      </c>
      <c r="C119" s="10" t="str">
        <f>IFERROR(IF(LoanIsNotPaid*LoanIsGood,PaymentDate,""), "")</f>
        <v/>
      </c>
      <c r="D119" s="12" t="str">
        <f>IFERROR(IF(LoanIsNotPaid*LoanIsGood,LoanValue,""), "")</f>
        <v/>
      </c>
      <c r="E119" s="12" t="str">
        <f>IFERROR(IF(LoanIsNotPaid*LoanIsGood,MonthlyPayment,""), "")</f>
        <v/>
      </c>
      <c r="F119" s="12" t="str">
        <f>IFERROR(IF(LoanIsNotPaid*LoanIsGood,Principal,""), "")</f>
        <v/>
      </c>
      <c r="G119" s="12" t="str">
        <f>IFERROR(IF(LoanIsNotPaid*LoanIsGood,InterestAmt,""), "")</f>
        <v/>
      </c>
      <c r="H119" s="12" t="str">
        <f>IFERROR(IF(LoanIsNotPaid*LoanIsGood,EndingBalance,""), "")</f>
        <v/>
      </c>
    </row>
    <row r="120" spans="2:8" ht="20.149999999999999" customHeight="1">
      <c r="B120" s="9" t="str">
        <f>IFERROR(IF(LoanIsNotPaid*LoanIsGood,PaymentNumber,""), "")</f>
        <v/>
      </c>
      <c r="C120" s="10" t="str">
        <f>IFERROR(IF(LoanIsNotPaid*LoanIsGood,PaymentDate,""), "")</f>
        <v/>
      </c>
      <c r="D120" s="12" t="str">
        <f>IFERROR(IF(LoanIsNotPaid*LoanIsGood,LoanValue,""), "")</f>
        <v/>
      </c>
      <c r="E120" s="12" t="str">
        <f>IFERROR(IF(LoanIsNotPaid*LoanIsGood,MonthlyPayment,""), "")</f>
        <v/>
      </c>
      <c r="F120" s="12" t="str">
        <f>IFERROR(IF(LoanIsNotPaid*LoanIsGood,Principal,""), "")</f>
        <v/>
      </c>
      <c r="G120" s="12" t="str">
        <f>IFERROR(IF(LoanIsNotPaid*LoanIsGood,InterestAmt,""), "")</f>
        <v/>
      </c>
      <c r="H120" s="12" t="str">
        <f>IFERROR(IF(LoanIsNotPaid*LoanIsGood,EndingBalance,""), "")</f>
        <v/>
      </c>
    </row>
    <row r="121" spans="2:8" ht="20.149999999999999" customHeight="1">
      <c r="B121" s="9" t="str">
        <f>IFERROR(IF(LoanIsNotPaid*LoanIsGood,PaymentNumber,""), "")</f>
        <v/>
      </c>
      <c r="C121" s="10" t="str">
        <f>IFERROR(IF(LoanIsNotPaid*LoanIsGood,PaymentDate,""), "")</f>
        <v/>
      </c>
      <c r="D121" s="12" t="str">
        <f>IFERROR(IF(LoanIsNotPaid*LoanIsGood,LoanValue,""), "")</f>
        <v/>
      </c>
      <c r="E121" s="12" t="str">
        <f>IFERROR(IF(LoanIsNotPaid*LoanIsGood,MonthlyPayment,""), "")</f>
        <v/>
      </c>
      <c r="F121" s="12" t="str">
        <f>IFERROR(IF(LoanIsNotPaid*LoanIsGood,Principal,""), "")</f>
        <v/>
      </c>
      <c r="G121" s="12" t="str">
        <f>IFERROR(IF(LoanIsNotPaid*LoanIsGood,InterestAmt,""), "")</f>
        <v/>
      </c>
      <c r="H121" s="12" t="str">
        <f>IFERROR(IF(LoanIsNotPaid*LoanIsGood,EndingBalance,""), "")</f>
        <v/>
      </c>
    </row>
    <row r="122" spans="2:8" ht="20.149999999999999" customHeight="1">
      <c r="B122" s="9" t="str">
        <f>IFERROR(IF(LoanIsNotPaid*LoanIsGood,PaymentNumber,""), "")</f>
        <v/>
      </c>
      <c r="C122" s="10" t="str">
        <f>IFERROR(IF(LoanIsNotPaid*LoanIsGood,PaymentDate,""), "")</f>
        <v/>
      </c>
      <c r="D122" s="12" t="str">
        <f>IFERROR(IF(LoanIsNotPaid*LoanIsGood,LoanValue,""), "")</f>
        <v/>
      </c>
      <c r="E122" s="12" t="str">
        <f>IFERROR(IF(LoanIsNotPaid*LoanIsGood,MonthlyPayment,""), "")</f>
        <v/>
      </c>
      <c r="F122" s="12" t="str">
        <f>IFERROR(IF(LoanIsNotPaid*LoanIsGood,Principal,""), "")</f>
        <v/>
      </c>
      <c r="G122" s="12" t="str">
        <f>IFERROR(IF(LoanIsNotPaid*LoanIsGood,InterestAmt,""), "")</f>
        <v/>
      </c>
      <c r="H122" s="12" t="str">
        <f>IFERROR(IF(LoanIsNotPaid*LoanIsGood,EndingBalance,""), "")</f>
        <v/>
      </c>
    </row>
    <row r="123" spans="2:8" ht="20.149999999999999" customHeight="1">
      <c r="B123" s="9" t="str">
        <f>IFERROR(IF(LoanIsNotPaid*LoanIsGood,PaymentNumber,""), "")</f>
        <v/>
      </c>
      <c r="C123" s="10" t="str">
        <f>IFERROR(IF(LoanIsNotPaid*LoanIsGood,PaymentDate,""), "")</f>
        <v/>
      </c>
      <c r="D123" s="12" t="str">
        <f>IFERROR(IF(LoanIsNotPaid*LoanIsGood,LoanValue,""), "")</f>
        <v/>
      </c>
      <c r="E123" s="12" t="str">
        <f>IFERROR(IF(LoanIsNotPaid*LoanIsGood,MonthlyPayment,""), "")</f>
        <v/>
      </c>
      <c r="F123" s="12" t="str">
        <f>IFERROR(IF(LoanIsNotPaid*LoanIsGood,Principal,""), "")</f>
        <v/>
      </c>
      <c r="G123" s="12" t="str">
        <f>IFERROR(IF(LoanIsNotPaid*LoanIsGood,InterestAmt,""), "")</f>
        <v/>
      </c>
      <c r="H123" s="12" t="str">
        <f>IFERROR(IF(LoanIsNotPaid*LoanIsGood,EndingBalance,""), "")</f>
        <v/>
      </c>
    </row>
    <row r="124" spans="2:8" ht="20.149999999999999" customHeight="1">
      <c r="B124" s="9" t="str">
        <f>IFERROR(IF(LoanIsNotPaid*LoanIsGood,PaymentNumber,""), "")</f>
        <v/>
      </c>
      <c r="C124" s="10" t="str">
        <f>IFERROR(IF(LoanIsNotPaid*LoanIsGood,PaymentDate,""), "")</f>
        <v/>
      </c>
      <c r="D124" s="12" t="str">
        <f>IFERROR(IF(LoanIsNotPaid*LoanIsGood,LoanValue,""), "")</f>
        <v/>
      </c>
      <c r="E124" s="12" t="str">
        <f>IFERROR(IF(LoanIsNotPaid*LoanIsGood,MonthlyPayment,""), "")</f>
        <v/>
      </c>
      <c r="F124" s="12" t="str">
        <f>IFERROR(IF(LoanIsNotPaid*LoanIsGood,Principal,""), "")</f>
        <v/>
      </c>
      <c r="G124" s="12" t="str">
        <f>IFERROR(IF(LoanIsNotPaid*LoanIsGood,InterestAmt,""), "")</f>
        <v/>
      </c>
      <c r="H124" s="12" t="str">
        <f>IFERROR(IF(LoanIsNotPaid*LoanIsGood,EndingBalance,""), "")</f>
        <v/>
      </c>
    </row>
    <row r="125" spans="2:8" ht="20.149999999999999" customHeight="1">
      <c r="B125" s="9" t="str">
        <f>IFERROR(IF(LoanIsNotPaid*LoanIsGood,PaymentNumber,""), "")</f>
        <v/>
      </c>
      <c r="C125" s="10" t="str">
        <f>IFERROR(IF(LoanIsNotPaid*LoanIsGood,PaymentDate,""), "")</f>
        <v/>
      </c>
      <c r="D125" s="12" t="str">
        <f>IFERROR(IF(LoanIsNotPaid*LoanIsGood,LoanValue,""), "")</f>
        <v/>
      </c>
      <c r="E125" s="12" t="str">
        <f>IFERROR(IF(LoanIsNotPaid*LoanIsGood,MonthlyPayment,""), "")</f>
        <v/>
      </c>
      <c r="F125" s="12" t="str">
        <f>IFERROR(IF(LoanIsNotPaid*LoanIsGood,Principal,""), "")</f>
        <v/>
      </c>
      <c r="G125" s="12" t="str">
        <f>IFERROR(IF(LoanIsNotPaid*LoanIsGood,InterestAmt,""), "")</f>
        <v/>
      </c>
      <c r="H125" s="12" t="str">
        <f>IFERROR(IF(LoanIsNotPaid*LoanIsGood,EndingBalance,""), "")</f>
        <v/>
      </c>
    </row>
    <row r="126" spans="2:8" ht="20.149999999999999" customHeight="1">
      <c r="B126" s="9" t="str">
        <f>IFERROR(IF(LoanIsNotPaid*LoanIsGood,PaymentNumber,""), "")</f>
        <v/>
      </c>
      <c r="C126" s="10" t="str">
        <f>IFERROR(IF(LoanIsNotPaid*LoanIsGood,PaymentDate,""), "")</f>
        <v/>
      </c>
      <c r="D126" s="12" t="str">
        <f>IFERROR(IF(LoanIsNotPaid*LoanIsGood,LoanValue,""), "")</f>
        <v/>
      </c>
      <c r="E126" s="12" t="str">
        <f>IFERROR(IF(LoanIsNotPaid*LoanIsGood,MonthlyPayment,""), "")</f>
        <v/>
      </c>
      <c r="F126" s="12" t="str">
        <f>IFERROR(IF(LoanIsNotPaid*LoanIsGood,Principal,""), "")</f>
        <v/>
      </c>
      <c r="G126" s="12" t="str">
        <f>IFERROR(IF(LoanIsNotPaid*LoanIsGood,InterestAmt,""), "")</f>
        <v/>
      </c>
      <c r="H126" s="12" t="str">
        <f>IFERROR(IF(LoanIsNotPaid*LoanIsGood,EndingBalance,""), "")</f>
        <v/>
      </c>
    </row>
    <row r="127" spans="2:8" ht="20.149999999999999" customHeight="1">
      <c r="B127" s="9" t="str">
        <f>IFERROR(IF(LoanIsNotPaid*LoanIsGood,PaymentNumber,""), "")</f>
        <v/>
      </c>
      <c r="C127" s="10" t="str">
        <f>IFERROR(IF(LoanIsNotPaid*LoanIsGood,PaymentDate,""), "")</f>
        <v/>
      </c>
      <c r="D127" s="12" t="str">
        <f>IFERROR(IF(LoanIsNotPaid*LoanIsGood,LoanValue,""), "")</f>
        <v/>
      </c>
      <c r="E127" s="12" t="str">
        <f>IFERROR(IF(LoanIsNotPaid*LoanIsGood,MonthlyPayment,""), "")</f>
        <v/>
      </c>
      <c r="F127" s="12" t="str">
        <f>IFERROR(IF(LoanIsNotPaid*LoanIsGood,Principal,""), "")</f>
        <v/>
      </c>
      <c r="G127" s="12" t="str">
        <f>IFERROR(IF(LoanIsNotPaid*LoanIsGood,InterestAmt,""), "")</f>
        <v/>
      </c>
      <c r="H127" s="12" t="str">
        <f>IFERROR(IF(LoanIsNotPaid*LoanIsGood,EndingBalance,""), "")</f>
        <v/>
      </c>
    </row>
    <row r="128" spans="2:8" ht="20.149999999999999" customHeight="1">
      <c r="B128" s="9" t="str">
        <f>IFERROR(IF(LoanIsNotPaid*LoanIsGood,PaymentNumber,""), "")</f>
        <v/>
      </c>
      <c r="C128" s="10" t="str">
        <f>IFERROR(IF(LoanIsNotPaid*LoanIsGood,PaymentDate,""), "")</f>
        <v/>
      </c>
      <c r="D128" s="12" t="str">
        <f>IFERROR(IF(LoanIsNotPaid*LoanIsGood,LoanValue,""), "")</f>
        <v/>
      </c>
      <c r="E128" s="12" t="str">
        <f>IFERROR(IF(LoanIsNotPaid*LoanIsGood,MonthlyPayment,""), "")</f>
        <v/>
      </c>
      <c r="F128" s="12" t="str">
        <f>IFERROR(IF(LoanIsNotPaid*LoanIsGood,Principal,""), "")</f>
        <v/>
      </c>
      <c r="G128" s="12" t="str">
        <f>IFERROR(IF(LoanIsNotPaid*LoanIsGood,InterestAmt,""), "")</f>
        <v/>
      </c>
      <c r="H128" s="12" t="str">
        <f>IFERROR(IF(LoanIsNotPaid*LoanIsGood,EndingBalance,""), "")</f>
        <v/>
      </c>
    </row>
    <row r="129" spans="2:8" ht="20.149999999999999" customHeight="1">
      <c r="B129" s="9" t="str">
        <f>IFERROR(IF(LoanIsNotPaid*LoanIsGood,PaymentNumber,""), "")</f>
        <v/>
      </c>
      <c r="C129" s="10" t="str">
        <f>IFERROR(IF(LoanIsNotPaid*LoanIsGood,PaymentDate,""), "")</f>
        <v/>
      </c>
      <c r="D129" s="12" t="str">
        <f>IFERROR(IF(LoanIsNotPaid*LoanIsGood,LoanValue,""), "")</f>
        <v/>
      </c>
      <c r="E129" s="12" t="str">
        <f>IFERROR(IF(LoanIsNotPaid*LoanIsGood,MonthlyPayment,""), "")</f>
        <v/>
      </c>
      <c r="F129" s="12" t="str">
        <f>IFERROR(IF(LoanIsNotPaid*LoanIsGood,Principal,""), "")</f>
        <v/>
      </c>
      <c r="G129" s="12" t="str">
        <f>IFERROR(IF(LoanIsNotPaid*LoanIsGood,InterestAmt,""), "")</f>
        <v/>
      </c>
      <c r="H129" s="12" t="str">
        <f>IFERROR(IF(LoanIsNotPaid*LoanIsGood,EndingBalance,""), "")</f>
        <v/>
      </c>
    </row>
    <row r="130" spans="2:8" ht="20.149999999999999" customHeight="1">
      <c r="B130" s="9" t="str">
        <f>IFERROR(IF(LoanIsNotPaid*LoanIsGood,PaymentNumber,""), "")</f>
        <v/>
      </c>
      <c r="C130" s="10" t="str">
        <f>IFERROR(IF(LoanIsNotPaid*LoanIsGood,PaymentDate,""), "")</f>
        <v/>
      </c>
      <c r="D130" s="12" t="str">
        <f>IFERROR(IF(LoanIsNotPaid*LoanIsGood,LoanValue,""), "")</f>
        <v/>
      </c>
      <c r="E130" s="12" t="str">
        <f>IFERROR(IF(LoanIsNotPaid*LoanIsGood,MonthlyPayment,""), "")</f>
        <v/>
      </c>
      <c r="F130" s="12" t="str">
        <f>IFERROR(IF(LoanIsNotPaid*LoanIsGood,Principal,""), "")</f>
        <v/>
      </c>
      <c r="G130" s="12" t="str">
        <f>IFERROR(IF(LoanIsNotPaid*LoanIsGood,InterestAmt,""), "")</f>
        <v/>
      </c>
      <c r="H130" s="12" t="str">
        <f>IFERROR(IF(LoanIsNotPaid*LoanIsGood,EndingBalance,""), "")</f>
        <v/>
      </c>
    </row>
    <row r="131" spans="2:8" ht="20.149999999999999" customHeight="1">
      <c r="B131" s="9" t="str">
        <f>IFERROR(IF(LoanIsNotPaid*LoanIsGood,PaymentNumber,""), "")</f>
        <v/>
      </c>
      <c r="C131" s="10" t="str">
        <f>IFERROR(IF(LoanIsNotPaid*LoanIsGood,PaymentDate,""), "")</f>
        <v/>
      </c>
      <c r="D131" s="12" t="str">
        <f>IFERROR(IF(LoanIsNotPaid*LoanIsGood,LoanValue,""), "")</f>
        <v/>
      </c>
      <c r="E131" s="12" t="str">
        <f>IFERROR(IF(LoanIsNotPaid*LoanIsGood,MonthlyPayment,""), "")</f>
        <v/>
      </c>
      <c r="F131" s="12" t="str">
        <f>IFERROR(IF(LoanIsNotPaid*LoanIsGood,Principal,""), "")</f>
        <v/>
      </c>
      <c r="G131" s="12" t="str">
        <f>IFERROR(IF(LoanIsNotPaid*LoanIsGood,InterestAmt,""), "")</f>
        <v/>
      </c>
      <c r="H131" s="12" t="str">
        <f>IFERROR(IF(LoanIsNotPaid*LoanIsGood,EndingBalance,""), "")</f>
        <v/>
      </c>
    </row>
    <row r="132" spans="2:8" ht="20.149999999999999" customHeight="1">
      <c r="B132" s="9" t="str">
        <f>IFERROR(IF(LoanIsNotPaid*LoanIsGood,PaymentNumber,""), "")</f>
        <v/>
      </c>
      <c r="C132" s="10" t="str">
        <f>IFERROR(IF(LoanIsNotPaid*LoanIsGood,PaymentDate,""), "")</f>
        <v/>
      </c>
      <c r="D132" s="12" t="str">
        <f>IFERROR(IF(LoanIsNotPaid*LoanIsGood,LoanValue,""), "")</f>
        <v/>
      </c>
      <c r="E132" s="12" t="str">
        <f>IFERROR(IF(LoanIsNotPaid*LoanIsGood,MonthlyPayment,""), "")</f>
        <v/>
      </c>
      <c r="F132" s="12" t="str">
        <f>IFERROR(IF(LoanIsNotPaid*LoanIsGood,Principal,""), "")</f>
        <v/>
      </c>
      <c r="G132" s="12" t="str">
        <f>IFERROR(IF(LoanIsNotPaid*LoanIsGood,InterestAmt,""), "")</f>
        <v/>
      </c>
      <c r="H132" s="12" t="str">
        <f>IFERROR(IF(LoanIsNotPaid*LoanIsGood,EndingBalance,""), "")</f>
        <v/>
      </c>
    </row>
    <row r="133" spans="2:8" ht="20.149999999999999" customHeight="1">
      <c r="B133" s="9" t="str">
        <f>IFERROR(IF(LoanIsNotPaid*LoanIsGood,PaymentNumber,""), "")</f>
        <v/>
      </c>
      <c r="C133" s="10" t="str">
        <f>IFERROR(IF(LoanIsNotPaid*LoanIsGood,PaymentDate,""), "")</f>
        <v/>
      </c>
      <c r="D133" s="12" t="str">
        <f>IFERROR(IF(LoanIsNotPaid*LoanIsGood,LoanValue,""), "")</f>
        <v/>
      </c>
      <c r="E133" s="12" t="str">
        <f>IFERROR(IF(LoanIsNotPaid*LoanIsGood,MonthlyPayment,""), "")</f>
        <v/>
      </c>
      <c r="F133" s="12" t="str">
        <f>IFERROR(IF(LoanIsNotPaid*LoanIsGood,Principal,""), "")</f>
        <v/>
      </c>
      <c r="G133" s="12" t="str">
        <f>IFERROR(IF(LoanIsNotPaid*LoanIsGood,InterestAmt,""), "")</f>
        <v/>
      </c>
      <c r="H133" s="12" t="str">
        <f>IFERROR(IF(LoanIsNotPaid*LoanIsGood,EndingBalance,""), "")</f>
        <v/>
      </c>
    </row>
    <row r="134" spans="2:8" ht="20.149999999999999" customHeight="1">
      <c r="B134" s="9" t="str">
        <f>IFERROR(IF(LoanIsNotPaid*LoanIsGood,PaymentNumber,""), "")</f>
        <v/>
      </c>
      <c r="C134" s="10" t="str">
        <f>IFERROR(IF(LoanIsNotPaid*LoanIsGood,PaymentDate,""), "")</f>
        <v/>
      </c>
      <c r="D134" s="12" t="str">
        <f>IFERROR(IF(LoanIsNotPaid*LoanIsGood,LoanValue,""), "")</f>
        <v/>
      </c>
      <c r="E134" s="12" t="str">
        <f>IFERROR(IF(LoanIsNotPaid*LoanIsGood,MonthlyPayment,""), "")</f>
        <v/>
      </c>
      <c r="F134" s="12" t="str">
        <f>IFERROR(IF(LoanIsNotPaid*LoanIsGood,Principal,""), "")</f>
        <v/>
      </c>
      <c r="G134" s="12" t="str">
        <f>IFERROR(IF(LoanIsNotPaid*LoanIsGood,InterestAmt,""), "")</f>
        <v/>
      </c>
      <c r="H134" s="12" t="str">
        <f>IFERROR(IF(LoanIsNotPaid*LoanIsGood,EndingBalance,""), "")</f>
        <v/>
      </c>
    </row>
    <row r="135" spans="2:8" ht="20.149999999999999" customHeight="1">
      <c r="B135" s="9" t="str">
        <f>IFERROR(IF(LoanIsNotPaid*LoanIsGood,PaymentNumber,""), "")</f>
        <v/>
      </c>
      <c r="C135" s="10" t="str">
        <f>IFERROR(IF(LoanIsNotPaid*LoanIsGood,PaymentDate,""), "")</f>
        <v/>
      </c>
      <c r="D135" s="12" t="str">
        <f>IFERROR(IF(LoanIsNotPaid*LoanIsGood,LoanValue,""), "")</f>
        <v/>
      </c>
      <c r="E135" s="12" t="str">
        <f>IFERROR(IF(LoanIsNotPaid*LoanIsGood,MonthlyPayment,""), "")</f>
        <v/>
      </c>
      <c r="F135" s="12" t="str">
        <f>IFERROR(IF(LoanIsNotPaid*LoanIsGood,Principal,""), "")</f>
        <v/>
      </c>
      <c r="G135" s="12" t="str">
        <f>IFERROR(IF(LoanIsNotPaid*LoanIsGood,InterestAmt,""), "")</f>
        <v/>
      </c>
      <c r="H135" s="12" t="str">
        <f>IFERROR(IF(LoanIsNotPaid*LoanIsGood,EndingBalance,""), "")</f>
        <v/>
      </c>
    </row>
    <row r="136" spans="2:8" ht="20.149999999999999" customHeight="1">
      <c r="B136" s="9" t="str">
        <f>IFERROR(IF(LoanIsNotPaid*LoanIsGood,PaymentNumber,""), "")</f>
        <v/>
      </c>
      <c r="C136" s="10" t="str">
        <f>IFERROR(IF(LoanIsNotPaid*LoanIsGood,PaymentDate,""), "")</f>
        <v/>
      </c>
      <c r="D136" s="12" t="str">
        <f>IFERROR(IF(LoanIsNotPaid*LoanIsGood,LoanValue,""), "")</f>
        <v/>
      </c>
      <c r="E136" s="12" t="str">
        <f>IFERROR(IF(LoanIsNotPaid*LoanIsGood,MonthlyPayment,""), "")</f>
        <v/>
      </c>
      <c r="F136" s="12" t="str">
        <f>IFERROR(IF(LoanIsNotPaid*LoanIsGood,Principal,""), "")</f>
        <v/>
      </c>
      <c r="G136" s="12" t="str">
        <f>IFERROR(IF(LoanIsNotPaid*LoanIsGood,InterestAmt,""), "")</f>
        <v/>
      </c>
      <c r="H136" s="12" t="str">
        <f>IFERROR(IF(LoanIsNotPaid*LoanIsGood,EndingBalance,""), "")</f>
        <v/>
      </c>
    </row>
    <row r="137" spans="2:8" ht="20.149999999999999" customHeight="1">
      <c r="B137" s="9" t="str">
        <f>IFERROR(IF(LoanIsNotPaid*LoanIsGood,PaymentNumber,""), "")</f>
        <v/>
      </c>
      <c r="C137" s="10" t="str">
        <f>IFERROR(IF(LoanIsNotPaid*LoanIsGood,PaymentDate,""), "")</f>
        <v/>
      </c>
      <c r="D137" s="12" t="str">
        <f>IFERROR(IF(LoanIsNotPaid*LoanIsGood,LoanValue,""), "")</f>
        <v/>
      </c>
      <c r="E137" s="12" t="str">
        <f>IFERROR(IF(LoanIsNotPaid*LoanIsGood,MonthlyPayment,""), "")</f>
        <v/>
      </c>
      <c r="F137" s="12" t="str">
        <f>IFERROR(IF(LoanIsNotPaid*LoanIsGood,Principal,""), "")</f>
        <v/>
      </c>
      <c r="G137" s="12" t="str">
        <f>IFERROR(IF(LoanIsNotPaid*LoanIsGood,InterestAmt,""), "")</f>
        <v/>
      </c>
      <c r="H137" s="12" t="str">
        <f>IFERROR(IF(LoanIsNotPaid*LoanIsGood,EndingBalance,""), "")</f>
        <v/>
      </c>
    </row>
    <row r="138" spans="2:8" ht="20.149999999999999" customHeight="1">
      <c r="B138" s="9" t="str">
        <f>IFERROR(IF(LoanIsNotPaid*LoanIsGood,PaymentNumber,""), "")</f>
        <v/>
      </c>
      <c r="C138" s="10" t="str">
        <f>IFERROR(IF(LoanIsNotPaid*LoanIsGood,PaymentDate,""), "")</f>
        <v/>
      </c>
      <c r="D138" s="12" t="str">
        <f>IFERROR(IF(LoanIsNotPaid*LoanIsGood,LoanValue,""), "")</f>
        <v/>
      </c>
      <c r="E138" s="12" t="str">
        <f>IFERROR(IF(LoanIsNotPaid*LoanIsGood,MonthlyPayment,""), "")</f>
        <v/>
      </c>
      <c r="F138" s="12" t="str">
        <f>IFERROR(IF(LoanIsNotPaid*LoanIsGood,Principal,""), "")</f>
        <v/>
      </c>
      <c r="G138" s="12" t="str">
        <f>IFERROR(IF(LoanIsNotPaid*LoanIsGood,InterestAmt,""), "")</f>
        <v/>
      </c>
      <c r="H138" s="12" t="str">
        <f>IFERROR(IF(LoanIsNotPaid*LoanIsGood,EndingBalance,""), "")</f>
        <v/>
      </c>
    </row>
    <row r="139" spans="2:8" ht="20.149999999999999" customHeight="1">
      <c r="B139" s="9" t="str">
        <f>IFERROR(IF(LoanIsNotPaid*LoanIsGood,PaymentNumber,""), "")</f>
        <v/>
      </c>
      <c r="C139" s="10" t="str">
        <f>IFERROR(IF(LoanIsNotPaid*LoanIsGood,PaymentDate,""), "")</f>
        <v/>
      </c>
      <c r="D139" s="12" t="str">
        <f>IFERROR(IF(LoanIsNotPaid*LoanIsGood,LoanValue,""), "")</f>
        <v/>
      </c>
      <c r="E139" s="12" t="str">
        <f>IFERROR(IF(LoanIsNotPaid*LoanIsGood,MonthlyPayment,""), "")</f>
        <v/>
      </c>
      <c r="F139" s="12" t="str">
        <f>IFERROR(IF(LoanIsNotPaid*LoanIsGood,Principal,""), "")</f>
        <v/>
      </c>
      <c r="G139" s="12" t="str">
        <f>IFERROR(IF(LoanIsNotPaid*LoanIsGood,InterestAmt,""), "")</f>
        <v/>
      </c>
      <c r="H139" s="12" t="str">
        <f>IFERROR(IF(LoanIsNotPaid*LoanIsGood,EndingBalance,""), "")</f>
        <v/>
      </c>
    </row>
    <row r="140" spans="2:8" ht="20.149999999999999" customHeight="1">
      <c r="B140" s="9" t="str">
        <f>IFERROR(IF(LoanIsNotPaid*LoanIsGood,PaymentNumber,""), "")</f>
        <v/>
      </c>
      <c r="C140" s="10" t="str">
        <f>IFERROR(IF(LoanIsNotPaid*LoanIsGood,PaymentDate,""), "")</f>
        <v/>
      </c>
      <c r="D140" s="12" t="str">
        <f>IFERROR(IF(LoanIsNotPaid*LoanIsGood,LoanValue,""), "")</f>
        <v/>
      </c>
      <c r="E140" s="12" t="str">
        <f>IFERROR(IF(LoanIsNotPaid*LoanIsGood,MonthlyPayment,""), "")</f>
        <v/>
      </c>
      <c r="F140" s="12" t="str">
        <f>IFERROR(IF(LoanIsNotPaid*LoanIsGood,Principal,""), "")</f>
        <v/>
      </c>
      <c r="G140" s="12" t="str">
        <f>IFERROR(IF(LoanIsNotPaid*LoanIsGood,InterestAmt,""), "")</f>
        <v/>
      </c>
      <c r="H140" s="12" t="str">
        <f>IFERROR(IF(LoanIsNotPaid*LoanIsGood,EndingBalance,""), "")</f>
        <v/>
      </c>
    </row>
    <row r="141" spans="2:8" ht="20.149999999999999" customHeight="1">
      <c r="B141" s="9" t="str">
        <f>IFERROR(IF(LoanIsNotPaid*LoanIsGood,PaymentNumber,""), "")</f>
        <v/>
      </c>
      <c r="C141" s="10" t="str">
        <f>IFERROR(IF(LoanIsNotPaid*LoanIsGood,PaymentDate,""), "")</f>
        <v/>
      </c>
      <c r="D141" s="12" t="str">
        <f>IFERROR(IF(LoanIsNotPaid*LoanIsGood,LoanValue,""), "")</f>
        <v/>
      </c>
      <c r="E141" s="12" t="str">
        <f>IFERROR(IF(LoanIsNotPaid*LoanIsGood,MonthlyPayment,""), "")</f>
        <v/>
      </c>
      <c r="F141" s="12" t="str">
        <f>IFERROR(IF(LoanIsNotPaid*LoanIsGood,Principal,""), "")</f>
        <v/>
      </c>
      <c r="G141" s="12" t="str">
        <f>IFERROR(IF(LoanIsNotPaid*LoanIsGood,InterestAmt,""), "")</f>
        <v/>
      </c>
      <c r="H141" s="12" t="str">
        <f>IFERROR(IF(LoanIsNotPaid*LoanIsGood,EndingBalance,""), "")</f>
        <v/>
      </c>
    </row>
    <row r="142" spans="2:8" ht="20.149999999999999" customHeight="1">
      <c r="B142" s="9" t="str">
        <f>IFERROR(IF(LoanIsNotPaid*LoanIsGood,PaymentNumber,""), "")</f>
        <v/>
      </c>
      <c r="C142" s="10" t="str">
        <f>IFERROR(IF(LoanIsNotPaid*LoanIsGood,PaymentDate,""), "")</f>
        <v/>
      </c>
      <c r="D142" s="12" t="str">
        <f>IFERROR(IF(LoanIsNotPaid*LoanIsGood,LoanValue,""), "")</f>
        <v/>
      </c>
      <c r="E142" s="12" t="str">
        <f>IFERROR(IF(LoanIsNotPaid*LoanIsGood,MonthlyPayment,""), "")</f>
        <v/>
      </c>
      <c r="F142" s="12" t="str">
        <f>IFERROR(IF(LoanIsNotPaid*LoanIsGood,Principal,""), "")</f>
        <v/>
      </c>
      <c r="G142" s="12" t="str">
        <f>IFERROR(IF(LoanIsNotPaid*LoanIsGood,InterestAmt,""), "")</f>
        <v/>
      </c>
      <c r="H142" s="12" t="str">
        <f>IFERROR(IF(LoanIsNotPaid*LoanIsGood,EndingBalance,""), "")</f>
        <v/>
      </c>
    </row>
    <row r="143" spans="2:8" ht="20.149999999999999" customHeight="1">
      <c r="B143" s="9" t="str">
        <f>IFERROR(IF(LoanIsNotPaid*LoanIsGood,PaymentNumber,""), "")</f>
        <v/>
      </c>
      <c r="C143" s="10" t="str">
        <f>IFERROR(IF(LoanIsNotPaid*LoanIsGood,PaymentDate,""), "")</f>
        <v/>
      </c>
      <c r="D143" s="12" t="str">
        <f>IFERROR(IF(LoanIsNotPaid*LoanIsGood,LoanValue,""), "")</f>
        <v/>
      </c>
      <c r="E143" s="12" t="str">
        <f>IFERROR(IF(LoanIsNotPaid*LoanIsGood,MonthlyPayment,""), "")</f>
        <v/>
      </c>
      <c r="F143" s="12" t="str">
        <f>IFERROR(IF(LoanIsNotPaid*LoanIsGood,Principal,""), "")</f>
        <v/>
      </c>
      <c r="G143" s="12" t="str">
        <f>IFERROR(IF(LoanIsNotPaid*LoanIsGood,InterestAmt,""), "")</f>
        <v/>
      </c>
      <c r="H143" s="12" t="str">
        <f>IFERROR(IF(LoanIsNotPaid*LoanIsGood,EndingBalance,""), "")</f>
        <v/>
      </c>
    </row>
    <row r="144" spans="2:8" ht="20.149999999999999" customHeight="1">
      <c r="B144" s="9" t="str">
        <f>IFERROR(IF(LoanIsNotPaid*LoanIsGood,PaymentNumber,""), "")</f>
        <v/>
      </c>
      <c r="C144" s="10" t="str">
        <f>IFERROR(IF(LoanIsNotPaid*LoanIsGood,PaymentDate,""), "")</f>
        <v/>
      </c>
      <c r="D144" s="12" t="str">
        <f>IFERROR(IF(LoanIsNotPaid*LoanIsGood,LoanValue,""), "")</f>
        <v/>
      </c>
      <c r="E144" s="12" t="str">
        <f>IFERROR(IF(LoanIsNotPaid*LoanIsGood,MonthlyPayment,""), "")</f>
        <v/>
      </c>
      <c r="F144" s="12" t="str">
        <f>IFERROR(IF(LoanIsNotPaid*LoanIsGood,Principal,""), "")</f>
        <v/>
      </c>
      <c r="G144" s="12" t="str">
        <f>IFERROR(IF(LoanIsNotPaid*LoanIsGood,InterestAmt,""), "")</f>
        <v/>
      </c>
      <c r="H144" s="12" t="str">
        <f>IFERROR(IF(LoanIsNotPaid*LoanIsGood,EndingBalance,""), "")</f>
        <v/>
      </c>
    </row>
    <row r="145" spans="2:8" ht="20.149999999999999" customHeight="1">
      <c r="B145" s="9" t="str">
        <f>IFERROR(IF(LoanIsNotPaid*LoanIsGood,PaymentNumber,""), "")</f>
        <v/>
      </c>
      <c r="C145" s="10" t="str">
        <f>IFERROR(IF(LoanIsNotPaid*LoanIsGood,PaymentDate,""), "")</f>
        <v/>
      </c>
      <c r="D145" s="12" t="str">
        <f>IFERROR(IF(LoanIsNotPaid*LoanIsGood,LoanValue,""), "")</f>
        <v/>
      </c>
      <c r="E145" s="12" t="str">
        <f>IFERROR(IF(LoanIsNotPaid*LoanIsGood,MonthlyPayment,""), "")</f>
        <v/>
      </c>
      <c r="F145" s="12" t="str">
        <f>IFERROR(IF(LoanIsNotPaid*LoanIsGood,Principal,""), "")</f>
        <v/>
      </c>
      <c r="G145" s="12" t="str">
        <f>IFERROR(IF(LoanIsNotPaid*LoanIsGood,InterestAmt,""), "")</f>
        <v/>
      </c>
      <c r="H145" s="12" t="str">
        <f>IFERROR(IF(LoanIsNotPaid*LoanIsGood,EndingBalance,""), "")</f>
        <v/>
      </c>
    </row>
    <row r="146" spans="2:8" ht="20.149999999999999" customHeight="1">
      <c r="B146" s="9" t="str">
        <f>IFERROR(IF(LoanIsNotPaid*LoanIsGood,PaymentNumber,""), "")</f>
        <v/>
      </c>
      <c r="C146" s="10" t="str">
        <f>IFERROR(IF(LoanIsNotPaid*LoanIsGood,PaymentDate,""), "")</f>
        <v/>
      </c>
      <c r="D146" s="12" t="str">
        <f>IFERROR(IF(LoanIsNotPaid*LoanIsGood,LoanValue,""), "")</f>
        <v/>
      </c>
      <c r="E146" s="12" t="str">
        <f>IFERROR(IF(LoanIsNotPaid*LoanIsGood,MonthlyPayment,""), "")</f>
        <v/>
      </c>
      <c r="F146" s="12" t="str">
        <f>IFERROR(IF(LoanIsNotPaid*LoanIsGood,Principal,""), "")</f>
        <v/>
      </c>
      <c r="G146" s="12" t="str">
        <f>IFERROR(IF(LoanIsNotPaid*LoanIsGood,InterestAmt,""), "")</f>
        <v/>
      </c>
      <c r="H146" s="12" t="str">
        <f>IFERROR(IF(LoanIsNotPaid*LoanIsGood,EndingBalance,""), "")</f>
        <v/>
      </c>
    </row>
    <row r="147" spans="2:8" ht="20.149999999999999" customHeight="1">
      <c r="B147" s="9" t="str">
        <f>IFERROR(IF(LoanIsNotPaid*LoanIsGood,PaymentNumber,""), "")</f>
        <v/>
      </c>
      <c r="C147" s="10" t="str">
        <f>IFERROR(IF(LoanIsNotPaid*LoanIsGood,PaymentDate,""), "")</f>
        <v/>
      </c>
      <c r="D147" s="12" t="str">
        <f>IFERROR(IF(LoanIsNotPaid*LoanIsGood,LoanValue,""), "")</f>
        <v/>
      </c>
      <c r="E147" s="12" t="str">
        <f>IFERROR(IF(LoanIsNotPaid*LoanIsGood,MonthlyPayment,""), "")</f>
        <v/>
      </c>
      <c r="F147" s="12" t="str">
        <f>IFERROR(IF(LoanIsNotPaid*LoanIsGood,Principal,""), "")</f>
        <v/>
      </c>
      <c r="G147" s="12" t="str">
        <f>IFERROR(IF(LoanIsNotPaid*LoanIsGood,InterestAmt,""), "")</f>
        <v/>
      </c>
      <c r="H147" s="12" t="str">
        <f>IFERROR(IF(LoanIsNotPaid*LoanIsGood,EndingBalance,""), "")</f>
        <v/>
      </c>
    </row>
    <row r="148" spans="2:8" ht="20.149999999999999" customHeight="1">
      <c r="B148" s="9" t="str">
        <f>IFERROR(IF(LoanIsNotPaid*LoanIsGood,PaymentNumber,""), "")</f>
        <v/>
      </c>
      <c r="C148" s="10" t="str">
        <f>IFERROR(IF(LoanIsNotPaid*LoanIsGood,PaymentDate,""), "")</f>
        <v/>
      </c>
      <c r="D148" s="12" t="str">
        <f>IFERROR(IF(LoanIsNotPaid*LoanIsGood,LoanValue,""), "")</f>
        <v/>
      </c>
      <c r="E148" s="12" t="str">
        <f>IFERROR(IF(LoanIsNotPaid*LoanIsGood,MonthlyPayment,""), "")</f>
        <v/>
      </c>
      <c r="F148" s="12" t="str">
        <f>IFERROR(IF(LoanIsNotPaid*LoanIsGood,Principal,""), "")</f>
        <v/>
      </c>
      <c r="G148" s="12" t="str">
        <f>IFERROR(IF(LoanIsNotPaid*LoanIsGood,InterestAmt,""), "")</f>
        <v/>
      </c>
      <c r="H148" s="12" t="str">
        <f>IFERROR(IF(LoanIsNotPaid*LoanIsGood,EndingBalance,""), "")</f>
        <v/>
      </c>
    </row>
    <row r="149" spans="2:8" ht="20.149999999999999" customHeight="1">
      <c r="B149" s="9" t="str">
        <f>IFERROR(IF(LoanIsNotPaid*LoanIsGood,PaymentNumber,""), "")</f>
        <v/>
      </c>
      <c r="C149" s="10" t="str">
        <f>IFERROR(IF(LoanIsNotPaid*LoanIsGood,PaymentDate,""), "")</f>
        <v/>
      </c>
      <c r="D149" s="12" t="str">
        <f>IFERROR(IF(LoanIsNotPaid*LoanIsGood,LoanValue,""), "")</f>
        <v/>
      </c>
      <c r="E149" s="12" t="str">
        <f>IFERROR(IF(LoanIsNotPaid*LoanIsGood,MonthlyPayment,""), "")</f>
        <v/>
      </c>
      <c r="F149" s="12" t="str">
        <f>IFERROR(IF(LoanIsNotPaid*LoanIsGood,Principal,""), "")</f>
        <v/>
      </c>
      <c r="G149" s="12" t="str">
        <f>IFERROR(IF(LoanIsNotPaid*LoanIsGood,InterestAmt,""), "")</f>
        <v/>
      </c>
      <c r="H149" s="12" t="str">
        <f>IFERROR(IF(LoanIsNotPaid*LoanIsGood,EndingBalance,""), "")</f>
        <v/>
      </c>
    </row>
    <row r="150" spans="2:8" ht="20.149999999999999" customHeight="1">
      <c r="B150" s="9" t="str">
        <f>IFERROR(IF(LoanIsNotPaid*LoanIsGood,PaymentNumber,""), "")</f>
        <v/>
      </c>
      <c r="C150" s="10" t="str">
        <f>IFERROR(IF(LoanIsNotPaid*LoanIsGood,PaymentDate,""), "")</f>
        <v/>
      </c>
      <c r="D150" s="12" t="str">
        <f>IFERROR(IF(LoanIsNotPaid*LoanIsGood,LoanValue,""), "")</f>
        <v/>
      </c>
      <c r="E150" s="12" t="str">
        <f>IFERROR(IF(LoanIsNotPaid*LoanIsGood,MonthlyPayment,""), "")</f>
        <v/>
      </c>
      <c r="F150" s="12" t="str">
        <f>IFERROR(IF(LoanIsNotPaid*LoanIsGood,Principal,""), "")</f>
        <v/>
      </c>
      <c r="G150" s="12" t="str">
        <f>IFERROR(IF(LoanIsNotPaid*LoanIsGood,InterestAmt,""), "")</f>
        <v/>
      </c>
      <c r="H150" s="12" t="str">
        <f>IFERROR(IF(LoanIsNotPaid*LoanIsGood,EndingBalance,""), "")</f>
        <v/>
      </c>
    </row>
    <row r="151" spans="2:8" ht="20.149999999999999" customHeight="1">
      <c r="B151" s="9" t="str">
        <f>IFERROR(IF(LoanIsNotPaid*LoanIsGood,PaymentNumber,""), "")</f>
        <v/>
      </c>
      <c r="C151" s="10" t="str">
        <f>IFERROR(IF(LoanIsNotPaid*LoanIsGood,PaymentDate,""), "")</f>
        <v/>
      </c>
      <c r="D151" s="12" t="str">
        <f>IFERROR(IF(LoanIsNotPaid*LoanIsGood,LoanValue,""), "")</f>
        <v/>
      </c>
      <c r="E151" s="12" t="str">
        <f>IFERROR(IF(LoanIsNotPaid*LoanIsGood,MonthlyPayment,""), "")</f>
        <v/>
      </c>
      <c r="F151" s="12" t="str">
        <f>IFERROR(IF(LoanIsNotPaid*LoanIsGood,Principal,""), "")</f>
        <v/>
      </c>
      <c r="G151" s="12" t="str">
        <f>IFERROR(IF(LoanIsNotPaid*LoanIsGood,InterestAmt,""), "")</f>
        <v/>
      </c>
      <c r="H151" s="12" t="str">
        <f>IFERROR(IF(LoanIsNotPaid*LoanIsGood,EndingBalance,""), "")</f>
        <v/>
      </c>
    </row>
    <row r="152" spans="2:8" ht="20.149999999999999" customHeight="1">
      <c r="B152" s="9" t="str">
        <f>IFERROR(IF(LoanIsNotPaid*LoanIsGood,PaymentNumber,""), "")</f>
        <v/>
      </c>
      <c r="C152" s="10" t="str">
        <f>IFERROR(IF(LoanIsNotPaid*LoanIsGood,PaymentDate,""), "")</f>
        <v/>
      </c>
      <c r="D152" s="12" t="str">
        <f>IFERROR(IF(LoanIsNotPaid*LoanIsGood,LoanValue,""), "")</f>
        <v/>
      </c>
      <c r="E152" s="12" t="str">
        <f>IFERROR(IF(LoanIsNotPaid*LoanIsGood,MonthlyPayment,""), "")</f>
        <v/>
      </c>
      <c r="F152" s="12" t="str">
        <f>IFERROR(IF(LoanIsNotPaid*LoanIsGood,Principal,""), "")</f>
        <v/>
      </c>
      <c r="G152" s="12" t="str">
        <f>IFERROR(IF(LoanIsNotPaid*LoanIsGood,InterestAmt,""), "")</f>
        <v/>
      </c>
      <c r="H152" s="12" t="str">
        <f>IFERROR(IF(LoanIsNotPaid*LoanIsGood,EndingBalance,""), "")</f>
        <v/>
      </c>
    </row>
    <row r="153" spans="2:8" ht="20.149999999999999" customHeight="1">
      <c r="B153" s="9" t="str">
        <f>IFERROR(IF(LoanIsNotPaid*LoanIsGood,PaymentNumber,""), "")</f>
        <v/>
      </c>
      <c r="C153" s="10" t="str">
        <f>IFERROR(IF(LoanIsNotPaid*LoanIsGood,PaymentDate,""), "")</f>
        <v/>
      </c>
      <c r="D153" s="12" t="str">
        <f>IFERROR(IF(LoanIsNotPaid*LoanIsGood,LoanValue,""), "")</f>
        <v/>
      </c>
      <c r="E153" s="12" t="str">
        <f>IFERROR(IF(LoanIsNotPaid*LoanIsGood,MonthlyPayment,""), "")</f>
        <v/>
      </c>
      <c r="F153" s="12" t="str">
        <f>IFERROR(IF(LoanIsNotPaid*LoanIsGood,Principal,""), "")</f>
        <v/>
      </c>
      <c r="G153" s="12" t="str">
        <f>IFERROR(IF(LoanIsNotPaid*LoanIsGood,InterestAmt,""), "")</f>
        <v/>
      </c>
      <c r="H153" s="12" t="str">
        <f>IFERROR(IF(LoanIsNotPaid*LoanIsGood,EndingBalance,""), "")</f>
        <v/>
      </c>
    </row>
    <row r="154" spans="2:8" ht="20.149999999999999" customHeight="1">
      <c r="B154" s="9" t="str">
        <f>IFERROR(IF(LoanIsNotPaid*LoanIsGood,PaymentNumber,""), "")</f>
        <v/>
      </c>
      <c r="C154" s="10" t="str">
        <f>IFERROR(IF(LoanIsNotPaid*LoanIsGood,PaymentDate,""), "")</f>
        <v/>
      </c>
      <c r="D154" s="12" t="str">
        <f>IFERROR(IF(LoanIsNotPaid*LoanIsGood,LoanValue,""), "")</f>
        <v/>
      </c>
      <c r="E154" s="12" t="str">
        <f>IFERROR(IF(LoanIsNotPaid*LoanIsGood,MonthlyPayment,""), "")</f>
        <v/>
      </c>
      <c r="F154" s="12" t="str">
        <f>IFERROR(IF(LoanIsNotPaid*LoanIsGood,Principal,""), "")</f>
        <v/>
      </c>
      <c r="G154" s="12" t="str">
        <f>IFERROR(IF(LoanIsNotPaid*LoanIsGood,InterestAmt,""), "")</f>
        <v/>
      </c>
      <c r="H154" s="12" t="str">
        <f>IFERROR(IF(LoanIsNotPaid*LoanIsGood,EndingBalance,""), "")</f>
        <v/>
      </c>
    </row>
    <row r="155" spans="2:8" ht="20.149999999999999" customHeight="1">
      <c r="B155" s="9" t="str">
        <f>IFERROR(IF(LoanIsNotPaid*LoanIsGood,PaymentNumber,""), "")</f>
        <v/>
      </c>
      <c r="C155" s="10" t="str">
        <f>IFERROR(IF(LoanIsNotPaid*LoanIsGood,PaymentDate,""), "")</f>
        <v/>
      </c>
      <c r="D155" s="12" t="str">
        <f>IFERROR(IF(LoanIsNotPaid*LoanIsGood,LoanValue,""), "")</f>
        <v/>
      </c>
      <c r="E155" s="12" t="str">
        <f>IFERROR(IF(LoanIsNotPaid*LoanIsGood,MonthlyPayment,""), "")</f>
        <v/>
      </c>
      <c r="F155" s="12" t="str">
        <f>IFERROR(IF(LoanIsNotPaid*LoanIsGood,Principal,""), "")</f>
        <v/>
      </c>
      <c r="G155" s="12" t="str">
        <f>IFERROR(IF(LoanIsNotPaid*LoanIsGood,InterestAmt,""), "")</f>
        <v/>
      </c>
      <c r="H155" s="12" t="str">
        <f>IFERROR(IF(LoanIsNotPaid*LoanIsGood,EndingBalance,""), "")</f>
        <v/>
      </c>
    </row>
    <row r="156" spans="2:8" ht="20.149999999999999" customHeight="1">
      <c r="B156" s="9" t="str">
        <f>IFERROR(IF(LoanIsNotPaid*LoanIsGood,PaymentNumber,""), "")</f>
        <v/>
      </c>
      <c r="C156" s="10" t="str">
        <f>IFERROR(IF(LoanIsNotPaid*LoanIsGood,PaymentDate,""), "")</f>
        <v/>
      </c>
      <c r="D156" s="12" t="str">
        <f>IFERROR(IF(LoanIsNotPaid*LoanIsGood,LoanValue,""), "")</f>
        <v/>
      </c>
      <c r="E156" s="12" t="str">
        <f>IFERROR(IF(LoanIsNotPaid*LoanIsGood,MonthlyPayment,""), "")</f>
        <v/>
      </c>
      <c r="F156" s="12" t="str">
        <f>IFERROR(IF(LoanIsNotPaid*LoanIsGood,Principal,""), "")</f>
        <v/>
      </c>
      <c r="G156" s="12" t="str">
        <f>IFERROR(IF(LoanIsNotPaid*LoanIsGood,InterestAmt,""), "")</f>
        <v/>
      </c>
      <c r="H156" s="12" t="str">
        <f>IFERROR(IF(LoanIsNotPaid*LoanIsGood,EndingBalance,""), "")</f>
        <v/>
      </c>
    </row>
    <row r="157" spans="2:8" ht="20.149999999999999" customHeight="1">
      <c r="B157" s="9" t="str">
        <f>IFERROR(IF(LoanIsNotPaid*LoanIsGood,PaymentNumber,""), "")</f>
        <v/>
      </c>
      <c r="C157" s="10" t="str">
        <f>IFERROR(IF(LoanIsNotPaid*LoanIsGood,PaymentDate,""), "")</f>
        <v/>
      </c>
      <c r="D157" s="12" t="str">
        <f>IFERROR(IF(LoanIsNotPaid*LoanIsGood,LoanValue,""), "")</f>
        <v/>
      </c>
      <c r="E157" s="12" t="str">
        <f>IFERROR(IF(LoanIsNotPaid*LoanIsGood,MonthlyPayment,""), "")</f>
        <v/>
      </c>
      <c r="F157" s="12" t="str">
        <f>IFERROR(IF(LoanIsNotPaid*LoanIsGood,Principal,""), "")</f>
        <v/>
      </c>
      <c r="G157" s="12" t="str">
        <f>IFERROR(IF(LoanIsNotPaid*LoanIsGood,InterestAmt,""), "")</f>
        <v/>
      </c>
      <c r="H157" s="12" t="str">
        <f>IFERROR(IF(LoanIsNotPaid*LoanIsGood,EndingBalance,""), "")</f>
        <v/>
      </c>
    </row>
    <row r="158" spans="2:8" ht="20.149999999999999" customHeight="1">
      <c r="B158" s="9" t="str">
        <f>IFERROR(IF(LoanIsNotPaid*LoanIsGood,PaymentNumber,""), "")</f>
        <v/>
      </c>
      <c r="C158" s="10" t="str">
        <f>IFERROR(IF(LoanIsNotPaid*LoanIsGood,PaymentDate,""), "")</f>
        <v/>
      </c>
      <c r="D158" s="12" t="str">
        <f>IFERROR(IF(LoanIsNotPaid*LoanIsGood,LoanValue,""), "")</f>
        <v/>
      </c>
      <c r="E158" s="12" t="str">
        <f>IFERROR(IF(LoanIsNotPaid*LoanIsGood,MonthlyPayment,""), "")</f>
        <v/>
      </c>
      <c r="F158" s="12" t="str">
        <f>IFERROR(IF(LoanIsNotPaid*LoanIsGood,Principal,""), "")</f>
        <v/>
      </c>
      <c r="G158" s="12" t="str">
        <f>IFERROR(IF(LoanIsNotPaid*LoanIsGood,InterestAmt,""), "")</f>
        <v/>
      </c>
      <c r="H158" s="12" t="str">
        <f>IFERROR(IF(LoanIsNotPaid*LoanIsGood,EndingBalance,""), "")</f>
        <v/>
      </c>
    </row>
    <row r="159" spans="2:8" ht="20.149999999999999" customHeight="1">
      <c r="B159" s="9" t="str">
        <f>IFERROR(IF(LoanIsNotPaid*LoanIsGood,PaymentNumber,""), "")</f>
        <v/>
      </c>
      <c r="C159" s="10" t="str">
        <f>IFERROR(IF(LoanIsNotPaid*LoanIsGood,PaymentDate,""), "")</f>
        <v/>
      </c>
      <c r="D159" s="12" t="str">
        <f>IFERROR(IF(LoanIsNotPaid*LoanIsGood,LoanValue,""), "")</f>
        <v/>
      </c>
      <c r="E159" s="12" t="str">
        <f>IFERROR(IF(LoanIsNotPaid*LoanIsGood,MonthlyPayment,""), "")</f>
        <v/>
      </c>
      <c r="F159" s="12" t="str">
        <f>IFERROR(IF(LoanIsNotPaid*LoanIsGood,Principal,""), "")</f>
        <v/>
      </c>
      <c r="G159" s="12" t="str">
        <f>IFERROR(IF(LoanIsNotPaid*LoanIsGood,InterestAmt,""), "")</f>
        <v/>
      </c>
      <c r="H159" s="12" t="str">
        <f>IFERROR(IF(LoanIsNotPaid*LoanIsGood,EndingBalance,""), "")</f>
        <v/>
      </c>
    </row>
    <row r="160" spans="2:8" ht="20.149999999999999" customHeight="1">
      <c r="B160" s="9" t="str">
        <f>IFERROR(IF(LoanIsNotPaid*LoanIsGood,PaymentNumber,""), "")</f>
        <v/>
      </c>
      <c r="C160" s="10" t="str">
        <f>IFERROR(IF(LoanIsNotPaid*LoanIsGood,PaymentDate,""), "")</f>
        <v/>
      </c>
      <c r="D160" s="12" t="str">
        <f>IFERROR(IF(LoanIsNotPaid*LoanIsGood,LoanValue,""), "")</f>
        <v/>
      </c>
      <c r="E160" s="12" t="str">
        <f>IFERROR(IF(LoanIsNotPaid*LoanIsGood,MonthlyPayment,""), "")</f>
        <v/>
      </c>
      <c r="F160" s="12" t="str">
        <f>IFERROR(IF(LoanIsNotPaid*LoanIsGood,Principal,""), "")</f>
        <v/>
      </c>
      <c r="G160" s="12" t="str">
        <f>IFERROR(IF(LoanIsNotPaid*LoanIsGood,InterestAmt,""), "")</f>
        <v/>
      </c>
      <c r="H160" s="12" t="str">
        <f>IFERROR(IF(LoanIsNotPaid*LoanIsGood,EndingBalance,""), "")</f>
        <v/>
      </c>
    </row>
    <row r="161" spans="2:8" ht="20.149999999999999" customHeight="1">
      <c r="B161" s="9" t="str">
        <f>IFERROR(IF(LoanIsNotPaid*LoanIsGood,PaymentNumber,""), "")</f>
        <v/>
      </c>
      <c r="C161" s="10" t="str">
        <f>IFERROR(IF(LoanIsNotPaid*LoanIsGood,PaymentDate,""), "")</f>
        <v/>
      </c>
      <c r="D161" s="12" t="str">
        <f>IFERROR(IF(LoanIsNotPaid*LoanIsGood,LoanValue,""), "")</f>
        <v/>
      </c>
      <c r="E161" s="12" t="str">
        <f>IFERROR(IF(LoanIsNotPaid*LoanIsGood,MonthlyPayment,""), "")</f>
        <v/>
      </c>
      <c r="F161" s="12" t="str">
        <f>IFERROR(IF(LoanIsNotPaid*LoanIsGood,Principal,""), "")</f>
        <v/>
      </c>
      <c r="G161" s="12" t="str">
        <f>IFERROR(IF(LoanIsNotPaid*LoanIsGood,InterestAmt,""), "")</f>
        <v/>
      </c>
      <c r="H161" s="12" t="str">
        <f>IFERROR(IF(LoanIsNotPaid*LoanIsGood,EndingBalance,""), "")</f>
        <v/>
      </c>
    </row>
    <row r="162" spans="2:8" ht="20.149999999999999" customHeight="1">
      <c r="B162" s="9" t="str">
        <f>IFERROR(IF(LoanIsNotPaid*LoanIsGood,PaymentNumber,""), "")</f>
        <v/>
      </c>
      <c r="C162" s="10" t="str">
        <f>IFERROR(IF(LoanIsNotPaid*LoanIsGood,PaymentDate,""), "")</f>
        <v/>
      </c>
      <c r="D162" s="12" t="str">
        <f>IFERROR(IF(LoanIsNotPaid*LoanIsGood,LoanValue,""), "")</f>
        <v/>
      </c>
      <c r="E162" s="12" t="str">
        <f>IFERROR(IF(LoanIsNotPaid*LoanIsGood,MonthlyPayment,""), "")</f>
        <v/>
      </c>
      <c r="F162" s="12" t="str">
        <f>IFERROR(IF(LoanIsNotPaid*LoanIsGood,Principal,""), "")</f>
        <v/>
      </c>
      <c r="G162" s="12" t="str">
        <f>IFERROR(IF(LoanIsNotPaid*LoanIsGood,InterestAmt,""), "")</f>
        <v/>
      </c>
      <c r="H162" s="12" t="str">
        <f>IFERROR(IF(LoanIsNotPaid*LoanIsGood,EndingBalance,""), "")</f>
        <v/>
      </c>
    </row>
    <row r="163" spans="2:8" ht="20.149999999999999" customHeight="1">
      <c r="B163" s="9" t="str">
        <f>IFERROR(IF(LoanIsNotPaid*LoanIsGood,PaymentNumber,""), "")</f>
        <v/>
      </c>
      <c r="C163" s="10" t="str">
        <f>IFERROR(IF(LoanIsNotPaid*LoanIsGood,PaymentDate,""), "")</f>
        <v/>
      </c>
      <c r="D163" s="12" t="str">
        <f>IFERROR(IF(LoanIsNotPaid*LoanIsGood,LoanValue,""), "")</f>
        <v/>
      </c>
      <c r="E163" s="12" t="str">
        <f>IFERROR(IF(LoanIsNotPaid*LoanIsGood,MonthlyPayment,""), "")</f>
        <v/>
      </c>
      <c r="F163" s="12" t="str">
        <f>IFERROR(IF(LoanIsNotPaid*LoanIsGood,Principal,""), "")</f>
        <v/>
      </c>
      <c r="G163" s="12" t="str">
        <f>IFERROR(IF(LoanIsNotPaid*LoanIsGood,InterestAmt,""), "")</f>
        <v/>
      </c>
      <c r="H163" s="12" t="str">
        <f>IFERROR(IF(LoanIsNotPaid*LoanIsGood,EndingBalance,""), "")</f>
        <v/>
      </c>
    </row>
    <row r="164" spans="2:8" ht="20.149999999999999" customHeight="1">
      <c r="B164" s="9" t="str">
        <f>IFERROR(IF(LoanIsNotPaid*LoanIsGood,PaymentNumber,""), "")</f>
        <v/>
      </c>
      <c r="C164" s="10" t="str">
        <f>IFERROR(IF(LoanIsNotPaid*LoanIsGood,PaymentDate,""), "")</f>
        <v/>
      </c>
      <c r="D164" s="12" t="str">
        <f>IFERROR(IF(LoanIsNotPaid*LoanIsGood,LoanValue,""), "")</f>
        <v/>
      </c>
      <c r="E164" s="12" t="str">
        <f>IFERROR(IF(LoanIsNotPaid*LoanIsGood,MonthlyPayment,""), "")</f>
        <v/>
      </c>
      <c r="F164" s="12" t="str">
        <f>IFERROR(IF(LoanIsNotPaid*LoanIsGood,Principal,""), "")</f>
        <v/>
      </c>
      <c r="G164" s="12" t="str">
        <f>IFERROR(IF(LoanIsNotPaid*LoanIsGood,InterestAmt,""), "")</f>
        <v/>
      </c>
      <c r="H164" s="12" t="str">
        <f>IFERROR(IF(LoanIsNotPaid*LoanIsGood,EndingBalance,""), "")</f>
        <v/>
      </c>
    </row>
    <row r="165" spans="2:8" ht="20.149999999999999" customHeight="1">
      <c r="B165" s="9" t="str">
        <f>IFERROR(IF(LoanIsNotPaid*LoanIsGood,PaymentNumber,""), "")</f>
        <v/>
      </c>
      <c r="C165" s="10" t="str">
        <f>IFERROR(IF(LoanIsNotPaid*LoanIsGood,PaymentDate,""), "")</f>
        <v/>
      </c>
      <c r="D165" s="12" t="str">
        <f>IFERROR(IF(LoanIsNotPaid*LoanIsGood,LoanValue,""), "")</f>
        <v/>
      </c>
      <c r="E165" s="12" t="str">
        <f>IFERROR(IF(LoanIsNotPaid*LoanIsGood,MonthlyPayment,""), "")</f>
        <v/>
      </c>
      <c r="F165" s="12" t="str">
        <f>IFERROR(IF(LoanIsNotPaid*LoanIsGood,Principal,""), "")</f>
        <v/>
      </c>
      <c r="G165" s="12" t="str">
        <f>IFERROR(IF(LoanIsNotPaid*LoanIsGood,InterestAmt,""), "")</f>
        <v/>
      </c>
      <c r="H165" s="12" t="str">
        <f>IFERROR(IF(LoanIsNotPaid*LoanIsGood,EndingBalance,""), "")</f>
        <v/>
      </c>
    </row>
    <row r="166" spans="2:8" ht="20.149999999999999" customHeight="1">
      <c r="B166" s="9" t="str">
        <f>IFERROR(IF(LoanIsNotPaid*LoanIsGood,PaymentNumber,""), "")</f>
        <v/>
      </c>
      <c r="C166" s="10" t="str">
        <f>IFERROR(IF(LoanIsNotPaid*LoanIsGood,PaymentDate,""), "")</f>
        <v/>
      </c>
      <c r="D166" s="12" t="str">
        <f>IFERROR(IF(LoanIsNotPaid*LoanIsGood,LoanValue,""), "")</f>
        <v/>
      </c>
      <c r="E166" s="12" t="str">
        <f>IFERROR(IF(LoanIsNotPaid*LoanIsGood,MonthlyPayment,""), "")</f>
        <v/>
      </c>
      <c r="F166" s="12" t="str">
        <f>IFERROR(IF(LoanIsNotPaid*LoanIsGood,Principal,""), "")</f>
        <v/>
      </c>
      <c r="G166" s="12" t="str">
        <f>IFERROR(IF(LoanIsNotPaid*LoanIsGood,InterestAmt,""), "")</f>
        <v/>
      </c>
      <c r="H166" s="12" t="str">
        <f>IFERROR(IF(LoanIsNotPaid*LoanIsGood,EndingBalance,""), "")</f>
        <v/>
      </c>
    </row>
    <row r="167" spans="2:8" ht="20.149999999999999" customHeight="1">
      <c r="B167" s="9" t="str">
        <f>IFERROR(IF(LoanIsNotPaid*LoanIsGood,PaymentNumber,""), "")</f>
        <v/>
      </c>
      <c r="C167" s="10" t="str">
        <f>IFERROR(IF(LoanIsNotPaid*LoanIsGood,PaymentDate,""), "")</f>
        <v/>
      </c>
      <c r="D167" s="12" t="str">
        <f>IFERROR(IF(LoanIsNotPaid*LoanIsGood,LoanValue,""), "")</f>
        <v/>
      </c>
      <c r="E167" s="12" t="str">
        <f>IFERROR(IF(LoanIsNotPaid*LoanIsGood,MonthlyPayment,""), "")</f>
        <v/>
      </c>
      <c r="F167" s="12" t="str">
        <f>IFERROR(IF(LoanIsNotPaid*LoanIsGood,Principal,""), "")</f>
        <v/>
      </c>
      <c r="G167" s="12" t="str">
        <f>IFERROR(IF(LoanIsNotPaid*LoanIsGood,InterestAmt,""), "")</f>
        <v/>
      </c>
      <c r="H167" s="12" t="str">
        <f>IFERROR(IF(LoanIsNotPaid*LoanIsGood,EndingBalance,""), "")</f>
        <v/>
      </c>
    </row>
    <row r="168" spans="2:8" ht="20.149999999999999" customHeight="1">
      <c r="B168" s="9" t="str">
        <f>IFERROR(IF(LoanIsNotPaid*LoanIsGood,PaymentNumber,""), "")</f>
        <v/>
      </c>
      <c r="C168" s="10" t="str">
        <f>IFERROR(IF(LoanIsNotPaid*LoanIsGood,PaymentDate,""), "")</f>
        <v/>
      </c>
      <c r="D168" s="11" t="str">
        <f>IFERROR(IF(LoanIsNotPaid*LoanIsGood,LoanValue,""), "")</f>
        <v/>
      </c>
      <c r="E168" s="11" t="str">
        <f>IFERROR(IF(LoanIsNotPaid*LoanIsGood,MonthlyPayment,""), "")</f>
        <v/>
      </c>
      <c r="F168" s="11" t="str">
        <f>IFERROR(IF(LoanIsNotPaid*LoanIsGood,Principal,""), "")</f>
        <v/>
      </c>
      <c r="G168" s="11" t="str">
        <f>IFERROR(IF(LoanIsNotPaid*LoanIsGood,InterestAmt,""), "")</f>
        <v/>
      </c>
      <c r="H168" s="11" t="str">
        <f>IFERROR(IF(LoanIsNotPaid*LoanIsGood,EndingBalance,""), "")</f>
        <v/>
      </c>
    </row>
    <row r="169" spans="2:8" ht="20.149999999999999" customHeight="1">
      <c r="B169" s="9" t="str">
        <f>IFERROR(IF(LoanIsNotPaid*LoanIsGood,PaymentNumber,""), "")</f>
        <v/>
      </c>
      <c r="C169" s="10" t="str">
        <f>IFERROR(IF(LoanIsNotPaid*LoanIsGood,PaymentDate,""), "")</f>
        <v/>
      </c>
      <c r="D169" s="11" t="str">
        <f>IFERROR(IF(LoanIsNotPaid*LoanIsGood,LoanValue,""), "")</f>
        <v/>
      </c>
      <c r="E169" s="11" t="str">
        <f>IFERROR(IF(LoanIsNotPaid*LoanIsGood,MonthlyPayment,""), "")</f>
        <v/>
      </c>
      <c r="F169" s="11" t="str">
        <f>IFERROR(IF(LoanIsNotPaid*LoanIsGood,Principal,""), "")</f>
        <v/>
      </c>
      <c r="G169" s="11" t="str">
        <f>IFERROR(IF(LoanIsNotPaid*LoanIsGood,InterestAmt,""), "")</f>
        <v/>
      </c>
      <c r="H169" s="11" t="str">
        <f>IFERROR(IF(LoanIsNotPaid*LoanIsGood,EndingBalance,""), "")</f>
        <v/>
      </c>
    </row>
    <row r="170" spans="2:8" ht="20.149999999999999" customHeight="1">
      <c r="B170" s="9" t="str">
        <f>IFERROR(IF(LoanIsNotPaid*LoanIsGood,PaymentNumber,""), "")</f>
        <v/>
      </c>
      <c r="C170" s="10" t="str">
        <f>IFERROR(IF(LoanIsNotPaid*LoanIsGood,PaymentDate,""), "")</f>
        <v/>
      </c>
      <c r="D170" s="11" t="str">
        <f>IFERROR(IF(LoanIsNotPaid*LoanIsGood,LoanValue,""), "")</f>
        <v/>
      </c>
      <c r="E170" s="11" t="str">
        <f>IFERROR(IF(LoanIsNotPaid*LoanIsGood,MonthlyPayment,""), "")</f>
        <v/>
      </c>
      <c r="F170" s="11" t="str">
        <f>IFERROR(IF(LoanIsNotPaid*LoanIsGood,Principal,""), "")</f>
        <v/>
      </c>
      <c r="G170" s="11" t="str">
        <f>IFERROR(IF(LoanIsNotPaid*LoanIsGood,InterestAmt,""), "")</f>
        <v/>
      </c>
      <c r="H170" s="11" t="str">
        <f>IFERROR(IF(LoanIsNotPaid*LoanIsGood,EndingBalance,""), "")</f>
        <v/>
      </c>
    </row>
    <row r="171" spans="2:8" ht="20.149999999999999" customHeight="1">
      <c r="B171" s="9" t="str">
        <f>IFERROR(IF(LoanIsNotPaid*LoanIsGood,PaymentNumber,""), "")</f>
        <v/>
      </c>
      <c r="C171" s="10" t="str">
        <f>IFERROR(IF(LoanIsNotPaid*LoanIsGood,PaymentDate,""), "")</f>
        <v/>
      </c>
      <c r="D171" s="11" t="str">
        <f>IFERROR(IF(LoanIsNotPaid*LoanIsGood,LoanValue,""), "")</f>
        <v/>
      </c>
      <c r="E171" s="11" t="str">
        <f>IFERROR(IF(LoanIsNotPaid*LoanIsGood,MonthlyPayment,""), "")</f>
        <v/>
      </c>
      <c r="F171" s="11" t="str">
        <f>IFERROR(IF(LoanIsNotPaid*LoanIsGood,Principal,""), "")</f>
        <v/>
      </c>
      <c r="G171" s="11" t="str">
        <f>IFERROR(IF(LoanIsNotPaid*LoanIsGood,InterestAmt,""), "")</f>
        <v/>
      </c>
      <c r="H171" s="11" t="str">
        <f>IFERROR(IF(LoanIsNotPaid*LoanIsGood,EndingBalance,""), "")</f>
        <v/>
      </c>
    </row>
    <row r="172" spans="2:8" ht="20.149999999999999" customHeight="1">
      <c r="B172" s="9" t="str">
        <f>IFERROR(IF(LoanIsNotPaid*LoanIsGood,PaymentNumber,""), "")</f>
        <v/>
      </c>
      <c r="C172" s="10" t="str">
        <f>IFERROR(IF(LoanIsNotPaid*LoanIsGood,PaymentDate,""), "")</f>
        <v/>
      </c>
      <c r="D172" s="11" t="str">
        <f>IFERROR(IF(LoanIsNotPaid*LoanIsGood,LoanValue,""), "")</f>
        <v/>
      </c>
      <c r="E172" s="11" t="str">
        <f>IFERROR(IF(LoanIsNotPaid*LoanIsGood,MonthlyPayment,""), "")</f>
        <v/>
      </c>
      <c r="F172" s="11" t="str">
        <f>IFERROR(IF(LoanIsNotPaid*LoanIsGood,Principal,""), "")</f>
        <v/>
      </c>
      <c r="G172" s="11" t="str">
        <f>IFERROR(IF(LoanIsNotPaid*LoanIsGood,InterestAmt,""), "")</f>
        <v/>
      </c>
      <c r="H172" s="11" t="str">
        <f>IFERROR(IF(LoanIsNotPaid*LoanIsGood,EndingBalance,""), "")</f>
        <v/>
      </c>
    </row>
    <row r="173" spans="2:8" ht="20.149999999999999" customHeight="1">
      <c r="B173" s="9" t="str">
        <f>IFERROR(IF(LoanIsNotPaid*LoanIsGood,PaymentNumber,""), "")</f>
        <v/>
      </c>
      <c r="C173" s="10" t="str">
        <f>IFERROR(IF(LoanIsNotPaid*LoanIsGood,PaymentDate,""), "")</f>
        <v/>
      </c>
      <c r="D173" s="11" t="str">
        <f>IFERROR(IF(LoanIsNotPaid*LoanIsGood,LoanValue,""), "")</f>
        <v/>
      </c>
      <c r="E173" s="11" t="str">
        <f>IFERROR(IF(LoanIsNotPaid*LoanIsGood,MonthlyPayment,""), "")</f>
        <v/>
      </c>
      <c r="F173" s="11" t="str">
        <f>IFERROR(IF(LoanIsNotPaid*LoanIsGood,Principal,""), "")</f>
        <v/>
      </c>
      <c r="G173" s="11" t="str">
        <f>IFERROR(IF(LoanIsNotPaid*LoanIsGood,InterestAmt,""), "")</f>
        <v/>
      </c>
      <c r="H173" s="11" t="str">
        <f>IFERROR(IF(LoanIsNotPaid*LoanIsGood,EndingBalance,""), "")</f>
        <v/>
      </c>
    </row>
    <row r="174" spans="2:8" ht="20.149999999999999" customHeight="1">
      <c r="B174" s="9" t="str">
        <f>IFERROR(IF(LoanIsNotPaid*LoanIsGood,PaymentNumber,""), "")</f>
        <v/>
      </c>
      <c r="C174" s="10" t="str">
        <f>IFERROR(IF(LoanIsNotPaid*LoanIsGood,PaymentDate,""), "")</f>
        <v/>
      </c>
      <c r="D174" s="11" t="str">
        <f>IFERROR(IF(LoanIsNotPaid*LoanIsGood,LoanValue,""), "")</f>
        <v/>
      </c>
      <c r="E174" s="11" t="str">
        <f>IFERROR(IF(LoanIsNotPaid*LoanIsGood,MonthlyPayment,""), "")</f>
        <v/>
      </c>
      <c r="F174" s="11" t="str">
        <f>IFERROR(IF(LoanIsNotPaid*LoanIsGood,Principal,""), "")</f>
        <v/>
      </c>
      <c r="G174" s="11" t="str">
        <f>IFERROR(IF(LoanIsNotPaid*LoanIsGood,InterestAmt,""), "")</f>
        <v/>
      </c>
      <c r="H174" s="11" t="str">
        <f>IFERROR(IF(LoanIsNotPaid*LoanIsGood,EndingBalance,""), "")</f>
        <v/>
      </c>
    </row>
    <row r="175" spans="2:8" ht="20.149999999999999" customHeight="1">
      <c r="B175" s="9" t="str">
        <f>IFERROR(IF(LoanIsNotPaid*LoanIsGood,PaymentNumber,""), "")</f>
        <v/>
      </c>
      <c r="C175" s="10" t="str">
        <f>IFERROR(IF(LoanIsNotPaid*LoanIsGood,PaymentDate,""), "")</f>
        <v/>
      </c>
      <c r="D175" s="11" t="str">
        <f>IFERROR(IF(LoanIsNotPaid*LoanIsGood,LoanValue,""), "")</f>
        <v/>
      </c>
      <c r="E175" s="11" t="str">
        <f>IFERROR(IF(LoanIsNotPaid*LoanIsGood,MonthlyPayment,""), "")</f>
        <v/>
      </c>
      <c r="F175" s="11" t="str">
        <f>IFERROR(IF(LoanIsNotPaid*LoanIsGood,Principal,""), "")</f>
        <v/>
      </c>
      <c r="G175" s="11" t="str">
        <f>IFERROR(IF(LoanIsNotPaid*LoanIsGood,InterestAmt,""), "")</f>
        <v/>
      </c>
      <c r="H175" s="11" t="str">
        <f>IFERROR(IF(LoanIsNotPaid*LoanIsGood,EndingBalance,""), "")</f>
        <v/>
      </c>
    </row>
    <row r="176" spans="2:8" ht="20.149999999999999" customHeight="1">
      <c r="B176" s="9" t="str">
        <f>IFERROR(IF(LoanIsNotPaid*LoanIsGood,PaymentNumber,""), "")</f>
        <v/>
      </c>
      <c r="C176" s="10" t="str">
        <f>IFERROR(IF(LoanIsNotPaid*LoanIsGood,PaymentDate,""), "")</f>
        <v/>
      </c>
      <c r="D176" s="11" t="str">
        <f>IFERROR(IF(LoanIsNotPaid*LoanIsGood,LoanValue,""), "")</f>
        <v/>
      </c>
      <c r="E176" s="11" t="str">
        <f>IFERROR(IF(LoanIsNotPaid*LoanIsGood,MonthlyPayment,""), "")</f>
        <v/>
      </c>
      <c r="F176" s="11" t="str">
        <f>IFERROR(IF(LoanIsNotPaid*LoanIsGood,Principal,""), "")</f>
        <v/>
      </c>
      <c r="G176" s="11" t="str">
        <f>IFERROR(IF(LoanIsNotPaid*LoanIsGood,InterestAmt,""), "")</f>
        <v/>
      </c>
      <c r="H176" s="11" t="str">
        <f>IFERROR(IF(LoanIsNotPaid*LoanIsGood,EndingBalance,""), "")</f>
        <v/>
      </c>
    </row>
    <row r="177" spans="2:8" ht="20.149999999999999" customHeight="1">
      <c r="B177" s="9" t="str">
        <f>IFERROR(IF(LoanIsNotPaid*LoanIsGood,PaymentNumber,""), "")</f>
        <v/>
      </c>
      <c r="C177" s="10" t="str">
        <f>IFERROR(IF(LoanIsNotPaid*LoanIsGood,PaymentDate,""), "")</f>
        <v/>
      </c>
      <c r="D177" s="11" t="str">
        <f>IFERROR(IF(LoanIsNotPaid*LoanIsGood,LoanValue,""), "")</f>
        <v/>
      </c>
      <c r="E177" s="11" t="str">
        <f>IFERROR(IF(LoanIsNotPaid*LoanIsGood,MonthlyPayment,""), "")</f>
        <v/>
      </c>
      <c r="F177" s="11" t="str">
        <f>IFERROR(IF(LoanIsNotPaid*LoanIsGood,Principal,""), "")</f>
        <v/>
      </c>
      <c r="G177" s="11" t="str">
        <f>IFERROR(IF(LoanIsNotPaid*LoanIsGood,InterestAmt,""), "")</f>
        <v/>
      </c>
      <c r="H177" s="11" t="str">
        <f>IFERROR(IF(LoanIsNotPaid*LoanIsGood,EndingBalance,""), "")</f>
        <v/>
      </c>
    </row>
    <row r="178" spans="2:8" ht="20.149999999999999" customHeight="1">
      <c r="B178" s="9" t="str">
        <f>IFERROR(IF(LoanIsNotPaid*LoanIsGood,PaymentNumber,""), "")</f>
        <v/>
      </c>
      <c r="C178" s="10" t="str">
        <f>IFERROR(IF(LoanIsNotPaid*LoanIsGood,PaymentDate,""), "")</f>
        <v/>
      </c>
      <c r="D178" s="11" t="str">
        <f>IFERROR(IF(LoanIsNotPaid*LoanIsGood,LoanValue,""), "")</f>
        <v/>
      </c>
      <c r="E178" s="11" t="str">
        <f>IFERROR(IF(LoanIsNotPaid*LoanIsGood,MonthlyPayment,""), "")</f>
        <v/>
      </c>
      <c r="F178" s="11" t="str">
        <f>IFERROR(IF(LoanIsNotPaid*LoanIsGood,Principal,""), "")</f>
        <v/>
      </c>
      <c r="G178" s="11" t="str">
        <f>IFERROR(IF(LoanIsNotPaid*LoanIsGood,InterestAmt,""), "")</f>
        <v/>
      </c>
      <c r="H178" s="11" t="str">
        <f>IFERROR(IF(LoanIsNotPaid*LoanIsGood,EndingBalance,""), "")</f>
        <v/>
      </c>
    </row>
    <row r="179" spans="2:8" ht="20.149999999999999" customHeight="1">
      <c r="B179" s="9" t="str">
        <f>IFERROR(IF(LoanIsNotPaid*LoanIsGood,PaymentNumber,""), "")</f>
        <v/>
      </c>
      <c r="C179" s="10" t="str">
        <f>IFERROR(IF(LoanIsNotPaid*LoanIsGood,PaymentDate,""), "")</f>
        <v/>
      </c>
      <c r="D179" s="11" t="str">
        <f>IFERROR(IF(LoanIsNotPaid*LoanIsGood,LoanValue,""), "")</f>
        <v/>
      </c>
      <c r="E179" s="11" t="str">
        <f>IFERROR(IF(LoanIsNotPaid*LoanIsGood,MonthlyPayment,""), "")</f>
        <v/>
      </c>
      <c r="F179" s="11" t="str">
        <f>IFERROR(IF(LoanIsNotPaid*LoanIsGood,Principal,""), "")</f>
        <v/>
      </c>
      <c r="G179" s="11" t="str">
        <f>IFERROR(IF(LoanIsNotPaid*LoanIsGood,InterestAmt,""), "")</f>
        <v/>
      </c>
      <c r="H179" s="11" t="str">
        <f>IFERROR(IF(LoanIsNotPaid*LoanIsGood,EndingBalance,""), "")</f>
        <v/>
      </c>
    </row>
    <row r="180" spans="2:8" ht="20.149999999999999" customHeight="1">
      <c r="B180" s="9" t="str">
        <f>IFERROR(IF(LoanIsNotPaid*LoanIsGood,PaymentNumber,""), "")</f>
        <v/>
      </c>
      <c r="C180" s="10" t="str">
        <f>IFERROR(IF(LoanIsNotPaid*LoanIsGood,PaymentDate,""), "")</f>
        <v/>
      </c>
      <c r="D180" s="11" t="str">
        <f>IFERROR(IF(LoanIsNotPaid*LoanIsGood,LoanValue,""), "")</f>
        <v/>
      </c>
      <c r="E180" s="11" t="str">
        <f>IFERROR(IF(LoanIsNotPaid*LoanIsGood,MonthlyPayment,""), "")</f>
        <v/>
      </c>
      <c r="F180" s="11" t="str">
        <f>IFERROR(IF(LoanIsNotPaid*LoanIsGood,Principal,""), "")</f>
        <v/>
      </c>
      <c r="G180" s="11" t="str">
        <f>IFERROR(IF(LoanIsNotPaid*LoanIsGood,InterestAmt,""), "")</f>
        <v/>
      </c>
      <c r="H180" s="11" t="str">
        <f>IFERROR(IF(LoanIsNotPaid*LoanIsGood,EndingBalance,""), "")</f>
        <v/>
      </c>
    </row>
    <row r="181" spans="2:8" ht="20.149999999999999" customHeight="1">
      <c r="B181" s="9" t="str">
        <f>IFERROR(IF(LoanIsNotPaid*LoanIsGood,PaymentNumber,""), "")</f>
        <v/>
      </c>
      <c r="C181" s="10" t="str">
        <f>IFERROR(IF(LoanIsNotPaid*LoanIsGood,PaymentDate,""), "")</f>
        <v/>
      </c>
      <c r="D181" s="11" t="str">
        <f>IFERROR(IF(LoanIsNotPaid*LoanIsGood,LoanValue,""), "")</f>
        <v/>
      </c>
      <c r="E181" s="11" t="str">
        <f>IFERROR(IF(LoanIsNotPaid*LoanIsGood,MonthlyPayment,""), "")</f>
        <v/>
      </c>
      <c r="F181" s="11" t="str">
        <f>IFERROR(IF(LoanIsNotPaid*LoanIsGood,Principal,""), "")</f>
        <v/>
      </c>
      <c r="G181" s="11" t="str">
        <f>IFERROR(IF(LoanIsNotPaid*LoanIsGood,InterestAmt,""), "")</f>
        <v/>
      </c>
      <c r="H181" s="11" t="str">
        <f>IFERROR(IF(LoanIsNotPaid*LoanIsGood,EndingBalance,""), "")</f>
        <v/>
      </c>
    </row>
    <row r="182" spans="2:8" ht="20.149999999999999" customHeight="1">
      <c r="B182" s="9" t="str">
        <f>IFERROR(IF(LoanIsNotPaid*LoanIsGood,PaymentNumber,""), "")</f>
        <v/>
      </c>
      <c r="C182" s="10" t="str">
        <f>IFERROR(IF(LoanIsNotPaid*LoanIsGood,PaymentDate,""), "")</f>
        <v/>
      </c>
      <c r="D182" s="11" t="str">
        <f>IFERROR(IF(LoanIsNotPaid*LoanIsGood,LoanValue,""), "")</f>
        <v/>
      </c>
      <c r="E182" s="11" t="str">
        <f>IFERROR(IF(LoanIsNotPaid*LoanIsGood,MonthlyPayment,""), "")</f>
        <v/>
      </c>
      <c r="F182" s="11" t="str">
        <f>IFERROR(IF(LoanIsNotPaid*LoanIsGood,Principal,""), "")</f>
        <v/>
      </c>
      <c r="G182" s="11" t="str">
        <f>IFERROR(IF(LoanIsNotPaid*LoanIsGood,InterestAmt,""), "")</f>
        <v/>
      </c>
      <c r="H182" s="11" t="str">
        <f>IFERROR(IF(LoanIsNotPaid*LoanIsGood,EndingBalance,""), "")</f>
        <v/>
      </c>
    </row>
    <row r="183" spans="2:8" ht="20.149999999999999" customHeight="1">
      <c r="B183" s="9" t="str">
        <f>IFERROR(IF(LoanIsNotPaid*LoanIsGood,PaymentNumber,""), "")</f>
        <v/>
      </c>
      <c r="C183" s="10" t="str">
        <f>IFERROR(IF(LoanIsNotPaid*LoanIsGood,PaymentDate,""), "")</f>
        <v/>
      </c>
      <c r="D183" s="11" t="str">
        <f>IFERROR(IF(LoanIsNotPaid*LoanIsGood,LoanValue,""), "")</f>
        <v/>
      </c>
      <c r="E183" s="11" t="str">
        <f>IFERROR(IF(LoanIsNotPaid*LoanIsGood,MonthlyPayment,""), "")</f>
        <v/>
      </c>
      <c r="F183" s="11" t="str">
        <f>IFERROR(IF(LoanIsNotPaid*LoanIsGood,Principal,""), "")</f>
        <v/>
      </c>
      <c r="G183" s="11" t="str">
        <f>IFERROR(IF(LoanIsNotPaid*LoanIsGood,InterestAmt,""), "")</f>
        <v/>
      </c>
      <c r="H183" s="11" t="str">
        <f>IFERROR(IF(LoanIsNotPaid*LoanIsGood,EndingBalance,""), "")</f>
        <v/>
      </c>
    </row>
    <row r="184" spans="2:8" ht="20.149999999999999" customHeight="1">
      <c r="B184" s="9" t="str">
        <f>IFERROR(IF(LoanIsNotPaid*LoanIsGood,PaymentNumber,""), "")</f>
        <v/>
      </c>
      <c r="C184" s="10" t="str">
        <f>IFERROR(IF(LoanIsNotPaid*LoanIsGood,PaymentDate,""), "")</f>
        <v/>
      </c>
      <c r="D184" s="11" t="str">
        <f>IFERROR(IF(LoanIsNotPaid*LoanIsGood,LoanValue,""), "")</f>
        <v/>
      </c>
      <c r="E184" s="11" t="str">
        <f>IFERROR(IF(LoanIsNotPaid*LoanIsGood,MonthlyPayment,""), "")</f>
        <v/>
      </c>
      <c r="F184" s="11" t="str">
        <f>IFERROR(IF(LoanIsNotPaid*LoanIsGood,Principal,""), "")</f>
        <v/>
      </c>
      <c r="G184" s="11" t="str">
        <f>IFERROR(IF(LoanIsNotPaid*LoanIsGood,InterestAmt,""), "")</f>
        <v/>
      </c>
      <c r="H184" s="11" t="str">
        <f>IFERROR(IF(LoanIsNotPaid*LoanIsGood,EndingBalance,""), "")</f>
        <v/>
      </c>
    </row>
    <row r="185" spans="2:8" ht="20.149999999999999" customHeight="1">
      <c r="B185" s="9" t="str">
        <f>IFERROR(IF(LoanIsNotPaid*LoanIsGood,PaymentNumber,""), "")</f>
        <v/>
      </c>
      <c r="C185" s="10" t="str">
        <f>IFERROR(IF(LoanIsNotPaid*LoanIsGood,PaymentDate,""), "")</f>
        <v/>
      </c>
      <c r="D185" s="11" t="str">
        <f>IFERROR(IF(LoanIsNotPaid*LoanIsGood,LoanValue,""), "")</f>
        <v/>
      </c>
      <c r="E185" s="11" t="str">
        <f>IFERROR(IF(LoanIsNotPaid*LoanIsGood,MonthlyPayment,""), "")</f>
        <v/>
      </c>
      <c r="F185" s="11" t="str">
        <f>IFERROR(IF(LoanIsNotPaid*LoanIsGood,Principal,""), "")</f>
        <v/>
      </c>
      <c r="G185" s="11" t="str">
        <f>IFERROR(IF(LoanIsNotPaid*LoanIsGood,InterestAmt,""), "")</f>
        <v/>
      </c>
      <c r="H185" s="11" t="str">
        <f>IFERROR(IF(LoanIsNotPaid*LoanIsGood,EndingBalance,""), "")</f>
        <v/>
      </c>
    </row>
    <row r="186" spans="2:8" ht="20.149999999999999" customHeight="1">
      <c r="B186" s="9" t="str">
        <f>IFERROR(IF(LoanIsNotPaid*LoanIsGood,PaymentNumber,""), "")</f>
        <v/>
      </c>
      <c r="C186" s="10" t="str">
        <f>IFERROR(IF(LoanIsNotPaid*LoanIsGood,PaymentDate,""), "")</f>
        <v/>
      </c>
      <c r="D186" s="11" t="str">
        <f>IFERROR(IF(LoanIsNotPaid*LoanIsGood,LoanValue,""), "")</f>
        <v/>
      </c>
      <c r="E186" s="11" t="str">
        <f>IFERROR(IF(LoanIsNotPaid*LoanIsGood,MonthlyPayment,""), "")</f>
        <v/>
      </c>
      <c r="F186" s="11" t="str">
        <f>IFERROR(IF(LoanIsNotPaid*LoanIsGood,Principal,""), "")</f>
        <v/>
      </c>
      <c r="G186" s="11" t="str">
        <f>IFERROR(IF(LoanIsNotPaid*LoanIsGood,InterestAmt,""), "")</f>
        <v/>
      </c>
      <c r="H186" s="11" t="str">
        <f>IFERROR(IF(LoanIsNotPaid*LoanIsGood,EndingBalance,""), "")</f>
        <v/>
      </c>
    </row>
    <row r="187" spans="2:8" ht="20.149999999999999" customHeight="1">
      <c r="B187" s="9" t="str">
        <f>IFERROR(IF(LoanIsNotPaid*LoanIsGood,PaymentNumber,""), "")</f>
        <v/>
      </c>
      <c r="C187" s="10" t="str">
        <f>IFERROR(IF(LoanIsNotPaid*LoanIsGood,PaymentDate,""), "")</f>
        <v/>
      </c>
      <c r="D187" s="11" t="str">
        <f>IFERROR(IF(LoanIsNotPaid*LoanIsGood,LoanValue,""), "")</f>
        <v/>
      </c>
      <c r="E187" s="11" t="str">
        <f>IFERROR(IF(LoanIsNotPaid*LoanIsGood,MonthlyPayment,""), "")</f>
        <v/>
      </c>
      <c r="F187" s="11" t="str">
        <f>IFERROR(IF(LoanIsNotPaid*LoanIsGood,Principal,""), "")</f>
        <v/>
      </c>
      <c r="G187" s="11" t="str">
        <f>IFERROR(IF(LoanIsNotPaid*LoanIsGood,InterestAmt,""), "")</f>
        <v/>
      </c>
      <c r="H187" s="11" t="str">
        <f>IFERROR(IF(LoanIsNotPaid*LoanIsGood,EndingBalance,""), "")</f>
        <v/>
      </c>
    </row>
    <row r="188" spans="2:8" ht="20.149999999999999" customHeight="1">
      <c r="B188" s="9" t="str">
        <f>IFERROR(IF(LoanIsNotPaid*LoanIsGood,PaymentNumber,""), "")</f>
        <v/>
      </c>
      <c r="C188" s="10" t="str">
        <f>IFERROR(IF(LoanIsNotPaid*LoanIsGood,PaymentDate,""), "")</f>
        <v/>
      </c>
      <c r="D188" s="11" t="str">
        <f>IFERROR(IF(LoanIsNotPaid*LoanIsGood,LoanValue,""), "")</f>
        <v/>
      </c>
      <c r="E188" s="11" t="str">
        <f>IFERROR(IF(LoanIsNotPaid*LoanIsGood,MonthlyPayment,""), "")</f>
        <v/>
      </c>
      <c r="F188" s="11" t="str">
        <f>IFERROR(IF(LoanIsNotPaid*LoanIsGood,Principal,""), "")</f>
        <v/>
      </c>
      <c r="G188" s="11" t="str">
        <f>IFERROR(IF(LoanIsNotPaid*LoanIsGood,InterestAmt,""), "")</f>
        <v/>
      </c>
      <c r="H188" s="11" t="str">
        <f>IFERROR(IF(LoanIsNotPaid*LoanIsGood,EndingBalance,""), "")</f>
        <v/>
      </c>
    </row>
    <row r="189" spans="2:8" ht="20.149999999999999" customHeight="1">
      <c r="B189" s="9" t="str">
        <f>IFERROR(IF(LoanIsNotPaid*LoanIsGood,PaymentNumber,""), "")</f>
        <v/>
      </c>
      <c r="C189" s="10" t="str">
        <f>IFERROR(IF(LoanIsNotPaid*LoanIsGood,PaymentDate,""), "")</f>
        <v/>
      </c>
      <c r="D189" s="11" t="str">
        <f>IFERROR(IF(LoanIsNotPaid*LoanIsGood,LoanValue,""), "")</f>
        <v/>
      </c>
      <c r="E189" s="11" t="str">
        <f>IFERROR(IF(LoanIsNotPaid*LoanIsGood,MonthlyPayment,""), "")</f>
        <v/>
      </c>
      <c r="F189" s="11" t="str">
        <f>IFERROR(IF(LoanIsNotPaid*LoanIsGood,Principal,""), "")</f>
        <v/>
      </c>
      <c r="G189" s="11" t="str">
        <f>IFERROR(IF(LoanIsNotPaid*LoanIsGood,InterestAmt,""), "")</f>
        <v/>
      </c>
      <c r="H189" s="11" t="str">
        <f>IFERROR(IF(LoanIsNotPaid*LoanIsGood,EndingBalance,""), "")</f>
        <v/>
      </c>
    </row>
    <row r="190" spans="2:8" ht="20.149999999999999" customHeight="1">
      <c r="B190" s="9" t="str">
        <f>IFERROR(IF(LoanIsNotPaid*LoanIsGood,PaymentNumber,""), "")</f>
        <v/>
      </c>
      <c r="C190" s="10" t="str">
        <f>IFERROR(IF(LoanIsNotPaid*LoanIsGood,PaymentDate,""), "")</f>
        <v/>
      </c>
      <c r="D190" s="11" t="str">
        <f>IFERROR(IF(LoanIsNotPaid*LoanIsGood,LoanValue,""), "")</f>
        <v/>
      </c>
      <c r="E190" s="11" t="str">
        <f>IFERROR(IF(LoanIsNotPaid*LoanIsGood,MonthlyPayment,""), "")</f>
        <v/>
      </c>
      <c r="F190" s="11" t="str">
        <f>IFERROR(IF(LoanIsNotPaid*LoanIsGood,Principal,""), "")</f>
        <v/>
      </c>
      <c r="G190" s="11" t="str">
        <f>IFERROR(IF(LoanIsNotPaid*LoanIsGood,InterestAmt,""), "")</f>
        <v/>
      </c>
      <c r="H190" s="11" t="str">
        <f>IFERROR(IF(LoanIsNotPaid*LoanIsGood,EndingBalance,""), "")</f>
        <v/>
      </c>
    </row>
    <row r="191" spans="2:8" ht="20.149999999999999" customHeight="1">
      <c r="B191" s="9" t="str">
        <f>IFERROR(IF(LoanIsNotPaid*LoanIsGood,PaymentNumber,""), "")</f>
        <v/>
      </c>
      <c r="C191" s="10" t="str">
        <f>IFERROR(IF(LoanIsNotPaid*LoanIsGood,PaymentDate,""), "")</f>
        <v/>
      </c>
      <c r="D191" s="11" t="str">
        <f>IFERROR(IF(LoanIsNotPaid*LoanIsGood,LoanValue,""), "")</f>
        <v/>
      </c>
      <c r="E191" s="11" t="str">
        <f>IFERROR(IF(LoanIsNotPaid*LoanIsGood,MonthlyPayment,""), "")</f>
        <v/>
      </c>
      <c r="F191" s="11" t="str">
        <f>IFERROR(IF(LoanIsNotPaid*LoanIsGood,Principal,""), "")</f>
        <v/>
      </c>
      <c r="G191" s="11" t="str">
        <f>IFERROR(IF(LoanIsNotPaid*LoanIsGood,InterestAmt,""), "")</f>
        <v/>
      </c>
      <c r="H191" s="11" t="str">
        <f>IFERROR(IF(LoanIsNotPaid*LoanIsGood,EndingBalance,""), "")</f>
        <v/>
      </c>
    </row>
    <row r="192" spans="2:8" ht="20.149999999999999" customHeight="1">
      <c r="B192" s="9" t="str">
        <f>IFERROR(IF(LoanIsNotPaid*LoanIsGood,PaymentNumber,""), "")</f>
        <v/>
      </c>
      <c r="C192" s="10" t="str">
        <f>IFERROR(IF(LoanIsNotPaid*LoanIsGood,PaymentDate,""), "")</f>
        <v/>
      </c>
      <c r="D192" s="11" t="str">
        <f>IFERROR(IF(LoanIsNotPaid*LoanIsGood,LoanValue,""), "")</f>
        <v/>
      </c>
      <c r="E192" s="11" t="str">
        <f>IFERROR(IF(LoanIsNotPaid*LoanIsGood,MonthlyPayment,""), "")</f>
        <v/>
      </c>
      <c r="F192" s="11" t="str">
        <f>IFERROR(IF(LoanIsNotPaid*LoanIsGood,Principal,""), "")</f>
        <v/>
      </c>
      <c r="G192" s="11" t="str">
        <f>IFERROR(IF(LoanIsNotPaid*LoanIsGood,InterestAmt,""), "")</f>
        <v/>
      </c>
      <c r="H192" s="11" t="str">
        <f>IFERROR(IF(LoanIsNotPaid*LoanIsGood,EndingBalance,""), "")</f>
        <v/>
      </c>
    </row>
    <row r="193" spans="2:8" ht="20.149999999999999" customHeight="1">
      <c r="B193" s="9" t="str">
        <f>IFERROR(IF(LoanIsNotPaid*LoanIsGood,PaymentNumber,""), "")</f>
        <v/>
      </c>
      <c r="C193" s="10" t="str">
        <f>IFERROR(IF(LoanIsNotPaid*LoanIsGood,PaymentDate,""), "")</f>
        <v/>
      </c>
      <c r="D193" s="11" t="str">
        <f>IFERROR(IF(LoanIsNotPaid*LoanIsGood,LoanValue,""), "")</f>
        <v/>
      </c>
      <c r="E193" s="11" t="str">
        <f>IFERROR(IF(LoanIsNotPaid*LoanIsGood,MonthlyPayment,""), "")</f>
        <v/>
      </c>
      <c r="F193" s="11" t="str">
        <f>IFERROR(IF(LoanIsNotPaid*LoanIsGood,Principal,""), "")</f>
        <v/>
      </c>
      <c r="G193" s="11" t="str">
        <f>IFERROR(IF(LoanIsNotPaid*LoanIsGood,InterestAmt,""), "")</f>
        <v/>
      </c>
      <c r="H193" s="11" t="str">
        <f>IFERROR(IF(LoanIsNotPaid*LoanIsGood,EndingBalance,""), "")</f>
        <v/>
      </c>
    </row>
    <row r="194" spans="2:8" ht="20.149999999999999" customHeight="1">
      <c r="B194" s="9" t="str">
        <f>IFERROR(IF(LoanIsNotPaid*LoanIsGood,PaymentNumber,""), "")</f>
        <v/>
      </c>
      <c r="C194" s="10" t="str">
        <f>IFERROR(IF(LoanIsNotPaid*LoanIsGood,PaymentDate,""), "")</f>
        <v/>
      </c>
      <c r="D194" s="11" t="str">
        <f>IFERROR(IF(LoanIsNotPaid*LoanIsGood,LoanValue,""), "")</f>
        <v/>
      </c>
      <c r="E194" s="11" t="str">
        <f>IFERROR(IF(LoanIsNotPaid*LoanIsGood,MonthlyPayment,""), "")</f>
        <v/>
      </c>
      <c r="F194" s="11" t="str">
        <f>IFERROR(IF(LoanIsNotPaid*LoanIsGood,Principal,""), "")</f>
        <v/>
      </c>
      <c r="G194" s="11" t="str">
        <f>IFERROR(IF(LoanIsNotPaid*LoanIsGood,InterestAmt,""), "")</f>
        <v/>
      </c>
      <c r="H194" s="11" t="str">
        <f>IFERROR(IF(LoanIsNotPaid*LoanIsGood,EndingBalance,""), "")</f>
        <v/>
      </c>
    </row>
    <row r="195" spans="2:8" ht="20.149999999999999" customHeight="1">
      <c r="B195" s="9" t="str">
        <f>IFERROR(IF(LoanIsNotPaid*LoanIsGood,PaymentNumber,""), "")</f>
        <v/>
      </c>
      <c r="C195" s="10" t="str">
        <f>IFERROR(IF(LoanIsNotPaid*LoanIsGood,PaymentDate,""), "")</f>
        <v/>
      </c>
      <c r="D195" s="11" t="str">
        <f>IFERROR(IF(LoanIsNotPaid*LoanIsGood,LoanValue,""), "")</f>
        <v/>
      </c>
      <c r="E195" s="11" t="str">
        <f>IFERROR(IF(LoanIsNotPaid*LoanIsGood,MonthlyPayment,""), "")</f>
        <v/>
      </c>
      <c r="F195" s="11" t="str">
        <f>IFERROR(IF(LoanIsNotPaid*LoanIsGood,Principal,""), "")</f>
        <v/>
      </c>
      <c r="G195" s="11" t="str">
        <f>IFERROR(IF(LoanIsNotPaid*LoanIsGood,InterestAmt,""), "")</f>
        <v/>
      </c>
      <c r="H195" s="11" t="str">
        <f>IFERROR(IF(LoanIsNotPaid*LoanIsGood,EndingBalance,""), "")</f>
        <v/>
      </c>
    </row>
    <row r="196" spans="2:8" ht="20.149999999999999" customHeight="1">
      <c r="B196" s="9" t="str">
        <f>IFERROR(IF(LoanIsNotPaid*LoanIsGood,PaymentNumber,""), "")</f>
        <v/>
      </c>
      <c r="C196" s="10" t="str">
        <f>IFERROR(IF(LoanIsNotPaid*LoanIsGood,PaymentDate,""), "")</f>
        <v/>
      </c>
      <c r="D196" s="11" t="str">
        <f>IFERROR(IF(LoanIsNotPaid*LoanIsGood,LoanValue,""), "")</f>
        <v/>
      </c>
      <c r="E196" s="11" t="str">
        <f>IFERROR(IF(LoanIsNotPaid*LoanIsGood,MonthlyPayment,""), "")</f>
        <v/>
      </c>
      <c r="F196" s="11" t="str">
        <f>IFERROR(IF(LoanIsNotPaid*LoanIsGood,Principal,""), "")</f>
        <v/>
      </c>
      <c r="G196" s="11" t="str">
        <f>IFERROR(IF(LoanIsNotPaid*LoanIsGood,InterestAmt,""), "")</f>
        <v/>
      </c>
      <c r="H196" s="11" t="str">
        <f>IFERROR(IF(LoanIsNotPaid*LoanIsGood,EndingBalance,""), "")</f>
        <v/>
      </c>
    </row>
    <row r="197" spans="2:8" ht="20.149999999999999" customHeight="1">
      <c r="B197" s="9" t="str">
        <f>IFERROR(IF(LoanIsNotPaid*LoanIsGood,PaymentNumber,""), "")</f>
        <v/>
      </c>
      <c r="C197" s="10" t="str">
        <f>IFERROR(IF(LoanIsNotPaid*LoanIsGood,PaymentDate,""), "")</f>
        <v/>
      </c>
      <c r="D197" s="11" t="str">
        <f>IFERROR(IF(LoanIsNotPaid*LoanIsGood,LoanValue,""), "")</f>
        <v/>
      </c>
      <c r="E197" s="11" t="str">
        <f>IFERROR(IF(LoanIsNotPaid*LoanIsGood,MonthlyPayment,""), "")</f>
        <v/>
      </c>
      <c r="F197" s="11" t="str">
        <f>IFERROR(IF(LoanIsNotPaid*LoanIsGood,Principal,""), "")</f>
        <v/>
      </c>
      <c r="G197" s="11" t="str">
        <f>IFERROR(IF(LoanIsNotPaid*LoanIsGood,InterestAmt,""), "")</f>
        <v/>
      </c>
      <c r="H197" s="11" t="str">
        <f>IFERROR(IF(LoanIsNotPaid*LoanIsGood,EndingBalance,""), "")</f>
        <v/>
      </c>
    </row>
    <row r="198" spans="2:8" ht="20.149999999999999" customHeight="1">
      <c r="B198" s="9" t="str">
        <f>IFERROR(IF(LoanIsNotPaid*LoanIsGood,PaymentNumber,""), "")</f>
        <v/>
      </c>
      <c r="C198" s="10" t="str">
        <f>IFERROR(IF(LoanIsNotPaid*LoanIsGood,PaymentDate,""), "")</f>
        <v/>
      </c>
      <c r="D198" s="11" t="str">
        <f>IFERROR(IF(LoanIsNotPaid*LoanIsGood,LoanValue,""), "")</f>
        <v/>
      </c>
      <c r="E198" s="11" t="str">
        <f>IFERROR(IF(LoanIsNotPaid*LoanIsGood,MonthlyPayment,""), "")</f>
        <v/>
      </c>
      <c r="F198" s="11" t="str">
        <f>IFERROR(IF(LoanIsNotPaid*LoanIsGood,Principal,""), "")</f>
        <v/>
      </c>
      <c r="G198" s="11" t="str">
        <f>IFERROR(IF(LoanIsNotPaid*LoanIsGood,InterestAmt,""), "")</f>
        <v/>
      </c>
      <c r="H198" s="11" t="str">
        <f>IFERROR(IF(LoanIsNotPaid*LoanIsGood,EndingBalance,""), "")</f>
        <v/>
      </c>
    </row>
    <row r="199" spans="2:8" ht="20.149999999999999" customHeight="1">
      <c r="B199" s="9" t="str">
        <f>IFERROR(IF(LoanIsNotPaid*LoanIsGood,PaymentNumber,""), "")</f>
        <v/>
      </c>
      <c r="C199" s="10" t="str">
        <f>IFERROR(IF(LoanIsNotPaid*LoanIsGood,PaymentDate,""), "")</f>
        <v/>
      </c>
      <c r="D199" s="11" t="str">
        <f>IFERROR(IF(LoanIsNotPaid*LoanIsGood,LoanValue,""), "")</f>
        <v/>
      </c>
      <c r="E199" s="11" t="str">
        <f>IFERROR(IF(LoanIsNotPaid*LoanIsGood,MonthlyPayment,""), "")</f>
        <v/>
      </c>
      <c r="F199" s="11" t="str">
        <f>IFERROR(IF(LoanIsNotPaid*LoanIsGood,Principal,""), "")</f>
        <v/>
      </c>
      <c r="G199" s="11" t="str">
        <f>IFERROR(IF(LoanIsNotPaid*LoanIsGood,InterestAmt,""), "")</f>
        <v/>
      </c>
      <c r="H199" s="11" t="str">
        <f>IFERROR(IF(LoanIsNotPaid*LoanIsGood,EndingBalance,""), "")</f>
        <v/>
      </c>
    </row>
    <row r="200" spans="2:8" ht="20.149999999999999" customHeight="1">
      <c r="B200" s="9" t="str">
        <f>IFERROR(IF(LoanIsNotPaid*LoanIsGood,PaymentNumber,""), "")</f>
        <v/>
      </c>
      <c r="C200" s="10" t="str">
        <f>IFERROR(IF(LoanIsNotPaid*LoanIsGood,PaymentDate,""), "")</f>
        <v/>
      </c>
      <c r="D200" s="11" t="str">
        <f>IFERROR(IF(LoanIsNotPaid*LoanIsGood,LoanValue,""), "")</f>
        <v/>
      </c>
      <c r="E200" s="11" t="str">
        <f>IFERROR(IF(LoanIsNotPaid*LoanIsGood,MonthlyPayment,""), "")</f>
        <v/>
      </c>
      <c r="F200" s="11" t="str">
        <f>IFERROR(IF(LoanIsNotPaid*LoanIsGood,Principal,""), "")</f>
        <v/>
      </c>
      <c r="G200" s="11" t="str">
        <f>IFERROR(IF(LoanIsNotPaid*LoanIsGood,InterestAmt,""), "")</f>
        <v/>
      </c>
      <c r="H200" s="11" t="str">
        <f>IFERROR(IF(LoanIsNotPaid*LoanIsGood,EndingBalance,""), "")</f>
        <v/>
      </c>
    </row>
    <row r="201" spans="2:8" ht="20.149999999999999" customHeight="1">
      <c r="B201" s="9" t="str">
        <f>IFERROR(IF(LoanIsNotPaid*LoanIsGood,PaymentNumber,""), "")</f>
        <v/>
      </c>
      <c r="C201" s="10" t="str">
        <f>IFERROR(IF(LoanIsNotPaid*LoanIsGood,PaymentDate,""), "")</f>
        <v/>
      </c>
      <c r="D201" s="11" t="str">
        <f>IFERROR(IF(LoanIsNotPaid*LoanIsGood,LoanValue,""), "")</f>
        <v/>
      </c>
      <c r="E201" s="11" t="str">
        <f>IFERROR(IF(LoanIsNotPaid*LoanIsGood,MonthlyPayment,""), "")</f>
        <v/>
      </c>
      <c r="F201" s="11" t="str">
        <f>IFERROR(IF(LoanIsNotPaid*LoanIsGood,Principal,""), "")</f>
        <v/>
      </c>
      <c r="G201" s="11" t="str">
        <f>IFERROR(IF(LoanIsNotPaid*LoanIsGood,InterestAmt,""), "")</f>
        <v/>
      </c>
      <c r="H201" s="11" t="str">
        <f>IFERROR(IF(LoanIsNotPaid*LoanIsGood,EndingBalance,""), "")</f>
        <v/>
      </c>
    </row>
    <row r="202" spans="2:8" ht="20.149999999999999" customHeight="1">
      <c r="B202" s="9" t="str">
        <f>IFERROR(IF(LoanIsNotPaid*LoanIsGood,PaymentNumber,""), "")</f>
        <v/>
      </c>
      <c r="C202" s="10" t="str">
        <f>IFERROR(IF(LoanIsNotPaid*LoanIsGood,PaymentDate,""), "")</f>
        <v/>
      </c>
      <c r="D202" s="11" t="str">
        <f>IFERROR(IF(LoanIsNotPaid*LoanIsGood,LoanValue,""), "")</f>
        <v/>
      </c>
      <c r="E202" s="11" t="str">
        <f>IFERROR(IF(LoanIsNotPaid*LoanIsGood,MonthlyPayment,""), "")</f>
        <v/>
      </c>
      <c r="F202" s="11" t="str">
        <f>IFERROR(IF(LoanIsNotPaid*LoanIsGood,Principal,""), "")</f>
        <v/>
      </c>
      <c r="G202" s="11" t="str">
        <f>IFERROR(IF(LoanIsNotPaid*LoanIsGood,InterestAmt,""), "")</f>
        <v/>
      </c>
      <c r="H202" s="11" t="str">
        <f>IFERROR(IF(LoanIsNotPaid*LoanIsGood,EndingBalance,""), "")</f>
        <v/>
      </c>
    </row>
    <row r="203" spans="2:8" ht="20.149999999999999" customHeight="1">
      <c r="B203" s="9" t="str">
        <f>IFERROR(IF(LoanIsNotPaid*LoanIsGood,PaymentNumber,""), "")</f>
        <v/>
      </c>
      <c r="C203" s="10" t="str">
        <f>IFERROR(IF(LoanIsNotPaid*LoanIsGood,PaymentDate,""), "")</f>
        <v/>
      </c>
      <c r="D203" s="11" t="str">
        <f>IFERROR(IF(LoanIsNotPaid*LoanIsGood,LoanValue,""), "")</f>
        <v/>
      </c>
      <c r="E203" s="11" t="str">
        <f>IFERROR(IF(LoanIsNotPaid*LoanIsGood,MonthlyPayment,""), "")</f>
        <v/>
      </c>
      <c r="F203" s="11" t="str">
        <f>IFERROR(IF(LoanIsNotPaid*LoanIsGood,Principal,""), "")</f>
        <v/>
      </c>
      <c r="G203" s="11" t="str">
        <f>IFERROR(IF(LoanIsNotPaid*LoanIsGood,InterestAmt,""), "")</f>
        <v/>
      </c>
      <c r="H203" s="11" t="str">
        <f>IFERROR(IF(LoanIsNotPaid*LoanIsGood,EndingBalance,""), "")</f>
        <v/>
      </c>
    </row>
    <row r="204" spans="2:8" ht="20.149999999999999" customHeight="1">
      <c r="B204" s="9" t="str">
        <f>IFERROR(IF(LoanIsNotPaid*LoanIsGood,PaymentNumber,""), "")</f>
        <v/>
      </c>
      <c r="C204" s="10" t="str">
        <f>IFERROR(IF(LoanIsNotPaid*LoanIsGood,PaymentDate,""), "")</f>
        <v/>
      </c>
      <c r="D204" s="11" t="str">
        <f>IFERROR(IF(LoanIsNotPaid*LoanIsGood,LoanValue,""), "")</f>
        <v/>
      </c>
      <c r="E204" s="11" t="str">
        <f>IFERROR(IF(LoanIsNotPaid*LoanIsGood,MonthlyPayment,""), "")</f>
        <v/>
      </c>
      <c r="F204" s="11" t="str">
        <f>IFERROR(IF(LoanIsNotPaid*LoanIsGood,Principal,""), "")</f>
        <v/>
      </c>
      <c r="G204" s="11" t="str">
        <f>IFERROR(IF(LoanIsNotPaid*LoanIsGood,InterestAmt,""), "")</f>
        <v/>
      </c>
      <c r="H204" s="11" t="str">
        <f>IFERROR(IF(LoanIsNotPaid*LoanIsGood,EndingBalance,""), "")</f>
        <v/>
      </c>
    </row>
    <row r="205" spans="2:8" ht="20.149999999999999" customHeight="1">
      <c r="B205" s="9" t="str">
        <f>IFERROR(IF(LoanIsNotPaid*LoanIsGood,PaymentNumber,""), "")</f>
        <v/>
      </c>
      <c r="C205" s="10" t="str">
        <f>IFERROR(IF(LoanIsNotPaid*LoanIsGood,PaymentDate,""), "")</f>
        <v/>
      </c>
      <c r="D205" s="11" t="str">
        <f>IFERROR(IF(LoanIsNotPaid*LoanIsGood,LoanValue,""), "")</f>
        <v/>
      </c>
      <c r="E205" s="11" t="str">
        <f>IFERROR(IF(LoanIsNotPaid*LoanIsGood,MonthlyPayment,""), "")</f>
        <v/>
      </c>
      <c r="F205" s="11" t="str">
        <f>IFERROR(IF(LoanIsNotPaid*LoanIsGood,Principal,""), "")</f>
        <v/>
      </c>
      <c r="G205" s="11" t="str">
        <f>IFERROR(IF(LoanIsNotPaid*LoanIsGood,InterestAmt,""), "")</f>
        <v/>
      </c>
      <c r="H205" s="11" t="str">
        <f>IFERROR(IF(LoanIsNotPaid*LoanIsGood,EndingBalance,""), "")</f>
        <v/>
      </c>
    </row>
    <row r="206" spans="2:8" ht="20.149999999999999" customHeight="1">
      <c r="B206" s="9" t="str">
        <f>IFERROR(IF(LoanIsNotPaid*LoanIsGood,PaymentNumber,""), "")</f>
        <v/>
      </c>
      <c r="C206" s="10" t="str">
        <f>IFERROR(IF(LoanIsNotPaid*LoanIsGood,PaymentDate,""), "")</f>
        <v/>
      </c>
      <c r="D206" s="11" t="str">
        <f>IFERROR(IF(LoanIsNotPaid*LoanIsGood,LoanValue,""), "")</f>
        <v/>
      </c>
      <c r="E206" s="11" t="str">
        <f>IFERROR(IF(LoanIsNotPaid*LoanIsGood,MonthlyPayment,""), "")</f>
        <v/>
      </c>
      <c r="F206" s="11" t="str">
        <f>IFERROR(IF(LoanIsNotPaid*LoanIsGood,Principal,""), "")</f>
        <v/>
      </c>
      <c r="G206" s="11" t="str">
        <f>IFERROR(IF(LoanIsNotPaid*LoanIsGood,InterestAmt,""), "")</f>
        <v/>
      </c>
      <c r="H206" s="11" t="str">
        <f>IFERROR(IF(LoanIsNotPaid*LoanIsGood,EndingBalance,""), "")</f>
        <v/>
      </c>
    </row>
    <row r="207" spans="2:8" ht="20.149999999999999" customHeight="1">
      <c r="B207" s="9" t="str">
        <f>IFERROR(IF(LoanIsNotPaid*LoanIsGood,PaymentNumber,""), "")</f>
        <v/>
      </c>
      <c r="C207" s="10" t="str">
        <f>IFERROR(IF(LoanIsNotPaid*LoanIsGood,PaymentDate,""), "")</f>
        <v/>
      </c>
      <c r="D207" s="11" t="str">
        <f>IFERROR(IF(LoanIsNotPaid*LoanIsGood,LoanValue,""), "")</f>
        <v/>
      </c>
      <c r="E207" s="11" t="str">
        <f>IFERROR(IF(LoanIsNotPaid*LoanIsGood,MonthlyPayment,""), "")</f>
        <v/>
      </c>
      <c r="F207" s="11" t="str">
        <f>IFERROR(IF(LoanIsNotPaid*LoanIsGood,Principal,""), "")</f>
        <v/>
      </c>
      <c r="G207" s="11" t="str">
        <f>IFERROR(IF(LoanIsNotPaid*LoanIsGood,InterestAmt,""), "")</f>
        <v/>
      </c>
      <c r="H207" s="11" t="str">
        <f>IFERROR(IF(LoanIsNotPaid*LoanIsGood,EndingBalance,""), "")</f>
        <v/>
      </c>
    </row>
    <row r="208" spans="2:8" ht="20.149999999999999" customHeight="1">
      <c r="B208" s="9" t="str">
        <f>IFERROR(IF(LoanIsNotPaid*LoanIsGood,PaymentNumber,""), "")</f>
        <v/>
      </c>
      <c r="C208" s="10" t="str">
        <f>IFERROR(IF(LoanIsNotPaid*LoanIsGood,PaymentDate,""), "")</f>
        <v/>
      </c>
      <c r="D208" s="11" t="str">
        <f>IFERROR(IF(LoanIsNotPaid*LoanIsGood,LoanValue,""), "")</f>
        <v/>
      </c>
      <c r="E208" s="11" t="str">
        <f>IFERROR(IF(LoanIsNotPaid*LoanIsGood,MonthlyPayment,""), "")</f>
        <v/>
      </c>
      <c r="F208" s="11" t="str">
        <f>IFERROR(IF(LoanIsNotPaid*LoanIsGood,Principal,""), "")</f>
        <v/>
      </c>
      <c r="G208" s="11" t="str">
        <f>IFERROR(IF(LoanIsNotPaid*LoanIsGood,InterestAmt,""), "")</f>
        <v/>
      </c>
      <c r="H208" s="11" t="str">
        <f>IFERROR(IF(LoanIsNotPaid*LoanIsGood,EndingBalance,""), "")</f>
        <v/>
      </c>
    </row>
    <row r="209" spans="2:8" ht="20.149999999999999" customHeight="1">
      <c r="B209" s="9" t="str">
        <f>IFERROR(IF(LoanIsNotPaid*LoanIsGood,PaymentNumber,""), "")</f>
        <v/>
      </c>
      <c r="C209" s="10" t="str">
        <f>IFERROR(IF(LoanIsNotPaid*LoanIsGood,PaymentDate,""), "")</f>
        <v/>
      </c>
      <c r="D209" s="11" t="str">
        <f>IFERROR(IF(LoanIsNotPaid*LoanIsGood,LoanValue,""), "")</f>
        <v/>
      </c>
      <c r="E209" s="11" t="str">
        <f>IFERROR(IF(LoanIsNotPaid*LoanIsGood,MonthlyPayment,""), "")</f>
        <v/>
      </c>
      <c r="F209" s="11" t="str">
        <f>IFERROR(IF(LoanIsNotPaid*LoanIsGood,Principal,""), "")</f>
        <v/>
      </c>
      <c r="G209" s="11" t="str">
        <f>IFERROR(IF(LoanIsNotPaid*LoanIsGood,InterestAmt,""), "")</f>
        <v/>
      </c>
      <c r="H209" s="11" t="str">
        <f>IFERROR(IF(LoanIsNotPaid*LoanIsGood,EndingBalance,""), "")</f>
        <v/>
      </c>
    </row>
    <row r="210" spans="2:8" ht="20.149999999999999" customHeight="1">
      <c r="B210" s="9" t="str">
        <f>IFERROR(IF(LoanIsNotPaid*LoanIsGood,PaymentNumber,""), "")</f>
        <v/>
      </c>
      <c r="C210" s="10" t="str">
        <f>IFERROR(IF(LoanIsNotPaid*LoanIsGood,PaymentDate,""), "")</f>
        <v/>
      </c>
      <c r="D210" s="11" t="str">
        <f>IFERROR(IF(LoanIsNotPaid*LoanIsGood,LoanValue,""), "")</f>
        <v/>
      </c>
      <c r="E210" s="11" t="str">
        <f>IFERROR(IF(LoanIsNotPaid*LoanIsGood,MonthlyPayment,""), "")</f>
        <v/>
      </c>
      <c r="F210" s="11" t="str">
        <f>IFERROR(IF(LoanIsNotPaid*LoanIsGood,Principal,""), "")</f>
        <v/>
      </c>
      <c r="G210" s="11" t="str">
        <f>IFERROR(IF(LoanIsNotPaid*LoanIsGood,InterestAmt,""), "")</f>
        <v/>
      </c>
      <c r="H210" s="11" t="str">
        <f>IFERROR(IF(LoanIsNotPaid*LoanIsGood,EndingBalance,""), "")</f>
        <v/>
      </c>
    </row>
    <row r="211" spans="2:8" ht="20.149999999999999" customHeight="1">
      <c r="B211" s="9" t="str">
        <f>IFERROR(IF(LoanIsNotPaid*LoanIsGood,PaymentNumber,""), "")</f>
        <v/>
      </c>
      <c r="C211" s="10" t="str">
        <f>IFERROR(IF(LoanIsNotPaid*LoanIsGood,PaymentDate,""), "")</f>
        <v/>
      </c>
      <c r="D211" s="11" t="str">
        <f>IFERROR(IF(LoanIsNotPaid*LoanIsGood,LoanValue,""), "")</f>
        <v/>
      </c>
      <c r="E211" s="11" t="str">
        <f>IFERROR(IF(LoanIsNotPaid*LoanIsGood,MonthlyPayment,""), "")</f>
        <v/>
      </c>
      <c r="F211" s="11" t="str">
        <f>IFERROR(IF(LoanIsNotPaid*LoanIsGood,Principal,""), "")</f>
        <v/>
      </c>
      <c r="G211" s="11" t="str">
        <f>IFERROR(IF(LoanIsNotPaid*LoanIsGood,InterestAmt,""), "")</f>
        <v/>
      </c>
      <c r="H211" s="11" t="str">
        <f>IFERROR(IF(LoanIsNotPaid*LoanIsGood,EndingBalance,""), "")</f>
        <v/>
      </c>
    </row>
    <row r="212" spans="2:8" ht="20.149999999999999" customHeight="1">
      <c r="B212" s="9" t="str">
        <f>IFERROR(IF(LoanIsNotPaid*LoanIsGood,PaymentNumber,""), "")</f>
        <v/>
      </c>
      <c r="C212" s="10" t="str">
        <f>IFERROR(IF(LoanIsNotPaid*LoanIsGood,PaymentDate,""), "")</f>
        <v/>
      </c>
      <c r="D212" s="11" t="str">
        <f>IFERROR(IF(LoanIsNotPaid*LoanIsGood,LoanValue,""), "")</f>
        <v/>
      </c>
      <c r="E212" s="11" t="str">
        <f>IFERROR(IF(LoanIsNotPaid*LoanIsGood,MonthlyPayment,""), "")</f>
        <v/>
      </c>
      <c r="F212" s="11" t="str">
        <f>IFERROR(IF(LoanIsNotPaid*LoanIsGood,Principal,""), "")</f>
        <v/>
      </c>
      <c r="G212" s="11" t="str">
        <f>IFERROR(IF(LoanIsNotPaid*LoanIsGood,InterestAmt,""), "")</f>
        <v/>
      </c>
      <c r="H212" s="11" t="str">
        <f>IFERROR(IF(LoanIsNotPaid*LoanIsGood,EndingBalance,""), "")</f>
        <v/>
      </c>
    </row>
    <row r="213" spans="2:8" ht="20.149999999999999" customHeight="1">
      <c r="B213" s="9" t="str">
        <f>IFERROR(IF(LoanIsNotPaid*LoanIsGood,PaymentNumber,""), "")</f>
        <v/>
      </c>
      <c r="C213" s="10" t="str">
        <f>IFERROR(IF(LoanIsNotPaid*LoanIsGood,PaymentDate,""), "")</f>
        <v/>
      </c>
      <c r="D213" s="11" t="str">
        <f>IFERROR(IF(LoanIsNotPaid*LoanIsGood,LoanValue,""), "")</f>
        <v/>
      </c>
      <c r="E213" s="11" t="str">
        <f>IFERROR(IF(LoanIsNotPaid*LoanIsGood,MonthlyPayment,""), "")</f>
        <v/>
      </c>
      <c r="F213" s="11" t="str">
        <f>IFERROR(IF(LoanIsNotPaid*LoanIsGood,Principal,""), "")</f>
        <v/>
      </c>
      <c r="G213" s="11" t="str">
        <f>IFERROR(IF(LoanIsNotPaid*LoanIsGood,InterestAmt,""), "")</f>
        <v/>
      </c>
      <c r="H213" s="11" t="str">
        <f>IFERROR(IF(LoanIsNotPaid*LoanIsGood,EndingBalance,""), "")</f>
        <v/>
      </c>
    </row>
    <row r="214" spans="2:8" ht="20.149999999999999" customHeight="1">
      <c r="B214" s="9" t="str">
        <f>IFERROR(IF(LoanIsNotPaid*LoanIsGood,PaymentNumber,""), "")</f>
        <v/>
      </c>
      <c r="C214" s="10" t="str">
        <f>IFERROR(IF(LoanIsNotPaid*LoanIsGood,PaymentDate,""), "")</f>
        <v/>
      </c>
      <c r="D214" s="11" t="str">
        <f>IFERROR(IF(LoanIsNotPaid*LoanIsGood,LoanValue,""), "")</f>
        <v/>
      </c>
      <c r="E214" s="11" t="str">
        <f>IFERROR(IF(LoanIsNotPaid*LoanIsGood,MonthlyPayment,""), "")</f>
        <v/>
      </c>
      <c r="F214" s="11" t="str">
        <f>IFERROR(IF(LoanIsNotPaid*LoanIsGood,Principal,""), "")</f>
        <v/>
      </c>
      <c r="G214" s="11" t="str">
        <f>IFERROR(IF(LoanIsNotPaid*LoanIsGood,InterestAmt,""), "")</f>
        <v/>
      </c>
      <c r="H214" s="11" t="str">
        <f>IFERROR(IF(LoanIsNotPaid*LoanIsGood,EndingBalance,""), "")</f>
        <v/>
      </c>
    </row>
    <row r="215" spans="2:8" ht="20.149999999999999" customHeight="1">
      <c r="B215" s="9" t="str">
        <f>IFERROR(IF(LoanIsNotPaid*LoanIsGood,PaymentNumber,""), "")</f>
        <v/>
      </c>
      <c r="C215" s="10" t="str">
        <f>IFERROR(IF(LoanIsNotPaid*LoanIsGood,PaymentDate,""), "")</f>
        <v/>
      </c>
      <c r="D215" s="11" t="str">
        <f>IFERROR(IF(LoanIsNotPaid*LoanIsGood,LoanValue,""), "")</f>
        <v/>
      </c>
      <c r="E215" s="11" t="str">
        <f>IFERROR(IF(LoanIsNotPaid*LoanIsGood,MonthlyPayment,""), "")</f>
        <v/>
      </c>
      <c r="F215" s="11" t="str">
        <f>IFERROR(IF(LoanIsNotPaid*LoanIsGood,Principal,""), "")</f>
        <v/>
      </c>
      <c r="G215" s="11" t="str">
        <f>IFERROR(IF(LoanIsNotPaid*LoanIsGood,InterestAmt,""), "")</f>
        <v/>
      </c>
      <c r="H215" s="11" t="str">
        <f>IFERROR(IF(LoanIsNotPaid*LoanIsGood,EndingBalance,""), "")</f>
        <v/>
      </c>
    </row>
    <row r="216" spans="2:8" ht="20.149999999999999" customHeight="1">
      <c r="B216" s="9" t="str">
        <f>IFERROR(IF(LoanIsNotPaid*LoanIsGood,PaymentNumber,""), "")</f>
        <v/>
      </c>
      <c r="C216" s="10" t="str">
        <f>IFERROR(IF(LoanIsNotPaid*LoanIsGood,PaymentDate,""), "")</f>
        <v/>
      </c>
      <c r="D216" s="11" t="str">
        <f>IFERROR(IF(LoanIsNotPaid*LoanIsGood,LoanValue,""), "")</f>
        <v/>
      </c>
      <c r="E216" s="11" t="str">
        <f>IFERROR(IF(LoanIsNotPaid*LoanIsGood,MonthlyPayment,""), "")</f>
        <v/>
      </c>
      <c r="F216" s="11" t="str">
        <f>IFERROR(IF(LoanIsNotPaid*LoanIsGood,Principal,""), "")</f>
        <v/>
      </c>
      <c r="G216" s="11" t="str">
        <f>IFERROR(IF(LoanIsNotPaid*LoanIsGood,InterestAmt,""), "")</f>
        <v/>
      </c>
      <c r="H216" s="11" t="str">
        <f>IFERROR(IF(LoanIsNotPaid*LoanIsGood,EndingBalance,""), "")</f>
        <v/>
      </c>
    </row>
    <row r="217" spans="2:8" ht="20.149999999999999" customHeight="1">
      <c r="B217" s="9" t="str">
        <f>IFERROR(IF(LoanIsNotPaid*LoanIsGood,PaymentNumber,""), "")</f>
        <v/>
      </c>
      <c r="C217" s="10" t="str">
        <f>IFERROR(IF(LoanIsNotPaid*LoanIsGood,PaymentDate,""), "")</f>
        <v/>
      </c>
      <c r="D217" s="11" t="str">
        <f>IFERROR(IF(LoanIsNotPaid*LoanIsGood,LoanValue,""), "")</f>
        <v/>
      </c>
      <c r="E217" s="11" t="str">
        <f>IFERROR(IF(LoanIsNotPaid*LoanIsGood,MonthlyPayment,""), "")</f>
        <v/>
      </c>
      <c r="F217" s="11" t="str">
        <f>IFERROR(IF(LoanIsNotPaid*LoanIsGood,Principal,""), "")</f>
        <v/>
      </c>
      <c r="G217" s="11" t="str">
        <f>IFERROR(IF(LoanIsNotPaid*LoanIsGood,InterestAmt,""), "")</f>
        <v/>
      </c>
      <c r="H217" s="11" t="str">
        <f>IFERROR(IF(LoanIsNotPaid*LoanIsGood,EndingBalance,""), "")</f>
        <v/>
      </c>
    </row>
    <row r="218" spans="2:8" ht="20.149999999999999" customHeight="1">
      <c r="B218" s="9" t="str">
        <f>IFERROR(IF(LoanIsNotPaid*LoanIsGood,PaymentNumber,""), "")</f>
        <v/>
      </c>
      <c r="C218" s="10" t="str">
        <f>IFERROR(IF(LoanIsNotPaid*LoanIsGood,PaymentDate,""), "")</f>
        <v/>
      </c>
      <c r="D218" s="11" t="str">
        <f>IFERROR(IF(LoanIsNotPaid*LoanIsGood,LoanValue,""), "")</f>
        <v/>
      </c>
      <c r="E218" s="11" t="str">
        <f>IFERROR(IF(LoanIsNotPaid*LoanIsGood,MonthlyPayment,""), "")</f>
        <v/>
      </c>
      <c r="F218" s="11" t="str">
        <f>IFERROR(IF(LoanIsNotPaid*LoanIsGood,Principal,""), "")</f>
        <v/>
      </c>
      <c r="G218" s="11" t="str">
        <f>IFERROR(IF(LoanIsNotPaid*LoanIsGood,InterestAmt,""), "")</f>
        <v/>
      </c>
      <c r="H218" s="11" t="str">
        <f>IFERROR(IF(LoanIsNotPaid*LoanIsGood,EndingBalance,""), "")</f>
        <v/>
      </c>
    </row>
    <row r="219" spans="2:8" ht="20.149999999999999" customHeight="1">
      <c r="B219" s="9" t="str">
        <f>IFERROR(IF(LoanIsNotPaid*LoanIsGood,PaymentNumber,""), "")</f>
        <v/>
      </c>
      <c r="C219" s="10" t="str">
        <f>IFERROR(IF(LoanIsNotPaid*LoanIsGood,PaymentDate,""), "")</f>
        <v/>
      </c>
      <c r="D219" s="11" t="str">
        <f>IFERROR(IF(LoanIsNotPaid*LoanIsGood,LoanValue,""), "")</f>
        <v/>
      </c>
      <c r="E219" s="11" t="str">
        <f>IFERROR(IF(LoanIsNotPaid*LoanIsGood,MonthlyPayment,""), "")</f>
        <v/>
      </c>
      <c r="F219" s="11" t="str">
        <f>IFERROR(IF(LoanIsNotPaid*LoanIsGood,Principal,""), "")</f>
        <v/>
      </c>
      <c r="G219" s="11" t="str">
        <f>IFERROR(IF(LoanIsNotPaid*LoanIsGood,InterestAmt,""), "")</f>
        <v/>
      </c>
      <c r="H219" s="11" t="str">
        <f>IFERROR(IF(LoanIsNotPaid*LoanIsGood,EndingBalance,""), "")</f>
        <v/>
      </c>
    </row>
    <row r="220" spans="2:8" ht="20.149999999999999" customHeight="1">
      <c r="B220" s="9" t="str">
        <f>IFERROR(IF(LoanIsNotPaid*LoanIsGood,PaymentNumber,""), "")</f>
        <v/>
      </c>
      <c r="C220" s="10" t="str">
        <f>IFERROR(IF(LoanIsNotPaid*LoanIsGood,PaymentDate,""), "")</f>
        <v/>
      </c>
      <c r="D220" s="11" t="str">
        <f>IFERROR(IF(LoanIsNotPaid*LoanIsGood,LoanValue,""), "")</f>
        <v/>
      </c>
      <c r="E220" s="11" t="str">
        <f>IFERROR(IF(LoanIsNotPaid*LoanIsGood,MonthlyPayment,""), "")</f>
        <v/>
      </c>
      <c r="F220" s="11" t="str">
        <f>IFERROR(IF(LoanIsNotPaid*LoanIsGood,Principal,""), "")</f>
        <v/>
      </c>
      <c r="G220" s="11" t="str">
        <f>IFERROR(IF(LoanIsNotPaid*LoanIsGood,InterestAmt,""), "")</f>
        <v/>
      </c>
      <c r="H220" s="11" t="str">
        <f>IFERROR(IF(LoanIsNotPaid*LoanIsGood,EndingBalance,""), "")</f>
        <v/>
      </c>
    </row>
    <row r="221" spans="2:8" ht="20.149999999999999" customHeight="1">
      <c r="B221" s="9" t="str">
        <f>IFERROR(IF(LoanIsNotPaid*LoanIsGood,PaymentNumber,""), "")</f>
        <v/>
      </c>
      <c r="C221" s="10" t="str">
        <f>IFERROR(IF(LoanIsNotPaid*LoanIsGood,PaymentDate,""), "")</f>
        <v/>
      </c>
      <c r="D221" s="11" t="str">
        <f>IFERROR(IF(LoanIsNotPaid*LoanIsGood,LoanValue,""), "")</f>
        <v/>
      </c>
      <c r="E221" s="11" t="str">
        <f>IFERROR(IF(LoanIsNotPaid*LoanIsGood,MonthlyPayment,""), "")</f>
        <v/>
      </c>
      <c r="F221" s="11" t="str">
        <f>IFERROR(IF(LoanIsNotPaid*LoanIsGood,Principal,""), "")</f>
        <v/>
      </c>
      <c r="G221" s="11" t="str">
        <f>IFERROR(IF(LoanIsNotPaid*LoanIsGood,InterestAmt,""), "")</f>
        <v/>
      </c>
      <c r="H221" s="11" t="str">
        <f>IFERROR(IF(LoanIsNotPaid*LoanIsGood,EndingBalance,""), "")</f>
        <v/>
      </c>
    </row>
    <row r="222" spans="2:8" ht="20.149999999999999" customHeight="1">
      <c r="B222" s="9" t="str">
        <f>IFERROR(IF(LoanIsNotPaid*LoanIsGood,PaymentNumber,""), "")</f>
        <v/>
      </c>
      <c r="C222" s="10" t="str">
        <f>IFERROR(IF(LoanIsNotPaid*LoanIsGood,PaymentDate,""), "")</f>
        <v/>
      </c>
      <c r="D222" s="11" t="str">
        <f>IFERROR(IF(LoanIsNotPaid*LoanIsGood,LoanValue,""), "")</f>
        <v/>
      </c>
      <c r="E222" s="11" t="str">
        <f>IFERROR(IF(LoanIsNotPaid*LoanIsGood,MonthlyPayment,""), "")</f>
        <v/>
      </c>
      <c r="F222" s="11" t="str">
        <f>IFERROR(IF(LoanIsNotPaid*LoanIsGood,Principal,""), "")</f>
        <v/>
      </c>
      <c r="G222" s="11" t="str">
        <f>IFERROR(IF(LoanIsNotPaid*LoanIsGood,InterestAmt,""), "")</f>
        <v/>
      </c>
      <c r="H222" s="11" t="str">
        <f>IFERROR(IF(LoanIsNotPaid*LoanIsGood,EndingBalance,""), "")</f>
        <v/>
      </c>
    </row>
    <row r="223" spans="2:8" ht="20.149999999999999" customHeight="1">
      <c r="B223" s="9" t="str">
        <f>IFERROR(IF(LoanIsNotPaid*LoanIsGood,PaymentNumber,""), "")</f>
        <v/>
      </c>
      <c r="C223" s="10" t="str">
        <f>IFERROR(IF(LoanIsNotPaid*LoanIsGood,PaymentDate,""), "")</f>
        <v/>
      </c>
      <c r="D223" s="11" t="str">
        <f>IFERROR(IF(LoanIsNotPaid*LoanIsGood,LoanValue,""), "")</f>
        <v/>
      </c>
      <c r="E223" s="11" t="str">
        <f>IFERROR(IF(LoanIsNotPaid*LoanIsGood,MonthlyPayment,""), "")</f>
        <v/>
      </c>
      <c r="F223" s="11" t="str">
        <f>IFERROR(IF(LoanIsNotPaid*LoanIsGood,Principal,""), "")</f>
        <v/>
      </c>
      <c r="G223" s="11" t="str">
        <f>IFERROR(IF(LoanIsNotPaid*LoanIsGood,InterestAmt,""), "")</f>
        <v/>
      </c>
      <c r="H223" s="11" t="str">
        <f>IFERROR(IF(LoanIsNotPaid*LoanIsGood,EndingBalance,""), "")</f>
        <v/>
      </c>
    </row>
    <row r="224" spans="2:8" ht="20.149999999999999" customHeight="1">
      <c r="B224" s="9" t="str">
        <f>IFERROR(IF(LoanIsNotPaid*LoanIsGood,PaymentNumber,""), "")</f>
        <v/>
      </c>
      <c r="C224" s="10" t="str">
        <f>IFERROR(IF(LoanIsNotPaid*LoanIsGood,PaymentDate,""), "")</f>
        <v/>
      </c>
      <c r="D224" s="11" t="str">
        <f>IFERROR(IF(LoanIsNotPaid*LoanIsGood,LoanValue,""), "")</f>
        <v/>
      </c>
      <c r="E224" s="11" t="str">
        <f>IFERROR(IF(LoanIsNotPaid*LoanIsGood,MonthlyPayment,""), "")</f>
        <v/>
      </c>
      <c r="F224" s="11" t="str">
        <f>IFERROR(IF(LoanIsNotPaid*LoanIsGood,Principal,""), "")</f>
        <v/>
      </c>
      <c r="G224" s="11" t="str">
        <f>IFERROR(IF(LoanIsNotPaid*LoanIsGood,InterestAmt,""), "")</f>
        <v/>
      </c>
      <c r="H224" s="11" t="str">
        <f>IFERROR(IF(LoanIsNotPaid*LoanIsGood,EndingBalance,""), "")</f>
        <v/>
      </c>
    </row>
    <row r="225" spans="2:8" ht="20.149999999999999" customHeight="1">
      <c r="B225" s="9" t="str">
        <f>IFERROR(IF(LoanIsNotPaid*LoanIsGood,PaymentNumber,""), "")</f>
        <v/>
      </c>
      <c r="C225" s="10" t="str">
        <f>IFERROR(IF(LoanIsNotPaid*LoanIsGood,PaymentDate,""), "")</f>
        <v/>
      </c>
      <c r="D225" s="11" t="str">
        <f>IFERROR(IF(LoanIsNotPaid*LoanIsGood,LoanValue,""), "")</f>
        <v/>
      </c>
      <c r="E225" s="11" t="str">
        <f>IFERROR(IF(LoanIsNotPaid*LoanIsGood,MonthlyPayment,""), "")</f>
        <v/>
      </c>
      <c r="F225" s="11" t="str">
        <f>IFERROR(IF(LoanIsNotPaid*LoanIsGood,Principal,""), "")</f>
        <v/>
      </c>
      <c r="G225" s="11" t="str">
        <f>IFERROR(IF(LoanIsNotPaid*LoanIsGood,InterestAmt,""), "")</f>
        <v/>
      </c>
      <c r="H225" s="11" t="str">
        <f>IFERROR(IF(LoanIsNotPaid*LoanIsGood,EndingBalance,""), "")</f>
        <v/>
      </c>
    </row>
    <row r="226" spans="2:8" ht="20.149999999999999" customHeight="1">
      <c r="B226" s="9" t="str">
        <f>IFERROR(IF(LoanIsNotPaid*LoanIsGood,PaymentNumber,""), "")</f>
        <v/>
      </c>
      <c r="C226" s="10" t="str">
        <f>IFERROR(IF(LoanIsNotPaid*LoanIsGood,PaymentDate,""), "")</f>
        <v/>
      </c>
      <c r="D226" s="11" t="str">
        <f>IFERROR(IF(LoanIsNotPaid*LoanIsGood,LoanValue,""), "")</f>
        <v/>
      </c>
      <c r="E226" s="11" t="str">
        <f>IFERROR(IF(LoanIsNotPaid*LoanIsGood,MonthlyPayment,""), "")</f>
        <v/>
      </c>
      <c r="F226" s="11" t="str">
        <f>IFERROR(IF(LoanIsNotPaid*LoanIsGood,Principal,""), "")</f>
        <v/>
      </c>
      <c r="G226" s="11" t="str">
        <f>IFERROR(IF(LoanIsNotPaid*LoanIsGood,InterestAmt,""), "")</f>
        <v/>
      </c>
      <c r="H226" s="11" t="str">
        <f>IFERROR(IF(LoanIsNotPaid*LoanIsGood,EndingBalance,""), "")</f>
        <v/>
      </c>
    </row>
    <row r="227" spans="2:8" ht="20.149999999999999" customHeight="1">
      <c r="B227" s="9" t="str">
        <f>IFERROR(IF(LoanIsNotPaid*LoanIsGood,PaymentNumber,""), "")</f>
        <v/>
      </c>
      <c r="C227" s="10" t="str">
        <f>IFERROR(IF(LoanIsNotPaid*LoanIsGood,PaymentDate,""), "")</f>
        <v/>
      </c>
      <c r="D227" s="11" t="str">
        <f>IFERROR(IF(LoanIsNotPaid*LoanIsGood,LoanValue,""), "")</f>
        <v/>
      </c>
      <c r="E227" s="11" t="str">
        <f>IFERROR(IF(LoanIsNotPaid*LoanIsGood,MonthlyPayment,""), "")</f>
        <v/>
      </c>
      <c r="F227" s="11" t="str">
        <f>IFERROR(IF(LoanIsNotPaid*LoanIsGood,Principal,""), "")</f>
        <v/>
      </c>
      <c r="G227" s="11" t="str">
        <f>IFERROR(IF(LoanIsNotPaid*LoanIsGood,InterestAmt,""), "")</f>
        <v/>
      </c>
      <c r="H227" s="11" t="str">
        <f>IFERROR(IF(LoanIsNotPaid*LoanIsGood,EndingBalance,""), "")</f>
        <v/>
      </c>
    </row>
    <row r="228" spans="2:8" ht="20.149999999999999" customHeight="1">
      <c r="B228" s="9" t="str">
        <f>IFERROR(IF(LoanIsNotPaid*LoanIsGood,PaymentNumber,""), "")</f>
        <v/>
      </c>
      <c r="C228" s="10" t="str">
        <f>IFERROR(IF(LoanIsNotPaid*LoanIsGood,PaymentDate,""), "")</f>
        <v/>
      </c>
      <c r="D228" s="11" t="str">
        <f>IFERROR(IF(LoanIsNotPaid*LoanIsGood,LoanValue,""), "")</f>
        <v/>
      </c>
      <c r="E228" s="11" t="str">
        <f>IFERROR(IF(LoanIsNotPaid*LoanIsGood,MonthlyPayment,""), "")</f>
        <v/>
      </c>
      <c r="F228" s="11" t="str">
        <f>IFERROR(IF(LoanIsNotPaid*LoanIsGood,Principal,""), "")</f>
        <v/>
      </c>
      <c r="G228" s="11" t="str">
        <f>IFERROR(IF(LoanIsNotPaid*LoanIsGood,InterestAmt,""), "")</f>
        <v/>
      </c>
      <c r="H228" s="11" t="str">
        <f>IFERROR(IF(LoanIsNotPaid*LoanIsGood,EndingBalance,""), "")</f>
        <v/>
      </c>
    </row>
    <row r="229" spans="2:8" ht="20.149999999999999" customHeight="1">
      <c r="B229" s="9" t="str">
        <f>IFERROR(IF(LoanIsNotPaid*LoanIsGood,PaymentNumber,""), "")</f>
        <v/>
      </c>
      <c r="C229" s="10" t="str">
        <f>IFERROR(IF(LoanIsNotPaid*LoanIsGood,PaymentDate,""), "")</f>
        <v/>
      </c>
      <c r="D229" s="11" t="str">
        <f>IFERROR(IF(LoanIsNotPaid*LoanIsGood,LoanValue,""), "")</f>
        <v/>
      </c>
      <c r="E229" s="11" t="str">
        <f>IFERROR(IF(LoanIsNotPaid*LoanIsGood,MonthlyPayment,""), "")</f>
        <v/>
      </c>
      <c r="F229" s="11" t="str">
        <f>IFERROR(IF(LoanIsNotPaid*LoanIsGood,Principal,""), "")</f>
        <v/>
      </c>
      <c r="G229" s="11" t="str">
        <f>IFERROR(IF(LoanIsNotPaid*LoanIsGood,InterestAmt,""), "")</f>
        <v/>
      </c>
      <c r="H229" s="11" t="str">
        <f>IFERROR(IF(LoanIsNotPaid*LoanIsGood,EndingBalance,""), "")</f>
        <v/>
      </c>
    </row>
    <row r="230" spans="2:8" ht="20.149999999999999" customHeight="1">
      <c r="B230" s="9" t="str">
        <f>IFERROR(IF(LoanIsNotPaid*LoanIsGood,PaymentNumber,""), "")</f>
        <v/>
      </c>
      <c r="C230" s="10" t="str">
        <f>IFERROR(IF(LoanIsNotPaid*LoanIsGood,PaymentDate,""), "")</f>
        <v/>
      </c>
      <c r="D230" s="11" t="str">
        <f>IFERROR(IF(LoanIsNotPaid*LoanIsGood,LoanValue,""), "")</f>
        <v/>
      </c>
      <c r="E230" s="11" t="str">
        <f>IFERROR(IF(LoanIsNotPaid*LoanIsGood,MonthlyPayment,""), "")</f>
        <v/>
      </c>
      <c r="F230" s="11" t="str">
        <f>IFERROR(IF(LoanIsNotPaid*LoanIsGood,Principal,""), "")</f>
        <v/>
      </c>
      <c r="G230" s="11" t="str">
        <f>IFERROR(IF(LoanIsNotPaid*LoanIsGood,InterestAmt,""), "")</f>
        <v/>
      </c>
      <c r="H230" s="11" t="str">
        <f>IFERROR(IF(LoanIsNotPaid*LoanIsGood,EndingBalance,""), "")</f>
        <v/>
      </c>
    </row>
    <row r="231" spans="2:8" ht="20.149999999999999" customHeight="1">
      <c r="B231" s="9" t="str">
        <f>IFERROR(IF(LoanIsNotPaid*LoanIsGood,PaymentNumber,""), "")</f>
        <v/>
      </c>
      <c r="C231" s="10" t="str">
        <f>IFERROR(IF(LoanIsNotPaid*LoanIsGood,PaymentDate,""), "")</f>
        <v/>
      </c>
      <c r="D231" s="11" t="str">
        <f>IFERROR(IF(LoanIsNotPaid*LoanIsGood,LoanValue,""), "")</f>
        <v/>
      </c>
      <c r="E231" s="11" t="str">
        <f>IFERROR(IF(LoanIsNotPaid*LoanIsGood,MonthlyPayment,""), "")</f>
        <v/>
      </c>
      <c r="F231" s="11" t="str">
        <f>IFERROR(IF(LoanIsNotPaid*LoanIsGood,Principal,""), "")</f>
        <v/>
      </c>
      <c r="G231" s="11" t="str">
        <f>IFERROR(IF(LoanIsNotPaid*LoanIsGood,InterestAmt,""), "")</f>
        <v/>
      </c>
      <c r="H231" s="11" t="str">
        <f>IFERROR(IF(LoanIsNotPaid*LoanIsGood,EndingBalance,""), "")</f>
        <v/>
      </c>
    </row>
    <row r="232" spans="2:8" ht="20.149999999999999" customHeight="1">
      <c r="B232" s="9" t="str">
        <f>IFERROR(IF(LoanIsNotPaid*LoanIsGood,PaymentNumber,""), "")</f>
        <v/>
      </c>
      <c r="C232" s="10" t="str">
        <f>IFERROR(IF(LoanIsNotPaid*LoanIsGood,PaymentDate,""), "")</f>
        <v/>
      </c>
      <c r="D232" s="11" t="str">
        <f>IFERROR(IF(LoanIsNotPaid*LoanIsGood,LoanValue,""), "")</f>
        <v/>
      </c>
      <c r="E232" s="11" t="str">
        <f>IFERROR(IF(LoanIsNotPaid*LoanIsGood,MonthlyPayment,""), "")</f>
        <v/>
      </c>
      <c r="F232" s="11" t="str">
        <f>IFERROR(IF(LoanIsNotPaid*LoanIsGood,Principal,""), "")</f>
        <v/>
      </c>
      <c r="G232" s="11" t="str">
        <f>IFERROR(IF(LoanIsNotPaid*LoanIsGood,InterestAmt,""), "")</f>
        <v/>
      </c>
      <c r="H232" s="11" t="str">
        <f>IFERROR(IF(LoanIsNotPaid*LoanIsGood,EndingBalance,""), "")</f>
        <v/>
      </c>
    </row>
    <row r="233" spans="2:8" ht="20.149999999999999" customHeight="1">
      <c r="B233" s="9" t="str">
        <f>IFERROR(IF(LoanIsNotPaid*LoanIsGood,PaymentNumber,""), "")</f>
        <v/>
      </c>
      <c r="C233" s="10" t="str">
        <f>IFERROR(IF(LoanIsNotPaid*LoanIsGood,PaymentDate,""), "")</f>
        <v/>
      </c>
      <c r="D233" s="11" t="str">
        <f>IFERROR(IF(LoanIsNotPaid*LoanIsGood,LoanValue,""), "")</f>
        <v/>
      </c>
      <c r="E233" s="11" t="str">
        <f>IFERROR(IF(LoanIsNotPaid*LoanIsGood,MonthlyPayment,""), "")</f>
        <v/>
      </c>
      <c r="F233" s="11" t="str">
        <f>IFERROR(IF(LoanIsNotPaid*LoanIsGood,Principal,""), "")</f>
        <v/>
      </c>
      <c r="G233" s="11" t="str">
        <f>IFERROR(IF(LoanIsNotPaid*LoanIsGood,InterestAmt,""), "")</f>
        <v/>
      </c>
      <c r="H233" s="11" t="str">
        <f>IFERROR(IF(LoanIsNotPaid*LoanIsGood,EndingBalance,""), "")</f>
        <v/>
      </c>
    </row>
    <row r="234" spans="2:8" ht="20.149999999999999" customHeight="1">
      <c r="B234" s="9" t="str">
        <f>IFERROR(IF(LoanIsNotPaid*LoanIsGood,PaymentNumber,""), "")</f>
        <v/>
      </c>
      <c r="C234" s="10" t="str">
        <f>IFERROR(IF(LoanIsNotPaid*LoanIsGood,PaymentDate,""), "")</f>
        <v/>
      </c>
      <c r="D234" s="11" t="str">
        <f>IFERROR(IF(LoanIsNotPaid*LoanIsGood,LoanValue,""), "")</f>
        <v/>
      </c>
      <c r="E234" s="11" t="str">
        <f>IFERROR(IF(LoanIsNotPaid*LoanIsGood,MonthlyPayment,""), "")</f>
        <v/>
      </c>
      <c r="F234" s="11" t="str">
        <f>IFERROR(IF(LoanIsNotPaid*LoanIsGood,Principal,""), "")</f>
        <v/>
      </c>
      <c r="G234" s="11" t="str">
        <f>IFERROR(IF(LoanIsNotPaid*LoanIsGood,InterestAmt,""), "")</f>
        <v/>
      </c>
      <c r="H234" s="11" t="str">
        <f>IFERROR(IF(LoanIsNotPaid*LoanIsGood,EndingBalance,""), "")</f>
        <v/>
      </c>
    </row>
    <row r="235" spans="2:8" ht="20.149999999999999" customHeight="1">
      <c r="B235" s="9" t="str">
        <f>IFERROR(IF(LoanIsNotPaid*LoanIsGood,PaymentNumber,""), "")</f>
        <v/>
      </c>
      <c r="C235" s="10" t="str">
        <f>IFERROR(IF(LoanIsNotPaid*LoanIsGood,PaymentDate,""), "")</f>
        <v/>
      </c>
      <c r="D235" s="11" t="str">
        <f>IFERROR(IF(LoanIsNotPaid*LoanIsGood,LoanValue,""), "")</f>
        <v/>
      </c>
      <c r="E235" s="11" t="str">
        <f>IFERROR(IF(LoanIsNotPaid*LoanIsGood,MonthlyPayment,""), "")</f>
        <v/>
      </c>
      <c r="F235" s="11" t="str">
        <f>IFERROR(IF(LoanIsNotPaid*LoanIsGood,Principal,""), "")</f>
        <v/>
      </c>
      <c r="G235" s="11" t="str">
        <f>IFERROR(IF(LoanIsNotPaid*LoanIsGood,InterestAmt,""), "")</f>
        <v/>
      </c>
      <c r="H235" s="11" t="str">
        <f>IFERROR(IF(LoanIsNotPaid*LoanIsGood,EndingBalance,""), "")</f>
        <v/>
      </c>
    </row>
    <row r="236" spans="2:8" ht="20.149999999999999" customHeight="1">
      <c r="B236" s="9" t="str">
        <f>IFERROR(IF(LoanIsNotPaid*LoanIsGood,PaymentNumber,""), "")</f>
        <v/>
      </c>
      <c r="C236" s="10" t="str">
        <f>IFERROR(IF(LoanIsNotPaid*LoanIsGood,PaymentDate,""), "")</f>
        <v/>
      </c>
      <c r="D236" s="11" t="str">
        <f>IFERROR(IF(LoanIsNotPaid*LoanIsGood,LoanValue,""), "")</f>
        <v/>
      </c>
      <c r="E236" s="11" t="str">
        <f>IFERROR(IF(LoanIsNotPaid*LoanIsGood,MonthlyPayment,""), "")</f>
        <v/>
      </c>
      <c r="F236" s="11" t="str">
        <f>IFERROR(IF(LoanIsNotPaid*LoanIsGood,Principal,""), "")</f>
        <v/>
      </c>
      <c r="G236" s="11" t="str">
        <f>IFERROR(IF(LoanIsNotPaid*LoanIsGood,InterestAmt,""), "")</f>
        <v/>
      </c>
      <c r="H236" s="11" t="str">
        <f>IFERROR(IF(LoanIsNotPaid*LoanIsGood,EndingBalance,""), "")</f>
        <v/>
      </c>
    </row>
    <row r="237" spans="2:8" ht="20.149999999999999" customHeight="1">
      <c r="B237" s="9" t="str">
        <f>IFERROR(IF(LoanIsNotPaid*LoanIsGood,PaymentNumber,""), "")</f>
        <v/>
      </c>
      <c r="C237" s="10" t="str">
        <f>IFERROR(IF(LoanIsNotPaid*LoanIsGood,PaymentDate,""), "")</f>
        <v/>
      </c>
      <c r="D237" s="11" t="str">
        <f>IFERROR(IF(LoanIsNotPaid*LoanIsGood,LoanValue,""), "")</f>
        <v/>
      </c>
      <c r="E237" s="11" t="str">
        <f>IFERROR(IF(LoanIsNotPaid*LoanIsGood,MonthlyPayment,""), "")</f>
        <v/>
      </c>
      <c r="F237" s="11" t="str">
        <f>IFERROR(IF(LoanIsNotPaid*LoanIsGood,Principal,""), "")</f>
        <v/>
      </c>
      <c r="G237" s="11" t="str">
        <f>IFERROR(IF(LoanIsNotPaid*LoanIsGood,InterestAmt,""), "")</f>
        <v/>
      </c>
      <c r="H237" s="11" t="str">
        <f>IFERROR(IF(LoanIsNotPaid*LoanIsGood,EndingBalance,""), "")</f>
        <v/>
      </c>
    </row>
    <row r="238" spans="2:8" ht="20.149999999999999" customHeight="1">
      <c r="B238" s="9" t="str">
        <f>IFERROR(IF(LoanIsNotPaid*LoanIsGood,PaymentNumber,""), "")</f>
        <v/>
      </c>
      <c r="C238" s="10" t="str">
        <f>IFERROR(IF(LoanIsNotPaid*LoanIsGood,PaymentDate,""), "")</f>
        <v/>
      </c>
      <c r="D238" s="11" t="str">
        <f>IFERROR(IF(LoanIsNotPaid*LoanIsGood,LoanValue,""), "")</f>
        <v/>
      </c>
      <c r="E238" s="11" t="str">
        <f>IFERROR(IF(LoanIsNotPaid*LoanIsGood,MonthlyPayment,""), "")</f>
        <v/>
      </c>
      <c r="F238" s="11" t="str">
        <f>IFERROR(IF(LoanIsNotPaid*LoanIsGood,Principal,""), "")</f>
        <v/>
      </c>
      <c r="G238" s="11" t="str">
        <f>IFERROR(IF(LoanIsNotPaid*LoanIsGood,InterestAmt,""), "")</f>
        <v/>
      </c>
      <c r="H238" s="11" t="str">
        <f>IFERROR(IF(LoanIsNotPaid*LoanIsGood,EndingBalance,""), "")</f>
        <v/>
      </c>
    </row>
    <row r="239" spans="2:8" ht="20.149999999999999" customHeight="1">
      <c r="B239" s="9" t="str">
        <f>IFERROR(IF(LoanIsNotPaid*LoanIsGood,PaymentNumber,""), "")</f>
        <v/>
      </c>
      <c r="C239" s="10" t="str">
        <f>IFERROR(IF(LoanIsNotPaid*LoanIsGood,PaymentDate,""), "")</f>
        <v/>
      </c>
      <c r="D239" s="11" t="str">
        <f>IFERROR(IF(LoanIsNotPaid*LoanIsGood,LoanValue,""), "")</f>
        <v/>
      </c>
      <c r="E239" s="11" t="str">
        <f>IFERROR(IF(LoanIsNotPaid*LoanIsGood,MonthlyPayment,""), "")</f>
        <v/>
      </c>
      <c r="F239" s="11" t="str">
        <f>IFERROR(IF(LoanIsNotPaid*LoanIsGood,Principal,""), "")</f>
        <v/>
      </c>
      <c r="G239" s="11" t="str">
        <f>IFERROR(IF(LoanIsNotPaid*LoanIsGood,InterestAmt,""), "")</f>
        <v/>
      </c>
      <c r="H239" s="11" t="str">
        <f>IFERROR(IF(LoanIsNotPaid*LoanIsGood,EndingBalance,""), "")</f>
        <v/>
      </c>
    </row>
    <row r="240" spans="2:8" ht="20.149999999999999" customHeight="1">
      <c r="B240" s="9" t="str">
        <f>IFERROR(IF(LoanIsNotPaid*LoanIsGood,PaymentNumber,""), "")</f>
        <v/>
      </c>
      <c r="C240" s="10" t="str">
        <f>IFERROR(IF(LoanIsNotPaid*LoanIsGood,PaymentDate,""), "")</f>
        <v/>
      </c>
      <c r="D240" s="11" t="str">
        <f>IFERROR(IF(LoanIsNotPaid*LoanIsGood,LoanValue,""), "")</f>
        <v/>
      </c>
      <c r="E240" s="11" t="str">
        <f>IFERROR(IF(LoanIsNotPaid*LoanIsGood,MonthlyPayment,""), "")</f>
        <v/>
      </c>
      <c r="F240" s="11" t="str">
        <f>IFERROR(IF(LoanIsNotPaid*LoanIsGood,Principal,""), "")</f>
        <v/>
      </c>
      <c r="G240" s="11" t="str">
        <f>IFERROR(IF(LoanIsNotPaid*LoanIsGood,InterestAmt,""), "")</f>
        <v/>
      </c>
      <c r="H240" s="11" t="str">
        <f>IFERROR(IF(LoanIsNotPaid*LoanIsGood,EndingBalance,""), "")</f>
        <v/>
      </c>
    </row>
    <row r="241" spans="2:8" ht="20.149999999999999" customHeight="1">
      <c r="B241" s="9" t="str">
        <f>IFERROR(IF(LoanIsNotPaid*LoanIsGood,PaymentNumber,""), "")</f>
        <v/>
      </c>
      <c r="C241" s="10" t="str">
        <f>IFERROR(IF(LoanIsNotPaid*LoanIsGood,PaymentDate,""), "")</f>
        <v/>
      </c>
      <c r="D241" s="11" t="str">
        <f>IFERROR(IF(LoanIsNotPaid*LoanIsGood,LoanValue,""), "")</f>
        <v/>
      </c>
      <c r="E241" s="11" t="str">
        <f>IFERROR(IF(LoanIsNotPaid*LoanIsGood,MonthlyPayment,""), "")</f>
        <v/>
      </c>
      <c r="F241" s="11" t="str">
        <f>IFERROR(IF(LoanIsNotPaid*LoanIsGood,Principal,""), "")</f>
        <v/>
      </c>
      <c r="G241" s="11" t="str">
        <f>IFERROR(IF(LoanIsNotPaid*LoanIsGood,InterestAmt,""), "")</f>
        <v/>
      </c>
      <c r="H241" s="11" t="str">
        <f>IFERROR(IF(LoanIsNotPaid*LoanIsGood,EndingBalance,""), "")</f>
        <v/>
      </c>
    </row>
    <row r="242" spans="2:8" ht="20.149999999999999" customHeight="1">
      <c r="B242" s="9" t="str">
        <f>IFERROR(IF(LoanIsNotPaid*LoanIsGood,PaymentNumber,""), "")</f>
        <v/>
      </c>
      <c r="C242" s="10" t="str">
        <f>IFERROR(IF(LoanIsNotPaid*LoanIsGood,PaymentDate,""), "")</f>
        <v/>
      </c>
      <c r="D242" s="11" t="str">
        <f>IFERROR(IF(LoanIsNotPaid*LoanIsGood,LoanValue,""), "")</f>
        <v/>
      </c>
      <c r="E242" s="11" t="str">
        <f>IFERROR(IF(LoanIsNotPaid*LoanIsGood,MonthlyPayment,""), "")</f>
        <v/>
      </c>
      <c r="F242" s="11" t="str">
        <f>IFERROR(IF(LoanIsNotPaid*LoanIsGood,Principal,""), "")</f>
        <v/>
      </c>
      <c r="G242" s="11" t="str">
        <f>IFERROR(IF(LoanIsNotPaid*LoanIsGood,InterestAmt,""), "")</f>
        <v/>
      </c>
      <c r="H242" s="11" t="str">
        <f>IFERROR(IF(LoanIsNotPaid*LoanIsGood,EndingBalance,""), "")</f>
        <v/>
      </c>
    </row>
    <row r="243" spans="2:8" ht="20.149999999999999" customHeight="1">
      <c r="B243" s="9" t="str">
        <f>IFERROR(IF(LoanIsNotPaid*LoanIsGood,PaymentNumber,""), "")</f>
        <v/>
      </c>
      <c r="C243" s="10" t="str">
        <f>IFERROR(IF(LoanIsNotPaid*LoanIsGood,PaymentDate,""), "")</f>
        <v/>
      </c>
      <c r="D243" s="11" t="str">
        <f>IFERROR(IF(LoanIsNotPaid*LoanIsGood,LoanValue,""), "")</f>
        <v/>
      </c>
      <c r="E243" s="11" t="str">
        <f>IFERROR(IF(LoanIsNotPaid*LoanIsGood,MonthlyPayment,""), "")</f>
        <v/>
      </c>
      <c r="F243" s="11" t="str">
        <f>IFERROR(IF(LoanIsNotPaid*LoanIsGood,Principal,""), "")</f>
        <v/>
      </c>
      <c r="G243" s="11" t="str">
        <f>IFERROR(IF(LoanIsNotPaid*LoanIsGood,InterestAmt,""), "")</f>
        <v/>
      </c>
      <c r="H243" s="11" t="str">
        <f>IFERROR(IF(LoanIsNotPaid*LoanIsGood,EndingBalance,""), "")</f>
        <v/>
      </c>
    </row>
    <row r="244" spans="2:8" ht="20.149999999999999" customHeight="1">
      <c r="B244" s="9" t="str">
        <f>IFERROR(IF(LoanIsNotPaid*LoanIsGood,PaymentNumber,""), "")</f>
        <v/>
      </c>
      <c r="C244" s="10" t="str">
        <f>IFERROR(IF(LoanIsNotPaid*LoanIsGood,PaymentDate,""), "")</f>
        <v/>
      </c>
      <c r="D244" s="11" t="str">
        <f>IFERROR(IF(LoanIsNotPaid*LoanIsGood,LoanValue,""), "")</f>
        <v/>
      </c>
      <c r="E244" s="11" t="str">
        <f>IFERROR(IF(LoanIsNotPaid*LoanIsGood,MonthlyPayment,""), "")</f>
        <v/>
      </c>
      <c r="F244" s="11" t="str">
        <f>IFERROR(IF(LoanIsNotPaid*LoanIsGood,Principal,""), "")</f>
        <v/>
      </c>
      <c r="G244" s="11" t="str">
        <f>IFERROR(IF(LoanIsNotPaid*LoanIsGood,InterestAmt,""), "")</f>
        <v/>
      </c>
      <c r="H244" s="11" t="str">
        <f>IFERROR(IF(LoanIsNotPaid*LoanIsGood,EndingBalance,""), "")</f>
        <v/>
      </c>
    </row>
    <row r="245" spans="2:8" ht="20.149999999999999" customHeight="1">
      <c r="B245" s="9" t="str">
        <f>IFERROR(IF(LoanIsNotPaid*LoanIsGood,PaymentNumber,""), "")</f>
        <v/>
      </c>
      <c r="C245" s="10" t="str">
        <f>IFERROR(IF(LoanIsNotPaid*LoanIsGood,PaymentDate,""), "")</f>
        <v/>
      </c>
      <c r="D245" s="11" t="str">
        <f>IFERROR(IF(LoanIsNotPaid*LoanIsGood,LoanValue,""), "")</f>
        <v/>
      </c>
      <c r="E245" s="11" t="str">
        <f>IFERROR(IF(LoanIsNotPaid*LoanIsGood,MonthlyPayment,""), "")</f>
        <v/>
      </c>
      <c r="F245" s="11" t="str">
        <f>IFERROR(IF(LoanIsNotPaid*LoanIsGood,Principal,""), "")</f>
        <v/>
      </c>
      <c r="G245" s="11" t="str">
        <f>IFERROR(IF(LoanIsNotPaid*LoanIsGood,InterestAmt,""), "")</f>
        <v/>
      </c>
      <c r="H245" s="11" t="str">
        <f>IFERROR(IF(LoanIsNotPaid*LoanIsGood,EndingBalance,""), "")</f>
        <v/>
      </c>
    </row>
    <row r="246" spans="2:8" ht="20.149999999999999" customHeight="1">
      <c r="B246" s="9" t="str">
        <f>IFERROR(IF(LoanIsNotPaid*LoanIsGood,PaymentNumber,""), "")</f>
        <v/>
      </c>
      <c r="C246" s="10" t="str">
        <f>IFERROR(IF(LoanIsNotPaid*LoanIsGood,PaymentDate,""), "")</f>
        <v/>
      </c>
      <c r="D246" s="11" t="str">
        <f>IFERROR(IF(LoanIsNotPaid*LoanIsGood,LoanValue,""), "")</f>
        <v/>
      </c>
      <c r="E246" s="11" t="str">
        <f>IFERROR(IF(LoanIsNotPaid*LoanIsGood,MonthlyPayment,""), "")</f>
        <v/>
      </c>
      <c r="F246" s="11" t="str">
        <f>IFERROR(IF(LoanIsNotPaid*LoanIsGood,Principal,""), "")</f>
        <v/>
      </c>
      <c r="G246" s="11" t="str">
        <f>IFERROR(IF(LoanIsNotPaid*LoanIsGood,InterestAmt,""), "")</f>
        <v/>
      </c>
      <c r="H246" s="11" t="str">
        <f>IFERROR(IF(LoanIsNotPaid*LoanIsGood,EndingBalance,""), "")</f>
        <v/>
      </c>
    </row>
    <row r="247" spans="2:8" ht="20.149999999999999" customHeight="1">
      <c r="B247" s="9" t="str">
        <f>IFERROR(IF(LoanIsNotPaid*LoanIsGood,PaymentNumber,""), "")</f>
        <v/>
      </c>
      <c r="C247" s="10" t="str">
        <f>IFERROR(IF(LoanIsNotPaid*LoanIsGood,PaymentDate,""), "")</f>
        <v/>
      </c>
      <c r="D247" s="11" t="str">
        <f>IFERROR(IF(LoanIsNotPaid*LoanIsGood,LoanValue,""), "")</f>
        <v/>
      </c>
      <c r="E247" s="11" t="str">
        <f>IFERROR(IF(LoanIsNotPaid*LoanIsGood,MonthlyPayment,""), "")</f>
        <v/>
      </c>
      <c r="F247" s="11" t="str">
        <f>IFERROR(IF(LoanIsNotPaid*LoanIsGood,Principal,""), "")</f>
        <v/>
      </c>
      <c r="G247" s="11" t="str">
        <f>IFERROR(IF(LoanIsNotPaid*LoanIsGood,InterestAmt,""), "")</f>
        <v/>
      </c>
      <c r="H247" s="11" t="str">
        <f>IFERROR(IF(LoanIsNotPaid*LoanIsGood,EndingBalance,""), "")</f>
        <v/>
      </c>
    </row>
    <row r="248" spans="2:8" ht="20.149999999999999" customHeight="1">
      <c r="B248" s="9" t="str">
        <f>IFERROR(IF(LoanIsNotPaid*LoanIsGood,PaymentNumber,""), "")</f>
        <v/>
      </c>
      <c r="C248" s="10" t="str">
        <f>IFERROR(IF(LoanIsNotPaid*LoanIsGood,PaymentDate,""), "")</f>
        <v/>
      </c>
      <c r="D248" s="11" t="str">
        <f>IFERROR(IF(LoanIsNotPaid*LoanIsGood,LoanValue,""), "")</f>
        <v/>
      </c>
      <c r="E248" s="11" t="str">
        <f>IFERROR(IF(LoanIsNotPaid*LoanIsGood,MonthlyPayment,""), "")</f>
        <v/>
      </c>
      <c r="F248" s="11" t="str">
        <f>IFERROR(IF(LoanIsNotPaid*LoanIsGood,Principal,""), "")</f>
        <v/>
      </c>
      <c r="G248" s="11" t="str">
        <f>IFERROR(IF(LoanIsNotPaid*LoanIsGood,InterestAmt,""), "")</f>
        <v/>
      </c>
      <c r="H248" s="11" t="str">
        <f>IFERROR(IF(LoanIsNotPaid*LoanIsGood,EndingBalance,""), "")</f>
        <v/>
      </c>
    </row>
    <row r="249" spans="2:8" ht="20.149999999999999" customHeight="1">
      <c r="B249" s="9" t="str">
        <f>IFERROR(IF(LoanIsNotPaid*LoanIsGood,PaymentNumber,""), "")</f>
        <v/>
      </c>
      <c r="C249" s="10" t="str">
        <f>IFERROR(IF(LoanIsNotPaid*LoanIsGood,PaymentDate,""), "")</f>
        <v/>
      </c>
      <c r="D249" s="11" t="str">
        <f>IFERROR(IF(LoanIsNotPaid*LoanIsGood,LoanValue,""), "")</f>
        <v/>
      </c>
      <c r="E249" s="11" t="str">
        <f>IFERROR(IF(LoanIsNotPaid*LoanIsGood,MonthlyPayment,""), "")</f>
        <v/>
      </c>
      <c r="F249" s="11" t="str">
        <f>IFERROR(IF(LoanIsNotPaid*LoanIsGood,Principal,""), "")</f>
        <v/>
      </c>
      <c r="G249" s="11" t="str">
        <f>IFERROR(IF(LoanIsNotPaid*LoanIsGood,InterestAmt,""), "")</f>
        <v/>
      </c>
      <c r="H249" s="11" t="str">
        <f>IFERROR(IF(LoanIsNotPaid*LoanIsGood,EndingBalance,""), "")</f>
        <v/>
      </c>
    </row>
    <row r="250" spans="2:8" ht="20.149999999999999" customHeight="1">
      <c r="B250" s="9" t="str">
        <f>IFERROR(IF(LoanIsNotPaid*LoanIsGood,PaymentNumber,""), "")</f>
        <v/>
      </c>
      <c r="C250" s="10" t="str">
        <f>IFERROR(IF(LoanIsNotPaid*LoanIsGood,PaymentDate,""), "")</f>
        <v/>
      </c>
      <c r="D250" s="11" t="str">
        <f>IFERROR(IF(LoanIsNotPaid*LoanIsGood,LoanValue,""), "")</f>
        <v/>
      </c>
      <c r="E250" s="11" t="str">
        <f>IFERROR(IF(LoanIsNotPaid*LoanIsGood,MonthlyPayment,""), "")</f>
        <v/>
      </c>
      <c r="F250" s="11" t="str">
        <f>IFERROR(IF(LoanIsNotPaid*LoanIsGood,Principal,""), "")</f>
        <v/>
      </c>
      <c r="G250" s="11" t="str">
        <f>IFERROR(IF(LoanIsNotPaid*LoanIsGood,InterestAmt,""), "")</f>
        <v/>
      </c>
      <c r="H250" s="11" t="str">
        <f>IFERROR(IF(LoanIsNotPaid*LoanIsGood,EndingBalance,""), "")</f>
        <v/>
      </c>
    </row>
    <row r="251" spans="2:8" ht="20.149999999999999" customHeight="1">
      <c r="B251" s="9" t="str">
        <f>IFERROR(IF(LoanIsNotPaid*LoanIsGood,PaymentNumber,""), "")</f>
        <v/>
      </c>
      <c r="C251" s="10" t="str">
        <f>IFERROR(IF(LoanIsNotPaid*LoanIsGood,PaymentDate,""), "")</f>
        <v/>
      </c>
      <c r="D251" s="11" t="str">
        <f>IFERROR(IF(LoanIsNotPaid*LoanIsGood,LoanValue,""), "")</f>
        <v/>
      </c>
      <c r="E251" s="11" t="str">
        <f>IFERROR(IF(LoanIsNotPaid*LoanIsGood,MonthlyPayment,""), "")</f>
        <v/>
      </c>
      <c r="F251" s="11" t="str">
        <f>IFERROR(IF(LoanIsNotPaid*LoanIsGood,Principal,""), "")</f>
        <v/>
      </c>
      <c r="G251" s="11" t="str">
        <f>IFERROR(IF(LoanIsNotPaid*LoanIsGood,InterestAmt,""), "")</f>
        <v/>
      </c>
      <c r="H251" s="11" t="str">
        <f>IFERROR(IF(LoanIsNotPaid*LoanIsGood,EndingBalance,""), "")</f>
        <v/>
      </c>
    </row>
    <row r="252" spans="2:8" ht="20.149999999999999" customHeight="1">
      <c r="B252" s="9" t="str">
        <f>IFERROR(IF(LoanIsNotPaid*LoanIsGood,PaymentNumber,""), "")</f>
        <v/>
      </c>
      <c r="C252" s="10" t="str">
        <f>IFERROR(IF(LoanIsNotPaid*LoanIsGood,PaymentDate,""), "")</f>
        <v/>
      </c>
      <c r="D252" s="11" t="str">
        <f>IFERROR(IF(LoanIsNotPaid*LoanIsGood,LoanValue,""), "")</f>
        <v/>
      </c>
      <c r="E252" s="11" t="str">
        <f>IFERROR(IF(LoanIsNotPaid*LoanIsGood,MonthlyPayment,""), "")</f>
        <v/>
      </c>
      <c r="F252" s="11" t="str">
        <f>IFERROR(IF(LoanIsNotPaid*LoanIsGood,Principal,""), "")</f>
        <v/>
      </c>
      <c r="G252" s="11" t="str">
        <f>IFERROR(IF(LoanIsNotPaid*LoanIsGood,InterestAmt,""), "")</f>
        <v/>
      </c>
      <c r="H252" s="11" t="str">
        <f>IFERROR(IF(LoanIsNotPaid*LoanIsGood,EndingBalance,""), "")</f>
        <v/>
      </c>
    </row>
    <row r="253" spans="2:8" ht="20.149999999999999" customHeight="1">
      <c r="B253" s="9" t="str">
        <f>IFERROR(IF(LoanIsNotPaid*LoanIsGood,PaymentNumber,""), "")</f>
        <v/>
      </c>
      <c r="C253" s="10" t="str">
        <f>IFERROR(IF(LoanIsNotPaid*LoanIsGood,PaymentDate,""), "")</f>
        <v/>
      </c>
      <c r="D253" s="11" t="str">
        <f>IFERROR(IF(LoanIsNotPaid*LoanIsGood,LoanValue,""), "")</f>
        <v/>
      </c>
      <c r="E253" s="11" t="str">
        <f>IFERROR(IF(LoanIsNotPaid*LoanIsGood,MonthlyPayment,""), "")</f>
        <v/>
      </c>
      <c r="F253" s="11" t="str">
        <f>IFERROR(IF(LoanIsNotPaid*LoanIsGood,Principal,""), "")</f>
        <v/>
      </c>
      <c r="G253" s="11" t="str">
        <f>IFERROR(IF(LoanIsNotPaid*LoanIsGood,InterestAmt,""), "")</f>
        <v/>
      </c>
      <c r="H253" s="11" t="str">
        <f>IFERROR(IF(LoanIsNotPaid*LoanIsGood,EndingBalance,""), "")</f>
        <v/>
      </c>
    </row>
    <row r="254" spans="2:8" ht="20.149999999999999" customHeight="1">
      <c r="B254" s="9" t="str">
        <f>IFERROR(IF(LoanIsNotPaid*LoanIsGood,PaymentNumber,""), "")</f>
        <v/>
      </c>
      <c r="C254" s="10" t="str">
        <f>IFERROR(IF(LoanIsNotPaid*LoanIsGood,PaymentDate,""), "")</f>
        <v/>
      </c>
      <c r="D254" s="11" t="str">
        <f>IFERROR(IF(LoanIsNotPaid*LoanIsGood,LoanValue,""), "")</f>
        <v/>
      </c>
      <c r="E254" s="11" t="str">
        <f>IFERROR(IF(LoanIsNotPaid*LoanIsGood,MonthlyPayment,""), "")</f>
        <v/>
      </c>
      <c r="F254" s="11" t="str">
        <f>IFERROR(IF(LoanIsNotPaid*LoanIsGood,Principal,""), "")</f>
        <v/>
      </c>
      <c r="G254" s="11" t="str">
        <f>IFERROR(IF(LoanIsNotPaid*LoanIsGood,InterestAmt,""), "")</f>
        <v/>
      </c>
      <c r="H254" s="11" t="str">
        <f>IFERROR(IF(LoanIsNotPaid*LoanIsGood,EndingBalance,""), "")</f>
        <v/>
      </c>
    </row>
    <row r="255" spans="2:8" ht="20.149999999999999" customHeight="1">
      <c r="B255" s="9" t="str">
        <f>IFERROR(IF(LoanIsNotPaid*LoanIsGood,PaymentNumber,""), "")</f>
        <v/>
      </c>
      <c r="C255" s="10" t="str">
        <f>IFERROR(IF(LoanIsNotPaid*LoanIsGood,PaymentDate,""), "")</f>
        <v/>
      </c>
      <c r="D255" s="11" t="str">
        <f>IFERROR(IF(LoanIsNotPaid*LoanIsGood,LoanValue,""), "")</f>
        <v/>
      </c>
      <c r="E255" s="11" t="str">
        <f>IFERROR(IF(LoanIsNotPaid*LoanIsGood,MonthlyPayment,""), "")</f>
        <v/>
      </c>
      <c r="F255" s="11" t="str">
        <f>IFERROR(IF(LoanIsNotPaid*LoanIsGood,Principal,""), "")</f>
        <v/>
      </c>
      <c r="G255" s="11" t="str">
        <f>IFERROR(IF(LoanIsNotPaid*LoanIsGood,InterestAmt,""), "")</f>
        <v/>
      </c>
      <c r="H255" s="11" t="str">
        <f>IFERROR(IF(LoanIsNotPaid*LoanIsGood,EndingBalance,""), "")</f>
        <v/>
      </c>
    </row>
    <row r="256" spans="2:8" ht="20.149999999999999" customHeight="1">
      <c r="B256" s="9" t="str">
        <f>IFERROR(IF(LoanIsNotPaid*LoanIsGood,PaymentNumber,""), "")</f>
        <v/>
      </c>
      <c r="C256" s="10" t="str">
        <f>IFERROR(IF(LoanIsNotPaid*LoanIsGood,PaymentDate,""), "")</f>
        <v/>
      </c>
      <c r="D256" s="11" t="str">
        <f>IFERROR(IF(LoanIsNotPaid*LoanIsGood,LoanValue,""), "")</f>
        <v/>
      </c>
      <c r="E256" s="11" t="str">
        <f>IFERROR(IF(LoanIsNotPaid*LoanIsGood,MonthlyPayment,""), "")</f>
        <v/>
      </c>
      <c r="F256" s="11" t="str">
        <f>IFERROR(IF(LoanIsNotPaid*LoanIsGood,Principal,""), "")</f>
        <v/>
      </c>
      <c r="G256" s="11" t="str">
        <f>IFERROR(IF(LoanIsNotPaid*LoanIsGood,InterestAmt,""), "")</f>
        <v/>
      </c>
      <c r="H256" s="11" t="str">
        <f>IFERROR(IF(LoanIsNotPaid*LoanIsGood,EndingBalance,""), "")</f>
        <v/>
      </c>
    </row>
    <row r="257" spans="2:8" ht="20.149999999999999" customHeight="1">
      <c r="B257" s="9" t="str">
        <f>IFERROR(IF(LoanIsNotPaid*LoanIsGood,PaymentNumber,""), "")</f>
        <v/>
      </c>
      <c r="C257" s="10" t="str">
        <f>IFERROR(IF(LoanIsNotPaid*LoanIsGood,PaymentDate,""), "")</f>
        <v/>
      </c>
      <c r="D257" s="11" t="str">
        <f>IFERROR(IF(LoanIsNotPaid*LoanIsGood,LoanValue,""), "")</f>
        <v/>
      </c>
      <c r="E257" s="11" t="str">
        <f>IFERROR(IF(LoanIsNotPaid*LoanIsGood,MonthlyPayment,""), "")</f>
        <v/>
      </c>
      <c r="F257" s="11" t="str">
        <f>IFERROR(IF(LoanIsNotPaid*LoanIsGood,Principal,""), "")</f>
        <v/>
      </c>
      <c r="G257" s="11" t="str">
        <f>IFERROR(IF(LoanIsNotPaid*LoanIsGood,InterestAmt,""), "")</f>
        <v/>
      </c>
      <c r="H257" s="11" t="str">
        <f>IFERROR(IF(LoanIsNotPaid*LoanIsGood,EndingBalance,""), "")</f>
        <v/>
      </c>
    </row>
    <row r="258" spans="2:8" ht="20.149999999999999" customHeight="1">
      <c r="B258" s="9" t="str">
        <f>IFERROR(IF(LoanIsNotPaid*LoanIsGood,PaymentNumber,""), "")</f>
        <v/>
      </c>
      <c r="C258" s="10" t="str">
        <f>IFERROR(IF(LoanIsNotPaid*LoanIsGood,PaymentDate,""), "")</f>
        <v/>
      </c>
      <c r="D258" s="11" t="str">
        <f>IFERROR(IF(LoanIsNotPaid*LoanIsGood,LoanValue,""), "")</f>
        <v/>
      </c>
      <c r="E258" s="11" t="str">
        <f>IFERROR(IF(LoanIsNotPaid*LoanIsGood,MonthlyPayment,""), "")</f>
        <v/>
      </c>
      <c r="F258" s="11" t="str">
        <f>IFERROR(IF(LoanIsNotPaid*LoanIsGood,Principal,""), "")</f>
        <v/>
      </c>
      <c r="G258" s="11" t="str">
        <f>IFERROR(IF(LoanIsNotPaid*LoanIsGood,InterestAmt,""), "")</f>
        <v/>
      </c>
      <c r="H258" s="11" t="str">
        <f>IFERROR(IF(LoanIsNotPaid*LoanIsGood,EndingBalance,""), "")</f>
        <v/>
      </c>
    </row>
    <row r="259" spans="2:8" ht="20.149999999999999" customHeight="1">
      <c r="B259" s="9" t="str">
        <f>IFERROR(IF(LoanIsNotPaid*LoanIsGood,PaymentNumber,""), "")</f>
        <v/>
      </c>
      <c r="C259" s="10" t="str">
        <f>IFERROR(IF(LoanIsNotPaid*LoanIsGood,PaymentDate,""), "")</f>
        <v/>
      </c>
      <c r="D259" s="11" t="str">
        <f>IFERROR(IF(LoanIsNotPaid*LoanIsGood,LoanValue,""), "")</f>
        <v/>
      </c>
      <c r="E259" s="11" t="str">
        <f>IFERROR(IF(LoanIsNotPaid*LoanIsGood,MonthlyPayment,""), "")</f>
        <v/>
      </c>
      <c r="F259" s="11" t="str">
        <f>IFERROR(IF(LoanIsNotPaid*LoanIsGood,Principal,""), "")</f>
        <v/>
      </c>
      <c r="G259" s="11" t="str">
        <f>IFERROR(IF(LoanIsNotPaid*LoanIsGood,InterestAmt,""), "")</f>
        <v/>
      </c>
      <c r="H259" s="11" t="str">
        <f>IFERROR(IF(LoanIsNotPaid*LoanIsGood,EndingBalance,""), "")</f>
        <v/>
      </c>
    </row>
    <row r="260" spans="2:8" ht="20.149999999999999" customHeight="1">
      <c r="B260" s="9" t="str">
        <f>IFERROR(IF(LoanIsNotPaid*LoanIsGood,PaymentNumber,""), "")</f>
        <v/>
      </c>
      <c r="C260" s="10" t="str">
        <f>IFERROR(IF(LoanIsNotPaid*LoanIsGood,PaymentDate,""), "")</f>
        <v/>
      </c>
      <c r="D260" s="11" t="str">
        <f>IFERROR(IF(LoanIsNotPaid*LoanIsGood,LoanValue,""), "")</f>
        <v/>
      </c>
      <c r="E260" s="11" t="str">
        <f>IFERROR(IF(LoanIsNotPaid*LoanIsGood,MonthlyPayment,""), "")</f>
        <v/>
      </c>
      <c r="F260" s="11" t="str">
        <f>IFERROR(IF(LoanIsNotPaid*LoanIsGood,Principal,""), "")</f>
        <v/>
      </c>
      <c r="G260" s="11" t="str">
        <f>IFERROR(IF(LoanIsNotPaid*LoanIsGood,InterestAmt,""), "")</f>
        <v/>
      </c>
      <c r="H260" s="11" t="str">
        <f>IFERROR(IF(LoanIsNotPaid*LoanIsGood,EndingBalance,""), "")</f>
        <v/>
      </c>
    </row>
    <row r="261" spans="2:8" ht="20.149999999999999" customHeight="1">
      <c r="B261" s="9" t="str">
        <f>IFERROR(IF(LoanIsNotPaid*LoanIsGood,PaymentNumber,""), "")</f>
        <v/>
      </c>
      <c r="C261" s="10" t="str">
        <f>IFERROR(IF(LoanIsNotPaid*LoanIsGood,PaymentDate,""), "")</f>
        <v/>
      </c>
      <c r="D261" s="11" t="str">
        <f>IFERROR(IF(LoanIsNotPaid*LoanIsGood,LoanValue,""), "")</f>
        <v/>
      </c>
      <c r="E261" s="11" t="str">
        <f>IFERROR(IF(LoanIsNotPaid*LoanIsGood,MonthlyPayment,""), "")</f>
        <v/>
      </c>
      <c r="F261" s="11" t="str">
        <f>IFERROR(IF(LoanIsNotPaid*LoanIsGood,Principal,""), "")</f>
        <v/>
      </c>
      <c r="G261" s="11" t="str">
        <f>IFERROR(IF(LoanIsNotPaid*LoanIsGood,InterestAmt,""), "")</f>
        <v/>
      </c>
      <c r="H261" s="11" t="str">
        <f>IFERROR(IF(LoanIsNotPaid*LoanIsGood,EndingBalance,""), "")</f>
        <v/>
      </c>
    </row>
    <row r="262" spans="2:8" ht="20.149999999999999" customHeight="1">
      <c r="B262" s="9" t="str">
        <f>IFERROR(IF(LoanIsNotPaid*LoanIsGood,PaymentNumber,""), "")</f>
        <v/>
      </c>
      <c r="C262" s="10" t="str">
        <f>IFERROR(IF(LoanIsNotPaid*LoanIsGood,PaymentDate,""), "")</f>
        <v/>
      </c>
      <c r="D262" s="11" t="str">
        <f>IFERROR(IF(LoanIsNotPaid*LoanIsGood,LoanValue,""), "")</f>
        <v/>
      </c>
      <c r="E262" s="11" t="str">
        <f>IFERROR(IF(LoanIsNotPaid*LoanIsGood,MonthlyPayment,""), "")</f>
        <v/>
      </c>
      <c r="F262" s="11" t="str">
        <f>IFERROR(IF(LoanIsNotPaid*LoanIsGood,Principal,""), "")</f>
        <v/>
      </c>
      <c r="G262" s="11" t="str">
        <f>IFERROR(IF(LoanIsNotPaid*LoanIsGood,InterestAmt,""), "")</f>
        <v/>
      </c>
      <c r="H262" s="11" t="str">
        <f>IFERROR(IF(LoanIsNotPaid*LoanIsGood,EndingBalance,""), "")</f>
        <v/>
      </c>
    </row>
    <row r="263" spans="2:8" ht="20.149999999999999" customHeight="1">
      <c r="B263" s="9" t="str">
        <f>IFERROR(IF(LoanIsNotPaid*LoanIsGood,PaymentNumber,""), "")</f>
        <v/>
      </c>
      <c r="C263" s="10" t="str">
        <f>IFERROR(IF(LoanIsNotPaid*LoanIsGood,PaymentDate,""), "")</f>
        <v/>
      </c>
      <c r="D263" s="11" t="str">
        <f>IFERROR(IF(LoanIsNotPaid*LoanIsGood,LoanValue,""), "")</f>
        <v/>
      </c>
      <c r="E263" s="11" t="str">
        <f>IFERROR(IF(LoanIsNotPaid*LoanIsGood,MonthlyPayment,""), "")</f>
        <v/>
      </c>
      <c r="F263" s="11" t="str">
        <f>IFERROR(IF(LoanIsNotPaid*LoanIsGood,Principal,""), "")</f>
        <v/>
      </c>
      <c r="G263" s="11" t="str">
        <f>IFERROR(IF(LoanIsNotPaid*LoanIsGood,InterestAmt,""), "")</f>
        <v/>
      </c>
      <c r="H263" s="11" t="str">
        <f>IFERROR(IF(LoanIsNotPaid*LoanIsGood,EndingBalance,""), "")</f>
        <v/>
      </c>
    </row>
    <row r="264" spans="2:8" ht="20.149999999999999" customHeight="1">
      <c r="B264" s="9" t="str">
        <f>IFERROR(IF(LoanIsNotPaid*LoanIsGood,PaymentNumber,""), "")</f>
        <v/>
      </c>
      <c r="C264" s="10" t="str">
        <f>IFERROR(IF(LoanIsNotPaid*LoanIsGood,PaymentDate,""), "")</f>
        <v/>
      </c>
      <c r="D264" s="11" t="str">
        <f>IFERROR(IF(LoanIsNotPaid*LoanIsGood,LoanValue,""), "")</f>
        <v/>
      </c>
      <c r="E264" s="11" t="str">
        <f>IFERROR(IF(LoanIsNotPaid*LoanIsGood,MonthlyPayment,""), "")</f>
        <v/>
      </c>
      <c r="F264" s="11" t="str">
        <f>IFERROR(IF(LoanIsNotPaid*LoanIsGood,Principal,""), "")</f>
        <v/>
      </c>
      <c r="G264" s="11" t="str">
        <f>IFERROR(IF(LoanIsNotPaid*LoanIsGood,InterestAmt,""), "")</f>
        <v/>
      </c>
      <c r="H264" s="11" t="str">
        <f>IFERROR(IF(LoanIsNotPaid*LoanIsGood,EndingBalance,""), "")</f>
        <v/>
      </c>
    </row>
    <row r="265" spans="2:8" ht="20.149999999999999" customHeight="1">
      <c r="B265" s="9" t="str">
        <f>IFERROR(IF(LoanIsNotPaid*LoanIsGood,PaymentNumber,""), "")</f>
        <v/>
      </c>
      <c r="C265" s="10" t="str">
        <f>IFERROR(IF(LoanIsNotPaid*LoanIsGood,PaymentDate,""), "")</f>
        <v/>
      </c>
      <c r="D265" s="11" t="str">
        <f>IFERROR(IF(LoanIsNotPaid*LoanIsGood,LoanValue,""), "")</f>
        <v/>
      </c>
      <c r="E265" s="11" t="str">
        <f>IFERROR(IF(LoanIsNotPaid*LoanIsGood,MonthlyPayment,""), "")</f>
        <v/>
      </c>
      <c r="F265" s="11" t="str">
        <f>IFERROR(IF(LoanIsNotPaid*LoanIsGood,Principal,""), "")</f>
        <v/>
      </c>
      <c r="G265" s="11" t="str">
        <f>IFERROR(IF(LoanIsNotPaid*LoanIsGood,InterestAmt,""), "")</f>
        <v/>
      </c>
      <c r="H265" s="11" t="str">
        <f>IFERROR(IF(LoanIsNotPaid*LoanIsGood,EndingBalance,""), "")</f>
        <v/>
      </c>
    </row>
    <row r="266" spans="2:8" ht="20.149999999999999" customHeight="1">
      <c r="B266" s="9" t="str">
        <f>IFERROR(IF(LoanIsNotPaid*LoanIsGood,PaymentNumber,""), "")</f>
        <v/>
      </c>
      <c r="C266" s="10" t="str">
        <f>IFERROR(IF(LoanIsNotPaid*LoanIsGood,PaymentDate,""), "")</f>
        <v/>
      </c>
      <c r="D266" s="11" t="str">
        <f>IFERROR(IF(LoanIsNotPaid*LoanIsGood,LoanValue,""), "")</f>
        <v/>
      </c>
      <c r="E266" s="11" t="str">
        <f>IFERROR(IF(LoanIsNotPaid*LoanIsGood,MonthlyPayment,""), "")</f>
        <v/>
      </c>
      <c r="F266" s="11" t="str">
        <f>IFERROR(IF(LoanIsNotPaid*LoanIsGood,Principal,""), "")</f>
        <v/>
      </c>
      <c r="G266" s="11" t="str">
        <f>IFERROR(IF(LoanIsNotPaid*LoanIsGood,InterestAmt,""), "")</f>
        <v/>
      </c>
      <c r="H266" s="11" t="str">
        <f>IFERROR(IF(LoanIsNotPaid*LoanIsGood,EndingBalance,""), "")</f>
        <v/>
      </c>
    </row>
    <row r="267" spans="2:8" ht="20.149999999999999" customHeight="1">
      <c r="B267" s="9" t="str">
        <f>IFERROR(IF(LoanIsNotPaid*LoanIsGood,PaymentNumber,""), "")</f>
        <v/>
      </c>
      <c r="C267" s="10" t="str">
        <f>IFERROR(IF(LoanIsNotPaid*LoanIsGood,PaymentDate,""), "")</f>
        <v/>
      </c>
      <c r="D267" s="11" t="str">
        <f>IFERROR(IF(LoanIsNotPaid*LoanIsGood,LoanValue,""), "")</f>
        <v/>
      </c>
      <c r="E267" s="11" t="str">
        <f>IFERROR(IF(LoanIsNotPaid*LoanIsGood,MonthlyPayment,""), "")</f>
        <v/>
      </c>
      <c r="F267" s="11" t="str">
        <f>IFERROR(IF(LoanIsNotPaid*LoanIsGood,Principal,""), "")</f>
        <v/>
      </c>
      <c r="G267" s="11" t="str">
        <f>IFERROR(IF(LoanIsNotPaid*LoanIsGood,InterestAmt,""), "")</f>
        <v/>
      </c>
      <c r="H267" s="11" t="str">
        <f>IFERROR(IF(LoanIsNotPaid*LoanIsGood,EndingBalance,""), "")</f>
        <v/>
      </c>
    </row>
    <row r="268" spans="2:8" ht="20.149999999999999" customHeight="1">
      <c r="B268" s="9" t="str">
        <f>IFERROR(IF(LoanIsNotPaid*LoanIsGood,PaymentNumber,""), "")</f>
        <v/>
      </c>
      <c r="C268" s="10" t="str">
        <f>IFERROR(IF(LoanIsNotPaid*LoanIsGood,PaymentDate,""), "")</f>
        <v/>
      </c>
      <c r="D268" s="11" t="str">
        <f>IFERROR(IF(LoanIsNotPaid*LoanIsGood,LoanValue,""), "")</f>
        <v/>
      </c>
      <c r="E268" s="11" t="str">
        <f>IFERROR(IF(LoanIsNotPaid*LoanIsGood,MonthlyPayment,""), "")</f>
        <v/>
      </c>
      <c r="F268" s="11" t="str">
        <f>IFERROR(IF(LoanIsNotPaid*LoanIsGood,Principal,""), "")</f>
        <v/>
      </c>
      <c r="G268" s="11" t="str">
        <f>IFERROR(IF(LoanIsNotPaid*LoanIsGood,InterestAmt,""), "")</f>
        <v/>
      </c>
      <c r="H268" s="11" t="str">
        <f>IFERROR(IF(LoanIsNotPaid*LoanIsGood,EndingBalance,""), "")</f>
        <v/>
      </c>
    </row>
    <row r="269" spans="2:8" ht="20.149999999999999" customHeight="1">
      <c r="B269" s="9" t="str">
        <f>IFERROR(IF(LoanIsNotPaid*LoanIsGood,PaymentNumber,""), "")</f>
        <v/>
      </c>
      <c r="C269" s="10" t="str">
        <f>IFERROR(IF(LoanIsNotPaid*LoanIsGood,PaymentDate,""), "")</f>
        <v/>
      </c>
      <c r="D269" s="11" t="str">
        <f>IFERROR(IF(LoanIsNotPaid*LoanIsGood,LoanValue,""), "")</f>
        <v/>
      </c>
      <c r="E269" s="11" t="str">
        <f>IFERROR(IF(LoanIsNotPaid*LoanIsGood,MonthlyPayment,""), "")</f>
        <v/>
      </c>
      <c r="F269" s="11" t="str">
        <f>IFERROR(IF(LoanIsNotPaid*LoanIsGood,Principal,""), "")</f>
        <v/>
      </c>
      <c r="G269" s="11" t="str">
        <f>IFERROR(IF(LoanIsNotPaid*LoanIsGood,InterestAmt,""), "")</f>
        <v/>
      </c>
      <c r="H269" s="11" t="str">
        <f>IFERROR(IF(LoanIsNotPaid*LoanIsGood,EndingBalance,""), "")</f>
        <v/>
      </c>
    </row>
    <row r="270" spans="2:8" ht="20.149999999999999" customHeight="1">
      <c r="B270" s="9" t="str">
        <f>IFERROR(IF(LoanIsNotPaid*LoanIsGood,PaymentNumber,""), "")</f>
        <v/>
      </c>
      <c r="C270" s="10" t="str">
        <f>IFERROR(IF(LoanIsNotPaid*LoanIsGood,PaymentDate,""), "")</f>
        <v/>
      </c>
      <c r="D270" s="11" t="str">
        <f>IFERROR(IF(LoanIsNotPaid*LoanIsGood,LoanValue,""), "")</f>
        <v/>
      </c>
      <c r="E270" s="11" t="str">
        <f>IFERROR(IF(LoanIsNotPaid*LoanIsGood,MonthlyPayment,""), "")</f>
        <v/>
      </c>
      <c r="F270" s="11" t="str">
        <f>IFERROR(IF(LoanIsNotPaid*LoanIsGood,Principal,""), "")</f>
        <v/>
      </c>
      <c r="G270" s="11" t="str">
        <f>IFERROR(IF(LoanIsNotPaid*LoanIsGood,InterestAmt,""), "")</f>
        <v/>
      </c>
      <c r="H270" s="11" t="str">
        <f>IFERROR(IF(LoanIsNotPaid*LoanIsGood,EndingBalance,""), "")</f>
        <v/>
      </c>
    </row>
    <row r="271" spans="2:8" ht="20.149999999999999" customHeight="1">
      <c r="B271" s="9" t="str">
        <f>IFERROR(IF(LoanIsNotPaid*LoanIsGood,PaymentNumber,""), "")</f>
        <v/>
      </c>
      <c r="C271" s="10" t="str">
        <f>IFERROR(IF(LoanIsNotPaid*LoanIsGood,PaymentDate,""), "")</f>
        <v/>
      </c>
      <c r="D271" s="11" t="str">
        <f>IFERROR(IF(LoanIsNotPaid*LoanIsGood,LoanValue,""), "")</f>
        <v/>
      </c>
      <c r="E271" s="11" t="str">
        <f>IFERROR(IF(LoanIsNotPaid*LoanIsGood,MonthlyPayment,""), "")</f>
        <v/>
      </c>
      <c r="F271" s="11" t="str">
        <f>IFERROR(IF(LoanIsNotPaid*LoanIsGood,Principal,""), "")</f>
        <v/>
      </c>
      <c r="G271" s="11" t="str">
        <f>IFERROR(IF(LoanIsNotPaid*LoanIsGood,InterestAmt,""), "")</f>
        <v/>
      </c>
      <c r="H271" s="11" t="str">
        <f>IFERROR(IF(LoanIsNotPaid*LoanIsGood,EndingBalance,""), "")</f>
        <v/>
      </c>
    </row>
    <row r="272" spans="2:8" ht="20.149999999999999" customHeight="1">
      <c r="B272" s="9" t="str">
        <f>IFERROR(IF(LoanIsNotPaid*LoanIsGood,PaymentNumber,""), "")</f>
        <v/>
      </c>
      <c r="C272" s="10" t="str">
        <f>IFERROR(IF(LoanIsNotPaid*LoanIsGood,PaymentDate,""), "")</f>
        <v/>
      </c>
      <c r="D272" s="11" t="str">
        <f>IFERROR(IF(LoanIsNotPaid*LoanIsGood,LoanValue,""), "")</f>
        <v/>
      </c>
      <c r="E272" s="11" t="str">
        <f>IFERROR(IF(LoanIsNotPaid*LoanIsGood,MonthlyPayment,""), "")</f>
        <v/>
      </c>
      <c r="F272" s="11" t="str">
        <f>IFERROR(IF(LoanIsNotPaid*LoanIsGood,Principal,""), "")</f>
        <v/>
      </c>
      <c r="G272" s="11" t="str">
        <f>IFERROR(IF(LoanIsNotPaid*LoanIsGood,InterestAmt,""), "")</f>
        <v/>
      </c>
      <c r="H272" s="11" t="str">
        <f>IFERROR(IF(LoanIsNotPaid*LoanIsGood,EndingBalance,""), "")</f>
        <v/>
      </c>
    </row>
    <row r="273" spans="2:8" ht="20.149999999999999" customHeight="1">
      <c r="B273" s="9" t="str">
        <f>IFERROR(IF(LoanIsNotPaid*LoanIsGood,PaymentNumber,""), "")</f>
        <v/>
      </c>
      <c r="C273" s="10" t="str">
        <f>IFERROR(IF(LoanIsNotPaid*LoanIsGood,PaymentDate,""), "")</f>
        <v/>
      </c>
      <c r="D273" s="11" t="str">
        <f>IFERROR(IF(LoanIsNotPaid*LoanIsGood,LoanValue,""), "")</f>
        <v/>
      </c>
      <c r="E273" s="11" t="str">
        <f>IFERROR(IF(LoanIsNotPaid*LoanIsGood,MonthlyPayment,""), "")</f>
        <v/>
      </c>
      <c r="F273" s="11" t="str">
        <f>IFERROR(IF(LoanIsNotPaid*LoanIsGood,Principal,""), "")</f>
        <v/>
      </c>
      <c r="G273" s="11" t="str">
        <f>IFERROR(IF(LoanIsNotPaid*LoanIsGood,InterestAmt,""), "")</f>
        <v/>
      </c>
      <c r="H273" s="11" t="str">
        <f>IFERROR(IF(LoanIsNotPaid*LoanIsGood,EndingBalance,""), "")</f>
        <v/>
      </c>
    </row>
    <row r="274" spans="2:8" ht="20.149999999999999" customHeight="1">
      <c r="B274" s="9" t="str">
        <f>IFERROR(IF(LoanIsNotPaid*LoanIsGood,PaymentNumber,""), "")</f>
        <v/>
      </c>
      <c r="C274" s="10" t="str">
        <f>IFERROR(IF(LoanIsNotPaid*LoanIsGood,PaymentDate,""), "")</f>
        <v/>
      </c>
      <c r="D274" s="11" t="str">
        <f>IFERROR(IF(LoanIsNotPaid*LoanIsGood,LoanValue,""), "")</f>
        <v/>
      </c>
      <c r="E274" s="11" t="str">
        <f>IFERROR(IF(LoanIsNotPaid*LoanIsGood,MonthlyPayment,""), "")</f>
        <v/>
      </c>
      <c r="F274" s="11" t="str">
        <f>IFERROR(IF(LoanIsNotPaid*LoanIsGood,Principal,""), "")</f>
        <v/>
      </c>
      <c r="G274" s="11" t="str">
        <f>IFERROR(IF(LoanIsNotPaid*LoanIsGood,InterestAmt,""), "")</f>
        <v/>
      </c>
      <c r="H274" s="11" t="str">
        <f>IFERROR(IF(LoanIsNotPaid*LoanIsGood,EndingBalance,""), "")</f>
        <v/>
      </c>
    </row>
    <row r="275" spans="2:8" ht="20.149999999999999" customHeight="1">
      <c r="B275" s="9" t="str">
        <f>IFERROR(IF(LoanIsNotPaid*LoanIsGood,PaymentNumber,""), "")</f>
        <v/>
      </c>
      <c r="C275" s="10" t="str">
        <f>IFERROR(IF(LoanIsNotPaid*LoanIsGood,PaymentDate,""), "")</f>
        <v/>
      </c>
      <c r="D275" s="11" t="str">
        <f>IFERROR(IF(LoanIsNotPaid*LoanIsGood,LoanValue,""), "")</f>
        <v/>
      </c>
      <c r="E275" s="11" t="str">
        <f>IFERROR(IF(LoanIsNotPaid*LoanIsGood,MonthlyPayment,""), "")</f>
        <v/>
      </c>
      <c r="F275" s="11" t="str">
        <f>IFERROR(IF(LoanIsNotPaid*LoanIsGood,Principal,""), "")</f>
        <v/>
      </c>
      <c r="G275" s="11" t="str">
        <f>IFERROR(IF(LoanIsNotPaid*LoanIsGood,InterestAmt,""), "")</f>
        <v/>
      </c>
      <c r="H275" s="11" t="str">
        <f>IFERROR(IF(LoanIsNotPaid*LoanIsGood,EndingBalance,""), "")</f>
        <v/>
      </c>
    </row>
    <row r="276" spans="2:8" ht="20.149999999999999" customHeight="1">
      <c r="B276" s="9" t="str">
        <f>IFERROR(IF(LoanIsNotPaid*LoanIsGood,PaymentNumber,""), "")</f>
        <v/>
      </c>
      <c r="C276" s="10" t="str">
        <f>IFERROR(IF(LoanIsNotPaid*LoanIsGood,PaymentDate,""), "")</f>
        <v/>
      </c>
      <c r="D276" s="11" t="str">
        <f>IFERROR(IF(LoanIsNotPaid*LoanIsGood,LoanValue,""), "")</f>
        <v/>
      </c>
      <c r="E276" s="11" t="str">
        <f>IFERROR(IF(LoanIsNotPaid*LoanIsGood,MonthlyPayment,""), "")</f>
        <v/>
      </c>
      <c r="F276" s="11" t="str">
        <f>IFERROR(IF(LoanIsNotPaid*LoanIsGood,Principal,""), "")</f>
        <v/>
      </c>
      <c r="G276" s="11" t="str">
        <f>IFERROR(IF(LoanIsNotPaid*LoanIsGood,InterestAmt,""), "")</f>
        <v/>
      </c>
      <c r="H276" s="11" t="str">
        <f>IFERROR(IF(LoanIsNotPaid*LoanIsGood,EndingBalance,""), "")</f>
        <v/>
      </c>
    </row>
    <row r="277" spans="2:8" ht="20.149999999999999" customHeight="1">
      <c r="B277" s="9" t="str">
        <f>IFERROR(IF(LoanIsNotPaid*LoanIsGood,PaymentNumber,""), "")</f>
        <v/>
      </c>
      <c r="C277" s="10" t="str">
        <f>IFERROR(IF(LoanIsNotPaid*LoanIsGood,PaymentDate,""), "")</f>
        <v/>
      </c>
      <c r="D277" s="11" t="str">
        <f>IFERROR(IF(LoanIsNotPaid*LoanIsGood,LoanValue,""), "")</f>
        <v/>
      </c>
      <c r="E277" s="11" t="str">
        <f>IFERROR(IF(LoanIsNotPaid*LoanIsGood,MonthlyPayment,""), "")</f>
        <v/>
      </c>
      <c r="F277" s="11" t="str">
        <f>IFERROR(IF(LoanIsNotPaid*LoanIsGood,Principal,""), "")</f>
        <v/>
      </c>
      <c r="G277" s="11" t="str">
        <f>IFERROR(IF(LoanIsNotPaid*LoanIsGood,InterestAmt,""), "")</f>
        <v/>
      </c>
      <c r="H277" s="11" t="str">
        <f>IFERROR(IF(LoanIsNotPaid*LoanIsGood,EndingBalance,""), "")</f>
        <v/>
      </c>
    </row>
    <row r="278" spans="2:8" ht="20.149999999999999" customHeight="1">
      <c r="B278" s="9" t="str">
        <f>IFERROR(IF(LoanIsNotPaid*LoanIsGood,PaymentNumber,""), "")</f>
        <v/>
      </c>
      <c r="C278" s="10" t="str">
        <f>IFERROR(IF(LoanIsNotPaid*LoanIsGood,PaymentDate,""), "")</f>
        <v/>
      </c>
      <c r="D278" s="11" t="str">
        <f>IFERROR(IF(LoanIsNotPaid*LoanIsGood,LoanValue,""), "")</f>
        <v/>
      </c>
      <c r="E278" s="11" t="str">
        <f>IFERROR(IF(LoanIsNotPaid*LoanIsGood,MonthlyPayment,""), "")</f>
        <v/>
      </c>
      <c r="F278" s="11" t="str">
        <f>IFERROR(IF(LoanIsNotPaid*LoanIsGood,Principal,""), "")</f>
        <v/>
      </c>
      <c r="G278" s="11" t="str">
        <f>IFERROR(IF(LoanIsNotPaid*LoanIsGood,InterestAmt,""), "")</f>
        <v/>
      </c>
      <c r="H278" s="11" t="str">
        <f>IFERROR(IF(LoanIsNotPaid*LoanIsGood,EndingBalance,""), "")</f>
        <v/>
      </c>
    </row>
    <row r="279" spans="2:8" ht="20.149999999999999" customHeight="1">
      <c r="B279" s="9" t="str">
        <f>IFERROR(IF(LoanIsNotPaid*LoanIsGood,PaymentNumber,""), "")</f>
        <v/>
      </c>
      <c r="C279" s="10" t="str">
        <f>IFERROR(IF(LoanIsNotPaid*LoanIsGood,PaymentDate,""), "")</f>
        <v/>
      </c>
      <c r="D279" s="11" t="str">
        <f>IFERROR(IF(LoanIsNotPaid*LoanIsGood,LoanValue,""), "")</f>
        <v/>
      </c>
      <c r="E279" s="11" t="str">
        <f>IFERROR(IF(LoanIsNotPaid*LoanIsGood,MonthlyPayment,""), "")</f>
        <v/>
      </c>
      <c r="F279" s="11" t="str">
        <f>IFERROR(IF(LoanIsNotPaid*LoanIsGood,Principal,""), "")</f>
        <v/>
      </c>
      <c r="G279" s="11" t="str">
        <f>IFERROR(IF(LoanIsNotPaid*LoanIsGood,InterestAmt,""), "")</f>
        <v/>
      </c>
      <c r="H279" s="11" t="str">
        <f>IFERROR(IF(LoanIsNotPaid*LoanIsGood,EndingBalance,""), "")</f>
        <v/>
      </c>
    </row>
    <row r="280" spans="2:8" ht="20.149999999999999" customHeight="1">
      <c r="B280" s="9" t="str">
        <f>IFERROR(IF(LoanIsNotPaid*LoanIsGood,PaymentNumber,""), "")</f>
        <v/>
      </c>
      <c r="C280" s="10" t="str">
        <f>IFERROR(IF(LoanIsNotPaid*LoanIsGood,PaymentDate,""), "")</f>
        <v/>
      </c>
      <c r="D280" s="11" t="str">
        <f>IFERROR(IF(LoanIsNotPaid*LoanIsGood,LoanValue,""), "")</f>
        <v/>
      </c>
      <c r="E280" s="11" t="str">
        <f>IFERROR(IF(LoanIsNotPaid*LoanIsGood,MonthlyPayment,""), "")</f>
        <v/>
      </c>
      <c r="F280" s="11" t="str">
        <f>IFERROR(IF(LoanIsNotPaid*LoanIsGood,Principal,""), "")</f>
        <v/>
      </c>
      <c r="G280" s="11" t="str">
        <f>IFERROR(IF(LoanIsNotPaid*LoanIsGood,InterestAmt,""), "")</f>
        <v/>
      </c>
      <c r="H280" s="11" t="str">
        <f>IFERROR(IF(LoanIsNotPaid*LoanIsGood,EndingBalance,""), "")</f>
        <v/>
      </c>
    </row>
    <row r="281" spans="2:8" ht="20.149999999999999" customHeight="1">
      <c r="B281" s="9" t="str">
        <f>IFERROR(IF(LoanIsNotPaid*LoanIsGood,PaymentNumber,""), "")</f>
        <v/>
      </c>
      <c r="C281" s="10" t="str">
        <f>IFERROR(IF(LoanIsNotPaid*LoanIsGood,PaymentDate,""), "")</f>
        <v/>
      </c>
      <c r="D281" s="11" t="str">
        <f>IFERROR(IF(LoanIsNotPaid*LoanIsGood,LoanValue,""), "")</f>
        <v/>
      </c>
      <c r="E281" s="11" t="str">
        <f>IFERROR(IF(LoanIsNotPaid*LoanIsGood,MonthlyPayment,""), "")</f>
        <v/>
      </c>
      <c r="F281" s="11" t="str">
        <f>IFERROR(IF(LoanIsNotPaid*LoanIsGood,Principal,""), "")</f>
        <v/>
      </c>
      <c r="G281" s="11" t="str">
        <f>IFERROR(IF(LoanIsNotPaid*LoanIsGood,InterestAmt,""), "")</f>
        <v/>
      </c>
      <c r="H281" s="11" t="str">
        <f>IFERROR(IF(LoanIsNotPaid*LoanIsGood,EndingBalance,""), "")</f>
        <v/>
      </c>
    </row>
    <row r="282" spans="2:8" ht="20.149999999999999" customHeight="1">
      <c r="B282" s="9" t="str">
        <f>IFERROR(IF(LoanIsNotPaid*LoanIsGood,PaymentNumber,""), "")</f>
        <v/>
      </c>
      <c r="C282" s="10" t="str">
        <f>IFERROR(IF(LoanIsNotPaid*LoanIsGood,PaymentDate,""), "")</f>
        <v/>
      </c>
      <c r="D282" s="11" t="str">
        <f>IFERROR(IF(LoanIsNotPaid*LoanIsGood,LoanValue,""), "")</f>
        <v/>
      </c>
      <c r="E282" s="11" t="str">
        <f>IFERROR(IF(LoanIsNotPaid*LoanIsGood,MonthlyPayment,""), "")</f>
        <v/>
      </c>
      <c r="F282" s="11" t="str">
        <f>IFERROR(IF(LoanIsNotPaid*LoanIsGood,Principal,""), "")</f>
        <v/>
      </c>
      <c r="G282" s="11" t="str">
        <f>IFERROR(IF(LoanIsNotPaid*LoanIsGood,InterestAmt,""), "")</f>
        <v/>
      </c>
      <c r="H282" s="11" t="str">
        <f>IFERROR(IF(LoanIsNotPaid*LoanIsGood,EndingBalance,""), "")</f>
        <v/>
      </c>
    </row>
    <row r="283" spans="2:8" ht="20.149999999999999" customHeight="1">
      <c r="B283" s="9" t="str">
        <f>IFERROR(IF(LoanIsNotPaid*LoanIsGood,PaymentNumber,""), "")</f>
        <v/>
      </c>
      <c r="C283" s="10" t="str">
        <f>IFERROR(IF(LoanIsNotPaid*LoanIsGood,PaymentDate,""), "")</f>
        <v/>
      </c>
      <c r="D283" s="11" t="str">
        <f>IFERROR(IF(LoanIsNotPaid*LoanIsGood,LoanValue,""), "")</f>
        <v/>
      </c>
      <c r="E283" s="11" t="str">
        <f>IFERROR(IF(LoanIsNotPaid*LoanIsGood,MonthlyPayment,""), "")</f>
        <v/>
      </c>
      <c r="F283" s="11" t="str">
        <f>IFERROR(IF(LoanIsNotPaid*LoanIsGood,Principal,""), "")</f>
        <v/>
      </c>
      <c r="G283" s="11" t="str">
        <f>IFERROR(IF(LoanIsNotPaid*LoanIsGood,InterestAmt,""), "")</f>
        <v/>
      </c>
      <c r="H283" s="11" t="str">
        <f>IFERROR(IF(LoanIsNotPaid*LoanIsGood,EndingBalance,""), "")</f>
        <v/>
      </c>
    </row>
    <row r="284" spans="2:8" ht="20.149999999999999" customHeight="1">
      <c r="B284" s="9" t="str">
        <f>IFERROR(IF(LoanIsNotPaid*LoanIsGood,PaymentNumber,""), "")</f>
        <v/>
      </c>
      <c r="C284" s="10" t="str">
        <f>IFERROR(IF(LoanIsNotPaid*LoanIsGood,PaymentDate,""), "")</f>
        <v/>
      </c>
      <c r="D284" s="11" t="str">
        <f>IFERROR(IF(LoanIsNotPaid*LoanIsGood,LoanValue,""), "")</f>
        <v/>
      </c>
      <c r="E284" s="11" t="str">
        <f>IFERROR(IF(LoanIsNotPaid*LoanIsGood,MonthlyPayment,""), "")</f>
        <v/>
      </c>
      <c r="F284" s="11" t="str">
        <f>IFERROR(IF(LoanIsNotPaid*LoanIsGood,Principal,""), "")</f>
        <v/>
      </c>
      <c r="G284" s="11" t="str">
        <f>IFERROR(IF(LoanIsNotPaid*LoanIsGood,InterestAmt,""), "")</f>
        <v/>
      </c>
      <c r="H284" s="11" t="str">
        <f>IFERROR(IF(LoanIsNotPaid*LoanIsGood,EndingBalance,""), "")</f>
        <v/>
      </c>
    </row>
    <row r="285" spans="2:8" ht="20.149999999999999" customHeight="1">
      <c r="B285" s="9" t="str">
        <f>IFERROR(IF(LoanIsNotPaid*LoanIsGood,PaymentNumber,""), "")</f>
        <v/>
      </c>
      <c r="C285" s="10" t="str">
        <f>IFERROR(IF(LoanIsNotPaid*LoanIsGood,PaymentDate,""), "")</f>
        <v/>
      </c>
      <c r="D285" s="11" t="str">
        <f>IFERROR(IF(LoanIsNotPaid*LoanIsGood,LoanValue,""), "")</f>
        <v/>
      </c>
      <c r="E285" s="11" t="str">
        <f>IFERROR(IF(LoanIsNotPaid*LoanIsGood,MonthlyPayment,""), "")</f>
        <v/>
      </c>
      <c r="F285" s="11" t="str">
        <f>IFERROR(IF(LoanIsNotPaid*LoanIsGood,Principal,""), "")</f>
        <v/>
      </c>
      <c r="G285" s="11" t="str">
        <f>IFERROR(IF(LoanIsNotPaid*LoanIsGood,InterestAmt,""), "")</f>
        <v/>
      </c>
      <c r="H285" s="11" t="str">
        <f>IFERROR(IF(LoanIsNotPaid*LoanIsGood,EndingBalance,""), "")</f>
        <v/>
      </c>
    </row>
    <row r="286" spans="2:8" ht="20.149999999999999" customHeight="1">
      <c r="B286" s="9" t="str">
        <f>IFERROR(IF(LoanIsNotPaid*LoanIsGood,PaymentNumber,""), "")</f>
        <v/>
      </c>
      <c r="C286" s="10" t="str">
        <f>IFERROR(IF(LoanIsNotPaid*LoanIsGood,PaymentDate,""), "")</f>
        <v/>
      </c>
      <c r="D286" s="11" t="str">
        <f>IFERROR(IF(LoanIsNotPaid*LoanIsGood,LoanValue,""), "")</f>
        <v/>
      </c>
      <c r="E286" s="11" t="str">
        <f>IFERROR(IF(LoanIsNotPaid*LoanIsGood,MonthlyPayment,""), "")</f>
        <v/>
      </c>
      <c r="F286" s="11" t="str">
        <f>IFERROR(IF(LoanIsNotPaid*LoanIsGood,Principal,""), "")</f>
        <v/>
      </c>
      <c r="G286" s="11" t="str">
        <f>IFERROR(IF(LoanIsNotPaid*LoanIsGood,InterestAmt,""), "")</f>
        <v/>
      </c>
      <c r="H286" s="11" t="str">
        <f>IFERROR(IF(LoanIsNotPaid*LoanIsGood,EndingBalance,""), "")</f>
        <v/>
      </c>
    </row>
    <row r="287" spans="2:8" ht="20.149999999999999" customHeight="1">
      <c r="B287" s="9" t="str">
        <f>IFERROR(IF(LoanIsNotPaid*LoanIsGood,PaymentNumber,""), "")</f>
        <v/>
      </c>
      <c r="C287" s="10" t="str">
        <f>IFERROR(IF(LoanIsNotPaid*LoanIsGood,PaymentDate,""), "")</f>
        <v/>
      </c>
      <c r="D287" s="11" t="str">
        <f>IFERROR(IF(LoanIsNotPaid*LoanIsGood,LoanValue,""), "")</f>
        <v/>
      </c>
      <c r="E287" s="11" t="str">
        <f>IFERROR(IF(LoanIsNotPaid*LoanIsGood,MonthlyPayment,""), "")</f>
        <v/>
      </c>
      <c r="F287" s="11" t="str">
        <f>IFERROR(IF(LoanIsNotPaid*LoanIsGood,Principal,""), "")</f>
        <v/>
      </c>
      <c r="G287" s="11" t="str">
        <f>IFERROR(IF(LoanIsNotPaid*LoanIsGood,InterestAmt,""), "")</f>
        <v/>
      </c>
      <c r="H287" s="11" t="str">
        <f>IFERROR(IF(LoanIsNotPaid*LoanIsGood,EndingBalance,""), "")</f>
        <v/>
      </c>
    </row>
    <row r="288" spans="2:8" ht="20.149999999999999" customHeight="1">
      <c r="B288" s="9" t="str">
        <f>IFERROR(IF(LoanIsNotPaid*LoanIsGood,PaymentNumber,""), "")</f>
        <v/>
      </c>
      <c r="C288" s="10" t="str">
        <f>IFERROR(IF(LoanIsNotPaid*LoanIsGood,PaymentDate,""), "")</f>
        <v/>
      </c>
      <c r="D288" s="11" t="str">
        <f>IFERROR(IF(LoanIsNotPaid*LoanIsGood,LoanValue,""), "")</f>
        <v/>
      </c>
      <c r="E288" s="11" t="str">
        <f>IFERROR(IF(LoanIsNotPaid*LoanIsGood,MonthlyPayment,""), "")</f>
        <v/>
      </c>
      <c r="F288" s="11" t="str">
        <f>IFERROR(IF(LoanIsNotPaid*LoanIsGood,Principal,""), "")</f>
        <v/>
      </c>
      <c r="G288" s="11" t="str">
        <f>IFERROR(IF(LoanIsNotPaid*LoanIsGood,InterestAmt,""), "")</f>
        <v/>
      </c>
      <c r="H288" s="11" t="str">
        <f>IFERROR(IF(LoanIsNotPaid*LoanIsGood,EndingBalance,""), "")</f>
        <v/>
      </c>
    </row>
    <row r="289" spans="2:8" ht="20.149999999999999" customHeight="1">
      <c r="B289" s="9" t="str">
        <f>IFERROR(IF(LoanIsNotPaid*LoanIsGood,PaymentNumber,""), "")</f>
        <v/>
      </c>
      <c r="C289" s="10" t="str">
        <f>IFERROR(IF(LoanIsNotPaid*LoanIsGood,PaymentDate,""), "")</f>
        <v/>
      </c>
      <c r="D289" s="11" t="str">
        <f>IFERROR(IF(LoanIsNotPaid*LoanIsGood,LoanValue,""), "")</f>
        <v/>
      </c>
      <c r="E289" s="11" t="str">
        <f>IFERROR(IF(LoanIsNotPaid*LoanIsGood,MonthlyPayment,""), "")</f>
        <v/>
      </c>
      <c r="F289" s="11" t="str">
        <f>IFERROR(IF(LoanIsNotPaid*LoanIsGood,Principal,""), "")</f>
        <v/>
      </c>
      <c r="G289" s="11" t="str">
        <f>IFERROR(IF(LoanIsNotPaid*LoanIsGood,InterestAmt,""), "")</f>
        <v/>
      </c>
      <c r="H289" s="11" t="str">
        <f>IFERROR(IF(LoanIsNotPaid*LoanIsGood,EndingBalance,""), "")</f>
        <v/>
      </c>
    </row>
    <row r="290" spans="2:8" ht="20.149999999999999" customHeight="1">
      <c r="B290" s="9" t="str">
        <f>IFERROR(IF(LoanIsNotPaid*LoanIsGood,PaymentNumber,""), "")</f>
        <v/>
      </c>
      <c r="C290" s="10" t="str">
        <f>IFERROR(IF(LoanIsNotPaid*LoanIsGood,PaymentDate,""), "")</f>
        <v/>
      </c>
      <c r="D290" s="11" t="str">
        <f>IFERROR(IF(LoanIsNotPaid*LoanIsGood,LoanValue,""), "")</f>
        <v/>
      </c>
      <c r="E290" s="11" t="str">
        <f>IFERROR(IF(LoanIsNotPaid*LoanIsGood,MonthlyPayment,""), "")</f>
        <v/>
      </c>
      <c r="F290" s="11" t="str">
        <f>IFERROR(IF(LoanIsNotPaid*LoanIsGood,Principal,""), "")</f>
        <v/>
      </c>
      <c r="G290" s="11" t="str">
        <f>IFERROR(IF(LoanIsNotPaid*LoanIsGood,InterestAmt,""), "")</f>
        <v/>
      </c>
      <c r="H290" s="11" t="str">
        <f>IFERROR(IF(LoanIsNotPaid*LoanIsGood,EndingBalance,""), "")</f>
        <v/>
      </c>
    </row>
    <row r="291" spans="2:8" ht="20.149999999999999" customHeight="1">
      <c r="B291" s="9" t="str">
        <f>IFERROR(IF(LoanIsNotPaid*LoanIsGood,PaymentNumber,""), "")</f>
        <v/>
      </c>
      <c r="C291" s="10" t="str">
        <f>IFERROR(IF(LoanIsNotPaid*LoanIsGood,PaymentDate,""), "")</f>
        <v/>
      </c>
      <c r="D291" s="11" t="str">
        <f>IFERROR(IF(LoanIsNotPaid*LoanIsGood,LoanValue,""), "")</f>
        <v/>
      </c>
      <c r="E291" s="11" t="str">
        <f>IFERROR(IF(LoanIsNotPaid*LoanIsGood,MonthlyPayment,""), "")</f>
        <v/>
      </c>
      <c r="F291" s="11" t="str">
        <f>IFERROR(IF(LoanIsNotPaid*LoanIsGood,Principal,""), "")</f>
        <v/>
      </c>
      <c r="G291" s="11" t="str">
        <f>IFERROR(IF(LoanIsNotPaid*LoanIsGood,InterestAmt,""), "")</f>
        <v/>
      </c>
      <c r="H291" s="11" t="str">
        <f>IFERROR(IF(LoanIsNotPaid*LoanIsGood,EndingBalance,""), "")</f>
        <v/>
      </c>
    </row>
    <row r="292" spans="2:8" ht="20.149999999999999" customHeight="1">
      <c r="B292" s="9" t="str">
        <f>IFERROR(IF(LoanIsNotPaid*LoanIsGood,PaymentNumber,""), "")</f>
        <v/>
      </c>
      <c r="C292" s="10" t="str">
        <f>IFERROR(IF(LoanIsNotPaid*LoanIsGood,PaymentDate,""), "")</f>
        <v/>
      </c>
      <c r="D292" s="11" t="str">
        <f>IFERROR(IF(LoanIsNotPaid*LoanIsGood,LoanValue,""), "")</f>
        <v/>
      </c>
      <c r="E292" s="11" t="str">
        <f>IFERROR(IF(LoanIsNotPaid*LoanIsGood,MonthlyPayment,""), "")</f>
        <v/>
      </c>
      <c r="F292" s="11" t="str">
        <f>IFERROR(IF(LoanIsNotPaid*LoanIsGood,Principal,""), "")</f>
        <v/>
      </c>
      <c r="G292" s="11" t="str">
        <f>IFERROR(IF(LoanIsNotPaid*LoanIsGood,InterestAmt,""), "")</f>
        <v/>
      </c>
      <c r="H292" s="11" t="str">
        <f>IFERROR(IF(LoanIsNotPaid*LoanIsGood,EndingBalance,""), "")</f>
        <v/>
      </c>
    </row>
    <row r="293" spans="2:8" ht="20.149999999999999" customHeight="1">
      <c r="B293" s="9" t="str">
        <f>IFERROR(IF(LoanIsNotPaid*LoanIsGood,PaymentNumber,""), "")</f>
        <v/>
      </c>
      <c r="C293" s="10" t="str">
        <f>IFERROR(IF(LoanIsNotPaid*LoanIsGood,PaymentDate,""), "")</f>
        <v/>
      </c>
      <c r="D293" s="11" t="str">
        <f>IFERROR(IF(LoanIsNotPaid*LoanIsGood,LoanValue,""), "")</f>
        <v/>
      </c>
      <c r="E293" s="11" t="str">
        <f>IFERROR(IF(LoanIsNotPaid*LoanIsGood,MonthlyPayment,""), "")</f>
        <v/>
      </c>
      <c r="F293" s="11" t="str">
        <f>IFERROR(IF(LoanIsNotPaid*LoanIsGood,Principal,""), "")</f>
        <v/>
      </c>
      <c r="G293" s="11" t="str">
        <f>IFERROR(IF(LoanIsNotPaid*LoanIsGood,InterestAmt,""), "")</f>
        <v/>
      </c>
      <c r="H293" s="11" t="str">
        <f>IFERROR(IF(LoanIsNotPaid*LoanIsGood,EndingBalance,""), "")</f>
        <v/>
      </c>
    </row>
    <row r="294" spans="2:8" ht="20.149999999999999" customHeight="1">
      <c r="B294" s="9" t="str">
        <f>IFERROR(IF(LoanIsNotPaid*LoanIsGood,PaymentNumber,""), "")</f>
        <v/>
      </c>
      <c r="C294" s="10" t="str">
        <f>IFERROR(IF(LoanIsNotPaid*LoanIsGood,PaymentDate,""), "")</f>
        <v/>
      </c>
      <c r="D294" s="11" t="str">
        <f>IFERROR(IF(LoanIsNotPaid*LoanIsGood,LoanValue,""), "")</f>
        <v/>
      </c>
      <c r="E294" s="11" t="str">
        <f>IFERROR(IF(LoanIsNotPaid*LoanIsGood,MonthlyPayment,""), "")</f>
        <v/>
      </c>
      <c r="F294" s="11" t="str">
        <f>IFERROR(IF(LoanIsNotPaid*LoanIsGood,Principal,""), "")</f>
        <v/>
      </c>
      <c r="G294" s="11" t="str">
        <f>IFERROR(IF(LoanIsNotPaid*LoanIsGood,InterestAmt,""), "")</f>
        <v/>
      </c>
      <c r="H294" s="11" t="str">
        <f>IFERROR(IF(LoanIsNotPaid*LoanIsGood,EndingBalance,""), "")</f>
        <v/>
      </c>
    </row>
    <row r="295" spans="2:8" ht="20.149999999999999" customHeight="1">
      <c r="B295" s="9" t="str">
        <f>IFERROR(IF(LoanIsNotPaid*LoanIsGood,PaymentNumber,""), "")</f>
        <v/>
      </c>
      <c r="C295" s="10" t="str">
        <f>IFERROR(IF(LoanIsNotPaid*LoanIsGood,PaymentDate,""), "")</f>
        <v/>
      </c>
      <c r="D295" s="11" t="str">
        <f>IFERROR(IF(LoanIsNotPaid*LoanIsGood,LoanValue,""), "")</f>
        <v/>
      </c>
      <c r="E295" s="11" t="str">
        <f>IFERROR(IF(LoanIsNotPaid*LoanIsGood,MonthlyPayment,""), "")</f>
        <v/>
      </c>
      <c r="F295" s="11" t="str">
        <f>IFERROR(IF(LoanIsNotPaid*LoanIsGood,Principal,""), "")</f>
        <v/>
      </c>
      <c r="G295" s="11" t="str">
        <f>IFERROR(IF(LoanIsNotPaid*LoanIsGood,InterestAmt,""), "")</f>
        <v/>
      </c>
      <c r="H295" s="11" t="str">
        <f>IFERROR(IF(LoanIsNotPaid*LoanIsGood,EndingBalance,""), "")</f>
        <v/>
      </c>
    </row>
    <row r="296" spans="2:8" ht="20.149999999999999" customHeight="1">
      <c r="B296" s="9" t="str">
        <f>IFERROR(IF(LoanIsNotPaid*LoanIsGood,PaymentNumber,""), "")</f>
        <v/>
      </c>
      <c r="C296" s="10" t="str">
        <f>IFERROR(IF(LoanIsNotPaid*LoanIsGood,PaymentDate,""), "")</f>
        <v/>
      </c>
      <c r="D296" s="11" t="str">
        <f>IFERROR(IF(LoanIsNotPaid*LoanIsGood,LoanValue,""), "")</f>
        <v/>
      </c>
      <c r="E296" s="11" t="str">
        <f>IFERROR(IF(LoanIsNotPaid*LoanIsGood,MonthlyPayment,""), "")</f>
        <v/>
      </c>
      <c r="F296" s="11" t="str">
        <f>IFERROR(IF(LoanIsNotPaid*LoanIsGood,Principal,""), "")</f>
        <v/>
      </c>
      <c r="G296" s="11" t="str">
        <f>IFERROR(IF(LoanIsNotPaid*LoanIsGood,InterestAmt,""), "")</f>
        <v/>
      </c>
      <c r="H296" s="11" t="str">
        <f>IFERROR(IF(LoanIsNotPaid*LoanIsGood,EndingBalance,""), "")</f>
        <v/>
      </c>
    </row>
    <row r="297" spans="2:8" ht="20.149999999999999" customHeight="1">
      <c r="B297" s="9" t="str">
        <f>IFERROR(IF(LoanIsNotPaid*LoanIsGood,PaymentNumber,""), "")</f>
        <v/>
      </c>
      <c r="C297" s="10" t="str">
        <f>IFERROR(IF(LoanIsNotPaid*LoanIsGood,PaymentDate,""), "")</f>
        <v/>
      </c>
      <c r="D297" s="11" t="str">
        <f>IFERROR(IF(LoanIsNotPaid*LoanIsGood,LoanValue,""), "")</f>
        <v/>
      </c>
      <c r="E297" s="11" t="str">
        <f>IFERROR(IF(LoanIsNotPaid*LoanIsGood,MonthlyPayment,""), "")</f>
        <v/>
      </c>
      <c r="F297" s="11" t="str">
        <f>IFERROR(IF(LoanIsNotPaid*LoanIsGood,Principal,""), "")</f>
        <v/>
      </c>
      <c r="G297" s="11" t="str">
        <f>IFERROR(IF(LoanIsNotPaid*LoanIsGood,InterestAmt,""), "")</f>
        <v/>
      </c>
      <c r="H297" s="11" t="str">
        <f>IFERROR(IF(LoanIsNotPaid*LoanIsGood,EndingBalance,""), "")</f>
        <v/>
      </c>
    </row>
    <row r="298" spans="2:8" ht="20.149999999999999" customHeight="1">
      <c r="B298" s="9" t="str">
        <f>IFERROR(IF(LoanIsNotPaid*LoanIsGood,PaymentNumber,""), "")</f>
        <v/>
      </c>
      <c r="C298" s="10" t="str">
        <f>IFERROR(IF(LoanIsNotPaid*LoanIsGood,PaymentDate,""), "")</f>
        <v/>
      </c>
      <c r="D298" s="11" t="str">
        <f>IFERROR(IF(LoanIsNotPaid*LoanIsGood,LoanValue,""), "")</f>
        <v/>
      </c>
      <c r="E298" s="11" t="str">
        <f>IFERROR(IF(LoanIsNotPaid*LoanIsGood,MonthlyPayment,""), "")</f>
        <v/>
      </c>
      <c r="F298" s="11" t="str">
        <f>IFERROR(IF(LoanIsNotPaid*LoanIsGood,Principal,""), "")</f>
        <v/>
      </c>
      <c r="G298" s="11" t="str">
        <f>IFERROR(IF(LoanIsNotPaid*LoanIsGood,InterestAmt,""), "")</f>
        <v/>
      </c>
      <c r="H298" s="11" t="str">
        <f>IFERROR(IF(LoanIsNotPaid*LoanIsGood,EndingBalance,""), "")</f>
        <v/>
      </c>
    </row>
    <row r="299" spans="2:8" ht="20.149999999999999" customHeight="1">
      <c r="B299" s="9" t="str">
        <f>IFERROR(IF(LoanIsNotPaid*LoanIsGood,PaymentNumber,""), "")</f>
        <v/>
      </c>
      <c r="C299" s="10" t="str">
        <f>IFERROR(IF(LoanIsNotPaid*LoanIsGood,PaymentDate,""), "")</f>
        <v/>
      </c>
      <c r="D299" s="11" t="str">
        <f>IFERROR(IF(LoanIsNotPaid*LoanIsGood,LoanValue,""), "")</f>
        <v/>
      </c>
      <c r="E299" s="11" t="str">
        <f>IFERROR(IF(LoanIsNotPaid*LoanIsGood,MonthlyPayment,""), "")</f>
        <v/>
      </c>
      <c r="F299" s="11" t="str">
        <f>IFERROR(IF(LoanIsNotPaid*LoanIsGood,Principal,""), "")</f>
        <v/>
      </c>
      <c r="G299" s="11" t="str">
        <f>IFERROR(IF(LoanIsNotPaid*LoanIsGood,InterestAmt,""), "")</f>
        <v/>
      </c>
      <c r="H299" s="11" t="str">
        <f>IFERROR(IF(LoanIsNotPaid*LoanIsGood,EndingBalance,""), "")</f>
        <v/>
      </c>
    </row>
    <row r="300" spans="2:8" ht="20.149999999999999" customHeight="1">
      <c r="B300" s="9" t="str">
        <f>IFERROR(IF(LoanIsNotPaid*LoanIsGood,PaymentNumber,""), "")</f>
        <v/>
      </c>
      <c r="C300" s="10" t="str">
        <f>IFERROR(IF(LoanIsNotPaid*LoanIsGood,PaymentDate,""), "")</f>
        <v/>
      </c>
      <c r="D300" s="11" t="str">
        <f>IFERROR(IF(LoanIsNotPaid*LoanIsGood,LoanValue,""), "")</f>
        <v/>
      </c>
      <c r="E300" s="11" t="str">
        <f>IFERROR(IF(LoanIsNotPaid*LoanIsGood,MonthlyPayment,""), "")</f>
        <v/>
      </c>
      <c r="F300" s="11" t="str">
        <f>IFERROR(IF(LoanIsNotPaid*LoanIsGood,Principal,""), "")</f>
        <v/>
      </c>
      <c r="G300" s="11" t="str">
        <f>IFERROR(IF(LoanIsNotPaid*LoanIsGood,InterestAmt,""), "")</f>
        <v/>
      </c>
      <c r="H300" s="11" t="str">
        <f>IFERROR(IF(LoanIsNotPaid*LoanIsGood,EndingBalance,""), "")</f>
        <v/>
      </c>
    </row>
    <row r="301" spans="2:8" ht="20.149999999999999" customHeight="1">
      <c r="B301" s="9" t="str">
        <f>IFERROR(IF(LoanIsNotPaid*LoanIsGood,PaymentNumber,""), "")</f>
        <v/>
      </c>
      <c r="C301" s="10" t="str">
        <f>IFERROR(IF(LoanIsNotPaid*LoanIsGood,PaymentDate,""), "")</f>
        <v/>
      </c>
      <c r="D301" s="11" t="str">
        <f>IFERROR(IF(LoanIsNotPaid*LoanIsGood,LoanValue,""), "")</f>
        <v/>
      </c>
      <c r="E301" s="11" t="str">
        <f>IFERROR(IF(LoanIsNotPaid*LoanIsGood,MonthlyPayment,""), "")</f>
        <v/>
      </c>
      <c r="F301" s="11" t="str">
        <f>IFERROR(IF(LoanIsNotPaid*LoanIsGood,Principal,""), "")</f>
        <v/>
      </c>
      <c r="G301" s="11" t="str">
        <f>IFERROR(IF(LoanIsNotPaid*LoanIsGood,InterestAmt,""), "")</f>
        <v/>
      </c>
      <c r="H301" s="11" t="str">
        <f>IFERROR(IF(LoanIsNotPaid*LoanIsGood,EndingBalance,""), "")</f>
        <v/>
      </c>
    </row>
    <row r="302" spans="2:8" ht="20.149999999999999" customHeight="1">
      <c r="B302" s="9" t="str">
        <f>IFERROR(IF(LoanIsNotPaid*LoanIsGood,PaymentNumber,""), "")</f>
        <v/>
      </c>
      <c r="C302" s="10" t="str">
        <f>IFERROR(IF(LoanIsNotPaid*LoanIsGood,PaymentDate,""), "")</f>
        <v/>
      </c>
      <c r="D302" s="11" t="str">
        <f>IFERROR(IF(LoanIsNotPaid*LoanIsGood,LoanValue,""), "")</f>
        <v/>
      </c>
      <c r="E302" s="11" t="str">
        <f>IFERROR(IF(LoanIsNotPaid*LoanIsGood,MonthlyPayment,""), "")</f>
        <v/>
      </c>
      <c r="F302" s="11" t="str">
        <f>IFERROR(IF(LoanIsNotPaid*LoanIsGood,Principal,""), "")</f>
        <v/>
      </c>
      <c r="G302" s="11" t="str">
        <f>IFERROR(IF(LoanIsNotPaid*LoanIsGood,InterestAmt,""), "")</f>
        <v/>
      </c>
      <c r="H302" s="11" t="str">
        <f>IFERROR(IF(LoanIsNotPaid*LoanIsGood,EndingBalance,""), "")</f>
        <v/>
      </c>
    </row>
    <row r="303" spans="2:8" ht="20.149999999999999" customHeight="1">
      <c r="B303" s="9" t="str">
        <f>IFERROR(IF(LoanIsNotPaid*LoanIsGood,PaymentNumber,""), "")</f>
        <v/>
      </c>
      <c r="C303" s="10" t="str">
        <f>IFERROR(IF(LoanIsNotPaid*LoanIsGood,PaymentDate,""), "")</f>
        <v/>
      </c>
      <c r="D303" s="11" t="str">
        <f>IFERROR(IF(LoanIsNotPaid*LoanIsGood,LoanValue,""), "")</f>
        <v/>
      </c>
      <c r="E303" s="11" t="str">
        <f>IFERROR(IF(LoanIsNotPaid*LoanIsGood,MonthlyPayment,""), "")</f>
        <v/>
      </c>
      <c r="F303" s="11" t="str">
        <f>IFERROR(IF(LoanIsNotPaid*LoanIsGood,Principal,""), "")</f>
        <v/>
      </c>
      <c r="G303" s="11" t="str">
        <f>IFERROR(IF(LoanIsNotPaid*LoanIsGood,InterestAmt,""), "")</f>
        <v/>
      </c>
      <c r="H303" s="11" t="str">
        <f>IFERROR(IF(LoanIsNotPaid*LoanIsGood,EndingBalance,""), "")</f>
        <v/>
      </c>
    </row>
    <row r="304" spans="2:8" ht="20.149999999999999" customHeight="1">
      <c r="B304" s="9" t="str">
        <f>IFERROR(IF(LoanIsNotPaid*LoanIsGood,PaymentNumber,""), "")</f>
        <v/>
      </c>
      <c r="C304" s="10" t="str">
        <f>IFERROR(IF(LoanIsNotPaid*LoanIsGood,PaymentDate,""), "")</f>
        <v/>
      </c>
      <c r="D304" s="11" t="str">
        <f>IFERROR(IF(LoanIsNotPaid*LoanIsGood,LoanValue,""), "")</f>
        <v/>
      </c>
      <c r="E304" s="11" t="str">
        <f>IFERROR(IF(LoanIsNotPaid*LoanIsGood,MonthlyPayment,""), "")</f>
        <v/>
      </c>
      <c r="F304" s="11" t="str">
        <f>IFERROR(IF(LoanIsNotPaid*LoanIsGood,Principal,""), "")</f>
        <v/>
      </c>
      <c r="G304" s="11" t="str">
        <f>IFERROR(IF(LoanIsNotPaid*LoanIsGood,InterestAmt,""), "")</f>
        <v/>
      </c>
      <c r="H304" s="11" t="str">
        <f>IFERROR(IF(LoanIsNotPaid*LoanIsGood,EndingBalance,""), "")</f>
        <v/>
      </c>
    </row>
    <row r="305" spans="2:8" ht="20.149999999999999" customHeight="1">
      <c r="B305" s="9" t="str">
        <f>IFERROR(IF(LoanIsNotPaid*LoanIsGood,PaymentNumber,""), "")</f>
        <v/>
      </c>
      <c r="C305" s="10" t="str">
        <f>IFERROR(IF(LoanIsNotPaid*LoanIsGood,PaymentDate,""), "")</f>
        <v/>
      </c>
      <c r="D305" s="11" t="str">
        <f>IFERROR(IF(LoanIsNotPaid*LoanIsGood,LoanValue,""), "")</f>
        <v/>
      </c>
      <c r="E305" s="11" t="str">
        <f>IFERROR(IF(LoanIsNotPaid*LoanIsGood,MonthlyPayment,""), "")</f>
        <v/>
      </c>
      <c r="F305" s="11" t="str">
        <f>IFERROR(IF(LoanIsNotPaid*LoanIsGood,Principal,""), "")</f>
        <v/>
      </c>
      <c r="G305" s="11" t="str">
        <f>IFERROR(IF(LoanIsNotPaid*LoanIsGood,InterestAmt,""), "")</f>
        <v/>
      </c>
      <c r="H305" s="11" t="str">
        <f>IFERROR(IF(LoanIsNotPaid*LoanIsGood,EndingBalance,""), "")</f>
        <v/>
      </c>
    </row>
    <row r="306" spans="2:8" ht="20.149999999999999" customHeight="1">
      <c r="B306" s="9" t="str">
        <f>IFERROR(IF(LoanIsNotPaid*LoanIsGood,PaymentNumber,""), "")</f>
        <v/>
      </c>
      <c r="C306" s="10" t="str">
        <f>IFERROR(IF(LoanIsNotPaid*LoanIsGood,PaymentDate,""), "")</f>
        <v/>
      </c>
      <c r="D306" s="11" t="str">
        <f>IFERROR(IF(LoanIsNotPaid*LoanIsGood,LoanValue,""), "")</f>
        <v/>
      </c>
      <c r="E306" s="11" t="str">
        <f>IFERROR(IF(LoanIsNotPaid*LoanIsGood,MonthlyPayment,""), "")</f>
        <v/>
      </c>
      <c r="F306" s="11" t="str">
        <f>IFERROR(IF(LoanIsNotPaid*LoanIsGood,Principal,""), "")</f>
        <v/>
      </c>
      <c r="G306" s="11" t="str">
        <f>IFERROR(IF(LoanIsNotPaid*LoanIsGood,InterestAmt,""), "")</f>
        <v/>
      </c>
      <c r="H306" s="11" t="str">
        <f>IFERROR(IF(LoanIsNotPaid*LoanIsGood,EndingBalance,""), "")</f>
        <v/>
      </c>
    </row>
    <row r="307" spans="2:8" ht="20.149999999999999" customHeight="1">
      <c r="B307" s="9" t="str">
        <f>IFERROR(IF(LoanIsNotPaid*LoanIsGood,PaymentNumber,""), "")</f>
        <v/>
      </c>
      <c r="C307" s="10" t="str">
        <f>IFERROR(IF(LoanIsNotPaid*LoanIsGood,PaymentDate,""), "")</f>
        <v/>
      </c>
      <c r="D307" s="11" t="str">
        <f>IFERROR(IF(LoanIsNotPaid*LoanIsGood,LoanValue,""), "")</f>
        <v/>
      </c>
      <c r="E307" s="11" t="str">
        <f>IFERROR(IF(LoanIsNotPaid*LoanIsGood,MonthlyPayment,""), "")</f>
        <v/>
      </c>
      <c r="F307" s="11" t="str">
        <f>IFERROR(IF(LoanIsNotPaid*LoanIsGood,Principal,""), "")</f>
        <v/>
      </c>
      <c r="G307" s="11" t="str">
        <f>IFERROR(IF(LoanIsNotPaid*LoanIsGood,InterestAmt,""), "")</f>
        <v/>
      </c>
      <c r="H307" s="11" t="str">
        <f>IFERROR(IF(LoanIsNotPaid*LoanIsGood,EndingBalance,""), "")</f>
        <v/>
      </c>
    </row>
    <row r="308" spans="2:8" ht="20.149999999999999" customHeight="1">
      <c r="B308" s="9" t="str">
        <f>IFERROR(IF(LoanIsNotPaid*LoanIsGood,PaymentNumber,""), "")</f>
        <v/>
      </c>
      <c r="C308" s="10" t="str">
        <f>IFERROR(IF(LoanIsNotPaid*LoanIsGood,PaymentDate,""), "")</f>
        <v/>
      </c>
      <c r="D308" s="11" t="str">
        <f>IFERROR(IF(LoanIsNotPaid*LoanIsGood,LoanValue,""), "")</f>
        <v/>
      </c>
      <c r="E308" s="11" t="str">
        <f>IFERROR(IF(LoanIsNotPaid*LoanIsGood,MonthlyPayment,""), "")</f>
        <v/>
      </c>
      <c r="F308" s="11" t="str">
        <f>IFERROR(IF(LoanIsNotPaid*LoanIsGood,Principal,""), "")</f>
        <v/>
      </c>
      <c r="G308" s="11" t="str">
        <f>IFERROR(IF(LoanIsNotPaid*LoanIsGood,InterestAmt,""), "")</f>
        <v/>
      </c>
      <c r="H308" s="11" t="str">
        <f>IFERROR(IF(LoanIsNotPaid*LoanIsGood,EndingBalance,""), "")</f>
        <v/>
      </c>
    </row>
    <row r="309" spans="2:8" ht="20.149999999999999" customHeight="1">
      <c r="B309" s="9" t="str">
        <f>IFERROR(IF(LoanIsNotPaid*LoanIsGood,PaymentNumber,""), "")</f>
        <v/>
      </c>
      <c r="C309" s="10" t="str">
        <f>IFERROR(IF(LoanIsNotPaid*LoanIsGood,PaymentDate,""), "")</f>
        <v/>
      </c>
      <c r="D309" s="11" t="str">
        <f>IFERROR(IF(LoanIsNotPaid*LoanIsGood,LoanValue,""), "")</f>
        <v/>
      </c>
      <c r="E309" s="11" t="str">
        <f>IFERROR(IF(LoanIsNotPaid*LoanIsGood,MonthlyPayment,""), "")</f>
        <v/>
      </c>
      <c r="F309" s="11" t="str">
        <f>IFERROR(IF(LoanIsNotPaid*LoanIsGood,Principal,""), "")</f>
        <v/>
      </c>
      <c r="G309" s="11" t="str">
        <f>IFERROR(IF(LoanIsNotPaid*LoanIsGood,InterestAmt,""), "")</f>
        <v/>
      </c>
      <c r="H309" s="11" t="str">
        <f>IFERROR(IF(LoanIsNotPaid*LoanIsGood,EndingBalance,""), "")</f>
        <v/>
      </c>
    </row>
    <row r="310" spans="2:8" ht="20.149999999999999" customHeight="1">
      <c r="B310" s="9" t="str">
        <f>IFERROR(IF(LoanIsNotPaid*LoanIsGood,PaymentNumber,""), "")</f>
        <v/>
      </c>
      <c r="C310" s="10" t="str">
        <f>IFERROR(IF(LoanIsNotPaid*LoanIsGood,PaymentDate,""), "")</f>
        <v/>
      </c>
      <c r="D310" s="11" t="str">
        <f>IFERROR(IF(LoanIsNotPaid*LoanIsGood,LoanValue,""), "")</f>
        <v/>
      </c>
      <c r="E310" s="11" t="str">
        <f>IFERROR(IF(LoanIsNotPaid*LoanIsGood,MonthlyPayment,""), "")</f>
        <v/>
      </c>
      <c r="F310" s="11" t="str">
        <f>IFERROR(IF(LoanIsNotPaid*LoanIsGood,Principal,""), "")</f>
        <v/>
      </c>
      <c r="G310" s="11" t="str">
        <f>IFERROR(IF(LoanIsNotPaid*LoanIsGood,InterestAmt,""), "")</f>
        <v/>
      </c>
      <c r="H310" s="11" t="str">
        <f>IFERROR(IF(LoanIsNotPaid*LoanIsGood,EndingBalance,""), "")</f>
        <v/>
      </c>
    </row>
    <row r="311" spans="2:8" ht="20.149999999999999" customHeight="1">
      <c r="B311" s="9" t="str">
        <f>IFERROR(IF(LoanIsNotPaid*LoanIsGood,PaymentNumber,""), "")</f>
        <v/>
      </c>
      <c r="C311" s="10" t="str">
        <f>IFERROR(IF(LoanIsNotPaid*LoanIsGood,PaymentDate,""), "")</f>
        <v/>
      </c>
      <c r="D311" s="11" t="str">
        <f>IFERROR(IF(LoanIsNotPaid*LoanIsGood,LoanValue,""), "")</f>
        <v/>
      </c>
      <c r="E311" s="11" t="str">
        <f>IFERROR(IF(LoanIsNotPaid*LoanIsGood,MonthlyPayment,""), "")</f>
        <v/>
      </c>
      <c r="F311" s="11" t="str">
        <f>IFERROR(IF(LoanIsNotPaid*LoanIsGood,Principal,""), "")</f>
        <v/>
      </c>
      <c r="G311" s="11" t="str">
        <f>IFERROR(IF(LoanIsNotPaid*LoanIsGood,InterestAmt,""), "")</f>
        <v/>
      </c>
      <c r="H311" s="11" t="str">
        <f>IFERROR(IF(LoanIsNotPaid*LoanIsGood,EndingBalance,""), "")</f>
        <v/>
      </c>
    </row>
    <row r="312" spans="2:8" ht="20.149999999999999" customHeight="1">
      <c r="B312" s="9" t="str">
        <f>IFERROR(IF(LoanIsNotPaid*LoanIsGood,PaymentNumber,""), "")</f>
        <v/>
      </c>
      <c r="C312" s="10" t="str">
        <f>IFERROR(IF(LoanIsNotPaid*LoanIsGood,PaymentDate,""), "")</f>
        <v/>
      </c>
      <c r="D312" s="11" t="str">
        <f>IFERROR(IF(LoanIsNotPaid*LoanIsGood,LoanValue,""), "")</f>
        <v/>
      </c>
      <c r="E312" s="11" t="str">
        <f>IFERROR(IF(LoanIsNotPaid*LoanIsGood,MonthlyPayment,""), "")</f>
        <v/>
      </c>
      <c r="F312" s="11" t="str">
        <f>IFERROR(IF(LoanIsNotPaid*LoanIsGood,Principal,""), "")</f>
        <v/>
      </c>
      <c r="G312" s="11" t="str">
        <f>IFERROR(IF(LoanIsNotPaid*LoanIsGood,InterestAmt,""), "")</f>
        <v/>
      </c>
      <c r="H312" s="11" t="str">
        <f>IFERROR(IF(LoanIsNotPaid*LoanIsGood,EndingBalance,""), "")</f>
        <v/>
      </c>
    </row>
    <row r="313" spans="2:8" ht="20.149999999999999" customHeight="1">
      <c r="B313" s="9" t="str">
        <f>IFERROR(IF(LoanIsNotPaid*LoanIsGood,PaymentNumber,""), "")</f>
        <v/>
      </c>
      <c r="C313" s="10" t="str">
        <f>IFERROR(IF(LoanIsNotPaid*LoanIsGood,PaymentDate,""), "")</f>
        <v/>
      </c>
      <c r="D313" s="11" t="str">
        <f>IFERROR(IF(LoanIsNotPaid*LoanIsGood,LoanValue,""), "")</f>
        <v/>
      </c>
      <c r="E313" s="11" t="str">
        <f>IFERROR(IF(LoanIsNotPaid*LoanIsGood,MonthlyPayment,""), "")</f>
        <v/>
      </c>
      <c r="F313" s="11" t="str">
        <f>IFERROR(IF(LoanIsNotPaid*LoanIsGood,Principal,""), "")</f>
        <v/>
      </c>
      <c r="G313" s="11" t="str">
        <f>IFERROR(IF(LoanIsNotPaid*LoanIsGood,InterestAmt,""), "")</f>
        <v/>
      </c>
      <c r="H313" s="11" t="str">
        <f>IFERROR(IF(LoanIsNotPaid*LoanIsGood,EndingBalance,""), "")</f>
        <v/>
      </c>
    </row>
    <row r="314" spans="2:8" ht="20.149999999999999" customHeight="1">
      <c r="B314" s="9" t="str">
        <f>IFERROR(IF(LoanIsNotPaid*LoanIsGood,PaymentNumber,""), "")</f>
        <v/>
      </c>
      <c r="C314" s="10" t="str">
        <f>IFERROR(IF(LoanIsNotPaid*LoanIsGood,PaymentDate,""), "")</f>
        <v/>
      </c>
      <c r="D314" s="11" t="str">
        <f>IFERROR(IF(LoanIsNotPaid*LoanIsGood,LoanValue,""), "")</f>
        <v/>
      </c>
      <c r="E314" s="11" t="str">
        <f>IFERROR(IF(LoanIsNotPaid*LoanIsGood,MonthlyPayment,""), "")</f>
        <v/>
      </c>
      <c r="F314" s="11" t="str">
        <f>IFERROR(IF(LoanIsNotPaid*LoanIsGood,Principal,""), "")</f>
        <v/>
      </c>
      <c r="G314" s="11" t="str">
        <f>IFERROR(IF(LoanIsNotPaid*LoanIsGood,InterestAmt,""), "")</f>
        <v/>
      </c>
      <c r="H314" s="11" t="str">
        <f>IFERROR(IF(LoanIsNotPaid*LoanIsGood,EndingBalance,""), "")</f>
        <v/>
      </c>
    </row>
    <row r="315" spans="2:8" ht="20.149999999999999" customHeight="1">
      <c r="B315" s="9" t="str">
        <f>IFERROR(IF(LoanIsNotPaid*LoanIsGood,PaymentNumber,""), "")</f>
        <v/>
      </c>
      <c r="C315" s="10" t="str">
        <f>IFERROR(IF(LoanIsNotPaid*LoanIsGood,PaymentDate,""), "")</f>
        <v/>
      </c>
      <c r="D315" s="11" t="str">
        <f>IFERROR(IF(LoanIsNotPaid*LoanIsGood,LoanValue,""), "")</f>
        <v/>
      </c>
      <c r="E315" s="11" t="str">
        <f>IFERROR(IF(LoanIsNotPaid*LoanIsGood,MonthlyPayment,""), "")</f>
        <v/>
      </c>
      <c r="F315" s="11" t="str">
        <f>IFERROR(IF(LoanIsNotPaid*LoanIsGood,Principal,""), "")</f>
        <v/>
      </c>
      <c r="G315" s="11" t="str">
        <f>IFERROR(IF(LoanIsNotPaid*LoanIsGood,InterestAmt,""), "")</f>
        <v/>
      </c>
      <c r="H315" s="11" t="str">
        <f>IFERROR(IF(LoanIsNotPaid*LoanIsGood,EndingBalance,""), "")</f>
        <v/>
      </c>
    </row>
    <row r="316" spans="2:8" ht="20.149999999999999" customHeight="1">
      <c r="B316" s="9" t="str">
        <f>IFERROR(IF(LoanIsNotPaid*LoanIsGood,PaymentNumber,""), "")</f>
        <v/>
      </c>
      <c r="C316" s="10" t="str">
        <f>IFERROR(IF(LoanIsNotPaid*LoanIsGood,PaymentDate,""), "")</f>
        <v/>
      </c>
      <c r="D316" s="11" t="str">
        <f>IFERROR(IF(LoanIsNotPaid*LoanIsGood,LoanValue,""), "")</f>
        <v/>
      </c>
      <c r="E316" s="11" t="str">
        <f>IFERROR(IF(LoanIsNotPaid*LoanIsGood,MonthlyPayment,""), "")</f>
        <v/>
      </c>
      <c r="F316" s="11" t="str">
        <f>IFERROR(IF(LoanIsNotPaid*LoanIsGood,Principal,""), "")</f>
        <v/>
      </c>
      <c r="G316" s="11" t="str">
        <f>IFERROR(IF(LoanIsNotPaid*LoanIsGood,InterestAmt,""), "")</f>
        <v/>
      </c>
      <c r="H316" s="11" t="str">
        <f>IFERROR(IF(LoanIsNotPaid*LoanIsGood,EndingBalance,""), "")</f>
        <v/>
      </c>
    </row>
    <row r="317" spans="2:8" ht="20.149999999999999" customHeight="1">
      <c r="B317" s="9" t="str">
        <f>IFERROR(IF(LoanIsNotPaid*LoanIsGood,PaymentNumber,""), "")</f>
        <v/>
      </c>
      <c r="C317" s="10" t="str">
        <f>IFERROR(IF(LoanIsNotPaid*LoanIsGood,PaymentDate,""), "")</f>
        <v/>
      </c>
      <c r="D317" s="11" t="str">
        <f>IFERROR(IF(LoanIsNotPaid*LoanIsGood,LoanValue,""), "")</f>
        <v/>
      </c>
      <c r="E317" s="11" t="str">
        <f>IFERROR(IF(LoanIsNotPaid*LoanIsGood,MonthlyPayment,""), "")</f>
        <v/>
      </c>
      <c r="F317" s="11" t="str">
        <f>IFERROR(IF(LoanIsNotPaid*LoanIsGood,Principal,""), "")</f>
        <v/>
      </c>
      <c r="G317" s="11" t="str">
        <f>IFERROR(IF(LoanIsNotPaid*LoanIsGood,InterestAmt,""), "")</f>
        <v/>
      </c>
      <c r="H317" s="11" t="str">
        <f>IFERROR(IF(LoanIsNotPaid*LoanIsGood,EndingBalance,""), "")</f>
        <v/>
      </c>
    </row>
    <row r="318" spans="2:8" ht="20.149999999999999" customHeight="1">
      <c r="B318" s="9" t="str">
        <f>IFERROR(IF(LoanIsNotPaid*LoanIsGood,PaymentNumber,""), "")</f>
        <v/>
      </c>
      <c r="C318" s="10" t="str">
        <f>IFERROR(IF(LoanIsNotPaid*LoanIsGood,PaymentDate,""), "")</f>
        <v/>
      </c>
      <c r="D318" s="11" t="str">
        <f>IFERROR(IF(LoanIsNotPaid*LoanIsGood,LoanValue,""), "")</f>
        <v/>
      </c>
      <c r="E318" s="11" t="str">
        <f>IFERROR(IF(LoanIsNotPaid*LoanIsGood,MonthlyPayment,""), "")</f>
        <v/>
      </c>
      <c r="F318" s="11" t="str">
        <f>IFERROR(IF(LoanIsNotPaid*LoanIsGood,Principal,""), "")</f>
        <v/>
      </c>
      <c r="G318" s="11" t="str">
        <f>IFERROR(IF(LoanIsNotPaid*LoanIsGood,InterestAmt,""), "")</f>
        <v/>
      </c>
      <c r="H318" s="11" t="str">
        <f>IFERROR(IF(LoanIsNotPaid*LoanIsGood,EndingBalance,""), "")</f>
        <v/>
      </c>
    </row>
    <row r="319" spans="2:8" ht="20.149999999999999" customHeight="1">
      <c r="B319" s="9" t="str">
        <f>IFERROR(IF(LoanIsNotPaid*LoanIsGood,PaymentNumber,""), "")</f>
        <v/>
      </c>
      <c r="C319" s="10" t="str">
        <f>IFERROR(IF(LoanIsNotPaid*LoanIsGood,PaymentDate,""), "")</f>
        <v/>
      </c>
      <c r="D319" s="11" t="str">
        <f>IFERROR(IF(LoanIsNotPaid*LoanIsGood,LoanValue,""), "")</f>
        <v/>
      </c>
      <c r="E319" s="11" t="str">
        <f>IFERROR(IF(LoanIsNotPaid*LoanIsGood,MonthlyPayment,""), "")</f>
        <v/>
      </c>
      <c r="F319" s="11" t="str">
        <f>IFERROR(IF(LoanIsNotPaid*LoanIsGood,Principal,""), "")</f>
        <v/>
      </c>
      <c r="G319" s="11" t="str">
        <f>IFERROR(IF(LoanIsNotPaid*LoanIsGood,InterestAmt,""), "")</f>
        <v/>
      </c>
      <c r="H319" s="11" t="str">
        <f>IFERROR(IF(LoanIsNotPaid*LoanIsGood,EndingBalance,""), "")</f>
        <v/>
      </c>
    </row>
    <row r="320" spans="2:8" ht="20.149999999999999" customHeight="1">
      <c r="B320" s="9" t="str">
        <f>IFERROR(IF(LoanIsNotPaid*LoanIsGood,PaymentNumber,""), "")</f>
        <v/>
      </c>
      <c r="C320" s="10" t="str">
        <f>IFERROR(IF(LoanIsNotPaid*LoanIsGood,PaymentDate,""), "")</f>
        <v/>
      </c>
      <c r="D320" s="11" t="str">
        <f>IFERROR(IF(LoanIsNotPaid*LoanIsGood,LoanValue,""), "")</f>
        <v/>
      </c>
      <c r="E320" s="11" t="str">
        <f>IFERROR(IF(LoanIsNotPaid*LoanIsGood,MonthlyPayment,""), "")</f>
        <v/>
      </c>
      <c r="F320" s="11" t="str">
        <f>IFERROR(IF(LoanIsNotPaid*LoanIsGood,Principal,""), "")</f>
        <v/>
      </c>
      <c r="G320" s="11" t="str">
        <f>IFERROR(IF(LoanIsNotPaid*LoanIsGood,InterestAmt,""), "")</f>
        <v/>
      </c>
      <c r="H320" s="11" t="str">
        <f>IFERROR(IF(LoanIsNotPaid*LoanIsGood,EndingBalance,""), "")</f>
        <v/>
      </c>
    </row>
    <row r="321" spans="2:8" ht="20.149999999999999" customHeight="1">
      <c r="B321" s="9" t="str">
        <f>IFERROR(IF(LoanIsNotPaid*LoanIsGood,PaymentNumber,""), "")</f>
        <v/>
      </c>
      <c r="C321" s="10" t="str">
        <f>IFERROR(IF(LoanIsNotPaid*LoanIsGood,PaymentDate,""), "")</f>
        <v/>
      </c>
      <c r="D321" s="11" t="str">
        <f>IFERROR(IF(LoanIsNotPaid*LoanIsGood,LoanValue,""), "")</f>
        <v/>
      </c>
      <c r="E321" s="11" t="str">
        <f>IFERROR(IF(LoanIsNotPaid*LoanIsGood,MonthlyPayment,""), "")</f>
        <v/>
      </c>
      <c r="F321" s="11" t="str">
        <f>IFERROR(IF(LoanIsNotPaid*LoanIsGood,Principal,""), "")</f>
        <v/>
      </c>
      <c r="G321" s="11" t="str">
        <f>IFERROR(IF(LoanIsNotPaid*LoanIsGood,InterestAmt,""), "")</f>
        <v/>
      </c>
      <c r="H321" s="11" t="str">
        <f>IFERROR(IF(LoanIsNotPaid*LoanIsGood,EndingBalance,""), "")</f>
        <v/>
      </c>
    </row>
    <row r="322" spans="2:8" ht="20.149999999999999" customHeight="1">
      <c r="B322" s="9" t="str">
        <f>IFERROR(IF(LoanIsNotPaid*LoanIsGood,PaymentNumber,""), "")</f>
        <v/>
      </c>
      <c r="C322" s="10" t="str">
        <f>IFERROR(IF(LoanIsNotPaid*LoanIsGood,PaymentDate,""), "")</f>
        <v/>
      </c>
      <c r="D322" s="11" t="str">
        <f>IFERROR(IF(LoanIsNotPaid*LoanIsGood,LoanValue,""), "")</f>
        <v/>
      </c>
      <c r="E322" s="11" t="str">
        <f>IFERROR(IF(LoanIsNotPaid*LoanIsGood,MonthlyPayment,""), "")</f>
        <v/>
      </c>
      <c r="F322" s="11" t="str">
        <f>IFERROR(IF(LoanIsNotPaid*LoanIsGood,Principal,""), "")</f>
        <v/>
      </c>
      <c r="G322" s="11" t="str">
        <f>IFERROR(IF(LoanIsNotPaid*LoanIsGood,InterestAmt,""), "")</f>
        <v/>
      </c>
      <c r="H322" s="11" t="str">
        <f>IFERROR(IF(LoanIsNotPaid*LoanIsGood,EndingBalance,""), "")</f>
        <v/>
      </c>
    </row>
    <row r="323" spans="2:8" ht="20.149999999999999" customHeight="1">
      <c r="B323" s="9" t="str">
        <f>IFERROR(IF(LoanIsNotPaid*LoanIsGood,PaymentNumber,""), "")</f>
        <v/>
      </c>
      <c r="C323" s="10" t="str">
        <f>IFERROR(IF(LoanIsNotPaid*LoanIsGood,PaymentDate,""), "")</f>
        <v/>
      </c>
      <c r="D323" s="11" t="str">
        <f>IFERROR(IF(LoanIsNotPaid*LoanIsGood,LoanValue,""), "")</f>
        <v/>
      </c>
      <c r="E323" s="11" t="str">
        <f>IFERROR(IF(LoanIsNotPaid*LoanIsGood,MonthlyPayment,""), "")</f>
        <v/>
      </c>
      <c r="F323" s="11" t="str">
        <f>IFERROR(IF(LoanIsNotPaid*LoanIsGood,Principal,""), "")</f>
        <v/>
      </c>
      <c r="G323" s="11" t="str">
        <f>IFERROR(IF(LoanIsNotPaid*LoanIsGood,InterestAmt,""), "")</f>
        <v/>
      </c>
      <c r="H323" s="11" t="str">
        <f>IFERROR(IF(LoanIsNotPaid*LoanIsGood,EndingBalance,""), "")</f>
        <v/>
      </c>
    </row>
    <row r="324" spans="2:8" ht="20.149999999999999" customHeight="1">
      <c r="B324" s="9" t="str">
        <f>IFERROR(IF(LoanIsNotPaid*LoanIsGood,PaymentNumber,""), "")</f>
        <v/>
      </c>
      <c r="C324" s="10" t="str">
        <f>IFERROR(IF(LoanIsNotPaid*LoanIsGood,PaymentDate,""), "")</f>
        <v/>
      </c>
      <c r="D324" s="11" t="str">
        <f>IFERROR(IF(LoanIsNotPaid*LoanIsGood,LoanValue,""), "")</f>
        <v/>
      </c>
      <c r="E324" s="11" t="str">
        <f>IFERROR(IF(LoanIsNotPaid*LoanIsGood,MonthlyPayment,""), "")</f>
        <v/>
      </c>
      <c r="F324" s="11" t="str">
        <f>IFERROR(IF(LoanIsNotPaid*LoanIsGood,Principal,""), "")</f>
        <v/>
      </c>
      <c r="G324" s="11" t="str">
        <f>IFERROR(IF(LoanIsNotPaid*LoanIsGood,InterestAmt,""), "")</f>
        <v/>
      </c>
      <c r="H324" s="11" t="str">
        <f>IFERROR(IF(LoanIsNotPaid*LoanIsGood,EndingBalance,""), "")</f>
        <v/>
      </c>
    </row>
    <row r="325" spans="2:8" ht="20.149999999999999" customHeight="1">
      <c r="B325" s="9" t="str">
        <f>IFERROR(IF(LoanIsNotPaid*LoanIsGood,PaymentNumber,""), "")</f>
        <v/>
      </c>
      <c r="C325" s="10" t="str">
        <f>IFERROR(IF(LoanIsNotPaid*LoanIsGood,PaymentDate,""), "")</f>
        <v/>
      </c>
      <c r="D325" s="11" t="str">
        <f>IFERROR(IF(LoanIsNotPaid*LoanIsGood,LoanValue,""), "")</f>
        <v/>
      </c>
      <c r="E325" s="11" t="str">
        <f>IFERROR(IF(LoanIsNotPaid*LoanIsGood,MonthlyPayment,""), "")</f>
        <v/>
      </c>
      <c r="F325" s="11" t="str">
        <f>IFERROR(IF(LoanIsNotPaid*LoanIsGood,Principal,""), "")</f>
        <v/>
      </c>
      <c r="G325" s="11" t="str">
        <f>IFERROR(IF(LoanIsNotPaid*LoanIsGood,InterestAmt,""), "")</f>
        <v/>
      </c>
      <c r="H325" s="11" t="str">
        <f>IFERROR(IF(LoanIsNotPaid*LoanIsGood,EndingBalance,""), "")</f>
        <v/>
      </c>
    </row>
    <row r="326" spans="2:8" ht="20.149999999999999" customHeight="1">
      <c r="B326" s="9" t="str">
        <f>IFERROR(IF(LoanIsNotPaid*LoanIsGood,PaymentNumber,""), "")</f>
        <v/>
      </c>
      <c r="C326" s="10" t="str">
        <f>IFERROR(IF(LoanIsNotPaid*LoanIsGood,PaymentDate,""), "")</f>
        <v/>
      </c>
      <c r="D326" s="11" t="str">
        <f>IFERROR(IF(LoanIsNotPaid*LoanIsGood,LoanValue,""), "")</f>
        <v/>
      </c>
      <c r="E326" s="11" t="str">
        <f>IFERROR(IF(LoanIsNotPaid*LoanIsGood,MonthlyPayment,""), "")</f>
        <v/>
      </c>
      <c r="F326" s="11" t="str">
        <f>IFERROR(IF(LoanIsNotPaid*LoanIsGood,Principal,""), "")</f>
        <v/>
      </c>
      <c r="G326" s="11" t="str">
        <f>IFERROR(IF(LoanIsNotPaid*LoanIsGood,InterestAmt,""), "")</f>
        <v/>
      </c>
      <c r="H326" s="11" t="str">
        <f>IFERROR(IF(LoanIsNotPaid*LoanIsGood,EndingBalance,""), "")</f>
        <v/>
      </c>
    </row>
    <row r="327" spans="2:8" ht="20.149999999999999" customHeight="1">
      <c r="B327" s="9" t="str">
        <f>IFERROR(IF(LoanIsNotPaid*LoanIsGood,PaymentNumber,""), "")</f>
        <v/>
      </c>
      <c r="C327" s="10" t="str">
        <f>IFERROR(IF(LoanIsNotPaid*LoanIsGood,PaymentDate,""), "")</f>
        <v/>
      </c>
      <c r="D327" s="11" t="str">
        <f>IFERROR(IF(LoanIsNotPaid*LoanIsGood,LoanValue,""), "")</f>
        <v/>
      </c>
      <c r="E327" s="11" t="str">
        <f>IFERROR(IF(LoanIsNotPaid*LoanIsGood,MonthlyPayment,""), "")</f>
        <v/>
      </c>
      <c r="F327" s="11" t="str">
        <f>IFERROR(IF(LoanIsNotPaid*LoanIsGood,Principal,""), "")</f>
        <v/>
      </c>
      <c r="G327" s="11" t="str">
        <f>IFERROR(IF(LoanIsNotPaid*LoanIsGood,InterestAmt,""), "")</f>
        <v/>
      </c>
      <c r="H327" s="11" t="str">
        <f>IFERROR(IF(LoanIsNotPaid*LoanIsGood,EndingBalance,""), "")</f>
        <v/>
      </c>
    </row>
    <row r="328" spans="2:8" ht="20.149999999999999" customHeight="1">
      <c r="B328" s="9" t="str">
        <f>IFERROR(IF(LoanIsNotPaid*LoanIsGood,PaymentNumber,""), "")</f>
        <v/>
      </c>
      <c r="C328" s="10" t="str">
        <f>IFERROR(IF(LoanIsNotPaid*LoanIsGood,PaymentDate,""), "")</f>
        <v/>
      </c>
      <c r="D328" s="11" t="str">
        <f>IFERROR(IF(LoanIsNotPaid*LoanIsGood,LoanValue,""), "")</f>
        <v/>
      </c>
      <c r="E328" s="11" t="str">
        <f>IFERROR(IF(LoanIsNotPaid*LoanIsGood,MonthlyPayment,""), "")</f>
        <v/>
      </c>
      <c r="F328" s="11" t="str">
        <f>IFERROR(IF(LoanIsNotPaid*LoanIsGood,Principal,""), "")</f>
        <v/>
      </c>
      <c r="G328" s="11" t="str">
        <f>IFERROR(IF(LoanIsNotPaid*LoanIsGood,InterestAmt,""), "")</f>
        <v/>
      </c>
      <c r="H328" s="11" t="str">
        <f>IFERROR(IF(LoanIsNotPaid*LoanIsGood,EndingBalance,""), "")</f>
        <v/>
      </c>
    </row>
    <row r="329" spans="2:8" ht="20.149999999999999" customHeight="1">
      <c r="B329" s="9" t="str">
        <f>IFERROR(IF(LoanIsNotPaid*LoanIsGood,PaymentNumber,""), "")</f>
        <v/>
      </c>
      <c r="C329" s="10" t="str">
        <f>IFERROR(IF(LoanIsNotPaid*LoanIsGood,PaymentDate,""), "")</f>
        <v/>
      </c>
      <c r="D329" s="11" t="str">
        <f>IFERROR(IF(LoanIsNotPaid*LoanIsGood,LoanValue,""), "")</f>
        <v/>
      </c>
      <c r="E329" s="11" t="str">
        <f>IFERROR(IF(LoanIsNotPaid*LoanIsGood,MonthlyPayment,""), "")</f>
        <v/>
      </c>
      <c r="F329" s="11" t="str">
        <f>IFERROR(IF(LoanIsNotPaid*LoanIsGood,Principal,""), "")</f>
        <v/>
      </c>
      <c r="G329" s="11" t="str">
        <f>IFERROR(IF(LoanIsNotPaid*LoanIsGood,InterestAmt,""), "")</f>
        <v/>
      </c>
      <c r="H329" s="11" t="str">
        <f>IFERROR(IF(LoanIsNotPaid*LoanIsGood,EndingBalance,""), "")</f>
        <v/>
      </c>
    </row>
    <row r="330" spans="2:8" ht="20.149999999999999" customHeight="1">
      <c r="B330" s="9" t="str">
        <f>IFERROR(IF(LoanIsNotPaid*LoanIsGood,PaymentNumber,""), "")</f>
        <v/>
      </c>
      <c r="C330" s="10" t="str">
        <f>IFERROR(IF(LoanIsNotPaid*LoanIsGood,PaymentDate,""), "")</f>
        <v/>
      </c>
      <c r="D330" s="11" t="str">
        <f>IFERROR(IF(LoanIsNotPaid*LoanIsGood,LoanValue,""), "")</f>
        <v/>
      </c>
      <c r="E330" s="11" t="str">
        <f>IFERROR(IF(LoanIsNotPaid*LoanIsGood,MonthlyPayment,""), "")</f>
        <v/>
      </c>
      <c r="F330" s="11" t="str">
        <f>IFERROR(IF(LoanIsNotPaid*LoanIsGood,Principal,""), "")</f>
        <v/>
      </c>
      <c r="G330" s="11" t="str">
        <f>IFERROR(IF(LoanIsNotPaid*LoanIsGood,InterestAmt,""), "")</f>
        <v/>
      </c>
      <c r="H330" s="11" t="str">
        <f>IFERROR(IF(LoanIsNotPaid*LoanIsGood,EndingBalance,""), "")</f>
        <v/>
      </c>
    </row>
    <row r="331" spans="2:8" ht="20.149999999999999" customHeight="1">
      <c r="B331" s="9" t="str">
        <f>IFERROR(IF(LoanIsNotPaid*LoanIsGood,PaymentNumber,""), "")</f>
        <v/>
      </c>
      <c r="C331" s="10" t="str">
        <f>IFERROR(IF(LoanIsNotPaid*LoanIsGood,PaymentDate,""), "")</f>
        <v/>
      </c>
      <c r="D331" s="11" t="str">
        <f>IFERROR(IF(LoanIsNotPaid*LoanIsGood,LoanValue,""), "")</f>
        <v/>
      </c>
      <c r="E331" s="11" t="str">
        <f>IFERROR(IF(LoanIsNotPaid*LoanIsGood,MonthlyPayment,""), "")</f>
        <v/>
      </c>
      <c r="F331" s="11" t="str">
        <f>IFERROR(IF(LoanIsNotPaid*LoanIsGood,Principal,""), "")</f>
        <v/>
      </c>
      <c r="G331" s="11" t="str">
        <f>IFERROR(IF(LoanIsNotPaid*LoanIsGood,InterestAmt,""), "")</f>
        <v/>
      </c>
      <c r="H331" s="11" t="str">
        <f>IFERROR(IF(LoanIsNotPaid*LoanIsGood,EndingBalance,""), "")</f>
        <v/>
      </c>
    </row>
    <row r="332" spans="2:8" ht="20.149999999999999" customHeight="1">
      <c r="B332" s="9" t="str">
        <f>IFERROR(IF(LoanIsNotPaid*LoanIsGood,PaymentNumber,""), "")</f>
        <v/>
      </c>
      <c r="C332" s="10" t="str">
        <f>IFERROR(IF(LoanIsNotPaid*LoanIsGood,PaymentDate,""), "")</f>
        <v/>
      </c>
      <c r="D332" s="11" t="str">
        <f>IFERROR(IF(LoanIsNotPaid*LoanIsGood,LoanValue,""), "")</f>
        <v/>
      </c>
      <c r="E332" s="11" t="str">
        <f>IFERROR(IF(LoanIsNotPaid*LoanIsGood,MonthlyPayment,""), "")</f>
        <v/>
      </c>
      <c r="F332" s="11" t="str">
        <f>IFERROR(IF(LoanIsNotPaid*LoanIsGood,Principal,""), "")</f>
        <v/>
      </c>
      <c r="G332" s="11" t="str">
        <f>IFERROR(IF(LoanIsNotPaid*LoanIsGood,InterestAmt,""), "")</f>
        <v/>
      </c>
      <c r="H332" s="11" t="str">
        <f>IFERROR(IF(LoanIsNotPaid*LoanIsGood,EndingBalance,""), "")</f>
        <v/>
      </c>
    </row>
    <row r="333" spans="2:8" ht="20.149999999999999" customHeight="1">
      <c r="B333" s="9" t="str">
        <f>IFERROR(IF(LoanIsNotPaid*LoanIsGood,PaymentNumber,""), "")</f>
        <v/>
      </c>
      <c r="C333" s="10" t="str">
        <f>IFERROR(IF(LoanIsNotPaid*LoanIsGood,PaymentDate,""), "")</f>
        <v/>
      </c>
      <c r="D333" s="11" t="str">
        <f>IFERROR(IF(LoanIsNotPaid*LoanIsGood,LoanValue,""), "")</f>
        <v/>
      </c>
      <c r="E333" s="11" t="str">
        <f>IFERROR(IF(LoanIsNotPaid*LoanIsGood,MonthlyPayment,""), "")</f>
        <v/>
      </c>
      <c r="F333" s="11" t="str">
        <f>IFERROR(IF(LoanIsNotPaid*LoanIsGood,Principal,""), "")</f>
        <v/>
      </c>
      <c r="G333" s="11" t="str">
        <f>IFERROR(IF(LoanIsNotPaid*LoanIsGood,InterestAmt,""), "")</f>
        <v/>
      </c>
      <c r="H333" s="11" t="str">
        <f>IFERROR(IF(LoanIsNotPaid*LoanIsGood,EndingBalance,""), "")</f>
        <v/>
      </c>
    </row>
    <row r="334" spans="2:8" ht="20.149999999999999" customHeight="1">
      <c r="B334" s="9" t="str">
        <f>IFERROR(IF(LoanIsNotPaid*LoanIsGood,PaymentNumber,""), "")</f>
        <v/>
      </c>
      <c r="C334" s="10" t="str">
        <f>IFERROR(IF(LoanIsNotPaid*LoanIsGood,PaymentDate,""), "")</f>
        <v/>
      </c>
      <c r="D334" s="11" t="str">
        <f>IFERROR(IF(LoanIsNotPaid*LoanIsGood,LoanValue,""), "")</f>
        <v/>
      </c>
      <c r="E334" s="11" t="str">
        <f>IFERROR(IF(LoanIsNotPaid*LoanIsGood,MonthlyPayment,""), "")</f>
        <v/>
      </c>
      <c r="F334" s="11" t="str">
        <f>IFERROR(IF(LoanIsNotPaid*LoanIsGood,Principal,""), "")</f>
        <v/>
      </c>
      <c r="G334" s="11" t="str">
        <f>IFERROR(IF(LoanIsNotPaid*LoanIsGood,InterestAmt,""), "")</f>
        <v/>
      </c>
      <c r="H334" s="11" t="str">
        <f>IFERROR(IF(LoanIsNotPaid*LoanIsGood,EndingBalance,""), "")</f>
        <v/>
      </c>
    </row>
    <row r="335" spans="2:8" ht="20.149999999999999" customHeight="1">
      <c r="B335" s="9" t="str">
        <f>IFERROR(IF(LoanIsNotPaid*LoanIsGood,PaymentNumber,""), "")</f>
        <v/>
      </c>
      <c r="C335" s="10" t="str">
        <f>IFERROR(IF(LoanIsNotPaid*LoanIsGood,PaymentDate,""), "")</f>
        <v/>
      </c>
      <c r="D335" s="11" t="str">
        <f>IFERROR(IF(LoanIsNotPaid*LoanIsGood,LoanValue,""), "")</f>
        <v/>
      </c>
      <c r="E335" s="11" t="str">
        <f>IFERROR(IF(LoanIsNotPaid*LoanIsGood,MonthlyPayment,""), "")</f>
        <v/>
      </c>
      <c r="F335" s="11" t="str">
        <f>IFERROR(IF(LoanIsNotPaid*LoanIsGood,Principal,""), "")</f>
        <v/>
      </c>
      <c r="G335" s="11" t="str">
        <f>IFERROR(IF(LoanIsNotPaid*LoanIsGood,InterestAmt,""), "")</f>
        <v/>
      </c>
      <c r="H335" s="11" t="str">
        <f>IFERROR(IF(LoanIsNotPaid*LoanIsGood,EndingBalance,""), "")</f>
        <v/>
      </c>
    </row>
    <row r="336" spans="2:8" ht="20.149999999999999" customHeight="1">
      <c r="B336" s="9" t="str">
        <f>IFERROR(IF(LoanIsNotPaid*LoanIsGood,PaymentNumber,""), "")</f>
        <v/>
      </c>
      <c r="C336" s="10" t="str">
        <f>IFERROR(IF(LoanIsNotPaid*LoanIsGood,PaymentDate,""), "")</f>
        <v/>
      </c>
      <c r="D336" s="11" t="str">
        <f>IFERROR(IF(LoanIsNotPaid*LoanIsGood,LoanValue,""), "")</f>
        <v/>
      </c>
      <c r="E336" s="11" t="str">
        <f>IFERROR(IF(LoanIsNotPaid*LoanIsGood,MonthlyPayment,""), "")</f>
        <v/>
      </c>
      <c r="F336" s="11" t="str">
        <f>IFERROR(IF(LoanIsNotPaid*LoanIsGood,Principal,""), "")</f>
        <v/>
      </c>
      <c r="G336" s="11" t="str">
        <f>IFERROR(IF(LoanIsNotPaid*LoanIsGood,InterestAmt,""), "")</f>
        <v/>
      </c>
      <c r="H336" s="11" t="str">
        <f>IFERROR(IF(LoanIsNotPaid*LoanIsGood,EndingBalance,""), "")</f>
        <v/>
      </c>
    </row>
    <row r="337" spans="2:8" ht="20.149999999999999" customHeight="1">
      <c r="B337" s="9" t="str">
        <f>IFERROR(IF(LoanIsNotPaid*LoanIsGood,PaymentNumber,""), "")</f>
        <v/>
      </c>
      <c r="C337" s="10" t="str">
        <f>IFERROR(IF(LoanIsNotPaid*LoanIsGood,PaymentDate,""), "")</f>
        <v/>
      </c>
      <c r="D337" s="11" t="str">
        <f>IFERROR(IF(LoanIsNotPaid*LoanIsGood,LoanValue,""), "")</f>
        <v/>
      </c>
      <c r="E337" s="11" t="str">
        <f>IFERROR(IF(LoanIsNotPaid*LoanIsGood,MonthlyPayment,""), "")</f>
        <v/>
      </c>
      <c r="F337" s="11" t="str">
        <f>IFERROR(IF(LoanIsNotPaid*LoanIsGood,Principal,""), "")</f>
        <v/>
      </c>
      <c r="G337" s="11" t="str">
        <f>IFERROR(IF(LoanIsNotPaid*LoanIsGood,InterestAmt,""), "")</f>
        <v/>
      </c>
      <c r="H337" s="11" t="str">
        <f>IFERROR(IF(LoanIsNotPaid*LoanIsGood,EndingBalance,""), "")</f>
        <v/>
      </c>
    </row>
    <row r="338" spans="2:8" ht="20.149999999999999" customHeight="1">
      <c r="B338" s="9" t="str">
        <f>IFERROR(IF(LoanIsNotPaid*LoanIsGood,PaymentNumber,""), "")</f>
        <v/>
      </c>
      <c r="C338" s="10" t="str">
        <f>IFERROR(IF(LoanIsNotPaid*LoanIsGood,PaymentDate,""), "")</f>
        <v/>
      </c>
      <c r="D338" s="11" t="str">
        <f>IFERROR(IF(LoanIsNotPaid*LoanIsGood,LoanValue,""), "")</f>
        <v/>
      </c>
      <c r="E338" s="11" t="str">
        <f>IFERROR(IF(LoanIsNotPaid*LoanIsGood,MonthlyPayment,""), "")</f>
        <v/>
      </c>
      <c r="F338" s="11" t="str">
        <f>IFERROR(IF(LoanIsNotPaid*LoanIsGood,Principal,""), "")</f>
        <v/>
      </c>
      <c r="G338" s="11" t="str">
        <f>IFERROR(IF(LoanIsNotPaid*LoanIsGood,InterestAmt,""), "")</f>
        <v/>
      </c>
      <c r="H338" s="11" t="str">
        <f>IFERROR(IF(LoanIsNotPaid*LoanIsGood,EndingBalance,""), "")</f>
        <v/>
      </c>
    </row>
    <row r="339" spans="2:8" ht="20.149999999999999" customHeight="1">
      <c r="B339" s="9" t="str">
        <f>IFERROR(IF(LoanIsNotPaid*LoanIsGood,PaymentNumber,""), "")</f>
        <v/>
      </c>
      <c r="C339" s="10" t="str">
        <f>IFERROR(IF(LoanIsNotPaid*LoanIsGood,PaymentDate,""), "")</f>
        <v/>
      </c>
      <c r="D339" s="11" t="str">
        <f>IFERROR(IF(LoanIsNotPaid*LoanIsGood,LoanValue,""), "")</f>
        <v/>
      </c>
      <c r="E339" s="11" t="str">
        <f>IFERROR(IF(LoanIsNotPaid*LoanIsGood,MonthlyPayment,""), "")</f>
        <v/>
      </c>
      <c r="F339" s="11" t="str">
        <f>IFERROR(IF(LoanIsNotPaid*LoanIsGood,Principal,""), "")</f>
        <v/>
      </c>
      <c r="G339" s="11" t="str">
        <f>IFERROR(IF(LoanIsNotPaid*LoanIsGood,InterestAmt,""), "")</f>
        <v/>
      </c>
      <c r="H339" s="11" t="str">
        <f>IFERROR(IF(LoanIsNotPaid*LoanIsGood,EndingBalance,""), "")</f>
        <v/>
      </c>
    </row>
    <row r="340" spans="2:8" ht="20.149999999999999" customHeight="1">
      <c r="B340" s="9" t="str">
        <f>IFERROR(IF(LoanIsNotPaid*LoanIsGood,PaymentNumber,""), "")</f>
        <v/>
      </c>
      <c r="C340" s="10" t="str">
        <f>IFERROR(IF(LoanIsNotPaid*LoanIsGood,PaymentDate,""), "")</f>
        <v/>
      </c>
      <c r="D340" s="11" t="str">
        <f>IFERROR(IF(LoanIsNotPaid*LoanIsGood,LoanValue,""), "")</f>
        <v/>
      </c>
      <c r="E340" s="11" t="str">
        <f>IFERROR(IF(LoanIsNotPaid*LoanIsGood,MonthlyPayment,""), "")</f>
        <v/>
      </c>
      <c r="F340" s="11" t="str">
        <f>IFERROR(IF(LoanIsNotPaid*LoanIsGood,Principal,""), "")</f>
        <v/>
      </c>
      <c r="G340" s="11" t="str">
        <f>IFERROR(IF(LoanIsNotPaid*LoanIsGood,InterestAmt,""), "")</f>
        <v/>
      </c>
      <c r="H340" s="11" t="str">
        <f>IFERROR(IF(LoanIsNotPaid*LoanIsGood,EndingBalance,""), "")</f>
        <v/>
      </c>
    </row>
    <row r="341" spans="2:8" ht="20.149999999999999" customHeight="1">
      <c r="B341" s="9" t="str">
        <f>IFERROR(IF(LoanIsNotPaid*LoanIsGood,PaymentNumber,""), "")</f>
        <v/>
      </c>
      <c r="C341" s="10" t="str">
        <f>IFERROR(IF(LoanIsNotPaid*LoanIsGood,PaymentDate,""), "")</f>
        <v/>
      </c>
      <c r="D341" s="11" t="str">
        <f>IFERROR(IF(LoanIsNotPaid*LoanIsGood,LoanValue,""), "")</f>
        <v/>
      </c>
      <c r="E341" s="11" t="str">
        <f>IFERROR(IF(LoanIsNotPaid*LoanIsGood,MonthlyPayment,""), "")</f>
        <v/>
      </c>
      <c r="F341" s="11" t="str">
        <f>IFERROR(IF(LoanIsNotPaid*LoanIsGood,Principal,""), "")</f>
        <v/>
      </c>
      <c r="G341" s="11" t="str">
        <f>IFERROR(IF(LoanIsNotPaid*LoanIsGood,InterestAmt,""), "")</f>
        <v/>
      </c>
      <c r="H341" s="11" t="str">
        <f>IFERROR(IF(LoanIsNotPaid*LoanIsGood,EndingBalance,""), "")</f>
        <v/>
      </c>
    </row>
    <row r="342" spans="2:8" ht="20.149999999999999" customHeight="1">
      <c r="B342" s="9" t="str">
        <f>IFERROR(IF(LoanIsNotPaid*LoanIsGood,PaymentNumber,""), "")</f>
        <v/>
      </c>
      <c r="C342" s="10" t="str">
        <f>IFERROR(IF(LoanIsNotPaid*LoanIsGood,PaymentDate,""), "")</f>
        <v/>
      </c>
      <c r="D342" s="11" t="str">
        <f>IFERROR(IF(LoanIsNotPaid*LoanIsGood,LoanValue,""), "")</f>
        <v/>
      </c>
      <c r="E342" s="11" t="str">
        <f>IFERROR(IF(LoanIsNotPaid*LoanIsGood,MonthlyPayment,""), "")</f>
        <v/>
      </c>
      <c r="F342" s="11" t="str">
        <f>IFERROR(IF(LoanIsNotPaid*LoanIsGood,Principal,""), "")</f>
        <v/>
      </c>
      <c r="G342" s="11" t="str">
        <f>IFERROR(IF(LoanIsNotPaid*LoanIsGood,InterestAmt,""), "")</f>
        <v/>
      </c>
      <c r="H342" s="11" t="str">
        <f>IFERROR(IF(LoanIsNotPaid*LoanIsGood,EndingBalance,""), "")</f>
        <v/>
      </c>
    </row>
    <row r="343" spans="2:8" ht="20.149999999999999" customHeight="1">
      <c r="B343" s="9" t="str">
        <f>IFERROR(IF(LoanIsNotPaid*LoanIsGood,PaymentNumber,""), "")</f>
        <v/>
      </c>
      <c r="C343" s="10" t="str">
        <f>IFERROR(IF(LoanIsNotPaid*LoanIsGood,PaymentDate,""), "")</f>
        <v/>
      </c>
      <c r="D343" s="11" t="str">
        <f>IFERROR(IF(LoanIsNotPaid*LoanIsGood,LoanValue,""), "")</f>
        <v/>
      </c>
      <c r="E343" s="11" t="str">
        <f>IFERROR(IF(LoanIsNotPaid*LoanIsGood,MonthlyPayment,""), "")</f>
        <v/>
      </c>
      <c r="F343" s="11" t="str">
        <f>IFERROR(IF(LoanIsNotPaid*LoanIsGood,Principal,""), "")</f>
        <v/>
      </c>
      <c r="G343" s="11" t="str">
        <f>IFERROR(IF(LoanIsNotPaid*LoanIsGood,InterestAmt,""), "")</f>
        <v/>
      </c>
      <c r="H343" s="11" t="str">
        <f>IFERROR(IF(LoanIsNotPaid*LoanIsGood,EndingBalance,""), "")</f>
        <v/>
      </c>
    </row>
    <row r="344" spans="2:8" ht="20.149999999999999" customHeight="1">
      <c r="B344" s="9" t="str">
        <f>IFERROR(IF(LoanIsNotPaid*LoanIsGood,PaymentNumber,""), "")</f>
        <v/>
      </c>
      <c r="C344" s="10" t="str">
        <f>IFERROR(IF(LoanIsNotPaid*LoanIsGood,PaymentDate,""), "")</f>
        <v/>
      </c>
      <c r="D344" s="11" t="str">
        <f>IFERROR(IF(LoanIsNotPaid*LoanIsGood,LoanValue,""), "")</f>
        <v/>
      </c>
      <c r="E344" s="11" t="str">
        <f>IFERROR(IF(LoanIsNotPaid*LoanIsGood,MonthlyPayment,""), "")</f>
        <v/>
      </c>
      <c r="F344" s="11" t="str">
        <f>IFERROR(IF(LoanIsNotPaid*LoanIsGood,Principal,""), "")</f>
        <v/>
      </c>
      <c r="G344" s="11" t="str">
        <f>IFERROR(IF(LoanIsNotPaid*LoanIsGood,InterestAmt,""), "")</f>
        <v/>
      </c>
      <c r="H344" s="11" t="str">
        <f>IFERROR(IF(LoanIsNotPaid*LoanIsGood,EndingBalance,""), "")</f>
        <v/>
      </c>
    </row>
    <row r="345" spans="2:8" ht="20.149999999999999" customHeight="1">
      <c r="B345" s="9" t="str">
        <f>IFERROR(IF(LoanIsNotPaid*LoanIsGood,PaymentNumber,""), "")</f>
        <v/>
      </c>
      <c r="C345" s="10" t="str">
        <f>IFERROR(IF(LoanIsNotPaid*LoanIsGood,PaymentDate,""), "")</f>
        <v/>
      </c>
      <c r="D345" s="11" t="str">
        <f>IFERROR(IF(LoanIsNotPaid*LoanIsGood,LoanValue,""), "")</f>
        <v/>
      </c>
      <c r="E345" s="11" t="str">
        <f>IFERROR(IF(LoanIsNotPaid*LoanIsGood,MonthlyPayment,""), "")</f>
        <v/>
      </c>
      <c r="F345" s="11" t="str">
        <f>IFERROR(IF(LoanIsNotPaid*LoanIsGood,Principal,""), "")</f>
        <v/>
      </c>
      <c r="G345" s="11" t="str">
        <f>IFERROR(IF(LoanIsNotPaid*LoanIsGood,InterestAmt,""), "")</f>
        <v/>
      </c>
      <c r="H345" s="11" t="str">
        <f>IFERROR(IF(LoanIsNotPaid*LoanIsGood,EndingBalance,""), "")</f>
        <v/>
      </c>
    </row>
    <row r="346" spans="2:8" ht="20.149999999999999" customHeight="1">
      <c r="B346" s="9" t="str">
        <f>IFERROR(IF(LoanIsNotPaid*LoanIsGood,PaymentNumber,""), "")</f>
        <v/>
      </c>
      <c r="C346" s="10" t="str">
        <f>IFERROR(IF(LoanIsNotPaid*LoanIsGood,PaymentDate,""), "")</f>
        <v/>
      </c>
      <c r="D346" s="11" t="str">
        <f>IFERROR(IF(LoanIsNotPaid*LoanIsGood,LoanValue,""), "")</f>
        <v/>
      </c>
      <c r="E346" s="11" t="str">
        <f>IFERROR(IF(LoanIsNotPaid*LoanIsGood,MonthlyPayment,""), "")</f>
        <v/>
      </c>
      <c r="F346" s="11" t="str">
        <f>IFERROR(IF(LoanIsNotPaid*LoanIsGood,Principal,""), "")</f>
        <v/>
      </c>
      <c r="G346" s="11" t="str">
        <f>IFERROR(IF(LoanIsNotPaid*LoanIsGood,InterestAmt,""), "")</f>
        <v/>
      </c>
      <c r="H346" s="11" t="str">
        <f>IFERROR(IF(LoanIsNotPaid*LoanIsGood,EndingBalance,""), "")</f>
        <v/>
      </c>
    </row>
    <row r="347" spans="2:8" ht="20.149999999999999" customHeight="1">
      <c r="B347" s="9" t="str">
        <f>IFERROR(IF(LoanIsNotPaid*LoanIsGood,PaymentNumber,""), "")</f>
        <v/>
      </c>
      <c r="C347" s="10" t="str">
        <f>IFERROR(IF(LoanIsNotPaid*LoanIsGood,PaymentDate,""), "")</f>
        <v/>
      </c>
      <c r="D347" s="11" t="str">
        <f>IFERROR(IF(LoanIsNotPaid*LoanIsGood,LoanValue,""), "")</f>
        <v/>
      </c>
      <c r="E347" s="11" t="str">
        <f>IFERROR(IF(LoanIsNotPaid*LoanIsGood,MonthlyPayment,""), "")</f>
        <v/>
      </c>
      <c r="F347" s="11" t="str">
        <f>IFERROR(IF(LoanIsNotPaid*LoanIsGood,Principal,""), "")</f>
        <v/>
      </c>
      <c r="G347" s="11" t="str">
        <f>IFERROR(IF(LoanIsNotPaid*LoanIsGood,InterestAmt,""), "")</f>
        <v/>
      </c>
      <c r="H347" s="11" t="str">
        <f>IFERROR(IF(LoanIsNotPaid*LoanIsGood,EndingBalance,""), "")</f>
        <v/>
      </c>
    </row>
    <row r="348" spans="2:8" ht="20.149999999999999" customHeight="1">
      <c r="B348" s="9" t="str">
        <f>IFERROR(IF(LoanIsNotPaid*LoanIsGood,PaymentNumber,""), "")</f>
        <v/>
      </c>
      <c r="C348" s="10" t="str">
        <f>IFERROR(IF(LoanIsNotPaid*LoanIsGood,PaymentDate,""), "")</f>
        <v/>
      </c>
      <c r="D348" s="11" t="str">
        <f>IFERROR(IF(LoanIsNotPaid*LoanIsGood,LoanValue,""), "")</f>
        <v/>
      </c>
      <c r="E348" s="11" t="str">
        <f>IFERROR(IF(LoanIsNotPaid*LoanIsGood,MonthlyPayment,""), "")</f>
        <v/>
      </c>
      <c r="F348" s="11" t="str">
        <f>IFERROR(IF(LoanIsNotPaid*LoanIsGood,Principal,""), "")</f>
        <v/>
      </c>
      <c r="G348" s="11" t="str">
        <f>IFERROR(IF(LoanIsNotPaid*LoanIsGood,InterestAmt,""), "")</f>
        <v/>
      </c>
      <c r="H348" s="11" t="str">
        <f>IFERROR(IF(LoanIsNotPaid*LoanIsGood,EndingBalance,""), "")</f>
        <v/>
      </c>
    </row>
    <row r="349" spans="2:8" ht="20.149999999999999" customHeight="1">
      <c r="B349" s="9" t="str">
        <f>IFERROR(IF(LoanIsNotPaid*LoanIsGood,PaymentNumber,""), "")</f>
        <v/>
      </c>
      <c r="C349" s="10" t="str">
        <f>IFERROR(IF(LoanIsNotPaid*LoanIsGood,PaymentDate,""), "")</f>
        <v/>
      </c>
      <c r="D349" s="11" t="str">
        <f>IFERROR(IF(LoanIsNotPaid*LoanIsGood,LoanValue,""), "")</f>
        <v/>
      </c>
      <c r="E349" s="11" t="str">
        <f>IFERROR(IF(LoanIsNotPaid*LoanIsGood,MonthlyPayment,""), "")</f>
        <v/>
      </c>
      <c r="F349" s="11" t="str">
        <f>IFERROR(IF(LoanIsNotPaid*LoanIsGood,Principal,""), "")</f>
        <v/>
      </c>
      <c r="G349" s="11" t="str">
        <f>IFERROR(IF(LoanIsNotPaid*LoanIsGood,InterestAmt,""), "")</f>
        <v/>
      </c>
      <c r="H349" s="11" t="str">
        <f>IFERROR(IF(LoanIsNotPaid*LoanIsGood,EndingBalance,""), "")</f>
        <v/>
      </c>
    </row>
    <row r="350" spans="2:8" ht="20.149999999999999" customHeight="1">
      <c r="B350" s="9" t="str">
        <f>IFERROR(IF(LoanIsNotPaid*LoanIsGood,PaymentNumber,""), "")</f>
        <v/>
      </c>
      <c r="C350" s="10" t="str">
        <f>IFERROR(IF(LoanIsNotPaid*LoanIsGood,PaymentDate,""), "")</f>
        <v/>
      </c>
      <c r="D350" s="11" t="str">
        <f>IFERROR(IF(LoanIsNotPaid*LoanIsGood,LoanValue,""), "")</f>
        <v/>
      </c>
      <c r="E350" s="11" t="str">
        <f>IFERROR(IF(LoanIsNotPaid*LoanIsGood,MonthlyPayment,""), "")</f>
        <v/>
      </c>
      <c r="F350" s="11" t="str">
        <f>IFERROR(IF(LoanIsNotPaid*LoanIsGood,Principal,""), "")</f>
        <v/>
      </c>
      <c r="G350" s="11" t="str">
        <f>IFERROR(IF(LoanIsNotPaid*LoanIsGood,InterestAmt,""), "")</f>
        <v/>
      </c>
      <c r="H350" s="11" t="str">
        <f>IFERROR(IF(LoanIsNotPaid*LoanIsGood,EndingBalance,""), "")</f>
        <v/>
      </c>
    </row>
    <row r="351" spans="2:8" ht="20.149999999999999" customHeight="1">
      <c r="B351" s="9" t="str">
        <f>IFERROR(IF(LoanIsNotPaid*LoanIsGood,PaymentNumber,""), "")</f>
        <v/>
      </c>
      <c r="C351" s="10" t="str">
        <f>IFERROR(IF(LoanIsNotPaid*LoanIsGood,PaymentDate,""), "")</f>
        <v/>
      </c>
      <c r="D351" s="11" t="str">
        <f>IFERROR(IF(LoanIsNotPaid*LoanIsGood,LoanValue,""), "")</f>
        <v/>
      </c>
      <c r="E351" s="11" t="str">
        <f>IFERROR(IF(LoanIsNotPaid*LoanIsGood,MonthlyPayment,""), "")</f>
        <v/>
      </c>
      <c r="F351" s="11" t="str">
        <f>IFERROR(IF(LoanIsNotPaid*LoanIsGood,Principal,""), "")</f>
        <v/>
      </c>
      <c r="G351" s="11" t="str">
        <f>IFERROR(IF(LoanIsNotPaid*LoanIsGood,InterestAmt,""), "")</f>
        <v/>
      </c>
      <c r="H351" s="11" t="str">
        <f>IFERROR(IF(LoanIsNotPaid*LoanIsGood,EndingBalance,""), "")</f>
        <v/>
      </c>
    </row>
    <row r="352" spans="2:8" ht="20.149999999999999" customHeight="1">
      <c r="B352" s="9" t="str">
        <f>IFERROR(IF(LoanIsNotPaid*LoanIsGood,PaymentNumber,""), "")</f>
        <v/>
      </c>
      <c r="C352" s="10" t="str">
        <f>IFERROR(IF(LoanIsNotPaid*LoanIsGood,PaymentDate,""), "")</f>
        <v/>
      </c>
      <c r="D352" s="11" t="str">
        <f>IFERROR(IF(LoanIsNotPaid*LoanIsGood,LoanValue,""), "")</f>
        <v/>
      </c>
      <c r="E352" s="11" t="str">
        <f>IFERROR(IF(LoanIsNotPaid*LoanIsGood,MonthlyPayment,""), "")</f>
        <v/>
      </c>
      <c r="F352" s="11" t="str">
        <f>IFERROR(IF(LoanIsNotPaid*LoanIsGood,Principal,""), "")</f>
        <v/>
      </c>
      <c r="G352" s="11" t="str">
        <f>IFERROR(IF(LoanIsNotPaid*LoanIsGood,InterestAmt,""), "")</f>
        <v/>
      </c>
      <c r="H352" s="11" t="str">
        <f>IFERROR(IF(LoanIsNotPaid*LoanIsGood,EndingBalance,""), "")</f>
        <v/>
      </c>
    </row>
    <row r="353" spans="2:8" ht="20.149999999999999" customHeight="1">
      <c r="B353" s="9" t="str">
        <f>IFERROR(IF(LoanIsNotPaid*LoanIsGood,PaymentNumber,""), "")</f>
        <v/>
      </c>
      <c r="C353" s="10" t="str">
        <f>IFERROR(IF(LoanIsNotPaid*LoanIsGood,PaymentDate,""), "")</f>
        <v/>
      </c>
      <c r="D353" s="11" t="str">
        <f>IFERROR(IF(LoanIsNotPaid*LoanIsGood,LoanValue,""), "")</f>
        <v/>
      </c>
      <c r="E353" s="11" t="str">
        <f>IFERROR(IF(LoanIsNotPaid*LoanIsGood,MonthlyPayment,""), "")</f>
        <v/>
      </c>
      <c r="F353" s="11" t="str">
        <f>IFERROR(IF(LoanIsNotPaid*LoanIsGood,Principal,""), "")</f>
        <v/>
      </c>
      <c r="G353" s="11" t="str">
        <f>IFERROR(IF(LoanIsNotPaid*LoanIsGood,InterestAmt,""), "")</f>
        <v/>
      </c>
      <c r="H353" s="11" t="str">
        <f>IFERROR(IF(LoanIsNotPaid*LoanIsGood,EndingBalance,""), "")</f>
        <v/>
      </c>
    </row>
    <row r="354" spans="2:8" ht="20.149999999999999" customHeight="1">
      <c r="B354" s="9" t="str">
        <f>IFERROR(IF(LoanIsNotPaid*LoanIsGood,PaymentNumber,""), "")</f>
        <v/>
      </c>
      <c r="C354" s="10" t="str">
        <f>IFERROR(IF(LoanIsNotPaid*LoanIsGood,PaymentDate,""), "")</f>
        <v/>
      </c>
      <c r="D354" s="11" t="str">
        <f>IFERROR(IF(LoanIsNotPaid*LoanIsGood,LoanValue,""), "")</f>
        <v/>
      </c>
      <c r="E354" s="11" t="str">
        <f>IFERROR(IF(LoanIsNotPaid*LoanIsGood,MonthlyPayment,""), "")</f>
        <v/>
      </c>
      <c r="F354" s="11" t="str">
        <f>IFERROR(IF(LoanIsNotPaid*LoanIsGood,Principal,""), "")</f>
        <v/>
      </c>
      <c r="G354" s="11" t="str">
        <f>IFERROR(IF(LoanIsNotPaid*LoanIsGood,InterestAmt,""), "")</f>
        <v/>
      </c>
      <c r="H354" s="11" t="str">
        <f>IFERROR(IF(LoanIsNotPaid*LoanIsGood,EndingBalance,""), "")</f>
        <v/>
      </c>
    </row>
    <row r="355" spans="2:8" ht="20.149999999999999" customHeight="1">
      <c r="B355" s="9" t="str">
        <f>IFERROR(IF(LoanIsNotPaid*LoanIsGood,PaymentNumber,""), "")</f>
        <v/>
      </c>
      <c r="C355" s="10" t="str">
        <f>IFERROR(IF(LoanIsNotPaid*LoanIsGood,PaymentDate,""), "")</f>
        <v/>
      </c>
      <c r="D355" s="11" t="str">
        <f>IFERROR(IF(LoanIsNotPaid*LoanIsGood,LoanValue,""), "")</f>
        <v/>
      </c>
      <c r="E355" s="11" t="str">
        <f>IFERROR(IF(LoanIsNotPaid*LoanIsGood,MonthlyPayment,""), "")</f>
        <v/>
      </c>
      <c r="F355" s="11" t="str">
        <f>IFERROR(IF(LoanIsNotPaid*LoanIsGood,Principal,""), "")</f>
        <v/>
      </c>
      <c r="G355" s="11" t="str">
        <f>IFERROR(IF(LoanIsNotPaid*LoanIsGood,InterestAmt,""), "")</f>
        <v/>
      </c>
      <c r="H355" s="11" t="str">
        <f>IFERROR(IF(LoanIsNotPaid*LoanIsGood,EndingBalance,""), "")</f>
        <v/>
      </c>
    </row>
    <row r="356" spans="2:8" ht="20.149999999999999" customHeight="1">
      <c r="B356" s="9" t="str">
        <f>IFERROR(IF(LoanIsNotPaid*LoanIsGood,PaymentNumber,""), "")</f>
        <v/>
      </c>
      <c r="C356" s="10" t="str">
        <f>IFERROR(IF(LoanIsNotPaid*LoanIsGood,PaymentDate,""), "")</f>
        <v/>
      </c>
      <c r="D356" s="11" t="str">
        <f>IFERROR(IF(LoanIsNotPaid*LoanIsGood,LoanValue,""), "")</f>
        <v/>
      </c>
      <c r="E356" s="11" t="str">
        <f>IFERROR(IF(LoanIsNotPaid*LoanIsGood,MonthlyPayment,""), "")</f>
        <v/>
      </c>
      <c r="F356" s="11" t="str">
        <f>IFERROR(IF(LoanIsNotPaid*LoanIsGood,Principal,""), "")</f>
        <v/>
      </c>
      <c r="G356" s="11" t="str">
        <f>IFERROR(IF(LoanIsNotPaid*LoanIsGood,InterestAmt,""), "")</f>
        <v/>
      </c>
      <c r="H356" s="11" t="str">
        <f>IFERROR(IF(LoanIsNotPaid*LoanIsGood,EndingBalance,""), "")</f>
        <v/>
      </c>
    </row>
    <row r="357" spans="2:8" ht="20.149999999999999" customHeight="1">
      <c r="B357" s="9" t="str">
        <f>IFERROR(IF(LoanIsNotPaid*LoanIsGood,PaymentNumber,""), "")</f>
        <v/>
      </c>
      <c r="C357" s="10" t="str">
        <f>IFERROR(IF(LoanIsNotPaid*LoanIsGood,PaymentDate,""), "")</f>
        <v/>
      </c>
      <c r="D357" s="11" t="str">
        <f>IFERROR(IF(LoanIsNotPaid*LoanIsGood,LoanValue,""), "")</f>
        <v/>
      </c>
      <c r="E357" s="11" t="str">
        <f>IFERROR(IF(LoanIsNotPaid*LoanIsGood,MonthlyPayment,""), "")</f>
        <v/>
      </c>
      <c r="F357" s="11" t="str">
        <f>IFERROR(IF(LoanIsNotPaid*LoanIsGood,Principal,""), "")</f>
        <v/>
      </c>
      <c r="G357" s="11" t="str">
        <f>IFERROR(IF(LoanIsNotPaid*LoanIsGood,InterestAmt,""), "")</f>
        <v/>
      </c>
      <c r="H357" s="11" t="str">
        <f>IFERROR(IF(LoanIsNotPaid*LoanIsGood,EndingBalance,""), "")</f>
        <v/>
      </c>
    </row>
    <row r="358" spans="2:8" ht="20.149999999999999" customHeight="1">
      <c r="B358" s="9" t="str">
        <f>IFERROR(IF(LoanIsNotPaid*LoanIsGood,PaymentNumber,""), "")</f>
        <v/>
      </c>
      <c r="C358" s="10" t="str">
        <f>IFERROR(IF(LoanIsNotPaid*LoanIsGood,PaymentDate,""), "")</f>
        <v/>
      </c>
      <c r="D358" s="11" t="str">
        <f>IFERROR(IF(LoanIsNotPaid*LoanIsGood,LoanValue,""), "")</f>
        <v/>
      </c>
      <c r="E358" s="11" t="str">
        <f>IFERROR(IF(LoanIsNotPaid*LoanIsGood,MonthlyPayment,""), "")</f>
        <v/>
      </c>
      <c r="F358" s="11" t="str">
        <f>IFERROR(IF(LoanIsNotPaid*LoanIsGood,Principal,""), "")</f>
        <v/>
      </c>
      <c r="G358" s="11" t="str">
        <f>IFERROR(IF(LoanIsNotPaid*LoanIsGood,InterestAmt,""), "")</f>
        <v/>
      </c>
      <c r="H358" s="11" t="str">
        <f>IFERROR(IF(LoanIsNotPaid*LoanIsGood,EndingBalance,""), "")</f>
        <v/>
      </c>
    </row>
    <row r="359" spans="2:8" ht="20.149999999999999" customHeight="1">
      <c r="B359" s="9" t="str">
        <f>IFERROR(IF(LoanIsNotPaid*LoanIsGood,PaymentNumber,""), "")</f>
        <v/>
      </c>
      <c r="C359" s="10" t="str">
        <f>IFERROR(IF(LoanIsNotPaid*LoanIsGood,PaymentDate,""), "")</f>
        <v/>
      </c>
      <c r="D359" s="11" t="str">
        <f>IFERROR(IF(LoanIsNotPaid*LoanIsGood,LoanValue,""), "")</f>
        <v/>
      </c>
      <c r="E359" s="11" t="str">
        <f>IFERROR(IF(LoanIsNotPaid*LoanIsGood,MonthlyPayment,""), "")</f>
        <v/>
      </c>
      <c r="F359" s="11" t="str">
        <f>IFERROR(IF(LoanIsNotPaid*LoanIsGood,Principal,""), "")</f>
        <v/>
      </c>
      <c r="G359" s="11" t="str">
        <f>IFERROR(IF(LoanIsNotPaid*LoanIsGood,InterestAmt,""), "")</f>
        <v/>
      </c>
      <c r="H359" s="11" t="str">
        <f>IFERROR(IF(LoanIsNotPaid*LoanIsGood,EndingBalance,""), "")</f>
        <v/>
      </c>
    </row>
    <row r="360" spans="2:8" ht="20.149999999999999" customHeight="1">
      <c r="B360" s="9" t="str">
        <f>IFERROR(IF(LoanIsNotPaid*LoanIsGood,PaymentNumber,""), "")</f>
        <v/>
      </c>
      <c r="C360" s="10" t="str">
        <f>IFERROR(IF(LoanIsNotPaid*LoanIsGood,PaymentDate,""), "")</f>
        <v/>
      </c>
      <c r="D360" s="11" t="str">
        <f>IFERROR(IF(LoanIsNotPaid*LoanIsGood,LoanValue,""), "")</f>
        <v/>
      </c>
      <c r="E360" s="11" t="str">
        <f>IFERROR(IF(LoanIsNotPaid*LoanIsGood,MonthlyPayment,""), "")</f>
        <v/>
      </c>
      <c r="F360" s="11" t="str">
        <f>IFERROR(IF(LoanIsNotPaid*LoanIsGood,Principal,""), "")</f>
        <v/>
      </c>
      <c r="G360" s="11" t="str">
        <f>IFERROR(IF(LoanIsNotPaid*LoanIsGood,InterestAmt,""), "")</f>
        <v/>
      </c>
      <c r="H360" s="11" t="str">
        <f>IFERROR(IF(LoanIsNotPaid*LoanIsGood,EndingBalance,""), "")</f>
        <v/>
      </c>
    </row>
    <row r="361" spans="2:8" ht="20.149999999999999" customHeight="1">
      <c r="B361" s="9" t="str">
        <f>IFERROR(IF(LoanIsNotPaid*LoanIsGood,PaymentNumber,""), "")</f>
        <v/>
      </c>
      <c r="C361" s="10" t="str">
        <f>IFERROR(IF(LoanIsNotPaid*LoanIsGood,PaymentDate,""), "")</f>
        <v/>
      </c>
      <c r="D361" s="11" t="str">
        <f>IFERROR(IF(LoanIsNotPaid*LoanIsGood,LoanValue,""), "")</f>
        <v/>
      </c>
      <c r="E361" s="11" t="str">
        <f>IFERROR(IF(LoanIsNotPaid*LoanIsGood,MonthlyPayment,""), "")</f>
        <v/>
      </c>
      <c r="F361" s="11" t="str">
        <f>IFERROR(IF(LoanIsNotPaid*LoanIsGood,Principal,""), "")</f>
        <v/>
      </c>
      <c r="G361" s="11" t="str">
        <f>IFERROR(IF(LoanIsNotPaid*LoanIsGood,InterestAmt,""), "")</f>
        <v/>
      </c>
      <c r="H361" s="11" t="str">
        <f>IFERROR(IF(LoanIsNotPaid*LoanIsGood,EndingBalance,""), "")</f>
        <v/>
      </c>
    </row>
    <row r="362" spans="2:8" ht="20.149999999999999" customHeight="1">
      <c r="B362" s="9" t="str">
        <f>IFERROR(IF(LoanIsNotPaid*LoanIsGood,PaymentNumber,""), "")</f>
        <v/>
      </c>
      <c r="C362" s="10" t="str">
        <f>IFERROR(IF(LoanIsNotPaid*LoanIsGood,PaymentDate,""), "")</f>
        <v/>
      </c>
      <c r="D362" s="11" t="str">
        <f>IFERROR(IF(LoanIsNotPaid*LoanIsGood,LoanValue,""), "")</f>
        <v/>
      </c>
      <c r="E362" s="11" t="str">
        <f>IFERROR(IF(LoanIsNotPaid*LoanIsGood,MonthlyPayment,""), "")</f>
        <v/>
      </c>
      <c r="F362" s="11" t="str">
        <f>IFERROR(IF(LoanIsNotPaid*LoanIsGood,Principal,""), "")</f>
        <v/>
      </c>
      <c r="G362" s="11" t="str">
        <f>IFERROR(IF(LoanIsNotPaid*LoanIsGood,InterestAmt,""), "")</f>
        <v/>
      </c>
      <c r="H362" s="11" t="str">
        <f>IFERROR(IF(LoanIsNotPaid*LoanIsGood,EndingBalance,""), "")</f>
        <v/>
      </c>
    </row>
    <row r="363" spans="2:8" ht="20.149999999999999" customHeight="1">
      <c r="B363" s="9" t="str">
        <f>IFERROR(IF(LoanIsNotPaid*LoanIsGood,PaymentNumber,""), "")</f>
        <v/>
      </c>
      <c r="C363" s="10" t="str">
        <f>IFERROR(IF(LoanIsNotPaid*LoanIsGood,PaymentDate,""), "")</f>
        <v/>
      </c>
      <c r="D363" s="11" t="str">
        <f>IFERROR(IF(LoanIsNotPaid*LoanIsGood,LoanValue,""), "")</f>
        <v/>
      </c>
      <c r="E363" s="11" t="str">
        <f>IFERROR(IF(LoanIsNotPaid*LoanIsGood,MonthlyPayment,""), "")</f>
        <v/>
      </c>
      <c r="F363" s="11" t="str">
        <f>IFERROR(IF(LoanIsNotPaid*LoanIsGood,Principal,""), "")</f>
        <v/>
      </c>
      <c r="G363" s="11" t="str">
        <f>IFERROR(IF(LoanIsNotPaid*LoanIsGood,InterestAmt,""), "")</f>
        <v/>
      </c>
      <c r="H363" s="11" t="str">
        <f>IFERROR(IF(LoanIsNotPaid*LoanIsGood,EndingBalance,""), "")</f>
        <v/>
      </c>
    </row>
    <row r="364" spans="2:8" ht="20.149999999999999" customHeight="1">
      <c r="B364" s="9" t="str">
        <f>IFERROR(IF(LoanIsNotPaid*LoanIsGood,PaymentNumber,""), "")</f>
        <v/>
      </c>
      <c r="C364" s="10" t="str">
        <f>IFERROR(IF(LoanIsNotPaid*LoanIsGood,PaymentDate,""), "")</f>
        <v/>
      </c>
      <c r="D364" s="11" t="str">
        <f>IFERROR(IF(LoanIsNotPaid*LoanIsGood,LoanValue,""), "")</f>
        <v/>
      </c>
      <c r="E364" s="11" t="str">
        <f>IFERROR(IF(LoanIsNotPaid*LoanIsGood,MonthlyPayment,""), "")</f>
        <v/>
      </c>
      <c r="F364" s="11" t="str">
        <f>IFERROR(IF(LoanIsNotPaid*LoanIsGood,Principal,""), "")</f>
        <v/>
      </c>
      <c r="G364" s="11" t="str">
        <f>IFERROR(IF(LoanIsNotPaid*LoanIsGood,InterestAmt,""), "")</f>
        <v/>
      </c>
      <c r="H364" s="11" t="str">
        <f>IFERROR(IF(LoanIsNotPaid*LoanIsGood,EndingBalance,""), "")</f>
        <v/>
      </c>
    </row>
    <row r="365" spans="2:8" ht="20.149999999999999" customHeight="1">
      <c r="B365" s="9" t="str">
        <f>IFERROR(IF(LoanIsNotPaid*LoanIsGood,PaymentNumber,""), "")</f>
        <v/>
      </c>
      <c r="C365" s="10" t="str">
        <f>IFERROR(IF(LoanIsNotPaid*LoanIsGood,PaymentDate,""), "")</f>
        <v/>
      </c>
      <c r="D365" s="11" t="str">
        <f>IFERROR(IF(LoanIsNotPaid*LoanIsGood,LoanValue,""), "")</f>
        <v/>
      </c>
      <c r="E365" s="11" t="str">
        <f>IFERROR(IF(LoanIsNotPaid*LoanIsGood,MonthlyPayment,""), "")</f>
        <v/>
      </c>
      <c r="F365" s="11" t="str">
        <f>IFERROR(IF(LoanIsNotPaid*LoanIsGood,Principal,""), "")</f>
        <v/>
      </c>
      <c r="G365" s="11" t="str">
        <f>IFERROR(IF(LoanIsNotPaid*LoanIsGood,InterestAmt,""), "")</f>
        <v/>
      </c>
      <c r="H365" s="11" t="str">
        <f>IFERROR(IF(LoanIsNotPaid*LoanIsGood,EndingBalance,""), "")</f>
        <v/>
      </c>
    </row>
    <row r="366" spans="2:8" ht="20.149999999999999" customHeight="1">
      <c r="B366" s="9" t="str">
        <f>IFERROR(IF(LoanIsNotPaid*LoanIsGood,PaymentNumber,""), "")</f>
        <v/>
      </c>
      <c r="C366" s="10" t="str">
        <f>IFERROR(IF(LoanIsNotPaid*LoanIsGood,PaymentDate,""), "")</f>
        <v/>
      </c>
      <c r="D366" s="11" t="str">
        <f>IFERROR(IF(LoanIsNotPaid*LoanIsGood,LoanValue,""), "")</f>
        <v/>
      </c>
      <c r="E366" s="11" t="str">
        <f>IFERROR(IF(LoanIsNotPaid*LoanIsGood,MonthlyPayment,""), "")</f>
        <v/>
      </c>
      <c r="F366" s="11" t="str">
        <f>IFERROR(IF(LoanIsNotPaid*LoanIsGood,Principal,""), "")</f>
        <v/>
      </c>
      <c r="G366" s="11" t="str">
        <f>IFERROR(IF(LoanIsNotPaid*LoanIsGood,InterestAmt,""), "")</f>
        <v/>
      </c>
      <c r="H366" s="11" t="str">
        <f>IFERROR(IF(LoanIsNotPaid*LoanIsGood,EndingBalance,""), "")</f>
        <v/>
      </c>
    </row>
    <row r="367" spans="2:8" ht="20.149999999999999" customHeight="1">
      <c r="B367" s="9" t="str">
        <f>IFERROR(IF(LoanIsNotPaid*LoanIsGood,PaymentNumber,""), "")</f>
        <v/>
      </c>
      <c r="C367" s="10" t="str">
        <f>IFERROR(IF(LoanIsNotPaid*LoanIsGood,PaymentDate,""), "")</f>
        <v/>
      </c>
      <c r="D367" s="11" t="str">
        <f>IFERROR(IF(LoanIsNotPaid*LoanIsGood,LoanValue,""), "")</f>
        <v/>
      </c>
      <c r="E367" s="11" t="str">
        <f>IFERROR(IF(LoanIsNotPaid*LoanIsGood,MonthlyPayment,""), "")</f>
        <v/>
      </c>
      <c r="F367" s="11" t="str">
        <f>IFERROR(IF(LoanIsNotPaid*LoanIsGood,Principal,""), "")</f>
        <v/>
      </c>
      <c r="G367" s="11" t="str">
        <f>IFERROR(IF(LoanIsNotPaid*LoanIsGood,InterestAmt,""), "")</f>
        <v/>
      </c>
      <c r="H367" s="11" t="str">
        <f>IFERROR(IF(LoanIsNotPaid*LoanIsGood,EndingBalance,""), "")</f>
        <v/>
      </c>
    </row>
    <row r="368" spans="2:8" ht="20.149999999999999" customHeight="1">
      <c r="B368" s="9" t="str">
        <f>IFERROR(IF(LoanIsNotPaid*LoanIsGood,PaymentNumber,""), "")</f>
        <v/>
      </c>
      <c r="C368" s="10" t="str">
        <f>IFERROR(IF(LoanIsNotPaid*LoanIsGood,PaymentDate,""), "")</f>
        <v/>
      </c>
      <c r="D368" s="11" t="str">
        <f>IFERROR(IF(LoanIsNotPaid*LoanIsGood,LoanValue,""), "")</f>
        <v/>
      </c>
      <c r="E368" s="11" t="str">
        <f>IFERROR(IF(LoanIsNotPaid*LoanIsGood,MonthlyPayment,""), "")</f>
        <v/>
      </c>
      <c r="F368" s="11" t="str">
        <f>IFERROR(IF(LoanIsNotPaid*LoanIsGood,Principal,""), "")</f>
        <v/>
      </c>
      <c r="G368" s="11" t="str">
        <f>IFERROR(IF(LoanIsNotPaid*LoanIsGood,InterestAmt,""), "")</f>
        <v/>
      </c>
      <c r="H368" s="11" t="str">
        <f>IFERROR(IF(LoanIsNotPaid*LoanIsGood,EndingBalance,""), "")</f>
        <v/>
      </c>
    </row>
    <row r="369" spans="2:8" ht="20.149999999999999" customHeight="1">
      <c r="B369" s="9" t="str">
        <f>IFERROR(IF(LoanIsNotPaid*LoanIsGood,PaymentNumber,""), "")</f>
        <v/>
      </c>
      <c r="C369" s="10" t="str">
        <f>IFERROR(IF(LoanIsNotPaid*LoanIsGood,PaymentDate,""), "")</f>
        <v/>
      </c>
      <c r="D369" s="11" t="str">
        <f>IFERROR(IF(LoanIsNotPaid*LoanIsGood,LoanValue,""), "")</f>
        <v/>
      </c>
      <c r="E369" s="11" t="str">
        <f>IFERROR(IF(LoanIsNotPaid*LoanIsGood,MonthlyPayment,""), "")</f>
        <v/>
      </c>
      <c r="F369" s="11" t="str">
        <f>IFERROR(IF(LoanIsNotPaid*LoanIsGood,Principal,""), "")</f>
        <v/>
      </c>
      <c r="G369" s="11" t="str">
        <f>IFERROR(IF(LoanIsNotPaid*LoanIsGood,InterestAmt,""), "")</f>
        <v/>
      </c>
      <c r="H369" s="11" t="str">
        <f>IFERROR(IF(LoanIsNotPaid*LoanIsGood,EndingBalance,""), "")</f>
        <v/>
      </c>
    </row>
  </sheetData>
  <mergeCells count="11">
    <mergeCell ref="B6:C6"/>
    <mergeCell ref="F6:G6"/>
    <mergeCell ref="B7:C7"/>
    <mergeCell ref="F7:G7"/>
    <mergeCell ref="B1:H1"/>
    <mergeCell ref="B3:D3"/>
    <mergeCell ref="F3:H3"/>
    <mergeCell ref="B4:C4"/>
    <mergeCell ref="F4:G4"/>
    <mergeCell ref="B5:C5"/>
    <mergeCell ref="F5:G5"/>
  </mergeCells>
  <conditionalFormatting sqref="B10:B369">
    <cfRule type="expression" dxfId="6" priority="4" stopIfTrue="1">
      <formula>NOT(LoanIsNotPaid)</formula>
    </cfRule>
    <cfRule type="expression" dxfId="5" priority="5" stopIfTrue="1">
      <formula>IF(ROW(B10)=LastRow,TRUE,FALSE)</formula>
    </cfRule>
  </conditionalFormatting>
  <conditionalFormatting sqref="B10:H369">
    <cfRule type="expression" dxfId="4" priority="1">
      <formula>$B10=""</formula>
    </cfRule>
  </conditionalFormatting>
  <conditionalFormatting sqref="C10:G369">
    <cfRule type="expression" dxfId="3" priority="2" stopIfTrue="1">
      <formula>NOT(LoanIsNotPaid)</formula>
    </cfRule>
    <cfRule type="expression" dxfId="2" priority="3" stopIfTrue="1">
      <formula>IF(ROW(C10)=LastRow,TRUE,FALSE)</formula>
    </cfRule>
  </conditionalFormatting>
  <conditionalFormatting sqref="H10:H369">
    <cfRule type="expression" dxfId="1" priority="6" stopIfTrue="1">
      <formula>NOT(LoanIsNotPaid)</formula>
    </cfRule>
    <cfRule type="expression" dxfId="0" priority="7" stopIfTrue="1">
      <formula>IF(ROW(H10)=LastRow,TRUE,FALSE)</formula>
    </cfRule>
  </conditionalFormatting>
  <dataValidations count="27">
    <dataValidation allowBlank="1" showInputMessage="1" showErrorMessage="1" prompt="Enter Loan Values in cells D4 through D7 for each description in cells below. Loan Summary in cells H4 through H7 and Loan table are automatically updated" sqref="B3:D3" xr:uid="{33A270C5-8A24-4D89-84DF-73B775B118B5}"/>
    <dataValidation allowBlank="1" showInputMessage="1" showErrorMessage="1" prompt="Ending Balance is automatically updated in this column under this heading" sqref="H9" xr:uid="{52B173F5-CA54-411B-9716-C4285FAB2679}"/>
    <dataValidation allowBlank="1" showInputMessage="1" showErrorMessage="1" prompt="Interest amount is automatically updated in this column under this heading" sqref="G9" xr:uid="{2C0991E3-27D3-4792-B546-7074CB8A45EE}"/>
    <dataValidation allowBlank="1" showInputMessage="1" showErrorMessage="1" prompt="Principal amount is automatically updated in this column under this heading" sqref="F9" xr:uid="{F3328CB1-94B0-4B86-A201-CC560A19987F}"/>
    <dataValidation allowBlank="1" showInputMessage="1" showErrorMessage="1" prompt="Payment amount is automatically calculated in this column under this heading" sqref="E9" xr:uid="{C1A6092F-8B95-4058-A9D9-6DEEF9DDE67D}"/>
    <dataValidation allowBlank="1" showInputMessage="1" showErrorMessage="1" prompt="Beginning Balance is automatically calculated in this column under this heading" sqref="D9" xr:uid="{F2A0399B-A99A-43D6-84E1-3A73E0FAF44E}"/>
    <dataValidation allowBlank="1" showInputMessage="1" showErrorMessage="1" prompt="Payment Date is automatically updated in this column under this heading" sqref="C9" xr:uid="{82F76E67-A33D-49FE-8397-358E4E3CA531}"/>
    <dataValidation allowBlank="1" showInputMessage="1" showErrorMessage="1" prompt="Payment Number is automatically updated in this column under this heading" sqref="B9" xr:uid="{74169E85-6A98-4D64-B2A4-2FDD563FFA29}"/>
    <dataValidation allowBlank="1" showInputMessage="1" showErrorMessage="1" prompt="Number of payments is automatically calculated in this cell" sqref="H5" xr:uid="{AE08BF05-2C20-4996-A030-073056CE1D1F}"/>
    <dataValidation allowBlank="1" showInputMessage="1" showErrorMessage="1" prompt="Total interest is automatically calculated in this cell" sqref="H6" xr:uid="{636AB4A8-8138-4BAB-867B-3B231826E1BB}"/>
    <dataValidation allowBlank="1" showInputMessage="1" showErrorMessage="1" prompt="Total cost of loan is automatically calculated in this cell" sqref="H7" xr:uid="{62D5F488-0FAF-49CB-95ED-52B2B5504976}"/>
    <dataValidation allowBlank="1" showInputMessage="1" showErrorMessage="1" prompt="Total cost of loan is automatically calculated in cell at right" sqref="F7:G7" xr:uid="{B610D135-B958-4273-911B-13097E1B5629}"/>
    <dataValidation allowBlank="1" showInputMessage="1" showErrorMessage="1" prompt="Total interest is automatically calculated in cell at right" sqref="F6:G6" xr:uid="{FCAC9C7A-E7F3-46E2-AA2E-DF12CA988BC3}"/>
    <dataValidation allowBlank="1" showInputMessage="1" showErrorMessage="1" prompt="Number of payments is automatically calculated in cell at right" sqref="F5:G5" xr:uid="{7EC9D573-9773-4588-B076-D7718B257212}"/>
    <dataValidation allowBlank="1" showInputMessage="1" showErrorMessage="1" prompt="Monthly payment is automatically calculated in cell at right" sqref="F4:G4" xr:uid="{05DEAD08-0E07-4C01-B99A-0C50A66680BF}"/>
    <dataValidation allowBlank="1" showInputMessage="1" showErrorMessage="1" prompt="Monthly payment is automatically calculated in this cell" sqref="H4" xr:uid="{709B0CA2-4B04-43AA-8DA6-E8F96900B801}"/>
    <dataValidation allowBlank="1" showInputMessage="1" showErrorMessage="1" prompt="Enter Start date of loan in cell at right" sqref="B7:C7" xr:uid="{C165C2E7-2F48-4538-8C09-ABA364C1B893}"/>
    <dataValidation allowBlank="1" showInputMessage="1" showErrorMessage="1" prompt="Enter Start date of loan in this cell" sqref="D7" xr:uid="{20FB6DF9-4E3E-418F-980E-4ACEC3B0A1D0}"/>
    <dataValidation allowBlank="1" showInputMessage="1" showErrorMessage="1" prompt="Enter Loan period in years in cell at right" sqref="B6:C6" xr:uid="{EA518433-6F41-4126-BC51-1FF43E989640}"/>
    <dataValidation allowBlank="1" showInputMessage="1" showErrorMessage="1" prompt="Enter Loan period in years in this cell" sqref="D6" xr:uid="{FDC8FD99-1797-40B6-9E85-AE7EFDD34BA5}"/>
    <dataValidation allowBlank="1" showInputMessage="1" showErrorMessage="1" prompt="Enter Annual interest rate in cell at right" sqref="B5:C5" xr:uid="{24784EED-1E4B-4BDA-B006-8649B59DE093}"/>
    <dataValidation allowBlank="1" showInputMessage="1" showErrorMessage="1" prompt="Enter Annual interest rate in this cell" sqref="D5" xr:uid="{3F9672D4-DD0E-463B-A523-431679997E6E}"/>
    <dataValidation allowBlank="1" showInputMessage="1" showErrorMessage="1" prompt="Enter Loan amount in cell at right" sqref="B4:C4" xr:uid="{D37F9352-C370-440B-9A43-6D3556C5C27F}"/>
    <dataValidation allowBlank="1" showInputMessage="1" showErrorMessage="1" prompt="Enter Loan amount in this cell" sqref="D4" xr:uid="{99B83B89-85A6-4368-B915-AD1FD5716A8D}"/>
    <dataValidation allowBlank="1" showInputMessage="1" showErrorMessage="1" prompt="Loan Summary is automatically updated in cells below" sqref="F3" xr:uid="{B91F1031-8F4B-47B7-A874-E997E7624288}"/>
    <dataValidation allowBlank="1" showInputMessage="1" showErrorMessage="1" prompt="Title of this worksheet is in this cell. Enter Loan Values in cells D3 through D6. Loan Summary in cells H3 through H6 and Loan table are automatically updated" sqref="B1:B2" xr:uid="{B89FC5AC-BC56-4A30-B958-107EAEA22996}"/>
    <dataValidation allowBlank="1" showInputMessage="1" showErrorMessage="1" prompt="Make a loan repayment schedule using this Loan Calculator worksheet. Total interest and total payments are automatically calculated" sqref="A1:A2" xr:uid="{13A7CF42-B78A-4DAD-9176-8604CE7E53CA}"/>
  </dataValidations>
  <printOptions horizontalCentered="1"/>
  <pageMargins left="0.4" right="0.4" top="0.4" bottom="0.4" header="0.3" footer="0.3"/>
  <pageSetup scale="8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C392-C385-4525-81D8-FA811DFA77E4}">
  <dimension ref="A1:P27"/>
  <sheetViews>
    <sheetView workbookViewId="0">
      <selection activeCell="E5" sqref="E5"/>
    </sheetView>
  </sheetViews>
  <sheetFormatPr defaultRowHeight="14"/>
  <cols>
    <col min="1" max="1" width="7.640625" bestFit="1" customWidth="1"/>
    <col min="2" max="2" width="14.5" bestFit="1" customWidth="1"/>
    <col min="3" max="3" width="11.5703125" bestFit="1" customWidth="1"/>
    <col min="4" max="4" width="9.92578125" bestFit="1" customWidth="1"/>
    <col min="5" max="5" width="13.5" bestFit="1" customWidth="1"/>
    <col min="6" max="6" width="15.5" bestFit="1" customWidth="1"/>
    <col min="7" max="7" width="10" bestFit="1" customWidth="1"/>
    <col min="8" max="8" width="10.78515625" bestFit="1" customWidth="1"/>
    <col min="9" max="9" width="14.5" bestFit="1" customWidth="1"/>
    <col min="10" max="10" width="12.140625" bestFit="1" customWidth="1"/>
    <col min="12" max="13" width="11" bestFit="1" customWidth="1"/>
    <col min="15" max="15" width="10" bestFit="1" customWidth="1"/>
    <col min="16" max="16" width="20.5" bestFit="1" customWidth="1"/>
  </cols>
  <sheetData>
    <row r="1" spans="1:16">
      <c r="A1" s="45" t="s">
        <v>82</v>
      </c>
      <c r="B1" s="45"/>
      <c r="C1" s="45"/>
      <c r="D1" s="45"/>
      <c r="E1" s="45"/>
      <c r="F1" s="45"/>
      <c r="H1" s="48" t="s">
        <v>38</v>
      </c>
      <c r="I1" s="48"/>
      <c r="J1" s="48"/>
      <c r="L1" s="46" t="s">
        <v>75</v>
      </c>
      <c r="M1" s="46"/>
      <c r="N1" s="46"/>
      <c r="O1" s="46"/>
    </row>
    <row r="2" spans="1:16">
      <c r="A2" s="18" t="s">
        <v>18</v>
      </c>
      <c r="B2" s="19" t="s">
        <v>19</v>
      </c>
      <c r="C2" s="18" t="s">
        <v>20</v>
      </c>
      <c r="D2" s="18" t="s">
        <v>21</v>
      </c>
      <c r="E2" s="16">
        <v>45294</v>
      </c>
      <c r="F2" s="20" t="s">
        <v>30</v>
      </c>
      <c r="H2" s="18" t="s">
        <v>39</v>
      </c>
      <c r="I2" s="18" t="s">
        <v>18</v>
      </c>
      <c r="J2" s="29" t="s">
        <v>40</v>
      </c>
      <c r="L2" s="35" t="s">
        <v>76</v>
      </c>
      <c r="M2" s="35" t="s">
        <v>81</v>
      </c>
      <c r="N2" s="35" t="s">
        <v>77</v>
      </c>
      <c r="O2" s="35" t="s">
        <v>19</v>
      </c>
    </row>
    <row r="3" spans="1:16">
      <c r="A3" s="21" t="s">
        <v>22</v>
      </c>
      <c r="B3" s="27">
        <v>3016059</v>
      </c>
      <c r="C3" s="21">
        <v>65201</v>
      </c>
      <c r="D3" s="22">
        <v>44015</v>
      </c>
      <c r="E3" s="17">
        <f>VLOOKUP($E$2,HDFC!C9:H69,6,0)</f>
        <v>1079433.8003389472</v>
      </c>
      <c r="F3" s="17">
        <f>HDFC!Total_Interest</f>
        <v>896002.42574643251</v>
      </c>
      <c r="H3" s="21" t="s">
        <v>41</v>
      </c>
      <c r="I3" s="21" t="s">
        <v>22</v>
      </c>
      <c r="J3" s="30">
        <v>550000</v>
      </c>
      <c r="L3" s="25" t="s">
        <v>65</v>
      </c>
      <c r="M3" s="36">
        <v>500000</v>
      </c>
      <c r="N3" s="37">
        <v>0.02</v>
      </c>
      <c r="O3" s="36">
        <f>M3*N3</f>
        <v>10000</v>
      </c>
      <c r="P3" t="s">
        <v>83</v>
      </c>
    </row>
    <row r="4" spans="1:16">
      <c r="A4" s="21" t="s">
        <v>23</v>
      </c>
      <c r="B4" s="27">
        <v>1744000</v>
      </c>
      <c r="C4" s="21">
        <v>41951</v>
      </c>
      <c r="D4" s="22">
        <v>43954</v>
      </c>
      <c r="E4" s="17">
        <f>VLOOKUP($E$2,Fullerton!C9:I77,6,0)</f>
        <v>602868.14618262928</v>
      </c>
      <c r="F4" s="17">
        <f>Fullerton!Total_Interest</f>
        <v>772925.91458065063</v>
      </c>
      <c r="H4" s="21" t="s">
        <v>41</v>
      </c>
      <c r="I4" s="21" t="s">
        <v>28</v>
      </c>
      <c r="J4" s="30">
        <v>40000</v>
      </c>
      <c r="L4" s="25" t="s">
        <v>78</v>
      </c>
      <c r="M4" s="36">
        <v>500000</v>
      </c>
      <c r="N4" s="37">
        <v>2.5000000000000001E-2</v>
      </c>
      <c r="O4" s="36">
        <f t="shared" ref="O4:O6" si="0">M4*N4</f>
        <v>12500</v>
      </c>
    </row>
    <row r="5" spans="1:16">
      <c r="A5" s="21" t="s">
        <v>24</v>
      </c>
      <c r="B5" s="27">
        <v>1015080</v>
      </c>
      <c r="C5" s="21">
        <v>29291</v>
      </c>
      <c r="D5" s="22">
        <v>43954</v>
      </c>
      <c r="E5" s="17">
        <f>VLOOKUP($E$2,Edelwise!C9:I69,6,0)</f>
        <v>113125.98124181852</v>
      </c>
      <c r="F5" s="17">
        <f>Edelwise!Total_Interest</f>
        <v>390848.46457909839</v>
      </c>
      <c r="H5" s="21" t="s">
        <v>41</v>
      </c>
      <c r="I5" s="21" t="s">
        <v>42</v>
      </c>
      <c r="J5" s="30">
        <v>278000</v>
      </c>
      <c r="L5" s="25" t="s">
        <v>79</v>
      </c>
      <c r="M5" s="36">
        <v>1000000</v>
      </c>
      <c r="N5" s="38">
        <v>0.02</v>
      </c>
      <c r="O5" s="36">
        <f t="shared" si="0"/>
        <v>20000</v>
      </c>
    </row>
    <row r="6" spans="1:16">
      <c r="A6" s="21" t="s">
        <v>25</v>
      </c>
      <c r="B6" s="27">
        <v>880000</v>
      </c>
      <c r="C6" s="21">
        <v>21049</v>
      </c>
      <c r="D6" s="22">
        <v>43864</v>
      </c>
      <c r="E6" s="17">
        <f>VLOOKUP($E$2,Bajaj!C9:H88,6,0)</f>
        <v>336799.22870756174</v>
      </c>
      <c r="F6" s="17">
        <f>Bajaj!Total_Interest</f>
        <v>383047.78238718654</v>
      </c>
      <c r="H6" s="21" t="s">
        <v>41</v>
      </c>
      <c r="I6" s="21" t="s">
        <v>43</v>
      </c>
      <c r="J6" s="30">
        <v>200000</v>
      </c>
      <c r="L6" s="25" t="s">
        <v>80</v>
      </c>
      <c r="M6" s="36">
        <v>1000000</v>
      </c>
      <c r="N6" s="37">
        <v>2.5000000000000001E-2</v>
      </c>
      <c r="O6" s="36">
        <f t="shared" si="0"/>
        <v>25000</v>
      </c>
    </row>
    <row r="7" spans="1:16">
      <c r="A7" s="21" t="s">
        <v>31</v>
      </c>
      <c r="B7" s="27">
        <v>2000000</v>
      </c>
      <c r="C7" s="21">
        <v>43485</v>
      </c>
      <c r="D7" s="22">
        <v>43924</v>
      </c>
      <c r="E7" s="17">
        <f>VLOOKUP($E$2,IndusIn!C9:H78,6,0)</f>
        <v>718537.5661114743</v>
      </c>
      <c r="F7" s="17">
        <f>[0]!Total_Interest</f>
        <v>609090.76871719677</v>
      </c>
      <c r="H7" s="21" t="s">
        <v>44</v>
      </c>
      <c r="I7" s="21" t="s">
        <v>22</v>
      </c>
      <c r="J7" s="30">
        <v>650000</v>
      </c>
      <c r="L7" s="25"/>
      <c r="M7" s="36">
        <f>SUM(M4:M6)</f>
        <v>2500000</v>
      </c>
      <c r="N7" s="25"/>
      <c r="O7" s="36">
        <f>SUM(O4:O6)</f>
        <v>57500</v>
      </c>
    </row>
    <row r="8" spans="1:16">
      <c r="A8" s="21" t="s">
        <v>26</v>
      </c>
      <c r="B8" s="27">
        <v>1500000</v>
      </c>
      <c r="C8" s="21">
        <v>32427</v>
      </c>
      <c r="D8" s="22">
        <v>44106</v>
      </c>
      <c r="E8" s="17">
        <f>VLOOKUP($E$2,Axis!C10:H79,6,0)</f>
        <v>618233.72740047192</v>
      </c>
      <c r="F8" s="17">
        <f>Axis!Total_Interest</f>
        <v>445615.83132811706</v>
      </c>
      <c r="H8" s="21" t="s">
        <v>44</v>
      </c>
      <c r="I8" s="21" t="s">
        <v>45</v>
      </c>
      <c r="J8" s="30">
        <v>420000</v>
      </c>
    </row>
    <row r="9" spans="1:16">
      <c r="A9" s="21" t="s">
        <v>27</v>
      </c>
      <c r="B9" s="27">
        <v>1081652</v>
      </c>
      <c r="C9" s="21">
        <v>24230</v>
      </c>
      <c r="D9" s="22">
        <v>44015</v>
      </c>
      <c r="E9" s="17">
        <f>VLOOKUP($E$2,CLIX!C11:H80,6,0)</f>
        <v>491907.76311013568</v>
      </c>
      <c r="F9" s="17">
        <f>CLIX!Total_Interest</f>
        <v>614452.34091405408</v>
      </c>
      <c r="H9" s="21" t="s">
        <v>46</v>
      </c>
      <c r="I9" s="21" t="s">
        <v>47</v>
      </c>
      <c r="J9" s="30">
        <v>121000</v>
      </c>
    </row>
    <row r="10" spans="1:16">
      <c r="A10" s="21" t="s">
        <v>28</v>
      </c>
      <c r="B10" s="27">
        <v>1000000</v>
      </c>
      <c r="C10" s="21">
        <v>21895</v>
      </c>
      <c r="D10" s="22">
        <v>43834</v>
      </c>
      <c r="E10" s="17">
        <f>VLOOKUP($E$2,Citi!C12:H81,6,0)</f>
        <v>360917.90870030713</v>
      </c>
      <c r="F10" s="17">
        <f>Citi!Total_Interest</f>
        <v>313540.07692684233</v>
      </c>
      <c r="H10" s="21" t="s">
        <v>46</v>
      </c>
      <c r="I10" s="21" t="s">
        <v>48</v>
      </c>
      <c r="J10" s="30">
        <v>154000</v>
      </c>
    </row>
    <row r="11" spans="1:16">
      <c r="A11" s="15"/>
      <c r="B11" s="17">
        <f>SUM(B3:B10)</f>
        <v>12236791</v>
      </c>
      <c r="C11" s="17">
        <f>SUM(C3:C10)</f>
        <v>279529</v>
      </c>
      <c r="D11" s="15"/>
      <c r="E11" s="17"/>
      <c r="F11" s="17"/>
      <c r="H11" s="21" t="s">
        <v>46</v>
      </c>
      <c r="I11" s="21" t="s">
        <v>49</v>
      </c>
      <c r="J11" s="30">
        <v>121000</v>
      </c>
    </row>
    <row r="12" spans="1:16">
      <c r="A12" s="45" t="s">
        <v>29</v>
      </c>
      <c r="B12" s="45"/>
      <c r="C12" s="45"/>
      <c r="D12" s="45"/>
      <c r="E12" s="17">
        <f>SUM(E3:E11)</f>
        <v>4321824.1217933455</v>
      </c>
      <c r="F12" s="17">
        <f>SUM(F3:F11)</f>
        <v>4425523.6051795781</v>
      </c>
      <c r="H12" s="21" t="s">
        <v>46</v>
      </c>
      <c r="I12" s="21" t="s">
        <v>45</v>
      </c>
      <c r="J12" s="30">
        <v>200000</v>
      </c>
    </row>
    <row r="13" spans="1:16">
      <c r="H13" s="21" t="s">
        <v>46</v>
      </c>
      <c r="I13" s="21" t="s">
        <v>22</v>
      </c>
      <c r="J13" s="30">
        <v>273000</v>
      </c>
    </row>
    <row r="14" spans="1:16">
      <c r="H14" s="21" t="s">
        <v>46</v>
      </c>
      <c r="I14" s="21" t="s">
        <v>50</v>
      </c>
      <c r="J14" s="30">
        <v>78000</v>
      </c>
    </row>
    <row r="15" spans="1:16">
      <c r="H15" s="44" t="s">
        <v>51</v>
      </c>
      <c r="I15" s="44"/>
      <c r="J15" s="31">
        <f>SUM(J3:J14)</f>
        <v>3085000</v>
      </c>
    </row>
    <row r="17" spans="1:10">
      <c r="A17" s="47" t="s">
        <v>32</v>
      </c>
      <c r="B17" s="47"/>
      <c r="D17" s="45" t="s">
        <v>54</v>
      </c>
      <c r="E17" s="45"/>
      <c r="F17" s="45"/>
      <c r="G17" s="45"/>
    </row>
    <row r="18" spans="1:10">
      <c r="A18" s="18" t="s">
        <v>18</v>
      </c>
      <c r="B18" s="19" t="s">
        <v>36</v>
      </c>
      <c r="D18" s="18" t="s">
        <v>55</v>
      </c>
      <c r="E18" s="18" t="s">
        <v>18</v>
      </c>
      <c r="F18" s="19" t="s">
        <v>19</v>
      </c>
      <c r="G18" s="18" t="s">
        <v>20</v>
      </c>
      <c r="H18" s="18" t="s">
        <v>21</v>
      </c>
      <c r="I18" s="18" t="s">
        <v>36</v>
      </c>
      <c r="J18" s="18" t="s">
        <v>57</v>
      </c>
    </row>
    <row r="19" spans="1:10" ht="42">
      <c r="A19" s="21" t="s">
        <v>22</v>
      </c>
      <c r="B19" s="27">
        <v>265191</v>
      </c>
      <c r="D19" s="32" t="s">
        <v>56</v>
      </c>
      <c r="E19" s="23" t="s">
        <v>22</v>
      </c>
      <c r="F19" s="34">
        <v>1000000</v>
      </c>
      <c r="G19" s="34">
        <v>23800</v>
      </c>
      <c r="H19" s="32" t="s">
        <v>53</v>
      </c>
      <c r="I19" s="24">
        <v>535000</v>
      </c>
      <c r="J19" s="33">
        <v>43893</v>
      </c>
    </row>
    <row r="20" spans="1:10" ht="42">
      <c r="A20" s="21" t="s">
        <v>33</v>
      </c>
      <c r="B20" s="27">
        <v>231842</v>
      </c>
      <c r="D20" s="32" t="s">
        <v>58</v>
      </c>
      <c r="E20" s="23" t="s">
        <v>52</v>
      </c>
      <c r="F20" s="34">
        <v>2300000</v>
      </c>
      <c r="G20" s="34">
        <v>32000</v>
      </c>
      <c r="H20" s="32" t="s">
        <v>59</v>
      </c>
      <c r="I20" s="24">
        <v>1350000</v>
      </c>
      <c r="J20" s="33">
        <v>42797</v>
      </c>
    </row>
    <row r="21" spans="1:10" ht="42">
      <c r="A21" s="21" t="s">
        <v>34</v>
      </c>
      <c r="B21" s="27">
        <v>122316</v>
      </c>
      <c r="D21" s="32" t="s">
        <v>60</v>
      </c>
      <c r="E21" s="23" t="s">
        <v>61</v>
      </c>
      <c r="F21" s="34">
        <v>1600000</v>
      </c>
      <c r="G21" s="34">
        <v>23900</v>
      </c>
      <c r="H21" s="32" t="s">
        <v>62</v>
      </c>
      <c r="I21" s="24">
        <v>1221840.6872244477</v>
      </c>
      <c r="J21" s="33">
        <v>43893</v>
      </c>
    </row>
    <row r="22" spans="1:10" ht="28">
      <c r="A22" s="21" t="s">
        <v>28</v>
      </c>
      <c r="B22" s="27">
        <v>40573</v>
      </c>
      <c r="D22" s="32" t="s">
        <v>64</v>
      </c>
      <c r="E22" s="23" t="s">
        <v>61</v>
      </c>
      <c r="F22" s="34">
        <v>2785686</v>
      </c>
      <c r="G22" s="34">
        <v>34798</v>
      </c>
      <c r="H22" s="32" t="s">
        <v>63</v>
      </c>
      <c r="I22" s="24">
        <v>1275560</v>
      </c>
      <c r="J22" s="33">
        <v>41499</v>
      </c>
    </row>
    <row r="23" spans="1:10" ht="28">
      <c r="A23" s="21" t="s">
        <v>35</v>
      </c>
      <c r="B23" s="27">
        <v>168308</v>
      </c>
      <c r="D23" s="32" t="s">
        <v>65</v>
      </c>
      <c r="E23" s="23" t="s">
        <v>61</v>
      </c>
      <c r="F23" s="34">
        <v>400000</v>
      </c>
      <c r="G23" s="34">
        <v>100000</v>
      </c>
      <c r="H23" s="32" t="s">
        <v>66</v>
      </c>
      <c r="I23" s="24"/>
      <c r="J23" s="33"/>
    </row>
    <row r="24" spans="1:10" ht="28">
      <c r="A24" s="26" t="s">
        <v>37</v>
      </c>
      <c r="B24" s="28">
        <f>SUM(B19:B23)</f>
        <v>828230</v>
      </c>
      <c r="D24" s="32" t="s">
        <v>67</v>
      </c>
      <c r="E24" s="23" t="s">
        <v>22</v>
      </c>
      <c r="F24" s="34">
        <v>1641000</v>
      </c>
      <c r="G24" s="34">
        <v>14500</v>
      </c>
      <c r="H24" s="32" t="s">
        <v>68</v>
      </c>
      <c r="I24" s="24"/>
      <c r="J24" s="33"/>
    </row>
    <row r="25" spans="1:10">
      <c r="D25" s="32" t="s">
        <v>69</v>
      </c>
      <c r="E25" s="23" t="s">
        <v>70</v>
      </c>
      <c r="F25" s="34">
        <v>800000</v>
      </c>
      <c r="G25" s="34">
        <v>96000</v>
      </c>
      <c r="H25" s="32" t="s">
        <v>71</v>
      </c>
      <c r="I25" s="24"/>
      <c r="J25" s="33"/>
    </row>
    <row r="26" spans="1:10" ht="28">
      <c r="A26" s="45"/>
      <c r="B26" s="45"/>
      <c r="D26" s="32" t="s">
        <v>72</v>
      </c>
      <c r="E26" s="23" t="s">
        <v>73</v>
      </c>
      <c r="F26" s="34">
        <v>3800000</v>
      </c>
      <c r="G26" s="34">
        <v>35000</v>
      </c>
      <c r="H26" s="32" t="s">
        <v>74</v>
      </c>
      <c r="I26" s="24"/>
      <c r="J26" s="33"/>
    </row>
    <row r="27" spans="1:10">
      <c r="I27" s="39">
        <f>SUM(I19:I26)</f>
        <v>4382400.6872244477</v>
      </c>
    </row>
  </sheetData>
  <mergeCells count="8">
    <mergeCell ref="H15:I15"/>
    <mergeCell ref="A26:B26"/>
    <mergeCell ref="D17:G17"/>
    <mergeCell ref="L1:O1"/>
    <mergeCell ref="A12:D12"/>
    <mergeCell ref="A1:F1"/>
    <mergeCell ref="A17:B17"/>
    <mergeCell ref="H1:J1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2EA4DC2-5468-46D3-9CB3-A7301676DD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676122-7EF5-4FD7-B672-08F0B8FC1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F91CE3-C58C-4E76-9DA8-D93EEEA7813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99</vt:i4>
      </vt:variant>
    </vt:vector>
  </HeadingPairs>
  <TitlesOfParts>
    <vt:vector size="109" baseType="lpstr">
      <vt:lpstr>Loan Calculator</vt:lpstr>
      <vt:lpstr>HDFC</vt:lpstr>
      <vt:lpstr>Fullerton</vt:lpstr>
      <vt:lpstr>Edelwise</vt:lpstr>
      <vt:lpstr>Bajaj</vt:lpstr>
      <vt:lpstr>IndusIn</vt:lpstr>
      <vt:lpstr>Axis</vt:lpstr>
      <vt:lpstr>CLIX</vt:lpstr>
      <vt:lpstr>Citi</vt:lpstr>
      <vt:lpstr>Callc</vt:lpstr>
      <vt:lpstr>Axis!ColumnTitle1</vt:lpstr>
      <vt:lpstr>Bajaj!ColumnTitle1</vt:lpstr>
      <vt:lpstr>Citi!ColumnTitle1</vt:lpstr>
      <vt:lpstr>CLIX!ColumnTitle1</vt:lpstr>
      <vt:lpstr>Edelwise!ColumnTitle1</vt:lpstr>
      <vt:lpstr>Fullerton!ColumnTitle1</vt:lpstr>
      <vt:lpstr>HDFC!ColumnTitle1</vt:lpstr>
      <vt:lpstr>'Loan Calculator'!ColumnTitle1</vt:lpstr>
      <vt:lpstr>ColumnTitle1</vt:lpstr>
      <vt:lpstr>Axis!InterestRate</vt:lpstr>
      <vt:lpstr>Bajaj!InterestRate</vt:lpstr>
      <vt:lpstr>Citi!InterestRate</vt:lpstr>
      <vt:lpstr>CLIX!InterestRate</vt:lpstr>
      <vt:lpstr>Edelwise!InterestRate</vt:lpstr>
      <vt:lpstr>Fullerton!InterestRate</vt:lpstr>
      <vt:lpstr>HDFC!InterestRate</vt:lpstr>
      <vt:lpstr>'Loan Calculator'!InterestRate</vt:lpstr>
      <vt:lpstr>InterestRate</vt:lpstr>
      <vt:lpstr>Axis!LoanAmount</vt:lpstr>
      <vt:lpstr>Bajaj!LoanAmount</vt:lpstr>
      <vt:lpstr>Citi!LoanAmount</vt:lpstr>
      <vt:lpstr>CLIX!LoanAmount</vt:lpstr>
      <vt:lpstr>Edelwise!LoanAmount</vt:lpstr>
      <vt:lpstr>Fullerton!LoanAmount</vt:lpstr>
      <vt:lpstr>HDFC!LoanAmount</vt:lpstr>
      <vt:lpstr>'Loan Calculator'!LoanAmount</vt:lpstr>
      <vt:lpstr>LoanAmount</vt:lpstr>
      <vt:lpstr>Axis!LoanStartDate</vt:lpstr>
      <vt:lpstr>Bajaj!LoanStartDate</vt:lpstr>
      <vt:lpstr>Citi!LoanStartDate</vt:lpstr>
      <vt:lpstr>CLIX!LoanStartDate</vt:lpstr>
      <vt:lpstr>Edelwise!LoanStartDate</vt:lpstr>
      <vt:lpstr>Fullerton!LoanStartDate</vt:lpstr>
      <vt:lpstr>HDFC!LoanStartDate</vt:lpstr>
      <vt:lpstr>'Loan Calculator'!LoanStartDate</vt:lpstr>
      <vt:lpstr>LoanStartDate</vt:lpstr>
      <vt:lpstr>Axis!LoanYears</vt:lpstr>
      <vt:lpstr>Bajaj!LoanYears</vt:lpstr>
      <vt:lpstr>Citi!LoanYears</vt:lpstr>
      <vt:lpstr>CLIX!LoanYears</vt:lpstr>
      <vt:lpstr>Edelwise!LoanYears</vt:lpstr>
      <vt:lpstr>Fullerton!LoanYears</vt:lpstr>
      <vt:lpstr>HDFC!LoanYears</vt:lpstr>
      <vt:lpstr>'Loan Calculator'!LoanYears</vt:lpstr>
      <vt:lpstr>LoanYears</vt:lpstr>
      <vt:lpstr>Axis!NumberOfPayments</vt:lpstr>
      <vt:lpstr>Bajaj!NumberOfPayments</vt:lpstr>
      <vt:lpstr>Citi!NumberOfPayments</vt:lpstr>
      <vt:lpstr>CLIX!NumberOfPayments</vt:lpstr>
      <vt:lpstr>Edelwise!NumberOfPayments</vt:lpstr>
      <vt:lpstr>Fullerton!NumberOfPayments</vt:lpstr>
      <vt:lpstr>HDFC!NumberOfPayments</vt:lpstr>
      <vt:lpstr>'Loan Calculator'!NumberOfPayments</vt:lpstr>
      <vt:lpstr>NumberOfPayments</vt:lpstr>
      <vt:lpstr>Axis!Print_Titles</vt:lpstr>
      <vt:lpstr>Bajaj!Print_Titles</vt:lpstr>
      <vt:lpstr>Citi!Print_Titles</vt:lpstr>
      <vt:lpstr>CLIX!Print_Titles</vt:lpstr>
      <vt:lpstr>Edelwise!Print_Titles</vt:lpstr>
      <vt:lpstr>Fullerton!Print_Titles</vt:lpstr>
      <vt:lpstr>HDFC!Print_Titles</vt:lpstr>
      <vt:lpstr>IndusIn!Print_Titles</vt:lpstr>
      <vt:lpstr>'Loan Calculator'!Print_Titles</vt:lpstr>
      <vt:lpstr>Axis!RowTitleRegion1..D6</vt:lpstr>
      <vt:lpstr>Bajaj!RowTitleRegion1..D6</vt:lpstr>
      <vt:lpstr>Citi!RowTitleRegion1..D6</vt:lpstr>
      <vt:lpstr>CLIX!RowTitleRegion1..D6</vt:lpstr>
      <vt:lpstr>Edelwise!RowTitleRegion1..D6</vt:lpstr>
      <vt:lpstr>Fullerton!RowTitleRegion1..D6</vt:lpstr>
      <vt:lpstr>HDFC!RowTitleRegion1..D6</vt:lpstr>
      <vt:lpstr>'Loan Calculator'!RowTitleRegion1..D6</vt:lpstr>
      <vt:lpstr>RowTitleRegion1..D6</vt:lpstr>
      <vt:lpstr>Axis!RowTitleRegion2..H6</vt:lpstr>
      <vt:lpstr>Bajaj!RowTitleRegion2..H6</vt:lpstr>
      <vt:lpstr>Citi!RowTitleRegion2..H6</vt:lpstr>
      <vt:lpstr>CLIX!RowTitleRegion2..H6</vt:lpstr>
      <vt:lpstr>Edelwise!RowTitleRegion2..H6</vt:lpstr>
      <vt:lpstr>Fullerton!RowTitleRegion2..H6</vt:lpstr>
      <vt:lpstr>HDFC!RowTitleRegion2..H6</vt:lpstr>
      <vt:lpstr>'Loan Calculator'!RowTitleRegion2..H6</vt:lpstr>
      <vt:lpstr>RowTitleRegion2..H6</vt:lpstr>
      <vt:lpstr>Axis!Total_Interest</vt:lpstr>
      <vt:lpstr>Bajaj!Total_Interest</vt:lpstr>
      <vt:lpstr>Citi!Total_Interest</vt:lpstr>
      <vt:lpstr>CLIX!Total_Interest</vt:lpstr>
      <vt:lpstr>Edelwise!Total_Interest</vt:lpstr>
      <vt:lpstr>Fullerton!Total_Interest</vt:lpstr>
      <vt:lpstr>HDFC!Total_Interest</vt:lpstr>
      <vt:lpstr>'Loan Calculator'!Total_Interest</vt:lpstr>
      <vt:lpstr>Total_Interest</vt:lpstr>
      <vt:lpstr>Axis!TotalLoanCost</vt:lpstr>
      <vt:lpstr>Bajaj!TotalLoanCost</vt:lpstr>
      <vt:lpstr>Citi!TotalLoanCost</vt:lpstr>
      <vt:lpstr>CLIX!TotalLoanCost</vt:lpstr>
      <vt:lpstr>Edelwise!TotalLoanCost</vt:lpstr>
      <vt:lpstr>Fullerton!TotalLoanCost</vt:lpstr>
      <vt:lpstr>HDFC!TotalLoanCost</vt:lpstr>
      <vt:lpstr>'Loan Calculator'!TotalLoanCost</vt:lpstr>
      <vt:lpstr>TotalLoanCost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2018-08-02T01:23:17Z</dcterms:created>
  <dcterms:modified xsi:type="dcterms:W3CDTF">2024-05-14T13:14:30Z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