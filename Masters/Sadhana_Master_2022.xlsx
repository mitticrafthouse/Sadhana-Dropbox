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4" documentId="13_ncr:1_{03F6AE69-B7AD-4A41-9106-8C1DA8BF2015}" xr6:coauthVersionLast="47" xr6:coauthVersionMax="47" xr10:uidLastSave="{E45387B2-A030-411C-81C7-82B86AC7F1E1}"/>
  <bookViews>
    <workbookView xWindow="-110" yWindow="-110" windowWidth="19420" windowHeight="10300" firstSheet="7" activeTab="11" xr2:uid="{00000000-000D-0000-FFFF-FFFF00000000}"/>
  </bookViews>
  <sheets>
    <sheet name="January 2022" sheetId="2" r:id="rId1"/>
    <sheet name="Febuary 2022" sheetId="3" r:id="rId2"/>
    <sheet name="March 2022" sheetId="4" r:id="rId3"/>
    <sheet name="April 2022" sheetId="5" r:id="rId4"/>
    <sheet name="May 2022" sheetId="6" r:id="rId5"/>
    <sheet name="June 2022" sheetId="7" r:id="rId6"/>
    <sheet name="July 2022" sheetId="8" r:id="rId7"/>
    <sheet name="August 2022" sheetId="9" r:id="rId8"/>
    <sheet name="September 2022" sheetId="10" r:id="rId9"/>
    <sheet name="October 2022" sheetId="11" r:id="rId10"/>
    <sheet name="November 2022" sheetId="12" r:id="rId11"/>
    <sheet name="Decemeber 2022" sheetId="1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3" l="1"/>
  <c r="D37" i="13"/>
  <c r="E37" i="13"/>
  <c r="F37" i="13"/>
  <c r="G37" i="13"/>
  <c r="H37" i="13"/>
  <c r="B37" i="13"/>
  <c r="C37" i="12"/>
  <c r="D37" i="12"/>
  <c r="E37" i="12"/>
  <c r="F37" i="12"/>
  <c r="G37" i="12"/>
  <c r="H37" i="12"/>
  <c r="B37" i="12"/>
  <c r="M48" i="5"/>
  <c r="N48" i="5"/>
  <c r="O48" i="5"/>
  <c r="P48" i="5"/>
  <c r="Q48" i="5"/>
  <c r="L48" i="5"/>
  <c r="M59" i="6"/>
  <c r="N59" i="6"/>
  <c r="O59" i="6"/>
  <c r="P59" i="6"/>
  <c r="Q59" i="6"/>
  <c r="L59" i="6"/>
  <c r="L59" i="7"/>
  <c r="N59" i="7"/>
  <c r="M59" i="7"/>
  <c r="O59" i="7"/>
  <c r="P59" i="7"/>
  <c r="Q59" i="7"/>
  <c r="M49" i="8"/>
  <c r="N49" i="8"/>
  <c r="O49" i="8"/>
  <c r="P49" i="8"/>
  <c r="Q49" i="8"/>
  <c r="L49" i="8"/>
  <c r="M59" i="9"/>
  <c r="N59" i="9"/>
  <c r="O59" i="9"/>
  <c r="P59" i="9"/>
  <c r="Q59" i="9"/>
  <c r="L59" i="9"/>
  <c r="M59" i="10"/>
  <c r="N59" i="10"/>
  <c r="O59" i="10"/>
  <c r="P59" i="10"/>
  <c r="Q59" i="10"/>
  <c r="L59" i="10"/>
  <c r="M59" i="11"/>
  <c r="N59" i="11"/>
  <c r="O59" i="11"/>
  <c r="P59" i="11"/>
  <c r="Q59" i="11"/>
  <c r="L59" i="11"/>
  <c r="M59" i="12"/>
  <c r="N59" i="12"/>
  <c r="O59" i="12"/>
  <c r="P59" i="12"/>
  <c r="Q59" i="12"/>
  <c r="L59" i="12"/>
  <c r="L60" i="13"/>
  <c r="Q59" i="13"/>
  <c r="P59" i="13"/>
  <c r="O59" i="13"/>
  <c r="N59" i="13"/>
  <c r="M59" i="13"/>
  <c r="L59" i="13"/>
  <c r="B2" i="13"/>
  <c r="H2" i="13" s="1"/>
  <c r="C2" i="13"/>
  <c r="D2" i="13"/>
  <c r="I2" i="13"/>
  <c r="D3" i="13"/>
  <c r="K3" i="13"/>
  <c r="O3" i="13" s="1"/>
  <c r="P3" i="13"/>
  <c r="Q3" i="13"/>
  <c r="B4" i="13"/>
  <c r="C4" i="13" s="1"/>
  <c r="D4" i="13"/>
  <c r="K4" i="13"/>
  <c r="O4" i="13"/>
  <c r="P4" i="13"/>
  <c r="Q4" i="13"/>
  <c r="D5" i="13"/>
  <c r="B5" i="13" s="1"/>
  <c r="K5" i="13"/>
  <c r="O5" i="13" s="1"/>
  <c r="P5" i="13"/>
  <c r="Q5" i="13"/>
  <c r="B6" i="13"/>
  <c r="D6" i="13"/>
  <c r="C6" i="13" s="1"/>
  <c r="K6" i="13"/>
  <c r="O6" i="13"/>
  <c r="P6" i="13"/>
  <c r="Q6" i="13"/>
  <c r="D7" i="13"/>
  <c r="B7" i="13" s="1"/>
  <c r="K7" i="13"/>
  <c r="O7" i="13" s="1"/>
  <c r="P7" i="13"/>
  <c r="Q7" i="13"/>
  <c r="B8" i="13"/>
  <c r="C8" i="13" s="1"/>
  <c r="D8" i="13"/>
  <c r="K8" i="13"/>
  <c r="O8" i="13"/>
  <c r="P8" i="13"/>
  <c r="Q8" i="13"/>
  <c r="D9" i="13"/>
  <c r="B9" i="13" s="1"/>
  <c r="E9" i="13"/>
  <c r="K9" i="13"/>
  <c r="O9" i="13"/>
  <c r="P9" i="13"/>
  <c r="Q9" i="13"/>
  <c r="D10" i="13"/>
  <c r="B10" i="13" s="1"/>
  <c r="D11" i="13"/>
  <c r="B11" i="13" s="1"/>
  <c r="D12" i="13"/>
  <c r="B12" i="13" s="1"/>
  <c r="I12" i="13"/>
  <c r="B13" i="13"/>
  <c r="H13" i="13" s="1"/>
  <c r="C13" i="13"/>
  <c r="D13" i="13"/>
  <c r="D14" i="13"/>
  <c r="B14" i="13" s="1"/>
  <c r="K14" i="13"/>
  <c r="O14" i="13" s="1"/>
  <c r="P14" i="13"/>
  <c r="Q14" i="13"/>
  <c r="B15" i="13"/>
  <c r="C15" i="13" s="1"/>
  <c r="D15" i="13"/>
  <c r="K15" i="13"/>
  <c r="O15" i="13"/>
  <c r="P15" i="13"/>
  <c r="Q15" i="13"/>
  <c r="D16" i="13"/>
  <c r="K16" i="13"/>
  <c r="O16" i="13" s="1"/>
  <c r="P16" i="13"/>
  <c r="Q16" i="13"/>
  <c r="D17" i="13"/>
  <c r="B17" i="13" s="1"/>
  <c r="C17" i="13" s="1"/>
  <c r="K17" i="13"/>
  <c r="O17" i="13"/>
  <c r="P17" i="13"/>
  <c r="Q17" i="13"/>
  <c r="D18" i="13"/>
  <c r="B18" i="13" s="1"/>
  <c r="K18" i="13"/>
  <c r="O18" i="13" s="1"/>
  <c r="P18" i="13"/>
  <c r="Q18" i="13"/>
  <c r="B19" i="13"/>
  <c r="C19" i="13" s="1"/>
  <c r="D19" i="13"/>
  <c r="K19" i="13"/>
  <c r="O19" i="13"/>
  <c r="P19" i="13"/>
  <c r="Q19" i="13"/>
  <c r="D20" i="13"/>
  <c r="B20" i="13" s="1"/>
  <c r="K20" i="13"/>
  <c r="O20" i="13" s="1"/>
  <c r="P20" i="13"/>
  <c r="Q20" i="13"/>
  <c r="D21" i="13"/>
  <c r="B21" i="13" s="1"/>
  <c r="C21" i="13" s="1"/>
  <c r="B22" i="13"/>
  <c r="C22" i="13" s="1"/>
  <c r="D22" i="13"/>
  <c r="D23" i="13"/>
  <c r="B23" i="13" s="1"/>
  <c r="D24" i="13"/>
  <c r="B24" i="13" s="1"/>
  <c r="D25" i="13"/>
  <c r="B25" i="13" s="1"/>
  <c r="K25" i="13"/>
  <c r="O25" i="13" s="1"/>
  <c r="Q25" i="13"/>
  <c r="B26" i="13"/>
  <c r="C26" i="13"/>
  <c r="D26" i="13"/>
  <c r="K26" i="13"/>
  <c r="P26" i="13" s="1"/>
  <c r="O26" i="13"/>
  <c r="D27" i="13"/>
  <c r="B27" i="13" s="1"/>
  <c r="K27" i="13"/>
  <c r="O27" i="13" s="1"/>
  <c r="Q27" i="13"/>
  <c r="D28" i="13"/>
  <c r="B28" i="13" s="1"/>
  <c r="C28" i="13" s="1"/>
  <c r="K28" i="13"/>
  <c r="P28" i="13" s="1"/>
  <c r="O28" i="13"/>
  <c r="D29" i="13"/>
  <c r="B29" i="13" s="1"/>
  <c r="C29" i="13" s="1"/>
  <c r="H29" i="13" s="1"/>
  <c r="K29" i="13"/>
  <c r="O29" i="13" s="1"/>
  <c r="Q29" i="13"/>
  <c r="D30" i="13"/>
  <c r="B30" i="13" s="1"/>
  <c r="K30" i="13"/>
  <c r="P30" i="13" s="1"/>
  <c r="O30" i="13"/>
  <c r="B31" i="13"/>
  <c r="D31" i="13"/>
  <c r="K31" i="13"/>
  <c r="O31" i="13" s="1"/>
  <c r="Q31" i="13"/>
  <c r="D32" i="13"/>
  <c r="B32" i="13" s="1"/>
  <c r="D33" i="13"/>
  <c r="B33" i="13" s="1"/>
  <c r="D34" i="13"/>
  <c r="B34" i="13" s="1"/>
  <c r="C34" i="13" s="1"/>
  <c r="D35" i="13"/>
  <c r="B35" i="13" s="1"/>
  <c r="D36" i="13"/>
  <c r="B36" i="13" s="1"/>
  <c r="K36" i="13"/>
  <c r="O36" i="13" s="1"/>
  <c r="P36" i="13"/>
  <c r="K37" i="13"/>
  <c r="O37" i="13" s="1"/>
  <c r="K38" i="13"/>
  <c r="O38" i="13" s="1"/>
  <c r="P38" i="13"/>
  <c r="K39" i="13"/>
  <c r="O39" i="13" s="1"/>
  <c r="Q39" i="13"/>
  <c r="K40" i="13"/>
  <c r="O40" i="13" s="1"/>
  <c r="P40" i="13"/>
  <c r="K41" i="13"/>
  <c r="O41" i="13" s="1"/>
  <c r="K42" i="13"/>
  <c r="O42" i="13"/>
  <c r="P42" i="13"/>
  <c r="Q42" i="13"/>
  <c r="K47" i="13"/>
  <c r="Q47" i="13" s="1"/>
  <c r="O47" i="13"/>
  <c r="P47" i="13"/>
  <c r="K48" i="13"/>
  <c r="O48" i="13"/>
  <c r="P48" i="13"/>
  <c r="Q48" i="13"/>
  <c r="K49" i="13"/>
  <c r="O49" i="13" s="1"/>
  <c r="P49" i="13"/>
  <c r="Q49" i="13"/>
  <c r="K50" i="13"/>
  <c r="O50" i="13" s="1"/>
  <c r="Q50" i="13"/>
  <c r="K51" i="13"/>
  <c r="O51" i="13" s="1"/>
  <c r="P51" i="13"/>
  <c r="K52" i="13"/>
  <c r="O52" i="13" s="1"/>
  <c r="K53" i="13"/>
  <c r="O53" i="13"/>
  <c r="P53" i="13"/>
  <c r="Q53" i="13"/>
  <c r="K59" i="13"/>
  <c r="D2" i="12"/>
  <c r="B2" i="12" s="1"/>
  <c r="D3" i="12"/>
  <c r="I11" i="12" s="1"/>
  <c r="K3" i="12"/>
  <c r="Q3" i="12" s="1"/>
  <c r="O3" i="12"/>
  <c r="P3" i="12"/>
  <c r="D4" i="12"/>
  <c r="B4" i="12" s="1"/>
  <c r="K4" i="12"/>
  <c r="O4" i="12" s="1"/>
  <c r="D5" i="12"/>
  <c r="B5" i="12" s="1"/>
  <c r="K5" i="12"/>
  <c r="Q5" i="12" s="1"/>
  <c r="O5" i="12"/>
  <c r="P5" i="12"/>
  <c r="D6" i="12"/>
  <c r="B6" i="12" s="1"/>
  <c r="K6" i="12"/>
  <c r="O6" i="12" s="1"/>
  <c r="D7" i="12"/>
  <c r="B7" i="12" s="1"/>
  <c r="K7" i="12"/>
  <c r="Q7" i="12" s="1"/>
  <c r="O7" i="12"/>
  <c r="N7" i="12" s="1"/>
  <c r="P7" i="12"/>
  <c r="D8" i="12"/>
  <c r="B8" i="12" s="1"/>
  <c r="K8" i="12"/>
  <c r="O8" i="12" s="1"/>
  <c r="D9" i="12"/>
  <c r="B9" i="12" s="1"/>
  <c r="K9" i="12"/>
  <c r="Q9" i="12" s="1"/>
  <c r="O9" i="12"/>
  <c r="P9" i="12"/>
  <c r="D10" i="12"/>
  <c r="B10" i="12" s="1"/>
  <c r="D11" i="12"/>
  <c r="B11" i="12" s="1"/>
  <c r="B12" i="12"/>
  <c r="C12" i="12"/>
  <c r="D12" i="12"/>
  <c r="H12" i="12"/>
  <c r="B13" i="12"/>
  <c r="D13" i="12"/>
  <c r="C13" i="12" s="1"/>
  <c r="D14" i="12"/>
  <c r="B14" i="12" s="1"/>
  <c r="K14" i="12"/>
  <c r="O14" i="12"/>
  <c r="P14" i="12"/>
  <c r="Q14" i="12"/>
  <c r="D15" i="12"/>
  <c r="B15" i="12" s="1"/>
  <c r="K15" i="12"/>
  <c r="O15" i="12" s="1"/>
  <c r="D16" i="12"/>
  <c r="B16" i="12" s="1"/>
  <c r="K16" i="12"/>
  <c r="O16" i="12"/>
  <c r="P16" i="12"/>
  <c r="Q16" i="12"/>
  <c r="D17" i="12"/>
  <c r="B17" i="12" s="1"/>
  <c r="K17" i="12"/>
  <c r="O17" i="12" s="1"/>
  <c r="D18" i="12"/>
  <c r="B18" i="12" s="1"/>
  <c r="K18" i="12"/>
  <c r="O18" i="12"/>
  <c r="N18" i="12" s="1"/>
  <c r="P18" i="12"/>
  <c r="Q18" i="12"/>
  <c r="E19" i="12"/>
  <c r="D19" i="12" s="1"/>
  <c r="K19" i="12"/>
  <c r="O19" i="12" s="1"/>
  <c r="D20" i="12"/>
  <c r="B20" i="12" s="1"/>
  <c r="E20" i="12"/>
  <c r="K20" i="12"/>
  <c r="P20" i="12" s="1"/>
  <c r="O20" i="12"/>
  <c r="B21" i="12"/>
  <c r="C21" i="12"/>
  <c r="D21" i="12"/>
  <c r="H21" i="12"/>
  <c r="D22" i="12"/>
  <c r="B22" i="12" s="1"/>
  <c r="E22" i="12"/>
  <c r="D23" i="12"/>
  <c r="B23" i="12" s="1"/>
  <c r="D24" i="12"/>
  <c r="B24" i="12" s="1"/>
  <c r="G24" i="12"/>
  <c r="B25" i="12"/>
  <c r="H25" i="12" s="1"/>
  <c r="D25" i="12"/>
  <c r="C25" i="12" s="1"/>
  <c r="K25" i="12"/>
  <c r="O25" i="12" s="1"/>
  <c r="P25" i="12"/>
  <c r="Q25" i="12"/>
  <c r="D26" i="12"/>
  <c r="B26" i="12" s="1"/>
  <c r="K26" i="12"/>
  <c r="O26" i="12"/>
  <c r="P26" i="12"/>
  <c r="Q26" i="12"/>
  <c r="B27" i="12"/>
  <c r="H27" i="12" s="1"/>
  <c r="D27" i="12"/>
  <c r="C27" i="12" s="1"/>
  <c r="K27" i="12"/>
  <c r="O27" i="12" s="1"/>
  <c r="P27" i="12"/>
  <c r="Q27" i="12"/>
  <c r="D28" i="12"/>
  <c r="B28" i="12" s="1"/>
  <c r="K28" i="12"/>
  <c r="O28" i="12"/>
  <c r="N28" i="12" s="1"/>
  <c r="P28" i="12"/>
  <c r="Q28" i="12"/>
  <c r="B29" i="12"/>
  <c r="D29" i="12"/>
  <c r="C29" i="12" s="1"/>
  <c r="K29" i="12"/>
  <c r="O29" i="12" s="1"/>
  <c r="D30" i="12"/>
  <c r="B30" i="12" s="1"/>
  <c r="K30" i="12"/>
  <c r="O30" i="12"/>
  <c r="N30" i="12" s="1"/>
  <c r="P30" i="12"/>
  <c r="Q30" i="12"/>
  <c r="B31" i="12"/>
  <c r="D31" i="12"/>
  <c r="C31" i="12" s="1"/>
  <c r="K31" i="12"/>
  <c r="O31" i="12" s="1"/>
  <c r="D32" i="12"/>
  <c r="B32" i="12" s="1"/>
  <c r="B33" i="12"/>
  <c r="H33" i="12" s="1"/>
  <c r="C33" i="12"/>
  <c r="D33" i="12"/>
  <c r="D34" i="12"/>
  <c r="B34" i="12" s="1"/>
  <c r="B35" i="12"/>
  <c r="C35" i="12" s="1"/>
  <c r="H35" i="12" s="1"/>
  <c r="D35" i="12"/>
  <c r="B36" i="12"/>
  <c r="H36" i="12" s="1"/>
  <c r="C36" i="12"/>
  <c r="D36" i="12"/>
  <c r="K36" i="12"/>
  <c r="P36" i="12" s="1"/>
  <c r="O36" i="12"/>
  <c r="Q36" i="12"/>
  <c r="K37" i="12"/>
  <c r="Q37" i="12" s="1"/>
  <c r="O37" i="12"/>
  <c r="P37" i="12"/>
  <c r="K38" i="12"/>
  <c r="P38" i="12" s="1"/>
  <c r="O38" i="12"/>
  <c r="Q38" i="12"/>
  <c r="K39" i="12"/>
  <c r="O39" i="12" s="1"/>
  <c r="N39" i="12" s="1"/>
  <c r="P39" i="12"/>
  <c r="K40" i="12"/>
  <c r="P40" i="12" s="1"/>
  <c r="O40" i="12"/>
  <c r="Q40" i="12"/>
  <c r="K41" i="12"/>
  <c r="Q41" i="12" s="1"/>
  <c r="O41" i="12"/>
  <c r="P41" i="12"/>
  <c r="K42" i="12"/>
  <c r="O42" i="12"/>
  <c r="P42" i="12"/>
  <c r="Q42" i="12"/>
  <c r="K47" i="12"/>
  <c r="O47" i="12" s="1"/>
  <c r="K48" i="12"/>
  <c r="O48" i="12" s="1"/>
  <c r="K49" i="12"/>
  <c r="O49" i="12" s="1"/>
  <c r="K50" i="12"/>
  <c r="O50" i="12" s="1"/>
  <c r="N50" i="12" s="1"/>
  <c r="P50" i="12"/>
  <c r="K51" i="12"/>
  <c r="P51" i="12" s="1"/>
  <c r="O51" i="12"/>
  <c r="N51" i="12" s="1"/>
  <c r="Q51" i="12"/>
  <c r="K52" i="12"/>
  <c r="Q52" i="12" s="1"/>
  <c r="O52" i="12"/>
  <c r="P52" i="12"/>
  <c r="K53" i="12"/>
  <c r="O53" i="12"/>
  <c r="N53" i="12" s="1"/>
  <c r="P53" i="12"/>
  <c r="Q53" i="12"/>
  <c r="K59" i="12"/>
  <c r="D2" i="11"/>
  <c r="B2" i="11" s="1"/>
  <c r="D3" i="11"/>
  <c r="I3" i="11" s="1"/>
  <c r="K3" i="11"/>
  <c r="Q3" i="11" s="1"/>
  <c r="P3" i="11"/>
  <c r="P10" i="11" s="1"/>
  <c r="B4" i="11"/>
  <c r="H4" i="11" s="1"/>
  <c r="C4" i="11"/>
  <c r="D4" i="11"/>
  <c r="K4" i="11"/>
  <c r="Q4" i="11" s="1"/>
  <c r="O4" i="11"/>
  <c r="N4" i="11" s="1"/>
  <c r="P4" i="11"/>
  <c r="D5" i="11"/>
  <c r="K5" i="11"/>
  <c r="Q5" i="11" s="1"/>
  <c r="P5" i="11"/>
  <c r="B6" i="11"/>
  <c r="H6" i="11" s="1"/>
  <c r="C6" i="11"/>
  <c r="D6" i="11"/>
  <c r="K6" i="11"/>
  <c r="Q6" i="11" s="1"/>
  <c r="O6" i="11"/>
  <c r="N6" i="11" s="1"/>
  <c r="P6" i="11"/>
  <c r="D7" i="11"/>
  <c r="B7" i="11" s="1"/>
  <c r="K7" i="11"/>
  <c r="Q7" i="11" s="1"/>
  <c r="P7" i="11"/>
  <c r="B8" i="11"/>
  <c r="H8" i="11" s="1"/>
  <c r="C8" i="11"/>
  <c r="D8" i="11"/>
  <c r="K8" i="11"/>
  <c r="Q8" i="11" s="1"/>
  <c r="O8" i="11"/>
  <c r="N8" i="11" s="1"/>
  <c r="P8" i="11"/>
  <c r="D9" i="11"/>
  <c r="E9" i="11"/>
  <c r="K9" i="11"/>
  <c r="O9" i="11"/>
  <c r="N9" i="11" s="1"/>
  <c r="P9" i="11"/>
  <c r="Q9" i="11"/>
  <c r="E10" i="11"/>
  <c r="D10" i="11" s="1"/>
  <c r="E11" i="11"/>
  <c r="D11" i="11" s="1"/>
  <c r="D12" i="11"/>
  <c r="B12" i="11" s="1"/>
  <c r="B13" i="11"/>
  <c r="C13" i="11" s="1"/>
  <c r="D13" i="11"/>
  <c r="E14" i="11"/>
  <c r="D14" i="11" s="1"/>
  <c r="K14" i="11"/>
  <c r="Q14" i="11" s="1"/>
  <c r="Q21" i="11" s="1"/>
  <c r="O14" i="11"/>
  <c r="N14" i="11" s="1"/>
  <c r="P14" i="11"/>
  <c r="D15" i="11"/>
  <c r="B15" i="11" s="1"/>
  <c r="K15" i="11"/>
  <c r="O15" i="11" s="1"/>
  <c r="Q15" i="11"/>
  <c r="D16" i="11"/>
  <c r="B16" i="11" s="1"/>
  <c r="K16" i="11"/>
  <c r="Q16" i="11" s="1"/>
  <c r="P16" i="11"/>
  <c r="D17" i="11"/>
  <c r="B17" i="11" s="1"/>
  <c r="K17" i="11"/>
  <c r="O17" i="11" s="1"/>
  <c r="Q17" i="11"/>
  <c r="D18" i="11"/>
  <c r="B18" i="11" s="1"/>
  <c r="K18" i="11"/>
  <c r="Q18" i="11" s="1"/>
  <c r="O18" i="11"/>
  <c r="N18" i="11" s="1"/>
  <c r="P18" i="11"/>
  <c r="D19" i="11"/>
  <c r="B19" i="11" s="1"/>
  <c r="K19" i="11"/>
  <c r="O19" i="11" s="1"/>
  <c r="Q19" i="11"/>
  <c r="D20" i="11"/>
  <c r="B20" i="11" s="1"/>
  <c r="E20" i="11"/>
  <c r="K20" i="11"/>
  <c r="Q20" i="11" s="1"/>
  <c r="O20" i="11"/>
  <c r="N20" i="11" s="1"/>
  <c r="P20" i="11"/>
  <c r="D21" i="11"/>
  <c r="B21" i="11" s="1"/>
  <c r="D22" i="11"/>
  <c r="B22" i="11" s="1"/>
  <c r="D23" i="11"/>
  <c r="B23" i="11" s="1"/>
  <c r="D24" i="11"/>
  <c r="B24" i="11" s="1"/>
  <c r="D25" i="11"/>
  <c r="B25" i="11" s="1"/>
  <c r="K25" i="11"/>
  <c r="Q25" i="11" s="1"/>
  <c r="O25" i="11"/>
  <c r="N25" i="11" s="1"/>
  <c r="P25" i="11"/>
  <c r="D26" i="11"/>
  <c r="B26" i="11" s="1"/>
  <c r="K26" i="11"/>
  <c r="O26" i="11" s="1"/>
  <c r="Q26" i="11"/>
  <c r="D27" i="11"/>
  <c r="B27" i="11" s="1"/>
  <c r="K27" i="11"/>
  <c r="Q27" i="11" s="1"/>
  <c r="O27" i="11"/>
  <c r="N27" i="11" s="1"/>
  <c r="P27" i="11"/>
  <c r="D28" i="11"/>
  <c r="B28" i="11" s="1"/>
  <c r="K28" i="11"/>
  <c r="O28" i="11" s="1"/>
  <c r="Q28" i="11"/>
  <c r="D29" i="11"/>
  <c r="B29" i="11" s="1"/>
  <c r="K29" i="11"/>
  <c r="Q29" i="11" s="1"/>
  <c r="O29" i="11"/>
  <c r="N29" i="11" s="1"/>
  <c r="P29" i="11"/>
  <c r="D30" i="11"/>
  <c r="B30" i="11" s="1"/>
  <c r="K30" i="11"/>
  <c r="O30" i="11" s="1"/>
  <c r="Q30" i="11"/>
  <c r="D31" i="11"/>
  <c r="B31" i="11" s="1"/>
  <c r="K31" i="11"/>
  <c r="Q31" i="11" s="1"/>
  <c r="O31" i="11"/>
  <c r="N31" i="11" s="1"/>
  <c r="P31" i="11"/>
  <c r="D32" i="11"/>
  <c r="B32" i="11" s="1"/>
  <c r="B33" i="11"/>
  <c r="D33" i="11"/>
  <c r="C33" i="11" s="1"/>
  <c r="F34" i="11"/>
  <c r="G34" i="11"/>
  <c r="H34" i="11"/>
  <c r="K36" i="11"/>
  <c r="O36" i="11" s="1"/>
  <c r="Q36" i="11"/>
  <c r="K37" i="11"/>
  <c r="O37" i="11" s="1"/>
  <c r="N37" i="11" s="1"/>
  <c r="P37" i="11"/>
  <c r="K38" i="11"/>
  <c r="O38" i="11" s="1"/>
  <c r="K39" i="11"/>
  <c r="P39" i="11" s="1"/>
  <c r="O39" i="11"/>
  <c r="N39" i="11" s="1"/>
  <c r="K40" i="11"/>
  <c r="Q40" i="11" s="1"/>
  <c r="O40" i="11"/>
  <c r="N40" i="11" s="1"/>
  <c r="P40" i="11"/>
  <c r="K41" i="11"/>
  <c r="N41" i="11"/>
  <c r="L41" i="11" s="1"/>
  <c r="O41" i="11"/>
  <c r="P41" i="11"/>
  <c r="Q41" i="11"/>
  <c r="K42" i="11"/>
  <c r="O42" i="11"/>
  <c r="N42" i="11" s="1"/>
  <c r="P42" i="11"/>
  <c r="Q42" i="11"/>
  <c r="K47" i="11"/>
  <c r="O47" i="11" s="1"/>
  <c r="Q47" i="11"/>
  <c r="K48" i="11"/>
  <c r="O48" i="11" s="1"/>
  <c r="K49" i="11"/>
  <c r="O49" i="11" s="1"/>
  <c r="K50" i="11"/>
  <c r="P50" i="11" s="1"/>
  <c r="O50" i="11"/>
  <c r="N50" i="11" s="1"/>
  <c r="K51" i="11"/>
  <c r="Q51" i="11" s="1"/>
  <c r="O51" i="11"/>
  <c r="N51" i="11" s="1"/>
  <c r="P51" i="11"/>
  <c r="K52" i="11"/>
  <c r="N52" i="11"/>
  <c r="L52" i="11" s="1"/>
  <c r="O52" i="11"/>
  <c r="P52" i="11"/>
  <c r="Q52" i="11"/>
  <c r="K53" i="11"/>
  <c r="O53" i="11"/>
  <c r="N53" i="11" s="1"/>
  <c r="P53" i="11"/>
  <c r="Q53" i="11"/>
  <c r="K59" i="11"/>
  <c r="D2" i="10"/>
  <c r="B2" i="10" s="1"/>
  <c r="D3" i="10"/>
  <c r="B3" i="10" s="1"/>
  <c r="I3" i="10"/>
  <c r="K3" i="10"/>
  <c r="Q3" i="10" s="1"/>
  <c r="P3" i="10"/>
  <c r="B4" i="10"/>
  <c r="C4" i="10" s="1"/>
  <c r="D4" i="10"/>
  <c r="K4" i="10"/>
  <c r="P4" i="10" s="1"/>
  <c r="N4" i="10" s="1"/>
  <c r="O4" i="10"/>
  <c r="D5" i="10"/>
  <c r="B5" i="10" s="1"/>
  <c r="I5" i="10"/>
  <c r="K5" i="10"/>
  <c r="Q5" i="10" s="1"/>
  <c r="P5" i="10"/>
  <c r="B6" i="10"/>
  <c r="C6" i="10" s="1"/>
  <c r="D6" i="10"/>
  <c r="G6" i="10"/>
  <c r="I6" i="10"/>
  <c r="K6" i="10"/>
  <c r="O6" i="10" s="1"/>
  <c r="B7" i="10"/>
  <c r="C7" i="10"/>
  <c r="D7" i="10"/>
  <c r="H7" i="10"/>
  <c r="I7" i="10"/>
  <c r="K7" i="10"/>
  <c r="P7" i="10" s="1"/>
  <c r="O7" i="10"/>
  <c r="Q7" i="10"/>
  <c r="B8" i="10"/>
  <c r="D8" i="10"/>
  <c r="C8" i="10" s="1"/>
  <c r="I8" i="10"/>
  <c r="K8" i="10"/>
  <c r="O8" i="10" s="1"/>
  <c r="B9" i="10"/>
  <c r="C9" i="10"/>
  <c r="D9" i="10"/>
  <c r="H9" i="10"/>
  <c r="I9" i="10"/>
  <c r="K9" i="10"/>
  <c r="P9" i="10" s="1"/>
  <c r="O9" i="10"/>
  <c r="Q9" i="10"/>
  <c r="B10" i="10"/>
  <c r="D10" i="10"/>
  <c r="C10" i="10" s="1"/>
  <c r="I10" i="10"/>
  <c r="D11" i="10"/>
  <c r="I30" i="10" s="1"/>
  <c r="I11" i="10"/>
  <c r="D12" i="10"/>
  <c r="B12" i="10" s="1"/>
  <c r="I12" i="10"/>
  <c r="D13" i="10"/>
  <c r="B13" i="10" s="1"/>
  <c r="D14" i="10"/>
  <c r="I18" i="10" s="1"/>
  <c r="I14" i="10"/>
  <c r="K14" i="10"/>
  <c r="Q14" i="10" s="1"/>
  <c r="P14" i="10"/>
  <c r="B15" i="10"/>
  <c r="C15" i="10" s="1"/>
  <c r="D15" i="10"/>
  <c r="K15" i="10"/>
  <c r="P15" i="10" s="1"/>
  <c r="N15" i="10" s="1"/>
  <c r="O15" i="10"/>
  <c r="D16" i="10"/>
  <c r="I20" i="10" s="1"/>
  <c r="I16" i="10"/>
  <c r="K16" i="10"/>
  <c r="Q16" i="10" s="1"/>
  <c r="P16" i="10"/>
  <c r="E17" i="10"/>
  <c r="D17" i="10" s="1"/>
  <c r="K17" i="10"/>
  <c r="O17" i="10" s="1"/>
  <c r="B18" i="10"/>
  <c r="C18" i="10"/>
  <c r="D18" i="10"/>
  <c r="H18" i="10"/>
  <c r="K18" i="10"/>
  <c r="P18" i="10" s="1"/>
  <c r="O18" i="10"/>
  <c r="N18" i="10" s="1"/>
  <c r="Q18" i="10"/>
  <c r="B19" i="10"/>
  <c r="H19" i="10" s="1"/>
  <c r="D19" i="10"/>
  <c r="C19" i="10" s="1"/>
  <c r="K19" i="10"/>
  <c r="O19" i="10" s="1"/>
  <c r="B20" i="10"/>
  <c r="C20" i="10"/>
  <c r="D20" i="10"/>
  <c r="H20" i="10"/>
  <c r="K20" i="10"/>
  <c r="P20" i="10" s="1"/>
  <c r="O20" i="10"/>
  <c r="N20" i="10" s="1"/>
  <c r="Q20" i="10"/>
  <c r="B21" i="10"/>
  <c r="H21" i="10" s="1"/>
  <c r="D21" i="10"/>
  <c r="C21" i="10" s="1"/>
  <c r="D22" i="10"/>
  <c r="B22" i="10" s="1"/>
  <c r="D23" i="10"/>
  <c r="B23" i="10" s="1"/>
  <c r="D24" i="10"/>
  <c r="B24" i="10" s="1"/>
  <c r="D25" i="10"/>
  <c r="B25" i="10" s="1"/>
  <c r="F25" i="10"/>
  <c r="K25" i="10"/>
  <c r="P25" i="10" s="1"/>
  <c r="O25" i="10"/>
  <c r="N25" i="10" s="1"/>
  <c r="Q25" i="10"/>
  <c r="B26" i="10"/>
  <c r="H26" i="10" s="1"/>
  <c r="D26" i="10"/>
  <c r="C26" i="10" s="1"/>
  <c r="K26" i="10"/>
  <c r="O26" i="10" s="1"/>
  <c r="B27" i="10"/>
  <c r="C27" i="10"/>
  <c r="D27" i="10"/>
  <c r="H27" i="10"/>
  <c r="K27" i="10"/>
  <c r="P27" i="10" s="1"/>
  <c r="O27" i="10"/>
  <c r="N27" i="10" s="1"/>
  <c r="Q27" i="10"/>
  <c r="B28" i="10"/>
  <c r="H28" i="10" s="1"/>
  <c r="D28" i="10"/>
  <c r="C28" i="10" s="1"/>
  <c r="K28" i="10"/>
  <c r="O28" i="10" s="1"/>
  <c r="B29" i="10"/>
  <c r="C29" i="10"/>
  <c r="H29" i="10" s="1"/>
  <c r="D29" i="10"/>
  <c r="G29" i="10"/>
  <c r="H32" i="10" s="1"/>
  <c r="K29" i="10"/>
  <c r="O29" i="10" s="1"/>
  <c r="N29" i="10" s="1"/>
  <c r="P29" i="10"/>
  <c r="Q29" i="10"/>
  <c r="D30" i="10"/>
  <c r="B30" i="10" s="1"/>
  <c r="G30" i="10"/>
  <c r="K30" i="10"/>
  <c r="O30" i="10" s="1"/>
  <c r="D31" i="10"/>
  <c r="B31" i="10" s="1"/>
  <c r="K31" i="10"/>
  <c r="Q31" i="10" s="1"/>
  <c r="O31" i="10"/>
  <c r="N31" i="10" s="1"/>
  <c r="P31" i="10"/>
  <c r="E32" i="10"/>
  <c r="F32" i="10"/>
  <c r="G32" i="10"/>
  <c r="K36" i="10"/>
  <c r="O36" i="10" s="1"/>
  <c r="K37" i="10"/>
  <c r="P37" i="10" s="1"/>
  <c r="N37" i="10" s="1"/>
  <c r="O37" i="10"/>
  <c r="K38" i="10"/>
  <c r="Q38" i="10" s="1"/>
  <c r="O38" i="10"/>
  <c r="N38" i="10" s="1"/>
  <c r="P38" i="10"/>
  <c r="K39" i="10"/>
  <c r="O39" i="10" s="1"/>
  <c r="N39" i="10" s="1"/>
  <c r="P39" i="10"/>
  <c r="Q39" i="10"/>
  <c r="K40" i="10"/>
  <c r="P40" i="10" s="1"/>
  <c r="O40" i="10"/>
  <c r="N40" i="10" s="1"/>
  <c r="Q40" i="10"/>
  <c r="K41" i="10"/>
  <c r="Q41" i="10" s="1"/>
  <c r="K42" i="10"/>
  <c r="O42" i="10" s="1"/>
  <c r="K47" i="10"/>
  <c r="O47" i="10" s="1"/>
  <c r="K48" i="10"/>
  <c r="P48" i="10" s="1"/>
  <c r="O48" i="10"/>
  <c r="N48" i="10" s="1"/>
  <c r="K49" i="10"/>
  <c r="O49" i="10" s="1"/>
  <c r="N49" i="10" s="1"/>
  <c r="P49" i="10"/>
  <c r="K50" i="10"/>
  <c r="O50" i="10" s="1"/>
  <c r="Q50" i="10"/>
  <c r="K51" i="10"/>
  <c r="P51" i="10" s="1"/>
  <c r="K52" i="10"/>
  <c r="Q52" i="10" s="1"/>
  <c r="K53" i="10"/>
  <c r="P53" i="10" s="1"/>
  <c r="O53" i="10"/>
  <c r="N53" i="10" s="1"/>
  <c r="Q53" i="10"/>
  <c r="K59" i="10"/>
  <c r="B2" i="9"/>
  <c r="H2" i="9" s="1"/>
  <c r="D2" i="9"/>
  <c r="C2" i="9" s="1"/>
  <c r="I2" i="9"/>
  <c r="D3" i="9"/>
  <c r="I11" i="9" s="1"/>
  <c r="K3" i="9"/>
  <c r="O3" i="9"/>
  <c r="O10" i="9" s="1"/>
  <c r="P3" i="9"/>
  <c r="Q3" i="9"/>
  <c r="Q10" i="9" s="1"/>
  <c r="B4" i="9"/>
  <c r="C4" i="9" s="1"/>
  <c r="H4" i="9" s="1"/>
  <c r="D4" i="9"/>
  <c r="K4" i="9"/>
  <c r="O4" i="9" s="1"/>
  <c r="Q4" i="9"/>
  <c r="D5" i="9"/>
  <c r="B5" i="9" s="1"/>
  <c r="K5" i="9"/>
  <c r="O5" i="9"/>
  <c r="N5" i="9" s="1"/>
  <c r="P5" i="9"/>
  <c r="Q5" i="9"/>
  <c r="B6" i="9"/>
  <c r="C6" i="9" s="1"/>
  <c r="H6" i="9" s="1"/>
  <c r="D6" i="9"/>
  <c r="K6" i="9"/>
  <c r="O6" i="9" s="1"/>
  <c r="Q6" i="9"/>
  <c r="D7" i="9"/>
  <c r="B7" i="9" s="1"/>
  <c r="K7" i="9"/>
  <c r="O7" i="9"/>
  <c r="N7" i="9" s="1"/>
  <c r="P7" i="9"/>
  <c r="Q7" i="9"/>
  <c r="B8" i="9"/>
  <c r="C8" i="9" s="1"/>
  <c r="H8" i="9" s="1"/>
  <c r="D8" i="9"/>
  <c r="K8" i="9"/>
  <c r="O8" i="9" s="1"/>
  <c r="Q8" i="9"/>
  <c r="D9" i="9"/>
  <c r="B9" i="9" s="1"/>
  <c r="K9" i="9"/>
  <c r="O9" i="9"/>
  <c r="N9" i="9" s="1"/>
  <c r="P9" i="9"/>
  <c r="Q9" i="9"/>
  <c r="B10" i="9"/>
  <c r="C10" i="9" s="1"/>
  <c r="H10" i="9" s="1"/>
  <c r="D10" i="9"/>
  <c r="B11" i="9"/>
  <c r="D11" i="9"/>
  <c r="C11" i="9" s="1"/>
  <c r="H11" i="9" s="1"/>
  <c r="D12" i="9"/>
  <c r="B12" i="9" s="1"/>
  <c r="E12" i="9"/>
  <c r="I12" i="9"/>
  <c r="B13" i="9"/>
  <c r="C13" i="9" s="1"/>
  <c r="D13" i="9"/>
  <c r="D14" i="9"/>
  <c r="B14" i="9" s="1"/>
  <c r="K14" i="9"/>
  <c r="O14" i="9"/>
  <c r="P14" i="9"/>
  <c r="Q14" i="9"/>
  <c r="Q21" i="9" s="1"/>
  <c r="B15" i="9"/>
  <c r="C15" i="9" s="1"/>
  <c r="H15" i="9" s="1"/>
  <c r="D15" i="9"/>
  <c r="K15" i="9"/>
  <c r="O15" i="9" s="1"/>
  <c r="Q15" i="9"/>
  <c r="D16" i="9"/>
  <c r="B16" i="9" s="1"/>
  <c r="K16" i="9"/>
  <c r="O16" i="9"/>
  <c r="N16" i="9" s="1"/>
  <c r="P16" i="9"/>
  <c r="Q16" i="9"/>
  <c r="B17" i="9"/>
  <c r="C17" i="9" s="1"/>
  <c r="H17" i="9" s="1"/>
  <c r="D17" i="9"/>
  <c r="K17" i="9"/>
  <c r="O17" i="9" s="1"/>
  <c r="Q17" i="9"/>
  <c r="D18" i="9"/>
  <c r="B18" i="9" s="1"/>
  <c r="K18" i="9"/>
  <c r="O18" i="9"/>
  <c r="N18" i="9" s="1"/>
  <c r="P18" i="9"/>
  <c r="Q18" i="9"/>
  <c r="B19" i="9"/>
  <c r="C19" i="9" s="1"/>
  <c r="H19" i="9" s="1"/>
  <c r="D19" i="9"/>
  <c r="K19" i="9"/>
  <c r="O19" i="9" s="1"/>
  <c r="Q19" i="9"/>
  <c r="D20" i="9"/>
  <c r="B20" i="9" s="1"/>
  <c r="K20" i="9"/>
  <c r="O20" i="9"/>
  <c r="N20" i="9" s="1"/>
  <c r="P20" i="9"/>
  <c r="Q20" i="9"/>
  <c r="B21" i="9"/>
  <c r="C21" i="9" s="1"/>
  <c r="H21" i="9" s="1"/>
  <c r="D21" i="9"/>
  <c r="B22" i="9"/>
  <c r="D22" i="9"/>
  <c r="C22" i="9" s="1"/>
  <c r="H22" i="9" s="1"/>
  <c r="D23" i="9"/>
  <c r="B23" i="9" s="1"/>
  <c r="B24" i="9"/>
  <c r="C24" i="9" s="1"/>
  <c r="D24" i="9"/>
  <c r="B25" i="9"/>
  <c r="D25" i="9"/>
  <c r="C25" i="9" s="1"/>
  <c r="H25" i="9" s="1"/>
  <c r="K25" i="9"/>
  <c r="N25" i="9"/>
  <c r="L25" i="9" s="1"/>
  <c r="O25" i="9"/>
  <c r="P25" i="9"/>
  <c r="Q25" i="9"/>
  <c r="B26" i="9"/>
  <c r="C26" i="9" s="1"/>
  <c r="D26" i="9"/>
  <c r="K26" i="9"/>
  <c r="O26" i="9" s="1"/>
  <c r="B27" i="9"/>
  <c r="D27" i="9"/>
  <c r="C27" i="9" s="1"/>
  <c r="H27" i="9" s="1"/>
  <c r="K27" i="9"/>
  <c r="N27" i="9"/>
  <c r="L27" i="9" s="1"/>
  <c r="O27" i="9"/>
  <c r="P27" i="9"/>
  <c r="Q27" i="9"/>
  <c r="B28" i="9"/>
  <c r="C28" i="9" s="1"/>
  <c r="D28" i="9"/>
  <c r="K28" i="9"/>
  <c r="O28" i="9" s="1"/>
  <c r="B29" i="9"/>
  <c r="D29" i="9"/>
  <c r="C29" i="9" s="1"/>
  <c r="H29" i="9" s="1"/>
  <c r="K29" i="9"/>
  <c r="N29" i="9"/>
  <c r="L29" i="9" s="1"/>
  <c r="O29" i="9"/>
  <c r="P29" i="9"/>
  <c r="Q29" i="9"/>
  <c r="B30" i="9"/>
  <c r="C30" i="9" s="1"/>
  <c r="D30" i="9"/>
  <c r="K30" i="9"/>
  <c r="O30" i="9" s="1"/>
  <c r="B31" i="9"/>
  <c r="D31" i="9"/>
  <c r="C31" i="9" s="1"/>
  <c r="H31" i="9" s="1"/>
  <c r="K31" i="9"/>
  <c r="N31" i="9"/>
  <c r="L31" i="9" s="1"/>
  <c r="O31" i="9"/>
  <c r="P31" i="9"/>
  <c r="Q31" i="9"/>
  <c r="B32" i="9"/>
  <c r="C32" i="9" s="1"/>
  <c r="D32" i="9"/>
  <c r="D33" i="9"/>
  <c r="B33" i="9" s="1"/>
  <c r="I33" i="9"/>
  <c r="B34" i="9"/>
  <c r="D34" i="9"/>
  <c r="C34" i="9" s="1"/>
  <c r="H34" i="9" s="1"/>
  <c r="D35" i="9"/>
  <c r="B35" i="9" s="1"/>
  <c r="D36" i="9"/>
  <c r="B36" i="9" s="1"/>
  <c r="I36" i="9"/>
  <c r="K36" i="9"/>
  <c r="O36" i="9" s="1"/>
  <c r="E37" i="9"/>
  <c r="F37" i="9"/>
  <c r="G37" i="9"/>
  <c r="H37" i="9"/>
  <c r="K37" i="9"/>
  <c r="P37" i="9" s="1"/>
  <c r="K38" i="9"/>
  <c r="O38" i="9" s="1"/>
  <c r="K39" i="9"/>
  <c r="N39" i="9"/>
  <c r="L39" i="9" s="1"/>
  <c r="O39" i="9"/>
  <c r="P39" i="9"/>
  <c r="Q39" i="9"/>
  <c r="K40" i="9"/>
  <c r="O40" i="9" s="1"/>
  <c r="K41" i="9"/>
  <c r="O41" i="9" s="1"/>
  <c r="K42" i="9"/>
  <c r="O42" i="9" s="1"/>
  <c r="Q42" i="9"/>
  <c r="K47" i="9"/>
  <c r="P47" i="9" s="1"/>
  <c r="N47" i="9" s="1"/>
  <c r="O47" i="9"/>
  <c r="K48" i="9"/>
  <c r="O48" i="9"/>
  <c r="N48" i="9" s="1"/>
  <c r="P48" i="9"/>
  <c r="Q48" i="9"/>
  <c r="K49" i="9"/>
  <c r="O49" i="9"/>
  <c r="N49" i="9" s="1"/>
  <c r="P49" i="9"/>
  <c r="Q49" i="9"/>
  <c r="K50" i="9"/>
  <c r="N50" i="9"/>
  <c r="L50" i="9" s="1"/>
  <c r="O50" i="9"/>
  <c r="P50" i="9"/>
  <c r="Q50" i="9"/>
  <c r="K51" i="9"/>
  <c r="O51" i="9" s="1"/>
  <c r="K52" i="9"/>
  <c r="O52" i="9" s="1"/>
  <c r="K53" i="9"/>
  <c r="O53" i="9" s="1"/>
  <c r="Q53" i="9"/>
  <c r="K59" i="9"/>
  <c r="D2" i="8"/>
  <c r="B2" i="8" s="1"/>
  <c r="D3" i="8"/>
  <c r="I11" i="8" s="1"/>
  <c r="K3" i="8"/>
  <c r="Q3" i="8" s="1"/>
  <c r="P3" i="8"/>
  <c r="P10" i="8" s="1"/>
  <c r="B4" i="8"/>
  <c r="C4" i="8" s="1"/>
  <c r="D4" i="8"/>
  <c r="K4" i="8"/>
  <c r="Q4" i="8" s="1"/>
  <c r="O4" i="8"/>
  <c r="N4" i="8" s="1"/>
  <c r="P4" i="8"/>
  <c r="D5" i="8"/>
  <c r="B5" i="8" s="1"/>
  <c r="K5" i="8"/>
  <c r="Q5" i="8" s="1"/>
  <c r="P5" i="8"/>
  <c r="D6" i="8"/>
  <c r="B6" i="8" s="1"/>
  <c r="K6" i="8"/>
  <c r="Q6" i="8" s="1"/>
  <c r="O6" i="8"/>
  <c r="N6" i="8" s="1"/>
  <c r="P6" i="8"/>
  <c r="D7" i="8"/>
  <c r="B7" i="8" s="1"/>
  <c r="K7" i="8"/>
  <c r="Q7" i="8" s="1"/>
  <c r="P7" i="8"/>
  <c r="D8" i="8"/>
  <c r="B8" i="8" s="1"/>
  <c r="K8" i="8"/>
  <c r="Q8" i="8" s="1"/>
  <c r="O8" i="8"/>
  <c r="N8" i="8" s="1"/>
  <c r="P8" i="8"/>
  <c r="D9" i="8"/>
  <c r="B9" i="8" s="1"/>
  <c r="K9" i="8"/>
  <c r="Q9" i="8" s="1"/>
  <c r="P9" i="8"/>
  <c r="D10" i="8"/>
  <c r="B10" i="8" s="1"/>
  <c r="D11" i="8"/>
  <c r="B11" i="8" s="1"/>
  <c r="B12" i="8"/>
  <c r="H12" i="8" s="1"/>
  <c r="C12" i="8"/>
  <c r="D12" i="8"/>
  <c r="B13" i="8"/>
  <c r="H13" i="8" s="1"/>
  <c r="D13" i="8"/>
  <c r="C13" i="8" s="1"/>
  <c r="D14" i="8"/>
  <c r="B14" i="8" s="1"/>
  <c r="K14" i="8"/>
  <c r="O14" i="8"/>
  <c r="N14" i="8" s="1"/>
  <c r="P14" i="8"/>
  <c r="Q14" i="8"/>
  <c r="Q21" i="8" s="1"/>
  <c r="D15" i="8"/>
  <c r="B15" i="8" s="1"/>
  <c r="K15" i="8"/>
  <c r="O15" i="8"/>
  <c r="N15" i="8" s="1"/>
  <c r="P15" i="8"/>
  <c r="Q15" i="8"/>
  <c r="D16" i="8"/>
  <c r="B16" i="8" s="1"/>
  <c r="K16" i="8"/>
  <c r="O16" i="8"/>
  <c r="N16" i="8" s="1"/>
  <c r="P16" i="8"/>
  <c r="Q16" i="8"/>
  <c r="D17" i="8"/>
  <c r="B17" i="8" s="1"/>
  <c r="K17" i="8"/>
  <c r="O17" i="8"/>
  <c r="N17" i="8" s="1"/>
  <c r="P17" i="8"/>
  <c r="Q17" i="8"/>
  <c r="D18" i="8"/>
  <c r="B18" i="8" s="1"/>
  <c r="K18" i="8"/>
  <c r="O18" i="8"/>
  <c r="N18" i="8" s="1"/>
  <c r="P18" i="8"/>
  <c r="Q18" i="8"/>
  <c r="D19" i="8"/>
  <c r="B19" i="8" s="1"/>
  <c r="K19" i="8"/>
  <c r="O19" i="8"/>
  <c r="N19" i="8" s="1"/>
  <c r="P19" i="8"/>
  <c r="Q19" i="8"/>
  <c r="B20" i="8"/>
  <c r="C20" i="8"/>
  <c r="D20" i="8"/>
  <c r="H20" i="8"/>
  <c r="K20" i="8"/>
  <c r="O20" i="8"/>
  <c r="N20" i="8" s="1"/>
  <c r="P20" i="8"/>
  <c r="Q20" i="8"/>
  <c r="E21" i="8"/>
  <c r="E33" i="8" s="1"/>
  <c r="O21" i="8"/>
  <c r="P21" i="8"/>
  <c r="D22" i="8"/>
  <c r="B22" i="8" s="1"/>
  <c r="B23" i="8"/>
  <c r="H23" i="8" s="1"/>
  <c r="C23" i="8"/>
  <c r="D23" i="8"/>
  <c r="E24" i="8"/>
  <c r="D24" i="8" s="1"/>
  <c r="D25" i="8"/>
  <c r="B25" i="8" s="1"/>
  <c r="K25" i="8"/>
  <c r="O25" i="8"/>
  <c r="P25" i="8"/>
  <c r="P32" i="8" s="1"/>
  <c r="Q25" i="8"/>
  <c r="Q32" i="8" s="1"/>
  <c r="D26" i="8"/>
  <c r="B26" i="8" s="1"/>
  <c r="K26" i="8"/>
  <c r="O26" i="8"/>
  <c r="N26" i="8" s="1"/>
  <c r="P26" i="8"/>
  <c r="Q26" i="8"/>
  <c r="D27" i="8"/>
  <c r="B27" i="8" s="1"/>
  <c r="E27" i="8"/>
  <c r="K27" i="8"/>
  <c r="O27" i="8"/>
  <c r="O32" i="8" s="1"/>
  <c r="P27" i="8"/>
  <c r="Q27" i="8"/>
  <c r="B28" i="8"/>
  <c r="H28" i="8" s="1"/>
  <c r="C28" i="8"/>
  <c r="D28" i="8"/>
  <c r="K28" i="8"/>
  <c r="O28" i="8"/>
  <c r="N28" i="8" s="1"/>
  <c r="P28" i="8"/>
  <c r="Q28" i="8"/>
  <c r="D29" i="8"/>
  <c r="B29" i="8" s="1"/>
  <c r="K29" i="8"/>
  <c r="O29" i="8"/>
  <c r="N29" i="8" s="1"/>
  <c r="P29" i="8"/>
  <c r="Q29" i="8"/>
  <c r="B30" i="8"/>
  <c r="C30" i="8" s="1"/>
  <c r="D30" i="8"/>
  <c r="K30" i="8"/>
  <c r="O30" i="8"/>
  <c r="N30" i="8" s="1"/>
  <c r="P30" i="8"/>
  <c r="Q30" i="8"/>
  <c r="D31" i="8"/>
  <c r="B31" i="8" s="1"/>
  <c r="K31" i="8"/>
  <c r="O31" i="8"/>
  <c r="N31" i="8" s="1"/>
  <c r="P31" i="8"/>
  <c r="Q31" i="8"/>
  <c r="B32" i="8"/>
  <c r="C32" i="8" s="1"/>
  <c r="D32" i="8"/>
  <c r="F33" i="8"/>
  <c r="G33" i="8"/>
  <c r="H33" i="8"/>
  <c r="K36" i="8"/>
  <c r="O36" i="8"/>
  <c r="P36" i="8"/>
  <c r="N36" i="8" s="1"/>
  <c r="Q36" i="8"/>
  <c r="K37" i="8"/>
  <c r="O37" i="8"/>
  <c r="N37" i="8" s="1"/>
  <c r="P37" i="8"/>
  <c r="Q37" i="8"/>
  <c r="Q43" i="8" s="1"/>
  <c r="K38" i="8"/>
  <c r="L38" i="8"/>
  <c r="M38" i="8" s="1"/>
  <c r="N38" i="8"/>
  <c r="O38" i="8"/>
  <c r="P38" i="8"/>
  <c r="Q38" i="8"/>
  <c r="K39" i="8"/>
  <c r="N39" i="8"/>
  <c r="L39" i="8" s="1"/>
  <c r="M39" i="8" s="1"/>
  <c r="O39" i="8"/>
  <c r="P39" i="8"/>
  <c r="Q39" i="8"/>
  <c r="K40" i="8"/>
  <c r="L40" i="8"/>
  <c r="N40" i="8"/>
  <c r="M40" i="8" s="1"/>
  <c r="O40" i="8"/>
  <c r="P40" i="8"/>
  <c r="Q40" i="8"/>
  <c r="K41" i="8"/>
  <c r="O41" i="8"/>
  <c r="N41" i="8" s="1"/>
  <c r="P41" i="8"/>
  <c r="Q41" i="8"/>
  <c r="K42" i="8"/>
  <c r="N42" i="8"/>
  <c r="L42" i="8" s="1"/>
  <c r="O42" i="8"/>
  <c r="P42" i="8"/>
  <c r="Q42" i="8"/>
  <c r="P43" i="8"/>
  <c r="K49" i="8"/>
  <c r="D2" i="7"/>
  <c r="B2" i="7" s="1"/>
  <c r="D3" i="7"/>
  <c r="I3" i="7" s="1"/>
  <c r="K3" i="7"/>
  <c r="O3" i="7"/>
  <c r="P3" i="7"/>
  <c r="P10" i="7" s="1"/>
  <c r="Q3" i="7"/>
  <c r="Q10" i="7" s="1"/>
  <c r="B4" i="7"/>
  <c r="C4" i="7" s="1"/>
  <c r="D4" i="7"/>
  <c r="K4" i="7"/>
  <c r="N4" i="7"/>
  <c r="O4" i="7"/>
  <c r="P4" i="7"/>
  <c r="Q4" i="7"/>
  <c r="D5" i="7"/>
  <c r="B5" i="7" s="1"/>
  <c r="K5" i="7"/>
  <c r="O5" i="7"/>
  <c r="P5" i="7"/>
  <c r="N5" i="7" s="1"/>
  <c r="Q5" i="7"/>
  <c r="B6" i="7"/>
  <c r="C6" i="7" s="1"/>
  <c r="D6" i="7"/>
  <c r="K6" i="7"/>
  <c r="N6" i="7"/>
  <c r="O6" i="7"/>
  <c r="P6" i="7"/>
  <c r="Q6" i="7"/>
  <c r="D7" i="7"/>
  <c r="B7" i="7" s="1"/>
  <c r="K7" i="7"/>
  <c r="O7" i="7"/>
  <c r="P7" i="7"/>
  <c r="N7" i="7" s="1"/>
  <c r="Q7" i="7"/>
  <c r="B8" i="7"/>
  <c r="C8" i="7" s="1"/>
  <c r="D8" i="7"/>
  <c r="K8" i="7"/>
  <c r="N8" i="7"/>
  <c r="O8" i="7"/>
  <c r="P8" i="7"/>
  <c r="Q8" i="7"/>
  <c r="D9" i="7"/>
  <c r="B9" i="7" s="1"/>
  <c r="K9" i="7"/>
  <c r="O9" i="7"/>
  <c r="P9" i="7"/>
  <c r="N9" i="7" s="1"/>
  <c r="Q9" i="7"/>
  <c r="B10" i="7"/>
  <c r="C10" i="7" s="1"/>
  <c r="D10" i="7"/>
  <c r="O10" i="7"/>
  <c r="D11" i="7"/>
  <c r="B11" i="7" s="1"/>
  <c r="B12" i="7"/>
  <c r="C12" i="7" s="1"/>
  <c r="D12" i="7"/>
  <c r="D13" i="7"/>
  <c r="D14" i="7"/>
  <c r="B14" i="7" s="1"/>
  <c r="K14" i="7"/>
  <c r="O14" i="7"/>
  <c r="N14" i="7" s="1"/>
  <c r="P14" i="7"/>
  <c r="Q14" i="7"/>
  <c r="Q21" i="7" s="1"/>
  <c r="D15" i="7"/>
  <c r="B15" i="7" s="1"/>
  <c r="K15" i="7"/>
  <c r="O15" i="7"/>
  <c r="N15" i="7" s="1"/>
  <c r="P15" i="7"/>
  <c r="Q15" i="7"/>
  <c r="D16" i="7"/>
  <c r="B16" i="7" s="1"/>
  <c r="K16" i="7"/>
  <c r="O16" i="7"/>
  <c r="N16" i="7" s="1"/>
  <c r="P16" i="7"/>
  <c r="Q16" i="7"/>
  <c r="D17" i="7"/>
  <c r="B17" i="7" s="1"/>
  <c r="K17" i="7"/>
  <c r="O17" i="7"/>
  <c r="N17" i="7" s="1"/>
  <c r="P17" i="7"/>
  <c r="Q17" i="7"/>
  <c r="D18" i="7"/>
  <c r="B18" i="7" s="1"/>
  <c r="K18" i="7"/>
  <c r="O18" i="7"/>
  <c r="N18" i="7" s="1"/>
  <c r="P18" i="7"/>
  <c r="Q18" i="7"/>
  <c r="D19" i="7"/>
  <c r="B19" i="7" s="1"/>
  <c r="K19" i="7"/>
  <c r="O19" i="7"/>
  <c r="N19" i="7" s="1"/>
  <c r="P19" i="7"/>
  <c r="Q19" i="7"/>
  <c r="D20" i="7"/>
  <c r="B20" i="7" s="1"/>
  <c r="K20" i="7"/>
  <c r="O20" i="7"/>
  <c r="N20" i="7" s="1"/>
  <c r="P20" i="7"/>
  <c r="Q20" i="7"/>
  <c r="D21" i="7"/>
  <c r="B21" i="7" s="1"/>
  <c r="P21" i="7"/>
  <c r="D22" i="7"/>
  <c r="B22" i="7" s="1"/>
  <c r="B23" i="7"/>
  <c r="C23" i="7" s="1"/>
  <c r="D23" i="7"/>
  <c r="F23" i="7"/>
  <c r="D24" i="7"/>
  <c r="D25" i="7"/>
  <c r="B25" i="7" s="1"/>
  <c r="K25" i="7"/>
  <c r="O25" i="7"/>
  <c r="N25" i="7" s="1"/>
  <c r="P25" i="7"/>
  <c r="Q25" i="7"/>
  <c r="Q32" i="7" s="1"/>
  <c r="D26" i="7"/>
  <c r="B26" i="7" s="1"/>
  <c r="K26" i="7"/>
  <c r="O26" i="7"/>
  <c r="N26" i="7" s="1"/>
  <c r="P26" i="7"/>
  <c r="Q26" i="7"/>
  <c r="D27" i="7"/>
  <c r="B27" i="7" s="1"/>
  <c r="K27" i="7"/>
  <c r="O27" i="7"/>
  <c r="N27" i="7" s="1"/>
  <c r="P27" i="7"/>
  <c r="Q27" i="7"/>
  <c r="D28" i="7"/>
  <c r="B28" i="7" s="1"/>
  <c r="K28" i="7"/>
  <c r="O28" i="7"/>
  <c r="N28" i="7" s="1"/>
  <c r="P28" i="7"/>
  <c r="Q28" i="7"/>
  <c r="D29" i="7"/>
  <c r="B29" i="7" s="1"/>
  <c r="K29" i="7"/>
  <c r="O29" i="7"/>
  <c r="N29" i="7" s="1"/>
  <c r="P29" i="7"/>
  <c r="Q29" i="7"/>
  <c r="D30" i="7"/>
  <c r="B30" i="7" s="1"/>
  <c r="K30" i="7"/>
  <c r="O30" i="7"/>
  <c r="N30" i="7" s="1"/>
  <c r="P30" i="7"/>
  <c r="Q30" i="7"/>
  <c r="E31" i="7"/>
  <c r="O48" i="7" s="1"/>
  <c r="K31" i="7"/>
  <c r="O31" i="7"/>
  <c r="P31" i="7"/>
  <c r="P32" i="7" s="1"/>
  <c r="Q31" i="7"/>
  <c r="B32" i="7"/>
  <c r="C32" i="7" s="1"/>
  <c r="D32" i="7"/>
  <c r="O32" i="7"/>
  <c r="D33" i="7"/>
  <c r="B33" i="7" s="1"/>
  <c r="B34" i="7"/>
  <c r="C34" i="7" s="1"/>
  <c r="D34" i="7"/>
  <c r="D35" i="7"/>
  <c r="D36" i="7"/>
  <c r="B36" i="7" s="1"/>
  <c r="K36" i="7"/>
  <c r="O36" i="7"/>
  <c r="N36" i="7" s="1"/>
  <c r="P36" i="7"/>
  <c r="Q36" i="7"/>
  <c r="Q43" i="7" s="1"/>
  <c r="E37" i="7"/>
  <c r="F37" i="7"/>
  <c r="G37" i="7"/>
  <c r="H37" i="7"/>
  <c r="K37" i="7"/>
  <c r="O37" i="7"/>
  <c r="P37" i="7"/>
  <c r="N37" i="7" s="1"/>
  <c r="Q37" i="7"/>
  <c r="K38" i="7"/>
  <c r="O38" i="7"/>
  <c r="N38" i="7" s="1"/>
  <c r="P38" i="7"/>
  <c r="Q38" i="7"/>
  <c r="K39" i="7"/>
  <c r="O39" i="7"/>
  <c r="P39" i="7"/>
  <c r="P43" i="7" s="1"/>
  <c r="Q39" i="7"/>
  <c r="K40" i="7"/>
  <c r="O40" i="7"/>
  <c r="N40" i="7" s="1"/>
  <c r="P40" i="7"/>
  <c r="Q40" i="7"/>
  <c r="K41" i="7"/>
  <c r="O41" i="7"/>
  <c r="P41" i="7"/>
  <c r="N41" i="7" s="1"/>
  <c r="Q41" i="7"/>
  <c r="K42" i="7"/>
  <c r="N42" i="7"/>
  <c r="L42" i="7" s="1"/>
  <c r="M42" i="7" s="1"/>
  <c r="O42" i="7"/>
  <c r="P42" i="7"/>
  <c r="Q42" i="7"/>
  <c r="O43" i="7"/>
  <c r="K47" i="7"/>
  <c r="O47" i="7"/>
  <c r="N47" i="7" s="1"/>
  <c r="P47" i="7"/>
  <c r="Q47" i="7"/>
  <c r="K48" i="7"/>
  <c r="P48" i="7"/>
  <c r="P54" i="7" s="1"/>
  <c r="Q48" i="7"/>
  <c r="Q54" i="7" s="1"/>
  <c r="K49" i="7"/>
  <c r="O49" i="7"/>
  <c r="N49" i="7" s="1"/>
  <c r="P49" i="7"/>
  <c r="Q49" i="7"/>
  <c r="K50" i="7"/>
  <c r="O50" i="7"/>
  <c r="P50" i="7"/>
  <c r="N50" i="7" s="1"/>
  <c r="Q50" i="7"/>
  <c r="K51" i="7"/>
  <c r="O51" i="7"/>
  <c r="N51" i="7" s="1"/>
  <c r="P51" i="7"/>
  <c r="Q51" i="7"/>
  <c r="K52" i="7"/>
  <c r="O52" i="7"/>
  <c r="P52" i="7"/>
  <c r="N52" i="7" s="1"/>
  <c r="Q52" i="7"/>
  <c r="K53" i="7"/>
  <c r="N53" i="7"/>
  <c r="L53" i="7" s="1"/>
  <c r="M53" i="7" s="1"/>
  <c r="O53" i="7"/>
  <c r="P53" i="7"/>
  <c r="Q53" i="7"/>
  <c r="K59" i="7"/>
  <c r="D2" i="6"/>
  <c r="B2" i="6" s="1"/>
  <c r="D3" i="6"/>
  <c r="I3" i="6" s="1"/>
  <c r="K3" i="6"/>
  <c r="O3" i="6"/>
  <c r="P3" i="6"/>
  <c r="P10" i="6" s="1"/>
  <c r="Q3" i="6"/>
  <c r="Q10" i="6" s="1"/>
  <c r="B4" i="6"/>
  <c r="C4" i="6" s="1"/>
  <c r="D4" i="6"/>
  <c r="K4" i="6"/>
  <c r="L4" i="6"/>
  <c r="N4" i="6"/>
  <c r="M4" i="6" s="1"/>
  <c r="O4" i="6"/>
  <c r="P4" i="6"/>
  <c r="Q4" i="6"/>
  <c r="D5" i="6"/>
  <c r="I22" i="6" s="1"/>
  <c r="E5" i="6"/>
  <c r="K5" i="6"/>
  <c r="O5" i="6"/>
  <c r="O10" i="6" s="1"/>
  <c r="P5" i="6"/>
  <c r="Q5" i="6"/>
  <c r="B6" i="6"/>
  <c r="D6" i="6"/>
  <c r="C6" i="6" s="1"/>
  <c r="K6" i="6"/>
  <c r="N6" i="6"/>
  <c r="L6" i="6" s="1"/>
  <c r="M6" i="6" s="1"/>
  <c r="O6" i="6"/>
  <c r="P6" i="6"/>
  <c r="Q6" i="6"/>
  <c r="D7" i="6"/>
  <c r="B7" i="6" s="1"/>
  <c r="K7" i="6"/>
  <c r="O7" i="6"/>
  <c r="N7" i="6" s="1"/>
  <c r="P7" i="6"/>
  <c r="Q7" i="6"/>
  <c r="B8" i="6"/>
  <c r="D8" i="6"/>
  <c r="C8" i="6" s="1"/>
  <c r="K8" i="6"/>
  <c r="N8" i="6"/>
  <c r="L8" i="6" s="1"/>
  <c r="O8" i="6"/>
  <c r="P8" i="6"/>
  <c r="Q8" i="6"/>
  <c r="D9" i="6"/>
  <c r="B9" i="6" s="1"/>
  <c r="K9" i="6"/>
  <c r="O9" i="6"/>
  <c r="N9" i="6" s="1"/>
  <c r="P9" i="6"/>
  <c r="Q9" i="6"/>
  <c r="B10" i="6"/>
  <c r="D10" i="6"/>
  <c r="C10" i="6" s="1"/>
  <c r="D11" i="6"/>
  <c r="B11" i="6" s="1"/>
  <c r="D12" i="6"/>
  <c r="B12" i="6" s="1"/>
  <c r="D13" i="6"/>
  <c r="B13" i="6" s="1"/>
  <c r="D14" i="6"/>
  <c r="B14" i="6" s="1"/>
  <c r="K14" i="6"/>
  <c r="O14" i="6"/>
  <c r="P14" i="6"/>
  <c r="P21" i="6" s="1"/>
  <c r="Q14" i="6"/>
  <c r="Q21" i="6" s="1"/>
  <c r="B15" i="6"/>
  <c r="H15" i="6" s="1"/>
  <c r="C15" i="6"/>
  <c r="D15" i="6"/>
  <c r="K15" i="6"/>
  <c r="O15" i="6"/>
  <c r="N15" i="6" s="1"/>
  <c r="P15" i="6"/>
  <c r="Q15" i="6"/>
  <c r="D16" i="6"/>
  <c r="B16" i="6" s="1"/>
  <c r="E16" i="6"/>
  <c r="K16" i="6"/>
  <c r="O16" i="6"/>
  <c r="O21" i="6" s="1"/>
  <c r="P16" i="6"/>
  <c r="Q16" i="6"/>
  <c r="B17" i="6"/>
  <c r="H17" i="6" s="1"/>
  <c r="D17" i="6"/>
  <c r="C17" i="6" s="1"/>
  <c r="K17" i="6"/>
  <c r="N17" i="6"/>
  <c r="L17" i="6" s="1"/>
  <c r="M17" i="6" s="1"/>
  <c r="O17" i="6"/>
  <c r="P17" i="6"/>
  <c r="Q17" i="6"/>
  <c r="D18" i="6"/>
  <c r="B18" i="6" s="1"/>
  <c r="K18" i="6"/>
  <c r="O18" i="6"/>
  <c r="N18" i="6" s="1"/>
  <c r="P18" i="6"/>
  <c r="Q18" i="6"/>
  <c r="B19" i="6"/>
  <c r="D19" i="6"/>
  <c r="C19" i="6" s="1"/>
  <c r="K19" i="6"/>
  <c r="N19" i="6"/>
  <c r="L19" i="6" s="1"/>
  <c r="O19" i="6"/>
  <c r="P19" i="6"/>
  <c r="Q19" i="6"/>
  <c r="D20" i="6"/>
  <c r="B20" i="6" s="1"/>
  <c r="K20" i="6"/>
  <c r="O20" i="6"/>
  <c r="N20" i="6" s="1"/>
  <c r="P20" i="6"/>
  <c r="Q20" i="6"/>
  <c r="B21" i="6"/>
  <c r="H21" i="6" s="1"/>
  <c r="D21" i="6"/>
  <c r="C21" i="6" s="1"/>
  <c r="D22" i="6"/>
  <c r="B22" i="6" s="1"/>
  <c r="D23" i="6"/>
  <c r="B23" i="6" s="1"/>
  <c r="I23" i="6"/>
  <c r="D24" i="6"/>
  <c r="B24" i="6" s="1"/>
  <c r="D25" i="6"/>
  <c r="B25" i="6" s="1"/>
  <c r="K25" i="6"/>
  <c r="O25" i="6"/>
  <c r="P25" i="6"/>
  <c r="P32" i="6" s="1"/>
  <c r="Q25" i="6"/>
  <c r="Q32" i="6" s="1"/>
  <c r="B26" i="6"/>
  <c r="H26" i="6" s="1"/>
  <c r="C26" i="6"/>
  <c r="D26" i="6"/>
  <c r="K26" i="6"/>
  <c r="O26" i="6"/>
  <c r="N26" i="6" s="1"/>
  <c r="P26" i="6"/>
  <c r="Q26" i="6"/>
  <c r="D27" i="6"/>
  <c r="B27" i="6" s="1"/>
  <c r="K27" i="6"/>
  <c r="O27" i="6"/>
  <c r="P27" i="6"/>
  <c r="N27" i="6" s="1"/>
  <c r="Q27" i="6"/>
  <c r="E28" i="6"/>
  <c r="D28" i="6" s="1"/>
  <c r="K28" i="6"/>
  <c r="N28" i="6"/>
  <c r="L28" i="6" s="1"/>
  <c r="O28" i="6"/>
  <c r="P28" i="6"/>
  <c r="Q28" i="6"/>
  <c r="D29" i="6"/>
  <c r="B29" i="6" s="1"/>
  <c r="K29" i="6"/>
  <c r="O29" i="6"/>
  <c r="O32" i="6" s="1"/>
  <c r="P29" i="6"/>
  <c r="Q29" i="6"/>
  <c r="B30" i="6"/>
  <c r="D30" i="6"/>
  <c r="C30" i="6" s="1"/>
  <c r="K30" i="6"/>
  <c r="N30" i="6"/>
  <c r="L30" i="6" s="1"/>
  <c r="O30" i="6"/>
  <c r="P30" i="6"/>
  <c r="Q30" i="6"/>
  <c r="D31" i="6"/>
  <c r="B31" i="6" s="1"/>
  <c r="K31" i="6"/>
  <c r="O31" i="6"/>
  <c r="N31" i="6" s="1"/>
  <c r="P31" i="6"/>
  <c r="Q31" i="6"/>
  <c r="B32" i="6"/>
  <c r="H32" i="6" s="1"/>
  <c r="D32" i="6"/>
  <c r="C32" i="6" s="1"/>
  <c r="D33" i="6"/>
  <c r="B33" i="6" s="1"/>
  <c r="D34" i="6"/>
  <c r="B34" i="6" s="1"/>
  <c r="D35" i="6"/>
  <c r="B35" i="6" s="1"/>
  <c r="D36" i="6"/>
  <c r="B36" i="6" s="1"/>
  <c r="K36" i="6"/>
  <c r="O36" i="6"/>
  <c r="P36" i="6"/>
  <c r="P43" i="6" s="1"/>
  <c r="Q36" i="6"/>
  <c r="B37" i="6"/>
  <c r="H37" i="6" s="1"/>
  <c r="C37" i="6"/>
  <c r="D37" i="6"/>
  <c r="K37" i="6"/>
  <c r="O37" i="6"/>
  <c r="N37" i="6" s="1"/>
  <c r="P37" i="6"/>
  <c r="Q37" i="6"/>
  <c r="E38" i="6"/>
  <c r="F38" i="6"/>
  <c r="G38" i="6"/>
  <c r="H38" i="6"/>
  <c r="K38" i="6"/>
  <c r="O38" i="6"/>
  <c r="N38" i="6" s="1"/>
  <c r="P38" i="6"/>
  <c r="Q38" i="6"/>
  <c r="K39" i="6"/>
  <c r="O39" i="6"/>
  <c r="N39" i="6" s="1"/>
  <c r="P39" i="6"/>
  <c r="Q39" i="6"/>
  <c r="K40" i="6"/>
  <c r="N40" i="6"/>
  <c r="L40" i="6" s="1"/>
  <c r="O40" i="6"/>
  <c r="P40" i="6"/>
  <c r="Q40" i="6"/>
  <c r="K41" i="6"/>
  <c r="O41" i="6"/>
  <c r="N41" i="6" s="1"/>
  <c r="P41" i="6"/>
  <c r="Q41" i="6"/>
  <c r="K42" i="6"/>
  <c r="O42" i="6"/>
  <c r="N42" i="6" s="1"/>
  <c r="P42" i="6"/>
  <c r="Q42" i="6"/>
  <c r="O43" i="6"/>
  <c r="Q43" i="6"/>
  <c r="K47" i="6"/>
  <c r="O47" i="6"/>
  <c r="N47" i="6" s="1"/>
  <c r="P47" i="6"/>
  <c r="Q47" i="6"/>
  <c r="K48" i="6"/>
  <c r="O48" i="6"/>
  <c r="P48" i="6"/>
  <c r="P54" i="6" s="1"/>
  <c r="Q48" i="6"/>
  <c r="K49" i="6"/>
  <c r="O49" i="6"/>
  <c r="N49" i="6" s="1"/>
  <c r="P49" i="6"/>
  <c r="Q49" i="6"/>
  <c r="Q54" i="6" s="1"/>
  <c r="K50" i="6"/>
  <c r="O50" i="6"/>
  <c r="N50" i="6" s="1"/>
  <c r="P50" i="6"/>
  <c r="Q50" i="6"/>
  <c r="K51" i="6"/>
  <c r="N51" i="6"/>
  <c r="L51" i="6" s="1"/>
  <c r="O51" i="6"/>
  <c r="P51" i="6"/>
  <c r="Q51" i="6"/>
  <c r="K52" i="6"/>
  <c r="O52" i="6"/>
  <c r="N52" i="6" s="1"/>
  <c r="P52" i="6"/>
  <c r="Q52" i="6"/>
  <c r="K53" i="6"/>
  <c r="O53" i="6"/>
  <c r="N53" i="6" s="1"/>
  <c r="P53" i="6"/>
  <c r="Q53" i="6"/>
  <c r="O54" i="6"/>
  <c r="D2" i="5"/>
  <c r="B2" i="5" s="1"/>
  <c r="I2" i="5"/>
  <c r="D3" i="5"/>
  <c r="I11" i="5" s="1"/>
  <c r="K3" i="5"/>
  <c r="O3" i="5"/>
  <c r="O10" i="5" s="1"/>
  <c r="P3" i="5"/>
  <c r="P10" i="5" s="1"/>
  <c r="Q3" i="5"/>
  <c r="D4" i="5"/>
  <c r="B4" i="5" s="1"/>
  <c r="K4" i="5"/>
  <c r="O4" i="5"/>
  <c r="P4" i="5"/>
  <c r="N4" i="5" s="1"/>
  <c r="Q4" i="5"/>
  <c r="D5" i="5"/>
  <c r="K5" i="5"/>
  <c r="O5" i="5"/>
  <c r="N5" i="5" s="1"/>
  <c r="P5" i="5"/>
  <c r="Q5" i="5"/>
  <c r="D6" i="5"/>
  <c r="B6" i="5" s="1"/>
  <c r="K6" i="5"/>
  <c r="O6" i="5"/>
  <c r="P6" i="5"/>
  <c r="N6" i="5" s="1"/>
  <c r="Q6" i="5"/>
  <c r="D7" i="5"/>
  <c r="K7" i="5"/>
  <c r="O7" i="5"/>
  <c r="N7" i="5" s="1"/>
  <c r="P7" i="5"/>
  <c r="Q7" i="5"/>
  <c r="D8" i="5"/>
  <c r="B8" i="5" s="1"/>
  <c r="K8" i="5"/>
  <c r="O8" i="5"/>
  <c r="P8" i="5"/>
  <c r="N8" i="5" s="1"/>
  <c r="Q8" i="5"/>
  <c r="D9" i="5"/>
  <c r="K9" i="5"/>
  <c r="O9" i="5"/>
  <c r="N9" i="5" s="1"/>
  <c r="P9" i="5"/>
  <c r="Q9" i="5"/>
  <c r="D10" i="5"/>
  <c r="B10" i="5" s="1"/>
  <c r="Q10" i="5"/>
  <c r="D11" i="5"/>
  <c r="B11" i="5" s="1"/>
  <c r="D12" i="5"/>
  <c r="B12" i="5" s="1"/>
  <c r="B13" i="5"/>
  <c r="D13" i="5"/>
  <c r="C13" i="5" s="1"/>
  <c r="F14" i="5"/>
  <c r="F33" i="5" s="1"/>
  <c r="K14" i="5"/>
  <c r="O14" i="5"/>
  <c r="O21" i="5" s="1"/>
  <c r="P14" i="5"/>
  <c r="P21" i="5" s="1"/>
  <c r="Q14" i="5"/>
  <c r="D15" i="5"/>
  <c r="B15" i="5" s="1"/>
  <c r="K15" i="5"/>
  <c r="O15" i="5"/>
  <c r="N15" i="5" s="1"/>
  <c r="P15" i="5"/>
  <c r="Q15" i="5"/>
  <c r="D16" i="5"/>
  <c r="K16" i="5"/>
  <c r="O16" i="5"/>
  <c r="N16" i="5" s="1"/>
  <c r="P16" i="5"/>
  <c r="Q16" i="5"/>
  <c r="D17" i="5"/>
  <c r="B17" i="5" s="1"/>
  <c r="K17" i="5"/>
  <c r="O17" i="5"/>
  <c r="N17" i="5" s="1"/>
  <c r="P17" i="5"/>
  <c r="Q17" i="5"/>
  <c r="D18" i="5"/>
  <c r="K18" i="5"/>
  <c r="O18" i="5"/>
  <c r="N18" i="5" s="1"/>
  <c r="P18" i="5"/>
  <c r="Q18" i="5"/>
  <c r="D19" i="5"/>
  <c r="B19" i="5" s="1"/>
  <c r="K19" i="5"/>
  <c r="O19" i="5"/>
  <c r="N19" i="5" s="1"/>
  <c r="P19" i="5"/>
  <c r="Q19" i="5"/>
  <c r="D20" i="5"/>
  <c r="K20" i="5"/>
  <c r="O20" i="5"/>
  <c r="N20" i="5" s="1"/>
  <c r="P20" i="5"/>
  <c r="Q20" i="5"/>
  <c r="D21" i="5"/>
  <c r="B21" i="5" s="1"/>
  <c r="Q21" i="5"/>
  <c r="D22" i="5"/>
  <c r="B22" i="5" s="1"/>
  <c r="D23" i="5"/>
  <c r="B23" i="5" s="1"/>
  <c r="B24" i="5"/>
  <c r="D24" i="5"/>
  <c r="C24" i="5" s="1"/>
  <c r="D25" i="5"/>
  <c r="B25" i="5" s="1"/>
  <c r="K25" i="5"/>
  <c r="O25" i="5"/>
  <c r="O32" i="5" s="1"/>
  <c r="P25" i="5"/>
  <c r="P32" i="5" s="1"/>
  <c r="Q25" i="5"/>
  <c r="Q32" i="5" s="1"/>
  <c r="D26" i="5"/>
  <c r="B26" i="5" s="1"/>
  <c r="K26" i="5"/>
  <c r="O26" i="5"/>
  <c r="N26" i="5" s="1"/>
  <c r="P26" i="5"/>
  <c r="Q26" i="5"/>
  <c r="D27" i="5"/>
  <c r="B27" i="5" s="1"/>
  <c r="K27" i="5"/>
  <c r="O27" i="5"/>
  <c r="N27" i="5" s="1"/>
  <c r="P27" i="5"/>
  <c r="Q27" i="5"/>
  <c r="D28" i="5"/>
  <c r="B28" i="5" s="1"/>
  <c r="K28" i="5"/>
  <c r="O28" i="5"/>
  <c r="N28" i="5" s="1"/>
  <c r="P28" i="5"/>
  <c r="Q28" i="5"/>
  <c r="D29" i="5"/>
  <c r="B29" i="5" s="1"/>
  <c r="K29" i="5"/>
  <c r="O29" i="5"/>
  <c r="N29" i="5" s="1"/>
  <c r="P29" i="5"/>
  <c r="Q29" i="5"/>
  <c r="D30" i="5"/>
  <c r="B30" i="5" s="1"/>
  <c r="K30" i="5"/>
  <c r="O30" i="5"/>
  <c r="N30" i="5" s="1"/>
  <c r="P30" i="5"/>
  <c r="Q30" i="5"/>
  <c r="D31" i="5"/>
  <c r="B31" i="5" s="1"/>
  <c r="K31" i="5"/>
  <c r="O31" i="5"/>
  <c r="N31" i="5" s="1"/>
  <c r="P31" i="5"/>
  <c r="Q31" i="5"/>
  <c r="E32" i="5"/>
  <c r="D32" i="5" s="1"/>
  <c r="E33" i="5"/>
  <c r="G33" i="5"/>
  <c r="H33" i="5"/>
  <c r="K36" i="5"/>
  <c r="O36" i="5"/>
  <c r="N36" i="5" s="1"/>
  <c r="P36" i="5"/>
  <c r="Q36" i="5"/>
  <c r="K37" i="5"/>
  <c r="O37" i="5"/>
  <c r="P37" i="5"/>
  <c r="N37" i="5" s="1"/>
  <c r="Q37" i="5"/>
  <c r="K38" i="5"/>
  <c r="O38" i="5"/>
  <c r="N38" i="5" s="1"/>
  <c r="P38" i="5"/>
  <c r="Q38" i="5"/>
  <c r="K39" i="5"/>
  <c r="O39" i="5"/>
  <c r="P39" i="5"/>
  <c r="N39" i="5" s="1"/>
  <c r="Q39" i="5"/>
  <c r="K40" i="5"/>
  <c r="O40" i="5"/>
  <c r="N40" i="5" s="1"/>
  <c r="P40" i="5"/>
  <c r="Q40" i="5"/>
  <c r="K41" i="5"/>
  <c r="N41" i="5"/>
  <c r="O41" i="5"/>
  <c r="P41" i="5"/>
  <c r="Q41" i="5"/>
  <c r="K42" i="5"/>
  <c r="O42" i="5"/>
  <c r="N42" i="5" s="1"/>
  <c r="P42" i="5"/>
  <c r="Q42" i="5"/>
  <c r="P43" i="5"/>
  <c r="Q43" i="5"/>
  <c r="D2" i="4"/>
  <c r="B2" i="4" s="1"/>
  <c r="I2" i="4"/>
  <c r="B3" i="4"/>
  <c r="D3" i="4"/>
  <c r="K3" i="4"/>
  <c r="N3" i="4"/>
  <c r="O3" i="4"/>
  <c r="O10" i="4" s="1"/>
  <c r="P3" i="4"/>
  <c r="P10" i="4" s="1"/>
  <c r="Q3" i="4"/>
  <c r="D4" i="4"/>
  <c r="B4" i="4" s="1"/>
  <c r="I4" i="4"/>
  <c r="K4" i="4"/>
  <c r="O4" i="4"/>
  <c r="N4" i="4" s="1"/>
  <c r="P4" i="4"/>
  <c r="Q4" i="4"/>
  <c r="Q10" i="4" s="1"/>
  <c r="B5" i="4"/>
  <c r="D5" i="4"/>
  <c r="C5" i="4" s="1"/>
  <c r="K5" i="4"/>
  <c r="N5" i="4"/>
  <c r="L5" i="4" s="1"/>
  <c r="O5" i="4"/>
  <c r="P5" i="4"/>
  <c r="Q5" i="4"/>
  <c r="D6" i="4"/>
  <c r="B6" i="4" s="1"/>
  <c r="I6" i="4"/>
  <c r="K6" i="4"/>
  <c r="O6" i="4"/>
  <c r="N6" i="4" s="1"/>
  <c r="P6" i="4"/>
  <c r="Q6" i="4"/>
  <c r="B7" i="4"/>
  <c r="D7" i="4"/>
  <c r="C7" i="4" s="1"/>
  <c r="K7" i="4"/>
  <c r="N7" i="4"/>
  <c r="L7" i="4" s="1"/>
  <c r="O7" i="4"/>
  <c r="P7" i="4"/>
  <c r="Q7" i="4"/>
  <c r="D8" i="4"/>
  <c r="B8" i="4" s="1"/>
  <c r="I8" i="4"/>
  <c r="K8" i="4"/>
  <c r="O8" i="4"/>
  <c r="N8" i="4" s="1"/>
  <c r="P8" i="4"/>
  <c r="Q8" i="4"/>
  <c r="B9" i="4"/>
  <c r="H9" i="4" s="1"/>
  <c r="D9" i="4"/>
  <c r="C9" i="4" s="1"/>
  <c r="K9" i="4"/>
  <c r="N9" i="4"/>
  <c r="L9" i="4" s="1"/>
  <c r="O9" i="4"/>
  <c r="P9" i="4"/>
  <c r="Q9" i="4"/>
  <c r="D10" i="4"/>
  <c r="B10" i="4" s="1"/>
  <c r="I10" i="4"/>
  <c r="B11" i="4"/>
  <c r="H11" i="4" s="1"/>
  <c r="C11" i="4"/>
  <c r="D11" i="4"/>
  <c r="D12" i="4"/>
  <c r="B12" i="4" s="1"/>
  <c r="B13" i="4"/>
  <c r="H13" i="4" s="1"/>
  <c r="D13" i="4"/>
  <c r="C13" i="4" s="1"/>
  <c r="B14" i="4"/>
  <c r="C14" i="4"/>
  <c r="H14" i="4" s="1"/>
  <c r="D14" i="4"/>
  <c r="K14" i="4"/>
  <c r="O14" i="4"/>
  <c r="O21" i="4" s="1"/>
  <c r="P14" i="4"/>
  <c r="Q14" i="4"/>
  <c r="Q21" i="4" s="1"/>
  <c r="D15" i="4"/>
  <c r="B15" i="4" s="1"/>
  <c r="I15" i="4"/>
  <c r="K15" i="4"/>
  <c r="O15" i="4"/>
  <c r="N15" i="4" s="1"/>
  <c r="P15" i="4"/>
  <c r="Q15" i="4"/>
  <c r="E16" i="4"/>
  <c r="D16" i="4" s="1"/>
  <c r="K16" i="4"/>
  <c r="N16" i="4"/>
  <c r="O16" i="4"/>
  <c r="P16" i="4"/>
  <c r="P21" i="4" s="1"/>
  <c r="Q16" i="4"/>
  <c r="D17" i="4"/>
  <c r="B17" i="4" s="1"/>
  <c r="K17" i="4"/>
  <c r="O17" i="4"/>
  <c r="N17" i="4" s="1"/>
  <c r="P17" i="4"/>
  <c r="Q17" i="4"/>
  <c r="B18" i="4"/>
  <c r="D18" i="4"/>
  <c r="C18" i="4" s="1"/>
  <c r="K18" i="4"/>
  <c r="N18" i="4"/>
  <c r="O18" i="4"/>
  <c r="P18" i="4"/>
  <c r="Q18" i="4"/>
  <c r="D19" i="4"/>
  <c r="B19" i="4" s="1"/>
  <c r="K19" i="4"/>
  <c r="O19" i="4"/>
  <c r="N19" i="4" s="1"/>
  <c r="P19" i="4"/>
  <c r="Q19" i="4"/>
  <c r="B20" i="4"/>
  <c r="D20" i="4"/>
  <c r="C20" i="4" s="1"/>
  <c r="K20" i="4"/>
  <c r="N20" i="4"/>
  <c r="O20" i="4"/>
  <c r="P20" i="4"/>
  <c r="Q20" i="4"/>
  <c r="D21" i="4"/>
  <c r="B21" i="4" s="1"/>
  <c r="B22" i="4"/>
  <c r="C22" i="4"/>
  <c r="H22" i="4" s="1"/>
  <c r="D22" i="4"/>
  <c r="D23" i="4"/>
  <c r="B23" i="4" s="1"/>
  <c r="E24" i="4"/>
  <c r="D24" i="4" s="1"/>
  <c r="B25" i="4"/>
  <c r="H25" i="4" s="1"/>
  <c r="D25" i="4"/>
  <c r="C25" i="4" s="1"/>
  <c r="F25" i="4"/>
  <c r="K25" i="4"/>
  <c r="O25" i="4"/>
  <c r="O32" i="4" s="1"/>
  <c r="P25" i="4"/>
  <c r="Q25" i="4"/>
  <c r="D26" i="4"/>
  <c r="B26" i="4" s="1"/>
  <c r="K26" i="4"/>
  <c r="O26" i="4"/>
  <c r="P26" i="4"/>
  <c r="N26" i="4" s="1"/>
  <c r="Q26" i="4"/>
  <c r="Q32" i="4" s="1"/>
  <c r="B27" i="4"/>
  <c r="H27" i="4" s="1"/>
  <c r="C27" i="4"/>
  <c r="D27" i="4"/>
  <c r="K27" i="4"/>
  <c r="O27" i="4"/>
  <c r="N27" i="4" s="1"/>
  <c r="P27" i="4"/>
  <c r="Q27" i="4"/>
  <c r="D28" i="4"/>
  <c r="B28" i="4" s="1"/>
  <c r="K28" i="4"/>
  <c r="O28" i="4"/>
  <c r="P28" i="4"/>
  <c r="N28" i="4" s="1"/>
  <c r="Q28" i="4"/>
  <c r="B29" i="4"/>
  <c r="H29" i="4" s="1"/>
  <c r="C29" i="4"/>
  <c r="D29" i="4"/>
  <c r="K29" i="4"/>
  <c r="O29" i="4"/>
  <c r="N29" i="4" s="1"/>
  <c r="P29" i="4"/>
  <c r="Q29" i="4"/>
  <c r="D30" i="4"/>
  <c r="B30" i="4" s="1"/>
  <c r="K30" i="4"/>
  <c r="O30" i="4"/>
  <c r="P30" i="4"/>
  <c r="N30" i="4" s="1"/>
  <c r="Q30" i="4"/>
  <c r="B31" i="4"/>
  <c r="H31" i="4" s="1"/>
  <c r="C31" i="4"/>
  <c r="D31" i="4"/>
  <c r="K31" i="4"/>
  <c r="O31" i="4"/>
  <c r="N31" i="4" s="1"/>
  <c r="P31" i="4"/>
  <c r="Q31" i="4"/>
  <c r="D32" i="4"/>
  <c r="B32" i="4" s="1"/>
  <c r="B33" i="4"/>
  <c r="D33" i="4"/>
  <c r="C33" i="4" s="1"/>
  <c r="D34" i="4"/>
  <c r="B34" i="4" s="1"/>
  <c r="D35" i="4"/>
  <c r="B35" i="4" s="1"/>
  <c r="B36" i="4"/>
  <c r="H36" i="4" s="1"/>
  <c r="D36" i="4"/>
  <c r="C36" i="4" s="1"/>
  <c r="K36" i="4"/>
  <c r="N36" i="4"/>
  <c r="O36" i="4"/>
  <c r="P36" i="4"/>
  <c r="P43" i="4" s="1"/>
  <c r="Q36" i="4"/>
  <c r="E37" i="4"/>
  <c r="F37" i="4"/>
  <c r="G37" i="4"/>
  <c r="H37" i="4"/>
  <c r="K37" i="4"/>
  <c r="O37" i="4"/>
  <c r="N37" i="4" s="1"/>
  <c r="P37" i="4"/>
  <c r="Q37" i="4"/>
  <c r="Q43" i="4" s="1"/>
  <c r="K38" i="4"/>
  <c r="N38" i="4"/>
  <c r="O38" i="4"/>
  <c r="P38" i="4"/>
  <c r="Q38" i="4"/>
  <c r="K39" i="4"/>
  <c r="O39" i="4"/>
  <c r="N39" i="4" s="1"/>
  <c r="P39" i="4"/>
  <c r="Q39" i="4"/>
  <c r="K40" i="4"/>
  <c r="N40" i="4"/>
  <c r="L40" i="4" s="1"/>
  <c r="O40" i="4"/>
  <c r="P40" i="4"/>
  <c r="Q40" i="4"/>
  <c r="K41" i="4"/>
  <c r="O41" i="4"/>
  <c r="N41" i="4" s="1"/>
  <c r="P41" i="4"/>
  <c r="Q41" i="4"/>
  <c r="K42" i="4"/>
  <c r="O42" i="4"/>
  <c r="N42" i="4" s="1"/>
  <c r="P42" i="4"/>
  <c r="Q42" i="4"/>
  <c r="K47" i="4"/>
  <c r="O47" i="4"/>
  <c r="N47" i="4" s="1"/>
  <c r="P47" i="4"/>
  <c r="Q47" i="4"/>
  <c r="K48" i="4"/>
  <c r="O48" i="4"/>
  <c r="N48" i="4" s="1"/>
  <c r="P48" i="4"/>
  <c r="Q48" i="4"/>
  <c r="K49" i="4"/>
  <c r="L49" i="4"/>
  <c r="N49" i="4"/>
  <c r="M49" i="4" s="1"/>
  <c r="O49" i="4"/>
  <c r="P49" i="4"/>
  <c r="Q49" i="4"/>
  <c r="K50" i="4"/>
  <c r="O50" i="4"/>
  <c r="N50" i="4" s="1"/>
  <c r="P50" i="4"/>
  <c r="Q50" i="4"/>
  <c r="K51" i="4"/>
  <c r="N51" i="4"/>
  <c r="O51" i="4"/>
  <c r="P51" i="4"/>
  <c r="P53" i="4" s="1"/>
  <c r="Q51" i="4"/>
  <c r="K52" i="4"/>
  <c r="O52" i="4"/>
  <c r="N52" i="4" s="1"/>
  <c r="P52" i="4"/>
  <c r="Q52" i="4"/>
  <c r="Q53" i="4"/>
  <c r="B2" i="3"/>
  <c r="H2" i="3" s="1"/>
  <c r="C2" i="3"/>
  <c r="D2" i="3"/>
  <c r="I2" i="3"/>
  <c r="L2" i="3"/>
  <c r="N2" i="3"/>
  <c r="M2" i="3" s="1"/>
  <c r="B3" i="3"/>
  <c r="C3" i="3" s="1"/>
  <c r="D3" i="3"/>
  <c r="I3" i="3"/>
  <c r="K3" i="3"/>
  <c r="O3" i="3"/>
  <c r="N3" i="3" s="1"/>
  <c r="P3" i="3"/>
  <c r="Q3" i="3"/>
  <c r="Q10" i="3" s="1"/>
  <c r="B4" i="3"/>
  <c r="H4" i="3" s="1"/>
  <c r="C4" i="3"/>
  <c r="D4" i="3"/>
  <c r="I4" i="3"/>
  <c r="K4" i="3"/>
  <c r="O4" i="3"/>
  <c r="N4" i="3" s="1"/>
  <c r="P4" i="3"/>
  <c r="Q4" i="3"/>
  <c r="B5" i="3"/>
  <c r="H5" i="3" s="1"/>
  <c r="C5" i="3"/>
  <c r="D5" i="3"/>
  <c r="I5" i="3"/>
  <c r="K5" i="3"/>
  <c r="O5" i="3"/>
  <c r="N5" i="3" s="1"/>
  <c r="P5" i="3"/>
  <c r="Q5" i="3"/>
  <c r="E6" i="3"/>
  <c r="O7" i="3" s="1"/>
  <c r="K6" i="3"/>
  <c r="N6" i="3"/>
  <c r="L6" i="3" s="1"/>
  <c r="O6" i="3"/>
  <c r="P6" i="3"/>
  <c r="Q6" i="3"/>
  <c r="B7" i="3"/>
  <c r="D7" i="3"/>
  <c r="C7" i="3" s="1"/>
  <c r="K7" i="3"/>
  <c r="P7" i="3"/>
  <c r="P10" i="3" s="1"/>
  <c r="Q7" i="3"/>
  <c r="B8" i="3"/>
  <c r="H8" i="3" s="1"/>
  <c r="D8" i="3"/>
  <c r="C8" i="3" s="1"/>
  <c r="K8" i="3"/>
  <c r="N8" i="3"/>
  <c r="L8" i="3" s="1"/>
  <c r="O8" i="3"/>
  <c r="P8" i="3"/>
  <c r="Q8" i="3"/>
  <c r="B9" i="3"/>
  <c r="D9" i="3"/>
  <c r="C9" i="3" s="1"/>
  <c r="K9" i="3"/>
  <c r="N9" i="3"/>
  <c r="O9" i="3"/>
  <c r="P9" i="3"/>
  <c r="Q9" i="3"/>
  <c r="B10" i="3"/>
  <c r="D10" i="3"/>
  <c r="C10" i="3" s="1"/>
  <c r="B11" i="3"/>
  <c r="H11" i="3" s="1"/>
  <c r="C11" i="3"/>
  <c r="D11" i="3"/>
  <c r="D12" i="3"/>
  <c r="B12" i="3" s="1"/>
  <c r="D13" i="3"/>
  <c r="B13" i="3" s="1"/>
  <c r="B14" i="3"/>
  <c r="H14" i="3" s="1"/>
  <c r="C14" i="3"/>
  <c r="D14" i="3"/>
  <c r="K14" i="3"/>
  <c r="O14" i="3"/>
  <c r="N14" i="3" s="1"/>
  <c r="P14" i="3"/>
  <c r="Q14" i="3"/>
  <c r="Q21" i="3" s="1"/>
  <c r="B15" i="3"/>
  <c r="H15" i="3" s="1"/>
  <c r="C15" i="3"/>
  <c r="D15" i="3"/>
  <c r="K15" i="3"/>
  <c r="O15" i="3"/>
  <c r="N15" i="3" s="1"/>
  <c r="P15" i="3"/>
  <c r="Q15" i="3"/>
  <c r="B16" i="3"/>
  <c r="H16" i="3" s="1"/>
  <c r="C16" i="3"/>
  <c r="D16" i="3"/>
  <c r="K16" i="3"/>
  <c r="O16" i="3"/>
  <c r="N16" i="3" s="1"/>
  <c r="P16" i="3"/>
  <c r="Q16" i="3"/>
  <c r="B17" i="3"/>
  <c r="H17" i="3" s="1"/>
  <c r="C17" i="3"/>
  <c r="D17" i="3"/>
  <c r="K17" i="3"/>
  <c r="O17" i="3"/>
  <c r="N17" i="3" s="1"/>
  <c r="P17" i="3"/>
  <c r="Q17" i="3"/>
  <c r="B18" i="3"/>
  <c r="H18" i="3" s="1"/>
  <c r="C18" i="3"/>
  <c r="D18" i="3"/>
  <c r="K18" i="3"/>
  <c r="O18" i="3"/>
  <c r="N18" i="3" s="1"/>
  <c r="P18" i="3"/>
  <c r="Q18" i="3"/>
  <c r="B19" i="3"/>
  <c r="H19" i="3" s="1"/>
  <c r="C19" i="3"/>
  <c r="D19" i="3"/>
  <c r="K19" i="3"/>
  <c r="O19" i="3"/>
  <c r="N19" i="3" s="1"/>
  <c r="P19" i="3"/>
  <c r="Q19" i="3"/>
  <c r="B20" i="3"/>
  <c r="H20" i="3" s="1"/>
  <c r="C20" i="3"/>
  <c r="D20" i="3"/>
  <c r="K20" i="3"/>
  <c r="O20" i="3"/>
  <c r="N20" i="3" s="1"/>
  <c r="P20" i="3"/>
  <c r="Q20" i="3"/>
  <c r="B21" i="3"/>
  <c r="H21" i="3" s="1"/>
  <c r="C21" i="3"/>
  <c r="D21" i="3"/>
  <c r="P21" i="3"/>
  <c r="D22" i="3"/>
  <c r="B23" i="3"/>
  <c r="D23" i="3"/>
  <c r="C23" i="3" s="1"/>
  <c r="D24" i="3"/>
  <c r="B24" i="3" s="1"/>
  <c r="D25" i="3"/>
  <c r="K25" i="3"/>
  <c r="O25" i="3"/>
  <c r="N25" i="3" s="1"/>
  <c r="P25" i="3"/>
  <c r="Q25" i="3"/>
  <c r="D26" i="3"/>
  <c r="B26" i="3" s="1"/>
  <c r="K26" i="3"/>
  <c r="O26" i="3"/>
  <c r="O32" i="3" s="1"/>
  <c r="P26" i="3"/>
  <c r="P32" i="3" s="1"/>
  <c r="Q26" i="3"/>
  <c r="D27" i="3"/>
  <c r="K27" i="3"/>
  <c r="O27" i="3"/>
  <c r="N27" i="3" s="1"/>
  <c r="P27" i="3"/>
  <c r="Q27" i="3"/>
  <c r="D28" i="3"/>
  <c r="B28" i="3" s="1"/>
  <c r="K28" i="3"/>
  <c r="O28" i="3"/>
  <c r="N28" i="3" s="1"/>
  <c r="P28" i="3"/>
  <c r="Q28" i="3"/>
  <c r="D29" i="3"/>
  <c r="K29" i="3"/>
  <c r="O29" i="3"/>
  <c r="N29" i="3" s="1"/>
  <c r="P29" i="3"/>
  <c r="Q29" i="3"/>
  <c r="D30" i="3"/>
  <c r="B30" i="3" s="1"/>
  <c r="K30" i="3"/>
  <c r="O30" i="3"/>
  <c r="N30" i="3" s="1"/>
  <c r="P30" i="3"/>
  <c r="Q30" i="3"/>
  <c r="D31" i="3"/>
  <c r="K31" i="3"/>
  <c r="O31" i="3"/>
  <c r="N31" i="3" s="1"/>
  <c r="P31" i="3"/>
  <c r="Q31" i="3"/>
  <c r="D32" i="3"/>
  <c r="B32" i="3" s="1"/>
  <c r="Q32" i="3"/>
  <c r="E33" i="3"/>
  <c r="F33" i="3"/>
  <c r="G33" i="3"/>
  <c r="H33" i="3"/>
  <c r="K36" i="3"/>
  <c r="O36" i="3"/>
  <c r="N36" i="3" s="1"/>
  <c r="P36" i="3"/>
  <c r="Q36" i="3"/>
  <c r="K37" i="3"/>
  <c r="N37" i="3"/>
  <c r="L37" i="3" s="1"/>
  <c r="O37" i="3"/>
  <c r="P37" i="3"/>
  <c r="Q37" i="3"/>
  <c r="K38" i="3"/>
  <c r="O38" i="3"/>
  <c r="N38" i="3" s="1"/>
  <c r="P38" i="3"/>
  <c r="Q38" i="3"/>
  <c r="K39" i="3"/>
  <c r="O39" i="3"/>
  <c r="N39" i="3" s="1"/>
  <c r="P39" i="3"/>
  <c r="P43" i="3" s="1"/>
  <c r="Q39" i="3"/>
  <c r="K40" i="3"/>
  <c r="O40" i="3"/>
  <c r="N40" i="3" s="1"/>
  <c r="P40" i="3"/>
  <c r="Q40" i="3"/>
  <c r="Q43" i="3" s="1"/>
  <c r="K41" i="3"/>
  <c r="N41" i="3"/>
  <c r="O41" i="3"/>
  <c r="P41" i="3"/>
  <c r="Q41" i="3"/>
  <c r="K42" i="3"/>
  <c r="O42" i="3"/>
  <c r="N42" i="3" s="1"/>
  <c r="P42" i="3"/>
  <c r="Q42" i="3"/>
  <c r="C2" i="2"/>
  <c r="D2" i="2"/>
  <c r="B2" i="2" s="1"/>
  <c r="C3" i="2"/>
  <c r="C33" i="2" s="1"/>
  <c r="D3" i="2"/>
  <c r="B3" i="2" s="1"/>
  <c r="H3" i="2" s="1"/>
  <c r="I3" i="2"/>
  <c r="K3" i="2"/>
  <c r="O3" i="2"/>
  <c r="O10" i="2" s="1"/>
  <c r="P3" i="2"/>
  <c r="Q3" i="2"/>
  <c r="B4" i="2"/>
  <c r="H4" i="2" s="1"/>
  <c r="C4" i="2"/>
  <c r="D4" i="2"/>
  <c r="K4" i="2"/>
  <c r="O4" i="2"/>
  <c r="N4" i="2" s="1"/>
  <c r="P4" i="2"/>
  <c r="Q4" i="2"/>
  <c r="C5" i="2"/>
  <c r="D5" i="2"/>
  <c r="B5" i="2" s="1"/>
  <c r="H5" i="2" s="1"/>
  <c r="I5" i="2"/>
  <c r="K5" i="2"/>
  <c r="O5" i="2"/>
  <c r="N5" i="2" s="1"/>
  <c r="P5" i="2"/>
  <c r="Q5" i="2"/>
  <c r="B6" i="2"/>
  <c r="H6" i="2" s="1"/>
  <c r="C6" i="2"/>
  <c r="D6" i="2"/>
  <c r="I13" i="2" s="1"/>
  <c r="K6" i="2"/>
  <c r="N6" i="2"/>
  <c r="O6" i="2"/>
  <c r="P6" i="2"/>
  <c r="Q6" i="2"/>
  <c r="C7" i="2"/>
  <c r="D7" i="2"/>
  <c r="B7" i="2" s="1"/>
  <c r="H7" i="2" s="1"/>
  <c r="I7" i="2"/>
  <c r="K7" i="2"/>
  <c r="O7" i="2"/>
  <c r="N7" i="2" s="1"/>
  <c r="P7" i="2"/>
  <c r="Q7" i="2"/>
  <c r="B8" i="2"/>
  <c r="H8" i="2" s="1"/>
  <c r="C8" i="2"/>
  <c r="D8" i="2"/>
  <c r="I17" i="2" s="1"/>
  <c r="E8" i="2"/>
  <c r="I8" i="2"/>
  <c r="K8" i="2"/>
  <c r="N8" i="2"/>
  <c r="L8" i="2" s="1"/>
  <c r="M8" i="2" s="1"/>
  <c r="O8" i="2"/>
  <c r="P8" i="2"/>
  <c r="Q8" i="2"/>
  <c r="B9" i="2"/>
  <c r="H9" i="2" s="1"/>
  <c r="C9" i="2"/>
  <c r="D9" i="2"/>
  <c r="I9" i="2"/>
  <c r="K9" i="2"/>
  <c r="N9" i="2"/>
  <c r="L9" i="2" s="1"/>
  <c r="O9" i="2"/>
  <c r="P9" i="2"/>
  <c r="Q9" i="2"/>
  <c r="Q10" i="2" s="1"/>
  <c r="B10" i="2"/>
  <c r="H10" i="2" s="1"/>
  <c r="C10" i="2"/>
  <c r="D10" i="2"/>
  <c r="I10" i="2"/>
  <c r="P10" i="2"/>
  <c r="C11" i="2"/>
  <c r="D11" i="2"/>
  <c r="I22" i="2" s="1"/>
  <c r="I11" i="2"/>
  <c r="B12" i="2"/>
  <c r="C12" i="2"/>
  <c r="D12" i="2"/>
  <c r="H12" i="2"/>
  <c r="I12" i="2"/>
  <c r="C13" i="2"/>
  <c r="D13" i="2"/>
  <c r="B13" i="2" s="1"/>
  <c r="H13" i="2" s="1"/>
  <c r="C14" i="2"/>
  <c r="D14" i="2"/>
  <c r="B14" i="2" s="1"/>
  <c r="H14" i="2" s="1"/>
  <c r="K14" i="2"/>
  <c r="O14" i="2"/>
  <c r="O21" i="2" s="1"/>
  <c r="P14" i="2"/>
  <c r="Q14" i="2"/>
  <c r="B15" i="2"/>
  <c r="H15" i="2" s="1"/>
  <c r="C15" i="2"/>
  <c r="D15" i="2"/>
  <c r="K15" i="2"/>
  <c r="O15" i="2"/>
  <c r="N15" i="2" s="1"/>
  <c r="P15" i="2"/>
  <c r="Q15" i="2"/>
  <c r="C16" i="2"/>
  <c r="D16" i="2"/>
  <c r="B16" i="2" s="1"/>
  <c r="H16" i="2" s="1"/>
  <c r="I16" i="2"/>
  <c r="K16" i="2"/>
  <c r="O16" i="2"/>
  <c r="N16" i="2" s="1"/>
  <c r="P16" i="2"/>
  <c r="Q16" i="2"/>
  <c r="B17" i="2"/>
  <c r="H17" i="2" s="1"/>
  <c r="C17" i="2"/>
  <c r="D17" i="2"/>
  <c r="K17" i="2"/>
  <c r="O17" i="2"/>
  <c r="N17" i="2" s="1"/>
  <c r="P17" i="2"/>
  <c r="Q17" i="2"/>
  <c r="C18" i="2"/>
  <c r="D18" i="2"/>
  <c r="B18" i="2" s="1"/>
  <c r="H18" i="2" s="1"/>
  <c r="I18" i="2"/>
  <c r="K18" i="2"/>
  <c r="O18" i="2"/>
  <c r="N18" i="2" s="1"/>
  <c r="P18" i="2"/>
  <c r="Q18" i="2"/>
  <c r="B19" i="2"/>
  <c r="H19" i="2" s="1"/>
  <c r="C19" i="2"/>
  <c r="D19" i="2"/>
  <c r="K19" i="2"/>
  <c r="N19" i="2"/>
  <c r="O19" i="2"/>
  <c r="P19" i="2"/>
  <c r="Q19" i="2"/>
  <c r="C20" i="2"/>
  <c r="D20" i="2"/>
  <c r="B20" i="2" s="1"/>
  <c r="H20" i="2" s="1"/>
  <c r="I20" i="2"/>
  <c r="K20" i="2"/>
  <c r="O20" i="2"/>
  <c r="N20" i="2" s="1"/>
  <c r="P20" i="2"/>
  <c r="Q20" i="2"/>
  <c r="B21" i="2"/>
  <c r="H21" i="2" s="1"/>
  <c r="C21" i="2"/>
  <c r="D21" i="2"/>
  <c r="P21" i="2"/>
  <c r="Q21" i="2"/>
  <c r="C22" i="2"/>
  <c r="D22" i="2"/>
  <c r="I29" i="2" s="1"/>
  <c r="B23" i="2"/>
  <c r="H23" i="2" s="1"/>
  <c r="C23" i="2"/>
  <c r="D23" i="2"/>
  <c r="C24" i="2"/>
  <c r="D24" i="2"/>
  <c r="B24" i="2" s="1"/>
  <c r="H24" i="2" s="1"/>
  <c r="C25" i="2"/>
  <c r="D25" i="2"/>
  <c r="B25" i="2" s="1"/>
  <c r="H25" i="2" s="1"/>
  <c r="K25" i="2"/>
  <c r="O25" i="2"/>
  <c r="N25" i="2" s="1"/>
  <c r="P25" i="2"/>
  <c r="P32" i="2" s="1"/>
  <c r="P48" i="2" s="1"/>
  <c r="Q25" i="2"/>
  <c r="C26" i="2"/>
  <c r="D26" i="2"/>
  <c r="B26" i="2" s="1"/>
  <c r="H26" i="2" s="1"/>
  <c r="K26" i="2"/>
  <c r="O26" i="2"/>
  <c r="N26" i="2" s="1"/>
  <c r="P26" i="2"/>
  <c r="Q26" i="2"/>
  <c r="C27" i="2"/>
  <c r="D27" i="2"/>
  <c r="B27" i="2" s="1"/>
  <c r="H27" i="2" s="1"/>
  <c r="K27" i="2"/>
  <c r="O27" i="2"/>
  <c r="N27" i="2" s="1"/>
  <c r="P27" i="2"/>
  <c r="Q27" i="2"/>
  <c r="C28" i="2"/>
  <c r="D28" i="2"/>
  <c r="B28" i="2" s="1"/>
  <c r="H28" i="2" s="1"/>
  <c r="K28" i="2"/>
  <c r="O28" i="2"/>
  <c r="N28" i="2" s="1"/>
  <c r="P28" i="2"/>
  <c r="Q28" i="2"/>
  <c r="C29" i="2"/>
  <c r="D29" i="2"/>
  <c r="B29" i="2" s="1"/>
  <c r="H29" i="2" s="1"/>
  <c r="F29" i="2"/>
  <c r="K29" i="2"/>
  <c r="O29" i="2"/>
  <c r="O32" i="2" s="1"/>
  <c r="P29" i="2"/>
  <c r="Q29" i="2"/>
  <c r="B30" i="2"/>
  <c r="H30" i="2" s="1"/>
  <c r="C30" i="2"/>
  <c r="D30" i="2"/>
  <c r="K30" i="2"/>
  <c r="N30" i="2"/>
  <c r="O30" i="2"/>
  <c r="P30" i="2"/>
  <c r="Q30" i="2"/>
  <c r="C31" i="2"/>
  <c r="D31" i="2"/>
  <c r="B31" i="2" s="1"/>
  <c r="H31" i="2" s="1"/>
  <c r="K31" i="2"/>
  <c r="O31" i="2"/>
  <c r="N31" i="2" s="1"/>
  <c r="P31" i="2"/>
  <c r="Q31" i="2"/>
  <c r="B32" i="2"/>
  <c r="H32" i="2" s="1"/>
  <c r="C32" i="2"/>
  <c r="D32" i="2"/>
  <c r="Q32" i="2"/>
  <c r="D33" i="2"/>
  <c r="E34" i="2" s="1"/>
  <c r="E35" i="2" s="1"/>
  <c r="E33" i="2"/>
  <c r="F33" i="2"/>
  <c r="G33" i="2"/>
  <c r="H33" i="2"/>
  <c r="K36" i="2"/>
  <c r="O36" i="2"/>
  <c r="N36" i="2" s="1"/>
  <c r="P36" i="2"/>
  <c r="Q36" i="2"/>
  <c r="K37" i="2"/>
  <c r="L37" i="2"/>
  <c r="M37" i="2" s="1"/>
  <c r="N37" i="2"/>
  <c r="O37" i="2"/>
  <c r="P37" i="2"/>
  <c r="Q37" i="2"/>
  <c r="Q43" i="2" s="1"/>
  <c r="K38" i="2"/>
  <c r="N38" i="2"/>
  <c r="L38" i="2" s="1"/>
  <c r="M38" i="2" s="1"/>
  <c r="O38" i="2"/>
  <c r="O43" i="2" s="1"/>
  <c r="P38" i="2"/>
  <c r="Q38" i="2"/>
  <c r="K39" i="2"/>
  <c r="N39" i="2"/>
  <c r="O39" i="2"/>
  <c r="P39" i="2"/>
  <c r="Q39" i="2"/>
  <c r="K40" i="2"/>
  <c r="O40" i="2"/>
  <c r="N40" i="2" s="1"/>
  <c r="P40" i="2"/>
  <c r="Q40" i="2"/>
  <c r="K41" i="2"/>
  <c r="O41" i="2"/>
  <c r="P41" i="2"/>
  <c r="N41" i="2" s="1"/>
  <c r="Q41" i="2"/>
  <c r="K42" i="2"/>
  <c r="N42" i="2"/>
  <c r="L42" i="2" s="1"/>
  <c r="O42" i="2"/>
  <c r="P42" i="2"/>
  <c r="Q42" i="2"/>
  <c r="P43" i="2"/>
  <c r="N37" i="12" l="1"/>
  <c r="N42" i="12"/>
  <c r="N26" i="12"/>
  <c r="N16" i="12"/>
  <c r="N20" i="12"/>
  <c r="N41" i="12"/>
  <c r="N27" i="12"/>
  <c r="N9" i="12"/>
  <c r="L9" i="12" s="1"/>
  <c r="N52" i="12"/>
  <c r="L52" i="12" s="1"/>
  <c r="N5" i="12"/>
  <c r="C32" i="13"/>
  <c r="H32" i="13"/>
  <c r="C31" i="13"/>
  <c r="H31" i="13"/>
  <c r="C30" i="13"/>
  <c r="H30" i="13" s="1"/>
  <c r="H28" i="13"/>
  <c r="C27" i="13"/>
  <c r="H27" i="13" s="1"/>
  <c r="H26" i="13"/>
  <c r="C25" i="13"/>
  <c r="H25" i="13" s="1"/>
  <c r="C24" i="13"/>
  <c r="H22" i="13"/>
  <c r="E38" i="13"/>
  <c r="E39" i="13" s="1"/>
  <c r="N19" i="13"/>
  <c r="L19" i="13" s="1"/>
  <c r="M19" i="13" s="1"/>
  <c r="N15" i="13"/>
  <c r="L15" i="13" s="1"/>
  <c r="M15" i="13" s="1"/>
  <c r="I36" i="13"/>
  <c r="I33" i="13"/>
  <c r="N53" i="13"/>
  <c r="L53" i="13" s="1"/>
  <c r="M53" i="13" s="1"/>
  <c r="N17" i="13"/>
  <c r="L17" i="13" s="1"/>
  <c r="M17" i="13" s="1"/>
  <c r="N20" i="13"/>
  <c r="L20" i="13" s="1"/>
  <c r="M20" i="13" s="1"/>
  <c r="N9" i="13"/>
  <c r="L9" i="13" s="1"/>
  <c r="M9" i="13" s="1"/>
  <c r="N6" i="13"/>
  <c r="L6" i="13" s="1"/>
  <c r="M6" i="13" s="1"/>
  <c r="N40" i="13"/>
  <c r="L40" i="13" s="1"/>
  <c r="M40" i="13" s="1"/>
  <c r="N16" i="13"/>
  <c r="L16" i="13" s="1"/>
  <c r="M16" i="13" s="1"/>
  <c r="N42" i="13"/>
  <c r="L42" i="13" s="1"/>
  <c r="M42" i="13" s="1"/>
  <c r="N47" i="13"/>
  <c r="L47" i="13" s="1"/>
  <c r="Q10" i="13"/>
  <c r="N8" i="13"/>
  <c r="L8" i="13" s="1"/>
  <c r="M8" i="13" s="1"/>
  <c r="N5" i="13"/>
  <c r="L5" i="13" s="1"/>
  <c r="M5" i="13" s="1"/>
  <c r="N49" i="13"/>
  <c r="L49" i="13" s="1"/>
  <c r="M49" i="13" s="1"/>
  <c r="N18" i="13"/>
  <c r="L18" i="13" s="1"/>
  <c r="M18" i="13" s="1"/>
  <c r="N4" i="13"/>
  <c r="L4" i="13" s="1"/>
  <c r="M4" i="13" s="1"/>
  <c r="N30" i="13"/>
  <c r="L30" i="13" s="1"/>
  <c r="M30" i="13" s="1"/>
  <c r="N51" i="13"/>
  <c r="L51" i="13" s="1"/>
  <c r="M51" i="13" s="1"/>
  <c r="N48" i="13"/>
  <c r="L48" i="13" s="1"/>
  <c r="P21" i="13"/>
  <c r="P10" i="13"/>
  <c r="N38" i="13"/>
  <c r="L38" i="13" s="1"/>
  <c r="M38" i="13" s="1"/>
  <c r="N7" i="13"/>
  <c r="L7" i="13" s="1"/>
  <c r="M7" i="13" s="1"/>
  <c r="I22" i="13"/>
  <c r="Q21" i="13"/>
  <c r="H14" i="13"/>
  <c r="O10" i="13"/>
  <c r="N3" i="13"/>
  <c r="O21" i="13"/>
  <c r="N14" i="13"/>
  <c r="C35" i="13"/>
  <c r="H35" i="13" s="1"/>
  <c r="H24" i="13"/>
  <c r="H6" i="13"/>
  <c r="O43" i="13"/>
  <c r="N36" i="13"/>
  <c r="N28" i="13"/>
  <c r="O32" i="13"/>
  <c r="N26" i="13"/>
  <c r="H9" i="13"/>
  <c r="H5" i="13"/>
  <c r="Q51" i="13"/>
  <c r="P50" i="13"/>
  <c r="N50" i="13" s="1"/>
  <c r="Q40" i="13"/>
  <c r="P39" i="13"/>
  <c r="N39" i="13" s="1"/>
  <c r="Q38" i="13"/>
  <c r="Q36" i="13"/>
  <c r="P31" i="13"/>
  <c r="N31" i="13" s="1"/>
  <c r="P29" i="13"/>
  <c r="N29" i="13" s="1"/>
  <c r="P27" i="13"/>
  <c r="N27" i="13" s="1"/>
  <c r="P25" i="13"/>
  <c r="N25" i="13" s="1"/>
  <c r="I23" i="13"/>
  <c r="C20" i="13"/>
  <c r="H20" i="13" s="1"/>
  <c r="C18" i="13"/>
  <c r="H18" i="13" s="1"/>
  <c r="C16" i="13"/>
  <c r="C14" i="13"/>
  <c r="C11" i="13"/>
  <c r="H11" i="13" s="1"/>
  <c r="I10" i="13"/>
  <c r="C9" i="13"/>
  <c r="C7" i="13"/>
  <c r="H7" i="13" s="1"/>
  <c r="C5" i="13"/>
  <c r="C3" i="13"/>
  <c r="Q52" i="13"/>
  <c r="Q41" i="13"/>
  <c r="Q37" i="13"/>
  <c r="I34" i="13"/>
  <c r="I21" i="13"/>
  <c r="I19" i="13"/>
  <c r="I17" i="13"/>
  <c r="B16" i="13"/>
  <c r="I15" i="13"/>
  <c r="I8" i="13"/>
  <c r="I6" i="13"/>
  <c r="I4" i="13"/>
  <c r="B3" i="13"/>
  <c r="P52" i="13"/>
  <c r="N52" i="13" s="1"/>
  <c r="P41" i="13"/>
  <c r="N41" i="13" s="1"/>
  <c r="P37" i="13"/>
  <c r="C36" i="13"/>
  <c r="H36" i="13" s="1"/>
  <c r="H34" i="13"/>
  <c r="C33" i="13"/>
  <c r="H33" i="13" s="1"/>
  <c r="I32" i="13"/>
  <c r="I30" i="13"/>
  <c r="I28" i="13"/>
  <c r="I26" i="13"/>
  <c r="H21" i="13"/>
  <c r="H19" i="13"/>
  <c r="H17" i="13"/>
  <c r="H15" i="13"/>
  <c r="I13" i="13"/>
  <c r="C12" i="13"/>
  <c r="H12" i="13" s="1"/>
  <c r="H8" i="13"/>
  <c r="H4" i="13"/>
  <c r="Q30" i="13"/>
  <c r="Q28" i="13"/>
  <c r="Q26" i="13"/>
  <c r="I24" i="13"/>
  <c r="C23" i="13"/>
  <c r="H23" i="13" s="1"/>
  <c r="C10" i="13"/>
  <c r="H10" i="13" s="1"/>
  <c r="I35" i="13"/>
  <c r="I9" i="13"/>
  <c r="I20" i="13"/>
  <c r="I18" i="13"/>
  <c r="I16" i="13"/>
  <c r="I14" i="13"/>
  <c r="I11" i="13"/>
  <c r="I7" i="13"/>
  <c r="I5" i="13"/>
  <c r="I3" i="13"/>
  <c r="I31" i="13"/>
  <c r="I29" i="13"/>
  <c r="I27" i="13"/>
  <c r="I25" i="13"/>
  <c r="L39" i="12"/>
  <c r="M39" i="12" s="1"/>
  <c r="L50" i="12"/>
  <c r="M50" i="12" s="1"/>
  <c r="H23" i="12"/>
  <c r="L41" i="12"/>
  <c r="N38" i="12"/>
  <c r="H31" i="12"/>
  <c r="H29" i="12"/>
  <c r="L27" i="12"/>
  <c r="M27" i="12" s="1"/>
  <c r="H13" i="12"/>
  <c r="H4" i="12"/>
  <c r="L7" i="12"/>
  <c r="M7" i="12" s="1"/>
  <c r="H22" i="12"/>
  <c r="L20" i="12"/>
  <c r="M20" i="12"/>
  <c r="O43" i="12"/>
  <c r="N25" i="12"/>
  <c r="O32" i="12"/>
  <c r="O10" i="12"/>
  <c r="N40" i="12"/>
  <c r="L37" i="12"/>
  <c r="M37" i="12" s="1"/>
  <c r="P43" i="12"/>
  <c r="L30" i="12"/>
  <c r="M30" i="12" s="1"/>
  <c r="L28" i="12"/>
  <c r="M28" i="12" s="1"/>
  <c r="B19" i="12"/>
  <c r="C19" i="12" s="1"/>
  <c r="I28" i="12"/>
  <c r="I26" i="12"/>
  <c r="I32" i="12"/>
  <c r="I30" i="12"/>
  <c r="L5" i="12"/>
  <c r="M5" i="12" s="1"/>
  <c r="L53" i="12"/>
  <c r="M53" i="12" s="1"/>
  <c r="L18" i="12"/>
  <c r="M18" i="12" s="1"/>
  <c r="L51" i="12"/>
  <c r="M51" i="12" s="1"/>
  <c r="O21" i="12"/>
  <c r="L42" i="12"/>
  <c r="M42" i="12" s="1"/>
  <c r="H32" i="12"/>
  <c r="H30" i="12"/>
  <c r="H28" i="12"/>
  <c r="L26" i="12"/>
  <c r="M26" i="12" s="1"/>
  <c r="L16" i="12"/>
  <c r="M16" i="12" s="1"/>
  <c r="N36" i="12"/>
  <c r="I24" i="12"/>
  <c r="C22" i="12"/>
  <c r="I21" i="12"/>
  <c r="C20" i="12"/>
  <c r="H20" i="12" s="1"/>
  <c r="I12" i="12"/>
  <c r="C9" i="12"/>
  <c r="H9" i="12" s="1"/>
  <c r="C7" i="12"/>
  <c r="H7" i="12" s="1"/>
  <c r="C5" i="12"/>
  <c r="H5" i="12" s="1"/>
  <c r="C3" i="12"/>
  <c r="Q47" i="12"/>
  <c r="I35" i="12"/>
  <c r="C34" i="12"/>
  <c r="H34" i="12" s="1"/>
  <c r="C23" i="12"/>
  <c r="I19" i="12"/>
  <c r="C18" i="12"/>
  <c r="H18" i="12" s="1"/>
  <c r="C16" i="12"/>
  <c r="H16" i="12" s="1"/>
  <c r="C14" i="12"/>
  <c r="H14" i="12" s="1"/>
  <c r="C11" i="12"/>
  <c r="H11" i="12" s="1"/>
  <c r="I10" i="12"/>
  <c r="I8" i="12"/>
  <c r="I6" i="12"/>
  <c r="I4" i="12"/>
  <c r="N3" i="12"/>
  <c r="B3" i="12"/>
  <c r="Q48" i="12"/>
  <c r="P47" i="12"/>
  <c r="N47" i="12" s="1"/>
  <c r="E38" i="12"/>
  <c r="E39" i="12" s="1"/>
  <c r="C32" i="12"/>
  <c r="C30" i="12"/>
  <c r="C28" i="12"/>
  <c r="C26" i="12"/>
  <c r="H26" i="12" s="1"/>
  <c r="Q19" i="12"/>
  <c r="I17" i="12"/>
  <c r="I15" i="12"/>
  <c r="N14" i="12"/>
  <c r="Q8" i="12"/>
  <c r="Q6" i="12"/>
  <c r="Q4" i="12"/>
  <c r="I2" i="12"/>
  <c r="Q49" i="12"/>
  <c r="P48" i="12"/>
  <c r="N48" i="12" s="1"/>
  <c r="I31" i="12"/>
  <c r="I29" i="12"/>
  <c r="I27" i="12"/>
  <c r="I25" i="12"/>
  <c r="P19" i="12"/>
  <c r="N19" i="12" s="1"/>
  <c r="Q17" i="12"/>
  <c r="Q15" i="12"/>
  <c r="I13" i="12"/>
  <c r="P8" i="12"/>
  <c r="N8" i="12" s="1"/>
  <c r="P6" i="12"/>
  <c r="N6" i="12" s="1"/>
  <c r="P4" i="12"/>
  <c r="N4" i="12" s="1"/>
  <c r="Q50" i="12"/>
  <c r="P49" i="12"/>
  <c r="N49" i="12" s="1"/>
  <c r="Q39" i="12"/>
  <c r="Q43" i="12" s="1"/>
  <c r="I36" i="12"/>
  <c r="I33" i="12"/>
  <c r="Q31" i="12"/>
  <c r="Q29" i="12"/>
  <c r="C24" i="12"/>
  <c r="H24" i="12" s="1"/>
  <c r="I22" i="12"/>
  <c r="I20" i="12"/>
  <c r="P17" i="12"/>
  <c r="N17" i="12" s="1"/>
  <c r="P15" i="12"/>
  <c r="C10" i="12"/>
  <c r="H10" i="12" s="1"/>
  <c r="C8" i="12"/>
  <c r="H8" i="12" s="1"/>
  <c r="C6" i="12"/>
  <c r="H6" i="12" s="1"/>
  <c r="C4" i="12"/>
  <c r="P31" i="12"/>
  <c r="N31" i="12" s="1"/>
  <c r="P29" i="12"/>
  <c r="Q20" i="12"/>
  <c r="C17" i="12"/>
  <c r="H17" i="12" s="1"/>
  <c r="C15" i="12"/>
  <c r="H15" i="12" s="1"/>
  <c r="I9" i="12"/>
  <c r="I7" i="12"/>
  <c r="I5" i="12"/>
  <c r="I3" i="12"/>
  <c r="C2" i="12"/>
  <c r="H2" i="12" s="1"/>
  <c r="I34" i="12"/>
  <c r="I23" i="12"/>
  <c r="I18" i="12"/>
  <c r="I16" i="12"/>
  <c r="I14" i="12"/>
  <c r="N38" i="11"/>
  <c r="H28" i="11"/>
  <c r="C28" i="11"/>
  <c r="H33" i="11"/>
  <c r="C30" i="11"/>
  <c r="H30" i="11" s="1"/>
  <c r="L25" i="11"/>
  <c r="L20" i="11"/>
  <c r="M20" i="11" s="1"/>
  <c r="M18" i="11"/>
  <c r="L18" i="11"/>
  <c r="H16" i="11"/>
  <c r="N49" i="11"/>
  <c r="M39" i="11"/>
  <c r="L39" i="11"/>
  <c r="H17" i="11"/>
  <c r="C17" i="11"/>
  <c r="N30" i="11"/>
  <c r="P32" i="11"/>
  <c r="C14" i="11"/>
  <c r="B14" i="11"/>
  <c r="L9" i="11"/>
  <c r="M9" i="11"/>
  <c r="L53" i="11"/>
  <c r="M53" i="11"/>
  <c r="L51" i="11"/>
  <c r="M51" i="11" s="1"/>
  <c r="L37" i="11"/>
  <c r="M37" i="11" s="1"/>
  <c r="C32" i="11"/>
  <c r="H32" i="11" s="1"/>
  <c r="L27" i="11"/>
  <c r="M27" i="11" s="1"/>
  <c r="Q32" i="11"/>
  <c r="M6" i="11"/>
  <c r="L6" i="11"/>
  <c r="L29" i="11"/>
  <c r="M29" i="11" s="1"/>
  <c r="N15" i="11"/>
  <c r="H12" i="11"/>
  <c r="I10" i="11"/>
  <c r="M50" i="11"/>
  <c r="L50" i="11"/>
  <c r="L40" i="11"/>
  <c r="M40" i="11" s="1"/>
  <c r="O43" i="11"/>
  <c r="L31" i="11"/>
  <c r="M31" i="11" s="1"/>
  <c r="H27" i="11"/>
  <c r="C15" i="11"/>
  <c r="H15" i="11" s="1"/>
  <c r="B11" i="11"/>
  <c r="C11" i="11" s="1"/>
  <c r="L42" i="11"/>
  <c r="M42" i="11"/>
  <c r="H29" i="11"/>
  <c r="C23" i="11"/>
  <c r="H23" i="11" s="1"/>
  <c r="N17" i="11"/>
  <c r="B10" i="11"/>
  <c r="C10" i="11" s="1"/>
  <c r="I24" i="11"/>
  <c r="D34" i="11"/>
  <c r="E35" i="11" s="1"/>
  <c r="E36" i="11" s="1"/>
  <c r="L8" i="11"/>
  <c r="M8" i="11" s="1"/>
  <c r="I15" i="11"/>
  <c r="Q10" i="11"/>
  <c r="L14" i="11"/>
  <c r="M14" i="11" s="1"/>
  <c r="C26" i="11"/>
  <c r="H26" i="11"/>
  <c r="H19" i="11"/>
  <c r="C19" i="11"/>
  <c r="L4" i="11"/>
  <c r="M4" i="11" s="1"/>
  <c r="M52" i="11"/>
  <c r="Q48" i="11"/>
  <c r="P47" i="11"/>
  <c r="N47" i="11" s="1"/>
  <c r="M41" i="11"/>
  <c r="Q37" i="11"/>
  <c r="P36" i="11"/>
  <c r="N36" i="11" s="1"/>
  <c r="P30" i="11"/>
  <c r="P28" i="11"/>
  <c r="N28" i="11" s="1"/>
  <c r="P26" i="11"/>
  <c r="N26" i="11" s="1"/>
  <c r="C21" i="11"/>
  <c r="H21" i="11" s="1"/>
  <c r="P19" i="11"/>
  <c r="P21" i="11" s="1"/>
  <c r="P17" i="11"/>
  <c r="P15" i="11"/>
  <c r="I13" i="11"/>
  <c r="C12" i="11"/>
  <c r="C9" i="11"/>
  <c r="O7" i="11"/>
  <c r="N7" i="11" s="1"/>
  <c r="C7" i="11"/>
  <c r="H7" i="11" s="1"/>
  <c r="O5" i="11"/>
  <c r="N5" i="11" s="1"/>
  <c r="O3" i="11"/>
  <c r="Q49" i="11"/>
  <c r="P48" i="11"/>
  <c r="N48" i="11" s="1"/>
  <c r="Q38" i="11"/>
  <c r="O21" i="11"/>
  <c r="I20" i="11"/>
  <c r="H13" i="11"/>
  <c r="B9" i="11"/>
  <c r="I8" i="11"/>
  <c r="I6" i="11"/>
  <c r="B5" i="11"/>
  <c r="I4" i="11"/>
  <c r="B3" i="11"/>
  <c r="Q50" i="11"/>
  <c r="P49" i="11"/>
  <c r="Q39" i="11"/>
  <c r="P38" i="11"/>
  <c r="O32" i="11"/>
  <c r="I31" i="11"/>
  <c r="I29" i="11"/>
  <c r="I27" i="11"/>
  <c r="I25" i="11"/>
  <c r="C24" i="11"/>
  <c r="H24" i="11" s="1"/>
  <c r="I22" i="11"/>
  <c r="I18" i="11"/>
  <c r="I16" i="11"/>
  <c r="I14" i="11"/>
  <c r="I2" i="11"/>
  <c r="I33" i="11"/>
  <c r="I11" i="11"/>
  <c r="I23" i="11"/>
  <c r="I9" i="11"/>
  <c r="C31" i="11"/>
  <c r="H31" i="11" s="1"/>
  <c r="C29" i="11"/>
  <c r="C27" i="11"/>
  <c r="C25" i="11"/>
  <c r="H25" i="11" s="1"/>
  <c r="C22" i="11"/>
  <c r="H22" i="11" s="1"/>
  <c r="I21" i="11"/>
  <c r="C20" i="11"/>
  <c r="H20" i="11" s="1"/>
  <c r="C18" i="11"/>
  <c r="H18" i="11" s="1"/>
  <c r="O16" i="11"/>
  <c r="N16" i="11" s="1"/>
  <c r="C16" i="11"/>
  <c r="I12" i="11"/>
  <c r="I7" i="11"/>
  <c r="I5" i="11"/>
  <c r="C2" i="11"/>
  <c r="E34" i="11"/>
  <c r="I32" i="11"/>
  <c r="I30" i="11"/>
  <c r="I28" i="11"/>
  <c r="I26" i="11"/>
  <c r="I19" i="11"/>
  <c r="I17" i="11"/>
  <c r="L40" i="10"/>
  <c r="M40" i="10"/>
  <c r="L27" i="10"/>
  <c r="M27" i="10"/>
  <c r="L4" i="10"/>
  <c r="M4" i="10" s="1"/>
  <c r="L49" i="10"/>
  <c r="M49" i="10" s="1"/>
  <c r="L37" i="10"/>
  <c r="M37" i="10" s="1"/>
  <c r="C31" i="10"/>
  <c r="H31" i="10" s="1"/>
  <c r="H10" i="10"/>
  <c r="L48" i="10"/>
  <c r="M48" i="10" s="1"/>
  <c r="L25" i="10"/>
  <c r="M25" i="10"/>
  <c r="L15" i="10"/>
  <c r="M15" i="10" s="1"/>
  <c r="N9" i="10"/>
  <c r="P10" i="10"/>
  <c r="L39" i="10"/>
  <c r="M39" i="10" s="1"/>
  <c r="H30" i="10"/>
  <c r="L20" i="10"/>
  <c r="M20" i="10" s="1"/>
  <c r="L53" i="10"/>
  <c r="M53" i="10"/>
  <c r="C13" i="10"/>
  <c r="H13" i="10"/>
  <c r="B17" i="10"/>
  <c r="I22" i="10"/>
  <c r="C17" i="10"/>
  <c r="I25" i="10"/>
  <c r="I27" i="10"/>
  <c r="I23" i="10"/>
  <c r="H8" i="10"/>
  <c r="L38" i="10"/>
  <c r="M38" i="10"/>
  <c r="O32" i="10"/>
  <c r="C24" i="10"/>
  <c r="H24" i="10"/>
  <c r="L18" i="10"/>
  <c r="M18" i="10"/>
  <c r="H3" i="10"/>
  <c r="L31" i="10"/>
  <c r="M31" i="10" s="1"/>
  <c r="L29" i="10"/>
  <c r="M29" i="10" s="1"/>
  <c r="N7" i="10"/>
  <c r="C2" i="10"/>
  <c r="H2" i="10"/>
  <c r="P52" i="10"/>
  <c r="O51" i="10"/>
  <c r="N51" i="10" s="1"/>
  <c r="Q42" i="10"/>
  <c r="P41" i="10"/>
  <c r="Q30" i="10"/>
  <c r="O52" i="10"/>
  <c r="N52" i="10" s="1"/>
  <c r="P42" i="10"/>
  <c r="N42" i="10" s="1"/>
  <c r="O41" i="10"/>
  <c r="D32" i="10"/>
  <c r="E33" i="10" s="1"/>
  <c r="E34" i="10" s="1"/>
  <c r="P30" i="10"/>
  <c r="N30" i="10" s="1"/>
  <c r="I28" i="10"/>
  <c r="I26" i="10"/>
  <c r="C25" i="10"/>
  <c r="H25" i="10" s="1"/>
  <c r="C22" i="10"/>
  <c r="H22" i="10" s="1"/>
  <c r="I21" i="10"/>
  <c r="I19" i="10"/>
  <c r="I17" i="10"/>
  <c r="O16" i="10"/>
  <c r="N16" i="10" s="1"/>
  <c r="O14" i="10"/>
  <c r="C14" i="10"/>
  <c r="O5" i="10"/>
  <c r="N5" i="10" s="1"/>
  <c r="C5" i="10"/>
  <c r="H5" i="10" s="1"/>
  <c r="O3" i="10"/>
  <c r="C3" i="10"/>
  <c r="Q47" i="10"/>
  <c r="Q36" i="10"/>
  <c r="Q28" i="10"/>
  <c r="Q26" i="10"/>
  <c r="Q19" i="10"/>
  <c r="Q17" i="10"/>
  <c r="B16" i="10"/>
  <c r="C16" i="10" s="1"/>
  <c r="I15" i="10"/>
  <c r="B14" i="10"/>
  <c r="B11" i="10"/>
  <c r="Q8" i="10"/>
  <c r="Q6" i="10"/>
  <c r="H6" i="10"/>
  <c r="I4" i="10"/>
  <c r="Q48" i="10"/>
  <c r="P47" i="10"/>
  <c r="N47" i="10" s="1"/>
  <c r="Q37" i="10"/>
  <c r="P36" i="10"/>
  <c r="P43" i="10" s="1"/>
  <c r="I31" i="10"/>
  <c r="C30" i="10"/>
  <c r="P28" i="10"/>
  <c r="N28" i="10" s="1"/>
  <c r="P26" i="10"/>
  <c r="P32" i="10" s="1"/>
  <c r="I24" i="10"/>
  <c r="C23" i="10"/>
  <c r="H23" i="10" s="1"/>
  <c r="P19" i="10"/>
  <c r="N19" i="10" s="1"/>
  <c r="P17" i="10"/>
  <c r="N17" i="10" s="1"/>
  <c r="Q15" i="10"/>
  <c r="Q21" i="10" s="1"/>
  <c r="H15" i="10"/>
  <c r="I13" i="10"/>
  <c r="C12" i="10"/>
  <c r="H12" i="10" s="1"/>
  <c r="P8" i="10"/>
  <c r="N8" i="10" s="1"/>
  <c r="P6" i="10"/>
  <c r="N6" i="10" s="1"/>
  <c r="Q4" i="10"/>
  <c r="Q10" i="10" s="1"/>
  <c r="H4" i="10"/>
  <c r="I2" i="10"/>
  <c r="Q49" i="10"/>
  <c r="I29" i="10"/>
  <c r="Q51" i="10"/>
  <c r="P50" i="10"/>
  <c r="N50" i="10" s="1"/>
  <c r="N42" i="9"/>
  <c r="C36" i="9"/>
  <c r="H36" i="9" s="1"/>
  <c r="H20" i="9"/>
  <c r="L16" i="9"/>
  <c r="M16" i="9" s="1"/>
  <c r="H12" i="9"/>
  <c r="L7" i="9"/>
  <c r="M7" i="9"/>
  <c r="H35" i="9"/>
  <c r="C35" i="9"/>
  <c r="O21" i="9"/>
  <c r="L5" i="9"/>
  <c r="M5" i="9"/>
  <c r="L48" i="9"/>
  <c r="M48" i="9"/>
  <c r="O32" i="9"/>
  <c r="H14" i="9"/>
  <c r="N8" i="9"/>
  <c r="H5" i="9"/>
  <c r="N40" i="9"/>
  <c r="N19" i="9"/>
  <c r="N15" i="9"/>
  <c r="C33" i="9"/>
  <c r="H33" i="9"/>
  <c r="N52" i="9"/>
  <c r="L47" i="9"/>
  <c r="M47" i="9"/>
  <c r="N36" i="9"/>
  <c r="Q32" i="9"/>
  <c r="L20" i="9"/>
  <c r="M20" i="9"/>
  <c r="L49" i="9"/>
  <c r="M49" i="9" s="1"/>
  <c r="N30" i="9"/>
  <c r="P32" i="9"/>
  <c r="L18" i="9"/>
  <c r="M18" i="9" s="1"/>
  <c r="L9" i="9"/>
  <c r="M9" i="9"/>
  <c r="Q51" i="9"/>
  <c r="Q40" i="9"/>
  <c r="Q38" i="9"/>
  <c r="Q36" i="9"/>
  <c r="I23" i="9"/>
  <c r="C20" i="9"/>
  <c r="C18" i="9"/>
  <c r="H18" i="9" s="1"/>
  <c r="C16" i="9"/>
  <c r="H16" i="9" s="1"/>
  <c r="C14" i="9"/>
  <c r="C9" i="9"/>
  <c r="H9" i="9" s="1"/>
  <c r="C7" i="9"/>
  <c r="H7" i="9" s="1"/>
  <c r="C5" i="9"/>
  <c r="Q52" i="9"/>
  <c r="P51" i="9"/>
  <c r="N51" i="9" s="1"/>
  <c r="Q41" i="9"/>
  <c r="P40" i="9"/>
  <c r="P38" i="9"/>
  <c r="N38" i="9" s="1"/>
  <c r="Q37" i="9"/>
  <c r="P36" i="9"/>
  <c r="I34" i="9"/>
  <c r="I21" i="9"/>
  <c r="I19" i="9"/>
  <c r="I17" i="9"/>
  <c r="I15" i="9"/>
  <c r="N14" i="9"/>
  <c r="I10" i="9"/>
  <c r="I8" i="9"/>
  <c r="I6" i="9"/>
  <c r="I4" i="9"/>
  <c r="N3" i="9"/>
  <c r="B3" i="9"/>
  <c r="P52" i="9"/>
  <c r="P41" i="9"/>
  <c r="N41" i="9" s="1"/>
  <c r="I32" i="9"/>
  <c r="I30" i="9"/>
  <c r="I28" i="9"/>
  <c r="I26" i="9"/>
  <c r="I13" i="9"/>
  <c r="P53" i="9"/>
  <c r="N53" i="9" s="1"/>
  <c r="M50" i="9"/>
  <c r="P42" i="9"/>
  <c r="M39" i="9"/>
  <c r="O37" i="9"/>
  <c r="N37" i="9" s="1"/>
  <c r="H32" i="9"/>
  <c r="M31" i="9"/>
  <c r="Q30" i="9"/>
  <c r="H30" i="9"/>
  <c r="M29" i="9"/>
  <c r="Q28" i="9"/>
  <c r="H28" i="9"/>
  <c r="M27" i="9"/>
  <c r="Q26" i="9"/>
  <c r="H26" i="9"/>
  <c r="M25" i="9"/>
  <c r="I24" i="9"/>
  <c r="C23" i="9"/>
  <c r="H23" i="9" s="1"/>
  <c r="P19" i="9"/>
  <c r="P17" i="9"/>
  <c r="N17" i="9" s="1"/>
  <c r="P15" i="9"/>
  <c r="H13" i="9"/>
  <c r="C12" i="9"/>
  <c r="P8" i="9"/>
  <c r="P6" i="9"/>
  <c r="N6" i="9" s="1"/>
  <c r="P4" i="9"/>
  <c r="N4" i="9" s="1"/>
  <c r="Q47" i="9"/>
  <c r="I35" i="9"/>
  <c r="P30" i="9"/>
  <c r="P28" i="9"/>
  <c r="N28" i="9" s="1"/>
  <c r="P26" i="9"/>
  <c r="N26" i="9" s="1"/>
  <c r="H24" i="9"/>
  <c r="D37" i="9"/>
  <c r="E38" i="9" s="1"/>
  <c r="E39" i="9" s="1"/>
  <c r="I20" i="9"/>
  <c r="I18" i="9"/>
  <c r="I16" i="9"/>
  <c r="I14" i="9"/>
  <c r="I9" i="9"/>
  <c r="I7" i="9"/>
  <c r="I5" i="9"/>
  <c r="I3" i="9"/>
  <c r="I31" i="9"/>
  <c r="I29" i="9"/>
  <c r="I27" i="9"/>
  <c r="I25" i="9"/>
  <c r="I22" i="9"/>
  <c r="L4" i="8"/>
  <c r="M4" i="8" s="1"/>
  <c r="L30" i="8"/>
  <c r="M30" i="8" s="1"/>
  <c r="M41" i="8"/>
  <c r="L41" i="8"/>
  <c r="L36" i="8"/>
  <c r="L43" i="8" s="1"/>
  <c r="L44" i="8" s="1"/>
  <c r="N43" i="8"/>
  <c r="C18" i="8"/>
  <c r="H18" i="8" s="1"/>
  <c r="L16" i="8"/>
  <c r="M16" i="8"/>
  <c r="L8" i="8"/>
  <c r="M8" i="8" s="1"/>
  <c r="L18" i="8"/>
  <c r="M18" i="8"/>
  <c r="C29" i="8"/>
  <c r="H29" i="8" s="1"/>
  <c r="B24" i="8"/>
  <c r="C24" i="8" s="1"/>
  <c r="M6" i="8"/>
  <c r="L6" i="8"/>
  <c r="L20" i="8"/>
  <c r="M20" i="8"/>
  <c r="L19" i="8"/>
  <c r="M19" i="8" s="1"/>
  <c r="H9" i="8"/>
  <c r="L26" i="8"/>
  <c r="M26" i="8" s="1"/>
  <c r="L31" i="8"/>
  <c r="M31" i="8"/>
  <c r="L28" i="8"/>
  <c r="M28" i="8"/>
  <c r="C16" i="8"/>
  <c r="H16" i="8" s="1"/>
  <c r="N21" i="8"/>
  <c r="L14" i="8"/>
  <c r="M14" i="8" s="1"/>
  <c r="H11" i="8"/>
  <c r="C11" i="8"/>
  <c r="H8" i="8"/>
  <c r="C22" i="8"/>
  <c r="H22" i="8" s="1"/>
  <c r="L17" i="8"/>
  <c r="M17" i="8" s="1"/>
  <c r="Q10" i="8"/>
  <c r="C31" i="8"/>
  <c r="H31" i="8" s="1"/>
  <c r="H14" i="8"/>
  <c r="C14" i="8"/>
  <c r="L37" i="8"/>
  <c r="M37" i="8"/>
  <c r="L29" i="8"/>
  <c r="M29" i="8"/>
  <c r="M15" i="8"/>
  <c r="L15" i="8"/>
  <c r="O43" i="8"/>
  <c r="M42" i="8"/>
  <c r="N27" i="8"/>
  <c r="C27" i="8"/>
  <c r="H27" i="8" s="1"/>
  <c r="C25" i="8"/>
  <c r="H25" i="8" s="1"/>
  <c r="I12" i="8"/>
  <c r="O9" i="8"/>
  <c r="N9" i="8" s="1"/>
  <c r="C9" i="8"/>
  <c r="O7" i="8"/>
  <c r="N7" i="8" s="1"/>
  <c r="C7" i="8"/>
  <c r="H7" i="8" s="1"/>
  <c r="O5" i="8"/>
  <c r="N5" i="8" s="1"/>
  <c r="C5" i="8"/>
  <c r="H5" i="8" s="1"/>
  <c r="O3" i="8"/>
  <c r="C3" i="8"/>
  <c r="H32" i="8"/>
  <c r="H30" i="8"/>
  <c r="N25" i="8"/>
  <c r="I21" i="8"/>
  <c r="I10" i="8"/>
  <c r="I8" i="8"/>
  <c r="I6" i="8"/>
  <c r="I4" i="8"/>
  <c r="B3" i="8"/>
  <c r="I19" i="8"/>
  <c r="I17" i="8"/>
  <c r="I15" i="8"/>
  <c r="H4" i="8"/>
  <c r="I2" i="8"/>
  <c r="I13" i="8"/>
  <c r="C26" i="8"/>
  <c r="H26" i="8" s="1"/>
  <c r="D21" i="8"/>
  <c r="C10" i="8"/>
  <c r="H10" i="8" s="1"/>
  <c r="C8" i="8"/>
  <c r="C6" i="8"/>
  <c r="H6" i="8" s="1"/>
  <c r="C19" i="8"/>
  <c r="H19" i="8" s="1"/>
  <c r="C17" i="8"/>
  <c r="H17" i="8" s="1"/>
  <c r="C15" i="8"/>
  <c r="H15" i="8" s="1"/>
  <c r="I9" i="8"/>
  <c r="I7" i="8"/>
  <c r="I5" i="8"/>
  <c r="I3" i="8"/>
  <c r="C2" i="8"/>
  <c r="H2" i="8" s="1"/>
  <c r="I20" i="8"/>
  <c r="I18" i="8"/>
  <c r="I16" i="8"/>
  <c r="I14" i="8"/>
  <c r="N43" i="7"/>
  <c r="L36" i="7"/>
  <c r="M36" i="7"/>
  <c r="L30" i="7"/>
  <c r="M30" i="7" s="1"/>
  <c r="L50" i="7"/>
  <c r="M50" i="7" s="1"/>
  <c r="H36" i="7"/>
  <c r="C36" i="7"/>
  <c r="C27" i="7"/>
  <c r="H27" i="7" s="1"/>
  <c r="L25" i="7"/>
  <c r="M25" i="7"/>
  <c r="C18" i="7"/>
  <c r="H18" i="7"/>
  <c r="L16" i="7"/>
  <c r="M16" i="7" s="1"/>
  <c r="C11" i="7"/>
  <c r="H11" i="7" s="1"/>
  <c r="L18" i="7"/>
  <c r="M18" i="7"/>
  <c r="L52" i="7"/>
  <c r="M52" i="7" s="1"/>
  <c r="C30" i="7"/>
  <c r="H30" i="7" s="1"/>
  <c r="M28" i="7"/>
  <c r="L28" i="7"/>
  <c r="C21" i="7"/>
  <c r="H21" i="7" s="1"/>
  <c r="L19" i="7"/>
  <c r="M19" i="7" s="1"/>
  <c r="L7" i="7"/>
  <c r="M7" i="7" s="1"/>
  <c r="H5" i="7"/>
  <c r="L40" i="7"/>
  <c r="M40" i="7" s="1"/>
  <c r="L38" i="7"/>
  <c r="M38" i="7"/>
  <c r="H25" i="7"/>
  <c r="C25" i="7"/>
  <c r="C16" i="7"/>
  <c r="H16" i="7" s="1"/>
  <c r="L14" i="7"/>
  <c r="M14" i="7" s="1"/>
  <c r="M21" i="7" s="1"/>
  <c r="N21" i="7"/>
  <c r="C19" i="7"/>
  <c r="H19" i="7"/>
  <c r="C29" i="7"/>
  <c r="H29" i="7" s="1"/>
  <c r="C20" i="7"/>
  <c r="H20" i="7" s="1"/>
  <c r="C28" i="7"/>
  <c r="H28" i="7"/>
  <c r="L26" i="7"/>
  <c r="M26" i="7" s="1"/>
  <c r="C24" i="7"/>
  <c r="M17" i="7"/>
  <c r="L17" i="7"/>
  <c r="L47" i="7"/>
  <c r="C33" i="7"/>
  <c r="H33" i="7" s="1"/>
  <c r="O54" i="7"/>
  <c r="N48" i="7"/>
  <c r="L29" i="7"/>
  <c r="M29" i="7" s="1"/>
  <c r="L20" i="7"/>
  <c r="M20" i="7"/>
  <c r="C14" i="7"/>
  <c r="H14" i="7"/>
  <c r="H7" i="7"/>
  <c r="M4" i="7"/>
  <c r="L27" i="7"/>
  <c r="M27" i="7" s="1"/>
  <c r="C15" i="7"/>
  <c r="H15" i="7"/>
  <c r="L51" i="7"/>
  <c r="M51" i="7" s="1"/>
  <c r="L49" i="7"/>
  <c r="M49" i="7" s="1"/>
  <c r="L41" i="7"/>
  <c r="M41" i="7" s="1"/>
  <c r="L37" i="7"/>
  <c r="M37" i="7"/>
  <c r="C26" i="7"/>
  <c r="H26" i="7" s="1"/>
  <c r="C17" i="7"/>
  <c r="H17" i="7" s="1"/>
  <c r="L15" i="7"/>
  <c r="M15" i="7" s="1"/>
  <c r="L9" i="7"/>
  <c r="M9" i="7"/>
  <c r="L5" i="7"/>
  <c r="M5" i="7"/>
  <c r="B37" i="7"/>
  <c r="C2" i="7"/>
  <c r="H2" i="7" s="1"/>
  <c r="D31" i="7"/>
  <c r="I23" i="7"/>
  <c r="I12" i="7"/>
  <c r="C9" i="7"/>
  <c r="H9" i="7" s="1"/>
  <c r="C7" i="7"/>
  <c r="C5" i="7"/>
  <c r="I22" i="7"/>
  <c r="L8" i="7"/>
  <c r="M8" i="7" s="1"/>
  <c r="L6" i="7"/>
  <c r="M6" i="7" s="1"/>
  <c r="N39" i="7"/>
  <c r="H34" i="7"/>
  <c r="I32" i="7"/>
  <c r="N31" i="7"/>
  <c r="N32" i="7" s="1"/>
  <c r="H23" i="7"/>
  <c r="H12" i="7"/>
  <c r="I10" i="7"/>
  <c r="I8" i="7"/>
  <c r="I6" i="7"/>
  <c r="I4" i="7"/>
  <c r="N3" i="7"/>
  <c r="B3" i="7"/>
  <c r="C3" i="7" s="1"/>
  <c r="L4" i="7"/>
  <c r="H32" i="7"/>
  <c r="I30" i="7"/>
  <c r="I28" i="7"/>
  <c r="I26" i="7"/>
  <c r="C22" i="7"/>
  <c r="H22" i="7" s="1"/>
  <c r="I21" i="7"/>
  <c r="I19" i="7"/>
  <c r="I17" i="7"/>
  <c r="I15" i="7"/>
  <c r="H10" i="7"/>
  <c r="H8" i="7"/>
  <c r="H6" i="7"/>
  <c r="H4" i="7"/>
  <c r="I2" i="7"/>
  <c r="B35" i="7"/>
  <c r="C35" i="7" s="1"/>
  <c r="B24" i="7"/>
  <c r="B13" i="7"/>
  <c r="I35" i="7"/>
  <c r="I24" i="7"/>
  <c r="I13" i="7"/>
  <c r="D37" i="7"/>
  <c r="E38" i="7" s="1"/>
  <c r="E39" i="7" s="1"/>
  <c r="I31" i="7"/>
  <c r="I9" i="7"/>
  <c r="I7" i="7"/>
  <c r="I5" i="7"/>
  <c r="I36" i="7"/>
  <c r="I33" i="7"/>
  <c r="I29" i="7"/>
  <c r="I27" i="7"/>
  <c r="I25" i="7"/>
  <c r="O21" i="7"/>
  <c r="I20" i="7"/>
  <c r="I18" i="7"/>
  <c r="I16" i="7"/>
  <c r="I14" i="7"/>
  <c r="I11" i="7"/>
  <c r="H14" i="6"/>
  <c r="M53" i="6"/>
  <c r="L53" i="6"/>
  <c r="L38" i="6"/>
  <c r="M38" i="6"/>
  <c r="H19" i="6"/>
  <c r="C9" i="6"/>
  <c r="H9" i="6" s="1"/>
  <c r="L49" i="6"/>
  <c r="M49" i="6"/>
  <c r="L47" i="6"/>
  <c r="M47" i="6"/>
  <c r="N54" i="6"/>
  <c r="L31" i="6"/>
  <c r="M31" i="6"/>
  <c r="H20" i="6"/>
  <c r="C20" i="6"/>
  <c r="H25" i="6"/>
  <c r="L37" i="6"/>
  <c r="M37" i="6" s="1"/>
  <c r="H12" i="6"/>
  <c r="H35" i="6"/>
  <c r="H30" i="6"/>
  <c r="L7" i="6"/>
  <c r="M7" i="6"/>
  <c r="L41" i="6"/>
  <c r="M41" i="6" s="1"/>
  <c r="C31" i="6"/>
  <c r="H31" i="6" s="1"/>
  <c r="L18" i="6"/>
  <c r="M18" i="6"/>
  <c r="H10" i="6"/>
  <c r="H6" i="6"/>
  <c r="L52" i="6"/>
  <c r="M52" i="6" s="1"/>
  <c r="H33" i="6"/>
  <c r="C7" i="6"/>
  <c r="H7" i="6" s="1"/>
  <c r="L39" i="6"/>
  <c r="M39" i="6" s="1"/>
  <c r="L50" i="6"/>
  <c r="M50" i="6" s="1"/>
  <c r="B28" i="6"/>
  <c r="C28" i="6"/>
  <c r="D38" i="6"/>
  <c r="E39" i="6" s="1"/>
  <c r="E40" i="6" s="1"/>
  <c r="I34" i="6"/>
  <c r="L26" i="6"/>
  <c r="M26" i="6" s="1"/>
  <c r="H18" i="6"/>
  <c r="C18" i="6"/>
  <c r="L15" i="6"/>
  <c r="M15" i="6" s="1"/>
  <c r="L9" i="6"/>
  <c r="M9" i="6"/>
  <c r="L42" i="6"/>
  <c r="M42" i="6"/>
  <c r="H29" i="6"/>
  <c r="C29" i="6"/>
  <c r="L27" i="6"/>
  <c r="M27" i="6"/>
  <c r="L20" i="6"/>
  <c r="M20" i="6"/>
  <c r="H8" i="6"/>
  <c r="H2" i="6"/>
  <c r="I12" i="6"/>
  <c r="C36" i="6"/>
  <c r="H36" i="6" s="1"/>
  <c r="C33" i="6"/>
  <c r="I32" i="6"/>
  <c r="I30" i="6"/>
  <c r="N29" i="6"/>
  <c r="I28" i="6"/>
  <c r="C27" i="6"/>
  <c r="H27" i="6" s="1"/>
  <c r="C25" i="6"/>
  <c r="C22" i="6"/>
  <c r="H22" i="6" s="1"/>
  <c r="I21" i="6"/>
  <c r="I19" i="6"/>
  <c r="I17" i="6"/>
  <c r="N16" i="6"/>
  <c r="C16" i="6"/>
  <c r="H16" i="6" s="1"/>
  <c r="C14" i="6"/>
  <c r="C11" i="6"/>
  <c r="H11" i="6" s="1"/>
  <c r="I10" i="6"/>
  <c r="I8" i="6"/>
  <c r="I6" i="6"/>
  <c r="N5" i="6"/>
  <c r="C3" i="6"/>
  <c r="N48" i="6"/>
  <c r="I37" i="6"/>
  <c r="N36" i="6"/>
  <c r="I26" i="6"/>
  <c r="N25" i="6"/>
  <c r="I15" i="6"/>
  <c r="N14" i="6"/>
  <c r="B5" i="6"/>
  <c r="I4" i="6"/>
  <c r="N3" i="6"/>
  <c r="B3" i="6"/>
  <c r="I35" i="6"/>
  <c r="C34" i="6"/>
  <c r="H34" i="6" s="1"/>
  <c r="I24" i="6"/>
  <c r="C23" i="6"/>
  <c r="H23" i="6" s="1"/>
  <c r="I13" i="6"/>
  <c r="C12" i="6"/>
  <c r="H4" i="6"/>
  <c r="I2" i="6"/>
  <c r="I31" i="6"/>
  <c r="I29" i="6"/>
  <c r="I20" i="6"/>
  <c r="I18" i="6"/>
  <c r="I16" i="6"/>
  <c r="I9" i="6"/>
  <c r="I7" i="6"/>
  <c r="I5" i="6"/>
  <c r="M40" i="6"/>
  <c r="I36" i="6"/>
  <c r="C35" i="6"/>
  <c r="I33" i="6"/>
  <c r="M30" i="6"/>
  <c r="M28" i="6"/>
  <c r="I27" i="6"/>
  <c r="I25" i="6"/>
  <c r="C24" i="6"/>
  <c r="H24" i="6" s="1"/>
  <c r="M19" i="6"/>
  <c r="I14" i="6"/>
  <c r="C13" i="6"/>
  <c r="H13" i="6" s="1"/>
  <c r="I11" i="6"/>
  <c r="M8" i="6"/>
  <c r="C2" i="6"/>
  <c r="M51" i="6"/>
  <c r="H27" i="5"/>
  <c r="L19" i="5"/>
  <c r="M19" i="5" s="1"/>
  <c r="L8" i="5"/>
  <c r="M8" i="5" s="1"/>
  <c r="L5" i="5"/>
  <c r="M5" i="5" s="1"/>
  <c r="L30" i="5"/>
  <c r="M30" i="5"/>
  <c r="L42" i="5"/>
  <c r="M42" i="5"/>
  <c r="C30" i="5"/>
  <c r="H30" i="5"/>
  <c r="M28" i="5"/>
  <c r="L28" i="5"/>
  <c r="L40" i="5"/>
  <c r="M40" i="5" s="1"/>
  <c r="L38" i="5"/>
  <c r="M38" i="5"/>
  <c r="L36" i="5"/>
  <c r="M36" i="5" s="1"/>
  <c r="N43" i="5"/>
  <c r="L31" i="5"/>
  <c r="M31" i="5"/>
  <c r="M17" i="5"/>
  <c r="L17" i="5"/>
  <c r="L6" i="5"/>
  <c r="M6" i="5" s="1"/>
  <c r="L16" i="5"/>
  <c r="M16" i="5"/>
  <c r="C28" i="5"/>
  <c r="H28" i="5"/>
  <c r="M26" i="5"/>
  <c r="L26" i="5"/>
  <c r="L20" i="5"/>
  <c r="M20" i="5"/>
  <c r="B32" i="5"/>
  <c r="C32" i="5"/>
  <c r="H31" i="5"/>
  <c r="L29" i="5"/>
  <c r="M29" i="5" s="1"/>
  <c r="H24" i="5"/>
  <c r="L15" i="5"/>
  <c r="M15" i="5" s="1"/>
  <c r="L9" i="5"/>
  <c r="M9" i="5"/>
  <c r="M4" i="5"/>
  <c r="L4" i="5"/>
  <c r="L39" i="5"/>
  <c r="M39" i="5" s="1"/>
  <c r="L37" i="5"/>
  <c r="M37" i="5"/>
  <c r="C26" i="5"/>
  <c r="H26" i="5" s="1"/>
  <c r="C23" i="5"/>
  <c r="H23" i="5" s="1"/>
  <c r="L18" i="5"/>
  <c r="M18" i="5"/>
  <c r="H13" i="5"/>
  <c r="H6" i="5"/>
  <c r="C18" i="5"/>
  <c r="L27" i="5"/>
  <c r="M27" i="5"/>
  <c r="C12" i="5"/>
  <c r="H12" i="5" s="1"/>
  <c r="L7" i="5"/>
  <c r="M7" i="5"/>
  <c r="O43" i="5"/>
  <c r="L41" i="5"/>
  <c r="M41" i="5" s="1"/>
  <c r="I32" i="5"/>
  <c r="C31" i="5"/>
  <c r="C29" i="5"/>
  <c r="H29" i="5" s="1"/>
  <c r="C27" i="5"/>
  <c r="C25" i="5"/>
  <c r="H25" i="5" s="1"/>
  <c r="C22" i="5"/>
  <c r="H22" i="5" s="1"/>
  <c r="I21" i="5"/>
  <c r="B20" i="5"/>
  <c r="I19" i="5"/>
  <c r="B18" i="5"/>
  <c r="B16" i="5"/>
  <c r="N14" i="5"/>
  <c r="C11" i="5"/>
  <c r="H11" i="5" s="1"/>
  <c r="I10" i="5"/>
  <c r="B9" i="5"/>
  <c r="C9" i="5" s="1"/>
  <c r="I8" i="5"/>
  <c r="B7" i="5"/>
  <c r="C7" i="5" s="1"/>
  <c r="I6" i="5"/>
  <c r="B5" i="5"/>
  <c r="I4" i="5"/>
  <c r="N3" i="5"/>
  <c r="B3" i="5"/>
  <c r="C3" i="5" s="1"/>
  <c r="I30" i="5"/>
  <c r="N25" i="5"/>
  <c r="D33" i="5"/>
  <c r="I23" i="5"/>
  <c r="I12" i="5"/>
  <c r="I24" i="5"/>
  <c r="I13" i="5"/>
  <c r="D14" i="5"/>
  <c r="I17" i="5" s="1"/>
  <c r="C21" i="5"/>
  <c r="H21" i="5" s="1"/>
  <c r="C19" i="5"/>
  <c r="H19" i="5" s="1"/>
  <c r="C17" i="5"/>
  <c r="H17" i="5" s="1"/>
  <c r="C15" i="5"/>
  <c r="H15" i="5" s="1"/>
  <c r="C10" i="5"/>
  <c r="H10" i="5" s="1"/>
  <c r="C8" i="5"/>
  <c r="H8" i="5" s="1"/>
  <c r="C6" i="5"/>
  <c r="C4" i="5"/>
  <c r="H4" i="5" s="1"/>
  <c r="I18" i="5"/>
  <c r="I16" i="5"/>
  <c r="I14" i="5"/>
  <c r="I9" i="5"/>
  <c r="I7" i="5"/>
  <c r="I5" i="5"/>
  <c r="I3" i="5"/>
  <c r="C2" i="5"/>
  <c r="H2" i="5" s="1"/>
  <c r="I31" i="5"/>
  <c r="I29" i="5"/>
  <c r="I27" i="5"/>
  <c r="I25" i="5"/>
  <c r="I22" i="5"/>
  <c r="L31" i="4"/>
  <c r="M31" i="4" s="1"/>
  <c r="L27" i="4"/>
  <c r="M27" i="4"/>
  <c r="M19" i="4"/>
  <c r="L19" i="4"/>
  <c r="L6" i="4"/>
  <c r="M6" i="4" s="1"/>
  <c r="C4" i="4"/>
  <c r="H4" i="4" s="1"/>
  <c r="H35" i="4"/>
  <c r="H26" i="4"/>
  <c r="B24" i="4"/>
  <c r="H18" i="4"/>
  <c r="C10" i="4"/>
  <c r="H10" i="4" s="1"/>
  <c r="M47" i="4"/>
  <c r="N53" i="4"/>
  <c r="L47" i="4"/>
  <c r="L41" i="4"/>
  <c r="M41" i="4"/>
  <c r="L28" i="4"/>
  <c r="M28" i="4"/>
  <c r="C19" i="4"/>
  <c r="H19" i="4"/>
  <c r="M16" i="4"/>
  <c r="H15" i="4"/>
  <c r="H5" i="4"/>
  <c r="L52" i="4"/>
  <c r="M52" i="4"/>
  <c r="L8" i="4"/>
  <c r="M8" i="4" s="1"/>
  <c r="C6" i="4"/>
  <c r="H6" i="4"/>
  <c r="L50" i="4"/>
  <c r="M50" i="4" s="1"/>
  <c r="N43" i="4"/>
  <c r="H28" i="4"/>
  <c r="H20" i="4"/>
  <c r="H7" i="4"/>
  <c r="L4" i="4"/>
  <c r="M4" i="4" s="1"/>
  <c r="L39" i="4"/>
  <c r="M39" i="4"/>
  <c r="H33" i="4"/>
  <c r="L29" i="4"/>
  <c r="M29" i="4" s="1"/>
  <c r="L17" i="4"/>
  <c r="M17" i="4" s="1"/>
  <c r="N10" i="4"/>
  <c r="L48" i="4"/>
  <c r="M48" i="4" s="1"/>
  <c r="L42" i="4"/>
  <c r="M42" i="4"/>
  <c r="L30" i="4"/>
  <c r="M30" i="4" s="1"/>
  <c r="L26" i="4"/>
  <c r="M26" i="4"/>
  <c r="H21" i="4"/>
  <c r="C21" i="4"/>
  <c r="M18" i="4"/>
  <c r="C17" i="4"/>
  <c r="H17" i="4" s="1"/>
  <c r="C8" i="4"/>
  <c r="H8" i="4"/>
  <c r="I25" i="4"/>
  <c r="Q57" i="4"/>
  <c r="L37" i="4"/>
  <c r="M37" i="4"/>
  <c r="I21" i="4"/>
  <c r="C16" i="4"/>
  <c r="I19" i="4"/>
  <c r="B16" i="4"/>
  <c r="I35" i="4"/>
  <c r="I24" i="4"/>
  <c r="I17" i="4"/>
  <c r="I34" i="4"/>
  <c r="L15" i="4"/>
  <c r="M15" i="4"/>
  <c r="I32" i="4"/>
  <c r="I30" i="4"/>
  <c r="I28" i="4"/>
  <c r="I26" i="4"/>
  <c r="N25" i="4"/>
  <c r="I23" i="4"/>
  <c r="I12" i="4"/>
  <c r="C3" i="4"/>
  <c r="M40" i="4"/>
  <c r="M36" i="4"/>
  <c r="C34" i="4"/>
  <c r="H34" i="4" s="1"/>
  <c r="N14" i="4"/>
  <c r="M9" i="4"/>
  <c r="M7" i="4"/>
  <c r="M5" i="4"/>
  <c r="O53" i="4"/>
  <c r="L51" i="4"/>
  <c r="M51" i="4" s="1"/>
  <c r="L38" i="4"/>
  <c r="M38" i="4" s="1"/>
  <c r="D37" i="4"/>
  <c r="E38" i="4" s="1"/>
  <c r="E39" i="4" s="1"/>
  <c r="L36" i="4"/>
  <c r="P32" i="4"/>
  <c r="P57" i="4" s="1"/>
  <c r="C32" i="4"/>
  <c r="H32" i="4" s="1"/>
  <c r="C30" i="4"/>
  <c r="H30" i="4" s="1"/>
  <c r="C28" i="4"/>
  <c r="C26" i="4"/>
  <c r="C23" i="4"/>
  <c r="H23" i="4" s="1"/>
  <c r="L20" i="4"/>
  <c r="M20" i="4" s="1"/>
  <c r="L18" i="4"/>
  <c r="L16" i="4"/>
  <c r="I13" i="4"/>
  <c r="C12" i="4"/>
  <c r="H12" i="4" s="1"/>
  <c r="L3" i="4"/>
  <c r="O43" i="4"/>
  <c r="O57" i="4" s="1"/>
  <c r="I31" i="4"/>
  <c r="I29" i="4"/>
  <c r="I27" i="4"/>
  <c r="M3" i="4"/>
  <c r="B37" i="4"/>
  <c r="I36" i="4"/>
  <c r="C35" i="4"/>
  <c r="I33" i="4"/>
  <c r="I20" i="4"/>
  <c r="I18" i="4"/>
  <c r="I16" i="4"/>
  <c r="C15" i="4"/>
  <c r="I9" i="4"/>
  <c r="I7" i="4"/>
  <c r="I5" i="4"/>
  <c r="I3" i="4"/>
  <c r="C2" i="4"/>
  <c r="H2" i="4" s="1"/>
  <c r="I22" i="4"/>
  <c r="I14" i="4"/>
  <c r="I11" i="4"/>
  <c r="H30" i="3"/>
  <c r="L28" i="3"/>
  <c r="M28" i="3" s="1"/>
  <c r="L16" i="3"/>
  <c r="M16" i="3"/>
  <c r="H9" i="3"/>
  <c r="L31" i="3"/>
  <c r="M31" i="3" s="1"/>
  <c r="C25" i="3"/>
  <c r="L17" i="3"/>
  <c r="M17" i="3" s="1"/>
  <c r="H10" i="3"/>
  <c r="P48" i="3"/>
  <c r="L18" i="3"/>
  <c r="M18" i="3"/>
  <c r="L29" i="3"/>
  <c r="M29" i="3"/>
  <c r="L19" i="3"/>
  <c r="M19" i="3"/>
  <c r="H13" i="3"/>
  <c r="Q48" i="3"/>
  <c r="L39" i="3"/>
  <c r="M39" i="3" s="1"/>
  <c r="H24" i="3"/>
  <c r="O10" i="3"/>
  <c r="O48" i="3" s="1"/>
  <c r="N7" i="3"/>
  <c r="H23" i="3"/>
  <c r="L20" i="3"/>
  <c r="M20" i="3" s="1"/>
  <c r="H7" i="3"/>
  <c r="L42" i="3"/>
  <c r="M42" i="3" s="1"/>
  <c r="L27" i="3"/>
  <c r="M27" i="3"/>
  <c r="L5" i="3"/>
  <c r="M5" i="3"/>
  <c r="L4" i="3"/>
  <c r="M4" i="3"/>
  <c r="N10" i="3"/>
  <c r="L3" i="3"/>
  <c r="L40" i="3"/>
  <c r="M40" i="3"/>
  <c r="L38" i="3"/>
  <c r="M38" i="3" s="1"/>
  <c r="H32" i="3"/>
  <c r="L30" i="3"/>
  <c r="M30" i="3"/>
  <c r="N21" i="3"/>
  <c r="L14" i="3"/>
  <c r="M14" i="3"/>
  <c r="M36" i="3"/>
  <c r="L36" i="3"/>
  <c r="N43" i="3"/>
  <c r="C27" i="3"/>
  <c r="L25" i="3"/>
  <c r="L15" i="3"/>
  <c r="M15" i="3"/>
  <c r="O43" i="3"/>
  <c r="L41" i="3"/>
  <c r="M41" i="3" s="1"/>
  <c r="B31" i="3"/>
  <c r="B29" i="3"/>
  <c r="B27" i="3"/>
  <c r="B25" i="3"/>
  <c r="B22" i="3"/>
  <c r="C12" i="3"/>
  <c r="H12" i="3" s="1"/>
  <c r="L9" i="3"/>
  <c r="M9" i="3" s="1"/>
  <c r="D6" i="3"/>
  <c r="M37" i="3"/>
  <c r="C32" i="3"/>
  <c r="C30" i="3"/>
  <c r="C28" i="3"/>
  <c r="H28" i="3" s="1"/>
  <c r="C26" i="3"/>
  <c r="H26" i="3" s="1"/>
  <c r="O21" i="3"/>
  <c r="C13" i="3"/>
  <c r="M8" i="3"/>
  <c r="M6" i="3"/>
  <c r="N26" i="3"/>
  <c r="C24" i="3"/>
  <c r="H3" i="3"/>
  <c r="L18" i="2"/>
  <c r="M18" i="2"/>
  <c r="O48" i="2"/>
  <c r="L41" i="2"/>
  <c r="M41" i="2" s="1"/>
  <c r="L4" i="2"/>
  <c r="M4" i="2" s="1"/>
  <c r="L36" i="2"/>
  <c r="L43" i="2" s="1"/>
  <c r="L44" i="2" s="1"/>
  <c r="N43" i="2"/>
  <c r="L27" i="2"/>
  <c r="M27" i="2" s="1"/>
  <c r="L5" i="2"/>
  <c r="M5" i="2"/>
  <c r="L20" i="2"/>
  <c r="M20" i="2"/>
  <c r="L7" i="2"/>
  <c r="M7" i="2"/>
  <c r="L28" i="2"/>
  <c r="M28" i="2"/>
  <c r="L15" i="2"/>
  <c r="M15" i="2" s="1"/>
  <c r="L26" i="2"/>
  <c r="M26" i="2"/>
  <c r="L16" i="2"/>
  <c r="M16" i="2"/>
  <c r="H2" i="2"/>
  <c r="L31" i="2"/>
  <c r="M31" i="2" s="1"/>
  <c r="L40" i="2"/>
  <c r="M40" i="2"/>
  <c r="N32" i="2"/>
  <c r="L25" i="2"/>
  <c r="M25" i="2"/>
  <c r="M17" i="2"/>
  <c r="L17" i="2"/>
  <c r="Q48" i="2"/>
  <c r="L39" i="2"/>
  <c r="M39" i="2" s="1"/>
  <c r="L30" i="2"/>
  <c r="M30" i="2" s="1"/>
  <c r="L19" i="2"/>
  <c r="M19" i="2" s="1"/>
  <c r="L6" i="2"/>
  <c r="M6" i="2" s="1"/>
  <c r="M42" i="2"/>
  <c r="I32" i="2"/>
  <c r="I30" i="2"/>
  <c r="N29" i="2"/>
  <c r="I21" i="2"/>
  <c r="I19" i="2"/>
  <c r="I15" i="2"/>
  <c r="N14" i="2"/>
  <c r="B11" i="2"/>
  <c r="H11" i="2" s="1"/>
  <c r="M9" i="2"/>
  <c r="I6" i="2"/>
  <c r="I4" i="2"/>
  <c r="N3" i="2"/>
  <c r="I28" i="2"/>
  <c r="I26" i="2"/>
  <c r="B22" i="2"/>
  <c r="H22" i="2" s="1"/>
  <c r="I2" i="2"/>
  <c r="I24" i="2"/>
  <c r="I23" i="2"/>
  <c r="I31" i="2"/>
  <c r="I14" i="2"/>
  <c r="I27" i="2"/>
  <c r="I25" i="2"/>
  <c r="M41" i="12" l="1"/>
  <c r="Q32" i="12"/>
  <c r="M9" i="12"/>
  <c r="P21" i="12"/>
  <c r="Q21" i="12"/>
  <c r="P32" i="12"/>
  <c r="Q10" i="12"/>
  <c r="M52" i="12"/>
  <c r="M47" i="13"/>
  <c r="P43" i="13"/>
  <c r="Q32" i="13"/>
  <c r="N37" i="13"/>
  <c r="N43" i="13" s="1"/>
  <c r="L41" i="13"/>
  <c r="M41" i="13" s="1"/>
  <c r="L52" i="13"/>
  <c r="M52" i="13" s="1"/>
  <c r="L50" i="13"/>
  <c r="N54" i="13"/>
  <c r="L29" i="13"/>
  <c r="M29" i="13" s="1"/>
  <c r="L31" i="13"/>
  <c r="M31" i="13" s="1"/>
  <c r="L27" i="13"/>
  <c r="M27" i="13" s="1"/>
  <c r="L36" i="13"/>
  <c r="N21" i="13"/>
  <c r="L14" i="13"/>
  <c r="L21" i="13" s="1"/>
  <c r="L22" i="13" s="1"/>
  <c r="Q43" i="13"/>
  <c r="L25" i="13"/>
  <c r="M25" i="13" s="1"/>
  <c r="N32" i="13"/>
  <c r="L28" i="13"/>
  <c r="M28" i="13" s="1"/>
  <c r="H16" i="13"/>
  <c r="N10" i="13"/>
  <c r="L3" i="13"/>
  <c r="L10" i="13" s="1"/>
  <c r="L26" i="13"/>
  <c r="M26" i="13" s="1"/>
  <c r="M48" i="13"/>
  <c r="H3" i="13"/>
  <c r="P32" i="13"/>
  <c r="L39" i="13"/>
  <c r="M39" i="13" s="1"/>
  <c r="L6" i="12"/>
  <c r="M6" i="12" s="1"/>
  <c r="L8" i="12"/>
  <c r="M8" i="12" s="1"/>
  <c r="L47" i="12"/>
  <c r="M47" i="12" s="1"/>
  <c r="N54" i="12"/>
  <c r="M48" i="12"/>
  <c r="L48" i="12"/>
  <c r="L17" i="12"/>
  <c r="M17" i="12" s="1"/>
  <c r="L49" i="12"/>
  <c r="M49" i="12" s="1"/>
  <c r="L19" i="12"/>
  <c r="M19" i="12" s="1"/>
  <c r="L31" i="12"/>
  <c r="M31" i="12" s="1"/>
  <c r="L4" i="12"/>
  <c r="M4" i="12" s="1"/>
  <c r="H3" i="12"/>
  <c r="N43" i="12"/>
  <c r="L36" i="12"/>
  <c r="M36" i="12"/>
  <c r="L25" i="12"/>
  <c r="M25" i="12" s="1"/>
  <c r="N10" i="12"/>
  <c r="L3" i="12"/>
  <c r="M3" i="12" s="1"/>
  <c r="N29" i="12"/>
  <c r="N32" i="12" s="1"/>
  <c r="P10" i="12"/>
  <c r="L38" i="12"/>
  <c r="M38" i="12" s="1"/>
  <c r="H19" i="12"/>
  <c r="L40" i="12"/>
  <c r="M40" i="12" s="1"/>
  <c r="N15" i="12"/>
  <c r="N21" i="12"/>
  <c r="L14" i="12"/>
  <c r="M14" i="12" s="1"/>
  <c r="L48" i="11"/>
  <c r="M48" i="11"/>
  <c r="L36" i="11"/>
  <c r="L43" i="11" s="1"/>
  <c r="L44" i="11" s="1"/>
  <c r="M36" i="11"/>
  <c r="M43" i="11" s="1"/>
  <c r="N43" i="11"/>
  <c r="L28" i="11"/>
  <c r="M28" i="11"/>
  <c r="L47" i="11"/>
  <c r="M47" i="11"/>
  <c r="N54" i="11"/>
  <c r="L26" i="11"/>
  <c r="M26" i="11"/>
  <c r="N32" i="11"/>
  <c r="C34" i="11"/>
  <c r="H3" i="11"/>
  <c r="H5" i="11"/>
  <c r="B34" i="11"/>
  <c r="L15" i="11"/>
  <c r="M15" i="11" s="1"/>
  <c r="H2" i="11"/>
  <c r="C3" i="11"/>
  <c r="H9" i="11"/>
  <c r="O10" i="11"/>
  <c r="N3" i="11"/>
  <c r="Q43" i="11"/>
  <c r="M16" i="11"/>
  <c r="L16" i="11"/>
  <c r="P43" i="11"/>
  <c r="C5" i="11"/>
  <c r="N21" i="11"/>
  <c r="H14" i="11"/>
  <c r="L5" i="11"/>
  <c r="M5" i="11"/>
  <c r="N19" i="11"/>
  <c r="H10" i="11"/>
  <c r="M25" i="11"/>
  <c r="L38" i="11"/>
  <c r="M38" i="11"/>
  <c r="L7" i="11"/>
  <c r="M7" i="11" s="1"/>
  <c r="L17" i="11"/>
  <c r="M17" i="11"/>
  <c r="H11" i="11"/>
  <c r="L30" i="11"/>
  <c r="L32" i="11" s="1"/>
  <c r="L33" i="11" s="1"/>
  <c r="M30" i="11"/>
  <c r="L49" i="11"/>
  <c r="M49" i="11"/>
  <c r="L28" i="10"/>
  <c r="M28" i="10"/>
  <c r="L17" i="10"/>
  <c r="M17" i="10"/>
  <c r="L30" i="10"/>
  <c r="M30" i="10"/>
  <c r="L19" i="10"/>
  <c r="M19" i="10" s="1"/>
  <c r="L6" i="10"/>
  <c r="M6" i="10" s="1"/>
  <c r="L47" i="10"/>
  <c r="L54" i="10" s="1"/>
  <c r="L55" i="10" s="1"/>
  <c r="N54" i="10"/>
  <c r="L50" i="10"/>
  <c r="M50" i="10"/>
  <c r="L8" i="10"/>
  <c r="M8" i="10"/>
  <c r="L42" i="10"/>
  <c r="M42" i="10"/>
  <c r="Q43" i="10"/>
  <c r="O21" i="10"/>
  <c r="N14" i="10"/>
  <c r="N26" i="10"/>
  <c r="L9" i="10"/>
  <c r="M9" i="10" s="1"/>
  <c r="H14" i="10"/>
  <c r="L16" i="10"/>
  <c r="M16" i="10"/>
  <c r="L51" i="10"/>
  <c r="M51" i="10"/>
  <c r="P21" i="10"/>
  <c r="H17" i="10"/>
  <c r="H16" i="10"/>
  <c r="O10" i="10"/>
  <c r="N3" i="10"/>
  <c r="N41" i="10"/>
  <c r="B32" i="10"/>
  <c r="L5" i="10"/>
  <c r="M5" i="10"/>
  <c r="O43" i="10"/>
  <c r="L7" i="10"/>
  <c r="M7" i="10"/>
  <c r="Q32" i="10"/>
  <c r="C11" i="10"/>
  <c r="C32" i="10" s="1"/>
  <c r="L52" i="10"/>
  <c r="M52" i="10" s="1"/>
  <c r="N36" i="10"/>
  <c r="N32" i="9"/>
  <c r="L26" i="9"/>
  <c r="L28" i="9"/>
  <c r="M28" i="9"/>
  <c r="M17" i="9"/>
  <c r="L17" i="9"/>
  <c r="L41" i="9"/>
  <c r="M41" i="9" s="1"/>
  <c r="L38" i="9"/>
  <c r="M38" i="9"/>
  <c r="L6" i="9"/>
  <c r="M6" i="9" s="1"/>
  <c r="L53" i="9"/>
  <c r="M53" i="9" s="1"/>
  <c r="M54" i="9" s="1"/>
  <c r="L4" i="9"/>
  <c r="M4" i="9" s="1"/>
  <c r="L51" i="9"/>
  <c r="M51" i="9"/>
  <c r="N54" i="9"/>
  <c r="L42" i="9"/>
  <c r="M42" i="9" s="1"/>
  <c r="N21" i="9"/>
  <c r="L14" i="9"/>
  <c r="M14" i="9"/>
  <c r="L30" i="9"/>
  <c r="M30" i="9" s="1"/>
  <c r="L36" i="9"/>
  <c r="M36" i="9" s="1"/>
  <c r="N43" i="9"/>
  <c r="L43" i="9" s="1"/>
  <c r="L44" i="9" s="1"/>
  <c r="L40" i="9"/>
  <c r="M40" i="9"/>
  <c r="P21" i="9"/>
  <c r="O43" i="9"/>
  <c r="P10" i="9"/>
  <c r="L8" i="9"/>
  <c r="M8" i="9" s="1"/>
  <c r="N10" i="9"/>
  <c r="L3" i="9"/>
  <c r="M3" i="9"/>
  <c r="L15" i="9"/>
  <c r="M15" i="9" s="1"/>
  <c r="H3" i="9"/>
  <c r="B37" i="9"/>
  <c r="C3" i="9"/>
  <c r="C37" i="9" s="1"/>
  <c r="L52" i="9"/>
  <c r="M52" i="9"/>
  <c r="L37" i="9"/>
  <c r="M37" i="9"/>
  <c r="P43" i="9"/>
  <c r="Q43" i="9"/>
  <c r="L19" i="9"/>
  <c r="M19" i="9" s="1"/>
  <c r="M21" i="8"/>
  <c r="B21" i="8"/>
  <c r="O10" i="8"/>
  <c r="N3" i="8"/>
  <c r="I23" i="8"/>
  <c r="I27" i="8"/>
  <c r="N32" i="8"/>
  <c r="L25" i="8"/>
  <c r="L32" i="8" s="1"/>
  <c r="L33" i="8" s="1"/>
  <c r="M25" i="8"/>
  <c r="M32" i="8" s="1"/>
  <c r="L5" i="8"/>
  <c r="M5" i="8"/>
  <c r="I22" i="8"/>
  <c r="I29" i="8"/>
  <c r="I24" i="8"/>
  <c r="I26" i="8"/>
  <c r="L27" i="8"/>
  <c r="M27" i="8"/>
  <c r="I25" i="8"/>
  <c r="I31" i="8"/>
  <c r="H3" i="8"/>
  <c r="L7" i="8"/>
  <c r="M7" i="8"/>
  <c r="I28" i="8"/>
  <c r="I30" i="8"/>
  <c r="L21" i="8"/>
  <c r="L22" i="8" s="1"/>
  <c r="H24" i="8"/>
  <c r="D33" i="8"/>
  <c r="E34" i="8" s="1"/>
  <c r="E35" i="8" s="1"/>
  <c r="L9" i="8"/>
  <c r="M9" i="8"/>
  <c r="I32" i="8"/>
  <c r="M36" i="8"/>
  <c r="M43" i="8" s="1"/>
  <c r="L48" i="7"/>
  <c r="M48" i="7"/>
  <c r="L39" i="7"/>
  <c r="M39" i="7"/>
  <c r="B31" i="7"/>
  <c r="C31" i="7" s="1"/>
  <c r="L32" i="7"/>
  <c r="L33" i="7" s="1"/>
  <c r="I34" i="7"/>
  <c r="C13" i="7"/>
  <c r="H13" i="7" s="1"/>
  <c r="L54" i="7"/>
  <c r="L55" i="7" s="1"/>
  <c r="H24" i="7"/>
  <c r="M47" i="7"/>
  <c r="M54" i="7" s="1"/>
  <c r="M43" i="7"/>
  <c r="H35" i="7"/>
  <c r="H3" i="7"/>
  <c r="L31" i="7"/>
  <c r="M31" i="7" s="1"/>
  <c r="M32" i="7" s="1"/>
  <c r="C37" i="7"/>
  <c r="N54" i="7"/>
  <c r="L21" i="7"/>
  <c r="L22" i="7" s="1"/>
  <c r="L43" i="7"/>
  <c r="L44" i="7" s="1"/>
  <c r="N10" i="7"/>
  <c r="L3" i="7"/>
  <c r="L10" i="7" s="1"/>
  <c r="M3" i="7"/>
  <c r="M10" i="7" s="1"/>
  <c r="B38" i="7"/>
  <c r="B39" i="7" s="1"/>
  <c r="I37" i="7"/>
  <c r="N21" i="6"/>
  <c r="L14" i="6"/>
  <c r="L21" i="6" s="1"/>
  <c r="L22" i="6" s="1"/>
  <c r="M14" i="6"/>
  <c r="M21" i="6" s="1"/>
  <c r="N32" i="6"/>
  <c r="L25" i="6"/>
  <c r="M25" i="6"/>
  <c r="L16" i="6"/>
  <c r="M16" i="6"/>
  <c r="H3" i="6"/>
  <c r="N10" i="6"/>
  <c r="L3" i="6"/>
  <c r="M3" i="6"/>
  <c r="H28" i="6"/>
  <c r="L29" i="6"/>
  <c r="M29" i="6"/>
  <c r="L36" i="6"/>
  <c r="L43" i="6" s="1"/>
  <c r="L44" i="6" s="1"/>
  <c r="M36" i="6"/>
  <c r="M43" i="6" s="1"/>
  <c r="N43" i="6"/>
  <c r="L48" i="6"/>
  <c r="M48" i="6"/>
  <c r="M54" i="6" s="1"/>
  <c r="B38" i="6"/>
  <c r="L54" i="6"/>
  <c r="L55" i="6" s="1"/>
  <c r="C5" i="6"/>
  <c r="C38" i="6" s="1"/>
  <c r="L5" i="6"/>
  <c r="M5" i="6" s="1"/>
  <c r="M43" i="5"/>
  <c r="N10" i="5"/>
  <c r="L3" i="5"/>
  <c r="L10" i="5" s="1"/>
  <c r="L11" i="5" s="1"/>
  <c r="H20" i="5"/>
  <c r="N21" i="5"/>
  <c r="L14" i="5"/>
  <c r="L21" i="5" s="1"/>
  <c r="L22" i="5" s="1"/>
  <c r="H32" i="5"/>
  <c r="E34" i="5"/>
  <c r="E35" i="5" s="1"/>
  <c r="I15" i="5"/>
  <c r="N32" i="5"/>
  <c r="L25" i="5"/>
  <c r="L32" i="5" s="1"/>
  <c r="L33" i="5" s="1"/>
  <c r="C20" i="5"/>
  <c r="C5" i="5"/>
  <c r="C33" i="5" s="1"/>
  <c r="I20" i="5"/>
  <c r="I26" i="5"/>
  <c r="H7" i="5"/>
  <c r="H3" i="5"/>
  <c r="B14" i="5"/>
  <c r="C14" i="5" s="1"/>
  <c r="I28" i="5"/>
  <c r="H18" i="5"/>
  <c r="C16" i="5"/>
  <c r="H16" i="5" s="1"/>
  <c r="H9" i="5"/>
  <c r="L43" i="5"/>
  <c r="L44" i="5" s="1"/>
  <c r="I37" i="4"/>
  <c r="B38" i="4"/>
  <c r="B39" i="4" s="1"/>
  <c r="M10" i="4"/>
  <c r="N32" i="4"/>
  <c r="L25" i="4"/>
  <c r="L32" i="4" s="1"/>
  <c r="L33" i="4" s="1"/>
  <c r="M25" i="4"/>
  <c r="M32" i="4" s="1"/>
  <c r="H24" i="4"/>
  <c r="L43" i="4"/>
  <c r="L44" i="4" s="1"/>
  <c r="N21" i="4"/>
  <c r="N57" i="4" s="1"/>
  <c r="L14" i="4"/>
  <c r="L21" i="4" s="1"/>
  <c r="L22" i="4" s="1"/>
  <c r="M14" i="4"/>
  <c r="M21" i="4" s="1"/>
  <c r="L53" i="4"/>
  <c r="L54" i="4" s="1"/>
  <c r="C24" i="4"/>
  <c r="M43" i="4"/>
  <c r="M53" i="4"/>
  <c r="H16" i="4"/>
  <c r="L10" i="4"/>
  <c r="C37" i="4"/>
  <c r="H3" i="4"/>
  <c r="H29" i="3"/>
  <c r="H31" i="3"/>
  <c r="C29" i="3"/>
  <c r="L10" i="3"/>
  <c r="I15" i="3"/>
  <c r="I19" i="3"/>
  <c r="D33" i="3"/>
  <c r="E34" i="3" s="1"/>
  <c r="E35" i="3" s="1"/>
  <c r="I6" i="3"/>
  <c r="I8" i="3"/>
  <c r="I10" i="3"/>
  <c r="I23" i="3"/>
  <c r="I12" i="3"/>
  <c r="I22" i="3"/>
  <c r="I25" i="3"/>
  <c r="I27" i="3"/>
  <c r="I29" i="3"/>
  <c r="I31" i="3"/>
  <c r="I7" i="3"/>
  <c r="B6" i="3"/>
  <c r="I11" i="3"/>
  <c r="I14" i="3"/>
  <c r="I16" i="3"/>
  <c r="I18" i="3"/>
  <c r="I20" i="3"/>
  <c r="C6" i="3"/>
  <c r="C33" i="3" s="1"/>
  <c r="I24" i="3"/>
  <c r="I17" i="3"/>
  <c r="I9" i="3"/>
  <c r="I13" i="3"/>
  <c r="I26" i="3"/>
  <c r="I28" i="3"/>
  <c r="I30" i="3"/>
  <c r="I32" i="3"/>
  <c r="I21" i="3"/>
  <c r="L43" i="3"/>
  <c r="L44" i="3" s="1"/>
  <c r="M7" i="3"/>
  <c r="L7" i="3"/>
  <c r="M21" i="3"/>
  <c r="H25" i="3"/>
  <c r="M25" i="3"/>
  <c r="M32" i="3" s="1"/>
  <c r="L21" i="3"/>
  <c r="L22" i="3" s="1"/>
  <c r="C31" i="3"/>
  <c r="M43" i="3"/>
  <c r="H22" i="3"/>
  <c r="L26" i="3"/>
  <c r="L32" i="3" s="1"/>
  <c r="L33" i="3" s="1"/>
  <c r="M26" i="3"/>
  <c r="H27" i="3"/>
  <c r="N32" i="3"/>
  <c r="N48" i="3" s="1"/>
  <c r="M3" i="3"/>
  <c r="C22" i="3"/>
  <c r="B33" i="2"/>
  <c r="N21" i="2"/>
  <c r="L14" i="2"/>
  <c r="L21" i="2" s="1"/>
  <c r="L22" i="2" s="1"/>
  <c r="L32" i="2"/>
  <c r="L33" i="2" s="1"/>
  <c r="N10" i="2"/>
  <c r="N48" i="2" s="1"/>
  <c r="L3" i="2"/>
  <c r="L10" i="2" s="1"/>
  <c r="L29" i="2"/>
  <c r="M29" i="2"/>
  <c r="M32" i="2" s="1"/>
  <c r="M36" i="2"/>
  <c r="M43" i="2" s="1"/>
  <c r="M3" i="13" l="1"/>
  <c r="M10" i="13" s="1"/>
  <c r="L37" i="13"/>
  <c r="M37" i="13" s="1"/>
  <c r="L54" i="13"/>
  <c r="L55" i="13" s="1"/>
  <c r="I37" i="13"/>
  <c r="B38" i="13"/>
  <c r="B39" i="13" s="1"/>
  <c r="M14" i="13"/>
  <c r="M21" i="13" s="1"/>
  <c r="M50" i="13"/>
  <c r="M54" i="13" s="1"/>
  <c r="M36" i="13"/>
  <c r="M32" i="13"/>
  <c r="L11" i="13"/>
  <c r="L32" i="13"/>
  <c r="L33" i="13" s="1"/>
  <c r="L10" i="12"/>
  <c r="I37" i="12"/>
  <c r="B38" i="12"/>
  <c r="B39" i="12" s="1"/>
  <c r="M54" i="12"/>
  <c r="L54" i="12"/>
  <c r="L55" i="12" s="1"/>
  <c r="M10" i="12"/>
  <c r="M43" i="12"/>
  <c r="L15" i="12"/>
  <c r="L21" i="12" s="1"/>
  <c r="L22" i="12" s="1"/>
  <c r="L29" i="12"/>
  <c r="L32" i="12" s="1"/>
  <c r="L33" i="12" s="1"/>
  <c r="M29" i="12"/>
  <c r="M32" i="12" s="1"/>
  <c r="L43" i="12"/>
  <c r="L44" i="12" s="1"/>
  <c r="M54" i="11"/>
  <c r="M32" i="11"/>
  <c r="L21" i="11"/>
  <c r="L22" i="11" s="1"/>
  <c r="L54" i="11"/>
  <c r="L55" i="11" s="1"/>
  <c r="I34" i="11"/>
  <c r="B35" i="11"/>
  <c r="B36" i="11" s="1"/>
  <c r="N10" i="11"/>
  <c r="L3" i="11"/>
  <c r="L10" i="11" s="1"/>
  <c r="M3" i="11"/>
  <c r="M10" i="11" s="1"/>
  <c r="L19" i="11"/>
  <c r="M19" i="11"/>
  <c r="M21" i="11" s="1"/>
  <c r="B33" i="10"/>
  <c r="B34" i="10" s="1"/>
  <c r="I32" i="10"/>
  <c r="N21" i="10"/>
  <c r="L14" i="10"/>
  <c r="L21" i="10" s="1"/>
  <c r="L22" i="10" s="1"/>
  <c r="M14" i="10"/>
  <c r="M21" i="10" s="1"/>
  <c r="L41" i="10"/>
  <c r="M41" i="10" s="1"/>
  <c r="N10" i="10"/>
  <c r="L3" i="10"/>
  <c r="L10" i="10" s="1"/>
  <c r="H11" i="10"/>
  <c r="M47" i="10"/>
  <c r="M54" i="10" s="1"/>
  <c r="L36" i="10"/>
  <c r="M36" i="10"/>
  <c r="N43" i="10"/>
  <c r="L26" i="10"/>
  <c r="L32" i="10" s="1"/>
  <c r="L33" i="10" s="1"/>
  <c r="M26" i="10"/>
  <c r="M32" i="10" s="1"/>
  <c r="N32" i="10"/>
  <c r="M43" i="9"/>
  <c r="L54" i="9"/>
  <c r="L55" i="9" s="1"/>
  <c r="M10" i="9"/>
  <c r="L10" i="9"/>
  <c r="M21" i="9"/>
  <c r="L32" i="9"/>
  <c r="L33" i="9" s="1"/>
  <c r="L21" i="9"/>
  <c r="L22" i="9" s="1"/>
  <c r="I37" i="9"/>
  <c r="B38" i="9"/>
  <c r="B39" i="9" s="1"/>
  <c r="M26" i="9"/>
  <c r="M32" i="9" s="1"/>
  <c r="H21" i="8"/>
  <c r="B33" i="8"/>
  <c r="N10" i="8"/>
  <c r="L3" i="8"/>
  <c r="L10" i="8" s="1"/>
  <c r="M3" i="8"/>
  <c r="M10" i="8" s="1"/>
  <c r="C21" i="8"/>
  <c r="C33" i="8" s="1"/>
  <c r="H31" i="7"/>
  <c r="L11" i="7"/>
  <c r="L60" i="7"/>
  <c r="H5" i="6"/>
  <c r="I38" i="6"/>
  <c r="B39" i="6"/>
  <c r="B40" i="6" s="1"/>
  <c r="M10" i="6"/>
  <c r="L32" i="6"/>
  <c r="L33" i="6" s="1"/>
  <c r="M32" i="6"/>
  <c r="L10" i="6"/>
  <c r="H5" i="5"/>
  <c r="M3" i="5"/>
  <c r="M10" i="5" s="1"/>
  <c r="H14" i="5"/>
  <c r="B33" i="5"/>
  <c r="M25" i="5"/>
  <c r="M32" i="5" s="1"/>
  <c r="M14" i="5"/>
  <c r="M21" i="5" s="1"/>
  <c r="M57" i="4"/>
  <c r="L11" i="4"/>
  <c r="L57" i="4"/>
  <c r="L58" i="4" s="1"/>
  <c r="H6" i="3"/>
  <c r="B33" i="3"/>
  <c r="L11" i="3"/>
  <c r="L49" i="3" s="1"/>
  <c r="L48" i="3"/>
  <c r="M10" i="3"/>
  <c r="M48" i="3" s="1"/>
  <c r="L48" i="2"/>
  <c r="L11" i="2"/>
  <c r="L49" i="2" s="1"/>
  <c r="M14" i="2"/>
  <c r="M21" i="2" s="1"/>
  <c r="I33" i="2"/>
  <c r="B34" i="2"/>
  <c r="B35" i="2" s="1"/>
  <c r="M3" i="2"/>
  <c r="M10" i="2" s="1"/>
  <c r="M48" i="2" s="1"/>
  <c r="L43" i="13" l="1"/>
  <c r="L44" i="13" s="1"/>
  <c r="M43" i="13"/>
  <c r="M15" i="12"/>
  <c r="M21" i="12" s="1"/>
  <c r="L11" i="12"/>
  <c r="L60" i="12"/>
  <c r="L11" i="11"/>
  <c r="L60" i="11"/>
  <c r="M43" i="10"/>
  <c r="L43" i="10"/>
  <c r="L44" i="10" s="1"/>
  <c r="M3" i="10"/>
  <c r="M10" i="10" s="1"/>
  <c r="L11" i="10"/>
  <c r="L60" i="10"/>
  <c r="L11" i="9"/>
  <c r="L60" i="9"/>
  <c r="L11" i="8"/>
  <c r="L50" i="8"/>
  <c r="I33" i="8"/>
  <c r="B34" i="8"/>
  <c r="B35" i="8" s="1"/>
  <c r="L11" i="6"/>
  <c r="L60" i="6"/>
  <c r="L49" i="5"/>
  <c r="I33" i="5"/>
  <c r="B34" i="5"/>
  <c r="B35" i="5" s="1"/>
  <c r="I33" i="3"/>
  <c r="B34" i="3"/>
  <c r="B35" i="3" s="1"/>
</calcChain>
</file>

<file path=xl/sharedStrings.xml><?xml version="1.0" encoding="utf-8"?>
<sst xmlns="http://schemas.openxmlformats.org/spreadsheetml/2006/main" count="731" uniqueCount="11">
  <si>
    <t>Mul Bhag</t>
  </si>
  <si>
    <t>Expense</t>
  </si>
  <si>
    <t>Account Transfer</t>
  </si>
  <si>
    <t>Cash</t>
  </si>
  <si>
    <t>Total</t>
  </si>
  <si>
    <t>Actual</t>
  </si>
  <si>
    <t>Profit</t>
  </si>
  <si>
    <t>Date</t>
  </si>
  <si>
    <t>Cash In Hand</t>
  </si>
  <si>
    <t>Percentage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</si>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</sst>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1" applyNumberFormat="1" applyFont="1"/>
    <xf numFmtId="164" fontId="0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2" fillId="5" borderId="3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2" fillId="5" borderId="5" xfId="1" applyNumberFormat="1" applyFont="1" applyFill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 vertical="center"/>
    </xf>
    <xf numFmtId="164" fontId="0" fillId="5" borderId="4" xfId="1" applyNumberFormat="1" applyFont="1" applyFill="1" applyBorder="1" applyAlignment="1">
      <alignment horizontal="center" vertical="center"/>
    </xf>
    <xf numFmtId="166" fontId="2" fillId="5" borderId="6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 applyProtection="1">
      <alignment horizontal="center" vertical="center"/>
      <protection locked="0"/>
    </xf>
    <xf numFmtId="10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1" applyNumberFormat="1" applyFont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1" quotePrefix="1" applyNumberFormat="1" applyFont="1" applyBorder="1" applyAlignment="1" applyProtection="1">
      <alignment horizontal="center" vertical="center"/>
      <protection locked="0"/>
    </xf>
    <xf numFmtId="1" fontId="0" fillId="4" borderId="7" xfId="0" applyNumberFormat="1" applyFill="1" applyBorder="1" applyAlignment="1" applyProtection="1">
      <alignment horizontal="center" vertical="center"/>
      <protection locked="0"/>
    </xf>
    <xf numFmtId="1" fontId="0" fillId="4" borderId="8" xfId="0" applyNumberFormat="1" applyFill="1" applyBorder="1" applyAlignment="1" applyProtection="1">
      <alignment horizontal="center" vertical="center"/>
      <protection locked="0"/>
    </xf>
    <xf numFmtId="164" fontId="0" fillId="4" borderId="9" xfId="1" applyNumberFormat="1" applyFont="1" applyFill="1" applyBorder="1" applyAlignment="1" applyProtection="1">
      <alignment horizontal="center" vertical="center"/>
      <protection locked="0"/>
    </xf>
    <xf numFmtId="164" fontId="0" fillId="4" borderId="8" xfId="1" applyNumberFormat="1" applyFont="1" applyFill="1" applyBorder="1" applyAlignment="1" applyProtection="1">
      <alignment horizontal="center" vertical="center"/>
      <protection locked="0"/>
    </xf>
    <xf numFmtId="1" fontId="0" fillId="4" borderId="10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164" fontId="3" fillId="4" borderId="1" xfId="1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0" fillId="4" borderId="7" xfId="0" applyNumberFormat="1" applyFill="1" applyBorder="1" applyAlignment="1" applyProtection="1">
      <alignment horizontal="center" vertical="center" wrapText="1"/>
      <protection locked="0"/>
    </xf>
    <xf numFmtId="1" fontId="0" fillId="4" borderId="8" xfId="0" applyNumberFormat="1" applyFill="1" applyBorder="1" applyAlignment="1" applyProtection="1">
      <alignment horizontal="center" vertical="center" wrapText="1"/>
      <protection locked="0"/>
    </xf>
    <xf numFmtId="164" fontId="0" fillId="4" borderId="9" xfId="1" applyNumberFormat="1" applyFont="1" applyFill="1" applyBorder="1" applyAlignment="1" applyProtection="1">
      <alignment horizontal="center" vertical="center" wrapText="1"/>
      <protection locked="0"/>
    </xf>
    <xf numFmtId="164" fontId="0" fillId="4" borderId="8" xfId="1" applyNumberFormat="1" applyFont="1" applyFill="1" applyBorder="1" applyAlignment="1" applyProtection="1">
      <alignment horizontal="center" vertical="center" wrapText="1"/>
      <protection locked="0"/>
    </xf>
    <xf numFmtId="1" fontId="0" fillId="4" borderId="10" xfId="0" applyNumberFormat="1" applyFill="1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168"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dhana%20Master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dhana Income 2022"/>
      <sheetName val="Sadhana Income 2020 -2021"/>
      <sheetName val="Master"/>
      <sheetName val="Product Code"/>
      <sheetName val="Invoice Wholesale"/>
      <sheetName val="Aug 2020"/>
      <sheetName val="Pricing"/>
      <sheetName val="July 2020"/>
      <sheetName val="Sept 2020"/>
      <sheetName val="Dec 2020"/>
      <sheetName val="Jan 2021"/>
      <sheetName val="Feb 2021"/>
      <sheetName val="March 2021"/>
      <sheetName val="Apr 2021"/>
      <sheetName val="May 2021"/>
      <sheetName val="June 2021"/>
      <sheetName val="July 2021"/>
      <sheetName val="August 2021"/>
      <sheetName val="September 2021"/>
      <sheetName val="October 2021"/>
      <sheetName val="November 2021"/>
      <sheetName val="December 2021"/>
      <sheetName val="January 2022"/>
      <sheetName val="Febuary 2022"/>
      <sheetName val="March 2022"/>
      <sheetName val="April 2022"/>
      <sheetName val="May 2022"/>
      <sheetName val="June 2022"/>
      <sheetName val="July 2022"/>
      <sheetName val="August 2022"/>
      <sheetName val="September 2022"/>
      <sheetName val="October 2022"/>
      <sheetName val="November 2022"/>
      <sheetName val="Decemeber 2022"/>
      <sheetName val="Sadhana Master Excel"/>
    </sheetNames>
    <sheetDataSet>
      <sheetData sheetId="0"/>
      <sheetData sheetId="1"/>
      <sheetData sheetId="2"/>
      <sheetData sheetId="3"/>
      <sheetData sheetId="4"/>
      <sheetData sheetId="5">
        <row r="33">
          <cell r="E33">
            <v>273465</v>
          </cell>
        </row>
      </sheetData>
      <sheetData sheetId="6"/>
      <sheetData sheetId="7">
        <row r="35">
          <cell r="C35">
            <v>211000</v>
          </cell>
        </row>
      </sheetData>
      <sheetData sheetId="8">
        <row r="33">
          <cell r="E33">
            <v>434922</v>
          </cell>
        </row>
      </sheetData>
      <sheetData sheetId="9">
        <row r="33">
          <cell r="E33">
            <v>316680</v>
          </cell>
        </row>
      </sheetData>
      <sheetData sheetId="10">
        <row r="33">
          <cell r="E33">
            <v>286914</v>
          </cell>
        </row>
      </sheetData>
      <sheetData sheetId="11">
        <row r="30">
          <cell r="E30">
            <v>197904</v>
          </cell>
        </row>
      </sheetData>
      <sheetData sheetId="12">
        <row r="33">
          <cell r="E33">
            <v>326910</v>
          </cell>
        </row>
      </sheetData>
      <sheetData sheetId="13">
        <row r="33">
          <cell r="E33">
            <v>36298</v>
          </cell>
        </row>
      </sheetData>
      <sheetData sheetId="14">
        <row r="33">
          <cell r="E33">
            <v>40116</v>
          </cell>
        </row>
      </sheetData>
      <sheetData sheetId="15">
        <row r="33">
          <cell r="E33">
            <v>122430</v>
          </cell>
        </row>
      </sheetData>
      <sheetData sheetId="16">
        <row r="33">
          <cell r="E33">
            <v>281580</v>
          </cell>
        </row>
      </sheetData>
      <sheetData sheetId="17">
        <row r="33">
          <cell r="D33">
            <v>278616</v>
          </cell>
        </row>
      </sheetData>
      <sheetData sheetId="18">
        <row r="32">
          <cell r="D32">
            <v>519675</v>
          </cell>
        </row>
      </sheetData>
      <sheetData sheetId="19">
        <row r="38">
          <cell r="D38">
            <v>4814015</v>
          </cell>
        </row>
      </sheetData>
      <sheetData sheetId="20">
        <row r="32">
          <cell r="D32">
            <v>837290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46AAB-C91D-43A7-8F4D-40CCB8ACCC0F}" name="Table23453456879111215141617" displayName="Table23453456879111215141617" ref="A1:I32" totalsRowShown="0" headerRowDxfId="167" dataDxfId="165" headerRowBorderDxfId="166" tableBorderDxfId="164" totalsRowBorderDxfId="163">
  <tableColumns count="9">
    <tableColumn id="1" xr3:uid="{91F6DA37-4D30-46BE-9393-07927A886DBD}" name="Date" dataDxfId="162"/>
    <tableColumn id="2" xr3:uid="{46914432-2E95-42EF-8B87-C88843ED334E}" name="Profit" dataDxfId="161" dataCellStyle="Comma">
      <calculatedColumnFormula>D2*0.42</calculatedColumnFormula>
    </tableColumn>
    <tableColumn id="3" xr3:uid="{E119F154-B792-415D-9EE9-953D9A8AB580}" name="Actual" dataDxfId="160" dataCellStyle="Comma">
      <calculatedColumnFormula>[1]!Table234534568791112151416[[#This Row],[Total]]-[1]!Table234534568791112151416[[#This Row],[Profit]]</calculatedColumnFormula>
    </tableColumn>
    <tableColumn id="5" xr3:uid="{353A8B21-0E22-45A2-808D-D99D8ECD097F}" name="Total" dataDxfId="159" dataCellStyle="Comma">
      <calculatedColumnFormula>[1]!Table234534568791112151416[[#This Row],[Account Transfer]]+[1]!Table234534568791112151416[[#This Row],[Cash]]</calculatedColumnFormula>
    </tableColumn>
    <tableColumn id="11" xr3:uid="{75727091-716B-432C-B8AC-C727469425E3}" name="Cash" dataDxfId="158" dataCellStyle="Comma"/>
    <tableColumn id="10" xr3:uid="{BC834657-714E-45A0-B63E-286001A3663D}" name="Account Transfer" dataDxfId="157" dataCellStyle="Comma"/>
    <tableColumn id="4" xr3:uid="{50BE3523-75D5-4283-9B16-AAAA4669187A}" name="Expense" dataDxfId="156" dataCellStyle="Comma"/>
    <tableColumn id="6" xr3:uid="{548DC50B-6B6D-4DAB-A254-471C1464F873}" name="Percentage" dataDxfId="155">
      <calculatedColumnFormula>IFERROR(B2/C2,0)</calculatedColumnFormula>
    </tableColumn>
    <tableColumn id="7" xr3:uid="{6D4EE6B3-876D-4EB2-ADCF-B7EA84526615}" name="Cash In Hand" dataDxfId="154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019B2A-0FE7-4560-BE63-4C3254FE51F6}" name="Table2345345687911121514161718" displayName="Table2345345687911121514161718" ref="A1:I32" totalsRowShown="0" headerRowDxfId="153" dataDxfId="151" headerRowBorderDxfId="152" tableBorderDxfId="150" totalsRowBorderDxfId="149">
  <tableColumns count="9">
    <tableColumn id="1" xr3:uid="{E050F8DB-6F85-4C22-9E22-282B520011B0}" name="Date" dataDxfId="148"/>
    <tableColumn id="2" xr3:uid="{E35E0D06-E21D-43B1-AFB4-AD5F4B9960D4}" name="Profit" dataDxfId="147" dataCellStyle="Comma">
      <calculatedColumnFormula>D2*0.42</calculatedColumnFormula>
    </tableColumn>
    <tableColumn id="3" xr3:uid="{7E954DBB-7168-4F6E-9C26-BF30B11F7561}" name="Actual" dataDxfId="146" dataCellStyle="Comma">
      <calculatedColumnFormula>D2-B2</calculatedColumnFormula>
    </tableColumn>
    <tableColumn id="5" xr3:uid="{56BB09B8-3A14-4DB6-B15E-F6F6C546E3DC}" name="Total" dataDxfId="145" dataCellStyle="Comma">
      <calculatedColumnFormula>E2+F2</calculatedColumnFormula>
    </tableColumn>
    <tableColumn id="11" xr3:uid="{C1F9A5FA-613F-4E82-BBFC-C3E5EB273708}" name="Cash" dataDxfId="144" dataCellStyle="Comma"/>
    <tableColumn id="10" xr3:uid="{AF8AC5A6-C02F-4693-8D13-77513A924954}" name="Account Transfer" dataDxfId="143" dataCellStyle="Comma"/>
    <tableColumn id="4" xr3:uid="{2C5FB3DC-3F26-4D5C-A237-F1E7A701E1B9}" name="Expense" dataDxfId="142" dataCellStyle="Comma"/>
    <tableColumn id="6" xr3:uid="{01FE4FE1-2BD5-4C57-BFF4-A794A368FA2B}" name="Percentage" dataDxfId="141">
      <calculatedColumnFormula>IFERROR(B2/C2,0)</calculatedColumnFormula>
    </tableColumn>
    <tableColumn id="7" xr3:uid="{2E4390F6-BCDC-427E-A04F-A7B244CEA8EC}" name="Cash In Hand" dataDxfId="140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74B2E-DE68-46DD-AE7F-224B8BAEDF42}" name="Table234534568791112151416171819" displayName="Table234534568791112151416171819" ref="A1:I36" totalsRowShown="0" headerRowDxfId="139" dataDxfId="137" headerRowBorderDxfId="138" tableBorderDxfId="136" totalsRowBorderDxfId="135">
  <tableColumns count="9">
    <tableColumn id="1" xr3:uid="{A7BA12C1-D84C-47B0-A784-86AA0E210DE6}" name="Date" dataDxfId="134"/>
    <tableColumn id="2" xr3:uid="{893D9088-7677-4957-A9DA-8F9CD7D749A6}" name="Profit" dataDxfId="133" dataCellStyle="Comma">
      <calculatedColumnFormula>D2*0.42</calculatedColumnFormula>
    </tableColumn>
    <tableColumn id="3" xr3:uid="{97EAA902-F892-4A41-B6EA-876D3D5AC430}" name="Actual" dataDxfId="132" dataCellStyle="Comma">
      <calculatedColumnFormula>D2-B2</calculatedColumnFormula>
    </tableColumn>
    <tableColumn id="5" xr3:uid="{4924BB58-569F-44F9-9C6C-CFBAA5C8D508}" name="Total" dataDxfId="131" dataCellStyle="Comma">
      <calculatedColumnFormula>E2+F2</calculatedColumnFormula>
    </tableColumn>
    <tableColumn id="11" xr3:uid="{955B5DE5-2491-44AC-87F0-A2A4A43EC130}" name="Cash" dataDxfId="130" dataCellStyle="Comma"/>
    <tableColumn id="10" xr3:uid="{E819D9DB-9938-463D-B1F9-8965B87BB747}" name="Account Transfer" dataDxfId="129" dataCellStyle="Comma"/>
    <tableColumn id="4" xr3:uid="{B1CD128D-2C4F-4C3D-BE18-9D9F3D8B7AE5}" name="Expense" dataDxfId="128" dataCellStyle="Comma"/>
    <tableColumn id="6" xr3:uid="{B748ED23-F4D8-4A00-8717-30EADACC1438}" name="Percentage" dataDxfId="127">
      <calculatedColumnFormula>IFERROR(B2/C2,0)</calculatedColumnFormula>
    </tableColumn>
    <tableColumn id="7" xr3:uid="{30FCEEFD-2370-4730-B0D4-0E03BB2924EE}" name="Cash In Hand" dataDxfId="126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15462-B19A-4E2F-B1E1-D7A5D8B345DC}" name="Table23453456879111215141617181920" displayName="Table23453456879111215141617181920" ref="A1:I32" totalsRowShown="0" headerRowDxfId="125" dataDxfId="123" headerRowBorderDxfId="124" tableBorderDxfId="122" totalsRowBorderDxfId="121">
  <tableColumns count="9">
    <tableColumn id="1" xr3:uid="{A19E7B80-7441-4AF0-9DD4-47E3E07E92C9}" name="Date" dataDxfId="120"/>
    <tableColumn id="2" xr3:uid="{A0CF7363-C3D4-46C9-9A14-BD492E5C7ED7}" name="Profit" dataDxfId="119" dataCellStyle="Comma">
      <calculatedColumnFormula>D2*0.42</calculatedColumnFormula>
    </tableColumn>
    <tableColumn id="3" xr3:uid="{8C684DB4-6313-41D3-8168-6B1CC140F2DE}" name="Actual" dataDxfId="118" dataCellStyle="Comma">
      <calculatedColumnFormula>D2-B2</calculatedColumnFormula>
    </tableColumn>
    <tableColumn id="5" xr3:uid="{A5203307-298D-4C21-B010-FB98D25B8820}" name="Total" dataDxfId="117" dataCellStyle="Comma">
      <calculatedColumnFormula>E2+F2</calculatedColumnFormula>
    </tableColumn>
    <tableColumn id="11" xr3:uid="{00FFFF9F-5563-46E6-99DF-047D9A06E4BE}" name="Cash" dataDxfId="116" dataCellStyle="Comma"/>
    <tableColumn id="10" xr3:uid="{C7D6E3AE-F2BB-493A-8557-958D600C29E4}" name="Account Transfer" dataDxfId="115" dataCellStyle="Comma"/>
    <tableColumn id="4" xr3:uid="{E7666A38-35E5-4DEA-8DEC-28D71B6339F8}" name="Expense" dataDxfId="114" dataCellStyle="Comma"/>
    <tableColumn id="6" xr3:uid="{58742FD7-0256-470B-A919-E1502646E63E}" name="Percentage" dataDxfId="113">
      <calculatedColumnFormula>IFERROR(B2/C2,0)</calculatedColumnFormula>
    </tableColumn>
    <tableColumn id="7" xr3:uid="{808F5188-E6BA-448E-84D2-0E66D22F0ED5}" name="Cash In Hand" dataDxfId="112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5BA200-224A-4719-95FB-77AC98C424BA}" name="Table2345345687911121514161718192021" displayName="Table2345345687911121514161718192021" ref="A1:I37" totalsRowShown="0" headerRowDxfId="111" dataDxfId="109" headerRowBorderDxfId="110" tableBorderDxfId="108" totalsRowBorderDxfId="107">
  <tableColumns count="9">
    <tableColumn id="1" xr3:uid="{143AFEBE-8AEA-4582-9053-3A5434C54974}" name="Date" dataDxfId="106"/>
    <tableColumn id="2" xr3:uid="{60F3A265-F8D3-4653-A87E-802A73744A8E}" name="Profit" dataDxfId="105" dataCellStyle="Comma">
      <calculatedColumnFormula>D2*0.42</calculatedColumnFormula>
    </tableColumn>
    <tableColumn id="3" xr3:uid="{EE4195FA-E3AC-48D2-96A2-0FDFF288E85C}" name="Actual" dataDxfId="104" dataCellStyle="Comma">
      <calculatedColumnFormula>D2-B2</calculatedColumnFormula>
    </tableColumn>
    <tableColumn id="5" xr3:uid="{C312F807-E873-4AE4-AA92-F9DD01EABA86}" name="Total" dataDxfId="103" dataCellStyle="Comma">
      <calculatedColumnFormula>E2+F2</calculatedColumnFormula>
    </tableColumn>
    <tableColumn id="11" xr3:uid="{75C16476-38AE-4AFA-8C99-1474D8A53077}" name="Cash" dataDxfId="102" dataCellStyle="Comma"/>
    <tableColumn id="10" xr3:uid="{0C6B4E94-C16B-49BC-A860-601A2A0293DD}" name="Account Transfer" dataDxfId="101" dataCellStyle="Comma"/>
    <tableColumn id="4" xr3:uid="{5E096F36-82F1-43EF-BA58-61F232CB1F0B}" name="Expense" dataDxfId="100" dataCellStyle="Comma"/>
    <tableColumn id="6" xr3:uid="{5BB34F1C-E3C5-466E-A1DE-67FFC04A2731}" name="Percentage" dataDxfId="99">
      <calculatedColumnFormula>IFERROR(B2/C2,0)</calculatedColumnFormula>
    </tableColumn>
    <tableColumn id="7" xr3:uid="{553293EF-9C06-45C8-AE00-9D360467AD89}" name="Cash In Hand" dataDxfId="98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FE6B4E-1874-46D3-816B-DE809F57175A}" name="Table234534568791112151416171819202122" displayName="Table234534568791112151416171819202122" ref="A1:I36" totalsRowShown="0" headerRowDxfId="97" dataDxfId="95" headerRowBorderDxfId="96" tableBorderDxfId="94" totalsRowBorderDxfId="93">
  <tableColumns count="9">
    <tableColumn id="1" xr3:uid="{0E98FE75-D87C-43CC-8B33-051228F5B2F1}" name="Date" dataDxfId="92"/>
    <tableColumn id="2" xr3:uid="{9A439E15-525D-473F-9046-A9AB453591DA}" name="Profit" dataDxfId="91" dataCellStyle="Comma">
      <calculatedColumnFormula>D2*0.42</calculatedColumnFormula>
    </tableColumn>
    <tableColumn id="3" xr3:uid="{69D8BB70-3B9A-4BBC-AECA-AD1F50F0AC09}" name="Actual" dataDxfId="90" dataCellStyle="Comma">
      <calculatedColumnFormula>D2-B2</calculatedColumnFormula>
    </tableColumn>
    <tableColumn id="5" xr3:uid="{593395E2-FEA9-48EE-89B4-5F7641D33E53}" name="Total" dataDxfId="89" dataCellStyle="Comma">
      <calculatedColumnFormula>E2+F2</calculatedColumnFormula>
    </tableColumn>
    <tableColumn id="11" xr3:uid="{62278BD2-7865-457C-BBF3-2F05BE8049D5}" name="Cash" dataDxfId="88" dataCellStyle="Comma"/>
    <tableColumn id="10" xr3:uid="{A555BD13-B224-436D-B64C-8793D9E5390D}" name="Account Transfer" dataDxfId="87" dataCellStyle="Comma"/>
    <tableColumn id="4" xr3:uid="{02DB3157-AE8B-4A30-A1FA-708DEC724967}" name="Expense" dataDxfId="86" dataCellStyle="Comma"/>
    <tableColumn id="6" xr3:uid="{1FE72291-7C44-4920-A7EB-C06CCEF8CED2}" name="Percentage" dataDxfId="85">
      <calculatedColumnFormula>IFERROR(B2/C2,0)</calculatedColumnFormula>
    </tableColumn>
    <tableColumn id="7" xr3:uid="{33689FFC-1D3A-4B24-A18F-5CF641196912}" name="Cash In Hand" dataDxfId="84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356D82-8168-464F-BEC9-01E6A249D380}" name="Table23453456879111215141617181920212223" displayName="Table23453456879111215141617181920212223" ref="A1:I32" totalsRowShown="0" headerRowDxfId="83" dataDxfId="81" headerRowBorderDxfId="82" tableBorderDxfId="80" totalsRowBorderDxfId="79">
  <tableColumns count="9">
    <tableColumn id="1" xr3:uid="{D98E2504-0000-4A49-9473-3D53D9FDDA15}" name="Date" dataDxfId="78"/>
    <tableColumn id="2" xr3:uid="{E6C5CD56-9913-4D58-8B53-E8AD5BB87828}" name="Profit" dataDxfId="77" dataCellStyle="Comma">
      <calculatedColumnFormula>D2*0.42</calculatedColumnFormula>
    </tableColumn>
    <tableColumn id="3" xr3:uid="{444F4516-CFCD-453A-927F-C52CE79194E1}" name="Actual" dataDxfId="76" dataCellStyle="Comma">
      <calculatedColumnFormula>D2-B2</calculatedColumnFormula>
    </tableColumn>
    <tableColumn id="5" xr3:uid="{BB450003-7B3B-4535-BF13-B2731F901E69}" name="Total" dataDxfId="75" dataCellStyle="Comma">
      <calculatedColumnFormula>E2+F2</calculatedColumnFormula>
    </tableColumn>
    <tableColumn id="11" xr3:uid="{FEC0B6E6-2D40-4BBD-9D3C-91A5040E88C6}" name="Cash" dataDxfId="74" dataCellStyle="Comma"/>
    <tableColumn id="10" xr3:uid="{3D4984F9-8494-4362-9D77-5A7B50147A06}" name="Account Transfer" dataDxfId="73" dataCellStyle="Comma"/>
    <tableColumn id="4" xr3:uid="{1C4FB6C7-1C2C-4A4D-AF0C-0A0EF33A6960}" name="Expense" dataDxfId="72" dataCellStyle="Comma"/>
    <tableColumn id="6" xr3:uid="{1EE80318-D795-4B75-8AB8-F3076458873F}" name="Percentage" dataDxfId="71">
      <calculatedColumnFormula>IFERROR(B2/C2,0)</calculatedColumnFormula>
    </tableColumn>
    <tableColumn id="7" xr3:uid="{6CE370DB-DF7C-4A1B-A6F9-5BE9B865B82D}" name="Cash In Hand" dataDxfId="70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AF1E9C-9F02-4539-9489-07C8B12FE128}" name="Table2345345687911121514161718192021222324" displayName="Table2345345687911121514161718192021222324" ref="A1:I36" totalsRowShown="0" headerRowDxfId="69" dataDxfId="67" headerRowBorderDxfId="68" tableBorderDxfId="66" totalsRowBorderDxfId="65">
  <tableColumns count="9">
    <tableColumn id="1" xr3:uid="{F6CDFF6B-0929-4A94-830D-CC91E0F40CDE}" name="Date" dataDxfId="64"/>
    <tableColumn id="2" xr3:uid="{08F302B2-9B15-4C31-A7CE-286121718F0C}" name="Profit" dataDxfId="63" dataCellStyle="Comma">
      <calculatedColumnFormula>D2*0.42</calculatedColumnFormula>
    </tableColumn>
    <tableColumn id="3" xr3:uid="{468928D1-E94E-42C9-B25D-7EC0350E54E3}" name="Actual" dataDxfId="62" dataCellStyle="Comma">
      <calculatedColumnFormula>D2-B2</calculatedColumnFormula>
    </tableColumn>
    <tableColumn id="5" xr3:uid="{F7ACB16A-5B56-42CD-A74A-7BE21687DF97}" name="Total" dataDxfId="61" dataCellStyle="Comma">
      <calculatedColumnFormula>E2+F2</calculatedColumnFormula>
    </tableColumn>
    <tableColumn id="11" xr3:uid="{7D9F5E49-DA70-4C25-AEFD-ADE20867EBA3}" name="Cash" dataDxfId="60" dataCellStyle="Comma"/>
    <tableColumn id="10" xr3:uid="{1607F242-63B2-4AC1-A9AD-A7226BD86D65}" name="Account Transfer" dataDxfId="59" dataCellStyle="Comma"/>
    <tableColumn id="4" xr3:uid="{B4B7256B-DD40-452C-B632-3ED214A67491}" name="Expense" dataDxfId="58" dataCellStyle="Comma"/>
    <tableColumn id="6" xr3:uid="{F8044DD1-F756-43D2-A8AB-EE3B639902B5}" name="Percentage" dataDxfId="57">
      <calculatedColumnFormula>IFERROR(B2/C2,0)</calculatedColumnFormula>
    </tableColumn>
    <tableColumn id="7" xr3:uid="{6EE92EDD-EBCF-4D88-B388-88A02457A0F8}" name="Cash In Hand" dataDxfId="56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14BD57-A2D0-4CCB-AA6C-85D8F960DAF2}" name="Table234534568791112151416171819202122232425" displayName="Table234534568791112151416171819202122232425" ref="A1:I31" totalsRowShown="0" headerRowDxfId="55" dataDxfId="53" headerRowBorderDxfId="54" tableBorderDxfId="52" totalsRowBorderDxfId="51">
  <tableColumns count="9">
    <tableColumn id="1" xr3:uid="{8B79D1FA-1972-4C5F-8832-1C5AD9F381B1}" name="Date" dataDxfId="50"/>
    <tableColumn id="2" xr3:uid="{7E4635DD-A8AB-4D09-89DB-8894980B1A7C}" name="Profit" dataDxfId="49" dataCellStyle="Comma">
      <calculatedColumnFormula>D2*0.3</calculatedColumnFormula>
    </tableColumn>
    <tableColumn id="3" xr3:uid="{C11C69A2-4BAD-4B5B-8A5E-2E395ED6F543}" name="Actual" dataDxfId="48" dataCellStyle="Comma">
      <calculatedColumnFormula>D2-B2</calculatedColumnFormula>
    </tableColumn>
    <tableColumn id="5" xr3:uid="{AF28B977-84C9-4A71-BA18-C637835AAEB8}" name="Total" dataDxfId="47" dataCellStyle="Comma">
      <calculatedColumnFormula>E2+F2</calculatedColumnFormula>
    </tableColumn>
    <tableColumn id="11" xr3:uid="{6E3FFFB9-BD21-421E-9B61-84483E801020}" name="Cash" dataDxfId="46" dataCellStyle="Comma"/>
    <tableColumn id="10" xr3:uid="{0BC40EC1-DB1D-40F1-81BF-06F8EBB611DC}" name="Account Transfer" dataDxfId="45" dataCellStyle="Comma"/>
    <tableColumn id="4" xr3:uid="{DDE9802D-C349-413D-8496-394F211BFF51}" name="Expense" dataDxfId="44" dataCellStyle="Comma"/>
    <tableColumn id="6" xr3:uid="{435AD22E-E058-44D4-821C-46912D2F4B84}" name="Percentage" dataDxfId="43">
      <calculatedColumnFormula>IFERROR(B2/C2,0)</calculatedColumnFormula>
    </tableColumn>
    <tableColumn id="7" xr3:uid="{48F64199-2359-4CA0-9A6D-0207779E2AA0}" name="Cash In Hand" dataDxfId="42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7D5931-61BE-4B5D-A40E-33B52EE658F1}" name="Table23453456879111215141617181920212223242526" displayName="Table23453456879111215141617181920212223242526" ref="A1:I33" totalsRowShown="0" headerRowDxfId="41" dataDxfId="39" headerRowBorderDxfId="40" tableBorderDxfId="38" totalsRowBorderDxfId="37">
  <tableColumns count="9">
    <tableColumn id="1" xr3:uid="{5CF1C2F5-54A3-4332-A55D-C50D8A626752}" name="Date" dataDxfId="36"/>
    <tableColumn id="2" xr3:uid="{A73C2760-BB49-4D13-BF25-B952C5249661}" name="Profit" dataDxfId="35" dataCellStyle="Comma">
      <calculatedColumnFormula>D2*0.3</calculatedColumnFormula>
    </tableColumn>
    <tableColumn id="3" xr3:uid="{14E8AC05-5488-46F1-9CED-D17CF41D28A4}" name="Actual" dataDxfId="34" dataCellStyle="Comma">
      <calculatedColumnFormula>D2-B2</calculatedColumnFormula>
    </tableColumn>
    <tableColumn id="5" xr3:uid="{81D6CF08-6808-4AF6-B745-1FAE50C4282A}" name="Total" dataDxfId="33" dataCellStyle="Comma">
      <calculatedColumnFormula>E2+F2</calculatedColumnFormula>
    </tableColumn>
    <tableColumn id="11" xr3:uid="{332A1CF6-16EA-4272-8279-27020541F7A6}" name="Cash" dataDxfId="32" dataCellStyle="Comma"/>
    <tableColumn id="10" xr3:uid="{E9296247-3228-4FEF-A124-0961E6A4FD08}" name="Account Transfer" dataDxfId="31" dataCellStyle="Comma"/>
    <tableColumn id="4" xr3:uid="{219261A9-6391-47D5-B867-D1D551FA473F}" name="Expense" dataDxfId="30" dataCellStyle="Comma"/>
    <tableColumn id="6" xr3:uid="{6BE18A8E-A942-463A-8D06-4E8A6CA76A3E}" name="Percentage" dataDxfId="29">
      <calculatedColumnFormula>IFERROR(B2/C2,0)</calculatedColumnFormula>
    </tableColumn>
    <tableColumn id="7" xr3:uid="{1057B1FC-1943-4AB5-851C-4D8A432E77F6}" name="Cash In Hand" dataDxfId="28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4D9216-CB3C-4B9A-8B57-5DD3AFEAC90D}" name="Table2345345687911121514161718192021222324252627" displayName="Table2345345687911121514161718192021222324252627" ref="A1:I36" totalsRowShown="0" headerRowDxfId="27" dataDxfId="25" headerRowBorderDxfId="26" tableBorderDxfId="24" totalsRowBorderDxfId="23">
  <tableColumns count="9">
    <tableColumn id="1" xr3:uid="{F5C6801A-D61D-4DE9-B217-3DABC56A4161}" name="Date" dataDxfId="22"/>
    <tableColumn id="2" xr3:uid="{3A1A7322-6C16-4563-AF1D-64325D46BB9F}" name="Profit" dataDxfId="21" dataCellStyle="Comma">
      <calculatedColumnFormula>D2*0.3</calculatedColumnFormula>
    </tableColumn>
    <tableColumn id="3" xr3:uid="{50E8C981-185A-4DAA-8D91-CB09B12991D0}" name="Actual" dataDxfId="20" dataCellStyle="Comma">
      <calculatedColumnFormula>D2-B2</calculatedColumnFormula>
    </tableColumn>
    <tableColumn id="5" xr3:uid="{2E52A404-A3E5-470A-A5E9-557AADC4D2D6}" name="Total" dataDxfId="19" dataCellStyle="Comma">
      <calculatedColumnFormula>E2+F2</calculatedColumnFormula>
    </tableColumn>
    <tableColumn id="11" xr3:uid="{198509FA-09AA-4BEF-9F26-600EAB4E9107}" name="Cash" dataDxfId="18" dataCellStyle="Comma"/>
    <tableColumn id="10" xr3:uid="{18A9CC52-7300-418A-BF09-8447E7965274}" name="Account Transfer" dataDxfId="17" dataCellStyle="Comma"/>
    <tableColumn id="4" xr3:uid="{CE399A9D-C717-4BD1-B9F2-29514EBC6549}" name="Expense" dataDxfId="16" dataCellStyle="Comma"/>
    <tableColumn id="6" xr3:uid="{623F31AE-820F-411C-A7A1-24FB835E7613}" name="Percentage" dataDxfId="15">
      <calculatedColumnFormula>IFERROR(B2/C2,0)</calculatedColumnFormula>
    </tableColumn>
    <tableColumn id="7" xr3:uid="{1C42BBDB-0501-4F98-9F37-C57D360C981D}" name="Cash In Hand" dataDxfId="14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226172-195E-494A-A256-6A8E8A445695}" name="Table234534568791112151416171819202122232425262728" displayName="Table234534568791112151416171819202122232425262728" ref="A1:I36" totalsRowShown="0" headerRowDxfId="13" dataDxfId="11" headerRowBorderDxfId="12" tableBorderDxfId="10" totalsRowBorderDxfId="9">
  <tableColumns count="9">
    <tableColumn id="1" xr3:uid="{B52B5865-5F29-4840-9355-5C7D354C698F}" name="Date" dataDxfId="8"/>
    <tableColumn id="2" xr3:uid="{7ECC69E6-F60E-44EA-BC21-CCFB7F82BA4A}" name="Profit" dataDxfId="7" dataCellStyle="Comma">
      <calculatedColumnFormula>D2*0.3</calculatedColumnFormula>
    </tableColumn>
    <tableColumn id="3" xr3:uid="{7143593C-36C6-4A3D-877D-9909DD1224A4}" name="Actual" dataDxfId="6" dataCellStyle="Comma">
      <calculatedColumnFormula>D2-B2</calculatedColumnFormula>
    </tableColumn>
    <tableColumn id="5" xr3:uid="{106E69A8-642C-4C70-B1C0-0CAA9F3445EF}" name="Total" dataDxfId="5" dataCellStyle="Comma">
      <calculatedColumnFormula>E2+F2</calculatedColumnFormula>
    </tableColumn>
    <tableColumn id="11" xr3:uid="{6CBAEB38-4D84-4D03-880B-916F8F510E52}" name="Cash" dataDxfId="4" dataCellStyle="Comma"/>
    <tableColumn id="10" xr3:uid="{A8421C00-A253-4889-B1A4-F36F2D3FAB2B}" name="Account Transfer" dataDxfId="3" dataCellStyle="Comma"/>
    <tableColumn id="4" xr3:uid="{2E48A404-CAB1-404C-8A5D-F035ADE7F194}" name="Expense" dataDxfId="2" dataCellStyle="Comma"/>
    <tableColumn id="6" xr3:uid="{A21F34B3-0117-4912-8E23-417E994493F2}" name="Percentage" dataDxfId="1">
      <calculatedColumnFormula>IFERROR(B2/C2,0)</calculatedColumnFormula>
    </tableColumn>
    <tableColumn id="7" xr3:uid="{A2940697-33D9-48B9-B3D6-AAEB976AF82C}" name="Cash In Hand" dataDxfId="0">
      <calculatedColumnFormula>SUM($D$2:D2)-SUM($G$2:G2)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CB2A-FD59-42E2-A3DD-A6345B97D703}">
  <dimension ref="A1:Q49"/>
  <sheetViews>
    <sheetView showWhiteSpace="0" view="pageLayout" zoomScaleNormal="100" workbookViewId="0"/>
  </sheetViews>
  <sheetFormatPr defaultRowHeight="14.5" x14ac:dyDescent="0.35"/>
  <cols>
    <col min="1" max="1" width="14.26953125" bestFit="1" customWidth="1"/>
    <col min="2" max="4" width="8.54296875" style="1" bestFit="1" customWidth="1"/>
    <col min="5" max="5" width="11.1796875" style="1" bestFit="1" customWidth="1"/>
    <col min="6" max="6" width="16" style="1" bestFit="1" customWidth="1"/>
    <col min="7" max="7" width="8.81640625" style="1" bestFit="1" customWidth="1"/>
    <col min="8" max="8" width="10" bestFit="1" customWidth="1"/>
    <col min="9" max="9" width="11.81640625" bestFit="1" customWidth="1"/>
    <col min="10" max="10" width="7.453125" bestFit="1" customWidth="1"/>
    <col min="11" max="11" width="14.26953125" bestFit="1" customWidth="1"/>
    <col min="12" max="13" width="8.54296875" bestFit="1" customWidth="1"/>
    <col min="14" max="14" width="8.81640625" bestFit="1" customWidth="1"/>
    <col min="15" max="15" width="8.54296875" bestFit="1" customWidth="1"/>
    <col min="16" max="16" width="16" bestFit="1" customWidth="1"/>
    <col min="17" max="17" width="8.54296875" bestFit="1" customWidth="1"/>
  </cols>
  <sheetData>
    <row r="1" spans="1:17" x14ac:dyDescent="0.35">
      <c r="A1" s="29" t="s">
        <v>7</v>
      </c>
      <c r="B1" s="27" t="s">
        <v>6</v>
      </c>
      <c r="C1" s="27" t="s">
        <v>5</v>
      </c>
      <c r="D1" s="27" t="s">
        <v>4</v>
      </c>
      <c r="E1" s="28" t="s">
        <v>3</v>
      </c>
      <c r="F1" s="28" t="s">
        <v>2</v>
      </c>
      <c r="G1" s="27" t="s">
        <v>1</v>
      </c>
      <c r="H1" s="26" t="s">
        <v>9</v>
      </c>
      <c r="I1" s="25" t="s">
        <v>8</v>
      </c>
    </row>
    <row r="2" spans="1:17" x14ac:dyDescent="0.35">
      <c r="A2" s="23">
        <v>44564</v>
      </c>
      <c r="B2" s="22">
        <f t="shared" ref="B2:B32" si="0">D2*0.42</f>
        <v>6390.3</v>
      </c>
      <c r="C2" s="22">
        <f>[1]!Table234534568791112151416[[#This Row],[Total]]-[1]!Table234534568791112151416[[#This Row],[Profit]]</f>
        <v>8824.7000000000007</v>
      </c>
      <c r="D2" s="22">
        <f>[1]!Table234534568791112151416[[#This Row],[Account Transfer]]+[1]!Table234534568791112151416[[#This Row],[Cash]]</f>
        <v>15215</v>
      </c>
      <c r="E2" s="22">
        <v>3750</v>
      </c>
      <c r="F2" s="22">
        <v>800</v>
      </c>
      <c r="G2" s="22">
        <v>230</v>
      </c>
      <c r="H2" s="21">
        <f t="shared" ref="H2:H32" si="1">IFERROR(B2/C2,0)</f>
        <v>0.72413793103448276</v>
      </c>
      <c r="I2" s="20">
        <f>SUM($D$2:D2)-SUM($G$2:G2)</f>
        <v>14985</v>
      </c>
      <c r="K2" s="7" t="s">
        <v>7</v>
      </c>
      <c r="L2" s="6" t="s">
        <v>6</v>
      </c>
      <c r="M2" s="6" t="s">
        <v>5</v>
      </c>
      <c r="N2" s="6" t="s">
        <v>4</v>
      </c>
      <c r="O2" s="6" t="s">
        <v>3</v>
      </c>
      <c r="P2" s="6" t="s">
        <v>2</v>
      </c>
      <c r="Q2" s="6" t="s">
        <v>1</v>
      </c>
    </row>
    <row r="3" spans="1:17" x14ac:dyDescent="0.35">
      <c r="A3" s="23">
        <v>44565</v>
      </c>
      <c r="B3" s="22">
        <f t="shared" si="0"/>
        <v>2847.6</v>
      </c>
      <c r="C3" s="22">
        <f>[1]!Table234534568791112151416[[#This Row],[Total]]-[1]!Table234534568791112151416[[#This Row],[Profit]]</f>
        <v>3932.4</v>
      </c>
      <c r="D3" s="22">
        <f>[1]!Table234534568791112151416[[#This Row],[Account Transfer]]+[1]!Table234534568791112151416[[#This Row],[Cash]]</f>
        <v>6780</v>
      </c>
      <c r="E3" s="22">
        <v>13202</v>
      </c>
      <c r="F3" s="22"/>
      <c r="G3" s="22">
        <v>800</v>
      </c>
      <c r="H3" s="21">
        <f t="shared" si="1"/>
        <v>0.72413793103448276</v>
      </c>
      <c r="I3" s="20">
        <f>SUM($D$2:D3)-SUM($G$2:G3)</f>
        <v>20965</v>
      </c>
      <c r="K3" s="9">
        <f t="shared" ref="K3:K9" si="2">A2</f>
        <v>44564</v>
      </c>
      <c r="L3" s="4">
        <f t="shared" ref="L3:L9" si="3">N3*0.42</f>
        <v>1911</v>
      </c>
      <c r="M3" s="4">
        <f t="shared" ref="M3:M9" si="4">N3-L3</f>
        <v>2639</v>
      </c>
      <c r="N3" s="4">
        <f t="shared" ref="N3:N9" si="5">O3+P3</f>
        <v>4550</v>
      </c>
      <c r="O3" s="4">
        <f t="shared" ref="O3:Q9" si="6">E2</f>
        <v>3750</v>
      </c>
      <c r="P3" s="4">
        <f t="shared" si="6"/>
        <v>800</v>
      </c>
      <c r="Q3" s="4">
        <f t="shared" si="6"/>
        <v>230</v>
      </c>
    </row>
    <row r="4" spans="1:17" x14ac:dyDescent="0.35">
      <c r="A4" s="23">
        <v>44566</v>
      </c>
      <c r="B4" s="22">
        <f t="shared" si="0"/>
        <v>22546.44</v>
      </c>
      <c r="C4" s="22">
        <f>[1]!Table234534568791112151416[[#This Row],[Total]]-[1]!Table234534568791112151416[[#This Row],[Profit]]</f>
        <v>31135.56</v>
      </c>
      <c r="D4" s="22">
        <f>[1]!Table234534568791112151416[[#This Row],[Account Transfer]]+[1]!Table234534568791112151416[[#This Row],[Cash]]</f>
        <v>53682</v>
      </c>
      <c r="E4" s="22">
        <v>4340</v>
      </c>
      <c r="F4" s="22">
        <v>3900</v>
      </c>
      <c r="G4" s="22"/>
      <c r="H4" s="21">
        <f t="shared" si="1"/>
        <v>0.72413793103448265</v>
      </c>
      <c r="I4" s="20">
        <f>SUM($D$2:D4)-SUM($G$2:G4)</f>
        <v>74647</v>
      </c>
      <c r="K4" s="8">
        <f t="shared" si="2"/>
        <v>44565</v>
      </c>
      <c r="L4" s="2">
        <f t="shared" si="3"/>
        <v>5544.84</v>
      </c>
      <c r="M4" s="2">
        <f t="shared" si="4"/>
        <v>7657.16</v>
      </c>
      <c r="N4" s="2">
        <f t="shared" si="5"/>
        <v>13202</v>
      </c>
      <c r="O4" s="2">
        <f t="shared" si="6"/>
        <v>13202</v>
      </c>
      <c r="P4" s="2">
        <f t="shared" si="6"/>
        <v>0</v>
      </c>
      <c r="Q4" s="2">
        <f t="shared" si="6"/>
        <v>800</v>
      </c>
    </row>
    <row r="5" spans="1:17" x14ac:dyDescent="0.35">
      <c r="A5" s="23">
        <v>44567</v>
      </c>
      <c r="B5" s="22">
        <f t="shared" si="0"/>
        <v>8962.7999999999993</v>
      </c>
      <c r="C5" s="22">
        <f>[1]!Table234534568791112151416[[#This Row],[Total]]-[1]!Table234534568791112151416[[#This Row],[Profit]]</f>
        <v>12377.2</v>
      </c>
      <c r="D5" s="22">
        <f>[1]!Table234534568791112151416[[#This Row],[Account Transfer]]+[1]!Table234534568791112151416[[#This Row],[Cash]]</f>
        <v>21340</v>
      </c>
      <c r="E5" s="22">
        <v>10234</v>
      </c>
      <c r="F5" s="22">
        <v>810</v>
      </c>
      <c r="G5" s="22">
        <v>30</v>
      </c>
      <c r="H5" s="21">
        <f t="shared" si="1"/>
        <v>0.72413793103448265</v>
      </c>
      <c r="I5" s="20">
        <f>SUM($D$2:D5)-SUM($G$2:G5)</f>
        <v>95957</v>
      </c>
      <c r="K5" s="9">
        <f t="shared" si="2"/>
        <v>44566</v>
      </c>
      <c r="L5" s="4">
        <f t="shared" si="3"/>
        <v>3460.7999999999997</v>
      </c>
      <c r="M5" s="4">
        <f t="shared" si="4"/>
        <v>4779.2000000000007</v>
      </c>
      <c r="N5" s="4">
        <f t="shared" si="5"/>
        <v>8240</v>
      </c>
      <c r="O5" s="4">
        <f t="shared" si="6"/>
        <v>4340</v>
      </c>
      <c r="P5" s="4">
        <f t="shared" si="6"/>
        <v>3900</v>
      </c>
      <c r="Q5" s="4">
        <f t="shared" si="6"/>
        <v>0</v>
      </c>
    </row>
    <row r="6" spans="1:17" x14ac:dyDescent="0.35">
      <c r="A6" s="23">
        <v>44568</v>
      </c>
      <c r="B6" s="22">
        <f t="shared" si="0"/>
        <v>18450.599999999999</v>
      </c>
      <c r="C6" s="22">
        <f>[1]!Table234534568791112151416[[#This Row],[Total]]-[1]!Table234534568791112151416[[#This Row],[Profit]]</f>
        <v>25479.4</v>
      </c>
      <c r="D6" s="22">
        <f>[1]!Table234534568791112151416[[#This Row],[Account Transfer]]+[1]!Table234534568791112151416[[#This Row],[Cash]]</f>
        <v>43930</v>
      </c>
      <c r="E6" s="22">
        <v>860</v>
      </c>
      <c r="F6" s="22">
        <v>10350</v>
      </c>
      <c r="G6" s="22">
        <v>1000</v>
      </c>
      <c r="H6" s="21">
        <f t="shared" si="1"/>
        <v>0.72413793103448265</v>
      </c>
      <c r="I6" s="20">
        <f>SUM($D$2:D6)-SUM($G$2:G6)</f>
        <v>138887</v>
      </c>
      <c r="K6" s="8">
        <f t="shared" si="2"/>
        <v>44567</v>
      </c>
      <c r="L6" s="2">
        <f t="shared" si="3"/>
        <v>4638.4799999999996</v>
      </c>
      <c r="M6" s="2">
        <f t="shared" si="4"/>
        <v>6405.52</v>
      </c>
      <c r="N6" s="2">
        <f t="shared" si="5"/>
        <v>11044</v>
      </c>
      <c r="O6" s="2">
        <f t="shared" si="6"/>
        <v>10234</v>
      </c>
      <c r="P6" s="2">
        <f t="shared" si="6"/>
        <v>810</v>
      </c>
      <c r="Q6" s="2">
        <f t="shared" si="6"/>
        <v>30</v>
      </c>
    </row>
    <row r="7" spans="1:17" x14ac:dyDescent="0.35">
      <c r="A7" s="23">
        <v>44569</v>
      </c>
      <c r="B7" s="22">
        <f t="shared" si="0"/>
        <v>5285.7</v>
      </c>
      <c r="C7" s="22">
        <f>[1]!Table234534568791112151416[[#This Row],[Total]]-[1]!Table234534568791112151416[[#This Row],[Profit]]</f>
        <v>7299.3</v>
      </c>
      <c r="D7" s="22">
        <f>[1]!Table234534568791112151416[[#This Row],[Account Transfer]]+[1]!Table234534568791112151416[[#This Row],[Cash]]</f>
        <v>12585</v>
      </c>
      <c r="E7" s="22">
        <v>800</v>
      </c>
      <c r="F7" s="22">
        <v>5060</v>
      </c>
      <c r="G7" s="22">
        <v>40</v>
      </c>
      <c r="H7" s="21">
        <f t="shared" si="1"/>
        <v>0.72413793103448276</v>
      </c>
      <c r="I7" s="20">
        <f>SUM($D$2:D7)-SUM($G$2:G7)</f>
        <v>151432</v>
      </c>
      <c r="K7" s="9">
        <f t="shared" si="2"/>
        <v>44568</v>
      </c>
      <c r="L7" s="4">
        <f t="shared" si="3"/>
        <v>4708.2</v>
      </c>
      <c r="M7" s="4">
        <f t="shared" si="4"/>
        <v>6501.8</v>
      </c>
      <c r="N7" s="4">
        <f t="shared" si="5"/>
        <v>11210</v>
      </c>
      <c r="O7" s="4">
        <f t="shared" si="6"/>
        <v>860</v>
      </c>
      <c r="P7" s="4">
        <f t="shared" si="6"/>
        <v>10350</v>
      </c>
      <c r="Q7" s="4">
        <f t="shared" si="6"/>
        <v>1000</v>
      </c>
    </row>
    <row r="8" spans="1:17" x14ac:dyDescent="0.35">
      <c r="A8" s="23">
        <v>44570</v>
      </c>
      <c r="B8" s="22">
        <f t="shared" si="0"/>
        <v>1650.6</v>
      </c>
      <c r="C8" s="22">
        <f>[1]!Table234534568791112151416[[#This Row],[Total]]-[1]!Table234534568791112151416[[#This Row],[Profit]]</f>
        <v>2279.4</v>
      </c>
      <c r="D8" s="22">
        <f>[1]!Table234534568791112151416[[#This Row],[Account Transfer]]+[1]!Table234534568791112151416[[#This Row],[Cash]]</f>
        <v>3930</v>
      </c>
      <c r="E8" s="22">
        <f>8730+2250</f>
        <v>10980</v>
      </c>
      <c r="F8" s="22">
        <v>11830</v>
      </c>
      <c r="G8" s="22">
        <v>3000</v>
      </c>
      <c r="H8" s="21">
        <f t="shared" si="1"/>
        <v>0.72413793103448265</v>
      </c>
      <c r="I8" s="20">
        <f>SUM($D$2:D8)-SUM($G$2:G8)</f>
        <v>152362</v>
      </c>
      <c r="K8" s="8">
        <f t="shared" si="2"/>
        <v>44569</v>
      </c>
      <c r="L8" s="2">
        <f t="shared" si="3"/>
        <v>2461.1999999999998</v>
      </c>
      <c r="M8" s="2">
        <f t="shared" si="4"/>
        <v>3398.8</v>
      </c>
      <c r="N8" s="2">
        <f t="shared" si="5"/>
        <v>5860</v>
      </c>
      <c r="O8" s="2">
        <f t="shared" si="6"/>
        <v>800</v>
      </c>
      <c r="P8" s="2">
        <f t="shared" si="6"/>
        <v>5060</v>
      </c>
      <c r="Q8" s="2">
        <f t="shared" si="6"/>
        <v>40</v>
      </c>
    </row>
    <row r="9" spans="1:17" x14ac:dyDescent="0.35">
      <c r="A9" s="23">
        <v>44571</v>
      </c>
      <c r="B9" s="22">
        <f t="shared" si="0"/>
        <v>20580</v>
      </c>
      <c r="C9" s="22">
        <f>[1]!Table234534568791112151416[[#This Row],[Total]]-[1]!Table234534568791112151416[[#This Row],[Profit]]</f>
        <v>28420</v>
      </c>
      <c r="D9" s="22">
        <f>[1]!Table234534568791112151416[[#This Row],[Account Transfer]]+[1]!Table234534568791112151416[[#This Row],[Cash]]</f>
        <v>49000</v>
      </c>
      <c r="E9" s="22">
        <v>15300</v>
      </c>
      <c r="F9" s="22">
        <v>8300</v>
      </c>
      <c r="G9" s="22">
        <v>50</v>
      </c>
      <c r="H9" s="21">
        <f t="shared" si="1"/>
        <v>0.72413793103448276</v>
      </c>
      <c r="I9" s="20">
        <f>SUM($D$2:D9)-SUM($G$2:G9)</f>
        <v>201312</v>
      </c>
      <c r="K9" s="9">
        <f t="shared" si="2"/>
        <v>44570</v>
      </c>
      <c r="L9" s="4">
        <f t="shared" si="3"/>
        <v>9580.1999999999989</v>
      </c>
      <c r="M9" s="4">
        <f t="shared" si="4"/>
        <v>13229.800000000001</v>
      </c>
      <c r="N9" s="4">
        <f t="shared" si="5"/>
        <v>22810</v>
      </c>
      <c r="O9" s="4">
        <f t="shared" si="6"/>
        <v>10980</v>
      </c>
      <c r="P9" s="4">
        <f t="shared" si="6"/>
        <v>11830</v>
      </c>
      <c r="Q9" s="4">
        <f t="shared" si="6"/>
        <v>3000</v>
      </c>
    </row>
    <row r="10" spans="1:17" x14ac:dyDescent="0.35">
      <c r="A10" s="23">
        <v>44572</v>
      </c>
      <c r="B10" s="22">
        <f t="shared" si="0"/>
        <v>12856.199999999999</v>
      </c>
      <c r="C10" s="22">
        <f>[1]!Table234534568791112151416[[#This Row],[Total]]-[1]!Table234534568791112151416[[#This Row],[Profit]]</f>
        <v>17753.800000000003</v>
      </c>
      <c r="D10" s="22">
        <f>[1]!Table234534568791112151416[[#This Row],[Account Transfer]]+[1]!Table234534568791112151416[[#This Row],[Cash]]</f>
        <v>30610</v>
      </c>
      <c r="E10" s="22">
        <v>4926</v>
      </c>
      <c r="F10" s="22">
        <v>7200</v>
      </c>
      <c r="G10" s="22">
        <v>3960</v>
      </c>
      <c r="H10" s="21">
        <f t="shared" si="1"/>
        <v>0.72413793103448254</v>
      </c>
      <c r="I10" s="20">
        <f>SUM($D$2:D10)-SUM($G$2:G10)</f>
        <v>227962</v>
      </c>
      <c r="K10" s="3" t="s">
        <v>4</v>
      </c>
      <c r="L10" s="3">
        <f t="shared" ref="L10:Q10" si="7">SUM(L3:L9)</f>
        <v>32304.720000000001</v>
      </c>
      <c r="M10" s="3">
        <f t="shared" si="7"/>
        <v>44611.28</v>
      </c>
      <c r="N10" s="3">
        <f t="shared" si="7"/>
        <v>76916</v>
      </c>
      <c r="O10" s="3">
        <f t="shared" si="7"/>
        <v>44166</v>
      </c>
      <c r="P10" s="3">
        <f t="shared" si="7"/>
        <v>32750</v>
      </c>
      <c r="Q10" s="3">
        <f t="shared" si="7"/>
        <v>5100</v>
      </c>
    </row>
    <row r="11" spans="1:17" x14ac:dyDescent="0.35">
      <c r="A11" s="23">
        <v>44573</v>
      </c>
      <c r="B11" s="22">
        <f t="shared" si="0"/>
        <v>10537.8</v>
      </c>
      <c r="C11" s="22">
        <f>[1]!Table234534568791112151416[[#This Row],[Total]]-[1]!Table234534568791112151416[[#This Row],[Profit]]</f>
        <v>14552.2</v>
      </c>
      <c r="D11" s="22">
        <f>[1]!Table234534568791112151416[[#This Row],[Account Transfer]]+[1]!Table234534568791112151416[[#This Row],[Cash]]</f>
        <v>25090</v>
      </c>
      <c r="E11" s="22">
        <v>8030</v>
      </c>
      <c r="F11" s="22">
        <v>1690</v>
      </c>
      <c r="G11" s="22">
        <v>2000</v>
      </c>
      <c r="H11" s="21">
        <f t="shared" si="1"/>
        <v>0.72413793103448265</v>
      </c>
      <c r="I11" s="20">
        <f>SUM($D$2:D11)-SUM($G$2:G11)</f>
        <v>251052</v>
      </c>
      <c r="K11" s="3" t="s">
        <v>0</v>
      </c>
      <c r="L11" s="3">
        <f>L10/3</f>
        <v>10768.24</v>
      </c>
      <c r="M11" s="3"/>
      <c r="N11" s="3"/>
      <c r="O11" s="2"/>
      <c r="P11" s="2"/>
      <c r="Q11" s="2"/>
    </row>
    <row r="12" spans="1:17" x14ac:dyDescent="0.35">
      <c r="A12" s="23">
        <v>44574</v>
      </c>
      <c r="B12" s="22">
        <f t="shared" si="0"/>
        <v>7757.4</v>
      </c>
      <c r="C12" s="22">
        <f>[1]!Table234534568791112151416[[#This Row],[Total]]-[1]!Table234534568791112151416[[#This Row],[Profit]]</f>
        <v>10712.6</v>
      </c>
      <c r="D12" s="22">
        <f>[1]!Table234534568791112151416[[#This Row],[Account Transfer]]+[1]!Table234534568791112151416[[#This Row],[Cash]]</f>
        <v>18470</v>
      </c>
      <c r="E12" s="22">
        <v>5425</v>
      </c>
      <c r="F12" s="22"/>
      <c r="G12" s="22">
        <v>1440</v>
      </c>
      <c r="H12" s="21">
        <f t="shared" si="1"/>
        <v>0.72413793103448265</v>
      </c>
      <c r="I12" s="20">
        <f>SUM($D$2:D12)-SUM($G$2:G12)</f>
        <v>268082</v>
      </c>
    </row>
    <row r="13" spans="1:17" x14ac:dyDescent="0.35">
      <c r="A13" s="23">
        <v>44575</v>
      </c>
      <c r="B13" s="22">
        <f t="shared" si="0"/>
        <v>2150.4</v>
      </c>
      <c r="C13" s="22">
        <f>[1]!Table234534568791112151416[[#This Row],[Total]]-[1]!Table234534568791112151416[[#This Row],[Profit]]</f>
        <v>2969.6</v>
      </c>
      <c r="D13" s="22">
        <f>[1]!Table234534568791112151416[[#This Row],[Account Transfer]]+[1]!Table234534568791112151416[[#This Row],[Cash]]</f>
        <v>5120</v>
      </c>
      <c r="E13" s="22">
        <v>1480</v>
      </c>
      <c r="F13" s="22">
        <v>36740</v>
      </c>
      <c r="G13" s="22">
        <v>2663</v>
      </c>
      <c r="H13" s="21">
        <f t="shared" si="1"/>
        <v>0.72413793103448276</v>
      </c>
      <c r="I13" s="20">
        <f>SUM($D$2:D13)-SUM($G$2:G13)</f>
        <v>270539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44576</v>
      </c>
      <c r="B14" s="22">
        <f t="shared" si="0"/>
        <v>8095.5</v>
      </c>
      <c r="C14" s="22">
        <f>[1]!Table234534568791112151416[[#This Row],[Total]]-[1]!Table234534568791112151416[[#This Row],[Profit]]</f>
        <v>11179.5</v>
      </c>
      <c r="D14" s="22">
        <f>[1]!Table234534568791112151416[[#This Row],[Account Transfer]]+[1]!Table234534568791112151416[[#This Row],[Cash]]</f>
        <v>19275</v>
      </c>
      <c r="E14" s="22">
        <v>5820</v>
      </c>
      <c r="F14" s="22">
        <v>1440</v>
      </c>
      <c r="G14" s="22">
        <v>40</v>
      </c>
      <c r="H14" s="21">
        <f t="shared" si="1"/>
        <v>0.72413793103448276</v>
      </c>
      <c r="I14" s="20">
        <f>SUM($D$2:D14)-SUM($G$2:G14)</f>
        <v>289774</v>
      </c>
      <c r="K14" s="8">
        <f t="shared" ref="K14:K20" si="8">A9</f>
        <v>44571</v>
      </c>
      <c r="L14" s="2">
        <f t="shared" ref="L14:L20" si="9">N14*0.42</f>
        <v>9912</v>
      </c>
      <c r="M14" s="2">
        <f t="shared" ref="M14:M20" si="10">N14-L14</f>
        <v>13688</v>
      </c>
      <c r="N14" s="2">
        <f t="shared" ref="N14:N20" si="11">O14+P14</f>
        <v>23600</v>
      </c>
      <c r="O14" s="2">
        <f t="shared" ref="O14:Q20" si="12">E9</f>
        <v>15300</v>
      </c>
      <c r="P14" s="2">
        <f t="shared" si="12"/>
        <v>8300</v>
      </c>
      <c r="Q14" s="2">
        <f t="shared" si="12"/>
        <v>50</v>
      </c>
    </row>
    <row r="15" spans="1:17" x14ac:dyDescent="0.35">
      <c r="A15" s="23">
        <v>44577</v>
      </c>
      <c r="B15" s="22">
        <f t="shared" si="0"/>
        <v>6827.0999999999995</v>
      </c>
      <c r="C15" s="22">
        <f>[1]!Table234534568791112151416[[#This Row],[Total]]-[1]!Table234534568791112151416[[#This Row],[Profit]]</f>
        <v>9427.9000000000015</v>
      </c>
      <c r="D15" s="22">
        <f>[1]!Table234534568791112151416[[#This Row],[Account Transfer]]+[1]!Table234534568791112151416[[#This Row],[Cash]]</f>
        <v>16255</v>
      </c>
      <c r="E15" s="22">
        <v>4280</v>
      </c>
      <c r="F15" s="22">
        <v>2170</v>
      </c>
      <c r="G15" s="22">
        <v>1180</v>
      </c>
      <c r="H15" s="21">
        <f t="shared" si="1"/>
        <v>0.72413793103448254</v>
      </c>
      <c r="I15" s="20">
        <f>SUM($D$2:D15)-SUM($G$2:G15)</f>
        <v>304849</v>
      </c>
      <c r="K15" s="9">
        <f t="shared" si="8"/>
        <v>44572</v>
      </c>
      <c r="L15" s="4">
        <f t="shared" si="9"/>
        <v>5092.92</v>
      </c>
      <c r="M15" s="4">
        <f t="shared" si="10"/>
        <v>7033.08</v>
      </c>
      <c r="N15" s="4">
        <f t="shared" si="11"/>
        <v>12126</v>
      </c>
      <c r="O15" s="4">
        <f t="shared" si="12"/>
        <v>4926</v>
      </c>
      <c r="P15" s="4">
        <f t="shared" si="12"/>
        <v>7200</v>
      </c>
      <c r="Q15" s="4">
        <f t="shared" si="12"/>
        <v>3960</v>
      </c>
    </row>
    <row r="16" spans="1:17" x14ac:dyDescent="0.35">
      <c r="A16" s="23">
        <v>44578</v>
      </c>
      <c r="B16" s="22">
        <f t="shared" si="0"/>
        <v>4830</v>
      </c>
      <c r="C16" s="22">
        <f>[1]!Table234534568791112151416[[#This Row],[Total]]-[1]!Table234534568791112151416[[#This Row],[Profit]]</f>
        <v>6670</v>
      </c>
      <c r="D16" s="22">
        <f>[1]!Table234534568791112151416[[#This Row],[Account Transfer]]+[1]!Table234534568791112151416[[#This Row],[Cash]]</f>
        <v>11500</v>
      </c>
      <c r="E16" s="22">
        <v>17465</v>
      </c>
      <c r="F16" s="22">
        <v>280</v>
      </c>
      <c r="G16" s="22">
        <v>4570</v>
      </c>
      <c r="H16" s="21">
        <f t="shared" si="1"/>
        <v>0.72413793103448276</v>
      </c>
      <c r="I16" s="20">
        <f>SUM($D$2:D16)-SUM($G$2:G16)</f>
        <v>311779</v>
      </c>
      <c r="K16" s="8">
        <f t="shared" si="8"/>
        <v>44573</v>
      </c>
      <c r="L16" s="2">
        <f t="shared" si="9"/>
        <v>4082.3999999999996</v>
      </c>
      <c r="M16" s="2">
        <f t="shared" si="10"/>
        <v>5637.6</v>
      </c>
      <c r="N16" s="2">
        <f t="shared" si="11"/>
        <v>9720</v>
      </c>
      <c r="O16" s="2">
        <f t="shared" si="12"/>
        <v>8030</v>
      </c>
      <c r="P16" s="2">
        <f t="shared" si="12"/>
        <v>1690</v>
      </c>
      <c r="Q16" s="2">
        <f t="shared" si="12"/>
        <v>2000</v>
      </c>
    </row>
    <row r="17" spans="1:17" x14ac:dyDescent="0.35">
      <c r="A17" s="23">
        <v>44579</v>
      </c>
      <c r="B17" s="22">
        <f t="shared" si="0"/>
        <v>2650.2</v>
      </c>
      <c r="C17" s="22">
        <f>[1]!Table234534568791112151416[[#This Row],[Total]]-[1]!Table234534568791112151416[[#This Row],[Profit]]</f>
        <v>3659.8</v>
      </c>
      <c r="D17" s="22">
        <f>[1]!Table234534568791112151416[[#This Row],[Account Transfer]]+[1]!Table234534568791112151416[[#This Row],[Cash]]</f>
        <v>6310</v>
      </c>
      <c r="E17" s="22">
        <v>3300</v>
      </c>
      <c r="F17" s="22">
        <v>13050</v>
      </c>
      <c r="G17" s="22">
        <v>2600</v>
      </c>
      <c r="H17" s="21">
        <f t="shared" si="1"/>
        <v>0.72413793103448265</v>
      </c>
      <c r="I17" s="20">
        <f>SUM($D$2:D17)-SUM($G$2:G17)</f>
        <v>315489</v>
      </c>
      <c r="K17" s="9">
        <f t="shared" si="8"/>
        <v>44574</v>
      </c>
      <c r="L17" s="4">
        <f t="shared" si="9"/>
        <v>2278.5</v>
      </c>
      <c r="M17" s="4">
        <f t="shared" si="10"/>
        <v>3146.5</v>
      </c>
      <c r="N17" s="4">
        <f t="shared" si="11"/>
        <v>5425</v>
      </c>
      <c r="O17" s="4">
        <f t="shared" si="12"/>
        <v>5425</v>
      </c>
      <c r="P17" s="4">
        <f t="shared" si="12"/>
        <v>0</v>
      </c>
      <c r="Q17" s="4">
        <f t="shared" si="12"/>
        <v>1440</v>
      </c>
    </row>
    <row r="18" spans="1:17" x14ac:dyDescent="0.35">
      <c r="A18" s="23">
        <v>44580</v>
      </c>
      <c r="B18" s="22">
        <f t="shared" si="0"/>
        <v>9886.7999999999993</v>
      </c>
      <c r="C18" s="22">
        <f>[1]!Table234534568791112151416[[#This Row],[Total]]-[1]!Table234534568791112151416[[#This Row],[Profit]]</f>
        <v>13653.2</v>
      </c>
      <c r="D18" s="22">
        <f>[1]!Table234534568791112151416[[#This Row],[Account Transfer]]+[1]!Table234534568791112151416[[#This Row],[Cash]]</f>
        <v>23540</v>
      </c>
      <c r="E18" s="22">
        <v>9580</v>
      </c>
      <c r="F18" s="22">
        <v>300</v>
      </c>
      <c r="G18" s="22">
        <v>380</v>
      </c>
      <c r="H18" s="21">
        <f t="shared" si="1"/>
        <v>0.72413793103448265</v>
      </c>
      <c r="I18" s="20">
        <f>SUM($D$2:D18)-SUM($G$2:G18)</f>
        <v>338649</v>
      </c>
      <c r="K18" s="8">
        <f t="shared" si="8"/>
        <v>44575</v>
      </c>
      <c r="L18" s="2">
        <f t="shared" si="9"/>
        <v>16052.4</v>
      </c>
      <c r="M18" s="2">
        <f t="shared" si="10"/>
        <v>22167.599999999999</v>
      </c>
      <c r="N18" s="2">
        <f t="shared" si="11"/>
        <v>38220</v>
      </c>
      <c r="O18" s="2">
        <f t="shared" si="12"/>
        <v>1480</v>
      </c>
      <c r="P18" s="2">
        <f t="shared" si="12"/>
        <v>36740</v>
      </c>
      <c r="Q18" s="2">
        <f t="shared" si="12"/>
        <v>2663</v>
      </c>
    </row>
    <row r="19" spans="1:17" x14ac:dyDescent="0.35">
      <c r="A19" s="23">
        <v>44581</v>
      </c>
      <c r="B19" s="22">
        <f t="shared" si="0"/>
        <v>3024</v>
      </c>
      <c r="C19" s="22">
        <f>[1]!Table234534568791112151416[[#This Row],[Total]]-[1]!Table234534568791112151416[[#This Row],[Profit]]</f>
        <v>4176</v>
      </c>
      <c r="D19" s="22">
        <f>[1]!Table234534568791112151416[[#This Row],[Account Transfer]]+[1]!Table234534568791112151416[[#This Row],[Cash]]</f>
        <v>7200</v>
      </c>
      <c r="E19" s="22">
        <v>5200</v>
      </c>
      <c r="F19" s="22">
        <v>0</v>
      </c>
      <c r="G19" s="22">
        <v>5150</v>
      </c>
      <c r="H19" s="21">
        <f t="shared" si="1"/>
        <v>0.72413793103448276</v>
      </c>
      <c r="I19" s="20">
        <f>SUM($D$2:D19)-SUM($G$2:G19)</f>
        <v>340699</v>
      </c>
      <c r="K19" s="9">
        <f t="shared" si="8"/>
        <v>44576</v>
      </c>
      <c r="L19" s="4">
        <f t="shared" si="9"/>
        <v>3049.2</v>
      </c>
      <c r="M19" s="4">
        <f t="shared" si="10"/>
        <v>4210.8</v>
      </c>
      <c r="N19" s="4">
        <f t="shared" si="11"/>
        <v>7260</v>
      </c>
      <c r="O19" s="4">
        <f t="shared" si="12"/>
        <v>5820</v>
      </c>
      <c r="P19" s="4">
        <f t="shared" si="12"/>
        <v>1440</v>
      </c>
      <c r="Q19" s="4">
        <f t="shared" si="12"/>
        <v>40</v>
      </c>
    </row>
    <row r="20" spans="1:17" x14ac:dyDescent="0.35">
      <c r="A20" s="23">
        <v>44582</v>
      </c>
      <c r="B20" s="22">
        <f t="shared" si="0"/>
        <v>2839.2</v>
      </c>
      <c r="C20" s="22">
        <f>[1]!Table234534568791112151416[[#This Row],[Total]]-[1]!Table234534568791112151416[[#This Row],[Profit]]</f>
        <v>3920.8</v>
      </c>
      <c r="D20" s="22">
        <f>[1]!Table234534568791112151416[[#This Row],[Account Transfer]]+[1]!Table234534568791112151416[[#This Row],[Cash]]</f>
        <v>6760</v>
      </c>
      <c r="E20" s="22">
        <v>23330</v>
      </c>
      <c r="F20" s="22">
        <v>8000</v>
      </c>
      <c r="G20" s="22">
        <v>4600</v>
      </c>
      <c r="H20" s="21">
        <f t="shared" si="1"/>
        <v>0.72413793103448265</v>
      </c>
      <c r="I20" s="20">
        <f>SUM($D$2:D20)-SUM($G$2:G20)</f>
        <v>342859</v>
      </c>
      <c r="K20" s="8">
        <f t="shared" si="8"/>
        <v>44577</v>
      </c>
      <c r="L20" s="2">
        <f t="shared" si="9"/>
        <v>2709</v>
      </c>
      <c r="M20" s="2">
        <f t="shared" si="10"/>
        <v>3741</v>
      </c>
      <c r="N20" s="2">
        <f t="shared" si="11"/>
        <v>6450</v>
      </c>
      <c r="O20" s="2">
        <f t="shared" si="12"/>
        <v>4280</v>
      </c>
      <c r="P20" s="2">
        <f t="shared" si="12"/>
        <v>2170</v>
      </c>
      <c r="Q20" s="2">
        <f t="shared" si="12"/>
        <v>1180</v>
      </c>
    </row>
    <row r="21" spans="1:17" x14ac:dyDescent="0.35">
      <c r="A21" s="23">
        <v>44583</v>
      </c>
      <c r="B21" s="22">
        <f t="shared" si="0"/>
        <v>879.9</v>
      </c>
      <c r="C21" s="22">
        <f>[1]!Table234534568791112151416[[#This Row],[Total]]-[1]!Table234534568791112151416[[#This Row],[Profit]]</f>
        <v>1215.0999999999999</v>
      </c>
      <c r="D21" s="22">
        <f>[1]!Table234534568791112151416[[#This Row],[Account Transfer]]+[1]!Table234534568791112151416[[#This Row],[Cash]]</f>
        <v>2095</v>
      </c>
      <c r="E21" s="22">
        <v>26090</v>
      </c>
      <c r="F21" s="22"/>
      <c r="G21" s="22">
        <v>30</v>
      </c>
      <c r="H21" s="21">
        <f t="shared" si="1"/>
        <v>0.72413793103448276</v>
      </c>
      <c r="I21" s="20">
        <f>SUM($D$2:D21)-SUM($G$2:G21)</f>
        <v>344924</v>
      </c>
      <c r="K21" s="3" t="s">
        <v>4</v>
      </c>
      <c r="L21" s="3">
        <f t="shared" ref="L21:Q21" si="13">SUM(L14:L20)</f>
        <v>43176.42</v>
      </c>
      <c r="M21" s="3">
        <f t="shared" si="13"/>
        <v>59624.58</v>
      </c>
      <c r="N21" s="3">
        <f t="shared" si="13"/>
        <v>102801</v>
      </c>
      <c r="O21" s="3">
        <f t="shared" si="13"/>
        <v>45261</v>
      </c>
      <c r="P21" s="3">
        <f t="shared" si="13"/>
        <v>57540</v>
      </c>
      <c r="Q21" s="3">
        <f t="shared" si="13"/>
        <v>11333</v>
      </c>
    </row>
    <row r="22" spans="1:17" x14ac:dyDescent="0.35">
      <c r="A22" s="23">
        <v>44584</v>
      </c>
      <c r="B22" s="22">
        <f t="shared" si="0"/>
        <v>3578.4</v>
      </c>
      <c r="C22" s="22">
        <f>[1]!Table234534568791112151416[[#This Row],[Total]]-[1]!Table234534568791112151416[[#This Row],[Profit]]</f>
        <v>4941.6000000000004</v>
      </c>
      <c r="D22" s="22">
        <f>[1]!Table234534568791112151416[[#This Row],[Account Transfer]]+[1]!Table234534568791112151416[[#This Row],[Cash]]</f>
        <v>8520</v>
      </c>
      <c r="E22" s="22">
        <v>12900</v>
      </c>
      <c r="F22" s="22">
        <v>2850</v>
      </c>
      <c r="G22" s="22">
        <v>1330</v>
      </c>
      <c r="H22" s="21">
        <f t="shared" si="1"/>
        <v>0.72413793103448276</v>
      </c>
      <c r="I22" s="20">
        <f>SUM($D$2:D22)-SUM($G$2:G22)</f>
        <v>352114</v>
      </c>
      <c r="K22" s="3" t="s">
        <v>0</v>
      </c>
      <c r="L22" s="3">
        <f>L21/3</f>
        <v>14392.14</v>
      </c>
      <c r="M22" s="3"/>
      <c r="N22" s="3"/>
      <c r="O22" s="2"/>
      <c r="P22" s="2"/>
      <c r="Q22" s="2"/>
    </row>
    <row r="23" spans="1:17" x14ac:dyDescent="0.35">
      <c r="A23" s="23">
        <v>44585</v>
      </c>
      <c r="B23" s="22">
        <f t="shared" si="0"/>
        <v>6852.3</v>
      </c>
      <c r="C23" s="22">
        <f>[1]!Table234534568791112151416[[#This Row],[Total]]-[1]!Table234534568791112151416[[#This Row],[Profit]]</f>
        <v>9462.7000000000007</v>
      </c>
      <c r="D23" s="22">
        <f>[1]!Table234534568791112151416[[#This Row],[Account Transfer]]+[1]!Table234534568791112151416[[#This Row],[Cash]]</f>
        <v>16315</v>
      </c>
      <c r="E23" s="22">
        <v>15750</v>
      </c>
      <c r="F23" s="22">
        <v>4494</v>
      </c>
      <c r="G23" s="22">
        <v>15000</v>
      </c>
      <c r="H23" s="21">
        <f t="shared" si="1"/>
        <v>0.72413793103448276</v>
      </c>
      <c r="I23" s="20">
        <f>SUM($D$2:D23)-SUM($G$2:G23)</f>
        <v>353429</v>
      </c>
    </row>
    <row r="24" spans="1:17" x14ac:dyDescent="0.35">
      <c r="A24" s="23">
        <v>44586</v>
      </c>
      <c r="B24" s="22">
        <f t="shared" si="0"/>
        <v>9059.4</v>
      </c>
      <c r="C24" s="22">
        <f>[1]!Table234534568791112151416[[#This Row],[Total]]-[1]!Table234534568791112151416[[#This Row],[Profit]]</f>
        <v>12510.6</v>
      </c>
      <c r="D24" s="22">
        <f>[1]!Table234534568791112151416[[#This Row],[Account Transfer]]+[1]!Table234534568791112151416[[#This Row],[Cash]]</f>
        <v>21570</v>
      </c>
      <c r="E24" s="22">
        <v>3220</v>
      </c>
      <c r="F24" s="22">
        <v>10943</v>
      </c>
      <c r="G24" s="22">
        <v>5480</v>
      </c>
      <c r="H24" s="21">
        <f t="shared" si="1"/>
        <v>0.72413793103448276</v>
      </c>
      <c r="I24" s="20">
        <f>SUM($D$2:D24)-SUM($G$2:G24)</f>
        <v>369519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44587</v>
      </c>
      <c r="B25" s="22">
        <f t="shared" si="0"/>
        <v>11545.8</v>
      </c>
      <c r="C25" s="22">
        <f>[1]!Table234534568791112151416[[#This Row],[Total]]-[1]!Table234534568791112151416[[#This Row],[Profit]]</f>
        <v>15944.2</v>
      </c>
      <c r="D25" s="22">
        <f>[1]!Table234534568791112151416[[#This Row],[Account Transfer]]+[1]!Table234534568791112151416[[#This Row],[Cash]]</f>
        <v>27490</v>
      </c>
      <c r="E25" s="22">
        <v>13850</v>
      </c>
      <c r="F25" s="22">
        <v>6543</v>
      </c>
      <c r="G25" s="22">
        <v>3100</v>
      </c>
      <c r="H25" s="21">
        <f t="shared" si="1"/>
        <v>0.72413793103448265</v>
      </c>
      <c r="I25" s="20">
        <f>SUM($D$2:D25)-SUM($G$2:G25)</f>
        <v>393909</v>
      </c>
      <c r="K25" s="9">
        <f t="shared" ref="K25:K31" si="14">A16</f>
        <v>44578</v>
      </c>
      <c r="L25" s="4">
        <f t="shared" ref="L25:L31" si="15">N25*0.42</f>
        <v>7452.9</v>
      </c>
      <c r="M25" s="4">
        <f t="shared" ref="M25:M31" si="16">N25-L25</f>
        <v>10292.1</v>
      </c>
      <c r="N25" s="4">
        <f t="shared" ref="N25:N31" si="17">O25+P25</f>
        <v>17745</v>
      </c>
      <c r="O25" s="4">
        <f t="shared" ref="O25:Q31" si="18">E16</f>
        <v>17465</v>
      </c>
      <c r="P25" s="4">
        <f t="shared" si="18"/>
        <v>280</v>
      </c>
      <c r="Q25" s="4">
        <f t="shared" si="18"/>
        <v>4570</v>
      </c>
    </row>
    <row r="26" spans="1:17" x14ac:dyDescent="0.35">
      <c r="A26" s="23">
        <v>44588</v>
      </c>
      <c r="B26" s="22">
        <f t="shared" si="0"/>
        <v>3628.7999999999997</v>
      </c>
      <c r="C26" s="22">
        <f>[1]!Table234534568791112151416[[#This Row],[Total]]-[1]!Table234534568791112151416[[#This Row],[Profit]]</f>
        <v>5011.2000000000007</v>
      </c>
      <c r="D26" s="22">
        <f>[1]!Table234534568791112151416[[#This Row],[Account Transfer]]+[1]!Table234534568791112151416[[#This Row],[Cash]]</f>
        <v>8640</v>
      </c>
      <c r="E26" s="22">
        <v>8875</v>
      </c>
      <c r="F26" s="22">
        <v>300</v>
      </c>
      <c r="G26" s="22">
        <v>0</v>
      </c>
      <c r="H26" s="21">
        <f t="shared" si="1"/>
        <v>0.72413793103448265</v>
      </c>
      <c r="I26" s="20">
        <f>SUM($D$2:D26)-SUM($G$2:G26)</f>
        <v>402549</v>
      </c>
      <c r="K26" s="8">
        <f t="shared" si="14"/>
        <v>44579</v>
      </c>
      <c r="L26" s="2">
        <f t="shared" si="15"/>
        <v>6867</v>
      </c>
      <c r="M26" s="2">
        <f t="shared" si="16"/>
        <v>9483</v>
      </c>
      <c r="N26" s="2">
        <f t="shared" si="17"/>
        <v>16350</v>
      </c>
      <c r="O26" s="4">
        <f t="shared" si="18"/>
        <v>3300</v>
      </c>
      <c r="P26" s="4">
        <f t="shared" si="18"/>
        <v>13050</v>
      </c>
      <c r="Q26" s="4">
        <f t="shared" si="18"/>
        <v>2600</v>
      </c>
    </row>
    <row r="27" spans="1:17" x14ac:dyDescent="0.35">
      <c r="A27" s="23">
        <v>44589</v>
      </c>
      <c r="B27" s="22">
        <f t="shared" si="0"/>
        <v>3712.7999999999997</v>
      </c>
      <c r="C27" s="22">
        <f>[1]!Table234534568791112151416[[#This Row],[Total]]-[1]!Table234534568791112151416[[#This Row],[Profit]]</f>
        <v>5127.2000000000007</v>
      </c>
      <c r="D27" s="22">
        <f>[1]!Table234534568791112151416[[#This Row],[Account Transfer]]+[1]!Table234534568791112151416[[#This Row],[Cash]]</f>
        <v>8840</v>
      </c>
      <c r="E27" s="22">
        <v>12580</v>
      </c>
      <c r="F27" s="22">
        <v>13888</v>
      </c>
      <c r="G27" s="22">
        <v>2100</v>
      </c>
      <c r="H27" s="21">
        <f t="shared" si="1"/>
        <v>0.72413793103448265</v>
      </c>
      <c r="I27" s="20">
        <f>SUM($D$2:D27)-SUM($G$2:G27)</f>
        <v>409289</v>
      </c>
      <c r="K27" s="9">
        <f t="shared" si="14"/>
        <v>44580</v>
      </c>
      <c r="L27" s="4">
        <f t="shared" si="15"/>
        <v>4149.5999999999995</v>
      </c>
      <c r="M27" s="4">
        <f t="shared" si="16"/>
        <v>5730.4000000000005</v>
      </c>
      <c r="N27" s="4">
        <f t="shared" si="17"/>
        <v>9880</v>
      </c>
      <c r="O27" s="4">
        <f t="shared" si="18"/>
        <v>9580</v>
      </c>
      <c r="P27" s="4">
        <f t="shared" si="18"/>
        <v>300</v>
      </c>
      <c r="Q27" s="4">
        <f t="shared" si="18"/>
        <v>380</v>
      </c>
    </row>
    <row r="28" spans="1:17" x14ac:dyDescent="0.35">
      <c r="A28" s="23">
        <v>44590</v>
      </c>
      <c r="B28" s="22">
        <f t="shared" si="0"/>
        <v>3171</v>
      </c>
      <c r="C28" s="22">
        <f>[1]!Table234534568791112151416[[#This Row],[Total]]-[1]!Table234534568791112151416[[#This Row],[Profit]]</f>
        <v>4379</v>
      </c>
      <c r="D28" s="22">
        <f>[1]!Table234534568791112151416[[#This Row],[Account Transfer]]+[1]!Table234534568791112151416[[#This Row],[Cash]]</f>
        <v>7550</v>
      </c>
      <c r="E28" s="22">
        <v>11430</v>
      </c>
      <c r="F28" s="22">
        <v>8600</v>
      </c>
      <c r="G28" s="22">
        <v>200</v>
      </c>
      <c r="H28" s="21">
        <f t="shared" si="1"/>
        <v>0.72413793103448276</v>
      </c>
      <c r="I28" s="20">
        <f>SUM($D$2:D28)-SUM($G$2:G28)</f>
        <v>416639</v>
      </c>
      <c r="K28" s="8">
        <f t="shared" si="14"/>
        <v>44581</v>
      </c>
      <c r="L28" s="2">
        <f t="shared" si="15"/>
        <v>2184</v>
      </c>
      <c r="M28" s="2">
        <f t="shared" si="16"/>
        <v>3016</v>
      </c>
      <c r="N28" s="2">
        <f t="shared" si="17"/>
        <v>5200</v>
      </c>
      <c r="O28" s="4">
        <f t="shared" si="18"/>
        <v>5200</v>
      </c>
      <c r="P28" s="4">
        <f t="shared" si="18"/>
        <v>0</v>
      </c>
      <c r="Q28" s="4">
        <f t="shared" si="18"/>
        <v>5150</v>
      </c>
    </row>
    <row r="29" spans="1:17" x14ac:dyDescent="0.35">
      <c r="A29" s="23">
        <v>44591</v>
      </c>
      <c r="B29" s="22">
        <f t="shared" si="0"/>
        <v>2394</v>
      </c>
      <c r="C29" s="22">
        <f>[1]!Table234534568791112151416[[#This Row],[Total]]-[1]!Table234534568791112151416[[#This Row],[Profit]]</f>
        <v>3306</v>
      </c>
      <c r="D29" s="22">
        <f>[1]!Table234534568791112151416[[#This Row],[Account Transfer]]+[1]!Table234534568791112151416[[#This Row],[Cash]]</f>
        <v>5700</v>
      </c>
      <c r="E29" s="22">
        <v>14490</v>
      </c>
      <c r="F29" s="22">
        <f>5250+650</f>
        <v>5900</v>
      </c>
      <c r="G29" s="22">
        <v>600</v>
      </c>
      <c r="H29" s="21">
        <f t="shared" si="1"/>
        <v>0.72413793103448276</v>
      </c>
      <c r="I29" s="20">
        <f>SUM($D$2:D29)-SUM($G$2:G29)</f>
        <v>421739</v>
      </c>
      <c r="K29" s="9">
        <f t="shared" si="14"/>
        <v>44582</v>
      </c>
      <c r="L29" s="4">
        <f t="shared" si="15"/>
        <v>13158.6</v>
      </c>
      <c r="M29" s="4">
        <f t="shared" si="16"/>
        <v>18171.400000000001</v>
      </c>
      <c r="N29" s="4">
        <f t="shared" si="17"/>
        <v>31330</v>
      </c>
      <c r="O29" s="4">
        <f t="shared" si="18"/>
        <v>23330</v>
      </c>
      <c r="P29" s="4">
        <f t="shared" si="18"/>
        <v>8000</v>
      </c>
      <c r="Q29" s="4">
        <f t="shared" si="18"/>
        <v>4600</v>
      </c>
    </row>
    <row r="30" spans="1:17" x14ac:dyDescent="0.35">
      <c r="A30" s="23">
        <v>44592</v>
      </c>
      <c r="B30" s="22">
        <f t="shared" si="0"/>
        <v>8876.6999999999989</v>
      </c>
      <c r="C30" s="22">
        <f>[1]!Table234534568791112151416[[#This Row],[Total]]-[1]!Table234534568791112151416[[#This Row],[Profit]]</f>
        <v>12258.300000000001</v>
      </c>
      <c r="D30" s="22">
        <f>[1]!Table234534568791112151416[[#This Row],[Account Transfer]]+[1]!Table234534568791112151416[[#This Row],[Cash]]</f>
        <v>21135</v>
      </c>
      <c r="E30" s="24"/>
      <c r="F30" s="22"/>
      <c r="G30" s="22"/>
      <c r="H30" s="21">
        <f t="shared" si="1"/>
        <v>0.72413793103448265</v>
      </c>
      <c r="I30" s="20">
        <f>SUM($D$2:D30)-SUM($G$2:G30)</f>
        <v>442874</v>
      </c>
      <c r="K30" s="8">
        <f t="shared" si="14"/>
        <v>44583</v>
      </c>
      <c r="L30" s="2">
        <f t="shared" si="15"/>
        <v>10957.8</v>
      </c>
      <c r="M30" s="2">
        <f t="shared" si="16"/>
        <v>15132.2</v>
      </c>
      <c r="N30" s="2">
        <f t="shared" si="17"/>
        <v>26090</v>
      </c>
      <c r="O30" s="4">
        <f t="shared" si="18"/>
        <v>26090</v>
      </c>
      <c r="P30" s="4">
        <f t="shared" si="18"/>
        <v>0</v>
      </c>
      <c r="Q30" s="4">
        <f t="shared" si="18"/>
        <v>30</v>
      </c>
    </row>
    <row r="31" spans="1:17" x14ac:dyDescent="0.35">
      <c r="A31" s="23">
        <v>44562</v>
      </c>
      <c r="B31" s="22">
        <f t="shared" si="0"/>
        <v>2557.7999999999997</v>
      </c>
      <c r="C31" s="22">
        <f>[1]!Table234534568791112151416[[#This Row],[Total]]-[1]!Table234534568791112151416[[#This Row],[Profit]]</f>
        <v>3532.2000000000003</v>
      </c>
      <c r="D31" s="22">
        <f>[1]!Table234534568791112151416[[#This Row],[Account Transfer]]+[1]!Table234534568791112151416[[#This Row],[Cash]]</f>
        <v>6090</v>
      </c>
      <c r="E31" s="22">
        <v>1300</v>
      </c>
      <c r="F31" s="22">
        <v>5080</v>
      </c>
      <c r="G31" s="22">
        <v>70</v>
      </c>
      <c r="H31" s="21">
        <f t="shared" si="1"/>
        <v>0.72413793103448265</v>
      </c>
      <c r="I31" s="20">
        <f>SUM($D$2:D31)-SUM($G$2:G31)</f>
        <v>448894</v>
      </c>
      <c r="K31" s="9">
        <f t="shared" si="14"/>
        <v>44584</v>
      </c>
      <c r="L31" s="4">
        <f t="shared" si="15"/>
        <v>6615</v>
      </c>
      <c r="M31" s="4">
        <f t="shared" si="16"/>
        <v>9135</v>
      </c>
      <c r="N31" s="4">
        <f t="shared" si="17"/>
        <v>15750</v>
      </c>
      <c r="O31" s="4">
        <f t="shared" si="18"/>
        <v>12900</v>
      </c>
      <c r="P31" s="4">
        <f t="shared" si="18"/>
        <v>2850</v>
      </c>
      <c r="Q31" s="4">
        <f t="shared" si="18"/>
        <v>1330</v>
      </c>
    </row>
    <row r="32" spans="1:17" x14ac:dyDescent="0.35">
      <c r="A32" s="23">
        <v>44563</v>
      </c>
      <c r="B32" s="22">
        <f t="shared" si="0"/>
        <v>3851.3999999999996</v>
      </c>
      <c r="C32" s="22">
        <f>[1]!Table234534568791112151416[[#This Row],[Total]]-[1]!Table234534568791112151416[[#This Row],[Profit]]</f>
        <v>5318.6</v>
      </c>
      <c r="D32" s="22">
        <f>[1]!Table234534568791112151416[[#This Row],[Account Transfer]]+[1]!Table234534568791112151416[[#This Row],[Cash]]</f>
        <v>9170</v>
      </c>
      <c r="E32" s="22">
        <v>160</v>
      </c>
      <c r="F32" s="22">
        <v>8150</v>
      </c>
      <c r="G32" s="22">
        <v>114</v>
      </c>
      <c r="H32" s="21">
        <f t="shared" si="1"/>
        <v>0.72413793103448265</v>
      </c>
      <c r="I32" s="20">
        <f>SUM($D$2:D32)-SUM($G$2:G32)</f>
        <v>457950</v>
      </c>
      <c r="K32" s="3" t="s">
        <v>4</v>
      </c>
      <c r="L32" s="2">
        <f t="shared" ref="L32:Q32" si="19">SUM(L25:L31)</f>
        <v>51384.899999999994</v>
      </c>
      <c r="M32" s="2">
        <f t="shared" si="19"/>
        <v>70960.100000000006</v>
      </c>
      <c r="N32" s="2">
        <f t="shared" si="19"/>
        <v>122345</v>
      </c>
      <c r="O32" s="2">
        <f t="shared" si="19"/>
        <v>97865</v>
      </c>
      <c r="P32" s="2">
        <f t="shared" si="19"/>
        <v>24480</v>
      </c>
      <c r="Q32" s="2">
        <f t="shared" si="19"/>
        <v>18660</v>
      </c>
    </row>
    <row r="33" spans="1:17" ht="15" thickBot="1" x14ac:dyDescent="0.4">
      <c r="A33" s="19" t="s">
        <v>4</v>
      </c>
      <c r="B33" s="18">
        <f>SUM(B2:B32)</f>
        <v>218276.93999999992</v>
      </c>
      <c r="C33" s="18">
        <f>SUM(C2:C30)</f>
        <v>292579.26000000007</v>
      </c>
      <c r="D33" s="18">
        <f>SUM(Table23453456879111215141617[Total])</f>
        <v>519707</v>
      </c>
      <c r="E33" s="17">
        <f>SUBTOTAL(109,Table23453456879111215141617[Cash])</f>
        <v>268947</v>
      </c>
      <c r="F33" s="16">
        <f>SUBTOTAL(109,Table23453456879111215141617[Account Transfer])</f>
        <v>178668</v>
      </c>
      <c r="G33" s="16">
        <f>SUBTOTAL(109,Table23453456879111215141617[Account Transfer])</f>
        <v>178668</v>
      </c>
      <c r="H33" s="15">
        <f>SUM(G2:G32)</f>
        <v>61757</v>
      </c>
      <c r="I33" s="14">
        <f>B33/C33</f>
        <v>0.74604378998019161</v>
      </c>
      <c r="K33" s="3" t="s">
        <v>0</v>
      </c>
      <c r="L33" s="4">
        <f>L32/3</f>
        <v>17128.3</v>
      </c>
      <c r="M33" s="4"/>
      <c r="N33" s="4"/>
      <c r="O33" s="4"/>
      <c r="P33" s="4"/>
      <c r="Q33" s="4"/>
    </row>
    <row r="34" spans="1:17" x14ac:dyDescent="0.35">
      <c r="A34" s="12"/>
      <c r="B34" s="11">
        <f>B33/3</f>
        <v>72758.979999999967</v>
      </c>
      <c r="C34" s="11"/>
      <c r="E34" s="13">
        <f>D33*0.42</f>
        <v>218276.94</v>
      </c>
      <c r="F34" s="11"/>
      <c r="G34" s="11"/>
      <c r="H34" s="10"/>
    </row>
    <row r="35" spans="1:17" x14ac:dyDescent="0.35">
      <c r="A35" s="12"/>
      <c r="B35" s="11">
        <f>B34*100/D33</f>
        <v>13.999999999999993</v>
      </c>
      <c r="C35" s="11"/>
      <c r="E35" s="11">
        <f>E34/3</f>
        <v>72758.98</v>
      </c>
      <c r="F35" s="11"/>
      <c r="G35" s="11"/>
      <c r="H35" s="10"/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K36" s="8">
        <f t="shared" ref="K36:K42" si="20">A23</f>
        <v>44585</v>
      </c>
      <c r="L36" s="2">
        <f t="shared" ref="L36:L42" si="21">N36*0.42</f>
        <v>8502.48</v>
      </c>
      <c r="M36" s="2">
        <f t="shared" ref="M36:M42" si="22">N36-L36</f>
        <v>11741.52</v>
      </c>
      <c r="N36" s="2">
        <f t="shared" ref="N36:N42" si="23">O36+P36</f>
        <v>20244</v>
      </c>
      <c r="O36" s="2">
        <f t="shared" ref="O36:Q42" si="24">E23</f>
        <v>15750</v>
      </c>
      <c r="P36" s="2">
        <f t="shared" si="24"/>
        <v>4494</v>
      </c>
      <c r="Q36" s="2">
        <f t="shared" si="24"/>
        <v>15000</v>
      </c>
    </row>
    <row r="37" spans="1:17" x14ac:dyDescent="0.35">
      <c r="K37" s="9">
        <f t="shared" si="20"/>
        <v>44586</v>
      </c>
      <c r="L37" s="4">
        <f t="shared" si="21"/>
        <v>5948.46</v>
      </c>
      <c r="M37" s="4">
        <f t="shared" si="22"/>
        <v>8214.5400000000009</v>
      </c>
      <c r="N37" s="4">
        <f t="shared" si="23"/>
        <v>14163</v>
      </c>
      <c r="O37" s="2">
        <f t="shared" si="24"/>
        <v>3220</v>
      </c>
      <c r="P37" s="2">
        <f t="shared" si="24"/>
        <v>10943</v>
      </c>
      <c r="Q37" s="2">
        <f t="shared" si="24"/>
        <v>5480</v>
      </c>
    </row>
    <row r="38" spans="1:17" x14ac:dyDescent="0.35">
      <c r="K38" s="8">
        <f t="shared" si="20"/>
        <v>44587</v>
      </c>
      <c r="L38" s="2">
        <f t="shared" si="21"/>
        <v>8565.06</v>
      </c>
      <c r="M38" s="2">
        <f t="shared" si="22"/>
        <v>11827.94</v>
      </c>
      <c r="N38" s="2">
        <f t="shared" si="23"/>
        <v>20393</v>
      </c>
      <c r="O38" s="2">
        <f t="shared" si="24"/>
        <v>13850</v>
      </c>
      <c r="P38" s="2">
        <f t="shared" si="24"/>
        <v>6543</v>
      </c>
      <c r="Q38" s="2">
        <f t="shared" si="24"/>
        <v>3100</v>
      </c>
    </row>
    <row r="39" spans="1:17" x14ac:dyDescent="0.35">
      <c r="K39" s="9">
        <f t="shared" si="20"/>
        <v>44588</v>
      </c>
      <c r="L39" s="4">
        <f t="shared" si="21"/>
        <v>3853.5</v>
      </c>
      <c r="M39" s="4">
        <f t="shared" si="22"/>
        <v>5321.5</v>
      </c>
      <c r="N39" s="4">
        <f t="shared" si="23"/>
        <v>9175</v>
      </c>
      <c r="O39" s="2">
        <f t="shared" si="24"/>
        <v>8875</v>
      </c>
      <c r="P39" s="2">
        <f t="shared" si="24"/>
        <v>300</v>
      </c>
      <c r="Q39" s="2">
        <f t="shared" si="24"/>
        <v>0</v>
      </c>
    </row>
    <row r="40" spans="1:17" x14ac:dyDescent="0.35">
      <c r="K40" s="8">
        <f t="shared" si="20"/>
        <v>44589</v>
      </c>
      <c r="L40" s="2">
        <f t="shared" si="21"/>
        <v>11116.56</v>
      </c>
      <c r="M40" s="2">
        <f t="shared" si="22"/>
        <v>15351.44</v>
      </c>
      <c r="N40" s="2">
        <f t="shared" si="23"/>
        <v>26468</v>
      </c>
      <c r="O40" s="2">
        <f t="shared" si="24"/>
        <v>12580</v>
      </c>
      <c r="P40" s="2">
        <f t="shared" si="24"/>
        <v>13888</v>
      </c>
      <c r="Q40" s="2">
        <f t="shared" si="24"/>
        <v>2100</v>
      </c>
    </row>
    <row r="41" spans="1:17" x14ac:dyDescent="0.35">
      <c r="K41" s="9">
        <f t="shared" si="20"/>
        <v>44590</v>
      </c>
      <c r="L41" s="4">
        <f t="shared" si="21"/>
        <v>8412.6</v>
      </c>
      <c r="M41" s="4">
        <f t="shared" si="22"/>
        <v>11617.4</v>
      </c>
      <c r="N41" s="4">
        <f t="shared" si="23"/>
        <v>20030</v>
      </c>
      <c r="O41" s="2">
        <f t="shared" si="24"/>
        <v>11430</v>
      </c>
      <c r="P41" s="2">
        <f t="shared" si="24"/>
        <v>8600</v>
      </c>
      <c r="Q41" s="2">
        <f t="shared" si="24"/>
        <v>200</v>
      </c>
    </row>
    <row r="42" spans="1:17" x14ac:dyDescent="0.35">
      <c r="K42" s="8">
        <f t="shared" si="20"/>
        <v>44591</v>
      </c>
      <c r="L42" s="2">
        <f t="shared" si="21"/>
        <v>8563.7999999999993</v>
      </c>
      <c r="M42" s="2">
        <f t="shared" si="22"/>
        <v>11826.2</v>
      </c>
      <c r="N42" s="2">
        <f t="shared" si="23"/>
        <v>20390</v>
      </c>
      <c r="O42" s="2">
        <f t="shared" si="24"/>
        <v>14490</v>
      </c>
      <c r="P42" s="2">
        <f t="shared" si="24"/>
        <v>5900</v>
      </c>
      <c r="Q42" s="2">
        <f t="shared" si="24"/>
        <v>600</v>
      </c>
    </row>
    <row r="43" spans="1:17" x14ac:dyDescent="0.35">
      <c r="K43" s="3" t="s">
        <v>4</v>
      </c>
      <c r="L43" s="4">
        <f t="shared" ref="L43:Q43" si="25">SUM(L36:L42)</f>
        <v>54962.459999999992</v>
      </c>
      <c r="M43" s="4">
        <f t="shared" si="25"/>
        <v>75900.540000000008</v>
      </c>
      <c r="N43" s="4">
        <f t="shared" si="25"/>
        <v>130863</v>
      </c>
      <c r="O43" s="4">
        <f t="shared" si="25"/>
        <v>80195</v>
      </c>
      <c r="P43" s="4">
        <f t="shared" si="25"/>
        <v>50668</v>
      </c>
      <c r="Q43" s="4">
        <f t="shared" si="25"/>
        <v>26480</v>
      </c>
    </row>
    <row r="44" spans="1:17" x14ac:dyDescent="0.35">
      <c r="K44" s="3" t="s">
        <v>0</v>
      </c>
      <c r="L44" s="2">
        <f>L43/3</f>
        <v>18320.819999999996</v>
      </c>
      <c r="M44" s="2"/>
      <c r="N44" s="2"/>
      <c r="O44" s="2"/>
      <c r="P44" s="2"/>
      <c r="Q44" s="2"/>
    </row>
    <row r="47" spans="1:17" x14ac:dyDescent="0.35">
      <c r="K47" s="7" t="s">
        <v>7</v>
      </c>
      <c r="L47" s="6" t="s">
        <v>6</v>
      </c>
      <c r="M47" s="6" t="s">
        <v>5</v>
      </c>
      <c r="N47" s="6" t="s">
        <v>4</v>
      </c>
      <c r="O47" s="6" t="s">
        <v>3</v>
      </c>
      <c r="P47" s="6" t="s">
        <v>2</v>
      </c>
      <c r="Q47" s="6" t="s">
        <v>1</v>
      </c>
    </row>
    <row r="48" spans="1:17" x14ac:dyDescent="0.35">
      <c r="K48" s="5">
        <v>44562</v>
      </c>
      <c r="L48" s="4">
        <f t="shared" ref="L48:Q48" si="26">L10+L21+L32+L43</f>
        <v>181828.5</v>
      </c>
      <c r="M48" s="4">
        <f t="shared" si="26"/>
        <v>251096.50000000003</v>
      </c>
      <c r="N48" s="4">
        <f t="shared" si="26"/>
        <v>432925</v>
      </c>
      <c r="O48" s="4">
        <f t="shared" si="26"/>
        <v>267487</v>
      </c>
      <c r="P48" s="4">
        <f t="shared" si="26"/>
        <v>165438</v>
      </c>
      <c r="Q48" s="4">
        <f t="shared" si="26"/>
        <v>61573</v>
      </c>
    </row>
    <row r="49" spans="11:17" x14ac:dyDescent="0.35">
      <c r="K49" s="3" t="s">
        <v>0</v>
      </c>
      <c r="L49" s="2">
        <f>L11+L22+L33+L44</f>
        <v>60609.499999999985</v>
      </c>
      <c r="M49" s="2"/>
      <c r="N49" s="2"/>
      <c r="O49" s="2"/>
      <c r="P49" s="2"/>
      <c r="Q49" s="2"/>
    </row>
  </sheetData>
  <conditionalFormatting sqref="A1:H1">
    <cfRule type="dataBar" priority="6">
      <dataBar>
        <cfvo type="min"/>
        <cfvo type="max"/>
        <color rgb="FF638EC6"/>
      </dataBar>
    </cfRule>
  </conditionalFormatting>
  <conditionalFormatting sqref="H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Q2">
    <cfRule type="dataBar" priority="7">
      <dataBar>
        <cfvo type="min"/>
        <cfvo type="max"/>
        <color rgb="FF638EC6"/>
      </dataBar>
    </cfRule>
  </conditionalFormatting>
  <conditionalFormatting sqref="K13:Q13">
    <cfRule type="dataBar" priority="4">
      <dataBar>
        <cfvo type="min"/>
        <cfvo type="max"/>
        <color rgb="FF638EC6"/>
      </dataBar>
    </cfRule>
  </conditionalFormatting>
  <conditionalFormatting sqref="K24:Q24">
    <cfRule type="dataBar" priority="3">
      <dataBar>
        <cfvo type="min"/>
        <cfvo type="max"/>
        <color rgb="FF638EC6"/>
      </dataBar>
    </cfRule>
  </conditionalFormatting>
  <conditionalFormatting sqref="K35:Q35">
    <cfRule type="dataBar" priority="2">
      <dataBar>
        <cfvo type="min"/>
        <cfvo type="max"/>
        <color rgb="FF638EC6"/>
      </dataBar>
    </cfRule>
  </conditionalFormatting>
  <conditionalFormatting sqref="K47:Q4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F6C6-C3BA-4301-930F-BEAF45E97C50}">
  <dimension ref="A1:Q49"/>
  <sheetViews>
    <sheetView workbookViewId="0">
      <pane ySplit="1" topLeftCell="A15" activePane="bottomLeft" state="frozen"/>
      <selection pane="bottomLeft"/>
    </sheetView>
  </sheetViews>
  <sheetFormatPr defaultRowHeight="14.5" x14ac:dyDescent="0.35"/>
  <cols>
    <col min="1" max="1" width="28.26953125" bestFit="1" customWidth="1"/>
    <col min="2" max="4" width="8.453125" style="1" bestFit="1" customWidth="1"/>
    <col min="5" max="5" width="11" style="1" bestFit="1" customWidth="1"/>
    <col min="6" max="6" width="16.81640625" style="1" bestFit="1" customWidth="1"/>
    <col min="7" max="7" width="9.26953125" style="1" bestFit="1" customWidth="1"/>
    <col min="8" max="8" width="10" bestFit="1" customWidth="1"/>
    <col min="9" max="9" width="12.26953125" bestFit="1" customWidth="1"/>
    <col min="10" max="10" width="7.453125" bestFit="1" customWidth="1"/>
    <col min="11" max="11" width="28.26953125" bestFit="1" customWidth="1"/>
    <col min="12" max="15" width="8.453125" bestFit="1" customWidth="1"/>
    <col min="16" max="16" width="16.81640625" bestFit="1" customWidth="1"/>
    <col min="17" max="17" width="9.26953125" bestFit="1" customWidth="1"/>
  </cols>
  <sheetData>
    <row r="1" spans="1:17" x14ac:dyDescent="0.35">
      <c r="A1" s="29" t="s">
        <v>7</v>
      </c>
      <c r="B1" s="27" t="s">
        <v>6</v>
      </c>
      <c r="C1" s="27" t="s">
        <v>5</v>
      </c>
      <c r="D1" s="27" t="s">
        <v>4</v>
      </c>
      <c r="E1" s="28" t="s">
        <v>3</v>
      </c>
      <c r="F1" s="28" t="s">
        <v>2</v>
      </c>
      <c r="G1" s="27" t="s">
        <v>1</v>
      </c>
      <c r="H1" s="26" t="s">
        <v>9</v>
      </c>
      <c r="I1" s="25" t="s">
        <v>8</v>
      </c>
      <c r="K1" s="7" t="s">
        <v>7</v>
      </c>
      <c r="L1" s="6" t="s">
        <v>6</v>
      </c>
      <c r="M1" s="6" t="s">
        <v>5</v>
      </c>
      <c r="N1" s="6" t="s">
        <v>4</v>
      </c>
      <c r="O1" s="6" t="s">
        <v>3</v>
      </c>
      <c r="P1" s="6" t="s">
        <v>2</v>
      </c>
      <c r="Q1" s="6" t="s">
        <v>1</v>
      </c>
    </row>
    <row r="2" spans="1:17" x14ac:dyDescent="0.35">
      <c r="A2" s="23">
        <v>44592</v>
      </c>
      <c r="B2" s="22">
        <f t="shared" ref="B2:B32" si="0">D2*0.42</f>
        <v>8782.1999999999989</v>
      </c>
      <c r="C2" s="22">
        <f t="shared" ref="C2:C32" si="1">D2-B2</f>
        <v>12127.800000000001</v>
      </c>
      <c r="D2" s="22">
        <f t="shared" ref="D2:D32" si="2">E2+F2</f>
        <v>20910</v>
      </c>
      <c r="E2" s="22">
        <v>6140</v>
      </c>
      <c r="F2" s="22">
        <v>14770</v>
      </c>
      <c r="G2" s="22">
        <v>2520</v>
      </c>
      <c r="H2" s="21">
        <f t="shared" ref="H2:H32" si="3">IFERROR(B2/C2,0)</f>
        <v>0.72413793103448265</v>
      </c>
      <c r="I2" s="20">
        <f>SUM($D$2:D2)-SUM($G$2:G2)</f>
        <v>18390</v>
      </c>
      <c r="K2" s="9" t="s">
        <v>10</v>
      </c>
      <c r="L2" s="4">
        <f>N2*0.3</f>
        <v>30000</v>
      </c>
      <c r="M2" s="4">
        <f t="shared" ref="M2:M9" si="4">N2-L2</f>
        <v>70000</v>
      </c>
      <c r="N2" s="4">
        <f t="shared" ref="N2:N9" si="5">O2+P2</f>
        <v>100000</v>
      </c>
      <c r="O2" s="4"/>
      <c r="P2" s="4">
        <v>100000</v>
      </c>
      <c r="Q2" s="4">
        <v>0</v>
      </c>
    </row>
    <row r="3" spans="1:17" x14ac:dyDescent="0.35">
      <c r="A3" s="23">
        <v>44593</v>
      </c>
      <c r="B3" s="22">
        <f t="shared" si="0"/>
        <v>2879.94</v>
      </c>
      <c r="C3" s="22">
        <f t="shared" si="1"/>
        <v>3977.06</v>
      </c>
      <c r="D3" s="22">
        <f t="shared" si="2"/>
        <v>6857</v>
      </c>
      <c r="E3" s="22">
        <v>6857</v>
      </c>
      <c r="F3" s="22"/>
      <c r="G3" s="22"/>
      <c r="H3" s="21">
        <f t="shared" si="3"/>
        <v>0.72413793103448276</v>
      </c>
      <c r="I3" s="20">
        <f>SUM($D$2:D3)-SUM($G$2:G3)</f>
        <v>25247</v>
      </c>
      <c r="K3" s="9">
        <f t="shared" ref="K3:K9" si="6">A2</f>
        <v>44592</v>
      </c>
      <c r="L3" s="4">
        <f t="shared" ref="L3:L9" si="7">N3*0.42</f>
        <v>8782.1999999999989</v>
      </c>
      <c r="M3" s="4">
        <f t="shared" si="4"/>
        <v>12127.800000000001</v>
      </c>
      <c r="N3" s="4">
        <f t="shared" si="5"/>
        <v>20910</v>
      </c>
      <c r="O3" s="4">
        <f t="shared" ref="O3:Q9" si="8">E2</f>
        <v>6140</v>
      </c>
      <c r="P3" s="4">
        <f t="shared" si="8"/>
        <v>14770</v>
      </c>
      <c r="Q3" s="4">
        <f t="shared" si="8"/>
        <v>2520</v>
      </c>
    </row>
    <row r="4" spans="1:17" x14ac:dyDescent="0.35">
      <c r="A4" s="23">
        <v>44594</v>
      </c>
      <c r="B4" s="22">
        <f t="shared" si="0"/>
        <v>3082.7999999999997</v>
      </c>
      <c r="C4" s="22">
        <f t="shared" si="1"/>
        <v>4257.2000000000007</v>
      </c>
      <c r="D4" s="22">
        <f t="shared" si="2"/>
        <v>7340</v>
      </c>
      <c r="E4" s="22">
        <v>7340</v>
      </c>
      <c r="F4" s="22"/>
      <c r="G4" s="22">
        <v>350</v>
      </c>
      <c r="H4" s="21">
        <f t="shared" si="3"/>
        <v>0.72413793103448254</v>
      </c>
      <c r="I4" s="20">
        <f>SUM($D$2:D4)-SUM($G$2:G4)</f>
        <v>32237</v>
      </c>
      <c r="K4" s="8">
        <f t="shared" si="6"/>
        <v>44593</v>
      </c>
      <c r="L4" s="2">
        <f t="shared" si="7"/>
        <v>2879.94</v>
      </c>
      <c r="M4" s="2">
        <f t="shared" si="4"/>
        <v>3977.06</v>
      </c>
      <c r="N4" s="2">
        <f t="shared" si="5"/>
        <v>6857</v>
      </c>
      <c r="O4" s="2">
        <f t="shared" si="8"/>
        <v>6857</v>
      </c>
      <c r="P4" s="2">
        <f t="shared" si="8"/>
        <v>0</v>
      </c>
      <c r="Q4" s="2">
        <f t="shared" si="8"/>
        <v>0</v>
      </c>
    </row>
    <row r="5" spans="1:17" x14ac:dyDescent="0.35">
      <c r="A5" s="23">
        <v>44595</v>
      </c>
      <c r="B5" s="22">
        <f t="shared" si="0"/>
        <v>4647.3</v>
      </c>
      <c r="C5" s="22">
        <f t="shared" si="1"/>
        <v>6417.7</v>
      </c>
      <c r="D5" s="22">
        <f t="shared" si="2"/>
        <v>11065</v>
      </c>
      <c r="E5" s="22">
        <v>10365</v>
      </c>
      <c r="F5" s="22">
        <v>700</v>
      </c>
      <c r="G5" s="22"/>
      <c r="H5" s="21">
        <f t="shared" si="3"/>
        <v>0.72413793103448276</v>
      </c>
      <c r="I5" s="20">
        <f>SUM($D$2:D5)-SUM($G$2:G5)</f>
        <v>43302</v>
      </c>
      <c r="K5" s="9">
        <f t="shared" si="6"/>
        <v>44594</v>
      </c>
      <c r="L5" s="4">
        <f t="shared" si="7"/>
        <v>3082.7999999999997</v>
      </c>
      <c r="M5" s="4">
        <f t="shared" si="4"/>
        <v>4257.2000000000007</v>
      </c>
      <c r="N5" s="4">
        <f t="shared" si="5"/>
        <v>7340</v>
      </c>
      <c r="O5" s="4">
        <f t="shared" si="8"/>
        <v>7340</v>
      </c>
      <c r="P5" s="4">
        <f t="shared" si="8"/>
        <v>0</v>
      </c>
      <c r="Q5" s="4">
        <f t="shared" si="8"/>
        <v>350</v>
      </c>
    </row>
    <row r="6" spans="1:17" x14ac:dyDescent="0.35">
      <c r="A6" s="23">
        <v>44596</v>
      </c>
      <c r="B6" s="22">
        <f t="shared" si="0"/>
        <v>5972.4</v>
      </c>
      <c r="C6" s="22">
        <f t="shared" si="1"/>
        <v>8247.6</v>
      </c>
      <c r="D6" s="22">
        <f t="shared" si="2"/>
        <v>14220</v>
      </c>
      <c r="E6" s="22">
        <f>7160+640</f>
        <v>7800</v>
      </c>
      <c r="F6" s="22">
        <v>6420</v>
      </c>
      <c r="G6" s="22"/>
      <c r="H6" s="21">
        <f t="shared" si="3"/>
        <v>0.72413793103448265</v>
      </c>
      <c r="I6" s="20">
        <f>SUM($D$2:D6)-SUM($G$2:G6)</f>
        <v>57522</v>
      </c>
      <c r="K6" s="8">
        <f t="shared" si="6"/>
        <v>44595</v>
      </c>
      <c r="L6" s="2">
        <f t="shared" si="7"/>
        <v>4647.3</v>
      </c>
      <c r="M6" s="2">
        <f t="shared" si="4"/>
        <v>6417.7</v>
      </c>
      <c r="N6" s="2">
        <f t="shared" si="5"/>
        <v>11065</v>
      </c>
      <c r="O6" s="2">
        <f t="shared" si="8"/>
        <v>10365</v>
      </c>
      <c r="P6" s="2">
        <f t="shared" si="8"/>
        <v>700</v>
      </c>
      <c r="Q6" s="2">
        <f t="shared" si="8"/>
        <v>0</v>
      </c>
    </row>
    <row r="7" spans="1:17" x14ac:dyDescent="0.35">
      <c r="A7" s="23">
        <v>44597</v>
      </c>
      <c r="B7" s="22">
        <f t="shared" si="0"/>
        <v>10232.879999999999</v>
      </c>
      <c r="C7" s="22">
        <f t="shared" si="1"/>
        <v>14131.12</v>
      </c>
      <c r="D7" s="22">
        <f t="shared" si="2"/>
        <v>24364</v>
      </c>
      <c r="E7" s="22">
        <v>6468</v>
      </c>
      <c r="F7" s="22">
        <v>17896</v>
      </c>
      <c r="G7" s="22">
        <v>60</v>
      </c>
      <c r="H7" s="21">
        <f t="shared" si="3"/>
        <v>0.72413793103448265</v>
      </c>
      <c r="I7" s="20">
        <f>SUM($D$2:D7)-SUM($G$2:G7)</f>
        <v>81826</v>
      </c>
      <c r="K7" s="9">
        <f t="shared" si="6"/>
        <v>44596</v>
      </c>
      <c r="L7" s="4">
        <f t="shared" si="7"/>
        <v>5972.4</v>
      </c>
      <c r="M7" s="4">
        <f t="shared" si="4"/>
        <v>8247.6</v>
      </c>
      <c r="N7" s="4">
        <f t="shared" si="5"/>
        <v>14220</v>
      </c>
      <c r="O7" s="4">
        <f t="shared" si="8"/>
        <v>7800</v>
      </c>
      <c r="P7" s="4">
        <f t="shared" si="8"/>
        <v>6420</v>
      </c>
      <c r="Q7" s="4">
        <f t="shared" si="8"/>
        <v>0</v>
      </c>
    </row>
    <row r="8" spans="1:17" x14ac:dyDescent="0.35">
      <c r="A8" s="23">
        <v>44598</v>
      </c>
      <c r="B8" s="22">
        <f t="shared" si="0"/>
        <v>4943.3999999999996</v>
      </c>
      <c r="C8" s="22">
        <f t="shared" si="1"/>
        <v>6826.6</v>
      </c>
      <c r="D8" s="22">
        <f t="shared" si="2"/>
        <v>11770</v>
      </c>
      <c r="E8" s="22">
        <v>10570</v>
      </c>
      <c r="F8" s="22">
        <v>1200</v>
      </c>
      <c r="G8" s="22">
        <v>4200</v>
      </c>
      <c r="H8" s="21">
        <f t="shared" si="3"/>
        <v>0.72413793103448265</v>
      </c>
      <c r="I8" s="20">
        <f>SUM($D$2:D8)-SUM($G$2:G8)</f>
        <v>89396</v>
      </c>
      <c r="K8" s="8">
        <f t="shared" si="6"/>
        <v>44597</v>
      </c>
      <c r="L8" s="2">
        <f t="shared" si="7"/>
        <v>10232.879999999999</v>
      </c>
      <c r="M8" s="2">
        <f t="shared" si="4"/>
        <v>14131.12</v>
      </c>
      <c r="N8" s="2">
        <f t="shared" si="5"/>
        <v>24364</v>
      </c>
      <c r="O8" s="2">
        <f t="shared" si="8"/>
        <v>6468</v>
      </c>
      <c r="P8" s="2">
        <f t="shared" si="8"/>
        <v>17896</v>
      </c>
      <c r="Q8" s="2">
        <f t="shared" si="8"/>
        <v>60</v>
      </c>
    </row>
    <row r="9" spans="1:17" x14ac:dyDescent="0.35">
      <c r="A9" s="23">
        <v>44599</v>
      </c>
      <c r="B9" s="22">
        <f t="shared" si="0"/>
        <v>5972.4</v>
      </c>
      <c r="C9" s="22">
        <f t="shared" si="1"/>
        <v>8247.6</v>
      </c>
      <c r="D9" s="22">
        <f t="shared" si="2"/>
        <v>14220</v>
      </c>
      <c r="E9" s="22">
        <v>10750</v>
      </c>
      <c r="F9" s="22">
        <v>3470</v>
      </c>
      <c r="G9" s="22">
        <v>2760</v>
      </c>
      <c r="H9" s="21">
        <f t="shared" si="3"/>
        <v>0.72413793103448265</v>
      </c>
      <c r="I9" s="20">
        <f>SUM($D$2:D9)-SUM($G$2:G9)</f>
        <v>100856</v>
      </c>
      <c r="K9" s="9">
        <f t="shared" si="6"/>
        <v>44598</v>
      </c>
      <c r="L9" s="4">
        <f t="shared" si="7"/>
        <v>4943.3999999999996</v>
      </c>
      <c r="M9" s="4">
        <f t="shared" si="4"/>
        <v>6826.6</v>
      </c>
      <c r="N9" s="4">
        <f t="shared" si="5"/>
        <v>11770</v>
      </c>
      <c r="O9" s="4">
        <f t="shared" si="8"/>
        <v>10570</v>
      </c>
      <c r="P9" s="4">
        <f t="shared" si="8"/>
        <v>1200</v>
      </c>
      <c r="Q9" s="4">
        <f t="shared" si="8"/>
        <v>4200</v>
      </c>
    </row>
    <row r="10" spans="1:17" x14ac:dyDescent="0.35">
      <c r="A10" s="23">
        <v>44600</v>
      </c>
      <c r="B10" s="22">
        <f t="shared" si="0"/>
        <v>1953</v>
      </c>
      <c r="C10" s="22">
        <f t="shared" si="1"/>
        <v>2697</v>
      </c>
      <c r="D10" s="22">
        <f t="shared" si="2"/>
        <v>4650</v>
      </c>
      <c r="E10" s="22">
        <v>3150</v>
      </c>
      <c r="F10" s="22">
        <v>1500</v>
      </c>
      <c r="G10" s="22">
        <v>45</v>
      </c>
      <c r="H10" s="21">
        <f t="shared" si="3"/>
        <v>0.72413793103448276</v>
      </c>
      <c r="I10" s="20">
        <f>SUM($D$2:D10)-SUM($G$2:G10)</f>
        <v>105461</v>
      </c>
      <c r="K10" s="3" t="s">
        <v>4</v>
      </c>
      <c r="L10" s="3">
        <f>SUM(L3:L9)</f>
        <v>40540.92</v>
      </c>
      <c r="M10" s="3">
        <f>SUM(M2:M9)</f>
        <v>125985.08</v>
      </c>
      <c r="N10" s="3">
        <f>SUM(N2:N9)</f>
        <v>196526</v>
      </c>
      <c r="O10" s="3">
        <f>SUM(O2:O9)</f>
        <v>55540</v>
      </c>
      <c r="P10" s="3">
        <f>SUM(P2:P9)</f>
        <v>140986</v>
      </c>
      <c r="Q10" s="3">
        <f>SUM(Q2:Q9)</f>
        <v>7130</v>
      </c>
    </row>
    <row r="11" spans="1:17" x14ac:dyDescent="0.35">
      <c r="A11" s="23">
        <v>44601</v>
      </c>
      <c r="B11" s="22">
        <f t="shared" si="0"/>
        <v>24511.200000000001</v>
      </c>
      <c r="C11" s="22">
        <f t="shared" si="1"/>
        <v>33848.800000000003</v>
      </c>
      <c r="D11" s="22">
        <f t="shared" si="2"/>
        <v>58360</v>
      </c>
      <c r="E11" s="22">
        <v>7690</v>
      </c>
      <c r="F11" s="22">
        <v>50670</v>
      </c>
      <c r="G11" s="22">
        <v>4050</v>
      </c>
      <c r="H11" s="21">
        <f t="shared" si="3"/>
        <v>0.72413793103448276</v>
      </c>
      <c r="I11" s="20">
        <f>SUM($D$2:D11)-SUM($G$2:G11)</f>
        <v>159771</v>
      </c>
      <c r="K11" s="3" t="s">
        <v>0</v>
      </c>
      <c r="L11" s="3">
        <f>L10/3</f>
        <v>13513.64</v>
      </c>
      <c r="M11" s="3"/>
      <c r="N11" s="3"/>
      <c r="O11" s="2"/>
      <c r="P11" s="2"/>
      <c r="Q11" s="2"/>
    </row>
    <row r="12" spans="1:17" x14ac:dyDescent="0.35">
      <c r="A12" s="23">
        <v>44602</v>
      </c>
      <c r="B12" s="22">
        <f t="shared" si="0"/>
        <v>12595.8</v>
      </c>
      <c r="C12" s="22">
        <f t="shared" si="1"/>
        <v>17394.2</v>
      </c>
      <c r="D12" s="22">
        <f t="shared" si="2"/>
        <v>29990</v>
      </c>
      <c r="E12" s="22">
        <v>23360</v>
      </c>
      <c r="F12" s="22">
        <v>6630</v>
      </c>
      <c r="G12" s="22">
        <v>2050</v>
      </c>
      <c r="H12" s="21">
        <f t="shared" si="3"/>
        <v>0.72413793103448265</v>
      </c>
      <c r="I12" s="20">
        <f>SUM($D$2:D12)-SUM($G$2:G12)</f>
        <v>187711</v>
      </c>
    </row>
    <row r="13" spans="1:17" x14ac:dyDescent="0.35">
      <c r="A13" s="23">
        <v>44603</v>
      </c>
      <c r="B13" s="22">
        <f t="shared" si="0"/>
        <v>15405.599999999999</v>
      </c>
      <c r="C13" s="22">
        <f t="shared" si="1"/>
        <v>21274.400000000001</v>
      </c>
      <c r="D13" s="22">
        <f t="shared" si="2"/>
        <v>36680</v>
      </c>
      <c r="E13" s="22">
        <v>17180</v>
      </c>
      <c r="F13" s="22">
        <v>19500</v>
      </c>
      <c r="G13" s="22">
        <v>500</v>
      </c>
      <c r="H13" s="21">
        <f t="shared" si="3"/>
        <v>0.72413793103448265</v>
      </c>
      <c r="I13" s="20">
        <f>SUM($D$2:D13)-SUM($G$2:G13)</f>
        <v>223891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44604</v>
      </c>
      <c r="B14" s="22">
        <f t="shared" si="0"/>
        <v>8863.68</v>
      </c>
      <c r="C14" s="22">
        <f t="shared" si="1"/>
        <v>12240.32</v>
      </c>
      <c r="D14" s="22">
        <f t="shared" si="2"/>
        <v>21104</v>
      </c>
      <c r="E14" s="22">
        <v>2370</v>
      </c>
      <c r="F14" s="22">
        <v>18734</v>
      </c>
      <c r="G14" s="22">
        <v>540</v>
      </c>
      <c r="H14" s="21">
        <f t="shared" si="3"/>
        <v>0.72413793103448276</v>
      </c>
      <c r="I14" s="20">
        <f>SUM($D$2:D14)-SUM($G$2:G14)</f>
        <v>244455</v>
      </c>
      <c r="K14" s="8">
        <f t="shared" ref="K14:K20" si="9">A9</f>
        <v>44599</v>
      </c>
      <c r="L14" s="2">
        <f t="shared" ref="L14:L20" si="10">N14*0.42</f>
        <v>5972.4</v>
      </c>
      <c r="M14" s="2">
        <f t="shared" ref="M14:M20" si="11">N14-L14</f>
        <v>8247.6</v>
      </c>
      <c r="N14" s="2">
        <f t="shared" ref="N14:N20" si="12">O14+P14</f>
        <v>14220</v>
      </c>
      <c r="O14" s="2">
        <f t="shared" ref="O14:Q20" si="13">E9</f>
        <v>10750</v>
      </c>
      <c r="P14" s="2">
        <f t="shared" si="13"/>
        <v>3470</v>
      </c>
      <c r="Q14" s="2">
        <f t="shared" si="13"/>
        <v>2760</v>
      </c>
    </row>
    <row r="15" spans="1:17" x14ac:dyDescent="0.35">
      <c r="A15" s="23">
        <v>44605</v>
      </c>
      <c r="B15" s="22">
        <f t="shared" si="0"/>
        <v>4588.5</v>
      </c>
      <c r="C15" s="22">
        <f t="shared" si="1"/>
        <v>6336.5</v>
      </c>
      <c r="D15" s="22">
        <f t="shared" si="2"/>
        <v>10925</v>
      </c>
      <c r="E15" s="22">
        <v>6730</v>
      </c>
      <c r="F15" s="22">
        <v>4195</v>
      </c>
      <c r="G15" s="22">
        <v>290</v>
      </c>
      <c r="H15" s="21">
        <f t="shared" si="3"/>
        <v>0.72413793103448276</v>
      </c>
      <c r="I15" s="20">
        <f>SUM($D$2:D15)-SUM($G$2:G15)</f>
        <v>255090</v>
      </c>
      <c r="K15" s="9">
        <f t="shared" si="9"/>
        <v>44600</v>
      </c>
      <c r="L15" s="4">
        <f t="shared" si="10"/>
        <v>1953</v>
      </c>
      <c r="M15" s="4">
        <f t="shared" si="11"/>
        <v>2697</v>
      </c>
      <c r="N15" s="4">
        <f t="shared" si="12"/>
        <v>4650</v>
      </c>
      <c r="O15" s="4">
        <f t="shared" si="13"/>
        <v>3150</v>
      </c>
      <c r="P15" s="4">
        <f t="shared" si="13"/>
        <v>1500</v>
      </c>
      <c r="Q15" s="4">
        <f t="shared" si="13"/>
        <v>45</v>
      </c>
    </row>
    <row r="16" spans="1:17" x14ac:dyDescent="0.35">
      <c r="A16" s="23">
        <v>44606</v>
      </c>
      <c r="B16" s="22">
        <f t="shared" si="0"/>
        <v>4714.5</v>
      </c>
      <c r="C16" s="22">
        <f t="shared" si="1"/>
        <v>6510.5</v>
      </c>
      <c r="D16" s="22">
        <f t="shared" si="2"/>
        <v>11225</v>
      </c>
      <c r="E16" s="22">
        <v>10170</v>
      </c>
      <c r="F16" s="22">
        <v>1055</v>
      </c>
      <c r="G16" s="22">
        <v>79</v>
      </c>
      <c r="H16" s="21">
        <f t="shared" si="3"/>
        <v>0.72413793103448276</v>
      </c>
      <c r="I16" s="20">
        <f>SUM($D$2:D16)-SUM($G$2:G16)</f>
        <v>266236</v>
      </c>
      <c r="K16" s="8">
        <f t="shared" si="9"/>
        <v>44601</v>
      </c>
      <c r="L16" s="2">
        <f t="shared" si="10"/>
        <v>24511.200000000001</v>
      </c>
      <c r="M16" s="2">
        <f t="shared" si="11"/>
        <v>33848.800000000003</v>
      </c>
      <c r="N16" s="2">
        <f t="shared" si="12"/>
        <v>58360</v>
      </c>
      <c r="O16" s="2">
        <f t="shared" si="13"/>
        <v>7690</v>
      </c>
      <c r="P16" s="2">
        <f t="shared" si="13"/>
        <v>50670</v>
      </c>
      <c r="Q16" s="2">
        <f t="shared" si="13"/>
        <v>4050</v>
      </c>
    </row>
    <row r="17" spans="1:17" x14ac:dyDescent="0.35">
      <c r="A17" s="23">
        <v>44607</v>
      </c>
      <c r="B17" s="22">
        <f t="shared" si="0"/>
        <v>6967.8</v>
      </c>
      <c r="C17" s="22">
        <f t="shared" si="1"/>
        <v>9622.2000000000007</v>
      </c>
      <c r="D17" s="22">
        <f t="shared" si="2"/>
        <v>16590</v>
      </c>
      <c r="E17" s="22">
        <v>9880</v>
      </c>
      <c r="F17" s="22">
        <v>6710</v>
      </c>
      <c r="G17" s="22">
        <v>30</v>
      </c>
      <c r="H17" s="21">
        <f t="shared" si="3"/>
        <v>0.72413793103448276</v>
      </c>
      <c r="I17" s="20">
        <f>SUM($D$2:D17)-SUM($G$2:G17)</f>
        <v>282796</v>
      </c>
      <c r="K17" s="9">
        <f t="shared" si="9"/>
        <v>44602</v>
      </c>
      <c r="L17" s="4">
        <f t="shared" si="10"/>
        <v>12595.8</v>
      </c>
      <c r="M17" s="4">
        <f t="shared" si="11"/>
        <v>17394.2</v>
      </c>
      <c r="N17" s="4">
        <f t="shared" si="12"/>
        <v>29990</v>
      </c>
      <c r="O17" s="4">
        <f t="shared" si="13"/>
        <v>23360</v>
      </c>
      <c r="P17" s="4">
        <f t="shared" si="13"/>
        <v>6630</v>
      </c>
      <c r="Q17" s="4">
        <f t="shared" si="13"/>
        <v>2050</v>
      </c>
    </row>
    <row r="18" spans="1:17" x14ac:dyDescent="0.35">
      <c r="A18" s="23">
        <v>44608</v>
      </c>
      <c r="B18" s="22">
        <f t="shared" si="0"/>
        <v>6659.0999999999995</v>
      </c>
      <c r="C18" s="22">
        <f t="shared" si="1"/>
        <v>9195.9000000000015</v>
      </c>
      <c r="D18" s="22">
        <f t="shared" si="2"/>
        <v>15855</v>
      </c>
      <c r="E18" s="22">
        <v>5580</v>
      </c>
      <c r="F18" s="22">
        <v>10275</v>
      </c>
      <c r="G18" s="22">
        <v>70</v>
      </c>
      <c r="H18" s="21">
        <f t="shared" si="3"/>
        <v>0.72413793103448254</v>
      </c>
      <c r="I18" s="20">
        <f>SUM($D$2:D18)-SUM($G$2:G18)</f>
        <v>298581</v>
      </c>
      <c r="K18" s="8">
        <f t="shared" si="9"/>
        <v>44603</v>
      </c>
      <c r="L18" s="2">
        <f t="shared" si="10"/>
        <v>15405.599999999999</v>
      </c>
      <c r="M18" s="2">
        <f t="shared" si="11"/>
        <v>21274.400000000001</v>
      </c>
      <c r="N18" s="2">
        <f t="shared" si="12"/>
        <v>36680</v>
      </c>
      <c r="O18" s="2">
        <f t="shared" si="13"/>
        <v>17180</v>
      </c>
      <c r="P18" s="2">
        <f t="shared" si="13"/>
        <v>19500</v>
      </c>
      <c r="Q18" s="2">
        <f t="shared" si="13"/>
        <v>500</v>
      </c>
    </row>
    <row r="19" spans="1:17" x14ac:dyDescent="0.35">
      <c r="A19" s="23">
        <v>44609</v>
      </c>
      <c r="B19" s="22">
        <f t="shared" si="0"/>
        <v>4579.6799999999994</v>
      </c>
      <c r="C19" s="22">
        <f t="shared" si="1"/>
        <v>6324.3200000000006</v>
      </c>
      <c r="D19" s="22">
        <f t="shared" si="2"/>
        <v>10904</v>
      </c>
      <c r="E19" s="22">
        <v>7474</v>
      </c>
      <c r="F19" s="22">
        <v>3430</v>
      </c>
      <c r="G19" s="22">
        <v>1520</v>
      </c>
      <c r="H19" s="21">
        <f t="shared" si="3"/>
        <v>0.72413793103448254</v>
      </c>
      <c r="I19" s="20">
        <f>SUM($D$2:D19)-SUM($G$2:G19)</f>
        <v>307965</v>
      </c>
      <c r="K19" s="9">
        <f t="shared" si="9"/>
        <v>44604</v>
      </c>
      <c r="L19" s="4">
        <f t="shared" si="10"/>
        <v>8863.68</v>
      </c>
      <c r="M19" s="4">
        <f t="shared" si="11"/>
        <v>12240.32</v>
      </c>
      <c r="N19" s="4">
        <f t="shared" si="12"/>
        <v>21104</v>
      </c>
      <c r="O19" s="4">
        <f t="shared" si="13"/>
        <v>2370</v>
      </c>
      <c r="P19" s="4">
        <f t="shared" si="13"/>
        <v>18734</v>
      </c>
      <c r="Q19" s="4">
        <f t="shared" si="13"/>
        <v>540</v>
      </c>
    </row>
    <row r="20" spans="1:17" x14ac:dyDescent="0.35">
      <c r="A20" s="23">
        <v>44610</v>
      </c>
      <c r="B20" s="22">
        <f t="shared" si="0"/>
        <v>9315.6</v>
      </c>
      <c r="C20" s="22">
        <f t="shared" si="1"/>
        <v>12864.4</v>
      </c>
      <c r="D20" s="22">
        <f t="shared" si="2"/>
        <v>22180</v>
      </c>
      <c r="E20" s="22">
        <v>13120</v>
      </c>
      <c r="F20" s="22">
        <v>9060</v>
      </c>
      <c r="G20" s="22">
        <v>1708</v>
      </c>
      <c r="H20" s="21">
        <f t="shared" si="3"/>
        <v>0.72413793103448276</v>
      </c>
      <c r="I20" s="20">
        <f>SUM($D$2:D20)-SUM($G$2:G20)</f>
        <v>328437</v>
      </c>
      <c r="K20" s="8">
        <f t="shared" si="9"/>
        <v>44605</v>
      </c>
      <c r="L20" s="2">
        <f t="shared" si="10"/>
        <v>4588.5</v>
      </c>
      <c r="M20" s="2">
        <f t="shared" si="11"/>
        <v>6336.5</v>
      </c>
      <c r="N20" s="2">
        <f t="shared" si="12"/>
        <v>10925</v>
      </c>
      <c r="O20" s="2">
        <f t="shared" si="13"/>
        <v>6730</v>
      </c>
      <c r="P20" s="2">
        <f t="shared" si="13"/>
        <v>4195</v>
      </c>
      <c r="Q20" s="2">
        <f t="shared" si="13"/>
        <v>290</v>
      </c>
    </row>
    <row r="21" spans="1:17" x14ac:dyDescent="0.35">
      <c r="A21" s="23">
        <v>44611</v>
      </c>
      <c r="B21" s="22">
        <f t="shared" si="0"/>
        <v>7604.0999999999995</v>
      </c>
      <c r="C21" s="22">
        <f t="shared" si="1"/>
        <v>10500.900000000001</v>
      </c>
      <c r="D21" s="22">
        <f t="shared" si="2"/>
        <v>18105</v>
      </c>
      <c r="E21" s="22">
        <v>4435</v>
      </c>
      <c r="F21" s="22">
        <v>13670</v>
      </c>
      <c r="G21" s="22">
        <v>6965</v>
      </c>
      <c r="H21" s="21">
        <f t="shared" si="3"/>
        <v>0.72413793103448265</v>
      </c>
      <c r="I21" s="20">
        <f>SUM($D$2:D21)-SUM($G$2:G21)</f>
        <v>339577</v>
      </c>
      <c r="K21" s="3" t="s">
        <v>4</v>
      </c>
      <c r="L21" s="3">
        <f t="shared" ref="L21:Q21" si="14">SUM(L14:L20)</f>
        <v>73890.179999999993</v>
      </c>
      <c r="M21" s="3">
        <f t="shared" si="14"/>
        <v>102038.82</v>
      </c>
      <c r="N21" s="3">
        <f t="shared" si="14"/>
        <v>175929</v>
      </c>
      <c r="O21" s="3">
        <f t="shared" si="14"/>
        <v>71230</v>
      </c>
      <c r="P21" s="3">
        <f t="shared" si="14"/>
        <v>104699</v>
      </c>
      <c r="Q21" s="3">
        <f t="shared" si="14"/>
        <v>10235</v>
      </c>
    </row>
    <row r="22" spans="1:17" x14ac:dyDescent="0.35">
      <c r="A22" s="23">
        <v>44612</v>
      </c>
      <c r="B22" s="22">
        <f t="shared" si="0"/>
        <v>4515</v>
      </c>
      <c r="C22" s="22">
        <f t="shared" si="1"/>
        <v>6235</v>
      </c>
      <c r="D22" s="22">
        <f t="shared" si="2"/>
        <v>10750</v>
      </c>
      <c r="E22" s="22">
        <v>5850</v>
      </c>
      <c r="F22" s="22">
        <v>4900</v>
      </c>
      <c r="G22" s="22">
        <v>120</v>
      </c>
      <c r="H22" s="21">
        <f t="shared" si="3"/>
        <v>0.72413793103448276</v>
      </c>
      <c r="I22" s="20">
        <f>SUM($D$2:D22)-SUM($G$2:G22)</f>
        <v>350207</v>
      </c>
      <c r="K22" s="3" t="s">
        <v>0</v>
      </c>
      <c r="L22" s="3">
        <f>L21/3</f>
        <v>24630.059999999998</v>
      </c>
      <c r="M22" s="3"/>
      <c r="N22" s="3"/>
      <c r="O22" s="2"/>
      <c r="P22" s="2"/>
      <c r="Q22" s="2"/>
    </row>
    <row r="23" spans="1:17" x14ac:dyDescent="0.35">
      <c r="A23" s="23">
        <v>44613</v>
      </c>
      <c r="B23" s="22">
        <f t="shared" si="0"/>
        <v>3713.22</v>
      </c>
      <c r="C23" s="22">
        <f t="shared" si="1"/>
        <v>5127.7800000000007</v>
      </c>
      <c r="D23" s="22">
        <f t="shared" si="2"/>
        <v>8841</v>
      </c>
      <c r="E23" s="22">
        <v>8841</v>
      </c>
      <c r="F23" s="22">
        <v>0</v>
      </c>
      <c r="G23" s="22">
        <v>705</v>
      </c>
      <c r="H23" s="21">
        <f t="shared" si="3"/>
        <v>0.72413793103448265</v>
      </c>
      <c r="I23" s="20">
        <f>SUM($D$2:D23)-SUM($G$2:G23)</f>
        <v>358343</v>
      </c>
    </row>
    <row r="24" spans="1:17" x14ac:dyDescent="0.35">
      <c r="A24" s="23">
        <v>44614</v>
      </c>
      <c r="B24" s="22">
        <f t="shared" si="0"/>
        <v>3841.3199999999997</v>
      </c>
      <c r="C24" s="22">
        <f t="shared" si="1"/>
        <v>5304.68</v>
      </c>
      <c r="D24" s="22">
        <f t="shared" si="2"/>
        <v>9146</v>
      </c>
      <c r="E24" s="22">
        <v>9090</v>
      </c>
      <c r="F24" s="22">
        <v>56</v>
      </c>
      <c r="G24" s="22">
        <v>220</v>
      </c>
      <c r="H24" s="21">
        <f t="shared" si="3"/>
        <v>0.72413793103448265</v>
      </c>
      <c r="I24" s="20">
        <f>SUM($D$2:D24)-SUM($G$2:G24)</f>
        <v>367269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44615</v>
      </c>
      <c r="B25" s="22">
        <f t="shared" si="0"/>
        <v>5544</v>
      </c>
      <c r="C25" s="22">
        <f t="shared" si="1"/>
        <v>7656</v>
      </c>
      <c r="D25" s="22">
        <f t="shared" si="2"/>
        <v>13200</v>
      </c>
      <c r="E25" s="22">
        <v>4580</v>
      </c>
      <c r="F25" s="22">
        <v>8620</v>
      </c>
      <c r="G25" s="22">
        <v>770</v>
      </c>
      <c r="H25" s="21">
        <f t="shared" si="3"/>
        <v>0.72413793103448276</v>
      </c>
      <c r="I25" s="20">
        <f>SUM($D$2:D25)-SUM($G$2:G25)</f>
        <v>379699</v>
      </c>
      <c r="K25" s="9">
        <f t="shared" ref="K25:K31" si="15">A16</f>
        <v>44606</v>
      </c>
      <c r="L25" s="4">
        <f t="shared" ref="L25:L31" si="16">N25*0.42</f>
        <v>4714.5</v>
      </c>
      <c r="M25" s="4">
        <f t="shared" ref="M25:M31" si="17">N25-L25</f>
        <v>6510.5</v>
      </c>
      <c r="N25" s="4">
        <f t="shared" ref="N25:N31" si="18">O25+P25</f>
        <v>11225</v>
      </c>
      <c r="O25" s="4">
        <f t="shared" ref="O25:Q31" si="19">E16</f>
        <v>10170</v>
      </c>
      <c r="P25" s="4">
        <f t="shared" si="19"/>
        <v>1055</v>
      </c>
      <c r="Q25" s="4">
        <f t="shared" si="19"/>
        <v>79</v>
      </c>
    </row>
    <row r="26" spans="1:17" x14ac:dyDescent="0.35">
      <c r="A26" s="23">
        <v>44616</v>
      </c>
      <c r="B26" s="22">
        <f t="shared" si="0"/>
        <v>29870.399999999998</v>
      </c>
      <c r="C26" s="22">
        <f t="shared" si="1"/>
        <v>41249.600000000006</v>
      </c>
      <c r="D26" s="22">
        <f t="shared" si="2"/>
        <v>71120</v>
      </c>
      <c r="E26" s="22">
        <v>14120</v>
      </c>
      <c r="F26" s="22">
        <v>57000</v>
      </c>
      <c r="G26" s="22">
        <v>410</v>
      </c>
      <c r="H26" s="21">
        <f t="shared" si="3"/>
        <v>0.72413793103448265</v>
      </c>
      <c r="I26" s="20">
        <f>SUM($D$2:D26)-SUM($G$2:G26)</f>
        <v>450409</v>
      </c>
      <c r="K26" s="8">
        <f t="shared" si="15"/>
        <v>44607</v>
      </c>
      <c r="L26" s="2">
        <f t="shared" si="16"/>
        <v>6967.8</v>
      </c>
      <c r="M26" s="2">
        <f t="shared" si="17"/>
        <v>9622.2000000000007</v>
      </c>
      <c r="N26" s="2">
        <f t="shared" si="18"/>
        <v>16590</v>
      </c>
      <c r="O26" s="4">
        <f t="shared" si="19"/>
        <v>9880</v>
      </c>
      <c r="P26" s="4">
        <f t="shared" si="19"/>
        <v>6710</v>
      </c>
      <c r="Q26" s="4">
        <f t="shared" si="19"/>
        <v>30</v>
      </c>
    </row>
    <row r="27" spans="1:17" x14ac:dyDescent="0.35">
      <c r="A27" s="23">
        <v>44617</v>
      </c>
      <c r="B27" s="22">
        <f t="shared" si="0"/>
        <v>10827.6</v>
      </c>
      <c r="C27" s="22">
        <f t="shared" si="1"/>
        <v>14952.4</v>
      </c>
      <c r="D27" s="22">
        <f t="shared" si="2"/>
        <v>25780</v>
      </c>
      <c r="E27" s="22">
        <v>13220</v>
      </c>
      <c r="F27" s="22">
        <v>12560</v>
      </c>
      <c r="G27" s="22">
        <v>4914</v>
      </c>
      <c r="H27" s="21">
        <f t="shared" si="3"/>
        <v>0.72413793103448276</v>
      </c>
      <c r="I27" s="20">
        <f>SUM($D$2:D27)-SUM($G$2:G27)</f>
        <v>471275</v>
      </c>
      <c r="K27" s="9">
        <f t="shared" si="15"/>
        <v>44608</v>
      </c>
      <c r="L27" s="4">
        <f t="shared" si="16"/>
        <v>6659.0999999999995</v>
      </c>
      <c r="M27" s="4">
        <f t="shared" si="17"/>
        <v>9195.9000000000015</v>
      </c>
      <c r="N27" s="4">
        <f t="shared" si="18"/>
        <v>15855</v>
      </c>
      <c r="O27" s="4">
        <f t="shared" si="19"/>
        <v>5580</v>
      </c>
      <c r="P27" s="4">
        <f t="shared" si="19"/>
        <v>10275</v>
      </c>
      <c r="Q27" s="4">
        <f t="shared" si="19"/>
        <v>70</v>
      </c>
    </row>
    <row r="28" spans="1:17" x14ac:dyDescent="0.35">
      <c r="A28" s="23">
        <v>44618</v>
      </c>
      <c r="B28" s="22">
        <f t="shared" si="0"/>
        <v>4061.3999999999996</v>
      </c>
      <c r="C28" s="22">
        <f t="shared" si="1"/>
        <v>5608.6</v>
      </c>
      <c r="D28" s="22">
        <f t="shared" si="2"/>
        <v>9670</v>
      </c>
      <c r="E28" s="22">
        <v>3550</v>
      </c>
      <c r="F28" s="22">
        <v>6120</v>
      </c>
      <c r="G28" s="22">
        <v>749</v>
      </c>
      <c r="H28" s="21">
        <f t="shared" si="3"/>
        <v>0.72413793103448265</v>
      </c>
      <c r="I28" s="20">
        <f>SUM($D$2:D28)-SUM($G$2:G28)</f>
        <v>480196</v>
      </c>
      <c r="K28" s="8">
        <f t="shared" si="15"/>
        <v>44609</v>
      </c>
      <c r="L28" s="2">
        <f t="shared" si="16"/>
        <v>4579.6799999999994</v>
      </c>
      <c r="M28" s="2">
        <f t="shared" si="17"/>
        <v>6324.3200000000006</v>
      </c>
      <c r="N28" s="2">
        <f t="shared" si="18"/>
        <v>10904</v>
      </c>
      <c r="O28" s="4">
        <f t="shared" si="19"/>
        <v>7474</v>
      </c>
      <c r="P28" s="4">
        <f t="shared" si="19"/>
        <v>3430</v>
      </c>
      <c r="Q28" s="4">
        <f t="shared" si="19"/>
        <v>1520</v>
      </c>
    </row>
    <row r="29" spans="1:17" x14ac:dyDescent="0.35">
      <c r="A29" s="23">
        <v>44619</v>
      </c>
      <c r="B29" s="22">
        <f t="shared" si="0"/>
        <v>2675.4</v>
      </c>
      <c r="C29" s="22">
        <f t="shared" si="1"/>
        <v>3694.6</v>
      </c>
      <c r="D29" s="22">
        <f t="shared" si="2"/>
        <v>6370</v>
      </c>
      <c r="E29" s="22">
        <v>4890</v>
      </c>
      <c r="F29" s="22">
        <v>1480</v>
      </c>
      <c r="G29" s="22">
        <v>40</v>
      </c>
      <c r="H29" s="21">
        <f t="shared" si="3"/>
        <v>0.72413793103448276</v>
      </c>
      <c r="I29" s="20">
        <f>SUM($D$2:D29)-SUM($G$2:G29)</f>
        <v>486526</v>
      </c>
      <c r="K29" s="9">
        <f t="shared" si="15"/>
        <v>44610</v>
      </c>
      <c r="L29" s="4">
        <f t="shared" si="16"/>
        <v>9315.6</v>
      </c>
      <c r="M29" s="4">
        <f t="shared" si="17"/>
        <v>12864.4</v>
      </c>
      <c r="N29" s="4">
        <f t="shared" si="18"/>
        <v>22180</v>
      </c>
      <c r="O29" s="4">
        <f t="shared" si="19"/>
        <v>13120</v>
      </c>
      <c r="P29" s="4">
        <f t="shared" si="19"/>
        <v>9060</v>
      </c>
      <c r="Q29" s="4">
        <f t="shared" si="19"/>
        <v>1708</v>
      </c>
    </row>
    <row r="30" spans="1:17" x14ac:dyDescent="0.35">
      <c r="A30" s="23">
        <v>44620</v>
      </c>
      <c r="B30" s="22">
        <f t="shared" si="0"/>
        <v>30971.64</v>
      </c>
      <c r="C30" s="22">
        <f t="shared" si="1"/>
        <v>42770.36</v>
      </c>
      <c r="D30" s="22">
        <f t="shared" si="2"/>
        <v>73742</v>
      </c>
      <c r="E30" s="22">
        <v>13070</v>
      </c>
      <c r="F30" s="22">
        <v>60672</v>
      </c>
      <c r="G30" s="22">
        <v>1875</v>
      </c>
      <c r="H30" s="21">
        <f t="shared" si="3"/>
        <v>0.72413793103448276</v>
      </c>
      <c r="I30" s="20">
        <f>SUM($D$2:D30)-SUM($G$2:G30)</f>
        <v>558393</v>
      </c>
      <c r="K30" s="8">
        <f t="shared" si="15"/>
        <v>44611</v>
      </c>
      <c r="L30" s="2">
        <f t="shared" si="16"/>
        <v>7604.0999999999995</v>
      </c>
      <c r="M30" s="2">
        <f t="shared" si="17"/>
        <v>10500.900000000001</v>
      </c>
      <c r="N30" s="2">
        <f t="shared" si="18"/>
        <v>18105</v>
      </c>
      <c r="O30" s="4">
        <f t="shared" si="19"/>
        <v>4435</v>
      </c>
      <c r="P30" s="4">
        <f t="shared" si="19"/>
        <v>13670</v>
      </c>
      <c r="Q30" s="4">
        <f t="shared" si="19"/>
        <v>6965</v>
      </c>
    </row>
    <row r="31" spans="1:17" x14ac:dyDescent="0.35">
      <c r="A31" s="23">
        <v>44621</v>
      </c>
      <c r="B31" s="22">
        <f t="shared" si="0"/>
        <v>0</v>
      </c>
      <c r="C31" s="22">
        <f t="shared" si="1"/>
        <v>0</v>
      </c>
      <c r="D31" s="22">
        <f t="shared" si="2"/>
        <v>0</v>
      </c>
      <c r="E31" s="22"/>
      <c r="F31" s="22"/>
      <c r="G31" s="22"/>
      <c r="H31" s="21">
        <f t="shared" si="3"/>
        <v>0</v>
      </c>
      <c r="I31" s="20">
        <f>SUM($D$2:D31)-SUM($G$2:G31)</f>
        <v>558393</v>
      </c>
      <c r="K31" s="9">
        <f t="shared" si="15"/>
        <v>44612</v>
      </c>
      <c r="L31" s="4">
        <f t="shared" si="16"/>
        <v>4515</v>
      </c>
      <c r="M31" s="4">
        <f t="shared" si="17"/>
        <v>6235</v>
      </c>
      <c r="N31" s="4">
        <f t="shared" si="18"/>
        <v>10750</v>
      </c>
      <c r="O31" s="4">
        <f t="shared" si="19"/>
        <v>5850</v>
      </c>
      <c r="P31" s="4">
        <f t="shared" si="19"/>
        <v>4900</v>
      </c>
      <c r="Q31" s="4">
        <f t="shared" si="19"/>
        <v>120</v>
      </c>
    </row>
    <row r="32" spans="1:17" x14ac:dyDescent="0.35">
      <c r="A32" s="23">
        <v>44622</v>
      </c>
      <c r="B32" s="22">
        <f t="shared" si="0"/>
        <v>0</v>
      </c>
      <c r="C32" s="22">
        <f t="shared" si="1"/>
        <v>0</v>
      </c>
      <c r="D32" s="22">
        <f t="shared" si="2"/>
        <v>0</v>
      </c>
      <c r="E32" s="22"/>
      <c r="F32" s="22"/>
      <c r="G32" s="22"/>
      <c r="H32" s="21">
        <f t="shared" si="3"/>
        <v>0</v>
      </c>
      <c r="I32" s="20">
        <f>SUM($D$2:D32)-SUM($G$2:G32)</f>
        <v>558393</v>
      </c>
      <c r="K32" s="3" t="s">
        <v>4</v>
      </c>
      <c r="L32" s="2">
        <f t="shared" ref="L32:Q32" si="20">SUM(L25:L31)</f>
        <v>44355.78</v>
      </c>
      <c r="M32" s="2">
        <f t="shared" si="20"/>
        <v>61253.22</v>
      </c>
      <c r="N32" s="2">
        <f t="shared" si="20"/>
        <v>105609</v>
      </c>
      <c r="O32" s="2">
        <f t="shared" si="20"/>
        <v>56509</v>
      </c>
      <c r="P32" s="2">
        <f t="shared" si="20"/>
        <v>49100</v>
      </c>
      <c r="Q32" s="2">
        <f t="shared" si="20"/>
        <v>10492</v>
      </c>
    </row>
    <row r="33" spans="1:17" ht="15" thickBot="1" x14ac:dyDescent="0.4">
      <c r="A33" s="19" t="s">
        <v>4</v>
      </c>
      <c r="B33" s="18">
        <f t="shared" ref="B33:G33" si="21">SUM(B3:B30)</f>
        <v>241509.65999999997</v>
      </c>
      <c r="C33" s="18">
        <f t="shared" si="21"/>
        <v>333513.33999999997</v>
      </c>
      <c r="D33" s="18">
        <f t="shared" si="21"/>
        <v>575023</v>
      </c>
      <c r="E33" s="18">
        <f t="shared" si="21"/>
        <v>248500</v>
      </c>
      <c r="F33" s="18">
        <f t="shared" si="21"/>
        <v>326523</v>
      </c>
      <c r="G33" s="18">
        <f t="shared" si="21"/>
        <v>35020</v>
      </c>
      <c r="H33" s="15">
        <f>SUM(G2:G32)</f>
        <v>37540</v>
      </c>
      <c r="I33" s="14">
        <f>B33/C33</f>
        <v>0.72413793103448276</v>
      </c>
      <c r="K33" s="3" t="s">
        <v>0</v>
      </c>
      <c r="L33" s="4">
        <f>L32/3</f>
        <v>14785.26</v>
      </c>
      <c r="M33" s="4"/>
      <c r="N33" s="4"/>
      <c r="O33" s="4"/>
      <c r="P33" s="4"/>
      <c r="Q33" s="4"/>
    </row>
    <row r="34" spans="1:17" x14ac:dyDescent="0.35">
      <c r="A34" s="12"/>
      <c r="B34" s="11">
        <f>B33/3</f>
        <v>80503.219999999987</v>
      </c>
      <c r="C34" s="11"/>
      <c r="E34" s="13">
        <f>D33*0.42</f>
        <v>241509.66</v>
      </c>
      <c r="F34" s="11"/>
      <c r="G34" s="11"/>
      <c r="H34" s="10"/>
    </row>
    <row r="35" spans="1:17" x14ac:dyDescent="0.35">
      <c r="A35" s="12"/>
      <c r="B35" s="11">
        <f>B34*100/D33</f>
        <v>13.999999999999998</v>
      </c>
      <c r="C35" s="11"/>
      <c r="E35" s="11">
        <f>E34/3</f>
        <v>80503.22</v>
      </c>
      <c r="F35" s="11"/>
      <c r="G35" s="11"/>
      <c r="H35" s="10"/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K36" s="8">
        <f t="shared" ref="K36:K42" si="22">A23</f>
        <v>44613</v>
      </c>
      <c r="L36" s="2">
        <f t="shared" ref="L36:L42" si="23">N36*0.42</f>
        <v>3713.22</v>
      </c>
      <c r="M36" s="2">
        <f t="shared" ref="M36:M42" si="24">N36-L36</f>
        <v>5127.7800000000007</v>
      </c>
      <c r="N36" s="2">
        <f t="shared" ref="N36:N42" si="25">O36+P36</f>
        <v>8841</v>
      </c>
      <c r="O36" s="2">
        <f t="shared" ref="O36:Q42" si="26">E23</f>
        <v>8841</v>
      </c>
      <c r="P36" s="2">
        <f t="shared" si="26"/>
        <v>0</v>
      </c>
      <c r="Q36" s="2">
        <f t="shared" si="26"/>
        <v>705</v>
      </c>
    </row>
    <row r="37" spans="1:17" x14ac:dyDescent="0.35">
      <c r="K37" s="9">
        <f t="shared" si="22"/>
        <v>44614</v>
      </c>
      <c r="L37" s="4">
        <f t="shared" si="23"/>
        <v>3841.3199999999997</v>
      </c>
      <c r="M37" s="4">
        <f t="shared" si="24"/>
        <v>5304.68</v>
      </c>
      <c r="N37" s="4">
        <f t="shared" si="25"/>
        <v>9146</v>
      </c>
      <c r="O37" s="2">
        <f t="shared" si="26"/>
        <v>9090</v>
      </c>
      <c r="P37" s="2">
        <f t="shared" si="26"/>
        <v>56</v>
      </c>
      <c r="Q37" s="2">
        <f t="shared" si="26"/>
        <v>220</v>
      </c>
    </row>
    <row r="38" spans="1:17" x14ac:dyDescent="0.35">
      <c r="K38" s="8">
        <f t="shared" si="22"/>
        <v>44615</v>
      </c>
      <c r="L38" s="2">
        <f t="shared" si="23"/>
        <v>5544</v>
      </c>
      <c r="M38" s="2">
        <f t="shared" si="24"/>
        <v>7656</v>
      </c>
      <c r="N38" s="2">
        <f t="shared" si="25"/>
        <v>13200</v>
      </c>
      <c r="O38" s="2">
        <f t="shared" si="26"/>
        <v>4580</v>
      </c>
      <c r="P38" s="2">
        <f t="shared" si="26"/>
        <v>8620</v>
      </c>
      <c r="Q38" s="2">
        <f t="shared" si="26"/>
        <v>770</v>
      </c>
    </row>
    <row r="39" spans="1:17" x14ac:dyDescent="0.35">
      <c r="K39" s="9">
        <f t="shared" si="22"/>
        <v>44616</v>
      </c>
      <c r="L39" s="4">
        <f t="shared" si="23"/>
        <v>29870.399999999998</v>
      </c>
      <c r="M39" s="4">
        <f t="shared" si="24"/>
        <v>41249.600000000006</v>
      </c>
      <c r="N39" s="4">
        <f t="shared" si="25"/>
        <v>71120</v>
      </c>
      <c r="O39" s="2">
        <f t="shared" si="26"/>
        <v>14120</v>
      </c>
      <c r="P39" s="2">
        <f t="shared" si="26"/>
        <v>57000</v>
      </c>
      <c r="Q39" s="2">
        <f t="shared" si="26"/>
        <v>410</v>
      </c>
    </row>
    <row r="40" spans="1:17" x14ac:dyDescent="0.35">
      <c r="K40" s="8">
        <f t="shared" si="22"/>
        <v>44617</v>
      </c>
      <c r="L40" s="2">
        <f t="shared" si="23"/>
        <v>10827.6</v>
      </c>
      <c r="M40" s="2">
        <f t="shared" si="24"/>
        <v>14952.4</v>
      </c>
      <c r="N40" s="2">
        <f t="shared" si="25"/>
        <v>25780</v>
      </c>
      <c r="O40" s="2">
        <f t="shared" si="26"/>
        <v>13220</v>
      </c>
      <c r="P40" s="2">
        <f t="shared" si="26"/>
        <v>12560</v>
      </c>
      <c r="Q40" s="2">
        <f t="shared" si="26"/>
        <v>4914</v>
      </c>
    </row>
    <row r="41" spans="1:17" x14ac:dyDescent="0.35">
      <c r="K41" s="9">
        <f t="shared" si="22"/>
        <v>44618</v>
      </c>
      <c r="L41" s="4">
        <f t="shared" si="23"/>
        <v>4061.3999999999996</v>
      </c>
      <c r="M41" s="4">
        <f t="shared" si="24"/>
        <v>5608.6</v>
      </c>
      <c r="N41" s="4">
        <f t="shared" si="25"/>
        <v>9670</v>
      </c>
      <c r="O41" s="2">
        <f t="shared" si="26"/>
        <v>3550</v>
      </c>
      <c r="P41" s="2">
        <f t="shared" si="26"/>
        <v>6120</v>
      </c>
      <c r="Q41" s="2">
        <f t="shared" si="26"/>
        <v>749</v>
      </c>
    </row>
    <row r="42" spans="1:17" x14ac:dyDescent="0.35">
      <c r="K42" s="8">
        <f t="shared" si="22"/>
        <v>44619</v>
      </c>
      <c r="L42" s="2">
        <f t="shared" si="23"/>
        <v>2675.4</v>
      </c>
      <c r="M42" s="2">
        <f t="shared" si="24"/>
        <v>3694.6</v>
      </c>
      <c r="N42" s="2">
        <f t="shared" si="25"/>
        <v>6370</v>
      </c>
      <c r="O42" s="2">
        <f t="shared" si="26"/>
        <v>4890</v>
      </c>
      <c r="P42" s="2">
        <f t="shared" si="26"/>
        <v>1480</v>
      </c>
      <c r="Q42" s="2">
        <f t="shared" si="26"/>
        <v>40</v>
      </c>
    </row>
    <row r="43" spans="1:17" x14ac:dyDescent="0.35">
      <c r="K43" s="3" t="s">
        <v>4</v>
      </c>
      <c r="L43" s="4">
        <f t="shared" ref="L43:Q43" si="27">SUM(L36:L42)</f>
        <v>60533.34</v>
      </c>
      <c r="M43" s="4">
        <f t="shared" si="27"/>
        <v>83593.660000000018</v>
      </c>
      <c r="N43" s="4">
        <f t="shared" si="27"/>
        <v>144127</v>
      </c>
      <c r="O43" s="4">
        <f t="shared" si="27"/>
        <v>58291</v>
      </c>
      <c r="P43" s="4">
        <f t="shared" si="27"/>
        <v>85836</v>
      </c>
      <c r="Q43" s="4">
        <f t="shared" si="27"/>
        <v>7808</v>
      </c>
    </row>
    <row r="44" spans="1:17" x14ac:dyDescent="0.35">
      <c r="K44" s="3" t="s">
        <v>0</v>
      </c>
      <c r="L44" s="2">
        <f>L43/3</f>
        <v>20177.78</v>
      </c>
      <c r="M44" s="2"/>
      <c r="N44" s="2"/>
      <c r="O44" s="2"/>
      <c r="P44" s="2"/>
      <c r="Q44" s="2"/>
    </row>
    <row r="47" spans="1:17" x14ac:dyDescent="0.35">
      <c r="K47" s="7" t="s">
        <v>7</v>
      </c>
      <c r="L47" s="6" t="s">
        <v>6</v>
      </c>
      <c r="M47" s="6" t="s">
        <v>5</v>
      </c>
      <c r="N47" s="6" t="s">
        <v>4</v>
      </c>
      <c r="O47" s="6" t="s">
        <v>3</v>
      </c>
      <c r="P47" s="6" t="s">
        <v>2</v>
      </c>
      <c r="Q47" s="6" t="s">
        <v>1</v>
      </c>
    </row>
    <row r="48" spans="1:17" x14ac:dyDescent="0.35">
      <c r="K48" s="5">
        <v>44562</v>
      </c>
      <c r="L48" s="4">
        <f t="shared" ref="L48:Q48" si="28">L10+L21+L32+L43</f>
        <v>219320.22</v>
      </c>
      <c r="M48" s="4">
        <f t="shared" si="28"/>
        <v>372870.78</v>
      </c>
      <c r="N48" s="4">
        <f t="shared" si="28"/>
        <v>622191</v>
      </c>
      <c r="O48" s="4">
        <f t="shared" si="28"/>
        <v>241570</v>
      </c>
      <c r="P48" s="4">
        <f t="shared" si="28"/>
        <v>380621</v>
      </c>
      <c r="Q48" s="4">
        <f t="shared" si="28"/>
        <v>35665</v>
      </c>
    </row>
    <row r="49" spans="11:17" x14ac:dyDescent="0.35">
      <c r="K49" s="3" t="s">
        <v>0</v>
      </c>
      <c r="L49" s="2">
        <f>L11+L22+L33+L44</f>
        <v>73106.739999999991</v>
      </c>
      <c r="M49" s="2"/>
      <c r="N49" s="2"/>
      <c r="O49" s="2"/>
      <c r="P49" s="2"/>
      <c r="Q49" s="2"/>
    </row>
  </sheetData>
  <conditionalFormatting sqref="A1:H1">
    <cfRule type="dataBar" priority="7">
      <dataBar>
        <cfvo type="min"/>
        <cfvo type="max"/>
        <color rgb="FF638EC6"/>
      </dataBar>
    </cfRule>
  </conditionalFormatting>
  <conditionalFormatting sqref="H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5">
      <dataBar>
        <cfvo type="min"/>
        <cfvo type="max"/>
        <color rgb="FF638EC6"/>
      </dataBar>
    </cfRule>
  </conditionalFormatting>
  <conditionalFormatting sqref="K24:Q24">
    <cfRule type="dataBar" priority="4">
      <dataBar>
        <cfvo type="min"/>
        <cfvo type="max"/>
        <color rgb="FF638EC6"/>
      </dataBar>
    </cfRule>
  </conditionalFormatting>
  <conditionalFormatting sqref="K35:Q35">
    <cfRule type="dataBar" priority="3">
      <dataBar>
        <cfvo type="min"/>
        <cfvo type="max"/>
        <color rgb="FF638EC6"/>
      </dataBar>
    </cfRule>
  </conditionalFormatting>
  <conditionalFormatting sqref="K47:Q47">
    <cfRule type="dataBar" priority="2">
      <dataBar>
        <cfvo type="min"/>
        <cfvo type="max"/>
        <color rgb="FF638EC6"/>
      </dataBar>
    </cfRule>
  </conditionalFormatting>
  <conditionalFormatting sqref="K1:Q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5D04-A748-4ACD-8FDD-483D9D419E82}">
  <dimension ref="A1:Q58"/>
  <sheetViews>
    <sheetView workbookViewId="0">
      <pane ySplit="1" topLeftCell="A28" activePane="bottomLeft" state="frozen"/>
      <selection pane="bottomLeft" activeCell="A28" sqref="A28"/>
    </sheetView>
  </sheetViews>
  <sheetFormatPr defaultColWidth="26" defaultRowHeight="14.5" x14ac:dyDescent="0.35"/>
  <cols>
    <col min="1" max="1" width="25.81640625" bestFit="1" customWidth="1"/>
    <col min="2" max="2" width="8.54296875" style="1" bestFit="1" customWidth="1"/>
    <col min="3" max="3" width="8.453125" style="1" bestFit="1" customWidth="1"/>
    <col min="4" max="4" width="8.54296875" style="1" bestFit="1" customWidth="1"/>
    <col min="5" max="5" width="11" style="1" bestFit="1" customWidth="1"/>
    <col min="6" max="6" width="8.54296875" style="1" bestFit="1" customWidth="1"/>
    <col min="7" max="7" width="8.81640625" style="1" bestFit="1" customWidth="1"/>
    <col min="8" max="8" width="10" bestFit="1" customWidth="1"/>
    <col min="9" max="9" width="12.26953125" bestFit="1" customWidth="1"/>
    <col min="10" max="10" width="6.54296875" customWidth="1"/>
    <col min="11" max="11" width="25.81640625" bestFit="1" customWidth="1"/>
    <col min="12" max="13" width="8.453125" bestFit="1" customWidth="1"/>
    <col min="14" max="14" width="10" bestFit="1" customWidth="1"/>
    <col min="15" max="15" width="8.453125" bestFit="1" customWidth="1"/>
    <col min="16" max="16" width="16.81640625" bestFit="1" customWidth="1"/>
    <col min="17" max="17" width="9.269531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44620</v>
      </c>
      <c r="B2" s="22">
        <f t="shared" ref="B2:B36" si="0">D2*0.42</f>
        <v>30971.64</v>
      </c>
      <c r="C2" s="22">
        <f t="shared" ref="C2:C36" si="1">D2-B2</f>
        <v>42770.36</v>
      </c>
      <c r="D2" s="22">
        <f t="shared" ref="D2:D36" si="2">E2+F2</f>
        <v>73742</v>
      </c>
      <c r="E2" s="22">
        <v>13070</v>
      </c>
      <c r="F2" s="22">
        <v>60672</v>
      </c>
      <c r="G2" s="22">
        <v>1875</v>
      </c>
      <c r="H2" s="21">
        <f t="shared" ref="H2:H36" si="3">IFERROR(B2/C2,0)</f>
        <v>0.72413793103448276</v>
      </c>
      <c r="I2" s="20">
        <f>SUM($D$2:D2)-SUM($G$2:G2)</f>
        <v>71867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44621</v>
      </c>
      <c r="B3" s="22">
        <f t="shared" si="0"/>
        <v>18446.399999999998</v>
      </c>
      <c r="C3" s="22">
        <f t="shared" si="1"/>
        <v>25473.600000000002</v>
      </c>
      <c r="D3" s="22">
        <f t="shared" si="2"/>
        <v>43920</v>
      </c>
      <c r="E3" s="22">
        <v>14170</v>
      </c>
      <c r="F3" s="22">
        <v>29750</v>
      </c>
      <c r="G3" s="22">
        <v>1064</v>
      </c>
      <c r="H3" s="21">
        <f t="shared" si="3"/>
        <v>0.72413793103448265</v>
      </c>
      <c r="I3" s="20">
        <f>SUM($D$2:D3)-SUM($G$2:G3)</f>
        <v>114723</v>
      </c>
      <c r="K3" s="9">
        <f t="shared" ref="K3:K9" si="4">A2</f>
        <v>44620</v>
      </c>
      <c r="L3" s="4">
        <f t="shared" ref="L3:L9" si="5">N3*0.42</f>
        <v>30971.64</v>
      </c>
      <c r="M3" s="4">
        <f t="shared" ref="M3:M9" si="6">N3-L3</f>
        <v>42770.36</v>
      </c>
      <c r="N3" s="4">
        <f t="shared" ref="N3:N9" si="7">O3+P3</f>
        <v>73742</v>
      </c>
      <c r="O3" s="4">
        <f t="shared" ref="O3:Q9" si="8">E2</f>
        <v>13070</v>
      </c>
      <c r="P3" s="4">
        <f t="shared" si="8"/>
        <v>60672</v>
      </c>
      <c r="Q3" s="4">
        <f t="shared" si="8"/>
        <v>1875</v>
      </c>
    </row>
    <row r="4" spans="1:17" x14ac:dyDescent="0.35">
      <c r="A4" s="23">
        <v>44622</v>
      </c>
      <c r="B4" s="22">
        <f t="shared" si="0"/>
        <v>11466</v>
      </c>
      <c r="C4" s="22">
        <f t="shared" si="1"/>
        <v>15834</v>
      </c>
      <c r="D4" s="22">
        <f t="shared" si="2"/>
        <v>27300</v>
      </c>
      <c r="E4" s="22">
        <v>4740</v>
      </c>
      <c r="F4" s="22">
        <v>22560</v>
      </c>
      <c r="G4" s="22">
        <v>30</v>
      </c>
      <c r="H4" s="21">
        <f t="shared" si="3"/>
        <v>0.72413793103448276</v>
      </c>
      <c r="I4" s="20">
        <f>SUM($D$2:D4)-SUM($G$2:G4)</f>
        <v>141993</v>
      </c>
      <c r="K4" s="8">
        <f t="shared" si="4"/>
        <v>44621</v>
      </c>
      <c r="L4" s="2">
        <f t="shared" si="5"/>
        <v>18446.399999999998</v>
      </c>
      <c r="M4" s="2">
        <f t="shared" si="6"/>
        <v>25473.600000000002</v>
      </c>
      <c r="N4" s="2">
        <f t="shared" si="7"/>
        <v>43920</v>
      </c>
      <c r="O4" s="2">
        <f t="shared" si="8"/>
        <v>14170</v>
      </c>
      <c r="P4" s="2">
        <f t="shared" si="8"/>
        <v>29750</v>
      </c>
      <c r="Q4" s="2">
        <f t="shared" si="8"/>
        <v>1064</v>
      </c>
    </row>
    <row r="5" spans="1:17" x14ac:dyDescent="0.35">
      <c r="A5" s="23">
        <v>44623</v>
      </c>
      <c r="B5" s="22">
        <f t="shared" si="0"/>
        <v>9660</v>
      </c>
      <c r="C5" s="22">
        <f t="shared" si="1"/>
        <v>13340</v>
      </c>
      <c r="D5" s="22">
        <f t="shared" si="2"/>
        <v>23000</v>
      </c>
      <c r="E5" s="22">
        <v>10120</v>
      </c>
      <c r="F5" s="22">
        <v>12880</v>
      </c>
      <c r="G5" s="22">
        <v>280</v>
      </c>
      <c r="H5" s="21">
        <f t="shared" si="3"/>
        <v>0.72413793103448276</v>
      </c>
      <c r="I5" s="20">
        <f>SUM($D$2:D5)-SUM($G$2:G5)</f>
        <v>164713</v>
      </c>
      <c r="K5" s="9">
        <f t="shared" si="4"/>
        <v>44622</v>
      </c>
      <c r="L5" s="4">
        <f t="shared" si="5"/>
        <v>11466</v>
      </c>
      <c r="M5" s="4">
        <f t="shared" si="6"/>
        <v>15834</v>
      </c>
      <c r="N5" s="4">
        <f t="shared" si="7"/>
        <v>27300</v>
      </c>
      <c r="O5" s="4">
        <f t="shared" si="8"/>
        <v>4740</v>
      </c>
      <c r="P5" s="4">
        <f t="shared" si="8"/>
        <v>22560</v>
      </c>
      <c r="Q5" s="4">
        <f t="shared" si="8"/>
        <v>30</v>
      </c>
    </row>
    <row r="6" spans="1:17" x14ac:dyDescent="0.35">
      <c r="A6" s="23">
        <v>44624</v>
      </c>
      <c r="B6" s="22">
        <f t="shared" si="0"/>
        <v>18790.8</v>
      </c>
      <c r="C6" s="22">
        <f t="shared" si="1"/>
        <v>25949.200000000001</v>
      </c>
      <c r="D6" s="22">
        <f t="shared" si="2"/>
        <v>44740</v>
      </c>
      <c r="E6" s="22">
        <v>12240</v>
      </c>
      <c r="F6" s="22">
        <v>32500</v>
      </c>
      <c r="G6" s="22">
        <v>1030</v>
      </c>
      <c r="H6" s="21">
        <f t="shared" si="3"/>
        <v>0.72413793103448276</v>
      </c>
      <c r="I6" s="20">
        <f>SUM($D$2:D6)-SUM($G$2:G6)</f>
        <v>208423</v>
      </c>
      <c r="K6" s="8">
        <f t="shared" si="4"/>
        <v>44623</v>
      </c>
      <c r="L6" s="2">
        <f t="shared" si="5"/>
        <v>9660</v>
      </c>
      <c r="M6" s="2">
        <f t="shared" si="6"/>
        <v>13340</v>
      </c>
      <c r="N6" s="2">
        <f t="shared" si="7"/>
        <v>23000</v>
      </c>
      <c r="O6" s="2">
        <f t="shared" si="8"/>
        <v>10120</v>
      </c>
      <c r="P6" s="2">
        <f t="shared" si="8"/>
        <v>12880</v>
      </c>
      <c r="Q6" s="2">
        <f t="shared" si="8"/>
        <v>280</v>
      </c>
    </row>
    <row r="7" spans="1:17" x14ac:dyDescent="0.35">
      <c r="A7" s="23">
        <v>44625</v>
      </c>
      <c r="B7" s="22">
        <f t="shared" si="0"/>
        <v>31991.399999999998</v>
      </c>
      <c r="C7" s="22">
        <f t="shared" si="1"/>
        <v>44178.600000000006</v>
      </c>
      <c r="D7" s="22">
        <f t="shared" si="2"/>
        <v>76170</v>
      </c>
      <c r="E7" s="22">
        <v>13830</v>
      </c>
      <c r="F7" s="22">
        <v>62340</v>
      </c>
      <c r="G7" s="22">
        <v>550</v>
      </c>
      <c r="H7" s="21">
        <f t="shared" si="3"/>
        <v>0.72413793103448265</v>
      </c>
      <c r="I7" s="20">
        <f>SUM($D$2:D7)-SUM($G$2:G7)</f>
        <v>284043</v>
      </c>
      <c r="K7" s="9">
        <f t="shared" si="4"/>
        <v>44624</v>
      </c>
      <c r="L7" s="4">
        <f t="shared" si="5"/>
        <v>18790.8</v>
      </c>
      <c r="M7" s="4">
        <f t="shared" si="6"/>
        <v>25949.200000000001</v>
      </c>
      <c r="N7" s="4">
        <f t="shared" si="7"/>
        <v>44740</v>
      </c>
      <c r="O7" s="4">
        <f t="shared" si="8"/>
        <v>12240</v>
      </c>
      <c r="P7" s="4">
        <f t="shared" si="8"/>
        <v>32500</v>
      </c>
      <c r="Q7" s="4">
        <f t="shared" si="8"/>
        <v>1030</v>
      </c>
    </row>
    <row r="8" spans="1:17" x14ac:dyDescent="0.35">
      <c r="A8" s="23">
        <v>44626</v>
      </c>
      <c r="B8" s="22">
        <f t="shared" si="0"/>
        <v>3133.2</v>
      </c>
      <c r="C8" s="22">
        <f t="shared" si="1"/>
        <v>4326.8</v>
      </c>
      <c r="D8" s="22">
        <f t="shared" si="2"/>
        <v>7460</v>
      </c>
      <c r="E8" s="22">
        <v>5020</v>
      </c>
      <c r="F8" s="22">
        <v>2440</v>
      </c>
      <c r="G8" s="22">
        <v>40</v>
      </c>
      <c r="H8" s="21">
        <f t="shared" si="3"/>
        <v>0.72413793103448265</v>
      </c>
      <c r="I8" s="20">
        <f>SUM($D$2:D8)-SUM($G$2:G8)</f>
        <v>291463</v>
      </c>
      <c r="K8" s="8">
        <f t="shared" si="4"/>
        <v>44625</v>
      </c>
      <c r="L8" s="2">
        <f t="shared" si="5"/>
        <v>31991.399999999998</v>
      </c>
      <c r="M8" s="2">
        <f t="shared" si="6"/>
        <v>44178.600000000006</v>
      </c>
      <c r="N8" s="2">
        <f t="shared" si="7"/>
        <v>76170</v>
      </c>
      <c r="O8" s="2">
        <f t="shared" si="8"/>
        <v>13830</v>
      </c>
      <c r="P8" s="2">
        <f t="shared" si="8"/>
        <v>62340</v>
      </c>
      <c r="Q8" s="2">
        <f t="shared" si="8"/>
        <v>550</v>
      </c>
    </row>
    <row r="9" spans="1:17" x14ac:dyDescent="0.35">
      <c r="A9" s="23">
        <v>44627</v>
      </c>
      <c r="B9" s="22">
        <f t="shared" si="0"/>
        <v>6774.5999999999995</v>
      </c>
      <c r="C9" s="22">
        <f t="shared" si="1"/>
        <v>9355.4000000000015</v>
      </c>
      <c r="D9" s="22">
        <f t="shared" si="2"/>
        <v>16130</v>
      </c>
      <c r="E9" s="22">
        <v>8150</v>
      </c>
      <c r="F9" s="22">
        <v>7980</v>
      </c>
      <c r="G9" s="22">
        <v>200</v>
      </c>
      <c r="H9" s="21">
        <f t="shared" si="3"/>
        <v>0.72413793103448254</v>
      </c>
      <c r="I9" s="20">
        <f>SUM($D$2:D9)-SUM($G$2:G9)</f>
        <v>307393</v>
      </c>
      <c r="K9" s="9">
        <f t="shared" si="4"/>
        <v>44626</v>
      </c>
      <c r="L9" s="4">
        <f t="shared" si="5"/>
        <v>3133.2</v>
      </c>
      <c r="M9" s="4">
        <f t="shared" si="6"/>
        <v>4326.8</v>
      </c>
      <c r="N9" s="4">
        <f t="shared" si="7"/>
        <v>7460</v>
      </c>
      <c r="O9" s="4">
        <f t="shared" si="8"/>
        <v>5020</v>
      </c>
      <c r="P9" s="4">
        <f t="shared" si="8"/>
        <v>2440</v>
      </c>
      <c r="Q9" s="4">
        <f t="shared" si="8"/>
        <v>40</v>
      </c>
    </row>
    <row r="10" spans="1:17" x14ac:dyDescent="0.35">
      <c r="A10" s="23">
        <v>44628</v>
      </c>
      <c r="B10" s="22">
        <f t="shared" si="0"/>
        <v>11844</v>
      </c>
      <c r="C10" s="22">
        <f t="shared" si="1"/>
        <v>16356</v>
      </c>
      <c r="D10" s="22">
        <f t="shared" si="2"/>
        <v>28200</v>
      </c>
      <c r="E10" s="22">
        <v>3260</v>
      </c>
      <c r="F10" s="22">
        <v>24940</v>
      </c>
      <c r="G10" s="22">
        <v>30</v>
      </c>
      <c r="H10" s="21">
        <f t="shared" si="3"/>
        <v>0.72413793103448276</v>
      </c>
      <c r="I10" s="20">
        <f>SUM($D$2:D10)-SUM($G$2:G10)</f>
        <v>335563</v>
      </c>
      <c r="K10" s="3" t="s">
        <v>4</v>
      </c>
      <c r="L10" s="3">
        <f>SUM(L3:L9)</f>
        <v>124459.43999999999</v>
      </c>
      <c r="M10" s="3">
        <f>SUM(M2:M9)</f>
        <v>171872.56</v>
      </c>
      <c r="N10" s="3">
        <f>SUM(N2:N9)</f>
        <v>296332</v>
      </c>
      <c r="O10" s="3">
        <f>SUM(O2:O9)</f>
        <v>73190</v>
      </c>
      <c r="P10" s="3">
        <f>SUM(P2:P9)</f>
        <v>223142</v>
      </c>
      <c r="Q10" s="3">
        <f>SUM(Q2:Q9)</f>
        <v>4869</v>
      </c>
    </row>
    <row r="11" spans="1:17" x14ac:dyDescent="0.35">
      <c r="A11" s="23">
        <v>44629</v>
      </c>
      <c r="B11" s="22">
        <f t="shared" si="0"/>
        <v>7326.0599999999995</v>
      </c>
      <c r="C11" s="22">
        <f t="shared" si="1"/>
        <v>10116.94</v>
      </c>
      <c r="D11" s="22">
        <f t="shared" si="2"/>
        <v>17443</v>
      </c>
      <c r="E11" s="22">
        <v>8640</v>
      </c>
      <c r="F11" s="22">
        <v>8803</v>
      </c>
      <c r="G11" s="22">
        <v>15205</v>
      </c>
      <c r="H11" s="21">
        <f t="shared" si="3"/>
        <v>0.72413793103448265</v>
      </c>
      <c r="I11" s="20">
        <f>SUM($D$2:D11)-SUM($G$2:G11)</f>
        <v>337801</v>
      </c>
      <c r="K11" s="3" t="s">
        <v>0</v>
      </c>
      <c r="L11" s="3">
        <f>L10/3</f>
        <v>41486.479999999996</v>
      </c>
      <c r="M11" s="3"/>
      <c r="N11" s="3"/>
      <c r="O11" s="2"/>
      <c r="P11" s="2"/>
      <c r="Q11" s="2"/>
    </row>
    <row r="12" spans="1:17" x14ac:dyDescent="0.35">
      <c r="A12" s="23">
        <v>44630</v>
      </c>
      <c r="B12" s="22">
        <f t="shared" si="0"/>
        <v>4531.8</v>
      </c>
      <c r="C12" s="22">
        <f t="shared" si="1"/>
        <v>6258.2</v>
      </c>
      <c r="D12" s="22">
        <f t="shared" si="2"/>
        <v>10790</v>
      </c>
      <c r="E12" s="22">
        <v>7260</v>
      </c>
      <c r="F12" s="22">
        <v>3530</v>
      </c>
      <c r="G12" s="22">
        <v>710</v>
      </c>
      <c r="H12" s="21">
        <f t="shared" si="3"/>
        <v>0.72413793103448276</v>
      </c>
      <c r="I12" s="20">
        <f>SUM($D$2:D12)-SUM($G$2:G12)</f>
        <v>347881</v>
      </c>
    </row>
    <row r="13" spans="1:17" x14ac:dyDescent="0.35">
      <c r="A13" s="23">
        <v>44631</v>
      </c>
      <c r="B13" s="22">
        <f t="shared" si="0"/>
        <v>15380.4</v>
      </c>
      <c r="C13" s="22">
        <f t="shared" si="1"/>
        <v>21239.599999999999</v>
      </c>
      <c r="D13" s="22">
        <f t="shared" si="2"/>
        <v>36620</v>
      </c>
      <c r="E13" s="22">
        <v>2780</v>
      </c>
      <c r="F13" s="22">
        <v>33840</v>
      </c>
      <c r="G13" s="22">
        <v>3290</v>
      </c>
      <c r="H13" s="21">
        <f t="shared" si="3"/>
        <v>0.72413793103448276</v>
      </c>
      <c r="I13" s="20">
        <f>SUM($D$2:D13)-SUM($G$2:G13)</f>
        <v>381211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44632</v>
      </c>
      <c r="B14" s="22">
        <f t="shared" si="0"/>
        <v>7463.4</v>
      </c>
      <c r="C14" s="22">
        <f t="shared" si="1"/>
        <v>10306.6</v>
      </c>
      <c r="D14" s="22">
        <f t="shared" si="2"/>
        <v>17770</v>
      </c>
      <c r="E14" s="22">
        <v>8930</v>
      </c>
      <c r="F14" s="22">
        <v>8840</v>
      </c>
      <c r="G14" s="22">
        <v>730</v>
      </c>
      <c r="H14" s="21">
        <f t="shared" si="3"/>
        <v>0.72413793103448265</v>
      </c>
      <c r="I14" s="20">
        <f>SUM($D$2:D14)-SUM($G$2:G14)</f>
        <v>398251</v>
      </c>
      <c r="K14" s="8">
        <f t="shared" ref="K14:K20" si="9">A9</f>
        <v>44627</v>
      </c>
      <c r="L14" s="2">
        <f t="shared" ref="L14:L20" si="10">N14*0.42</f>
        <v>6774.5999999999995</v>
      </c>
      <c r="M14" s="2">
        <f t="shared" ref="M14:M20" si="11">N14-L14</f>
        <v>9355.4000000000015</v>
      </c>
      <c r="N14" s="2">
        <f t="shared" ref="N14:N20" si="12">O14+P14</f>
        <v>16130</v>
      </c>
      <c r="O14" s="2">
        <f t="shared" ref="O14:Q20" si="13">E9</f>
        <v>8150</v>
      </c>
      <c r="P14" s="2">
        <f t="shared" si="13"/>
        <v>7980</v>
      </c>
      <c r="Q14" s="2">
        <f t="shared" si="13"/>
        <v>200</v>
      </c>
    </row>
    <row r="15" spans="1:17" x14ac:dyDescent="0.35">
      <c r="A15" s="23">
        <v>44633</v>
      </c>
      <c r="B15" s="22">
        <f t="shared" si="0"/>
        <v>7445.7599999999993</v>
      </c>
      <c r="C15" s="22">
        <f t="shared" si="1"/>
        <v>10282.240000000002</v>
      </c>
      <c r="D15" s="22">
        <f t="shared" si="2"/>
        <v>17728</v>
      </c>
      <c r="E15" s="22">
        <v>12738</v>
      </c>
      <c r="F15" s="22">
        <v>4990</v>
      </c>
      <c r="G15" s="22">
        <v>1430</v>
      </c>
      <c r="H15" s="21">
        <f t="shared" si="3"/>
        <v>0.72413793103448254</v>
      </c>
      <c r="I15" s="20">
        <f>SUM($D$2:D15)-SUM($G$2:G15)</f>
        <v>414549</v>
      </c>
      <c r="K15" s="9">
        <f t="shared" si="9"/>
        <v>44628</v>
      </c>
      <c r="L15" s="4">
        <f t="shared" si="10"/>
        <v>11844</v>
      </c>
      <c r="M15" s="4">
        <f t="shared" si="11"/>
        <v>16356</v>
      </c>
      <c r="N15" s="4">
        <f t="shared" si="12"/>
        <v>28200</v>
      </c>
      <c r="O15" s="4">
        <f t="shared" si="13"/>
        <v>3260</v>
      </c>
      <c r="P15" s="4">
        <f t="shared" si="13"/>
        <v>24940</v>
      </c>
      <c r="Q15" s="4">
        <f t="shared" si="13"/>
        <v>30</v>
      </c>
    </row>
    <row r="16" spans="1:17" x14ac:dyDescent="0.35">
      <c r="A16" s="23">
        <v>44634</v>
      </c>
      <c r="B16" s="22">
        <f t="shared" si="0"/>
        <v>4611.5999999999995</v>
      </c>
      <c r="C16" s="22">
        <f t="shared" si="1"/>
        <v>6368.4000000000005</v>
      </c>
      <c r="D16" s="22">
        <f t="shared" si="2"/>
        <v>10980</v>
      </c>
      <c r="E16" s="22">
        <f>9540+640</f>
        <v>10180</v>
      </c>
      <c r="F16" s="22">
        <v>800</v>
      </c>
      <c r="G16" s="22">
        <v>1250</v>
      </c>
      <c r="H16" s="21">
        <f t="shared" si="3"/>
        <v>0.72413793103448265</v>
      </c>
      <c r="I16" s="20">
        <f>SUM($D$2:D16)-SUM($G$2:G16)</f>
        <v>424279</v>
      </c>
      <c r="K16" s="8">
        <f t="shared" si="9"/>
        <v>44629</v>
      </c>
      <c r="L16" s="2">
        <f t="shared" si="10"/>
        <v>7326.0599999999995</v>
      </c>
      <c r="M16" s="2">
        <f t="shared" si="11"/>
        <v>10116.94</v>
      </c>
      <c r="N16" s="2">
        <f t="shared" si="12"/>
        <v>17443</v>
      </c>
      <c r="O16" s="2">
        <f t="shared" si="13"/>
        <v>8640</v>
      </c>
      <c r="P16" s="2">
        <f t="shared" si="13"/>
        <v>8803</v>
      </c>
      <c r="Q16" s="2">
        <f t="shared" si="13"/>
        <v>15205</v>
      </c>
    </row>
    <row r="17" spans="1:17" x14ac:dyDescent="0.35">
      <c r="A17" s="23">
        <v>44635</v>
      </c>
      <c r="B17" s="22">
        <f t="shared" si="0"/>
        <v>14175</v>
      </c>
      <c r="C17" s="22">
        <f t="shared" si="1"/>
        <v>19575</v>
      </c>
      <c r="D17" s="22">
        <f t="shared" si="2"/>
        <v>33750</v>
      </c>
      <c r="E17" s="22">
        <v>6200</v>
      </c>
      <c r="F17" s="22">
        <v>27550</v>
      </c>
      <c r="G17" s="22">
        <v>13210</v>
      </c>
      <c r="H17" s="21">
        <f t="shared" si="3"/>
        <v>0.72413793103448276</v>
      </c>
      <c r="I17" s="20">
        <f>SUM($D$2:D17)-SUM($G$2:G17)</f>
        <v>444819</v>
      </c>
      <c r="K17" s="9">
        <f t="shared" si="9"/>
        <v>44630</v>
      </c>
      <c r="L17" s="4">
        <f t="shared" si="10"/>
        <v>4531.8</v>
      </c>
      <c r="M17" s="4">
        <f t="shared" si="11"/>
        <v>6258.2</v>
      </c>
      <c r="N17" s="4">
        <f t="shared" si="12"/>
        <v>10790</v>
      </c>
      <c r="O17" s="4">
        <f t="shared" si="13"/>
        <v>7260</v>
      </c>
      <c r="P17" s="4">
        <f t="shared" si="13"/>
        <v>3530</v>
      </c>
      <c r="Q17" s="4">
        <f t="shared" si="13"/>
        <v>710</v>
      </c>
    </row>
    <row r="18" spans="1:17" x14ac:dyDescent="0.35">
      <c r="A18" s="23">
        <v>44636</v>
      </c>
      <c r="B18" s="22">
        <f t="shared" si="0"/>
        <v>6581.4</v>
      </c>
      <c r="C18" s="22">
        <f t="shared" si="1"/>
        <v>9088.6</v>
      </c>
      <c r="D18" s="22">
        <f t="shared" si="2"/>
        <v>15670</v>
      </c>
      <c r="E18" s="22">
        <v>6790</v>
      </c>
      <c r="F18" s="22">
        <v>8880</v>
      </c>
      <c r="G18" s="22">
        <v>1905</v>
      </c>
      <c r="H18" s="21">
        <f t="shared" si="3"/>
        <v>0.72413793103448265</v>
      </c>
      <c r="I18" s="20">
        <f>SUM($D$2:D18)-SUM($G$2:G18)</f>
        <v>458584</v>
      </c>
      <c r="K18" s="8">
        <f t="shared" si="9"/>
        <v>44631</v>
      </c>
      <c r="L18" s="2">
        <f t="shared" si="10"/>
        <v>15380.4</v>
      </c>
      <c r="M18" s="2">
        <f t="shared" si="11"/>
        <v>21239.599999999999</v>
      </c>
      <c r="N18" s="2">
        <f t="shared" si="12"/>
        <v>36620</v>
      </c>
      <c r="O18" s="2">
        <f t="shared" si="13"/>
        <v>2780</v>
      </c>
      <c r="P18" s="2">
        <f t="shared" si="13"/>
        <v>33840</v>
      </c>
      <c r="Q18" s="2">
        <f t="shared" si="13"/>
        <v>3290</v>
      </c>
    </row>
    <row r="19" spans="1:17" x14ac:dyDescent="0.35">
      <c r="A19" s="23">
        <v>44637</v>
      </c>
      <c r="B19" s="22">
        <f t="shared" si="0"/>
        <v>5476.8</v>
      </c>
      <c r="C19" s="22">
        <f t="shared" si="1"/>
        <v>7563.2</v>
      </c>
      <c r="D19" s="22">
        <f t="shared" si="2"/>
        <v>13040</v>
      </c>
      <c r="E19" s="22">
        <v>7910</v>
      </c>
      <c r="F19" s="22">
        <v>5130</v>
      </c>
      <c r="G19" s="22">
        <v>14970</v>
      </c>
      <c r="H19" s="21">
        <f t="shared" si="3"/>
        <v>0.72413793103448276</v>
      </c>
      <c r="I19" s="20">
        <f>SUM($D$2:D19)-SUM($G$2:G19)</f>
        <v>456654</v>
      </c>
      <c r="K19" s="9">
        <f t="shared" si="9"/>
        <v>44632</v>
      </c>
      <c r="L19" s="4">
        <f t="shared" si="10"/>
        <v>7463.4</v>
      </c>
      <c r="M19" s="4">
        <f t="shared" si="11"/>
        <v>10306.6</v>
      </c>
      <c r="N19" s="4">
        <f t="shared" si="12"/>
        <v>17770</v>
      </c>
      <c r="O19" s="4">
        <f t="shared" si="13"/>
        <v>8930</v>
      </c>
      <c r="P19" s="4">
        <f t="shared" si="13"/>
        <v>8840</v>
      </c>
      <c r="Q19" s="4">
        <f t="shared" si="13"/>
        <v>730</v>
      </c>
    </row>
    <row r="20" spans="1:17" x14ac:dyDescent="0.35">
      <c r="A20" s="23">
        <v>44638</v>
      </c>
      <c r="B20" s="22">
        <f t="shared" si="0"/>
        <v>0</v>
      </c>
      <c r="C20" s="22">
        <f t="shared" si="1"/>
        <v>0</v>
      </c>
      <c r="D20" s="22">
        <f t="shared" si="2"/>
        <v>0</v>
      </c>
      <c r="E20" s="22"/>
      <c r="F20" s="22">
        <v>0</v>
      </c>
      <c r="G20" s="22">
        <v>0</v>
      </c>
      <c r="H20" s="21">
        <f t="shared" si="3"/>
        <v>0</v>
      </c>
      <c r="I20" s="20">
        <f>SUM($D$2:D20)-SUM($G$2:G20)</f>
        <v>456654</v>
      </c>
      <c r="K20" s="8">
        <f t="shared" si="9"/>
        <v>44633</v>
      </c>
      <c r="L20" s="2">
        <f t="shared" si="10"/>
        <v>7445.7599999999993</v>
      </c>
      <c r="M20" s="2">
        <f t="shared" si="11"/>
        <v>10282.240000000002</v>
      </c>
      <c r="N20" s="2">
        <f t="shared" si="12"/>
        <v>17728</v>
      </c>
      <c r="O20" s="2">
        <f t="shared" si="13"/>
        <v>12738</v>
      </c>
      <c r="P20" s="2">
        <f t="shared" si="13"/>
        <v>4990</v>
      </c>
      <c r="Q20" s="2">
        <f t="shared" si="13"/>
        <v>1430</v>
      </c>
    </row>
    <row r="21" spans="1:17" x14ac:dyDescent="0.35">
      <c r="A21" s="23">
        <v>44639</v>
      </c>
      <c r="B21" s="22">
        <f t="shared" si="0"/>
        <v>13267.8</v>
      </c>
      <c r="C21" s="22">
        <f t="shared" si="1"/>
        <v>18322.2</v>
      </c>
      <c r="D21" s="22">
        <f t="shared" si="2"/>
        <v>31590</v>
      </c>
      <c r="E21" s="22">
        <v>11140</v>
      </c>
      <c r="F21" s="22">
        <v>20450</v>
      </c>
      <c r="G21" s="22">
        <v>30578</v>
      </c>
      <c r="H21" s="21">
        <f t="shared" si="3"/>
        <v>0.72413793103448265</v>
      </c>
      <c r="I21" s="20">
        <f>SUM($D$2:D21)-SUM($G$2:G21)</f>
        <v>457666</v>
      </c>
      <c r="K21" s="3" t="s">
        <v>4</v>
      </c>
      <c r="L21" s="3">
        <f t="shared" ref="L21:Q21" si="14">SUM(L14:L20)</f>
        <v>60766.02</v>
      </c>
      <c r="M21" s="3">
        <f t="shared" si="14"/>
        <v>83914.98000000001</v>
      </c>
      <c r="N21" s="3">
        <f t="shared" si="14"/>
        <v>144681</v>
      </c>
      <c r="O21" s="3">
        <f t="shared" si="14"/>
        <v>51758</v>
      </c>
      <c r="P21" s="3">
        <f t="shared" si="14"/>
        <v>92923</v>
      </c>
      <c r="Q21" s="3">
        <f t="shared" si="14"/>
        <v>21595</v>
      </c>
    </row>
    <row r="22" spans="1:17" x14ac:dyDescent="0.35">
      <c r="A22" s="23">
        <v>44640</v>
      </c>
      <c r="B22" s="22">
        <f t="shared" si="0"/>
        <v>10878</v>
      </c>
      <c r="C22" s="22">
        <f t="shared" si="1"/>
        <v>15022</v>
      </c>
      <c r="D22" s="22">
        <f t="shared" si="2"/>
        <v>25900</v>
      </c>
      <c r="E22" s="22">
        <v>23850</v>
      </c>
      <c r="F22" s="22">
        <v>2050</v>
      </c>
      <c r="G22" s="22">
        <v>1250</v>
      </c>
      <c r="H22" s="21">
        <f t="shared" si="3"/>
        <v>0.72413793103448276</v>
      </c>
      <c r="I22" s="20">
        <f>SUM($D$2:D22)-SUM($G$2:G22)</f>
        <v>482316</v>
      </c>
      <c r="K22" s="3" t="s">
        <v>0</v>
      </c>
      <c r="L22" s="3">
        <f>L21/3</f>
        <v>20255.34</v>
      </c>
      <c r="M22" s="3"/>
      <c r="N22" s="3"/>
      <c r="O22" s="2"/>
      <c r="P22" s="2"/>
      <c r="Q22" s="2"/>
    </row>
    <row r="23" spans="1:17" x14ac:dyDescent="0.35">
      <c r="A23" s="23">
        <v>44641</v>
      </c>
      <c r="B23" s="22">
        <f t="shared" si="0"/>
        <v>21684.6</v>
      </c>
      <c r="C23" s="22">
        <f t="shared" si="1"/>
        <v>29945.4</v>
      </c>
      <c r="D23" s="22">
        <f t="shared" si="2"/>
        <v>51630</v>
      </c>
      <c r="E23" s="22">
        <v>10895</v>
      </c>
      <c r="F23" s="22">
        <v>40735</v>
      </c>
      <c r="G23" s="22">
        <v>35</v>
      </c>
      <c r="H23" s="21">
        <f t="shared" si="3"/>
        <v>0.72413793103448265</v>
      </c>
      <c r="I23" s="20">
        <f>SUM($D$2:D23)-SUM($G$2:G23)</f>
        <v>533911</v>
      </c>
    </row>
    <row r="24" spans="1:17" x14ac:dyDescent="0.35">
      <c r="A24" s="23">
        <v>44642</v>
      </c>
      <c r="B24" s="22">
        <f t="shared" si="0"/>
        <v>13762.56</v>
      </c>
      <c r="C24" s="22">
        <f t="shared" si="1"/>
        <v>19005.440000000002</v>
      </c>
      <c r="D24" s="22">
        <f t="shared" si="2"/>
        <v>32768</v>
      </c>
      <c r="E24" s="22">
        <f>9550+3800</f>
        <v>13350</v>
      </c>
      <c r="F24" s="22">
        <v>19418</v>
      </c>
      <c r="G24" s="22">
        <v>4830</v>
      </c>
      <c r="H24" s="21">
        <f t="shared" si="3"/>
        <v>0.72413793103448265</v>
      </c>
      <c r="I24" s="20">
        <f>SUM($D$2:D24)-SUM($G$2:G24)</f>
        <v>561849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44643</v>
      </c>
      <c r="B25" s="22">
        <f t="shared" si="0"/>
        <v>16289.699999999999</v>
      </c>
      <c r="C25" s="22">
        <f t="shared" si="1"/>
        <v>22495.300000000003</v>
      </c>
      <c r="D25" s="22">
        <f t="shared" si="2"/>
        <v>38785</v>
      </c>
      <c r="E25" s="22">
        <v>17875</v>
      </c>
      <c r="F25" s="22">
        <f>20660+250</f>
        <v>20910</v>
      </c>
      <c r="G25" s="22">
        <v>9320</v>
      </c>
      <c r="H25" s="21">
        <f t="shared" si="3"/>
        <v>0.72413793103448265</v>
      </c>
      <c r="I25" s="20">
        <f>SUM($D$2:D25)-SUM($G$2:G25)</f>
        <v>591314</v>
      </c>
      <c r="K25" s="9">
        <f t="shared" ref="K25:K31" si="15">A16</f>
        <v>44634</v>
      </c>
      <c r="L25" s="4">
        <f t="shared" ref="L25:L31" si="16">N25*0.42</f>
        <v>4611.5999999999995</v>
      </c>
      <c r="M25" s="4">
        <f t="shared" ref="M25:M31" si="17">N25-L25</f>
        <v>6368.4000000000005</v>
      </c>
      <c r="N25" s="4">
        <f t="shared" ref="N25:N31" si="18">O25+P25</f>
        <v>10980</v>
      </c>
      <c r="O25" s="4">
        <f t="shared" ref="O25:Q31" si="19">E16</f>
        <v>10180</v>
      </c>
      <c r="P25" s="4">
        <f t="shared" si="19"/>
        <v>800</v>
      </c>
      <c r="Q25" s="4">
        <f t="shared" si="19"/>
        <v>1250</v>
      </c>
    </row>
    <row r="26" spans="1:17" x14ac:dyDescent="0.35">
      <c r="A26" s="23">
        <v>44644</v>
      </c>
      <c r="B26" s="22">
        <f t="shared" si="0"/>
        <v>3372.6</v>
      </c>
      <c r="C26" s="22">
        <f t="shared" si="1"/>
        <v>4657.3999999999996</v>
      </c>
      <c r="D26" s="22">
        <f t="shared" si="2"/>
        <v>8030</v>
      </c>
      <c r="E26" s="22">
        <v>3260</v>
      </c>
      <c r="F26" s="22">
        <v>4770</v>
      </c>
      <c r="G26" s="22">
        <v>190</v>
      </c>
      <c r="H26" s="21">
        <f t="shared" si="3"/>
        <v>0.72413793103448276</v>
      </c>
      <c r="I26" s="20">
        <f>SUM($D$2:D26)-SUM($G$2:G26)</f>
        <v>599154</v>
      </c>
      <c r="K26" s="8">
        <f t="shared" si="15"/>
        <v>44635</v>
      </c>
      <c r="L26" s="2">
        <f t="shared" si="16"/>
        <v>14175</v>
      </c>
      <c r="M26" s="2">
        <f t="shared" si="17"/>
        <v>19575</v>
      </c>
      <c r="N26" s="2">
        <f t="shared" si="18"/>
        <v>33750</v>
      </c>
      <c r="O26" s="4">
        <f t="shared" si="19"/>
        <v>6200</v>
      </c>
      <c r="P26" s="4">
        <f t="shared" si="19"/>
        <v>27550</v>
      </c>
      <c r="Q26" s="4">
        <f t="shared" si="19"/>
        <v>13210</v>
      </c>
    </row>
    <row r="27" spans="1:17" x14ac:dyDescent="0.35">
      <c r="A27" s="23">
        <v>44645</v>
      </c>
      <c r="B27" s="22">
        <f t="shared" si="0"/>
        <v>5468.4</v>
      </c>
      <c r="C27" s="22">
        <f t="shared" si="1"/>
        <v>7551.6</v>
      </c>
      <c r="D27" s="22">
        <f t="shared" si="2"/>
        <v>13020</v>
      </c>
      <c r="E27" s="22">
        <v>12220</v>
      </c>
      <c r="F27" s="22">
        <v>800</v>
      </c>
      <c r="G27" s="22">
        <v>180</v>
      </c>
      <c r="H27" s="21">
        <f t="shared" si="3"/>
        <v>0.72413793103448265</v>
      </c>
      <c r="I27" s="20">
        <f>SUM($D$2:D27)-SUM($G$2:G27)</f>
        <v>611994</v>
      </c>
      <c r="K27" s="9">
        <f t="shared" si="15"/>
        <v>44636</v>
      </c>
      <c r="L27" s="4">
        <f t="shared" si="16"/>
        <v>6581.4</v>
      </c>
      <c r="M27" s="4">
        <f t="shared" si="17"/>
        <v>9088.6</v>
      </c>
      <c r="N27" s="4">
        <f t="shared" si="18"/>
        <v>15670</v>
      </c>
      <c r="O27" s="4">
        <f t="shared" si="19"/>
        <v>6790</v>
      </c>
      <c r="P27" s="4">
        <f t="shared" si="19"/>
        <v>8880</v>
      </c>
      <c r="Q27" s="4">
        <f t="shared" si="19"/>
        <v>1905</v>
      </c>
    </row>
    <row r="28" spans="1:17" x14ac:dyDescent="0.35">
      <c r="A28" s="23">
        <v>44646</v>
      </c>
      <c r="B28" s="22">
        <f t="shared" si="0"/>
        <v>74913.3</v>
      </c>
      <c r="C28" s="22">
        <f t="shared" si="1"/>
        <v>103451.7</v>
      </c>
      <c r="D28" s="22">
        <f t="shared" si="2"/>
        <v>178365</v>
      </c>
      <c r="E28" s="22">
        <v>177725</v>
      </c>
      <c r="F28" s="22">
        <v>640</v>
      </c>
      <c r="G28" s="22">
        <v>72</v>
      </c>
      <c r="H28" s="21">
        <f t="shared" si="3"/>
        <v>0.72413793103448276</v>
      </c>
      <c r="I28" s="20">
        <f>SUM($D$2:D28)-SUM($G$2:G28)</f>
        <v>790287</v>
      </c>
      <c r="K28" s="8">
        <f t="shared" si="15"/>
        <v>44637</v>
      </c>
      <c r="L28" s="2">
        <f t="shared" si="16"/>
        <v>5476.8</v>
      </c>
      <c r="M28" s="2">
        <f t="shared" si="17"/>
        <v>7563.2</v>
      </c>
      <c r="N28" s="2">
        <f t="shared" si="18"/>
        <v>13040</v>
      </c>
      <c r="O28" s="4">
        <f t="shared" si="19"/>
        <v>7910</v>
      </c>
      <c r="P28" s="4">
        <f t="shared" si="19"/>
        <v>5130</v>
      </c>
      <c r="Q28" s="4">
        <f t="shared" si="19"/>
        <v>14970</v>
      </c>
    </row>
    <row r="29" spans="1:17" x14ac:dyDescent="0.35">
      <c r="A29" s="23">
        <v>44647</v>
      </c>
      <c r="B29" s="22">
        <f t="shared" si="0"/>
        <v>6759.9</v>
      </c>
      <c r="C29" s="22">
        <f t="shared" si="1"/>
        <v>9335.1</v>
      </c>
      <c r="D29" s="22">
        <f t="shared" si="2"/>
        <v>16095</v>
      </c>
      <c r="E29" s="22">
        <v>14620</v>
      </c>
      <c r="F29" s="22">
        <v>1475</v>
      </c>
      <c r="G29" s="22">
        <v>18267</v>
      </c>
      <c r="H29" s="21">
        <f t="shared" si="3"/>
        <v>0.72413793103448265</v>
      </c>
      <c r="I29" s="20">
        <f>SUM($D$2:D29)-SUM($G$2:G29)</f>
        <v>788115</v>
      </c>
      <c r="K29" s="9">
        <f t="shared" si="15"/>
        <v>44638</v>
      </c>
      <c r="L29" s="4">
        <f t="shared" si="16"/>
        <v>0</v>
      </c>
      <c r="M29" s="4">
        <f t="shared" si="17"/>
        <v>0</v>
      </c>
      <c r="N29" s="4">
        <f t="shared" si="18"/>
        <v>0</v>
      </c>
      <c r="O29" s="4">
        <f t="shared" si="19"/>
        <v>0</v>
      </c>
      <c r="P29" s="4">
        <f t="shared" si="19"/>
        <v>0</v>
      </c>
      <c r="Q29" s="4">
        <f t="shared" si="19"/>
        <v>0</v>
      </c>
    </row>
    <row r="30" spans="1:17" x14ac:dyDescent="0.35">
      <c r="A30" s="23">
        <v>44648</v>
      </c>
      <c r="B30" s="22">
        <f t="shared" si="0"/>
        <v>9305.1</v>
      </c>
      <c r="C30" s="22">
        <f t="shared" si="1"/>
        <v>12849.9</v>
      </c>
      <c r="D30" s="22">
        <f t="shared" si="2"/>
        <v>22155</v>
      </c>
      <c r="E30" s="24">
        <v>10205</v>
      </c>
      <c r="F30" s="22">
        <v>11950</v>
      </c>
      <c r="G30" s="22">
        <v>40</v>
      </c>
      <c r="H30" s="21">
        <f t="shared" si="3"/>
        <v>0.72413793103448276</v>
      </c>
      <c r="I30" s="20">
        <f>SUM($D$2:D30)-SUM($G$2:G30)</f>
        <v>810230</v>
      </c>
      <c r="K30" s="8">
        <f t="shared" si="15"/>
        <v>44639</v>
      </c>
      <c r="L30" s="2">
        <f t="shared" si="16"/>
        <v>13267.8</v>
      </c>
      <c r="M30" s="2">
        <f t="shared" si="17"/>
        <v>18322.2</v>
      </c>
      <c r="N30" s="2">
        <f t="shared" si="18"/>
        <v>31590</v>
      </c>
      <c r="O30" s="4">
        <f t="shared" si="19"/>
        <v>11140</v>
      </c>
      <c r="P30" s="4">
        <f t="shared" si="19"/>
        <v>20450</v>
      </c>
      <c r="Q30" s="4">
        <f t="shared" si="19"/>
        <v>30578</v>
      </c>
    </row>
    <row r="31" spans="1:17" x14ac:dyDescent="0.35">
      <c r="A31" s="23">
        <v>44649</v>
      </c>
      <c r="B31" s="22">
        <f t="shared" si="0"/>
        <v>13303.92</v>
      </c>
      <c r="C31" s="22">
        <f t="shared" si="1"/>
        <v>18372.080000000002</v>
      </c>
      <c r="D31" s="22">
        <f t="shared" si="2"/>
        <v>31676</v>
      </c>
      <c r="E31" s="22">
        <v>7000</v>
      </c>
      <c r="F31" s="22">
        <v>24676</v>
      </c>
      <c r="G31" s="22">
        <v>90</v>
      </c>
      <c r="H31" s="21">
        <f t="shared" si="3"/>
        <v>0.72413793103448265</v>
      </c>
      <c r="I31" s="20">
        <f>SUM($D$2:D31)-SUM($G$2:G31)</f>
        <v>841816</v>
      </c>
      <c r="K31" s="9">
        <f t="shared" si="15"/>
        <v>44640</v>
      </c>
      <c r="L31" s="4">
        <f t="shared" si="16"/>
        <v>10878</v>
      </c>
      <c r="M31" s="4">
        <f t="shared" si="17"/>
        <v>15022</v>
      </c>
      <c r="N31" s="4">
        <f t="shared" si="18"/>
        <v>25900</v>
      </c>
      <c r="O31" s="4">
        <f t="shared" si="19"/>
        <v>23850</v>
      </c>
      <c r="P31" s="4">
        <f t="shared" si="19"/>
        <v>2050</v>
      </c>
      <c r="Q31" s="4">
        <f t="shared" si="19"/>
        <v>1250</v>
      </c>
    </row>
    <row r="32" spans="1:17" x14ac:dyDescent="0.35">
      <c r="A32" s="23">
        <v>44650</v>
      </c>
      <c r="B32" s="22">
        <f t="shared" si="0"/>
        <v>7604.0999999999995</v>
      </c>
      <c r="C32" s="22">
        <f t="shared" si="1"/>
        <v>10500.900000000001</v>
      </c>
      <c r="D32" s="22">
        <f t="shared" si="2"/>
        <v>18105</v>
      </c>
      <c r="E32" s="22">
        <v>15815</v>
      </c>
      <c r="F32" s="22">
        <v>2290</v>
      </c>
      <c r="G32" s="22">
        <v>4315</v>
      </c>
      <c r="H32" s="21">
        <f t="shared" si="3"/>
        <v>0.72413793103448265</v>
      </c>
      <c r="I32" s="20">
        <f>SUM($D$2:D32)-SUM($G$2:G32)</f>
        <v>855606</v>
      </c>
      <c r="K32" s="3" t="s">
        <v>4</v>
      </c>
      <c r="L32" s="2">
        <f t="shared" ref="L32:Q32" si="20">SUM(L25:L31)</f>
        <v>54990.6</v>
      </c>
      <c r="M32" s="2">
        <f t="shared" si="20"/>
        <v>75939.399999999994</v>
      </c>
      <c r="N32" s="2">
        <f t="shared" si="20"/>
        <v>130930</v>
      </c>
      <c r="O32" s="2">
        <f t="shared" si="20"/>
        <v>66070</v>
      </c>
      <c r="P32" s="2">
        <f t="shared" si="20"/>
        <v>64860</v>
      </c>
      <c r="Q32" s="2">
        <f t="shared" si="20"/>
        <v>63163</v>
      </c>
    </row>
    <row r="33" spans="1:17" x14ac:dyDescent="0.35">
      <c r="A33" s="23">
        <v>44651</v>
      </c>
      <c r="B33" s="22">
        <f t="shared" si="0"/>
        <v>14807.099999999999</v>
      </c>
      <c r="C33" s="22">
        <f t="shared" si="1"/>
        <v>20447.900000000001</v>
      </c>
      <c r="D33" s="22">
        <f t="shared" si="2"/>
        <v>35255</v>
      </c>
      <c r="E33" s="22">
        <v>8575</v>
      </c>
      <c r="F33" s="22">
        <v>26680</v>
      </c>
      <c r="G33" s="22">
        <v>5930</v>
      </c>
      <c r="H33" s="21">
        <f t="shared" si="3"/>
        <v>0.72413793103448265</v>
      </c>
      <c r="I33" s="20">
        <f>SUM($D$2:D33)-SUM($G$2:G33)</f>
        <v>884931</v>
      </c>
      <c r="K33" s="3" t="s">
        <v>0</v>
      </c>
      <c r="L33" s="4">
        <f>L32/3</f>
        <v>18330.2</v>
      </c>
      <c r="M33" s="4"/>
      <c r="N33" s="4"/>
      <c r="O33" s="4"/>
      <c r="P33" s="4"/>
      <c r="Q33" s="4"/>
    </row>
    <row r="34" spans="1:17" x14ac:dyDescent="0.35">
      <c r="A34" s="23">
        <v>44652</v>
      </c>
      <c r="B34" s="22">
        <f t="shared" si="0"/>
        <v>2688</v>
      </c>
      <c r="C34" s="22">
        <f t="shared" si="1"/>
        <v>3712</v>
      </c>
      <c r="D34" s="22">
        <f t="shared" si="2"/>
        <v>6400</v>
      </c>
      <c r="E34" s="22">
        <v>5950</v>
      </c>
      <c r="F34" s="22">
        <v>450</v>
      </c>
      <c r="G34" s="22">
        <v>1000</v>
      </c>
      <c r="H34" s="21">
        <f t="shared" si="3"/>
        <v>0.72413793103448276</v>
      </c>
      <c r="I34" s="20">
        <f>SUM($D$2:D34)-SUM($G$2:G34)</f>
        <v>890331</v>
      </c>
    </row>
    <row r="35" spans="1:17" x14ac:dyDescent="0.35">
      <c r="A35" s="23">
        <v>44653</v>
      </c>
      <c r="B35" s="22">
        <f t="shared" si="0"/>
        <v>8475.6</v>
      </c>
      <c r="C35" s="22">
        <f t="shared" si="1"/>
        <v>11704.4</v>
      </c>
      <c r="D35" s="22">
        <f t="shared" si="2"/>
        <v>20180</v>
      </c>
      <c r="E35" s="22">
        <v>18690</v>
      </c>
      <c r="F35" s="22">
        <v>1490</v>
      </c>
      <c r="G35" s="22">
        <v>995</v>
      </c>
      <c r="H35" s="21">
        <f t="shared" si="3"/>
        <v>0.72413793103448276</v>
      </c>
      <c r="I35" s="20">
        <f>SUM($D$2:D35)-SUM($G$2:G35)</f>
        <v>909516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3">
        <v>44654</v>
      </c>
      <c r="B36" s="22">
        <f t="shared" si="0"/>
        <v>9584.4</v>
      </c>
      <c r="C36" s="22">
        <f t="shared" si="1"/>
        <v>13235.6</v>
      </c>
      <c r="D36" s="22">
        <f t="shared" si="2"/>
        <v>22820</v>
      </c>
      <c r="E36" s="22">
        <v>22430</v>
      </c>
      <c r="F36" s="22">
        <v>390</v>
      </c>
      <c r="G36" s="22">
        <v>30</v>
      </c>
      <c r="H36" s="21">
        <f t="shared" si="3"/>
        <v>0.72413793103448276</v>
      </c>
      <c r="I36" s="20">
        <f>SUM($D$2:D36)-SUM($G$2:G36)</f>
        <v>932306</v>
      </c>
      <c r="K36" s="8">
        <f t="shared" ref="K36:K42" si="21">A23</f>
        <v>44641</v>
      </c>
      <c r="L36" s="2">
        <f t="shared" ref="L36:L42" si="22">N36*0.42</f>
        <v>21684.6</v>
      </c>
      <c r="M36" s="2">
        <f t="shared" ref="M36:M42" si="23">N36-L36</f>
        <v>29945.4</v>
      </c>
      <c r="N36" s="2">
        <f t="shared" ref="N36:N42" si="24">O36+P36</f>
        <v>51630</v>
      </c>
      <c r="O36" s="2">
        <f t="shared" ref="O36:Q42" si="25">E23</f>
        <v>10895</v>
      </c>
      <c r="P36" s="2">
        <f t="shared" si="25"/>
        <v>40735</v>
      </c>
      <c r="Q36" s="2">
        <f t="shared" si="25"/>
        <v>35</v>
      </c>
    </row>
    <row r="37" spans="1:17" ht="15" thickBot="1" x14ac:dyDescent="0.4">
      <c r="A37" s="19" t="s">
        <v>4</v>
      </c>
      <c r="B37" s="18">
        <f>SUM(B3:B33)</f>
        <v>396515.69999999995</v>
      </c>
      <c r="C37" s="18">
        <f>SUM(C3:C30)</f>
        <v>498248.42000000004</v>
      </c>
      <c r="D37" s="18">
        <f>SUM(D3:D33)</f>
        <v>944085</v>
      </c>
      <c r="E37" s="18">
        <f>SUM(E3:E30)</f>
        <v>438098</v>
      </c>
      <c r="F37" s="18">
        <f>SUM(F3:F30)</f>
        <v>420951</v>
      </c>
      <c r="G37" s="18">
        <f>SUM(G3:G30)</f>
        <v>120686</v>
      </c>
      <c r="H37" s="15">
        <f>SUM(G2:G36)</f>
        <v>134921</v>
      </c>
      <c r="I37" s="14">
        <f>B37/C37</f>
        <v>0.79581928227690102</v>
      </c>
      <c r="K37" s="9">
        <f t="shared" si="21"/>
        <v>44642</v>
      </c>
      <c r="L37" s="4">
        <f t="shared" si="22"/>
        <v>13762.56</v>
      </c>
      <c r="M37" s="4">
        <f t="shared" si="23"/>
        <v>19005.440000000002</v>
      </c>
      <c r="N37" s="4">
        <f t="shared" si="24"/>
        <v>32768</v>
      </c>
      <c r="O37" s="2">
        <f t="shared" si="25"/>
        <v>13350</v>
      </c>
      <c r="P37" s="2">
        <f t="shared" si="25"/>
        <v>19418</v>
      </c>
      <c r="Q37" s="2">
        <f t="shared" si="25"/>
        <v>4830</v>
      </c>
    </row>
    <row r="38" spans="1:17" x14ac:dyDescent="0.35">
      <c r="A38" s="12"/>
      <c r="B38" s="11">
        <f>B37/3</f>
        <v>132171.9</v>
      </c>
      <c r="C38" s="11"/>
      <c r="E38" s="13">
        <f>D37*0.42</f>
        <v>396515.7</v>
      </c>
      <c r="F38" s="11"/>
      <c r="G38" s="11"/>
      <c r="H38" s="10"/>
      <c r="K38" s="8">
        <f t="shared" si="21"/>
        <v>44643</v>
      </c>
      <c r="L38" s="2">
        <f t="shared" si="22"/>
        <v>16289.699999999999</v>
      </c>
      <c r="M38" s="2">
        <f t="shared" si="23"/>
        <v>22495.300000000003</v>
      </c>
      <c r="N38" s="2">
        <f t="shared" si="24"/>
        <v>38785</v>
      </c>
      <c r="O38" s="2">
        <f t="shared" si="25"/>
        <v>17875</v>
      </c>
      <c r="P38" s="2">
        <f t="shared" si="25"/>
        <v>20910</v>
      </c>
      <c r="Q38" s="2">
        <f t="shared" si="25"/>
        <v>9320</v>
      </c>
    </row>
    <row r="39" spans="1:17" x14ac:dyDescent="0.35">
      <c r="A39" s="12"/>
      <c r="B39" s="11">
        <f>B38*100/D37</f>
        <v>14</v>
      </c>
      <c r="C39" s="11"/>
      <c r="E39" s="11">
        <f>E38/3</f>
        <v>132171.9</v>
      </c>
      <c r="F39" s="11"/>
      <c r="G39" s="11"/>
      <c r="H39" s="10"/>
      <c r="K39" s="9">
        <f t="shared" si="21"/>
        <v>44644</v>
      </c>
      <c r="L39" s="4">
        <f t="shared" si="22"/>
        <v>3372.6</v>
      </c>
      <c r="M39" s="4">
        <f t="shared" si="23"/>
        <v>4657.3999999999996</v>
      </c>
      <c r="N39" s="4">
        <f t="shared" si="24"/>
        <v>8030</v>
      </c>
      <c r="O39" s="2">
        <f t="shared" si="25"/>
        <v>3260</v>
      </c>
      <c r="P39" s="2">
        <f t="shared" si="25"/>
        <v>4770</v>
      </c>
      <c r="Q39" s="2">
        <f t="shared" si="25"/>
        <v>190</v>
      </c>
    </row>
    <row r="40" spans="1:17" x14ac:dyDescent="0.35">
      <c r="K40" s="8">
        <f t="shared" si="21"/>
        <v>44645</v>
      </c>
      <c r="L40" s="2">
        <f t="shared" si="22"/>
        <v>5468.4</v>
      </c>
      <c r="M40" s="2">
        <f t="shared" si="23"/>
        <v>7551.6</v>
      </c>
      <c r="N40" s="2">
        <f t="shared" si="24"/>
        <v>13020</v>
      </c>
      <c r="O40" s="2">
        <f t="shared" si="25"/>
        <v>12220</v>
      </c>
      <c r="P40" s="2">
        <f t="shared" si="25"/>
        <v>800</v>
      </c>
      <c r="Q40" s="2">
        <f t="shared" si="25"/>
        <v>180</v>
      </c>
    </row>
    <row r="41" spans="1:17" x14ac:dyDescent="0.35">
      <c r="K41" s="9">
        <f t="shared" si="21"/>
        <v>44646</v>
      </c>
      <c r="L41" s="4">
        <f t="shared" si="22"/>
        <v>74913.3</v>
      </c>
      <c r="M41" s="4">
        <f t="shared" si="23"/>
        <v>103451.7</v>
      </c>
      <c r="N41" s="4">
        <f t="shared" si="24"/>
        <v>178365</v>
      </c>
      <c r="O41" s="2">
        <f t="shared" si="25"/>
        <v>177725</v>
      </c>
      <c r="P41" s="2">
        <f t="shared" si="25"/>
        <v>640</v>
      </c>
      <c r="Q41" s="2">
        <f t="shared" si="25"/>
        <v>72</v>
      </c>
    </row>
    <row r="42" spans="1:17" x14ac:dyDescent="0.35">
      <c r="K42" s="8">
        <f t="shared" si="21"/>
        <v>44647</v>
      </c>
      <c r="L42" s="2">
        <f t="shared" si="22"/>
        <v>6759.9</v>
      </c>
      <c r="M42" s="2">
        <f t="shared" si="23"/>
        <v>9335.1</v>
      </c>
      <c r="N42" s="2">
        <f t="shared" si="24"/>
        <v>16095</v>
      </c>
      <c r="O42" s="2">
        <f t="shared" si="25"/>
        <v>14620</v>
      </c>
      <c r="P42" s="2">
        <f t="shared" si="25"/>
        <v>1475</v>
      </c>
      <c r="Q42" s="2">
        <f t="shared" si="25"/>
        <v>18267</v>
      </c>
    </row>
    <row r="43" spans="1:17" x14ac:dyDescent="0.35">
      <c r="K43" s="3" t="s">
        <v>4</v>
      </c>
      <c r="L43" s="4">
        <f t="shared" ref="L43:Q43" si="26">SUM(L36:L42)</f>
        <v>142251.06</v>
      </c>
      <c r="M43" s="4">
        <f t="shared" si="26"/>
        <v>196441.94000000003</v>
      </c>
      <c r="N43" s="4">
        <f t="shared" si="26"/>
        <v>338693</v>
      </c>
      <c r="O43" s="4">
        <f t="shared" si="26"/>
        <v>249945</v>
      </c>
      <c r="P43" s="4">
        <f t="shared" si="26"/>
        <v>88748</v>
      </c>
      <c r="Q43" s="4">
        <f t="shared" si="26"/>
        <v>32894</v>
      </c>
    </row>
    <row r="44" spans="1:17" x14ac:dyDescent="0.35">
      <c r="K44" s="3" t="s">
        <v>0</v>
      </c>
      <c r="L44" s="2">
        <f>L43/3</f>
        <v>47417.02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9">
        <f t="shared" ref="K47:K52" si="27">A30</f>
        <v>44648</v>
      </c>
      <c r="L47" s="4">
        <f t="shared" ref="L47:L52" si="28">N47*0.42</f>
        <v>9305.1</v>
      </c>
      <c r="M47" s="4">
        <f t="shared" ref="M47:M52" si="29">N47-L47</f>
        <v>12849.9</v>
      </c>
      <c r="N47" s="4">
        <f t="shared" ref="N47:N52" si="30">O47+P47</f>
        <v>22155</v>
      </c>
      <c r="O47" s="2">
        <f t="shared" ref="O47:Q52" si="31">E30</f>
        <v>10205</v>
      </c>
      <c r="P47" s="2">
        <f t="shared" si="31"/>
        <v>11950</v>
      </c>
      <c r="Q47" s="2">
        <f t="shared" si="31"/>
        <v>40</v>
      </c>
    </row>
    <row r="48" spans="1:17" x14ac:dyDescent="0.35">
      <c r="K48" s="9">
        <f t="shared" si="27"/>
        <v>44649</v>
      </c>
      <c r="L48" s="2">
        <f t="shared" si="28"/>
        <v>13303.92</v>
      </c>
      <c r="M48" s="2">
        <f t="shared" si="29"/>
        <v>18372.080000000002</v>
      </c>
      <c r="N48" s="2">
        <f t="shared" si="30"/>
        <v>31676</v>
      </c>
      <c r="O48" s="2">
        <f t="shared" si="31"/>
        <v>7000</v>
      </c>
      <c r="P48" s="2">
        <f t="shared" si="31"/>
        <v>24676</v>
      </c>
      <c r="Q48" s="2">
        <f t="shared" si="31"/>
        <v>90</v>
      </c>
    </row>
    <row r="49" spans="11:17" x14ac:dyDescent="0.35">
      <c r="K49" s="9">
        <f t="shared" si="27"/>
        <v>44650</v>
      </c>
      <c r="L49" s="4">
        <f t="shared" si="28"/>
        <v>7604.0999999999995</v>
      </c>
      <c r="M49" s="4">
        <f t="shared" si="29"/>
        <v>10500.900000000001</v>
      </c>
      <c r="N49" s="4">
        <f t="shared" si="30"/>
        <v>18105</v>
      </c>
      <c r="O49" s="2">
        <f t="shared" si="31"/>
        <v>15815</v>
      </c>
      <c r="P49" s="2">
        <f t="shared" si="31"/>
        <v>2290</v>
      </c>
      <c r="Q49" s="2">
        <f t="shared" si="31"/>
        <v>4315</v>
      </c>
    </row>
    <row r="50" spans="11:17" x14ac:dyDescent="0.35">
      <c r="K50" s="9">
        <f t="shared" si="27"/>
        <v>44651</v>
      </c>
      <c r="L50" s="2">
        <f t="shared" si="28"/>
        <v>14807.099999999999</v>
      </c>
      <c r="M50" s="2">
        <f t="shared" si="29"/>
        <v>20447.900000000001</v>
      </c>
      <c r="N50" s="2">
        <f t="shared" si="30"/>
        <v>35255</v>
      </c>
      <c r="O50" s="2">
        <f t="shared" si="31"/>
        <v>8575</v>
      </c>
      <c r="P50" s="2">
        <f t="shared" si="31"/>
        <v>26680</v>
      </c>
      <c r="Q50" s="2">
        <f t="shared" si="31"/>
        <v>5930</v>
      </c>
    </row>
    <row r="51" spans="11:17" x14ac:dyDescent="0.35">
      <c r="K51" s="9">
        <f t="shared" si="27"/>
        <v>44652</v>
      </c>
      <c r="L51" s="4">
        <f t="shared" si="28"/>
        <v>2688</v>
      </c>
      <c r="M51" s="4">
        <f t="shared" si="29"/>
        <v>3712</v>
      </c>
      <c r="N51" s="4">
        <f t="shared" si="30"/>
        <v>6400</v>
      </c>
      <c r="O51" s="2">
        <f t="shared" si="31"/>
        <v>5950</v>
      </c>
      <c r="P51" s="2">
        <f t="shared" si="31"/>
        <v>450</v>
      </c>
      <c r="Q51" s="2">
        <f t="shared" si="31"/>
        <v>1000</v>
      </c>
    </row>
    <row r="52" spans="11:17" x14ac:dyDescent="0.35">
      <c r="K52" s="9">
        <f t="shared" si="27"/>
        <v>44653</v>
      </c>
      <c r="L52" s="2">
        <f t="shared" si="28"/>
        <v>8475.6</v>
      </c>
      <c r="M52" s="2">
        <f t="shared" si="29"/>
        <v>11704.4</v>
      </c>
      <c r="N52" s="2">
        <f t="shared" si="30"/>
        <v>20180</v>
      </c>
      <c r="O52" s="2">
        <f t="shared" si="31"/>
        <v>18690</v>
      </c>
      <c r="P52" s="2">
        <f t="shared" si="31"/>
        <v>1490</v>
      </c>
      <c r="Q52" s="2">
        <f t="shared" si="31"/>
        <v>995</v>
      </c>
    </row>
    <row r="53" spans="11:17" x14ac:dyDescent="0.35">
      <c r="K53" s="3" t="s">
        <v>4</v>
      </c>
      <c r="L53" s="4">
        <f t="shared" ref="L53:Q53" si="32">SUM(L47:L52)</f>
        <v>56183.82</v>
      </c>
      <c r="M53" s="4">
        <f t="shared" si="32"/>
        <v>77587.179999999993</v>
      </c>
      <c r="N53" s="4">
        <f t="shared" si="32"/>
        <v>133771</v>
      </c>
      <c r="O53" s="4">
        <f t="shared" si="32"/>
        <v>66235</v>
      </c>
      <c r="P53" s="4">
        <f t="shared" si="32"/>
        <v>67536</v>
      </c>
      <c r="Q53" s="4">
        <f t="shared" si="32"/>
        <v>12370</v>
      </c>
    </row>
    <row r="54" spans="11:17" x14ac:dyDescent="0.35">
      <c r="K54" s="3" t="s">
        <v>0</v>
      </c>
      <c r="L54" s="2">
        <f>L53/3</f>
        <v>18727.939999999999</v>
      </c>
      <c r="M54" s="2"/>
      <c r="N54" s="2"/>
      <c r="O54" s="2"/>
      <c r="P54" s="2"/>
      <c r="Q54" s="2"/>
    </row>
    <row r="56" spans="11:17" x14ac:dyDescent="0.35">
      <c r="K56" s="7" t="s">
        <v>7</v>
      </c>
      <c r="L56" s="6" t="s">
        <v>6</v>
      </c>
      <c r="M56" s="6" t="s">
        <v>5</v>
      </c>
      <c r="N56" s="6" t="s">
        <v>4</v>
      </c>
      <c r="O56" s="6" t="s">
        <v>3</v>
      </c>
      <c r="P56" s="6" t="s">
        <v>2</v>
      </c>
      <c r="Q56" s="6" t="s">
        <v>1</v>
      </c>
    </row>
    <row r="57" spans="11:17" x14ac:dyDescent="0.35">
      <c r="K57" s="5">
        <v>44562</v>
      </c>
      <c r="L57" s="4">
        <f t="shared" ref="L57:Q57" si="33">L10+L21+L32+L43</f>
        <v>382467.12</v>
      </c>
      <c r="M57" s="4">
        <f t="shared" si="33"/>
        <v>528168.88</v>
      </c>
      <c r="N57" s="4">
        <f t="shared" si="33"/>
        <v>910636</v>
      </c>
      <c r="O57" s="4">
        <f t="shared" si="33"/>
        <v>440963</v>
      </c>
      <c r="P57" s="4">
        <f t="shared" si="33"/>
        <v>469673</v>
      </c>
      <c r="Q57" s="4">
        <f t="shared" si="33"/>
        <v>122521</v>
      </c>
    </row>
    <row r="58" spans="11:17" x14ac:dyDescent="0.35">
      <c r="K58" s="3" t="s">
        <v>0</v>
      </c>
      <c r="L58" s="2">
        <f>L57/3</f>
        <v>127489.04</v>
      </c>
      <c r="M58" s="2"/>
      <c r="N58" s="2"/>
      <c r="O58" s="2"/>
      <c r="P58" s="2"/>
      <c r="Q58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6:Q56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FB36-37B0-4AB5-B153-E33E97DB7E03}">
  <dimension ref="A1:Q49"/>
  <sheetViews>
    <sheetView topLeftCell="C1" workbookViewId="0">
      <pane ySplit="1" topLeftCell="A34" activePane="bottomLeft" state="frozen"/>
      <selection pane="bottomLeft" activeCell="M40" sqref="M40"/>
    </sheetView>
  </sheetViews>
  <sheetFormatPr defaultColWidth="26" defaultRowHeight="14.5" x14ac:dyDescent="0.35"/>
  <cols>
    <col min="1" max="1" width="25.81640625" bestFit="1" customWidth="1"/>
    <col min="2" max="4" width="8.453125" style="1" bestFit="1" customWidth="1"/>
    <col min="5" max="5" width="11" style="1" bestFit="1" customWidth="1"/>
    <col min="6" max="6" width="8.54296875" style="1" bestFit="1" customWidth="1"/>
    <col min="7" max="7" width="8.81640625" style="1" bestFit="1" customWidth="1"/>
    <col min="8" max="8" width="10" bestFit="1" customWidth="1"/>
    <col min="9" max="9" width="12.26953125" bestFit="1" customWidth="1"/>
    <col min="10" max="10" width="6.54296875" customWidth="1"/>
    <col min="11" max="11" width="25.81640625" bestFit="1" customWidth="1"/>
    <col min="12" max="12" width="8.6328125" bestFit="1" customWidth="1"/>
    <col min="13" max="13" width="8.453125" bestFit="1" customWidth="1"/>
    <col min="14" max="14" width="10" bestFit="1" customWidth="1"/>
    <col min="15" max="15" width="8.453125" bestFit="1" customWidth="1"/>
    <col min="16" max="16" width="16.81640625" bestFit="1" customWidth="1"/>
    <col min="17" max="17" width="9.269531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44652</v>
      </c>
      <c r="B2" s="22">
        <f t="shared" ref="B2:B32" si="0">D2*0.42</f>
        <v>2688</v>
      </c>
      <c r="C2" s="22">
        <f t="shared" ref="C2:C32" si="1">D2-B2</f>
        <v>3712</v>
      </c>
      <c r="D2" s="22">
        <f t="shared" ref="D2:D32" si="2">E2+F2</f>
        <v>6400</v>
      </c>
      <c r="E2" s="22">
        <v>5950</v>
      </c>
      <c r="F2" s="22">
        <v>450</v>
      </c>
      <c r="G2" s="22">
        <v>1000</v>
      </c>
      <c r="H2" s="21">
        <f t="shared" ref="H2:H32" si="3">IFERROR(B2/C2,0)</f>
        <v>0.72413793103448276</v>
      </c>
      <c r="I2" s="20">
        <f>SUM($D$2:D2)-SUM($G$2:G2)</f>
        <v>5400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44653</v>
      </c>
      <c r="B3" s="22">
        <f t="shared" si="0"/>
        <v>8475.6</v>
      </c>
      <c r="C3" s="22">
        <f t="shared" si="1"/>
        <v>11704.4</v>
      </c>
      <c r="D3" s="22">
        <f t="shared" si="2"/>
        <v>20180</v>
      </c>
      <c r="E3" s="22">
        <v>18690</v>
      </c>
      <c r="F3" s="22">
        <v>1490</v>
      </c>
      <c r="G3" s="22">
        <v>995</v>
      </c>
      <c r="H3" s="21">
        <f t="shared" si="3"/>
        <v>0.72413793103448276</v>
      </c>
      <c r="I3" s="20">
        <f>SUM($D$2:D3)-SUM($G$2:G3)</f>
        <v>24585</v>
      </c>
      <c r="K3" s="8">
        <f t="shared" ref="K3:K9" si="4">A5</f>
        <v>44655</v>
      </c>
      <c r="L3" s="2">
        <f t="shared" ref="L3:L9" si="5">N3*0.42</f>
        <v>11455.5</v>
      </c>
      <c r="M3" s="2">
        <f t="shared" ref="M3:M9" si="6">N3-L3</f>
        <v>15819.5</v>
      </c>
      <c r="N3" s="2">
        <f t="shared" ref="N3:N9" si="7">O3+P3</f>
        <v>27275</v>
      </c>
      <c r="O3" s="2">
        <f t="shared" ref="O3:Q9" si="8">E5</f>
        <v>9510</v>
      </c>
      <c r="P3" s="2">
        <f t="shared" si="8"/>
        <v>17765</v>
      </c>
      <c r="Q3" s="2">
        <f t="shared" si="8"/>
        <v>10</v>
      </c>
    </row>
    <row r="4" spans="1:17" x14ac:dyDescent="0.35">
      <c r="A4" s="23">
        <v>44654</v>
      </c>
      <c r="B4" s="22">
        <f t="shared" si="0"/>
        <v>9584.4</v>
      </c>
      <c r="C4" s="22">
        <f t="shared" si="1"/>
        <v>13235.6</v>
      </c>
      <c r="D4" s="22">
        <f t="shared" si="2"/>
        <v>22820</v>
      </c>
      <c r="E4" s="22">
        <v>22430</v>
      </c>
      <c r="F4" s="22">
        <v>390</v>
      </c>
      <c r="G4" s="22">
        <v>30</v>
      </c>
      <c r="H4" s="21">
        <f t="shared" si="3"/>
        <v>0.72413793103448276</v>
      </c>
      <c r="I4" s="20">
        <f>SUM($D$2:D4)-SUM($G$2:G4)</f>
        <v>47375</v>
      </c>
      <c r="K4" s="9">
        <f t="shared" si="4"/>
        <v>44656</v>
      </c>
      <c r="L4" s="4">
        <f t="shared" si="5"/>
        <v>7778.4</v>
      </c>
      <c r="M4" s="4">
        <f t="shared" si="6"/>
        <v>10741.6</v>
      </c>
      <c r="N4" s="4">
        <f t="shared" si="7"/>
        <v>18520</v>
      </c>
      <c r="O4" s="4">
        <f t="shared" si="8"/>
        <v>7550</v>
      </c>
      <c r="P4" s="4">
        <f t="shared" si="8"/>
        <v>10970</v>
      </c>
      <c r="Q4" s="4">
        <f t="shared" si="8"/>
        <v>7585</v>
      </c>
    </row>
    <row r="5" spans="1:17" x14ac:dyDescent="0.35">
      <c r="A5" s="23">
        <v>44655</v>
      </c>
      <c r="B5" s="22">
        <f t="shared" si="0"/>
        <v>11455.5</v>
      </c>
      <c r="C5" s="22">
        <f t="shared" si="1"/>
        <v>15819.5</v>
      </c>
      <c r="D5" s="22">
        <f t="shared" si="2"/>
        <v>27275</v>
      </c>
      <c r="E5" s="22">
        <v>9510</v>
      </c>
      <c r="F5" s="22">
        <v>17765</v>
      </c>
      <c r="G5" s="22">
        <v>10</v>
      </c>
      <c r="H5" s="21">
        <f t="shared" si="3"/>
        <v>0.72413793103448276</v>
      </c>
      <c r="I5" s="20">
        <f>SUM($D$2:D5)-SUM($G$2:G5)</f>
        <v>74640</v>
      </c>
      <c r="K5" s="8">
        <f t="shared" si="4"/>
        <v>44657</v>
      </c>
      <c r="L5" s="2">
        <f t="shared" si="5"/>
        <v>2202.48</v>
      </c>
      <c r="M5" s="2">
        <f t="shared" si="6"/>
        <v>3041.52</v>
      </c>
      <c r="N5" s="2">
        <f t="shared" si="7"/>
        <v>5244</v>
      </c>
      <c r="O5" s="2">
        <f t="shared" si="8"/>
        <v>3930</v>
      </c>
      <c r="P5" s="2">
        <f t="shared" si="8"/>
        <v>1314</v>
      </c>
      <c r="Q5" s="2">
        <f t="shared" si="8"/>
        <v>0</v>
      </c>
    </row>
    <row r="6" spans="1:17" x14ac:dyDescent="0.35">
      <c r="A6" s="23">
        <v>44656</v>
      </c>
      <c r="B6" s="22">
        <f t="shared" si="0"/>
        <v>7778.4</v>
      </c>
      <c r="C6" s="22">
        <f t="shared" si="1"/>
        <v>10741.6</v>
      </c>
      <c r="D6" s="22">
        <f t="shared" si="2"/>
        <v>18520</v>
      </c>
      <c r="E6" s="22">
        <v>7550</v>
      </c>
      <c r="F6" s="22">
        <v>10970</v>
      </c>
      <c r="G6" s="22">
        <v>7585</v>
      </c>
      <c r="H6" s="21">
        <f t="shared" si="3"/>
        <v>0.72413793103448265</v>
      </c>
      <c r="I6" s="20">
        <f>SUM($D$2:D6)-SUM($G$2:G6)</f>
        <v>85575</v>
      </c>
      <c r="K6" s="9">
        <f t="shared" si="4"/>
        <v>44658</v>
      </c>
      <c r="L6" s="4">
        <f t="shared" si="5"/>
        <v>15365.699999999999</v>
      </c>
      <c r="M6" s="4">
        <f t="shared" si="6"/>
        <v>21219.300000000003</v>
      </c>
      <c r="N6" s="4">
        <f t="shared" si="7"/>
        <v>36585</v>
      </c>
      <c r="O6" s="4">
        <f t="shared" si="8"/>
        <v>21225</v>
      </c>
      <c r="P6" s="4">
        <f t="shared" si="8"/>
        <v>15360</v>
      </c>
      <c r="Q6" s="4">
        <f t="shared" si="8"/>
        <v>5530</v>
      </c>
    </row>
    <row r="7" spans="1:17" x14ac:dyDescent="0.35">
      <c r="A7" s="23">
        <v>44657</v>
      </c>
      <c r="B7" s="22">
        <f t="shared" si="0"/>
        <v>2202.48</v>
      </c>
      <c r="C7" s="22">
        <f t="shared" si="1"/>
        <v>3041.52</v>
      </c>
      <c r="D7" s="22">
        <f t="shared" si="2"/>
        <v>5244</v>
      </c>
      <c r="E7" s="22">
        <v>3930</v>
      </c>
      <c r="F7" s="22">
        <v>1314</v>
      </c>
      <c r="G7" s="22"/>
      <c r="H7" s="21">
        <f t="shared" si="3"/>
        <v>0.72413793103448276</v>
      </c>
      <c r="I7" s="20">
        <f>SUM($D$2:D7)-SUM($G$2:G7)</f>
        <v>90819</v>
      </c>
      <c r="K7" s="8">
        <f t="shared" si="4"/>
        <v>44659</v>
      </c>
      <c r="L7" s="2">
        <f t="shared" si="5"/>
        <v>667.8</v>
      </c>
      <c r="M7" s="2">
        <f t="shared" si="6"/>
        <v>922.2</v>
      </c>
      <c r="N7" s="2">
        <f t="shared" si="7"/>
        <v>1590</v>
      </c>
      <c r="O7" s="2">
        <f t="shared" si="8"/>
        <v>1590</v>
      </c>
      <c r="P7" s="2">
        <f t="shared" si="8"/>
        <v>0</v>
      </c>
      <c r="Q7" s="2">
        <f t="shared" si="8"/>
        <v>737</v>
      </c>
    </row>
    <row r="8" spans="1:17" x14ac:dyDescent="0.35">
      <c r="A8" s="23">
        <v>44658</v>
      </c>
      <c r="B8" s="22">
        <f t="shared" si="0"/>
        <v>15365.699999999999</v>
      </c>
      <c r="C8" s="22">
        <f t="shared" si="1"/>
        <v>21219.300000000003</v>
      </c>
      <c r="D8" s="22">
        <f t="shared" si="2"/>
        <v>36585</v>
      </c>
      <c r="E8" s="22">
        <v>21225</v>
      </c>
      <c r="F8" s="22">
        <v>15360</v>
      </c>
      <c r="G8" s="22">
        <v>5530</v>
      </c>
      <c r="H8" s="21">
        <f t="shared" si="3"/>
        <v>0.72413793103448265</v>
      </c>
      <c r="I8" s="20">
        <f>SUM($D$2:D8)-SUM($G$2:G8)</f>
        <v>121874</v>
      </c>
      <c r="K8" s="9">
        <f t="shared" si="4"/>
        <v>44660</v>
      </c>
      <c r="L8" s="4">
        <f t="shared" si="5"/>
        <v>12369</v>
      </c>
      <c r="M8" s="4">
        <f t="shared" si="6"/>
        <v>17081</v>
      </c>
      <c r="N8" s="4">
        <f t="shared" si="7"/>
        <v>29450</v>
      </c>
      <c r="O8" s="4">
        <f t="shared" si="8"/>
        <v>22660</v>
      </c>
      <c r="P8" s="4">
        <f t="shared" si="8"/>
        <v>6790</v>
      </c>
      <c r="Q8" s="4">
        <f t="shared" si="8"/>
        <v>11820</v>
      </c>
    </row>
    <row r="9" spans="1:17" x14ac:dyDescent="0.35">
      <c r="A9" s="23">
        <v>44659</v>
      </c>
      <c r="B9" s="22">
        <f t="shared" si="0"/>
        <v>667.8</v>
      </c>
      <c r="C9" s="22">
        <f t="shared" si="1"/>
        <v>922.2</v>
      </c>
      <c r="D9" s="22">
        <f t="shared" si="2"/>
        <v>1590</v>
      </c>
      <c r="E9" s="22">
        <v>1590</v>
      </c>
      <c r="F9" s="22">
        <v>0</v>
      </c>
      <c r="G9" s="22">
        <v>737</v>
      </c>
      <c r="H9" s="21">
        <f t="shared" si="3"/>
        <v>0.72413793103448265</v>
      </c>
      <c r="I9" s="20">
        <f>SUM($D$2:D9)-SUM($G$2:G9)</f>
        <v>122727</v>
      </c>
      <c r="K9" s="8">
        <f t="shared" si="4"/>
        <v>44661</v>
      </c>
      <c r="L9" s="2">
        <f t="shared" si="5"/>
        <v>7673.4</v>
      </c>
      <c r="M9" s="2">
        <f t="shared" si="6"/>
        <v>10596.6</v>
      </c>
      <c r="N9" s="2">
        <f t="shared" si="7"/>
        <v>18270</v>
      </c>
      <c r="O9" s="2">
        <f t="shared" si="8"/>
        <v>10420</v>
      </c>
      <c r="P9" s="2">
        <f t="shared" si="8"/>
        <v>7850</v>
      </c>
      <c r="Q9" s="2">
        <f t="shared" si="8"/>
        <v>0</v>
      </c>
    </row>
    <row r="10" spans="1:17" x14ac:dyDescent="0.35">
      <c r="A10" s="23">
        <v>44660</v>
      </c>
      <c r="B10" s="22">
        <f t="shared" si="0"/>
        <v>12369</v>
      </c>
      <c r="C10" s="22">
        <f t="shared" si="1"/>
        <v>17081</v>
      </c>
      <c r="D10" s="22">
        <f t="shared" si="2"/>
        <v>29450</v>
      </c>
      <c r="E10" s="22">
        <v>22660</v>
      </c>
      <c r="F10" s="22">
        <v>6790</v>
      </c>
      <c r="G10" s="22">
        <v>11820</v>
      </c>
      <c r="H10" s="21">
        <f t="shared" si="3"/>
        <v>0.72413793103448276</v>
      </c>
      <c r="I10" s="20">
        <f>SUM($D$2:D10)-SUM($G$2:G10)</f>
        <v>140357</v>
      </c>
      <c r="K10" s="3" t="s">
        <v>4</v>
      </c>
      <c r="L10" s="3">
        <f>SUM(L3:L9)</f>
        <v>57512.280000000006</v>
      </c>
      <c r="M10" s="3">
        <f>SUM(M2:M9)</f>
        <v>79421.72</v>
      </c>
      <c r="N10" s="3">
        <f>SUM(N2:N9)</f>
        <v>136934</v>
      </c>
      <c r="O10" s="3">
        <f>SUM(O2:O9)</f>
        <v>76885</v>
      </c>
      <c r="P10" s="3">
        <f>SUM(P2:P9)</f>
        <v>60049</v>
      </c>
      <c r="Q10" s="3">
        <f>SUM(Q2:Q9)</f>
        <v>25682</v>
      </c>
    </row>
    <row r="11" spans="1:17" x14ac:dyDescent="0.35">
      <c r="A11" s="23">
        <v>44661</v>
      </c>
      <c r="B11" s="22">
        <f t="shared" si="0"/>
        <v>7673.4</v>
      </c>
      <c r="C11" s="22">
        <f t="shared" si="1"/>
        <v>10596.6</v>
      </c>
      <c r="D11" s="22">
        <f t="shared" si="2"/>
        <v>18270</v>
      </c>
      <c r="E11" s="22">
        <v>10420</v>
      </c>
      <c r="F11" s="22">
        <v>7850</v>
      </c>
      <c r="G11" s="22"/>
      <c r="H11" s="21">
        <f t="shared" si="3"/>
        <v>0.72413793103448265</v>
      </c>
      <c r="I11" s="20">
        <f>SUM($D$2:D11)-SUM($G$2:G11)</f>
        <v>158627</v>
      </c>
      <c r="K11" s="3" t="s">
        <v>0</v>
      </c>
      <c r="L11" s="3">
        <f>L10/3</f>
        <v>19170.760000000002</v>
      </c>
      <c r="M11" s="3"/>
      <c r="N11" s="3"/>
      <c r="O11" s="2"/>
      <c r="P11" s="2"/>
      <c r="Q11" s="2"/>
    </row>
    <row r="12" spans="1:17" x14ac:dyDescent="0.35">
      <c r="A12" s="23">
        <v>44662</v>
      </c>
      <c r="B12" s="22">
        <f t="shared" si="0"/>
        <v>14335.019999999999</v>
      </c>
      <c r="C12" s="22">
        <f t="shared" si="1"/>
        <v>19795.980000000003</v>
      </c>
      <c r="D12" s="22">
        <f t="shared" si="2"/>
        <v>34131</v>
      </c>
      <c r="E12" s="22">
        <v>27935</v>
      </c>
      <c r="F12" s="22">
        <v>6196</v>
      </c>
      <c r="G12" s="22">
        <v>50</v>
      </c>
      <c r="H12" s="21">
        <f t="shared" si="3"/>
        <v>0.72413793103448254</v>
      </c>
      <c r="I12" s="20">
        <f>SUM($D$2:D12)-SUM($G$2:G12)</f>
        <v>192708</v>
      </c>
    </row>
    <row r="13" spans="1:17" x14ac:dyDescent="0.35">
      <c r="A13" s="23">
        <v>44663</v>
      </c>
      <c r="B13" s="22">
        <f t="shared" si="0"/>
        <v>2511.6</v>
      </c>
      <c r="C13" s="22">
        <f t="shared" si="1"/>
        <v>3468.4</v>
      </c>
      <c r="D13" s="22">
        <f t="shared" si="2"/>
        <v>5980</v>
      </c>
      <c r="E13" s="22">
        <v>5330</v>
      </c>
      <c r="F13" s="22">
        <v>650</v>
      </c>
      <c r="G13" s="22">
        <v>650</v>
      </c>
      <c r="H13" s="21">
        <f t="shared" si="3"/>
        <v>0.72413793103448276</v>
      </c>
      <c r="I13" s="20">
        <f>SUM($D$2:D13)-SUM($G$2:G13)</f>
        <v>198038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44664</v>
      </c>
      <c r="B14" s="22">
        <f t="shared" si="0"/>
        <v>5292</v>
      </c>
      <c r="C14" s="22">
        <f t="shared" si="1"/>
        <v>7308</v>
      </c>
      <c r="D14" s="22">
        <f t="shared" si="2"/>
        <v>12600</v>
      </c>
      <c r="E14" s="22">
        <v>5150</v>
      </c>
      <c r="F14" s="22">
        <f>5750+1700</f>
        <v>7450</v>
      </c>
      <c r="G14" s="22">
        <v>2000</v>
      </c>
      <c r="H14" s="21">
        <f t="shared" si="3"/>
        <v>0.72413793103448276</v>
      </c>
      <c r="I14" s="20">
        <f>SUM($D$2:D14)-SUM($G$2:G14)</f>
        <v>208638</v>
      </c>
      <c r="K14" s="8">
        <f t="shared" ref="K14:K20" si="9">A12</f>
        <v>44662</v>
      </c>
      <c r="L14" s="2">
        <f t="shared" ref="L14:L20" si="10">N14*0.42</f>
        <v>14335.019999999999</v>
      </c>
      <c r="M14" s="2">
        <f t="shared" ref="M14:M20" si="11">N14-L14</f>
        <v>19795.980000000003</v>
      </c>
      <c r="N14" s="2">
        <f t="shared" ref="N14:N20" si="12">O14+P14</f>
        <v>34131</v>
      </c>
      <c r="O14" s="2">
        <f t="shared" ref="O14:Q20" si="13">E12</f>
        <v>27935</v>
      </c>
      <c r="P14" s="2">
        <f t="shared" si="13"/>
        <v>6196</v>
      </c>
      <c r="Q14" s="2">
        <f t="shared" si="13"/>
        <v>50</v>
      </c>
    </row>
    <row r="15" spans="1:17" x14ac:dyDescent="0.35">
      <c r="A15" s="23">
        <v>44665</v>
      </c>
      <c r="B15" s="22">
        <f t="shared" si="0"/>
        <v>5489.4</v>
      </c>
      <c r="C15" s="22">
        <f t="shared" si="1"/>
        <v>7580.6</v>
      </c>
      <c r="D15" s="22">
        <f t="shared" si="2"/>
        <v>13070</v>
      </c>
      <c r="E15" s="22">
        <v>8310</v>
      </c>
      <c r="F15" s="22">
        <v>4760</v>
      </c>
      <c r="G15" s="22">
        <v>900</v>
      </c>
      <c r="H15" s="21">
        <f t="shared" si="3"/>
        <v>0.72413793103448265</v>
      </c>
      <c r="I15" s="20">
        <f>SUM($D$2:D15)-SUM($G$2:G15)</f>
        <v>220808</v>
      </c>
      <c r="K15" s="9">
        <f t="shared" si="9"/>
        <v>44663</v>
      </c>
      <c r="L15" s="4">
        <f t="shared" si="10"/>
        <v>2511.6</v>
      </c>
      <c r="M15" s="4">
        <f t="shared" si="11"/>
        <v>3468.4</v>
      </c>
      <c r="N15" s="4">
        <f t="shared" si="12"/>
        <v>5980</v>
      </c>
      <c r="O15" s="4">
        <f t="shared" si="13"/>
        <v>5330</v>
      </c>
      <c r="P15" s="4">
        <f t="shared" si="13"/>
        <v>650</v>
      </c>
      <c r="Q15" s="4">
        <f t="shared" si="13"/>
        <v>650</v>
      </c>
    </row>
    <row r="16" spans="1:17" x14ac:dyDescent="0.35">
      <c r="A16" s="23">
        <v>44666</v>
      </c>
      <c r="B16" s="22">
        <f t="shared" si="0"/>
        <v>4330.2</v>
      </c>
      <c r="C16" s="22">
        <f t="shared" si="1"/>
        <v>5979.8</v>
      </c>
      <c r="D16" s="22">
        <f t="shared" si="2"/>
        <v>10310</v>
      </c>
      <c r="E16" s="22">
        <v>4990</v>
      </c>
      <c r="F16" s="22">
        <v>5320</v>
      </c>
      <c r="G16" s="22">
        <v>470</v>
      </c>
      <c r="H16" s="21">
        <f t="shared" si="3"/>
        <v>0.72413793103448265</v>
      </c>
      <c r="I16" s="20">
        <f>SUM($D$2:D16)-SUM($G$2:G16)</f>
        <v>230648</v>
      </c>
      <c r="K16" s="8">
        <f t="shared" si="9"/>
        <v>44664</v>
      </c>
      <c r="L16" s="2">
        <f t="shared" si="10"/>
        <v>5292</v>
      </c>
      <c r="M16" s="2">
        <f t="shared" si="11"/>
        <v>7308</v>
      </c>
      <c r="N16" s="2">
        <f t="shared" si="12"/>
        <v>12600</v>
      </c>
      <c r="O16" s="2">
        <f t="shared" si="13"/>
        <v>5150</v>
      </c>
      <c r="P16" s="2">
        <f t="shared" si="13"/>
        <v>7450</v>
      </c>
      <c r="Q16" s="2">
        <f t="shared" si="13"/>
        <v>2000</v>
      </c>
    </row>
    <row r="17" spans="1:17" x14ac:dyDescent="0.35">
      <c r="A17" s="23">
        <v>44667</v>
      </c>
      <c r="B17" s="22">
        <f t="shared" si="0"/>
        <v>5334</v>
      </c>
      <c r="C17" s="22">
        <f t="shared" si="1"/>
        <v>7366</v>
      </c>
      <c r="D17" s="22">
        <f t="shared" si="2"/>
        <v>12700</v>
      </c>
      <c r="E17" s="22">
        <v>8270</v>
      </c>
      <c r="F17" s="22">
        <v>4430</v>
      </c>
      <c r="G17" s="22">
        <v>11260</v>
      </c>
      <c r="H17" s="21">
        <f t="shared" si="3"/>
        <v>0.72413793103448276</v>
      </c>
      <c r="I17" s="20">
        <f>SUM($D$2:D17)-SUM($G$2:G17)</f>
        <v>232088</v>
      </c>
      <c r="K17" s="9">
        <f t="shared" si="9"/>
        <v>44665</v>
      </c>
      <c r="L17" s="4">
        <f t="shared" si="10"/>
        <v>5489.4</v>
      </c>
      <c r="M17" s="4">
        <f t="shared" si="11"/>
        <v>7580.6</v>
      </c>
      <c r="N17" s="4">
        <f t="shared" si="12"/>
        <v>13070</v>
      </c>
      <c r="O17" s="4">
        <f t="shared" si="13"/>
        <v>8310</v>
      </c>
      <c r="P17" s="4">
        <f t="shared" si="13"/>
        <v>4760</v>
      </c>
      <c r="Q17" s="4">
        <f t="shared" si="13"/>
        <v>900</v>
      </c>
    </row>
    <row r="18" spans="1:17" x14ac:dyDescent="0.35">
      <c r="A18" s="23">
        <v>44668</v>
      </c>
      <c r="B18" s="22">
        <f t="shared" si="0"/>
        <v>3045</v>
      </c>
      <c r="C18" s="22">
        <f t="shared" si="1"/>
        <v>4205</v>
      </c>
      <c r="D18" s="22">
        <f t="shared" si="2"/>
        <v>7250</v>
      </c>
      <c r="E18" s="22">
        <v>6350</v>
      </c>
      <c r="F18" s="22">
        <v>900</v>
      </c>
      <c r="G18" s="22">
        <v>4200</v>
      </c>
      <c r="H18" s="21">
        <f t="shared" si="3"/>
        <v>0.72413793103448276</v>
      </c>
      <c r="I18" s="20">
        <f>SUM($D$2:D18)-SUM($G$2:G18)</f>
        <v>235138</v>
      </c>
      <c r="K18" s="8">
        <f t="shared" si="9"/>
        <v>44666</v>
      </c>
      <c r="L18" s="2">
        <f t="shared" si="10"/>
        <v>4330.2</v>
      </c>
      <c r="M18" s="2">
        <f t="shared" si="11"/>
        <v>5979.8</v>
      </c>
      <c r="N18" s="2">
        <f t="shared" si="12"/>
        <v>10310</v>
      </c>
      <c r="O18" s="2">
        <f t="shared" si="13"/>
        <v>4990</v>
      </c>
      <c r="P18" s="2">
        <f t="shared" si="13"/>
        <v>5320</v>
      </c>
      <c r="Q18" s="2">
        <f t="shared" si="13"/>
        <v>470</v>
      </c>
    </row>
    <row r="19" spans="1:17" x14ac:dyDescent="0.35">
      <c r="A19" s="23">
        <v>44669</v>
      </c>
      <c r="B19" s="22">
        <f t="shared" si="0"/>
        <v>9555</v>
      </c>
      <c r="C19" s="22">
        <f t="shared" si="1"/>
        <v>13195</v>
      </c>
      <c r="D19" s="22">
        <f t="shared" si="2"/>
        <v>22750</v>
      </c>
      <c r="E19" s="22">
        <v>9655</v>
      </c>
      <c r="F19" s="22">
        <v>13095</v>
      </c>
      <c r="G19" s="22">
        <v>6540</v>
      </c>
      <c r="H19" s="21">
        <f t="shared" si="3"/>
        <v>0.72413793103448276</v>
      </c>
      <c r="I19" s="20">
        <f>SUM($D$2:D19)-SUM($G$2:G19)</f>
        <v>251348</v>
      </c>
      <c r="K19" s="9">
        <f t="shared" si="9"/>
        <v>44667</v>
      </c>
      <c r="L19" s="4">
        <f t="shared" si="10"/>
        <v>5334</v>
      </c>
      <c r="M19" s="4">
        <f t="shared" si="11"/>
        <v>7366</v>
      </c>
      <c r="N19" s="4">
        <f t="shared" si="12"/>
        <v>12700</v>
      </c>
      <c r="O19" s="4">
        <f t="shared" si="13"/>
        <v>8270</v>
      </c>
      <c r="P19" s="4">
        <f t="shared" si="13"/>
        <v>4430</v>
      </c>
      <c r="Q19" s="4">
        <f t="shared" si="13"/>
        <v>11260</v>
      </c>
    </row>
    <row r="20" spans="1:17" x14ac:dyDescent="0.35">
      <c r="A20" s="23">
        <v>44670</v>
      </c>
      <c r="B20" s="22">
        <f t="shared" si="0"/>
        <v>10195.5</v>
      </c>
      <c r="C20" s="22">
        <f t="shared" si="1"/>
        <v>14079.5</v>
      </c>
      <c r="D20" s="22">
        <f t="shared" si="2"/>
        <v>24275</v>
      </c>
      <c r="E20" s="22">
        <v>17500</v>
      </c>
      <c r="F20" s="22">
        <v>6775</v>
      </c>
      <c r="G20" s="22">
        <v>10900</v>
      </c>
      <c r="H20" s="21">
        <f t="shared" si="3"/>
        <v>0.72413793103448276</v>
      </c>
      <c r="I20" s="20">
        <f>SUM($D$2:D20)-SUM($G$2:G20)</f>
        <v>264723</v>
      </c>
      <c r="K20" s="8">
        <f t="shared" si="9"/>
        <v>44668</v>
      </c>
      <c r="L20" s="2">
        <f t="shared" si="10"/>
        <v>3045</v>
      </c>
      <c r="M20" s="2">
        <f t="shared" si="11"/>
        <v>4205</v>
      </c>
      <c r="N20" s="2">
        <f t="shared" si="12"/>
        <v>7250</v>
      </c>
      <c r="O20" s="2">
        <f t="shared" si="13"/>
        <v>6350</v>
      </c>
      <c r="P20" s="2">
        <f t="shared" si="13"/>
        <v>900</v>
      </c>
      <c r="Q20" s="2">
        <f t="shared" si="13"/>
        <v>4200</v>
      </c>
    </row>
    <row r="21" spans="1:17" x14ac:dyDescent="0.35">
      <c r="A21" s="23">
        <v>44671</v>
      </c>
      <c r="B21" s="22">
        <f t="shared" si="0"/>
        <v>3297</v>
      </c>
      <c r="C21" s="22">
        <f t="shared" si="1"/>
        <v>4553</v>
      </c>
      <c r="D21" s="22">
        <f t="shared" si="2"/>
        <v>7850</v>
      </c>
      <c r="E21" s="22">
        <v>7400</v>
      </c>
      <c r="F21" s="22">
        <v>450</v>
      </c>
      <c r="G21" s="22">
        <v>100</v>
      </c>
      <c r="H21" s="21">
        <f t="shared" si="3"/>
        <v>0.72413793103448276</v>
      </c>
      <c r="I21" s="20">
        <f>SUM($D$2:D21)-SUM($G$2:G21)</f>
        <v>272473</v>
      </c>
      <c r="K21" s="3" t="s">
        <v>4</v>
      </c>
      <c r="L21" s="3">
        <f t="shared" ref="L21:Q21" si="14">SUM(L14:L20)</f>
        <v>40337.22</v>
      </c>
      <c r="M21" s="3">
        <f t="shared" si="14"/>
        <v>55703.780000000006</v>
      </c>
      <c r="N21" s="3">
        <f t="shared" si="14"/>
        <v>96041</v>
      </c>
      <c r="O21" s="3">
        <f t="shared" si="14"/>
        <v>66335</v>
      </c>
      <c r="P21" s="3">
        <f t="shared" si="14"/>
        <v>29706</v>
      </c>
      <c r="Q21" s="3">
        <f t="shared" si="14"/>
        <v>19530</v>
      </c>
    </row>
    <row r="22" spans="1:17" x14ac:dyDescent="0.35">
      <c r="A22" s="23">
        <v>44672</v>
      </c>
      <c r="B22" s="22">
        <f t="shared" si="0"/>
        <v>5959.8</v>
      </c>
      <c r="C22" s="22">
        <f t="shared" si="1"/>
        <v>8230.2000000000007</v>
      </c>
      <c r="D22" s="22">
        <f t="shared" si="2"/>
        <v>14190</v>
      </c>
      <c r="E22" s="22">
        <v>11930</v>
      </c>
      <c r="F22" s="22">
        <v>2260</v>
      </c>
      <c r="G22" s="22">
        <v>2125</v>
      </c>
      <c r="H22" s="21">
        <f t="shared" si="3"/>
        <v>0.72413793103448276</v>
      </c>
      <c r="I22" s="20">
        <f>SUM($D$2:D22)-SUM($G$2:G22)</f>
        <v>284538</v>
      </c>
      <c r="K22" s="3" t="s">
        <v>0</v>
      </c>
      <c r="L22" s="3">
        <f>L21/3</f>
        <v>13445.74</v>
      </c>
      <c r="M22" s="3"/>
      <c r="N22" s="3"/>
      <c r="O22" s="2"/>
      <c r="P22" s="2"/>
      <c r="Q22" s="2"/>
    </row>
    <row r="23" spans="1:17" x14ac:dyDescent="0.35">
      <c r="A23" s="23">
        <v>44673</v>
      </c>
      <c r="B23" s="22">
        <f t="shared" si="0"/>
        <v>5733</v>
      </c>
      <c r="C23" s="22">
        <f t="shared" si="1"/>
        <v>7917</v>
      </c>
      <c r="D23" s="22">
        <f t="shared" si="2"/>
        <v>13650</v>
      </c>
      <c r="E23" s="22">
        <v>9850</v>
      </c>
      <c r="F23" s="22">
        <v>3800</v>
      </c>
      <c r="G23" s="22">
        <v>250</v>
      </c>
      <c r="H23" s="21">
        <f t="shared" si="3"/>
        <v>0.72413793103448276</v>
      </c>
      <c r="I23" s="20">
        <f>SUM($D$2:D23)-SUM($G$2:G23)</f>
        <v>297938</v>
      </c>
    </row>
    <row r="24" spans="1:17" x14ac:dyDescent="0.35">
      <c r="A24" s="23">
        <v>44674</v>
      </c>
      <c r="B24" s="22">
        <f t="shared" si="0"/>
        <v>3557.4</v>
      </c>
      <c r="C24" s="22">
        <f t="shared" si="1"/>
        <v>4912.6000000000004</v>
      </c>
      <c r="D24" s="22">
        <f t="shared" si="2"/>
        <v>8470</v>
      </c>
      <c r="E24" s="22">
        <v>7470</v>
      </c>
      <c r="F24" s="22">
        <v>1000</v>
      </c>
      <c r="G24" s="22">
        <v>130</v>
      </c>
      <c r="H24" s="21">
        <f t="shared" si="3"/>
        <v>0.72413793103448276</v>
      </c>
      <c r="I24" s="20">
        <f>SUM($D$2:D24)-SUM($G$2:G24)</f>
        <v>306278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44675</v>
      </c>
      <c r="B25" s="22">
        <f t="shared" si="0"/>
        <v>4569.5999999999995</v>
      </c>
      <c r="C25" s="22">
        <f t="shared" si="1"/>
        <v>6310.4000000000005</v>
      </c>
      <c r="D25" s="22">
        <f t="shared" si="2"/>
        <v>10880</v>
      </c>
      <c r="E25" s="22">
        <v>10750</v>
      </c>
      <c r="F25" s="22">
        <v>130</v>
      </c>
      <c r="G25" s="22">
        <v>100</v>
      </c>
      <c r="H25" s="21">
        <f t="shared" si="3"/>
        <v>0.72413793103448265</v>
      </c>
      <c r="I25" s="20">
        <f>SUM($D$2:D25)-SUM($G$2:G25)</f>
        <v>317058</v>
      </c>
      <c r="K25" s="8">
        <f t="shared" ref="K25:K31" si="15">A19</f>
        <v>44669</v>
      </c>
      <c r="L25" s="2">
        <f t="shared" ref="L25:L31" si="16">N25*0.42</f>
        <v>9555</v>
      </c>
      <c r="M25" s="2">
        <f t="shared" ref="M25:M31" si="17">N25-L25</f>
        <v>13195</v>
      </c>
      <c r="N25" s="2">
        <f t="shared" ref="N25:N31" si="18">O25+P25</f>
        <v>22750</v>
      </c>
      <c r="O25" s="2">
        <f t="shared" ref="O25:Q31" si="19">E19</f>
        <v>9655</v>
      </c>
      <c r="P25" s="2">
        <f t="shared" si="19"/>
        <v>13095</v>
      </c>
      <c r="Q25" s="2">
        <f t="shared" si="19"/>
        <v>6540</v>
      </c>
    </row>
    <row r="26" spans="1:17" x14ac:dyDescent="0.35">
      <c r="A26" s="23">
        <v>44676</v>
      </c>
      <c r="B26" s="22">
        <f t="shared" si="0"/>
        <v>4825.8</v>
      </c>
      <c r="C26" s="22">
        <f t="shared" si="1"/>
        <v>6664.2</v>
      </c>
      <c r="D26" s="22">
        <f t="shared" si="2"/>
        <v>11490</v>
      </c>
      <c r="E26" s="22">
        <v>5220</v>
      </c>
      <c r="F26" s="22">
        <v>6270</v>
      </c>
      <c r="G26" s="22">
        <v>600</v>
      </c>
      <c r="H26" s="21">
        <f t="shared" si="3"/>
        <v>0.72413793103448276</v>
      </c>
      <c r="I26" s="20">
        <f>SUM($D$2:D26)-SUM($G$2:G26)</f>
        <v>327948</v>
      </c>
      <c r="K26" s="9">
        <f t="shared" si="15"/>
        <v>44670</v>
      </c>
      <c r="L26" s="4">
        <f t="shared" si="16"/>
        <v>10195.5</v>
      </c>
      <c r="M26" s="4">
        <f t="shared" si="17"/>
        <v>14079.5</v>
      </c>
      <c r="N26" s="4">
        <f t="shared" si="18"/>
        <v>24275</v>
      </c>
      <c r="O26" s="4">
        <f t="shared" si="19"/>
        <v>17500</v>
      </c>
      <c r="P26" s="4">
        <f t="shared" si="19"/>
        <v>6775</v>
      </c>
      <c r="Q26" s="4">
        <f t="shared" si="19"/>
        <v>10900</v>
      </c>
    </row>
    <row r="27" spans="1:17" x14ac:dyDescent="0.35">
      <c r="A27" s="23">
        <v>44677</v>
      </c>
      <c r="B27" s="22">
        <f t="shared" si="0"/>
        <v>9114</v>
      </c>
      <c r="C27" s="22">
        <f t="shared" si="1"/>
        <v>12586</v>
      </c>
      <c r="D27" s="22">
        <f t="shared" si="2"/>
        <v>21700</v>
      </c>
      <c r="E27" s="22">
        <v>18300</v>
      </c>
      <c r="F27" s="22">
        <v>3400</v>
      </c>
      <c r="G27" s="22">
        <v>2150</v>
      </c>
      <c r="H27" s="21">
        <f t="shared" si="3"/>
        <v>0.72413793103448276</v>
      </c>
      <c r="I27" s="20">
        <f>SUM($D$2:D27)-SUM($G$2:G27)</f>
        <v>347498</v>
      </c>
      <c r="K27" s="8">
        <f t="shared" si="15"/>
        <v>44671</v>
      </c>
      <c r="L27" s="2">
        <f t="shared" si="16"/>
        <v>3297</v>
      </c>
      <c r="M27" s="2">
        <f t="shared" si="17"/>
        <v>4553</v>
      </c>
      <c r="N27" s="2">
        <f t="shared" si="18"/>
        <v>7850</v>
      </c>
      <c r="O27" s="2">
        <f t="shared" si="19"/>
        <v>7400</v>
      </c>
      <c r="P27" s="2">
        <f t="shared" si="19"/>
        <v>450</v>
      </c>
      <c r="Q27" s="2">
        <f t="shared" si="19"/>
        <v>100</v>
      </c>
    </row>
    <row r="28" spans="1:17" x14ac:dyDescent="0.35">
      <c r="A28" s="23">
        <v>44678</v>
      </c>
      <c r="B28" s="22">
        <f t="shared" si="0"/>
        <v>9378.6</v>
      </c>
      <c r="C28" s="22">
        <f t="shared" si="1"/>
        <v>12951.4</v>
      </c>
      <c r="D28" s="22">
        <f t="shared" si="2"/>
        <v>22330</v>
      </c>
      <c r="E28" s="22">
        <v>12900</v>
      </c>
      <c r="F28" s="22">
        <v>9430</v>
      </c>
      <c r="G28" s="22">
        <v>1100</v>
      </c>
      <c r="H28" s="21">
        <f t="shared" si="3"/>
        <v>0.72413793103448276</v>
      </c>
      <c r="I28" s="20">
        <f>SUM($D$2:D28)-SUM($G$2:G28)</f>
        <v>368728</v>
      </c>
      <c r="K28" s="9">
        <f t="shared" si="15"/>
        <v>44672</v>
      </c>
      <c r="L28" s="4">
        <f t="shared" si="16"/>
        <v>5959.8</v>
      </c>
      <c r="M28" s="4">
        <f t="shared" si="17"/>
        <v>8230.2000000000007</v>
      </c>
      <c r="N28" s="4">
        <f t="shared" si="18"/>
        <v>14190</v>
      </c>
      <c r="O28" s="4">
        <f t="shared" si="19"/>
        <v>11930</v>
      </c>
      <c r="P28" s="4">
        <f t="shared" si="19"/>
        <v>2260</v>
      </c>
      <c r="Q28" s="4">
        <f t="shared" si="19"/>
        <v>2125</v>
      </c>
    </row>
    <row r="29" spans="1:17" x14ac:dyDescent="0.35">
      <c r="A29" s="23">
        <v>44679</v>
      </c>
      <c r="B29" s="22">
        <f t="shared" si="0"/>
        <v>8122.7999999999993</v>
      </c>
      <c r="C29" s="22">
        <f t="shared" si="1"/>
        <v>11217.2</v>
      </c>
      <c r="D29" s="22">
        <f t="shared" si="2"/>
        <v>19340</v>
      </c>
      <c r="E29" s="22">
        <v>17340</v>
      </c>
      <c r="F29" s="22">
        <v>2000</v>
      </c>
      <c r="G29" s="22">
        <v>300</v>
      </c>
      <c r="H29" s="21">
        <f t="shared" si="3"/>
        <v>0.72413793103448265</v>
      </c>
      <c r="I29" s="20">
        <f>SUM($D$2:D29)-SUM($G$2:G29)</f>
        <v>387768</v>
      </c>
      <c r="K29" s="8">
        <f t="shared" si="15"/>
        <v>44673</v>
      </c>
      <c r="L29" s="2">
        <f t="shared" si="16"/>
        <v>5733</v>
      </c>
      <c r="M29" s="2">
        <f t="shared" si="17"/>
        <v>7917</v>
      </c>
      <c r="N29" s="2">
        <f t="shared" si="18"/>
        <v>13650</v>
      </c>
      <c r="O29" s="2">
        <f t="shared" si="19"/>
        <v>9850</v>
      </c>
      <c r="P29" s="2">
        <f t="shared" si="19"/>
        <v>3800</v>
      </c>
      <c r="Q29" s="2">
        <f t="shared" si="19"/>
        <v>250</v>
      </c>
    </row>
    <row r="30" spans="1:17" x14ac:dyDescent="0.35">
      <c r="A30" s="23">
        <v>44680</v>
      </c>
      <c r="B30" s="22">
        <f t="shared" si="0"/>
        <v>12070.8</v>
      </c>
      <c r="C30" s="22">
        <f t="shared" si="1"/>
        <v>16669.2</v>
      </c>
      <c r="D30" s="22">
        <f t="shared" si="2"/>
        <v>28740</v>
      </c>
      <c r="E30" s="24">
        <v>16850</v>
      </c>
      <c r="F30" s="22">
        <v>11890</v>
      </c>
      <c r="G30" s="22">
        <v>2900</v>
      </c>
      <c r="H30" s="21">
        <f t="shared" si="3"/>
        <v>0.72413793103448265</v>
      </c>
      <c r="I30" s="20">
        <f>SUM($D$2:D30)-SUM($G$2:G30)</f>
        <v>413608</v>
      </c>
      <c r="K30" s="9">
        <f t="shared" si="15"/>
        <v>44674</v>
      </c>
      <c r="L30" s="4">
        <f t="shared" si="16"/>
        <v>3557.4</v>
      </c>
      <c r="M30" s="4">
        <f t="shared" si="17"/>
        <v>4912.6000000000004</v>
      </c>
      <c r="N30" s="4">
        <f t="shared" si="18"/>
        <v>8470</v>
      </c>
      <c r="O30" s="4">
        <f t="shared" si="19"/>
        <v>7470</v>
      </c>
      <c r="P30" s="4">
        <f t="shared" si="19"/>
        <v>1000</v>
      </c>
      <c r="Q30" s="4">
        <f t="shared" si="19"/>
        <v>130</v>
      </c>
    </row>
    <row r="31" spans="1:17" x14ac:dyDescent="0.35">
      <c r="A31" s="23">
        <v>44681</v>
      </c>
      <c r="B31" s="22">
        <f t="shared" si="0"/>
        <v>6313.86</v>
      </c>
      <c r="C31" s="22">
        <f t="shared" si="1"/>
        <v>8719.14</v>
      </c>
      <c r="D31" s="22">
        <f t="shared" si="2"/>
        <v>15033</v>
      </c>
      <c r="E31" s="22">
        <v>9813</v>
      </c>
      <c r="F31" s="22">
        <v>5220</v>
      </c>
      <c r="G31" s="22">
        <v>8000</v>
      </c>
      <c r="H31" s="21">
        <f t="shared" si="3"/>
        <v>0.72413793103448276</v>
      </c>
      <c r="I31" s="20">
        <f>SUM($D$2:D31)-SUM($G$2:G31)</f>
        <v>420641</v>
      </c>
      <c r="K31" s="8">
        <f t="shared" si="15"/>
        <v>44675</v>
      </c>
      <c r="L31" s="2">
        <f t="shared" si="16"/>
        <v>4569.5999999999995</v>
      </c>
      <c r="M31" s="2">
        <f t="shared" si="17"/>
        <v>6310.4000000000005</v>
      </c>
      <c r="N31" s="2">
        <f t="shared" si="18"/>
        <v>10880</v>
      </c>
      <c r="O31" s="2">
        <f t="shared" si="19"/>
        <v>10750</v>
      </c>
      <c r="P31" s="2">
        <f t="shared" si="19"/>
        <v>130</v>
      </c>
      <c r="Q31" s="2">
        <f t="shared" si="19"/>
        <v>100</v>
      </c>
    </row>
    <row r="32" spans="1:17" x14ac:dyDescent="0.35">
      <c r="A32" s="23">
        <v>44682</v>
      </c>
      <c r="B32" s="22">
        <f t="shared" si="0"/>
        <v>9691.92</v>
      </c>
      <c r="C32" s="22">
        <f t="shared" si="1"/>
        <v>13384.08</v>
      </c>
      <c r="D32" s="22">
        <f t="shared" si="2"/>
        <v>23076</v>
      </c>
      <c r="E32" s="22">
        <f>8386+320+220</f>
        <v>8926</v>
      </c>
      <c r="F32" s="22">
        <v>14150</v>
      </c>
      <c r="G32" s="22">
        <v>750</v>
      </c>
      <c r="H32" s="21">
        <f t="shared" si="3"/>
        <v>0.72413793103448276</v>
      </c>
      <c r="I32" s="20">
        <f>SUM($D$2:D32)-SUM($G$2:G32)</f>
        <v>442967</v>
      </c>
      <c r="K32" s="3" t="s">
        <v>4</v>
      </c>
      <c r="L32" s="2">
        <f t="shared" ref="L32:Q32" si="20">SUM(L25:L31)</f>
        <v>42867.3</v>
      </c>
      <c r="M32" s="2">
        <f t="shared" si="20"/>
        <v>59197.7</v>
      </c>
      <c r="N32" s="2">
        <f t="shared" si="20"/>
        <v>102065</v>
      </c>
      <c r="O32" s="2">
        <f t="shared" si="20"/>
        <v>74555</v>
      </c>
      <c r="P32" s="2">
        <f t="shared" si="20"/>
        <v>27510</v>
      </c>
      <c r="Q32" s="2">
        <f t="shared" si="20"/>
        <v>20145</v>
      </c>
    </row>
    <row r="33" spans="1:17" ht="15" thickBot="1" x14ac:dyDescent="0.4">
      <c r="A33" s="19" t="s">
        <v>4</v>
      </c>
      <c r="B33" s="18">
        <f>SUM(B3:B30)</f>
        <v>202288.79999999996</v>
      </c>
      <c r="C33" s="18">
        <f>SUM(C3:C30)</f>
        <v>279351.2</v>
      </c>
      <c r="D33" s="18">
        <f>SUM(D2:D31)</f>
        <v>503073</v>
      </c>
      <c r="E33" s="18">
        <f>SUM(E2:E31)</f>
        <v>345268</v>
      </c>
      <c r="F33" s="18">
        <f>SUM(F2:F31)</f>
        <v>157805</v>
      </c>
      <c r="G33" s="18">
        <f>SUM(G2:G31)</f>
        <v>82432</v>
      </c>
      <c r="H33" s="15">
        <f>SUM(G2:G32)</f>
        <v>83182</v>
      </c>
      <c r="I33" s="14">
        <f>B33/C33</f>
        <v>0.72413793103448254</v>
      </c>
      <c r="K33" s="3" t="s">
        <v>0</v>
      </c>
      <c r="L33" s="4">
        <f>L32/3</f>
        <v>14289.1</v>
      </c>
      <c r="M33" s="4"/>
      <c r="N33" s="4"/>
      <c r="O33" s="4"/>
      <c r="P33" s="4"/>
      <c r="Q33" s="4"/>
    </row>
    <row r="34" spans="1:17" x14ac:dyDescent="0.35">
      <c r="A34" s="12"/>
      <c r="B34" s="11">
        <f>B33/3</f>
        <v>67429.599999999991</v>
      </c>
      <c r="C34" s="11"/>
      <c r="E34" s="13">
        <f>D33*0.42</f>
        <v>211290.66</v>
      </c>
      <c r="F34" s="11"/>
      <c r="G34" s="11"/>
      <c r="H34" s="10"/>
    </row>
    <row r="35" spans="1:17" x14ac:dyDescent="0.35">
      <c r="A35" s="12"/>
      <c r="B35" s="11">
        <f>B34*100/D33</f>
        <v>13.403541831901133</v>
      </c>
      <c r="C35" s="11"/>
      <c r="E35" s="11">
        <f>E34/3</f>
        <v>70430.22</v>
      </c>
      <c r="F35" s="11"/>
      <c r="G35" s="11"/>
      <c r="H35" s="10"/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K36" s="8">
        <f t="shared" ref="K36:K42" si="21">A26</f>
        <v>44676</v>
      </c>
      <c r="L36" s="2">
        <f t="shared" ref="L36:L42" si="22">N36*0.42</f>
        <v>4825.8</v>
      </c>
      <c r="M36" s="2">
        <f t="shared" ref="M36:M42" si="23">N36-L36</f>
        <v>6664.2</v>
      </c>
      <c r="N36" s="2">
        <f t="shared" ref="N36:N42" si="24">O36+P36</f>
        <v>11490</v>
      </c>
      <c r="O36" s="2">
        <f t="shared" ref="O36:Q42" si="25">E26</f>
        <v>5220</v>
      </c>
      <c r="P36" s="2">
        <f t="shared" si="25"/>
        <v>6270</v>
      </c>
      <c r="Q36" s="2">
        <f t="shared" si="25"/>
        <v>600</v>
      </c>
    </row>
    <row r="37" spans="1:17" x14ac:dyDescent="0.35">
      <c r="K37" s="9">
        <f t="shared" si="21"/>
        <v>44677</v>
      </c>
      <c r="L37" s="4">
        <f t="shared" si="22"/>
        <v>9114</v>
      </c>
      <c r="M37" s="4">
        <f t="shared" si="23"/>
        <v>12586</v>
      </c>
      <c r="N37" s="4">
        <f t="shared" si="24"/>
        <v>21700</v>
      </c>
      <c r="O37" s="4">
        <f t="shared" si="25"/>
        <v>18300</v>
      </c>
      <c r="P37" s="4">
        <f t="shared" si="25"/>
        <v>3400</v>
      </c>
      <c r="Q37" s="4">
        <f t="shared" si="25"/>
        <v>2150</v>
      </c>
    </row>
    <row r="38" spans="1:17" x14ac:dyDescent="0.35">
      <c r="K38" s="8">
        <f t="shared" si="21"/>
        <v>44678</v>
      </c>
      <c r="L38" s="2">
        <f t="shared" si="22"/>
        <v>9378.6</v>
      </c>
      <c r="M38" s="2">
        <f t="shared" si="23"/>
        <v>12951.4</v>
      </c>
      <c r="N38" s="2">
        <f t="shared" si="24"/>
        <v>22330</v>
      </c>
      <c r="O38" s="2">
        <f t="shared" si="25"/>
        <v>12900</v>
      </c>
      <c r="P38" s="2">
        <f t="shared" si="25"/>
        <v>9430</v>
      </c>
      <c r="Q38" s="2">
        <f t="shared" si="25"/>
        <v>1100</v>
      </c>
    </row>
    <row r="39" spans="1:17" x14ac:dyDescent="0.35">
      <c r="K39" s="9">
        <f t="shared" si="21"/>
        <v>44679</v>
      </c>
      <c r="L39" s="4">
        <f t="shared" si="22"/>
        <v>8122.7999999999993</v>
      </c>
      <c r="M39" s="4">
        <f t="shared" si="23"/>
        <v>11217.2</v>
      </c>
      <c r="N39" s="4">
        <f t="shared" si="24"/>
        <v>19340</v>
      </c>
      <c r="O39" s="4">
        <f t="shared" si="25"/>
        <v>17340</v>
      </c>
      <c r="P39" s="4">
        <f t="shared" si="25"/>
        <v>2000</v>
      </c>
      <c r="Q39" s="4">
        <f t="shared" si="25"/>
        <v>300</v>
      </c>
    </row>
    <row r="40" spans="1:17" x14ac:dyDescent="0.35">
      <c r="K40" s="8">
        <f t="shared" si="21"/>
        <v>44680</v>
      </c>
      <c r="L40" s="2">
        <f t="shared" si="22"/>
        <v>12070.8</v>
      </c>
      <c r="M40" s="2">
        <f t="shared" si="23"/>
        <v>16669.2</v>
      </c>
      <c r="N40" s="2">
        <f t="shared" si="24"/>
        <v>28740</v>
      </c>
      <c r="O40" s="2">
        <f t="shared" si="25"/>
        <v>16850</v>
      </c>
      <c r="P40" s="2">
        <f t="shared" si="25"/>
        <v>11890</v>
      </c>
      <c r="Q40" s="2">
        <f t="shared" si="25"/>
        <v>2900</v>
      </c>
    </row>
    <row r="41" spans="1:17" x14ac:dyDescent="0.35">
      <c r="K41" s="9">
        <f t="shared" si="21"/>
        <v>44681</v>
      </c>
      <c r="L41" s="4">
        <f t="shared" si="22"/>
        <v>6313.86</v>
      </c>
      <c r="M41" s="4">
        <f t="shared" si="23"/>
        <v>8719.14</v>
      </c>
      <c r="N41" s="4">
        <f t="shared" si="24"/>
        <v>15033</v>
      </c>
      <c r="O41" s="4">
        <f t="shared" si="25"/>
        <v>9813</v>
      </c>
      <c r="P41" s="4">
        <f t="shared" si="25"/>
        <v>5220</v>
      </c>
      <c r="Q41" s="4">
        <f t="shared" si="25"/>
        <v>8000</v>
      </c>
    </row>
    <row r="42" spans="1:17" x14ac:dyDescent="0.35">
      <c r="K42" s="8">
        <f t="shared" si="21"/>
        <v>44682</v>
      </c>
      <c r="L42" s="2">
        <f t="shared" si="22"/>
        <v>9691.92</v>
      </c>
      <c r="M42" s="2">
        <f t="shared" si="23"/>
        <v>13384.08</v>
      </c>
      <c r="N42" s="2">
        <f t="shared" si="24"/>
        <v>23076</v>
      </c>
      <c r="O42" s="2">
        <f t="shared" si="25"/>
        <v>8926</v>
      </c>
      <c r="P42" s="2">
        <f t="shared" si="25"/>
        <v>14150</v>
      </c>
      <c r="Q42" s="2">
        <f t="shared" si="25"/>
        <v>750</v>
      </c>
    </row>
    <row r="43" spans="1:17" x14ac:dyDescent="0.35">
      <c r="K43" s="3" t="s">
        <v>4</v>
      </c>
      <c r="L43" s="4">
        <f t="shared" ref="L43:Q43" si="26">SUM(L36:L42)</f>
        <v>59517.78</v>
      </c>
      <c r="M43" s="4">
        <f t="shared" si="26"/>
        <v>82191.22</v>
      </c>
      <c r="N43" s="4">
        <f t="shared" si="26"/>
        <v>141709</v>
      </c>
      <c r="O43" s="4">
        <f t="shared" si="26"/>
        <v>89349</v>
      </c>
      <c r="P43" s="4">
        <f t="shared" si="26"/>
        <v>52360</v>
      </c>
      <c r="Q43" s="4">
        <f t="shared" si="26"/>
        <v>15800</v>
      </c>
    </row>
    <row r="44" spans="1:17" x14ac:dyDescent="0.35">
      <c r="K44" s="3" t="s">
        <v>0</v>
      </c>
      <c r="L44" s="2">
        <f>L43/3</f>
        <v>19839.259999999998</v>
      </c>
      <c r="M44" s="2"/>
      <c r="N44" s="2"/>
      <c r="O44" s="2"/>
      <c r="P44" s="2"/>
      <c r="Q44" s="2"/>
    </row>
    <row r="47" spans="1:17" x14ac:dyDescent="0.35">
      <c r="K47" s="7" t="s">
        <v>7</v>
      </c>
      <c r="L47" s="6" t="s">
        <v>6</v>
      </c>
      <c r="M47" s="6" t="s">
        <v>5</v>
      </c>
      <c r="N47" s="6" t="s">
        <v>4</v>
      </c>
      <c r="O47" s="6" t="s">
        <v>3</v>
      </c>
      <c r="P47" s="6" t="s">
        <v>2</v>
      </c>
      <c r="Q47" s="6" t="s">
        <v>1</v>
      </c>
    </row>
    <row r="48" spans="1:17" x14ac:dyDescent="0.35">
      <c r="K48" s="5">
        <v>44652</v>
      </c>
      <c r="L48" s="4">
        <f>SUM(B2:B31)</f>
        <v>211290.65999999995</v>
      </c>
      <c r="M48" s="4">
        <f t="shared" ref="M48:Q48" si="27">SUM(C2:C31)</f>
        <v>291782.34000000003</v>
      </c>
      <c r="N48" s="4">
        <f t="shared" si="27"/>
        <v>503073</v>
      </c>
      <c r="O48" s="4">
        <f t="shared" si="27"/>
        <v>345268</v>
      </c>
      <c r="P48" s="4">
        <f t="shared" si="27"/>
        <v>157805</v>
      </c>
      <c r="Q48" s="4">
        <f t="shared" si="27"/>
        <v>82432</v>
      </c>
    </row>
    <row r="49" spans="11:17" x14ac:dyDescent="0.35">
      <c r="K49" s="3" t="s">
        <v>0</v>
      </c>
      <c r="L49" s="2">
        <f>L48/3</f>
        <v>70430.219999999987</v>
      </c>
      <c r="M49" s="2"/>
      <c r="N49" s="2"/>
      <c r="O49" s="2"/>
      <c r="P49" s="2"/>
      <c r="Q49" s="2"/>
    </row>
  </sheetData>
  <conditionalFormatting sqref="A1:H1">
    <cfRule type="dataBar" priority="7">
      <dataBar>
        <cfvo type="min"/>
        <cfvo type="max"/>
        <color rgb="FF638EC6"/>
      </dataBar>
    </cfRule>
  </conditionalFormatting>
  <conditionalFormatting sqref="H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5">
      <dataBar>
        <cfvo type="min"/>
        <cfvo type="max"/>
        <color rgb="FF638EC6"/>
      </dataBar>
    </cfRule>
  </conditionalFormatting>
  <conditionalFormatting sqref="K24:Q24">
    <cfRule type="dataBar" priority="4">
      <dataBar>
        <cfvo type="min"/>
        <cfvo type="max"/>
        <color rgb="FF638EC6"/>
      </dataBar>
    </cfRule>
  </conditionalFormatting>
  <conditionalFormatting sqref="K35:Q35">
    <cfRule type="dataBar" priority="3">
      <dataBar>
        <cfvo type="min"/>
        <cfvo type="max"/>
        <color rgb="FF638EC6"/>
      </dataBar>
    </cfRule>
  </conditionalFormatting>
  <conditionalFormatting sqref="K47:Q47">
    <cfRule type="dataBar" priority="2">
      <dataBar>
        <cfvo type="min"/>
        <cfvo type="max"/>
        <color rgb="FF638EC6"/>
      </dataBar>
    </cfRule>
  </conditionalFormatting>
  <conditionalFormatting sqref="K1:Q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9A0E-8FF8-4460-84FE-AEE8F9AA9803}">
  <dimension ref="A1:Q60"/>
  <sheetViews>
    <sheetView topLeftCell="C1" workbookViewId="0">
      <pane ySplit="1" topLeftCell="A45" activePane="bottomLeft" state="frozen"/>
      <selection pane="bottomLeft" activeCell="O59" sqref="O59:P59"/>
    </sheetView>
  </sheetViews>
  <sheetFormatPr defaultColWidth="26" defaultRowHeight="14.5" x14ac:dyDescent="0.35"/>
  <cols>
    <col min="1" max="1" width="25.81640625" bestFit="1" customWidth="1"/>
    <col min="2" max="3" width="8.453125" style="1" bestFit="1" customWidth="1"/>
    <col min="4" max="4" width="8.54296875" style="1" bestFit="1" customWidth="1"/>
    <col min="5" max="5" width="11" style="1" bestFit="1" customWidth="1"/>
    <col min="6" max="6" width="8.54296875" style="1" bestFit="1" customWidth="1"/>
    <col min="7" max="7" width="8.81640625" style="1" bestFit="1" customWidth="1"/>
    <col min="8" max="8" width="10" bestFit="1" customWidth="1"/>
    <col min="9" max="9" width="12.26953125" bestFit="1" customWidth="1"/>
    <col min="10" max="10" width="6.54296875" customWidth="1"/>
    <col min="11" max="11" width="25.81640625" bestFit="1" customWidth="1"/>
    <col min="12" max="12" width="8.6328125" bestFit="1" customWidth="1"/>
    <col min="13" max="13" width="8.453125" bestFit="1" customWidth="1"/>
    <col min="14" max="14" width="10" bestFit="1" customWidth="1"/>
    <col min="15" max="15" width="8.453125" bestFit="1" customWidth="1"/>
    <col min="16" max="16" width="16.81640625" bestFit="1" customWidth="1"/>
    <col min="17" max="17" width="9.269531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44682</v>
      </c>
      <c r="B2" s="22">
        <f t="shared" ref="B2:B37" si="0">D2*0.42</f>
        <v>9691.92</v>
      </c>
      <c r="C2" s="22">
        <f t="shared" ref="C2:C37" si="1">D2-B2</f>
        <v>13384.08</v>
      </c>
      <c r="D2" s="22">
        <f t="shared" ref="D2:D37" si="2">E2+F2</f>
        <v>23076</v>
      </c>
      <c r="E2" s="22">
        <v>8926</v>
      </c>
      <c r="F2" s="22">
        <v>14150</v>
      </c>
      <c r="G2" s="22">
        <v>1500</v>
      </c>
      <c r="H2" s="21">
        <f t="shared" ref="H2:H37" si="3">IFERROR(B2/C2,0)</f>
        <v>0.72413793103448276</v>
      </c>
      <c r="I2" s="20">
        <f>SUM($D$2:D2)-SUM($G$2:G2)</f>
        <v>21576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44683</v>
      </c>
      <c r="B3" s="22">
        <f t="shared" si="0"/>
        <v>5296.2</v>
      </c>
      <c r="C3" s="22">
        <f t="shared" si="1"/>
        <v>7313.8</v>
      </c>
      <c r="D3" s="22">
        <f t="shared" si="2"/>
        <v>12610</v>
      </c>
      <c r="E3" s="22">
        <v>10560</v>
      </c>
      <c r="F3" s="22">
        <v>2050</v>
      </c>
      <c r="G3" s="22">
        <v>6500</v>
      </c>
      <c r="H3" s="21">
        <f t="shared" si="3"/>
        <v>0.72413793103448276</v>
      </c>
      <c r="I3" s="20">
        <f>SUM($D$2:D3)-SUM($G$2:G3)</f>
        <v>27686</v>
      </c>
      <c r="K3" s="8">
        <f t="shared" ref="K3:K9" si="4">A3</f>
        <v>44683</v>
      </c>
      <c r="L3" s="2">
        <f t="shared" ref="L3:L9" si="5">N3*0.42</f>
        <v>5296.2</v>
      </c>
      <c r="M3" s="2">
        <f t="shared" ref="M3:M9" si="6">N3-L3</f>
        <v>7313.8</v>
      </c>
      <c r="N3" s="2">
        <f t="shared" ref="N3:N9" si="7">O3+P3</f>
        <v>12610</v>
      </c>
      <c r="O3" s="2">
        <f t="shared" ref="O3:Q9" si="8">E3</f>
        <v>10560</v>
      </c>
      <c r="P3" s="2">
        <f t="shared" si="8"/>
        <v>2050</v>
      </c>
      <c r="Q3" s="2">
        <f t="shared" si="8"/>
        <v>6500</v>
      </c>
    </row>
    <row r="4" spans="1:17" x14ac:dyDescent="0.35">
      <c r="A4" s="23">
        <v>44684</v>
      </c>
      <c r="B4" s="22">
        <f t="shared" si="0"/>
        <v>1675.3799999999999</v>
      </c>
      <c r="C4" s="22">
        <f t="shared" si="1"/>
        <v>2313.62</v>
      </c>
      <c r="D4" s="22">
        <f t="shared" si="2"/>
        <v>3989</v>
      </c>
      <c r="E4" s="22">
        <v>2590</v>
      </c>
      <c r="F4" s="22">
        <v>1399</v>
      </c>
      <c r="G4" s="22">
        <v>1080</v>
      </c>
      <c r="H4" s="21">
        <f t="shared" si="3"/>
        <v>0.72413793103448276</v>
      </c>
      <c r="I4" s="20">
        <f>SUM($D$2:D4)-SUM($G$2:G4)</f>
        <v>30595</v>
      </c>
      <c r="K4" s="9">
        <f t="shared" si="4"/>
        <v>44684</v>
      </c>
      <c r="L4" s="4">
        <f t="shared" si="5"/>
        <v>1675.3799999999999</v>
      </c>
      <c r="M4" s="4">
        <f t="shared" si="6"/>
        <v>2313.62</v>
      </c>
      <c r="N4" s="4">
        <f t="shared" si="7"/>
        <v>3989</v>
      </c>
      <c r="O4" s="4">
        <f t="shared" si="8"/>
        <v>2590</v>
      </c>
      <c r="P4" s="4">
        <f t="shared" si="8"/>
        <v>1399</v>
      </c>
      <c r="Q4" s="4">
        <f t="shared" si="8"/>
        <v>1080</v>
      </c>
    </row>
    <row r="5" spans="1:17" x14ac:dyDescent="0.35">
      <c r="A5" s="23">
        <v>44685</v>
      </c>
      <c r="B5" s="22">
        <f t="shared" si="0"/>
        <v>16086</v>
      </c>
      <c r="C5" s="22">
        <f t="shared" si="1"/>
        <v>22214</v>
      </c>
      <c r="D5" s="22">
        <f t="shared" si="2"/>
        <v>38300</v>
      </c>
      <c r="E5" s="22">
        <f>6950+380</f>
        <v>7330</v>
      </c>
      <c r="F5" s="22">
        <v>30970</v>
      </c>
      <c r="G5" s="22">
        <v>1080</v>
      </c>
      <c r="H5" s="21">
        <f t="shared" si="3"/>
        <v>0.72413793103448276</v>
      </c>
      <c r="I5" s="20">
        <f>SUM($D$2:D5)-SUM($G$2:G5)</f>
        <v>67815</v>
      </c>
      <c r="K5" s="8">
        <f t="shared" si="4"/>
        <v>44685</v>
      </c>
      <c r="L5" s="2">
        <f t="shared" si="5"/>
        <v>16086</v>
      </c>
      <c r="M5" s="2">
        <f t="shared" si="6"/>
        <v>22214</v>
      </c>
      <c r="N5" s="2">
        <f t="shared" si="7"/>
        <v>38300</v>
      </c>
      <c r="O5" s="2">
        <f t="shared" si="8"/>
        <v>7330</v>
      </c>
      <c r="P5" s="2">
        <f t="shared" si="8"/>
        <v>30970</v>
      </c>
      <c r="Q5" s="2">
        <f t="shared" si="8"/>
        <v>1080</v>
      </c>
    </row>
    <row r="6" spans="1:17" x14ac:dyDescent="0.35">
      <c r="A6" s="23">
        <v>44686</v>
      </c>
      <c r="B6" s="22">
        <f t="shared" si="0"/>
        <v>3119.7599999999998</v>
      </c>
      <c r="C6" s="22">
        <f t="shared" si="1"/>
        <v>4308.24</v>
      </c>
      <c r="D6" s="22">
        <f t="shared" si="2"/>
        <v>7428</v>
      </c>
      <c r="E6" s="22">
        <v>6378</v>
      </c>
      <c r="F6" s="22">
        <v>1050</v>
      </c>
      <c r="G6" s="22">
        <v>20</v>
      </c>
      <c r="H6" s="21">
        <f t="shared" si="3"/>
        <v>0.72413793103448276</v>
      </c>
      <c r="I6" s="20">
        <f>SUM($D$2:D6)-SUM($G$2:G6)</f>
        <v>75223</v>
      </c>
      <c r="K6" s="9">
        <f t="shared" si="4"/>
        <v>44686</v>
      </c>
      <c r="L6" s="4">
        <f t="shared" si="5"/>
        <v>3119.7599999999998</v>
      </c>
      <c r="M6" s="4">
        <f t="shared" si="6"/>
        <v>4308.24</v>
      </c>
      <c r="N6" s="4">
        <f t="shared" si="7"/>
        <v>7428</v>
      </c>
      <c r="O6" s="4">
        <f t="shared" si="8"/>
        <v>6378</v>
      </c>
      <c r="P6" s="4">
        <f t="shared" si="8"/>
        <v>1050</v>
      </c>
      <c r="Q6" s="4">
        <f t="shared" si="8"/>
        <v>20</v>
      </c>
    </row>
    <row r="7" spans="1:17" x14ac:dyDescent="0.35">
      <c r="A7" s="23">
        <v>44687</v>
      </c>
      <c r="B7" s="22">
        <f t="shared" si="0"/>
        <v>6554.0999999999995</v>
      </c>
      <c r="C7" s="22">
        <f t="shared" si="1"/>
        <v>9050.9000000000015</v>
      </c>
      <c r="D7" s="22">
        <f t="shared" si="2"/>
        <v>15605</v>
      </c>
      <c r="E7" s="22">
        <v>13055</v>
      </c>
      <c r="F7" s="22">
        <v>2550</v>
      </c>
      <c r="G7" s="22">
        <v>2240</v>
      </c>
      <c r="H7" s="21">
        <f t="shared" si="3"/>
        <v>0.72413793103448254</v>
      </c>
      <c r="I7" s="20">
        <f>SUM($D$2:D7)-SUM($G$2:G7)</f>
        <v>88588</v>
      </c>
      <c r="K7" s="8">
        <f t="shared" si="4"/>
        <v>44687</v>
      </c>
      <c r="L7" s="2">
        <f t="shared" si="5"/>
        <v>6554.0999999999995</v>
      </c>
      <c r="M7" s="2">
        <f t="shared" si="6"/>
        <v>9050.9000000000015</v>
      </c>
      <c r="N7" s="2">
        <f t="shared" si="7"/>
        <v>15605</v>
      </c>
      <c r="O7" s="2">
        <f t="shared" si="8"/>
        <v>13055</v>
      </c>
      <c r="P7" s="2">
        <f t="shared" si="8"/>
        <v>2550</v>
      </c>
      <c r="Q7" s="2">
        <f t="shared" si="8"/>
        <v>2240</v>
      </c>
    </row>
    <row r="8" spans="1:17" x14ac:dyDescent="0.35">
      <c r="A8" s="23">
        <v>44688</v>
      </c>
      <c r="B8" s="22">
        <f t="shared" si="0"/>
        <v>9618</v>
      </c>
      <c r="C8" s="22">
        <f t="shared" si="1"/>
        <v>13282</v>
      </c>
      <c r="D8" s="22">
        <f t="shared" si="2"/>
        <v>22900</v>
      </c>
      <c r="E8" s="22">
        <v>6100</v>
      </c>
      <c r="F8" s="22">
        <v>16800</v>
      </c>
      <c r="G8" s="22">
        <v>3200</v>
      </c>
      <c r="H8" s="21">
        <f t="shared" si="3"/>
        <v>0.72413793103448276</v>
      </c>
      <c r="I8" s="20">
        <f>SUM($D$2:D8)-SUM($G$2:G8)</f>
        <v>108288</v>
      </c>
      <c r="K8" s="9">
        <f t="shared" si="4"/>
        <v>44688</v>
      </c>
      <c r="L8" s="4">
        <f t="shared" si="5"/>
        <v>9618</v>
      </c>
      <c r="M8" s="4">
        <f t="shared" si="6"/>
        <v>13282</v>
      </c>
      <c r="N8" s="4">
        <f t="shared" si="7"/>
        <v>22900</v>
      </c>
      <c r="O8" s="4">
        <f t="shared" si="8"/>
        <v>6100</v>
      </c>
      <c r="P8" s="4">
        <f t="shared" si="8"/>
        <v>16800</v>
      </c>
      <c r="Q8" s="4">
        <f t="shared" si="8"/>
        <v>3200</v>
      </c>
    </row>
    <row r="9" spans="1:17" x14ac:dyDescent="0.35">
      <c r="A9" s="23">
        <v>44689</v>
      </c>
      <c r="B9" s="22">
        <f t="shared" si="0"/>
        <v>6161.4</v>
      </c>
      <c r="C9" s="22">
        <f t="shared" si="1"/>
        <v>8508.6</v>
      </c>
      <c r="D9" s="22">
        <f t="shared" si="2"/>
        <v>14670</v>
      </c>
      <c r="E9" s="22">
        <v>9370</v>
      </c>
      <c r="F9" s="22">
        <v>5300</v>
      </c>
      <c r="G9" s="22">
        <v>2580</v>
      </c>
      <c r="H9" s="21">
        <f t="shared" si="3"/>
        <v>0.72413793103448265</v>
      </c>
      <c r="I9" s="20">
        <f>SUM($D$2:D9)-SUM($G$2:G9)</f>
        <v>120378</v>
      </c>
      <c r="K9" s="8">
        <f t="shared" si="4"/>
        <v>44689</v>
      </c>
      <c r="L9" s="2">
        <f t="shared" si="5"/>
        <v>6161.4</v>
      </c>
      <c r="M9" s="2">
        <f t="shared" si="6"/>
        <v>8508.6</v>
      </c>
      <c r="N9" s="2">
        <f t="shared" si="7"/>
        <v>14670</v>
      </c>
      <c r="O9" s="2">
        <f t="shared" si="8"/>
        <v>9370</v>
      </c>
      <c r="P9" s="2">
        <f t="shared" si="8"/>
        <v>5300</v>
      </c>
      <c r="Q9" s="2">
        <f t="shared" si="8"/>
        <v>2580</v>
      </c>
    </row>
    <row r="10" spans="1:17" x14ac:dyDescent="0.35">
      <c r="A10" s="23">
        <v>44690</v>
      </c>
      <c r="B10" s="22">
        <f t="shared" si="0"/>
        <v>6205.5</v>
      </c>
      <c r="C10" s="22">
        <f t="shared" si="1"/>
        <v>8569.5</v>
      </c>
      <c r="D10" s="22">
        <f t="shared" si="2"/>
        <v>14775</v>
      </c>
      <c r="E10" s="22">
        <v>5075</v>
      </c>
      <c r="F10" s="22">
        <v>9700</v>
      </c>
      <c r="G10" s="22">
        <v>7590</v>
      </c>
      <c r="H10" s="21">
        <f t="shared" si="3"/>
        <v>0.72413793103448276</v>
      </c>
      <c r="I10" s="20">
        <f>SUM($D$2:D10)-SUM($G$2:G10)</f>
        <v>127563</v>
      </c>
      <c r="K10" s="3" t="s">
        <v>4</v>
      </c>
      <c r="L10" s="3">
        <f>SUM(L3:L9)</f>
        <v>48510.840000000004</v>
      </c>
      <c r="M10" s="3">
        <f>SUM(M2:M9)</f>
        <v>66991.16</v>
      </c>
      <c r="N10" s="3">
        <f>SUM(N2:N9)</f>
        <v>115502</v>
      </c>
      <c r="O10" s="3">
        <f>SUM(O2:O9)</f>
        <v>55383</v>
      </c>
      <c r="P10" s="3">
        <f>SUM(P2:P9)</f>
        <v>60119</v>
      </c>
      <c r="Q10" s="3">
        <f>SUM(Q2:Q9)</f>
        <v>16700</v>
      </c>
    </row>
    <row r="11" spans="1:17" x14ac:dyDescent="0.35">
      <c r="A11" s="23">
        <v>44691</v>
      </c>
      <c r="B11" s="22">
        <f t="shared" si="0"/>
        <v>4685.0999999999995</v>
      </c>
      <c r="C11" s="22">
        <f t="shared" si="1"/>
        <v>6469.9000000000005</v>
      </c>
      <c r="D11" s="22">
        <f t="shared" si="2"/>
        <v>11155</v>
      </c>
      <c r="E11" s="22">
        <v>11030</v>
      </c>
      <c r="F11" s="22">
        <v>125</v>
      </c>
      <c r="G11" s="22">
        <v>30</v>
      </c>
      <c r="H11" s="21">
        <f t="shared" si="3"/>
        <v>0.72413793103448265</v>
      </c>
      <c r="I11" s="20">
        <f>SUM($D$2:D11)-SUM($G$2:G11)</f>
        <v>138688</v>
      </c>
      <c r="K11" s="3" t="s">
        <v>0</v>
      </c>
      <c r="L11" s="3">
        <f>L10/3</f>
        <v>16170.28</v>
      </c>
      <c r="M11" s="3"/>
      <c r="N11" s="3"/>
      <c r="O11" s="2"/>
      <c r="P11" s="2"/>
      <c r="Q11" s="2"/>
    </row>
    <row r="12" spans="1:17" x14ac:dyDescent="0.35">
      <c r="A12" s="23">
        <v>44692</v>
      </c>
      <c r="B12" s="22">
        <f t="shared" si="0"/>
        <v>7081.2</v>
      </c>
      <c r="C12" s="22">
        <f t="shared" si="1"/>
        <v>9778.7999999999993</v>
      </c>
      <c r="D12" s="22">
        <f t="shared" si="2"/>
        <v>16860</v>
      </c>
      <c r="E12" s="22">
        <v>5730</v>
      </c>
      <c r="F12" s="22">
        <v>11130</v>
      </c>
      <c r="G12" s="22">
        <v>1030</v>
      </c>
      <c r="H12" s="21">
        <f t="shared" si="3"/>
        <v>0.72413793103448276</v>
      </c>
      <c r="I12" s="20">
        <f>SUM($D$2:D12)-SUM($G$2:G12)</f>
        <v>154518</v>
      </c>
    </row>
    <row r="13" spans="1:17" x14ac:dyDescent="0.35">
      <c r="A13" s="23">
        <v>44693</v>
      </c>
      <c r="B13" s="22">
        <f t="shared" si="0"/>
        <v>20076</v>
      </c>
      <c r="C13" s="22">
        <f t="shared" si="1"/>
        <v>27724</v>
      </c>
      <c r="D13" s="22">
        <f t="shared" si="2"/>
        <v>47800</v>
      </c>
      <c r="E13" s="22">
        <v>9010</v>
      </c>
      <c r="F13" s="22">
        <v>38790</v>
      </c>
      <c r="G13" s="22">
        <v>2780</v>
      </c>
      <c r="H13" s="21">
        <f t="shared" si="3"/>
        <v>0.72413793103448276</v>
      </c>
      <c r="I13" s="20">
        <f>SUM($D$2:D13)-SUM($G$2:G13)</f>
        <v>199538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44694</v>
      </c>
      <c r="B14" s="22">
        <f t="shared" si="0"/>
        <v>12012</v>
      </c>
      <c r="C14" s="22">
        <f t="shared" si="1"/>
        <v>16588</v>
      </c>
      <c r="D14" s="22">
        <f t="shared" si="2"/>
        <v>28600</v>
      </c>
      <c r="E14" s="22">
        <v>18270</v>
      </c>
      <c r="F14" s="22">
        <v>10330</v>
      </c>
      <c r="G14" s="22">
        <v>1030</v>
      </c>
      <c r="H14" s="21">
        <f t="shared" si="3"/>
        <v>0.72413793103448276</v>
      </c>
      <c r="I14" s="20">
        <f>SUM($D$2:D14)-SUM($G$2:G14)</f>
        <v>227108</v>
      </c>
      <c r="K14" s="8">
        <f t="shared" ref="K14:K20" si="9">A10</f>
        <v>44690</v>
      </c>
      <c r="L14" s="2">
        <f t="shared" ref="L14:L20" si="10">N14*0.42</f>
        <v>6205.5</v>
      </c>
      <c r="M14" s="2">
        <f t="shared" ref="M14:M20" si="11">N14-L14</f>
        <v>8569.5</v>
      </c>
      <c r="N14" s="2">
        <f t="shared" ref="N14:N20" si="12">O14+P14</f>
        <v>14775</v>
      </c>
      <c r="O14" s="2">
        <f t="shared" ref="O14:Q20" si="13">E10</f>
        <v>5075</v>
      </c>
      <c r="P14" s="2">
        <f t="shared" si="13"/>
        <v>9700</v>
      </c>
      <c r="Q14" s="2">
        <f t="shared" si="13"/>
        <v>7590</v>
      </c>
    </row>
    <row r="15" spans="1:17" x14ac:dyDescent="0.35">
      <c r="A15" s="23">
        <v>44695</v>
      </c>
      <c r="B15" s="22">
        <f t="shared" si="0"/>
        <v>5086.2</v>
      </c>
      <c r="C15" s="22">
        <f t="shared" si="1"/>
        <v>7023.8</v>
      </c>
      <c r="D15" s="22">
        <f t="shared" si="2"/>
        <v>12110</v>
      </c>
      <c r="E15" s="22">
        <v>10580</v>
      </c>
      <c r="F15" s="22">
        <v>1530</v>
      </c>
      <c r="G15" s="22">
        <v>3430</v>
      </c>
      <c r="H15" s="21">
        <f t="shared" si="3"/>
        <v>0.72413793103448276</v>
      </c>
      <c r="I15" s="20">
        <f>SUM($D$2:D15)-SUM($G$2:G15)</f>
        <v>235788</v>
      </c>
      <c r="K15" s="9">
        <f t="shared" si="9"/>
        <v>44691</v>
      </c>
      <c r="L15" s="4">
        <f t="shared" si="10"/>
        <v>4685.0999999999995</v>
      </c>
      <c r="M15" s="4">
        <f t="shared" si="11"/>
        <v>6469.9000000000005</v>
      </c>
      <c r="N15" s="4">
        <f t="shared" si="12"/>
        <v>11155</v>
      </c>
      <c r="O15" s="4">
        <f t="shared" si="13"/>
        <v>11030</v>
      </c>
      <c r="P15" s="4">
        <f t="shared" si="13"/>
        <v>125</v>
      </c>
      <c r="Q15" s="4">
        <f t="shared" si="13"/>
        <v>30</v>
      </c>
    </row>
    <row r="16" spans="1:17" x14ac:dyDescent="0.35">
      <c r="A16" s="23">
        <v>44696</v>
      </c>
      <c r="B16" s="22">
        <f t="shared" si="0"/>
        <v>3717</v>
      </c>
      <c r="C16" s="22">
        <f t="shared" si="1"/>
        <v>5133</v>
      </c>
      <c r="D16" s="22">
        <f t="shared" si="2"/>
        <v>8850</v>
      </c>
      <c r="E16" s="22">
        <f>6850+650</f>
        <v>7500</v>
      </c>
      <c r="F16" s="22">
        <v>1350</v>
      </c>
      <c r="G16" s="22">
        <v>3050</v>
      </c>
      <c r="H16" s="21">
        <f t="shared" si="3"/>
        <v>0.72413793103448276</v>
      </c>
      <c r="I16" s="20">
        <f>SUM($D$2:D16)-SUM($G$2:G16)</f>
        <v>241588</v>
      </c>
      <c r="K16" s="8">
        <f t="shared" si="9"/>
        <v>44692</v>
      </c>
      <c r="L16" s="2">
        <f t="shared" si="10"/>
        <v>7081.2</v>
      </c>
      <c r="M16" s="2">
        <f t="shared" si="11"/>
        <v>9778.7999999999993</v>
      </c>
      <c r="N16" s="2">
        <f t="shared" si="12"/>
        <v>16860</v>
      </c>
      <c r="O16" s="2">
        <f t="shared" si="13"/>
        <v>5730</v>
      </c>
      <c r="P16" s="2">
        <f t="shared" si="13"/>
        <v>11130</v>
      </c>
      <c r="Q16" s="2">
        <f t="shared" si="13"/>
        <v>1030</v>
      </c>
    </row>
    <row r="17" spans="1:17" x14ac:dyDescent="0.35">
      <c r="A17" s="23">
        <v>44697</v>
      </c>
      <c r="B17" s="22">
        <f t="shared" si="0"/>
        <v>2675.4</v>
      </c>
      <c r="C17" s="22">
        <f t="shared" si="1"/>
        <v>3694.6</v>
      </c>
      <c r="D17" s="22">
        <f t="shared" si="2"/>
        <v>6370</v>
      </c>
      <c r="E17" s="22">
        <v>5770</v>
      </c>
      <c r="F17" s="22">
        <v>600</v>
      </c>
      <c r="G17" s="22">
        <v>1390</v>
      </c>
      <c r="H17" s="21">
        <f t="shared" si="3"/>
        <v>0.72413793103448276</v>
      </c>
      <c r="I17" s="20">
        <f>SUM($D$2:D17)-SUM($G$2:G17)</f>
        <v>246568</v>
      </c>
      <c r="K17" s="9">
        <f t="shared" si="9"/>
        <v>44693</v>
      </c>
      <c r="L17" s="4">
        <f t="shared" si="10"/>
        <v>20076</v>
      </c>
      <c r="M17" s="4">
        <f t="shared" si="11"/>
        <v>27724</v>
      </c>
      <c r="N17" s="4">
        <f t="shared" si="12"/>
        <v>47800</v>
      </c>
      <c r="O17" s="4">
        <f t="shared" si="13"/>
        <v>9010</v>
      </c>
      <c r="P17" s="4">
        <f t="shared" si="13"/>
        <v>38790</v>
      </c>
      <c r="Q17" s="4">
        <f t="shared" si="13"/>
        <v>2780</v>
      </c>
    </row>
    <row r="18" spans="1:17" x14ac:dyDescent="0.35">
      <c r="A18" s="23">
        <v>44698</v>
      </c>
      <c r="B18" s="22">
        <f t="shared" si="0"/>
        <v>4922.3999999999996</v>
      </c>
      <c r="C18" s="22">
        <f t="shared" si="1"/>
        <v>6797.6</v>
      </c>
      <c r="D18" s="22">
        <f t="shared" si="2"/>
        <v>11720</v>
      </c>
      <c r="E18" s="22">
        <v>6920</v>
      </c>
      <c r="F18" s="22">
        <v>4800</v>
      </c>
      <c r="G18" s="22">
        <v>2400</v>
      </c>
      <c r="H18" s="21">
        <f t="shared" si="3"/>
        <v>0.72413793103448265</v>
      </c>
      <c r="I18" s="20">
        <f>SUM($D$2:D18)-SUM($G$2:G18)</f>
        <v>255888</v>
      </c>
      <c r="K18" s="8">
        <f t="shared" si="9"/>
        <v>44694</v>
      </c>
      <c r="L18" s="2">
        <f t="shared" si="10"/>
        <v>12012</v>
      </c>
      <c r="M18" s="2">
        <f t="shared" si="11"/>
        <v>16588</v>
      </c>
      <c r="N18" s="2">
        <f t="shared" si="12"/>
        <v>28600</v>
      </c>
      <c r="O18" s="2">
        <f t="shared" si="13"/>
        <v>18270</v>
      </c>
      <c r="P18" s="2">
        <f t="shared" si="13"/>
        <v>10330</v>
      </c>
      <c r="Q18" s="2">
        <f t="shared" si="13"/>
        <v>1030</v>
      </c>
    </row>
    <row r="19" spans="1:17" x14ac:dyDescent="0.35">
      <c r="A19" s="23">
        <v>44699</v>
      </c>
      <c r="B19" s="22">
        <f t="shared" si="0"/>
        <v>7453.32</v>
      </c>
      <c r="C19" s="22">
        <f t="shared" si="1"/>
        <v>10292.68</v>
      </c>
      <c r="D19" s="22">
        <f t="shared" si="2"/>
        <v>17746</v>
      </c>
      <c r="E19" s="22">
        <v>16790</v>
      </c>
      <c r="F19" s="22">
        <v>956</v>
      </c>
      <c r="G19" s="22">
        <v>13320</v>
      </c>
      <c r="H19" s="21">
        <f t="shared" si="3"/>
        <v>0.72413793103448276</v>
      </c>
      <c r="I19" s="20">
        <f>SUM($D$2:D19)-SUM($G$2:G19)</f>
        <v>260314</v>
      </c>
      <c r="K19" s="9">
        <f t="shared" si="9"/>
        <v>44695</v>
      </c>
      <c r="L19" s="4">
        <f t="shared" si="10"/>
        <v>5086.2</v>
      </c>
      <c r="M19" s="4">
        <f t="shared" si="11"/>
        <v>7023.8</v>
      </c>
      <c r="N19" s="4">
        <f t="shared" si="12"/>
        <v>12110</v>
      </c>
      <c r="O19" s="4">
        <f t="shared" si="13"/>
        <v>10580</v>
      </c>
      <c r="P19" s="4">
        <f t="shared" si="13"/>
        <v>1530</v>
      </c>
      <c r="Q19" s="4">
        <f t="shared" si="13"/>
        <v>3430</v>
      </c>
    </row>
    <row r="20" spans="1:17" x14ac:dyDescent="0.35">
      <c r="A20" s="23">
        <v>44700</v>
      </c>
      <c r="B20" s="22">
        <f t="shared" si="0"/>
        <v>2121</v>
      </c>
      <c r="C20" s="22">
        <f t="shared" si="1"/>
        <v>2929</v>
      </c>
      <c r="D20" s="22">
        <f t="shared" si="2"/>
        <v>5050</v>
      </c>
      <c r="E20" s="22">
        <v>1750</v>
      </c>
      <c r="F20" s="22">
        <v>3300</v>
      </c>
      <c r="G20" s="22">
        <v>45</v>
      </c>
      <c r="H20" s="21">
        <f t="shared" si="3"/>
        <v>0.72413793103448276</v>
      </c>
      <c r="I20" s="20">
        <f>SUM($D$2:D20)-SUM($G$2:G20)</f>
        <v>265319</v>
      </c>
      <c r="K20" s="8">
        <f t="shared" si="9"/>
        <v>44696</v>
      </c>
      <c r="L20" s="2">
        <f t="shared" si="10"/>
        <v>3717</v>
      </c>
      <c r="M20" s="2">
        <f t="shared" si="11"/>
        <v>5133</v>
      </c>
      <c r="N20" s="2">
        <f t="shared" si="12"/>
        <v>8850</v>
      </c>
      <c r="O20" s="2">
        <f t="shared" si="13"/>
        <v>7500</v>
      </c>
      <c r="P20" s="2">
        <f t="shared" si="13"/>
        <v>1350</v>
      </c>
      <c r="Q20" s="2">
        <f t="shared" si="13"/>
        <v>3050</v>
      </c>
    </row>
    <row r="21" spans="1:17" x14ac:dyDescent="0.35">
      <c r="A21" s="23">
        <v>44701</v>
      </c>
      <c r="B21" s="22">
        <f t="shared" si="0"/>
        <v>3523.7999999999997</v>
      </c>
      <c r="C21" s="22">
        <f t="shared" si="1"/>
        <v>4866.2000000000007</v>
      </c>
      <c r="D21" s="22">
        <f t="shared" si="2"/>
        <v>8390</v>
      </c>
      <c r="E21" s="22">
        <v>8240</v>
      </c>
      <c r="F21" s="22">
        <v>150</v>
      </c>
      <c r="G21" s="22">
        <v>1605</v>
      </c>
      <c r="H21" s="21">
        <f t="shared" si="3"/>
        <v>0.72413793103448254</v>
      </c>
      <c r="I21" s="20">
        <f>SUM($D$2:D21)-SUM($G$2:G21)</f>
        <v>272104</v>
      </c>
      <c r="K21" s="3" t="s">
        <v>4</v>
      </c>
      <c r="L21" s="3">
        <f t="shared" ref="L21:Q21" si="14">SUM(L14:L20)</f>
        <v>58863</v>
      </c>
      <c r="M21" s="3">
        <f t="shared" si="14"/>
        <v>81287</v>
      </c>
      <c r="N21" s="3">
        <f t="shared" si="14"/>
        <v>140150</v>
      </c>
      <c r="O21" s="3">
        <f t="shared" si="14"/>
        <v>67195</v>
      </c>
      <c r="P21" s="3">
        <f t="shared" si="14"/>
        <v>72955</v>
      </c>
      <c r="Q21" s="3">
        <f t="shared" si="14"/>
        <v>18940</v>
      </c>
    </row>
    <row r="22" spans="1:17" x14ac:dyDescent="0.35">
      <c r="A22" s="23">
        <v>44702</v>
      </c>
      <c r="B22" s="22">
        <f t="shared" si="0"/>
        <v>11127.9</v>
      </c>
      <c r="C22" s="22">
        <f t="shared" si="1"/>
        <v>15367.1</v>
      </c>
      <c r="D22" s="22">
        <f t="shared" si="2"/>
        <v>26495</v>
      </c>
      <c r="E22" s="22">
        <v>12970</v>
      </c>
      <c r="F22" s="22">
        <v>13525</v>
      </c>
      <c r="G22" s="22">
        <v>2090</v>
      </c>
      <c r="H22" s="21">
        <f t="shared" si="3"/>
        <v>0.72413793103448276</v>
      </c>
      <c r="I22" s="20">
        <f>SUM($D$2:D22)-SUM($G$2:G22)</f>
        <v>296509</v>
      </c>
      <c r="K22" s="3" t="s">
        <v>0</v>
      </c>
      <c r="L22" s="3">
        <f>L21/3</f>
        <v>19621</v>
      </c>
      <c r="M22" s="3"/>
      <c r="N22" s="3"/>
      <c r="O22" s="2"/>
      <c r="P22" s="2"/>
      <c r="Q22" s="2"/>
    </row>
    <row r="23" spans="1:17" x14ac:dyDescent="0.35">
      <c r="A23" s="23">
        <v>44703</v>
      </c>
      <c r="B23" s="22">
        <f t="shared" si="0"/>
        <v>6136.2</v>
      </c>
      <c r="C23" s="22">
        <f t="shared" si="1"/>
        <v>8473.7999999999993</v>
      </c>
      <c r="D23" s="22">
        <f t="shared" si="2"/>
        <v>14610</v>
      </c>
      <c r="E23" s="22">
        <v>4330</v>
      </c>
      <c r="F23" s="22">
        <v>10280</v>
      </c>
      <c r="G23" s="22">
        <v>1730</v>
      </c>
      <c r="H23" s="21">
        <f t="shared" si="3"/>
        <v>0.72413793103448276</v>
      </c>
      <c r="I23" s="20">
        <f>SUM($D$2:D23)-SUM($G$2:G23)</f>
        <v>309389</v>
      </c>
    </row>
    <row r="24" spans="1:17" x14ac:dyDescent="0.35">
      <c r="A24" s="23">
        <v>44704</v>
      </c>
      <c r="B24" s="22">
        <f t="shared" si="0"/>
        <v>3011.4</v>
      </c>
      <c r="C24" s="22">
        <f t="shared" si="1"/>
        <v>4158.6000000000004</v>
      </c>
      <c r="D24" s="22">
        <f t="shared" si="2"/>
        <v>7170</v>
      </c>
      <c r="E24" s="22">
        <v>3330</v>
      </c>
      <c r="F24" s="22">
        <v>3840</v>
      </c>
      <c r="G24" s="22">
        <v>110</v>
      </c>
      <c r="H24" s="21">
        <f t="shared" si="3"/>
        <v>0.72413793103448276</v>
      </c>
      <c r="I24" s="20">
        <f>SUM($D$2:D24)-SUM($G$2:G24)</f>
        <v>316449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44705</v>
      </c>
      <c r="B25" s="22">
        <f t="shared" si="0"/>
        <v>9816.66</v>
      </c>
      <c r="C25" s="22">
        <f t="shared" si="1"/>
        <v>13556.34</v>
      </c>
      <c r="D25" s="22">
        <f t="shared" si="2"/>
        <v>23373</v>
      </c>
      <c r="E25" s="22">
        <v>17160</v>
      </c>
      <c r="F25" s="22">
        <v>6213</v>
      </c>
      <c r="G25" s="22">
        <v>3500</v>
      </c>
      <c r="H25" s="21">
        <f t="shared" si="3"/>
        <v>0.72413793103448276</v>
      </c>
      <c r="I25" s="20">
        <f>SUM($D$2:D25)-SUM($G$2:G25)</f>
        <v>336322</v>
      </c>
      <c r="K25" s="8">
        <f t="shared" ref="K25:K31" si="15">A17</f>
        <v>44697</v>
      </c>
      <c r="L25" s="2">
        <f t="shared" ref="L25:L31" si="16">N25*0.42</f>
        <v>2675.4</v>
      </c>
      <c r="M25" s="2">
        <f t="shared" ref="M25:M31" si="17">N25-L25</f>
        <v>3694.6</v>
      </c>
      <c r="N25" s="2">
        <f t="shared" ref="N25:N31" si="18">O25+P25</f>
        <v>6370</v>
      </c>
      <c r="O25" s="2">
        <f t="shared" ref="O25:Q31" si="19">E17</f>
        <v>5770</v>
      </c>
      <c r="P25" s="2">
        <f t="shared" si="19"/>
        <v>600</v>
      </c>
      <c r="Q25" s="2">
        <f t="shared" si="19"/>
        <v>1390</v>
      </c>
    </row>
    <row r="26" spans="1:17" x14ac:dyDescent="0.35">
      <c r="A26" s="23">
        <v>44706</v>
      </c>
      <c r="B26" s="22">
        <f t="shared" si="0"/>
        <v>5544</v>
      </c>
      <c r="C26" s="22">
        <f t="shared" si="1"/>
        <v>7656</v>
      </c>
      <c r="D26" s="22">
        <f t="shared" si="2"/>
        <v>13200</v>
      </c>
      <c r="E26" s="22">
        <v>13200</v>
      </c>
      <c r="F26" s="22"/>
      <c r="G26" s="22">
        <v>11070</v>
      </c>
      <c r="H26" s="21">
        <f t="shared" si="3"/>
        <v>0.72413793103448276</v>
      </c>
      <c r="I26" s="20">
        <f>SUM($D$2:D26)-SUM($G$2:G26)</f>
        <v>338452</v>
      </c>
      <c r="K26" s="9">
        <f t="shared" si="15"/>
        <v>44698</v>
      </c>
      <c r="L26" s="4">
        <f t="shared" si="16"/>
        <v>4922.3999999999996</v>
      </c>
      <c r="M26" s="4">
        <f t="shared" si="17"/>
        <v>6797.6</v>
      </c>
      <c r="N26" s="4">
        <f t="shared" si="18"/>
        <v>11720</v>
      </c>
      <c r="O26" s="4">
        <f t="shared" si="19"/>
        <v>6920</v>
      </c>
      <c r="P26" s="4">
        <f t="shared" si="19"/>
        <v>4800</v>
      </c>
      <c r="Q26" s="4">
        <f t="shared" si="19"/>
        <v>2400</v>
      </c>
    </row>
    <row r="27" spans="1:17" x14ac:dyDescent="0.35">
      <c r="A27" s="23">
        <v>44707</v>
      </c>
      <c r="B27" s="22">
        <f t="shared" si="0"/>
        <v>5332.32</v>
      </c>
      <c r="C27" s="22">
        <f t="shared" si="1"/>
        <v>7363.68</v>
      </c>
      <c r="D27" s="22">
        <f t="shared" si="2"/>
        <v>12696</v>
      </c>
      <c r="E27" s="22">
        <v>4196</v>
      </c>
      <c r="F27" s="22">
        <v>8500</v>
      </c>
      <c r="G27" s="22">
        <v>5030</v>
      </c>
      <c r="H27" s="21">
        <f t="shared" si="3"/>
        <v>0.72413793103448265</v>
      </c>
      <c r="I27" s="20">
        <f>SUM($D$2:D27)-SUM($G$2:G27)</f>
        <v>346118</v>
      </c>
      <c r="K27" s="8">
        <f t="shared" si="15"/>
        <v>44699</v>
      </c>
      <c r="L27" s="2">
        <f t="shared" si="16"/>
        <v>7453.32</v>
      </c>
      <c r="M27" s="2">
        <f t="shared" si="17"/>
        <v>10292.68</v>
      </c>
      <c r="N27" s="2">
        <f t="shared" si="18"/>
        <v>17746</v>
      </c>
      <c r="O27" s="2">
        <f t="shared" si="19"/>
        <v>16790</v>
      </c>
      <c r="P27" s="2">
        <f t="shared" si="19"/>
        <v>956</v>
      </c>
      <c r="Q27" s="2">
        <f t="shared" si="19"/>
        <v>13320</v>
      </c>
    </row>
    <row r="28" spans="1:17" x14ac:dyDescent="0.35">
      <c r="A28" s="23">
        <v>44708</v>
      </c>
      <c r="B28" s="22">
        <f t="shared" si="0"/>
        <v>3301.2</v>
      </c>
      <c r="C28" s="22">
        <f t="shared" si="1"/>
        <v>4558.8</v>
      </c>
      <c r="D28" s="22">
        <f t="shared" si="2"/>
        <v>7860</v>
      </c>
      <c r="E28" s="22">
        <f>1460+860</f>
        <v>2320</v>
      </c>
      <c r="F28" s="22">
        <v>5540</v>
      </c>
      <c r="G28" s="22">
        <v>20</v>
      </c>
      <c r="H28" s="21">
        <f t="shared" si="3"/>
        <v>0.72413793103448265</v>
      </c>
      <c r="I28" s="20">
        <f>SUM($D$2:D28)-SUM($G$2:G28)</f>
        <v>353958</v>
      </c>
      <c r="K28" s="9">
        <f t="shared" si="15"/>
        <v>44700</v>
      </c>
      <c r="L28" s="4">
        <f t="shared" si="16"/>
        <v>2121</v>
      </c>
      <c r="M28" s="4">
        <f t="shared" si="17"/>
        <v>2929</v>
      </c>
      <c r="N28" s="4">
        <f t="shared" si="18"/>
        <v>5050</v>
      </c>
      <c r="O28" s="4">
        <f t="shared" si="19"/>
        <v>1750</v>
      </c>
      <c r="P28" s="4">
        <f t="shared" si="19"/>
        <v>3300</v>
      </c>
      <c r="Q28" s="4">
        <f t="shared" si="19"/>
        <v>45</v>
      </c>
    </row>
    <row r="29" spans="1:17" x14ac:dyDescent="0.35">
      <c r="A29" s="23">
        <v>44709</v>
      </c>
      <c r="B29" s="22">
        <f t="shared" si="0"/>
        <v>4972.8</v>
      </c>
      <c r="C29" s="22">
        <f t="shared" si="1"/>
        <v>6867.2</v>
      </c>
      <c r="D29" s="22">
        <f t="shared" si="2"/>
        <v>11840</v>
      </c>
      <c r="E29" s="22">
        <v>6850</v>
      </c>
      <c r="F29" s="22">
        <v>4990</v>
      </c>
      <c r="G29" s="22">
        <v>4740</v>
      </c>
      <c r="H29" s="21">
        <f t="shared" si="3"/>
        <v>0.72413793103448276</v>
      </c>
      <c r="I29" s="20">
        <f>SUM($D$2:D29)-SUM($G$2:G29)</f>
        <v>361058</v>
      </c>
      <c r="K29" s="8">
        <f t="shared" si="15"/>
        <v>44701</v>
      </c>
      <c r="L29" s="2">
        <f t="shared" si="16"/>
        <v>3523.7999999999997</v>
      </c>
      <c r="M29" s="2">
        <f t="shared" si="17"/>
        <v>4866.2000000000007</v>
      </c>
      <c r="N29" s="2">
        <f t="shared" si="18"/>
        <v>8390</v>
      </c>
      <c r="O29" s="2">
        <f t="shared" si="19"/>
        <v>8240</v>
      </c>
      <c r="P29" s="2">
        <f t="shared" si="19"/>
        <v>150</v>
      </c>
      <c r="Q29" s="2">
        <f t="shared" si="19"/>
        <v>1605</v>
      </c>
    </row>
    <row r="30" spans="1:17" x14ac:dyDescent="0.35">
      <c r="A30" s="23">
        <v>44710</v>
      </c>
      <c r="B30" s="22">
        <f t="shared" si="0"/>
        <v>10508.4</v>
      </c>
      <c r="C30" s="22">
        <f t="shared" si="1"/>
        <v>14511.6</v>
      </c>
      <c r="D30" s="22">
        <f t="shared" si="2"/>
        <v>25020</v>
      </c>
      <c r="E30" s="24">
        <v>5300</v>
      </c>
      <c r="F30" s="22">
        <v>19720</v>
      </c>
      <c r="G30" s="22">
        <v>400</v>
      </c>
      <c r="H30" s="21">
        <f t="shared" si="3"/>
        <v>0.72413793103448276</v>
      </c>
      <c r="I30" s="20">
        <f>SUM($D$2:D30)-SUM($G$2:G30)</f>
        <v>385678</v>
      </c>
      <c r="K30" s="9">
        <f t="shared" si="15"/>
        <v>44702</v>
      </c>
      <c r="L30" s="4">
        <f t="shared" si="16"/>
        <v>11127.9</v>
      </c>
      <c r="M30" s="4">
        <f t="shared" si="17"/>
        <v>15367.1</v>
      </c>
      <c r="N30" s="4">
        <f t="shared" si="18"/>
        <v>26495</v>
      </c>
      <c r="O30" s="4">
        <f t="shared" si="19"/>
        <v>12970</v>
      </c>
      <c r="P30" s="4">
        <f t="shared" si="19"/>
        <v>13525</v>
      </c>
      <c r="Q30" s="4">
        <f t="shared" si="19"/>
        <v>2090</v>
      </c>
    </row>
    <row r="31" spans="1:17" x14ac:dyDescent="0.35">
      <c r="A31" s="23">
        <v>44711</v>
      </c>
      <c r="B31" s="22">
        <f t="shared" si="0"/>
        <v>6953.0999999999995</v>
      </c>
      <c r="C31" s="22">
        <f t="shared" si="1"/>
        <v>9601.9000000000015</v>
      </c>
      <c r="D31" s="22">
        <f t="shared" si="2"/>
        <v>16555</v>
      </c>
      <c r="E31" s="22">
        <v>3955</v>
      </c>
      <c r="F31" s="22">
        <v>12600</v>
      </c>
      <c r="G31" s="22">
        <v>5940</v>
      </c>
      <c r="H31" s="21">
        <f t="shared" si="3"/>
        <v>0.72413793103448254</v>
      </c>
      <c r="I31" s="20">
        <f>SUM($D$2:D31)-SUM($G$2:G31)</f>
        <v>396293</v>
      </c>
      <c r="K31" s="8">
        <f t="shared" si="15"/>
        <v>44703</v>
      </c>
      <c r="L31" s="2">
        <f t="shared" si="16"/>
        <v>6136.2</v>
      </c>
      <c r="M31" s="2">
        <f t="shared" si="17"/>
        <v>8473.7999999999993</v>
      </c>
      <c r="N31" s="2">
        <f t="shared" si="18"/>
        <v>14610</v>
      </c>
      <c r="O31" s="2">
        <f t="shared" si="19"/>
        <v>4330</v>
      </c>
      <c r="P31" s="2">
        <f t="shared" si="19"/>
        <v>10280</v>
      </c>
      <c r="Q31" s="2">
        <f t="shared" si="19"/>
        <v>1730</v>
      </c>
    </row>
    <row r="32" spans="1:17" x14ac:dyDescent="0.35">
      <c r="A32" s="23">
        <v>44712</v>
      </c>
      <c r="B32" s="22">
        <f t="shared" si="0"/>
        <v>2217.6</v>
      </c>
      <c r="C32" s="22">
        <f t="shared" si="1"/>
        <v>3062.4</v>
      </c>
      <c r="D32" s="22">
        <f t="shared" si="2"/>
        <v>5280</v>
      </c>
      <c r="E32" s="22">
        <v>5280</v>
      </c>
      <c r="F32" s="22"/>
      <c r="G32" s="22">
        <v>2140</v>
      </c>
      <c r="H32" s="21">
        <f t="shared" si="3"/>
        <v>0.72413793103448276</v>
      </c>
      <c r="I32" s="20">
        <f>SUM($D$2:D32)-SUM($G$2:G32)</f>
        <v>399433</v>
      </c>
      <c r="K32" s="3" t="s">
        <v>4</v>
      </c>
      <c r="L32" s="2">
        <f t="shared" ref="L32:Q32" si="20">SUM(L25:L31)</f>
        <v>37960.019999999997</v>
      </c>
      <c r="M32" s="2">
        <f t="shared" si="20"/>
        <v>52420.979999999996</v>
      </c>
      <c r="N32" s="2">
        <f t="shared" si="20"/>
        <v>90381</v>
      </c>
      <c r="O32" s="2">
        <f t="shared" si="20"/>
        <v>56770</v>
      </c>
      <c r="P32" s="2">
        <f t="shared" si="20"/>
        <v>33611</v>
      </c>
      <c r="Q32" s="2">
        <f t="shared" si="20"/>
        <v>22580</v>
      </c>
    </row>
    <row r="33" spans="1:17" x14ac:dyDescent="0.35">
      <c r="A33" s="23">
        <v>44713</v>
      </c>
      <c r="B33" s="22">
        <f t="shared" si="0"/>
        <v>0</v>
      </c>
      <c r="C33" s="22">
        <f t="shared" si="1"/>
        <v>0</v>
      </c>
      <c r="D33" s="22">
        <f t="shared" si="2"/>
        <v>0</v>
      </c>
      <c r="E33" s="22"/>
      <c r="F33" s="22"/>
      <c r="G33" s="22"/>
      <c r="H33" s="21">
        <f t="shared" si="3"/>
        <v>0</v>
      </c>
      <c r="I33" s="20">
        <f>SUM($D$2:D33)-SUM($G$2:G33)</f>
        <v>399433</v>
      </c>
      <c r="K33" s="3" t="s">
        <v>0</v>
      </c>
      <c r="L33" s="4">
        <f>L32/3</f>
        <v>12653.339999999998</v>
      </c>
      <c r="M33" s="4"/>
      <c r="N33" s="4"/>
      <c r="O33" s="4"/>
      <c r="P33" s="4"/>
      <c r="Q33" s="4"/>
    </row>
    <row r="34" spans="1:17" x14ac:dyDescent="0.35">
      <c r="A34" s="23">
        <v>44714</v>
      </c>
      <c r="B34" s="22">
        <f t="shared" si="0"/>
        <v>0</v>
      </c>
      <c r="C34" s="22">
        <f t="shared" si="1"/>
        <v>0</v>
      </c>
      <c r="D34" s="22">
        <f t="shared" si="2"/>
        <v>0</v>
      </c>
      <c r="E34" s="22"/>
      <c r="F34" s="22"/>
      <c r="G34" s="22"/>
      <c r="H34" s="21">
        <f t="shared" si="3"/>
        <v>0</v>
      </c>
      <c r="I34" s="20">
        <f>SUM($D$2:D34)-SUM($G$2:G34)</f>
        <v>399433</v>
      </c>
    </row>
    <row r="35" spans="1:17" x14ac:dyDescent="0.35">
      <c r="A35" s="23">
        <v>44715</v>
      </c>
      <c r="B35" s="22">
        <f t="shared" si="0"/>
        <v>0</v>
      </c>
      <c r="C35" s="22">
        <f t="shared" si="1"/>
        <v>0</v>
      </c>
      <c r="D35" s="22">
        <f t="shared" si="2"/>
        <v>0</v>
      </c>
      <c r="E35" s="22"/>
      <c r="F35" s="22"/>
      <c r="G35" s="22"/>
      <c r="H35" s="21">
        <f t="shared" si="3"/>
        <v>0</v>
      </c>
      <c r="I35" s="20">
        <f>SUM($D$2:D35)-SUM($G$2:G35)</f>
        <v>399433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3">
        <v>44716</v>
      </c>
      <c r="B36" s="22">
        <f t="shared" si="0"/>
        <v>0</v>
      </c>
      <c r="C36" s="22">
        <f t="shared" si="1"/>
        <v>0</v>
      </c>
      <c r="D36" s="22">
        <f t="shared" si="2"/>
        <v>0</v>
      </c>
      <c r="E36" s="22"/>
      <c r="F36" s="22"/>
      <c r="G36" s="22"/>
      <c r="H36" s="21">
        <f t="shared" si="3"/>
        <v>0</v>
      </c>
      <c r="I36" s="20">
        <f>SUM($D$2:D36)-SUM($G$2:G36)</f>
        <v>399433</v>
      </c>
      <c r="K36" s="8">
        <f t="shared" ref="K36:K42" si="21">A24</f>
        <v>44704</v>
      </c>
      <c r="L36" s="2">
        <f t="shared" ref="L36:L42" si="22">N36*0.42</f>
        <v>3011.4</v>
      </c>
      <c r="M36" s="2">
        <f t="shared" ref="M36:M42" si="23">N36-L36</f>
        <v>4158.6000000000004</v>
      </c>
      <c r="N36" s="2">
        <f t="shared" ref="N36:N42" si="24">O36+P36</f>
        <v>7170</v>
      </c>
      <c r="O36" s="2">
        <f t="shared" ref="O36:Q42" si="25">E24</f>
        <v>3330</v>
      </c>
      <c r="P36" s="2">
        <f t="shared" si="25"/>
        <v>3840</v>
      </c>
      <c r="Q36" s="2">
        <f t="shared" si="25"/>
        <v>110</v>
      </c>
    </row>
    <row r="37" spans="1:17" x14ac:dyDescent="0.35">
      <c r="A37" s="23">
        <v>44717</v>
      </c>
      <c r="B37" s="22">
        <f t="shared" si="0"/>
        <v>0</v>
      </c>
      <c r="C37" s="22">
        <f t="shared" si="1"/>
        <v>0</v>
      </c>
      <c r="D37" s="22">
        <f t="shared" si="2"/>
        <v>0</v>
      </c>
      <c r="E37" s="22"/>
      <c r="F37" s="22"/>
      <c r="G37" s="22"/>
      <c r="H37" s="21">
        <f t="shared" si="3"/>
        <v>0</v>
      </c>
      <c r="I37" s="20">
        <f>SUM($D$2:D37)-SUM($G$2:G37)</f>
        <v>399433</v>
      </c>
      <c r="K37" s="9">
        <f t="shared" si="21"/>
        <v>44705</v>
      </c>
      <c r="L37" s="4">
        <f t="shared" si="22"/>
        <v>9816.66</v>
      </c>
      <c r="M37" s="4">
        <f t="shared" si="23"/>
        <v>13556.34</v>
      </c>
      <c r="N37" s="4">
        <f t="shared" si="24"/>
        <v>23373</v>
      </c>
      <c r="O37" s="4">
        <f t="shared" si="25"/>
        <v>17160</v>
      </c>
      <c r="P37" s="4">
        <f t="shared" si="25"/>
        <v>6213</v>
      </c>
      <c r="Q37" s="4">
        <f t="shared" si="25"/>
        <v>3500</v>
      </c>
    </row>
    <row r="38" spans="1:17" ht="15" thickBot="1" x14ac:dyDescent="0.4">
      <c r="A38" s="19" t="s">
        <v>4</v>
      </c>
      <c r="B38" s="18">
        <f>SUM(B2:B33)</f>
        <v>206683.25999999998</v>
      </c>
      <c r="C38" s="18">
        <f>SUM(C2:C33)</f>
        <v>285419.74000000005</v>
      </c>
      <c r="D38" s="18">
        <f>SUM(D2:D33)</f>
        <v>492103</v>
      </c>
      <c r="E38" s="18">
        <f>SUM(E3:E30)</f>
        <v>231704</v>
      </c>
      <c r="F38" s="18">
        <f>SUM(F3:F30)</f>
        <v>215488</v>
      </c>
      <c r="G38" s="18">
        <f>SUM(G3:G30)</f>
        <v>83090</v>
      </c>
      <c r="H38" s="15">
        <f>SUM(G2:G37)</f>
        <v>92670</v>
      </c>
      <c r="I38" s="14">
        <f>B38/C38</f>
        <v>0.72413793103448254</v>
      </c>
      <c r="K38" s="8">
        <f t="shared" si="21"/>
        <v>44706</v>
      </c>
      <c r="L38" s="2">
        <f t="shared" si="22"/>
        <v>5544</v>
      </c>
      <c r="M38" s="2">
        <f t="shared" si="23"/>
        <v>7656</v>
      </c>
      <c r="N38" s="2">
        <f t="shared" si="24"/>
        <v>13200</v>
      </c>
      <c r="O38" s="2">
        <f t="shared" si="25"/>
        <v>13200</v>
      </c>
      <c r="P38" s="2">
        <f t="shared" si="25"/>
        <v>0</v>
      </c>
      <c r="Q38" s="2">
        <f t="shared" si="25"/>
        <v>11070</v>
      </c>
    </row>
    <row r="39" spans="1:17" x14ac:dyDescent="0.35">
      <c r="A39" s="12"/>
      <c r="B39" s="11">
        <f>B38/3</f>
        <v>68894.42</v>
      </c>
      <c r="C39" s="11"/>
      <c r="E39" s="13">
        <f>D38*0.42</f>
        <v>206683.25999999998</v>
      </c>
      <c r="F39" s="11"/>
      <c r="G39" s="11"/>
      <c r="H39" s="10"/>
      <c r="K39" s="9">
        <f t="shared" si="21"/>
        <v>44707</v>
      </c>
      <c r="L39" s="4">
        <f t="shared" si="22"/>
        <v>5332.32</v>
      </c>
      <c r="M39" s="4">
        <f t="shared" si="23"/>
        <v>7363.68</v>
      </c>
      <c r="N39" s="4">
        <f t="shared" si="24"/>
        <v>12696</v>
      </c>
      <c r="O39" s="4">
        <f t="shared" si="25"/>
        <v>4196</v>
      </c>
      <c r="P39" s="4">
        <f t="shared" si="25"/>
        <v>8500</v>
      </c>
      <c r="Q39" s="4">
        <f t="shared" si="25"/>
        <v>5030</v>
      </c>
    </row>
    <row r="40" spans="1:17" x14ac:dyDescent="0.35">
      <c r="A40" s="12"/>
      <c r="B40" s="11">
        <f>B39*100/D38</f>
        <v>14</v>
      </c>
      <c r="C40" s="11"/>
      <c r="E40" s="11">
        <f>E39/3</f>
        <v>68894.42</v>
      </c>
      <c r="F40" s="11"/>
      <c r="G40" s="11"/>
      <c r="H40" s="10"/>
      <c r="K40" s="8">
        <f t="shared" si="21"/>
        <v>44708</v>
      </c>
      <c r="L40" s="2">
        <f t="shared" si="22"/>
        <v>3301.2</v>
      </c>
      <c r="M40" s="2">
        <f t="shared" si="23"/>
        <v>4558.8</v>
      </c>
      <c r="N40" s="2">
        <f t="shared" si="24"/>
        <v>7860</v>
      </c>
      <c r="O40" s="2">
        <f t="shared" si="25"/>
        <v>2320</v>
      </c>
      <c r="P40" s="2">
        <f t="shared" si="25"/>
        <v>5540</v>
      </c>
      <c r="Q40" s="2">
        <f t="shared" si="25"/>
        <v>20</v>
      </c>
    </row>
    <row r="41" spans="1:17" x14ac:dyDescent="0.35">
      <c r="K41" s="9">
        <f t="shared" si="21"/>
        <v>44709</v>
      </c>
      <c r="L41" s="4">
        <f t="shared" si="22"/>
        <v>4972.8</v>
      </c>
      <c r="M41" s="4">
        <f t="shared" si="23"/>
        <v>6867.2</v>
      </c>
      <c r="N41" s="4">
        <f t="shared" si="24"/>
        <v>11840</v>
      </c>
      <c r="O41" s="4">
        <f t="shared" si="25"/>
        <v>6850</v>
      </c>
      <c r="P41" s="4">
        <f t="shared" si="25"/>
        <v>4990</v>
      </c>
      <c r="Q41" s="4">
        <f t="shared" si="25"/>
        <v>4740</v>
      </c>
    </row>
    <row r="42" spans="1:17" x14ac:dyDescent="0.35">
      <c r="K42" s="8">
        <f t="shared" si="21"/>
        <v>44710</v>
      </c>
      <c r="L42" s="2">
        <f t="shared" si="22"/>
        <v>10508.4</v>
      </c>
      <c r="M42" s="2">
        <f t="shared" si="23"/>
        <v>14511.6</v>
      </c>
      <c r="N42" s="2">
        <f t="shared" si="24"/>
        <v>25020</v>
      </c>
      <c r="O42" s="2">
        <f t="shared" si="25"/>
        <v>5300</v>
      </c>
      <c r="P42" s="2">
        <f t="shared" si="25"/>
        <v>19720</v>
      </c>
      <c r="Q42" s="2">
        <f t="shared" si="25"/>
        <v>400</v>
      </c>
    </row>
    <row r="43" spans="1:17" x14ac:dyDescent="0.35">
      <c r="K43" s="3" t="s">
        <v>4</v>
      </c>
      <c r="L43" s="4">
        <f t="shared" ref="L43:Q43" si="26">SUM(L36:L42)</f>
        <v>42486.78</v>
      </c>
      <c r="M43" s="4">
        <f t="shared" si="26"/>
        <v>58672.22</v>
      </c>
      <c r="N43" s="4">
        <f t="shared" si="26"/>
        <v>101159</v>
      </c>
      <c r="O43" s="4">
        <f t="shared" si="26"/>
        <v>52356</v>
      </c>
      <c r="P43" s="4">
        <f t="shared" si="26"/>
        <v>48803</v>
      </c>
      <c r="Q43" s="4">
        <f t="shared" si="26"/>
        <v>24870</v>
      </c>
    </row>
    <row r="44" spans="1:17" x14ac:dyDescent="0.35">
      <c r="K44" s="3" t="s">
        <v>0</v>
      </c>
      <c r="L44" s="2">
        <f>L43/3</f>
        <v>14162.26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>
        <f t="shared" ref="K47:K53" si="27">A31</f>
        <v>44711</v>
      </c>
      <c r="L47" s="2">
        <f t="shared" ref="L47:L53" si="28">N47*0.42</f>
        <v>6953.0999999999995</v>
      </c>
      <c r="M47" s="2">
        <f t="shared" ref="M47:M53" si="29">N47-L47</f>
        <v>9601.9000000000015</v>
      </c>
      <c r="N47" s="2">
        <f t="shared" ref="N47:N53" si="30">O47+P47</f>
        <v>16555</v>
      </c>
      <c r="O47" s="2">
        <f t="shared" ref="O47:Q53" si="31">E31</f>
        <v>3955</v>
      </c>
      <c r="P47" s="2">
        <f t="shared" si="31"/>
        <v>12600</v>
      </c>
      <c r="Q47" s="2">
        <f t="shared" si="31"/>
        <v>5940</v>
      </c>
    </row>
    <row r="48" spans="1:17" x14ac:dyDescent="0.35">
      <c r="K48" s="9">
        <f t="shared" si="27"/>
        <v>44712</v>
      </c>
      <c r="L48" s="4">
        <f t="shared" si="28"/>
        <v>2217.6</v>
      </c>
      <c r="M48" s="4">
        <f t="shared" si="29"/>
        <v>3062.4</v>
      </c>
      <c r="N48" s="4">
        <f t="shared" si="30"/>
        <v>5280</v>
      </c>
      <c r="O48" s="4">
        <f t="shared" si="31"/>
        <v>5280</v>
      </c>
      <c r="P48" s="4">
        <f t="shared" si="31"/>
        <v>0</v>
      </c>
      <c r="Q48" s="4">
        <f t="shared" si="31"/>
        <v>2140</v>
      </c>
    </row>
    <row r="49" spans="11:17" x14ac:dyDescent="0.35">
      <c r="K49" s="8">
        <f t="shared" si="27"/>
        <v>44713</v>
      </c>
      <c r="L49" s="2">
        <f t="shared" si="28"/>
        <v>0</v>
      </c>
      <c r="M49" s="2">
        <f t="shared" si="29"/>
        <v>0</v>
      </c>
      <c r="N49" s="2">
        <f t="shared" si="30"/>
        <v>0</v>
      </c>
      <c r="O49" s="2">
        <f t="shared" si="31"/>
        <v>0</v>
      </c>
      <c r="P49" s="2">
        <f t="shared" si="31"/>
        <v>0</v>
      </c>
      <c r="Q49" s="2">
        <f t="shared" si="31"/>
        <v>0</v>
      </c>
    </row>
    <row r="50" spans="11:17" x14ac:dyDescent="0.35">
      <c r="K50" s="9">
        <f t="shared" si="27"/>
        <v>44714</v>
      </c>
      <c r="L50" s="4">
        <f t="shared" si="28"/>
        <v>0</v>
      </c>
      <c r="M50" s="4">
        <f t="shared" si="29"/>
        <v>0</v>
      </c>
      <c r="N50" s="4">
        <f t="shared" si="30"/>
        <v>0</v>
      </c>
      <c r="O50" s="4">
        <f t="shared" si="31"/>
        <v>0</v>
      </c>
      <c r="P50" s="4">
        <f t="shared" si="31"/>
        <v>0</v>
      </c>
      <c r="Q50" s="4">
        <f t="shared" si="31"/>
        <v>0</v>
      </c>
    </row>
    <row r="51" spans="11:17" x14ac:dyDescent="0.35">
      <c r="K51" s="8">
        <f t="shared" si="27"/>
        <v>44715</v>
      </c>
      <c r="L51" s="2">
        <f t="shared" si="28"/>
        <v>0</v>
      </c>
      <c r="M51" s="2">
        <f t="shared" si="29"/>
        <v>0</v>
      </c>
      <c r="N51" s="2">
        <f t="shared" si="30"/>
        <v>0</v>
      </c>
      <c r="O51" s="2">
        <f t="shared" si="31"/>
        <v>0</v>
      </c>
      <c r="P51" s="2">
        <f t="shared" si="31"/>
        <v>0</v>
      </c>
      <c r="Q51" s="2">
        <f t="shared" si="31"/>
        <v>0</v>
      </c>
    </row>
    <row r="52" spans="11:17" x14ac:dyDescent="0.35">
      <c r="K52" s="9">
        <f t="shared" si="27"/>
        <v>44716</v>
      </c>
      <c r="L52" s="4">
        <f t="shared" si="28"/>
        <v>0</v>
      </c>
      <c r="M52" s="4">
        <f t="shared" si="29"/>
        <v>0</v>
      </c>
      <c r="N52" s="4">
        <f t="shared" si="30"/>
        <v>0</v>
      </c>
      <c r="O52" s="4">
        <f t="shared" si="31"/>
        <v>0</v>
      </c>
      <c r="P52" s="4">
        <f t="shared" si="31"/>
        <v>0</v>
      </c>
      <c r="Q52" s="4">
        <f t="shared" si="31"/>
        <v>0</v>
      </c>
    </row>
    <row r="53" spans="11:17" x14ac:dyDescent="0.35">
      <c r="K53" s="8">
        <f t="shared" si="27"/>
        <v>44717</v>
      </c>
      <c r="L53" s="2">
        <f t="shared" si="28"/>
        <v>0</v>
      </c>
      <c r="M53" s="2">
        <f t="shared" si="29"/>
        <v>0</v>
      </c>
      <c r="N53" s="2">
        <f t="shared" si="30"/>
        <v>0</v>
      </c>
      <c r="O53" s="2">
        <f t="shared" si="31"/>
        <v>0</v>
      </c>
      <c r="P53" s="2">
        <f t="shared" si="31"/>
        <v>0</v>
      </c>
      <c r="Q53" s="2">
        <f t="shared" si="31"/>
        <v>0</v>
      </c>
    </row>
    <row r="54" spans="11:17" x14ac:dyDescent="0.35">
      <c r="K54" s="3" t="s">
        <v>4</v>
      </c>
      <c r="L54" s="4">
        <f t="shared" ref="L54:Q54" si="32">SUM(L47:L53)</f>
        <v>9170.6999999999989</v>
      </c>
      <c r="M54" s="4">
        <f t="shared" si="32"/>
        <v>12664.300000000001</v>
      </c>
      <c r="N54" s="4">
        <f t="shared" si="32"/>
        <v>21835</v>
      </c>
      <c r="O54" s="4">
        <f t="shared" si="32"/>
        <v>9235</v>
      </c>
      <c r="P54" s="4">
        <f t="shared" si="32"/>
        <v>12600</v>
      </c>
      <c r="Q54" s="4">
        <f t="shared" si="32"/>
        <v>8080</v>
      </c>
    </row>
    <row r="55" spans="11:17" x14ac:dyDescent="0.35">
      <c r="K55" s="3" t="s">
        <v>0</v>
      </c>
      <c r="L55" s="2">
        <f>L54/3</f>
        <v>3056.8999999999996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v>44682</v>
      </c>
      <c r="L59" s="4">
        <f>SUM(B2:B32)</f>
        <v>206683.25999999998</v>
      </c>
      <c r="M59" s="4">
        <f t="shared" ref="M59:Q59" si="33">SUM(C2:C32)</f>
        <v>285419.74000000005</v>
      </c>
      <c r="N59" s="4">
        <f t="shared" si="33"/>
        <v>492103</v>
      </c>
      <c r="O59" s="4">
        <f t="shared" si="33"/>
        <v>249865</v>
      </c>
      <c r="P59" s="4">
        <f t="shared" si="33"/>
        <v>242238</v>
      </c>
      <c r="Q59" s="4">
        <f t="shared" si="33"/>
        <v>92670</v>
      </c>
    </row>
    <row r="60" spans="11:17" x14ac:dyDescent="0.35">
      <c r="K60" s="3" t="s">
        <v>0</v>
      </c>
      <c r="L60" s="2">
        <f>L59/3</f>
        <v>68894.42</v>
      </c>
      <c r="M60" s="2"/>
      <c r="N60" s="2"/>
      <c r="O60" s="2"/>
      <c r="P60" s="2"/>
      <c r="Q60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8:Q58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D0C7-BBB4-478E-A240-40BDA9C33155}">
  <dimension ref="A1:Q60"/>
  <sheetViews>
    <sheetView zoomScaleNormal="100" workbookViewId="0">
      <pane ySplit="1" topLeftCell="A23" activePane="bottomLeft" state="frozen"/>
      <selection pane="bottomLeft" activeCell="L59" sqref="L59"/>
    </sheetView>
  </sheetViews>
  <sheetFormatPr defaultColWidth="26" defaultRowHeight="14.5" x14ac:dyDescent="0.35"/>
  <cols>
    <col min="1" max="1" width="25.81640625" bestFit="1" customWidth="1"/>
    <col min="2" max="4" width="8.453125" style="1" bestFit="1" customWidth="1"/>
    <col min="5" max="5" width="11" style="1" bestFit="1" customWidth="1"/>
    <col min="6" max="6" width="8.54296875" style="1" bestFit="1" customWidth="1"/>
    <col min="7" max="7" width="8.81640625" style="1" bestFit="1" customWidth="1"/>
    <col min="8" max="8" width="10" bestFit="1" customWidth="1"/>
    <col min="9" max="9" width="12.26953125" bestFit="1" customWidth="1"/>
    <col min="10" max="10" width="6.54296875" customWidth="1"/>
    <col min="11" max="11" width="25.81640625" bestFit="1" customWidth="1"/>
    <col min="12" max="12" width="8.6328125" bestFit="1" customWidth="1"/>
    <col min="13" max="13" width="8.453125" bestFit="1" customWidth="1"/>
    <col min="14" max="14" width="10" bestFit="1" customWidth="1"/>
    <col min="15" max="15" width="8.453125" bestFit="1" customWidth="1"/>
    <col min="16" max="16" width="16.81640625" bestFit="1" customWidth="1"/>
    <col min="17" max="17" width="9.269531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44711</v>
      </c>
      <c r="B2" s="22">
        <f t="shared" ref="B2:B36" si="0">D2*0.42</f>
        <v>6953.0999999999995</v>
      </c>
      <c r="C2" s="22">
        <f t="shared" ref="C2:C36" si="1">D2-B2</f>
        <v>9601.9000000000015</v>
      </c>
      <c r="D2" s="22">
        <f t="shared" ref="D2:D36" si="2">E2+F2</f>
        <v>16555</v>
      </c>
      <c r="E2" s="22">
        <v>3955</v>
      </c>
      <c r="F2" s="22">
        <v>12600</v>
      </c>
      <c r="G2" s="22">
        <v>5940</v>
      </c>
      <c r="H2" s="21">
        <f t="shared" ref="H2:H36" si="3">IFERROR(B2/C2,0)</f>
        <v>0.72413793103448254</v>
      </c>
      <c r="I2" s="20">
        <f>SUM($D$2:D2)-SUM($G$2:G2)</f>
        <v>10615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44712</v>
      </c>
      <c r="B3" s="22">
        <f t="shared" si="0"/>
        <v>2217.6</v>
      </c>
      <c r="C3" s="22">
        <f t="shared" si="1"/>
        <v>3062.4</v>
      </c>
      <c r="D3" s="22">
        <f t="shared" si="2"/>
        <v>5280</v>
      </c>
      <c r="E3" s="22">
        <v>5280</v>
      </c>
      <c r="F3" s="22">
        <v>0</v>
      </c>
      <c r="G3" s="22">
        <v>2140</v>
      </c>
      <c r="H3" s="21">
        <f t="shared" si="3"/>
        <v>0.72413793103448276</v>
      </c>
      <c r="I3" s="20">
        <f>SUM($D$2:D3)-SUM($G$2:G3)</f>
        <v>13755</v>
      </c>
      <c r="K3" s="8">
        <f t="shared" ref="K3:K9" si="4">A2</f>
        <v>44711</v>
      </c>
      <c r="L3" s="2">
        <f t="shared" ref="L3:L9" si="5">N3*0.42</f>
        <v>6953.0999999999995</v>
      </c>
      <c r="M3" s="2">
        <f t="shared" ref="M3:M9" si="6">N3-L3</f>
        <v>9601.9000000000015</v>
      </c>
      <c r="N3" s="2">
        <f t="shared" ref="N3:N9" si="7">O3+P3</f>
        <v>16555</v>
      </c>
      <c r="O3" s="2">
        <f t="shared" ref="O3:Q9" si="8">E2</f>
        <v>3955</v>
      </c>
      <c r="P3" s="2">
        <f t="shared" si="8"/>
        <v>12600</v>
      </c>
      <c r="Q3" s="2">
        <f t="shared" si="8"/>
        <v>5940</v>
      </c>
    </row>
    <row r="4" spans="1:17" x14ac:dyDescent="0.35">
      <c r="A4" s="23">
        <v>44713</v>
      </c>
      <c r="B4" s="22">
        <f t="shared" si="0"/>
        <v>4609.5</v>
      </c>
      <c r="C4" s="22">
        <f t="shared" si="1"/>
        <v>6365.5</v>
      </c>
      <c r="D4" s="22">
        <f t="shared" si="2"/>
        <v>10975</v>
      </c>
      <c r="E4" s="22">
        <v>4820</v>
      </c>
      <c r="F4" s="22">
        <v>6155</v>
      </c>
      <c r="G4" s="22">
        <v>20</v>
      </c>
      <c r="H4" s="21">
        <f t="shared" si="3"/>
        <v>0.72413793103448276</v>
      </c>
      <c r="I4" s="20">
        <f>SUM($D$2:D4)-SUM($G$2:G4)</f>
        <v>24710</v>
      </c>
      <c r="K4" s="9">
        <f t="shared" si="4"/>
        <v>44712</v>
      </c>
      <c r="L4" s="4">
        <f t="shared" si="5"/>
        <v>2217.6</v>
      </c>
      <c r="M4" s="4">
        <f t="shared" si="6"/>
        <v>3062.4</v>
      </c>
      <c r="N4" s="4">
        <f t="shared" si="7"/>
        <v>5280</v>
      </c>
      <c r="O4" s="4">
        <f t="shared" si="8"/>
        <v>5280</v>
      </c>
      <c r="P4" s="4">
        <f t="shared" si="8"/>
        <v>0</v>
      </c>
      <c r="Q4" s="4">
        <f t="shared" si="8"/>
        <v>2140</v>
      </c>
    </row>
    <row r="5" spans="1:17" x14ac:dyDescent="0.35">
      <c r="A5" s="23">
        <v>44714</v>
      </c>
      <c r="B5" s="22">
        <f t="shared" si="0"/>
        <v>4666.2</v>
      </c>
      <c r="C5" s="22">
        <f t="shared" si="1"/>
        <v>6443.8</v>
      </c>
      <c r="D5" s="22">
        <f t="shared" si="2"/>
        <v>11110</v>
      </c>
      <c r="E5" s="22">
        <v>9910</v>
      </c>
      <c r="F5" s="22">
        <v>1200</v>
      </c>
      <c r="G5" s="22">
        <v>30</v>
      </c>
      <c r="H5" s="21">
        <f t="shared" si="3"/>
        <v>0.72413793103448276</v>
      </c>
      <c r="I5" s="20">
        <f>SUM($D$2:D5)-SUM($G$2:G5)</f>
        <v>35790</v>
      </c>
      <c r="K5" s="8">
        <f t="shared" si="4"/>
        <v>44713</v>
      </c>
      <c r="L5" s="2">
        <f t="shared" si="5"/>
        <v>4609.5</v>
      </c>
      <c r="M5" s="2">
        <f t="shared" si="6"/>
        <v>6365.5</v>
      </c>
      <c r="N5" s="2">
        <f t="shared" si="7"/>
        <v>10975</v>
      </c>
      <c r="O5" s="2">
        <f t="shared" si="8"/>
        <v>4820</v>
      </c>
      <c r="P5" s="2">
        <f t="shared" si="8"/>
        <v>6155</v>
      </c>
      <c r="Q5" s="2">
        <f t="shared" si="8"/>
        <v>20</v>
      </c>
    </row>
    <row r="6" spans="1:17" x14ac:dyDescent="0.35">
      <c r="A6" s="23">
        <v>44715</v>
      </c>
      <c r="B6" s="22">
        <f t="shared" si="0"/>
        <v>6001.8</v>
      </c>
      <c r="C6" s="22">
        <f t="shared" si="1"/>
        <v>8288.2000000000007</v>
      </c>
      <c r="D6" s="22">
        <f t="shared" si="2"/>
        <v>14290</v>
      </c>
      <c r="E6" s="22">
        <v>7910</v>
      </c>
      <c r="F6" s="22">
        <v>6380</v>
      </c>
      <c r="G6" s="22">
        <v>30</v>
      </c>
      <c r="H6" s="21">
        <f t="shared" si="3"/>
        <v>0.72413793103448276</v>
      </c>
      <c r="I6" s="20">
        <f>SUM($D$2:D6)-SUM($G$2:G6)</f>
        <v>50050</v>
      </c>
      <c r="K6" s="9">
        <f t="shared" si="4"/>
        <v>44714</v>
      </c>
      <c r="L6" s="4">
        <f t="shared" si="5"/>
        <v>4666.2</v>
      </c>
      <c r="M6" s="4">
        <f t="shared" si="6"/>
        <v>6443.8</v>
      </c>
      <c r="N6" s="4">
        <f t="shared" si="7"/>
        <v>11110</v>
      </c>
      <c r="O6" s="4">
        <f t="shared" si="8"/>
        <v>9910</v>
      </c>
      <c r="P6" s="4">
        <f t="shared" si="8"/>
        <v>1200</v>
      </c>
      <c r="Q6" s="4">
        <f t="shared" si="8"/>
        <v>30</v>
      </c>
    </row>
    <row r="7" spans="1:17" x14ac:dyDescent="0.35">
      <c r="A7" s="23">
        <v>44716</v>
      </c>
      <c r="B7" s="22">
        <f t="shared" si="0"/>
        <v>4454.0999999999995</v>
      </c>
      <c r="C7" s="22">
        <f t="shared" si="1"/>
        <v>6150.9000000000005</v>
      </c>
      <c r="D7" s="22">
        <f t="shared" si="2"/>
        <v>10605</v>
      </c>
      <c r="E7" s="22">
        <v>8340</v>
      </c>
      <c r="F7" s="22">
        <v>2265</v>
      </c>
      <c r="G7" s="22">
        <v>380</v>
      </c>
      <c r="H7" s="21">
        <f t="shared" si="3"/>
        <v>0.72413793103448265</v>
      </c>
      <c r="I7" s="20">
        <f>SUM($D$2:D7)-SUM($G$2:G7)</f>
        <v>60275</v>
      </c>
      <c r="K7" s="8">
        <f t="shared" si="4"/>
        <v>44715</v>
      </c>
      <c r="L7" s="2">
        <f t="shared" si="5"/>
        <v>6001.8</v>
      </c>
      <c r="M7" s="2">
        <f t="shared" si="6"/>
        <v>8288.2000000000007</v>
      </c>
      <c r="N7" s="2">
        <f t="shared" si="7"/>
        <v>14290</v>
      </c>
      <c r="O7" s="2">
        <f t="shared" si="8"/>
        <v>7910</v>
      </c>
      <c r="P7" s="2">
        <f t="shared" si="8"/>
        <v>6380</v>
      </c>
      <c r="Q7" s="2">
        <f t="shared" si="8"/>
        <v>30</v>
      </c>
    </row>
    <row r="8" spans="1:17" x14ac:dyDescent="0.35">
      <c r="A8" s="23">
        <v>44717</v>
      </c>
      <c r="B8" s="22">
        <f t="shared" si="0"/>
        <v>5378.0999999999995</v>
      </c>
      <c r="C8" s="22">
        <f t="shared" si="1"/>
        <v>7426.9000000000005</v>
      </c>
      <c r="D8" s="22">
        <f t="shared" si="2"/>
        <v>12805</v>
      </c>
      <c r="E8" s="22">
        <v>9775</v>
      </c>
      <c r="F8" s="22">
        <v>3030</v>
      </c>
      <c r="G8" s="22">
        <v>20500</v>
      </c>
      <c r="H8" s="21">
        <f t="shared" si="3"/>
        <v>0.72413793103448265</v>
      </c>
      <c r="I8" s="20">
        <f>SUM($D$2:D8)-SUM($G$2:G8)</f>
        <v>52580</v>
      </c>
      <c r="K8" s="9">
        <f t="shared" si="4"/>
        <v>44716</v>
      </c>
      <c r="L8" s="4">
        <f t="shared" si="5"/>
        <v>4454.0999999999995</v>
      </c>
      <c r="M8" s="4">
        <f t="shared" si="6"/>
        <v>6150.9000000000005</v>
      </c>
      <c r="N8" s="4">
        <f t="shared" si="7"/>
        <v>10605</v>
      </c>
      <c r="O8" s="4">
        <f t="shared" si="8"/>
        <v>8340</v>
      </c>
      <c r="P8" s="4">
        <f t="shared" si="8"/>
        <v>2265</v>
      </c>
      <c r="Q8" s="4">
        <f t="shared" si="8"/>
        <v>380</v>
      </c>
    </row>
    <row r="9" spans="1:17" x14ac:dyDescent="0.35">
      <c r="A9" s="23">
        <v>44718</v>
      </c>
      <c r="B9" s="22">
        <f t="shared" si="0"/>
        <v>4006.7999999999997</v>
      </c>
      <c r="C9" s="22">
        <f t="shared" si="1"/>
        <v>5533.2000000000007</v>
      </c>
      <c r="D9" s="22">
        <f t="shared" si="2"/>
        <v>9540</v>
      </c>
      <c r="E9" s="22">
        <v>6390</v>
      </c>
      <c r="F9" s="22">
        <v>3150</v>
      </c>
      <c r="G9" s="22">
        <v>30</v>
      </c>
      <c r="H9" s="21">
        <f t="shared" si="3"/>
        <v>0.72413793103448265</v>
      </c>
      <c r="I9" s="20">
        <f>SUM($D$2:D9)-SUM($G$2:G9)</f>
        <v>62090</v>
      </c>
      <c r="K9" s="8">
        <f t="shared" si="4"/>
        <v>44717</v>
      </c>
      <c r="L9" s="2">
        <f t="shared" si="5"/>
        <v>5378.0999999999995</v>
      </c>
      <c r="M9" s="2">
        <f t="shared" si="6"/>
        <v>7426.9000000000005</v>
      </c>
      <c r="N9" s="2">
        <f t="shared" si="7"/>
        <v>12805</v>
      </c>
      <c r="O9" s="2">
        <f t="shared" si="8"/>
        <v>9775</v>
      </c>
      <c r="P9" s="2">
        <f t="shared" si="8"/>
        <v>3030</v>
      </c>
      <c r="Q9" s="2">
        <f t="shared" si="8"/>
        <v>20500</v>
      </c>
    </row>
    <row r="10" spans="1:17" x14ac:dyDescent="0.35">
      <c r="A10" s="23">
        <v>44719</v>
      </c>
      <c r="B10" s="22">
        <f t="shared" si="0"/>
        <v>2675.4</v>
      </c>
      <c r="C10" s="22">
        <f t="shared" si="1"/>
        <v>3694.6</v>
      </c>
      <c r="D10" s="22">
        <f t="shared" si="2"/>
        <v>6370</v>
      </c>
      <c r="E10" s="22">
        <v>2070</v>
      </c>
      <c r="F10" s="22">
        <v>4300</v>
      </c>
      <c r="G10" s="22">
        <v>1250</v>
      </c>
      <c r="H10" s="21">
        <f t="shared" si="3"/>
        <v>0.72413793103448276</v>
      </c>
      <c r="I10" s="20">
        <f>SUM($D$2:D10)-SUM($G$2:G10)</f>
        <v>67210</v>
      </c>
      <c r="K10" s="3" t="s">
        <v>4</v>
      </c>
      <c r="L10" s="3">
        <f>SUM(L3:L9)</f>
        <v>34280.399999999994</v>
      </c>
      <c r="M10" s="3">
        <f>SUM(M2:M9)</f>
        <v>47339.600000000006</v>
      </c>
      <c r="N10" s="3">
        <f>SUM(N2:N9)</f>
        <v>81620</v>
      </c>
      <c r="O10" s="3">
        <f>SUM(O2:O9)</f>
        <v>49990</v>
      </c>
      <c r="P10" s="3">
        <f>SUM(P2:P9)</f>
        <v>31630</v>
      </c>
      <c r="Q10" s="3">
        <f>SUM(Q2:Q9)</f>
        <v>29040</v>
      </c>
    </row>
    <row r="11" spans="1:17" x14ac:dyDescent="0.35">
      <c r="A11" s="23">
        <v>44720</v>
      </c>
      <c r="B11" s="22">
        <f t="shared" si="0"/>
        <v>6406.2599999999993</v>
      </c>
      <c r="C11" s="22">
        <f t="shared" si="1"/>
        <v>8846.7400000000016</v>
      </c>
      <c r="D11" s="22">
        <f t="shared" si="2"/>
        <v>15253</v>
      </c>
      <c r="E11" s="22">
        <v>8500</v>
      </c>
      <c r="F11" s="22">
        <v>6753</v>
      </c>
      <c r="G11" s="22">
        <v>5650</v>
      </c>
      <c r="H11" s="21">
        <f t="shared" si="3"/>
        <v>0.72413793103448254</v>
      </c>
      <c r="I11" s="20">
        <f>SUM($D$2:D11)-SUM($G$2:G11)</f>
        <v>76813</v>
      </c>
      <c r="K11" s="3" t="s">
        <v>0</v>
      </c>
      <c r="L11" s="3">
        <f>L10/3</f>
        <v>11426.799999999997</v>
      </c>
      <c r="M11" s="3"/>
      <c r="N11" s="3"/>
      <c r="O11" s="2"/>
      <c r="P11" s="2"/>
      <c r="Q11" s="2"/>
    </row>
    <row r="12" spans="1:17" x14ac:dyDescent="0.35">
      <c r="A12" s="23">
        <v>44721</v>
      </c>
      <c r="B12" s="22">
        <f t="shared" si="0"/>
        <v>2449.02</v>
      </c>
      <c r="C12" s="22">
        <f t="shared" si="1"/>
        <v>3381.98</v>
      </c>
      <c r="D12" s="22">
        <f t="shared" si="2"/>
        <v>5831</v>
      </c>
      <c r="E12" s="22">
        <v>3971</v>
      </c>
      <c r="F12" s="22">
        <v>1860</v>
      </c>
      <c r="G12" s="22">
        <v>4040</v>
      </c>
      <c r="H12" s="21">
        <f t="shared" si="3"/>
        <v>0.72413793103448276</v>
      </c>
      <c r="I12" s="20">
        <f>SUM($D$2:D12)-SUM($G$2:G12)</f>
        <v>78604</v>
      </c>
    </row>
    <row r="13" spans="1:17" x14ac:dyDescent="0.35">
      <c r="A13" s="23">
        <v>44722</v>
      </c>
      <c r="B13" s="22">
        <f t="shared" si="0"/>
        <v>4338.5999999999995</v>
      </c>
      <c r="C13" s="22">
        <f t="shared" si="1"/>
        <v>5991.4000000000005</v>
      </c>
      <c r="D13" s="22">
        <f t="shared" si="2"/>
        <v>10330</v>
      </c>
      <c r="E13" s="22">
        <v>5850</v>
      </c>
      <c r="F13" s="22">
        <v>4480</v>
      </c>
      <c r="G13" s="22">
        <v>40</v>
      </c>
      <c r="H13" s="21">
        <f t="shared" si="3"/>
        <v>0.72413793103448265</v>
      </c>
      <c r="I13" s="20">
        <f>SUM($D$2:D13)-SUM($G$2:G13)</f>
        <v>88894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44723</v>
      </c>
      <c r="B14" s="22">
        <f t="shared" si="0"/>
        <v>1444.8</v>
      </c>
      <c r="C14" s="22">
        <f t="shared" si="1"/>
        <v>1995.2</v>
      </c>
      <c r="D14" s="22">
        <f t="shared" si="2"/>
        <v>3440</v>
      </c>
      <c r="E14" s="22">
        <v>3440</v>
      </c>
      <c r="F14" s="22"/>
      <c r="G14" s="22">
        <v>1100</v>
      </c>
      <c r="H14" s="21">
        <f t="shared" si="3"/>
        <v>0.72413793103448276</v>
      </c>
      <c r="I14" s="20">
        <f>SUM($D$2:D14)-SUM($G$2:G14)</f>
        <v>91234</v>
      </c>
      <c r="K14" s="8">
        <f t="shared" ref="K14:K20" si="9">A9</f>
        <v>44718</v>
      </c>
      <c r="L14" s="2">
        <f t="shared" ref="L14:L20" si="10">N14*0.42</f>
        <v>4006.7999999999997</v>
      </c>
      <c r="M14" s="2">
        <f t="shared" ref="M14:M20" si="11">N14-L14</f>
        <v>5533.2000000000007</v>
      </c>
      <c r="N14" s="2">
        <f t="shared" ref="N14:N20" si="12">O14+P14</f>
        <v>9540</v>
      </c>
      <c r="O14" s="2">
        <f t="shared" ref="O14:Q20" si="13">E9</f>
        <v>6390</v>
      </c>
      <c r="P14" s="2">
        <f t="shared" si="13"/>
        <v>3150</v>
      </c>
      <c r="Q14" s="2">
        <f t="shared" si="13"/>
        <v>30</v>
      </c>
    </row>
    <row r="15" spans="1:17" x14ac:dyDescent="0.35">
      <c r="A15" s="23">
        <v>44724</v>
      </c>
      <c r="B15" s="22">
        <f t="shared" si="0"/>
        <v>2545.1999999999998</v>
      </c>
      <c r="C15" s="22">
        <f t="shared" si="1"/>
        <v>3514.8</v>
      </c>
      <c r="D15" s="22">
        <f t="shared" si="2"/>
        <v>6060</v>
      </c>
      <c r="E15" s="22">
        <v>5040</v>
      </c>
      <c r="F15" s="22">
        <v>1020</v>
      </c>
      <c r="G15" s="22">
        <v>1250</v>
      </c>
      <c r="H15" s="21">
        <f t="shared" si="3"/>
        <v>0.72413793103448265</v>
      </c>
      <c r="I15" s="20">
        <f>SUM($D$2:D15)-SUM($G$2:G15)</f>
        <v>96044</v>
      </c>
      <c r="K15" s="9">
        <f t="shared" si="9"/>
        <v>44719</v>
      </c>
      <c r="L15" s="4">
        <f t="shared" si="10"/>
        <v>2675.4</v>
      </c>
      <c r="M15" s="4">
        <f t="shared" si="11"/>
        <v>3694.6</v>
      </c>
      <c r="N15" s="4">
        <f t="shared" si="12"/>
        <v>6370</v>
      </c>
      <c r="O15" s="4">
        <f t="shared" si="13"/>
        <v>2070</v>
      </c>
      <c r="P15" s="4">
        <f t="shared" si="13"/>
        <v>4300</v>
      </c>
      <c r="Q15" s="4">
        <f t="shared" si="13"/>
        <v>1250</v>
      </c>
    </row>
    <row r="16" spans="1:17" x14ac:dyDescent="0.35">
      <c r="A16" s="23">
        <v>44725</v>
      </c>
      <c r="B16" s="22">
        <f t="shared" si="0"/>
        <v>8099.7</v>
      </c>
      <c r="C16" s="22">
        <f t="shared" si="1"/>
        <v>11185.3</v>
      </c>
      <c r="D16" s="22">
        <f t="shared" si="2"/>
        <v>19285</v>
      </c>
      <c r="E16" s="22">
        <v>2875</v>
      </c>
      <c r="F16" s="22">
        <v>16410</v>
      </c>
      <c r="G16" s="22">
        <v>5230</v>
      </c>
      <c r="H16" s="21">
        <f t="shared" si="3"/>
        <v>0.72413793103448276</v>
      </c>
      <c r="I16" s="20">
        <f>SUM($D$2:D16)-SUM($G$2:G16)</f>
        <v>110099</v>
      </c>
      <c r="K16" s="8">
        <f t="shared" si="9"/>
        <v>44720</v>
      </c>
      <c r="L16" s="2">
        <f t="shared" si="10"/>
        <v>6406.2599999999993</v>
      </c>
      <c r="M16" s="2">
        <f t="shared" si="11"/>
        <v>8846.7400000000016</v>
      </c>
      <c r="N16" s="2">
        <f t="shared" si="12"/>
        <v>15253</v>
      </c>
      <c r="O16" s="2">
        <f t="shared" si="13"/>
        <v>8500</v>
      </c>
      <c r="P16" s="2">
        <f t="shared" si="13"/>
        <v>6753</v>
      </c>
      <c r="Q16" s="2">
        <f t="shared" si="13"/>
        <v>5650</v>
      </c>
    </row>
    <row r="17" spans="1:17" x14ac:dyDescent="0.35">
      <c r="A17" s="23">
        <v>44726</v>
      </c>
      <c r="B17" s="22">
        <f t="shared" si="0"/>
        <v>2881.2</v>
      </c>
      <c r="C17" s="22">
        <f t="shared" si="1"/>
        <v>3978.8</v>
      </c>
      <c r="D17" s="22">
        <f t="shared" si="2"/>
        <v>6860</v>
      </c>
      <c r="E17" s="22">
        <v>2580</v>
      </c>
      <c r="F17" s="22">
        <v>4280</v>
      </c>
      <c r="G17" s="22">
        <v>1050</v>
      </c>
      <c r="H17" s="21">
        <f t="shared" si="3"/>
        <v>0.72413793103448265</v>
      </c>
      <c r="I17" s="20">
        <f>SUM($D$2:D17)-SUM($G$2:G17)</f>
        <v>115909</v>
      </c>
      <c r="K17" s="9">
        <f t="shared" si="9"/>
        <v>44721</v>
      </c>
      <c r="L17" s="4">
        <f t="shared" si="10"/>
        <v>2449.02</v>
      </c>
      <c r="M17" s="4">
        <f t="shared" si="11"/>
        <v>3381.98</v>
      </c>
      <c r="N17" s="4">
        <f t="shared" si="12"/>
        <v>5831</v>
      </c>
      <c r="O17" s="4">
        <f t="shared" si="13"/>
        <v>3971</v>
      </c>
      <c r="P17" s="4">
        <f t="shared" si="13"/>
        <v>1860</v>
      </c>
      <c r="Q17" s="4">
        <f t="shared" si="13"/>
        <v>4040</v>
      </c>
    </row>
    <row r="18" spans="1:17" x14ac:dyDescent="0.35">
      <c r="A18" s="23">
        <v>44727</v>
      </c>
      <c r="B18" s="22">
        <f t="shared" si="0"/>
        <v>6821.2199999999993</v>
      </c>
      <c r="C18" s="22">
        <f t="shared" si="1"/>
        <v>9419.7800000000007</v>
      </c>
      <c r="D18" s="22">
        <f t="shared" si="2"/>
        <v>16241</v>
      </c>
      <c r="E18" s="22">
        <v>6370</v>
      </c>
      <c r="F18" s="22">
        <v>9871</v>
      </c>
      <c r="G18" s="22">
        <v>3380</v>
      </c>
      <c r="H18" s="21">
        <f t="shared" si="3"/>
        <v>0.72413793103448265</v>
      </c>
      <c r="I18" s="20">
        <f>SUM($D$2:D18)-SUM($G$2:G18)</f>
        <v>128770</v>
      </c>
      <c r="K18" s="8">
        <f t="shared" si="9"/>
        <v>44722</v>
      </c>
      <c r="L18" s="2">
        <f t="shared" si="10"/>
        <v>4338.5999999999995</v>
      </c>
      <c r="M18" s="2">
        <f t="shared" si="11"/>
        <v>5991.4000000000005</v>
      </c>
      <c r="N18" s="2">
        <f t="shared" si="12"/>
        <v>10330</v>
      </c>
      <c r="O18" s="2">
        <f t="shared" si="13"/>
        <v>5850</v>
      </c>
      <c r="P18" s="2">
        <f t="shared" si="13"/>
        <v>4480</v>
      </c>
      <c r="Q18" s="2">
        <f t="shared" si="13"/>
        <v>40</v>
      </c>
    </row>
    <row r="19" spans="1:17" x14ac:dyDescent="0.35">
      <c r="A19" s="23">
        <v>44728</v>
      </c>
      <c r="B19" s="22">
        <f t="shared" si="0"/>
        <v>4124.3999999999996</v>
      </c>
      <c r="C19" s="22">
        <f t="shared" si="1"/>
        <v>5695.6</v>
      </c>
      <c r="D19" s="22">
        <f t="shared" si="2"/>
        <v>9820</v>
      </c>
      <c r="E19" s="22">
        <v>4000</v>
      </c>
      <c r="F19" s="22">
        <v>5820</v>
      </c>
      <c r="G19" s="22">
        <v>6150</v>
      </c>
      <c r="H19" s="21">
        <f t="shared" si="3"/>
        <v>0.72413793103448265</v>
      </c>
      <c r="I19" s="20">
        <f>SUM($D$2:D19)-SUM($G$2:G19)</f>
        <v>132440</v>
      </c>
      <c r="K19" s="9">
        <f t="shared" si="9"/>
        <v>44723</v>
      </c>
      <c r="L19" s="4">
        <f t="shared" si="10"/>
        <v>1444.8</v>
      </c>
      <c r="M19" s="4">
        <f t="shared" si="11"/>
        <v>1995.2</v>
      </c>
      <c r="N19" s="4">
        <f t="shared" si="12"/>
        <v>3440</v>
      </c>
      <c r="O19" s="4">
        <f t="shared" si="13"/>
        <v>3440</v>
      </c>
      <c r="P19" s="4">
        <f t="shared" si="13"/>
        <v>0</v>
      </c>
      <c r="Q19" s="4">
        <f t="shared" si="13"/>
        <v>1100</v>
      </c>
    </row>
    <row r="20" spans="1:17" x14ac:dyDescent="0.35">
      <c r="A20" s="23">
        <v>44729</v>
      </c>
      <c r="B20" s="22">
        <f t="shared" si="0"/>
        <v>2734.2</v>
      </c>
      <c r="C20" s="22">
        <f t="shared" si="1"/>
        <v>3775.8</v>
      </c>
      <c r="D20" s="22">
        <f t="shared" si="2"/>
        <v>6510</v>
      </c>
      <c r="E20" s="22">
        <v>3060</v>
      </c>
      <c r="F20" s="22">
        <v>3450</v>
      </c>
      <c r="G20" s="22">
        <v>2540</v>
      </c>
      <c r="H20" s="21">
        <f t="shared" si="3"/>
        <v>0.72413793103448265</v>
      </c>
      <c r="I20" s="20">
        <f>SUM($D$2:D20)-SUM($G$2:G20)</f>
        <v>136410</v>
      </c>
      <c r="K20" s="8">
        <f t="shared" si="9"/>
        <v>44724</v>
      </c>
      <c r="L20" s="2">
        <f t="shared" si="10"/>
        <v>2545.1999999999998</v>
      </c>
      <c r="M20" s="2">
        <f t="shared" si="11"/>
        <v>3514.8</v>
      </c>
      <c r="N20" s="2">
        <f t="shared" si="12"/>
        <v>6060</v>
      </c>
      <c r="O20" s="2">
        <f t="shared" si="13"/>
        <v>5040</v>
      </c>
      <c r="P20" s="2">
        <f t="shared" si="13"/>
        <v>1020</v>
      </c>
      <c r="Q20" s="2">
        <f t="shared" si="13"/>
        <v>1250</v>
      </c>
    </row>
    <row r="21" spans="1:17" x14ac:dyDescent="0.35">
      <c r="A21" s="23">
        <v>44730</v>
      </c>
      <c r="B21" s="22">
        <f t="shared" si="0"/>
        <v>3008.88</v>
      </c>
      <c r="C21" s="22">
        <f t="shared" si="1"/>
        <v>4155.12</v>
      </c>
      <c r="D21" s="22">
        <f t="shared" si="2"/>
        <v>7164</v>
      </c>
      <c r="E21" s="22">
        <v>5934</v>
      </c>
      <c r="F21" s="22">
        <v>1230</v>
      </c>
      <c r="G21" s="22">
        <v>2530</v>
      </c>
      <c r="H21" s="21">
        <f t="shared" si="3"/>
        <v>0.72413793103448276</v>
      </c>
      <c r="I21" s="20">
        <f>SUM($D$2:D21)-SUM($G$2:G21)</f>
        <v>141044</v>
      </c>
      <c r="K21" s="3" t="s">
        <v>4</v>
      </c>
      <c r="L21" s="3">
        <f t="shared" ref="L21:Q21" si="14">SUM(L14:L20)</f>
        <v>23866.079999999998</v>
      </c>
      <c r="M21" s="3">
        <f t="shared" si="14"/>
        <v>32957.920000000006</v>
      </c>
      <c r="N21" s="3">
        <f t="shared" si="14"/>
        <v>56824</v>
      </c>
      <c r="O21" s="3">
        <f t="shared" si="14"/>
        <v>35261</v>
      </c>
      <c r="P21" s="3">
        <f t="shared" si="14"/>
        <v>21563</v>
      </c>
      <c r="Q21" s="3">
        <f t="shared" si="14"/>
        <v>13360</v>
      </c>
    </row>
    <row r="22" spans="1:17" x14ac:dyDescent="0.35">
      <c r="A22" s="23">
        <v>44731</v>
      </c>
      <c r="B22" s="22">
        <f t="shared" si="0"/>
        <v>4187.3999999999996</v>
      </c>
      <c r="C22" s="22">
        <f t="shared" si="1"/>
        <v>5782.6</v>
      </c>
      <c r="D22" s="22">
        <f t="shared" si="2"/>
        <v>9970</v>
      </c>
      <c r="E22" s="22">
        <v>3540</v>
      </c>
      <c r="F22" s="22">
        <v>6430</v>
      </c>
      <c r="G22" s="22">
        <v>1520</v>
      </c>
      <c r="H22" s="21">
        <f t="shared" si="3"/>
        <v>0.72413793103448265</v>
      </c>
      <c r="I22" s="20">
        <f>SUM($D$2:D22)-SUM($G$2:G22)</f>
        <v>149494</v>
      </c>
      <c r="K22" s="3" t="s">
        <v>0</v>
      </c>
      <c r="L22" s="3">
        <f>L21/3</f>
        <v>7955.36</v>
      </c>
      <c r="M22" s="3"/>
      <c r="N22" s="3"/>
      <c r="O22" s="2"/>
      <c r="P22" s="2"/>
      <c r="Q22" s="2"/>
    </row>
    <row r="23" spans="1:17" x14ac:dyDescent="0.35">
      <c r="A23" s="23">
        <v>44732</v>
      </c>
      <c r="B23" s="22">
        <f t="shared" si="0"/>
        <v>3645.6</v>
      </c>
      <c r="C23" s="22">
        <f t="shared" si="1"/>
        <v>5034.3999999999996</v>
      </c>
      <c r="D23" s="22">
        <f t="shared" si="2"/>
        <v>8680</v>
      </c>
      <c r="E23" s="22">
        <v>6420</v>
      </c>
      <c r="F23" s="22">
        <f>2690-430</f>
        <v>2260</v>
      </c>
      <c r="G23" s="22">
        <v>1720</v>
      </c>
      <c r="H23" s="21">
        <f t="shared" si="3"/>
        <v>0.72413793103448276</v>
      </c>
      <c r="I23" s="20">
        <f>SUM($D$2:D23)-SUM($G$2:G23)</f>
        <v>156454</v>
      </c>
    </row>
    <row r="24" spans="1:17" x14ac:dyDescent="0.35">
      <c r="A24" s="23">
        <v>44733</v>
      </c>
      <c r="B24" s="22">
        <f t="shared" si="0"/>
        <v>10663.8</v>
      </c>
      <c r="C24" s="22">
        <f t="shared" si="1"/>
        <v>14726.2</v>
      </c>
      <c r="D24" s="22">
        <f t="shared" si="2"/>
        <v>25390</v>
      </c>
      <c r="E24" s="22">
        <v>6110</v>
      </c>
      <c r="F24" s="22">
        <v>19280</v>
      </c>
      <c r="G24" s="22">
        <v>52700</v>
      </c>
      <c r="H24" s="21">
        <f t="shared" si="3"/>
        <v>0.72413793103448265</v>
      </c>
      <c r="I24" s="20">
        <f>SUM($D$2:D24)-SUM($G$2:G24)</f>
        <v>129144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44734</v>
      </c>
      <c r="B25" s="22">
        <f t="shared" si="0"/>
        <v>7568.4</v>
      </c>
      <c r="C25" s="22">
        <f t="shared" si="1"/>
        <v>10451.6</v>
      </c>
      <c r="D25" s="22">
        <f t="shared" si="2"/>
        <v>18020</v>
      </c>
      <c r="E25" s="22">
        <v>9870</v>
      </c>
      <c r="F25" s="22">
        <v>8150</v>
      </c>
      <c r="G25" s="22">
        <v>850</v>
      </c>
      <c r="H25" s="21">
        <f t="shared" si="3"/>
        <v>0.72413793103448265</v>
      </c>
      <c r="I25" s="20">
        <f>SUM($D$2:D25)-SUM($G$2:G25)</f>
        <v>146314</v>
      </c>
      <c r="K25" s="8">
        <f t="shared" ref="K25:K31" si="15">A16</f>
        <v>44725</v>
      </c>
      <c r="L25" s="2">
        <f t="shared" ref="L25:L31" si="16">N25*0.42</f>
        <v>8099.7</v>
      </c>
      <c r="M25" s="2">
        <f t="shared" ref="M25:M31" si="17">N25-L25</f>
        <v>11185.3</v>
      </c>
      <c r="N25" s="2">
        <f t="shared" ref="N25:N31" si="18">O25+P25</f>
        <v>19285</v>
      </c>
      <c r="O25" s="2">
        <f t="shared" ref="O25:Q31" si="19">E16</f>
        <v>2875</v>
      </c>
      <c r="P25" s="2">
        <f t="shared" si="19"/>
        <v>16410</v>
      </c>
      <c r="Q25" s="2">
        <f t="shared" si="19"/>
        <v>5230</v>
      </c>
    </row>
    <row r="26" spans="1:17" x14ac:dyDescent="0.35">
      <c r="A26" s="23">
        <v>44735</v>
      </c>
      <c r="B26" s="22">
        <f t="shared" si="0"/>
        <v>10329.9</v>
      </c>
      <c r="C26" s="22">
        <f t="shared" si="1"/>
        <v>14265.1</v>
      </c>
      <c r="D26" s="22">
        <f t="shared" si="2"/>
        <v>24595</v>
      </c>
      <c r="E26" s="22">
        <v>6230</v>
      </c>
      <c r="F26" s="22">
        <v>18365</v>
      </c>
      <c r="G26" s="22">
        <v>2630</v>
      </c>
      <c r="H26" s="21">
        <f t="shared" si="3"/>
        <v>0.72413793103448276</v>
      </c>
      <c r="I26" s="20">
        <f>SUM($D$2:D26)-SUM($G$2:G26)</f>
        <v>168279</v>
      </c>
      <c r="K26" s="9">
        <f t="shared" si="15"/>
        <v>44726</v>
      </c>
      <c r="L26" s="4">
        <f t="shared" si="16"/>
        <v>2881.2</v>
      </c>
      <c r="M26" s="4">
        <f t="shared" si="17"/>
        <v>3978.8</v>
      </c>
      <c r="N26" s="4">
        <f t="shared" si="18"/>
        <v>6860</v>
      </c>
      <c r="O26" s="4">
        <f t="shared" si="19"/>
        <v>2580</v>
      </c>
      <c r="P26" s="4">
        <f t="shared" si="19"/>
        <v>4280</v>
      </c>
      <c r="Q26" s="4">
        <f t="shared" si="19"/>
        <v>1050</v>
      </c>
    </row>
    <row r="27" spans="1:17" x14ac:dyDescent="0.35">
      <c r="A27" s="23">
        <v>44736</v>
      </c>
      <c r="B27" s="22">
        <f t="shared" si="0"/>
        <v>2431.7999999999997</v>
      </c>
      <c r="C27" s="22">
        <f t="shared" si="1"/>
        <v>3358.2000000000003</v>
      </c>
      <c r="D27" s="22">
        <f t="shared" si="2"/>
        <v>5790</v>
      </c>
      <c r="E27" s="22">
        <v>4670</v>
      </c>
      <c r="F27" s="22">
        <v>1120</v>
      </c>
      <c r="G27" s="22">
        <v>30</v>
      </c>
      <c r="H27" s="21">
        <f t="shared" si="3"/>
        <v>0.72413793103448265</v>
      </c>
      <c r="I27" s="20">
        <f>SUM($D$2:D27)-SUM($G$2:G27)</f>
        <v>174039</v>
      </c>
      <c r="K27" s="8">
        <f t="shared" si="15"/>
        <v>44727</v>
      </c>
      <c r="L27" s="2">
        <f t="shared" si="16"/>
        <v>6821.2199999999993</v>
      </c>
      <c r="M27" s="2">
        <f t="shared" si="17"/>
        <v>9419.7800000000007</v>
      </c>
      <c r="N27" s="2">
        <f t="shared" si="18"/>
        <v>16241</v>
      </c>
      <c r="O27" s="2">
        <f t="shared" si="19"/>
        <v>6370</v>
      </c>
      <c r="P27" s="2">
        <f t="shared" si="19"/>
        <v>9871</v>
      </c>
      <c r="Q27" s="2">
        <f t="shared" si="19"/>
        <v>3380</v>
      </c>
    </row>
    <row r="28" spans="1:17" x14ac:dyDescent="0.35">
      <c r="A28" s="23">
        <v>44737</v>
      </c>
      <c r="B28" s="22">
        <f t="shared" si="0"/>
        <v>7786.7999999999993</v>
      </c>
      <c r="C28" s="22">
        <f t="shared" si="1"/>
        <v>10753.2</v>
      </c>
      <c r="D28" s="22">
        <f t="shared" si="2"/>
        <v>18540</v>
      </c>
      <c r="E28" s="22">
        <v>3910</v>
      </c>
      <c r="F28" s="22">
        <v>14630</v>
      </c>
      <c r="G28" s="22">
        <v>1250</v>
      </c>
      <c r="H28" s="21">
        <f t="shared" si="3"/>
        <v>0.72413793103448265</v>
      </c>
      <c r="I28" s="20">
        <f>SUM($D$2:D28)-SUM($G$2:G28)</f>
        <v>191329</v>
      </c>
      <c r="K28" s="9">
        <f t="shared" si="15"/>
        <v>44728</v>
      </c>
      <c r="L28" s="4">
        <f t="shared" si="16"/>
        <v>4124.3999999999996</v>
      </c>
      <c r="M28" s="4">
        <f t="shared" si="17"/>
        <v>5695.6</v>
      </c>
      <c r="N28" s="4">
        <f t="shared" si="18"/>
        <v>9820</v>
      </c>
      <c r="O28" s="4">
        <f t="shared" si="19"/>
        <v>4000</v>
      </c>
      <c r="P28" s="4">
        <f t="shared" si="19"/>
        <v>5820</v>
      </c>
      <c r="Q28" s="4">
        <f t="shared" si="19"/>
        <v>6150</v>
      </c>
    </row>
    <row r="29" spans="1:17" x14ac:dyDescent="0.35">
      <c r="A29" s="23">
        <v>44738</v>
      </c>
      <c r="B29" s="22">
        <f t="shared" si="0"/>
        <v>5002.2</v>
      </c>
      <c r="C29" s="22">
        <f t="shared" si="1"/>
        <v>6907.8</v>
      </c>
      <c r="D29" s="22">
        <f t="shared" si="2"/>
        <v>11910</v>
      </c>
      <c r="E29" s="24">
        <v>4500</v>
      </c>
      <c r="F29" s="22">
        <v>7410</v>
      </c>
      <c r="G29" s="22">
        <v>7740</v>
      </c>
      <c r="H29" s="21">
        <f t="shared" si="3"/>
        <v>0.72413793103448276</v>
      </c>
      <c r="I29" s="20">
        <f>SUM($D$2:D29)-SUM($G$2:G29)</f>
        <v>195499</v>
      </c>
      <c r="K29" s="8">
        <f t="shared" si="15"/>
        <v>44729</v>
      </c>
      <c r="L29" s="2">
        <f t="shared" si="16"/>
        <v>2734.2</v>
      </c>
      <c r="M29" s="2">
        <f t="shared" si="17"/>
        <v>3775.8</v>
      </c>
      <c r="N29" s="2">
        <f t="shared" si="18"/>
        <v>6510</v>
      </c>
      <c r="O29" s="2">
        <f t="shared" si="19"/>
        <v>3060</v>
      </c>
      <c r="P29" s="2">
        <f t="shared" si="19"/>
        <v>3450</v>
      </c>
      <c r="Q29" s="2">
        <f t="shared" si="19"/>
        <v>2540</v>
      </c>
    </row>
    <row r="30" spans="1:17" x14ac:dyDescent="0.35">
      <c r="A30" s="23">
        <v>44739</v>
      </c>
      <c r="B30" s="22">
        <f t="shared" si="0"/>
        <v>1310.3999999999999</v>
      </c>
      <c r="C30" s="22">
        <f t="shared" si="1"/>
        <v>1809.6000000000001</v>
      </c>
      <c r="D30" s="22">
        <f t="shared" si="2"/>
        <v>3120</v>
      </c>
      <c r="E30" s="22">
        <v>870</v>
      </c>
      <c r="F30" s="22">
        <v>2250</v>
      </c>
      <c r="G30" s="22"/>
      <c r="H30" s="21">
        <f t="shared" si="3"/>
        <v>0.72413793103448265</v>
      </c>
      <c r="I30" s="20">
        <f>SUM($D$2:D30)-SUM($G$2:G30)</f>
        <v>198619</v>
      </c>
      <c r="K30" s="9">
        <f t="shared" si="15"/>
        <v>44730</v>
      </c>
      <c r="L30" s="4">
        <f t="shared" si="16"/>
        <v>3008.88</v>
      </c>
      <c r="M30" s="4">
        <f t="shared" si="17"/>
        <v>4155.12</v>
      </c>
      <c r="N30" s="4">
        <f t="shared" si="18"/>
        <v>7164</v>
      </c>
      <c r="O30" s="4">
        <f t="shared" si="19"/>
        <v>5934</v>
      </c>
      <c r="P30" s="4">
        <f t="shared" si="19"/>
        <v>1230</v>
      </c>
      <c r="Q30" s="4">
        <f t="shared" si="19"/>
        <v>2530</v>
      </c>
    </row>
    <row r="31" spans="1:17" x14ac:dyDescent="0.35">
      <c r="A31" s="23">
        <v>44740</v>
      </c>
      <c r="B31" s="22">
        <f t="shared" si="0"/>
        <v>4725</v>
      </c>
      <c r="C31" s="22">
        <f t="shared" si="1"/>
        <v>6525</v>
      </c>
      <c r="D31" s="22">
        <f t="shared" si="2"/>
        <v>11250</v>
      </c>
      <c r="E31" s="22">
        <f>7770+3200</f>
        <v>10970</v>
      </c>
      <c r="F31" s="22">
        <v>280</v>
      </c>
      <c r="G31" s="22">
        <v>30</v>
      </c>
      <c r="H31" s="21">
        <f t="shared" si="3"/>
        <v>0.72413793103448276</v>
      </c>
      <c r="I31" s="20">
        <f>SUM($D$2:D31)-SUM($G$2:G31)</f>
        <v>209839</v>
      </c>
      <c r="K31" s="8">
        <f t="shared" si="15"/>
        <v>44731</v>
      </c>
      <c r="L31" s="2">
        <f t="shared" si="16"/>
        <v>4187.3999999999996</v>
      </c>
      <c r="M31" s="2">
        <f t="shared" si="17"/>
        <v>5782.6</v>
      </c>
      <c r="N31" s="2">
        <f t="shared" si="18"/>
        <v>9970</v>
      </c>
      <c r="O31" s="2">
        <f t="shared" si="19"/>
        <v>3540</v>
      </c>
      <c r="P31" s="2">
        <f t="shared" si="19"/>
        <v>6430</v>
      </c>
      <c r="Q31" s="2">
        <f t="shared" si="19"/>
        <v>1520</v>
      </c>
    </row>
    <row r="32" spans="1:17" x14ac:dyDescent="0.35">
      <c r="A32" s="23">
        <v>44741</v>
      </c>
      <c r="B32" s="22">
        <f t="shared" si="0"/>
        <v>3620.4</v>
      </c>
      <c r="C32" s="22">
        <f t="shared" si="1"/>
        <v>4999.6000000000004</v>
      </c>
      <c r="D32" s="22">
        <f t="shared" si="2"/>
        <v>8620</v>
      </c>
      <c r="E32" s="22">
        <v>5420</v>
      </c>
      <c r="F32" s="22">
        <v>3200</v>
      </c>
      <c r="G32" s="22">
        <v>230</v>
      </c>
      <c r="H32" s="21">
        <f t="shared" si="3"/>
        <v>0.72413793103448276</v>
      </c>
      <c r="I32" s="20">
        <f>SUM($D$2:D32)-SUM($G$2:G32)</f>
        <v>218229</v>
      </c>
      <c r="K32" s="3" t="s">
        <v>4</v>
      </c>
      <c r="L32" s="2">
        <f t="shared" ref="L32:Q32" si="20">SUM(L25:L31)</f>
        <v>31857</v>
      </c>
      <c r="M32" s="2">
        <f t="shared" si="20"/>
        <v>43993</v>
      </c>
      <c r="N32" s="2">
        <f t="shared" si="20"/>
        <v>75850</v>
      </c>
      <c r="O32" s="2">
        <f t="shared" si="20"/>
        <v>28359</v>
      </c>
      <c r="P32" s="2">
        <f t="shared" si="20"/>
        <v>47491</v>
      </c>
      <c r="Q32" s="2">
        <f t="shared" si="20"/>
        <v>22400</v>
      </c>
    </row>
    <row r="33" spans="1:17" x14ac:dyDescent="0.35">
      <c r="A33" s="23">
        <v>44742</v>
      </c>
      <c r="B33" s="22">
        <f t="shared" si="0"/>
        <v>7742.7</v>
      </c>
      <c r="C33" s="22">
        <f t="shared" si="1"/>
        <v>10692.3</v>
      </c>
      <c r="D33" s="22">
        <f t="shared" si="2"/>
        <v>18435</v>
      </c>
      <c r="E33" s="22">
        <v>8510</v>
      </c>
      <c r="F33" s="22">
        <v>9925</v>
      </c>
      <c r="G33" s="22">
        <v>30</v>
      </c>
      <c r="H33" s="21">
        <f t="shared" si="3"/>
        <v>0.72413793103448276</v>
      </c>
      <c r="I33" s="20">
        <f>SUM($D$2:D33)-SUM($G$2:G33)</f>
        <v>236634</v>
      </c>
      <c r="K33" s="3" t="s">
        <v>0</v>
      </c>
      <c r="L33" s="4">
        <f>L32/3</f>
        <v>10619</v>
      </c>
      <c r="M33" s="4"/>
      <c r="N33" s="4"/>
      <c r="O33" s="4"/>
      <c r="P33" s="4"/>
      <c r="Q33" s="4"/>
    </row>
    <row r="34" spans="1:17" x14ac:dyDescent="0.35">
      <c r="A34" s="23">
        <v>44743</v>
      </c>
      <c r="B34" s="22">
        <f t="shared" si="0"/>
        <v>2389.7999999999997</v>
      </c>
      <c r="C34" s="22">
        <f t="shared" si="1"/>
        <v>3300.2000000000003</v>
      </c>
      <c r="D34" s="22">
        <f t="shared" si="2"/>
        <v>5690</v>
      </c>
      <c r="E34" s="22">
        <v>3250</v>
      </c>
      <c r="F34" s="22">
        <v>2440</v>
      </c>
      <c r="G34" s="22">
        <v>20</v>
      </c>
      <c r="H34" s="21">
        <f t="shared" si="3"/>
        <v>0.72413793103448265</v>
      </c>
      <c r="I34" s="20">
        <f>SUM($D$2:D34)-SUM($G$2:G34)</f>
        <v>242304</v>
      </c>
    </row>
    <row r="35" spans="1:17" x14ac:dyDescent="0.35">
      <c r="A35" s="23">
        <v>44744</v>
      </c>
      <c r="B35" s="22">
        <f t="shared" si="0"/>
        <v>1528.8</v>
      </c>
      <c r="C35" s="22">
        <f t="shared" si="1"/>
        <v>2111.1999999999998</v>
      </c>
      <c r="D35" s="22">
        <f t="shared" si="2"/>
        <v>3640</v>
      </c>
      <c r="E35" s="22">
        <v>2440</v>
      </c>
      <c r="F35" s="22">
        <v>1200</v>
      </c>
      <c r="G35" s="22">
        <v>95</v>
      </c>
      <c r="H35" s="21">
        <f t="shared" si="3"/>
        <v>0.72413793103448276</v>
      </c>
      <c r="I35" s="20">
        <f>SUM($D$2:D35)-SUM($G$2:G35)</f>
        <v>245849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3">
        <v>44745</v>
      </c>
      <c r="B36" s="22">
        <f t="shared" si="0"/>
        <v>4821.5999999999995</v>
      </c>
      <c r="C36" s="22">
        <f t="shared" si="1"/>
        <v>6658.4000000000005</v>
      </c>
      <c r="D36" s="22">
        <f t="shared" si="2"/>
        <v>11480</v>
      </c>
      <c r="E36" s="22">
        <v>7480</v>
      </c>
      <c r="F36" s="22">
        <v>4000</v>
      </c>
      <c r="G36" s="22">
        <v>100</v>
      </c>
      <c r="H36" s="21">
        <f t="shared" si="3"/>
        <v>0.72413793103448265</v>
      </c>
      <c r="I36" s="20">
        <f>SUM($D$2:D36)-SUM($G$2:G36)</f>
        <v>257229</v>
      </c>
      <c r="K36" s="8">
        <f t="shared" ref="K36:K42" si="21">A23</f>
        <v>44732</v>
      </c>
      <c r="L36" s="2">
        <f t="shared" ref="L36:L42" si="22">N36*0.39</f>
        <v>3385.2000000000003</v>
      </c>
      <c r="M36" s="2">
        <f t="shared" ref="M36:M42" si="23">N36-L36</f>
        <v>5294.7999999999993</v>
      </c>
      <c r="N36" s="2">
        <f t="shared" ref="N36:N42" si="24">O36+P36</f>
        <v>8680</v>
      </c>
      <c r="O36" s="2">
        <f t="shared" ref="O36:Q42" si="25">E23</f>
        <v>6420</v>
      </c>
      <c r="P36" s="2">
        <f t="shared" si="25"/>
        <v>2260</v>
      </c>
      <c r="Q36" s="2">
        <f t="shared" si="25"/>
        <v>1720</v>
      </c>
    </row>
    <row r="37" spans="1:17" ht="15" thickBot="1" x14ac:dyDescent="0.4">
      <c r="A37" s="19" t="s">
        <v>4</v>
      </c>
      <c r="B37" s="18">
        <f>SUM(B2:B29)</f>
        <v>137431.97999999998</v>
      </c>
      <c r="C37" s="18">
        <f>SUM(C2:C29)</f>
        <v>189787.02000000002</v>
      </c>
      <c r="D37" s="18">
        <f>SUM(D2:D32)</f>
        <v>350209</v>
      </c>
      <c r="E37" s="18">
        <f>SUM(E2:E29)</f>
        <v>155320</v>
      </c>
      <c r="F37" s="18">
        <f>SUM(F2:F29)</f>
        <v>171899</v>
      </c>
      <c r="G37" s="18">
        <f>SUM(G2:G29)</f>
        <v>131720</v>
      </c>
      <c r="H37" s="15">
        <f>SUM(G2:G36)</f>
        <v>132225</v>
      </c>
      <c r="I37" s="14">
        <f>B37/C37</f>
        <v>0.72413793103448254</v>
      </c>
      <c r="K37" s="9">
        <f t="shared" si="21"/>
        <v>44733</v>
      </c>
      <c r="L37" s="4">
        <f t="shared" si="22"/>
        <v>9902.1</v>
      </c>
      <c r="M37" s="4">
        <f t="shared" si="23"/>
        <v>15487.9</v>
      </c>
      <c r="N37" s="4">
        <f t="shared" si="24"/>
        <v>25390</v>
      </c>
      <c r="O37" s="4">
        <f t="shared" si="25"/>
        <v>6110</v>
      </c>
      <c r="P37" s="4">
        <f t="shared" si="25"/>
        <v>19280</v>
      </c>
      <c r="Q37" s="4">
        <f t="shared" si="25"/>
        <v>52700</v>
      </c>
    </row>
    <row r="38" spans="1:17" x14ac:dyDescent="0.35">
      <c r="A38" s="12"/>
      <c r="B38" s="11">
        <f>B37/3</f>
        <v>45810.659999999996</v>
      </c>
      <c r="C38" s="11"/>
      <c r="E38" s="13">
        <f>D37*0.42</f>
        <v>147087.78</v>
      </c>
      <c r="F38" s="11"/>
      <c r="G38" s="11"/>
      <c r="H38" s="10"/>
      <c r="K38" s="8">
        <f t="shared" si="21"/>
        <v>44734</v>
      </c>
      <c r="L38" s="2">
        <f t="shared" si="22"/>
        <v>7027.8</v>
      </c>
      <c r="M38" s="2">
        <f t="shared" si="23"/>
        <v>10992.2</v>
      </c>
      <c r="N38" s="2">
        <f t="shared" si="24"/>
        <v>18020</v>
      </c>
      <c r="O38" s="2">
        <f t="shared" si="25"/>
        <v>9870</v>
      </c>
      <c r="P38" s="2">
        <f t="shared" si="25"/>
        <v>8150</v>
      </c>
      <c r="Q38" s="2">
        <f t="shared" si="25"/>
        <v>850</v>
      </c>
    </row>
    <row r="39" spans="1:17" x14ac:dyDescent="0.35">
      <c r="A39" s="12"/>
      <c r="B39" s="11">
        <f>B38*100/D37</f>
        <v>13.080948804856529</v>
      </c>
      <c r="C39" s="11"/>
      <c r="E39" s="11">
        <f>E38/3</f>
        <v>49029.26</v>
      </c>
      <c r="F39" s="11"/>
      <c r="G39" s="11"/>
      <c r="H39" s="10"/>
      <c r="K39" s="9">
        <f t="shared" si="21"/>
        <v>44735</v>
      </c>
      <c r="L39" s="4">
        <f t="shared" si="22"/>
        <v>9592.0500000000011</v>
      </c>
      <c r="M39" s="4">
        <f t="shared" si="23"/>
        <v>15002.949999999999</v>
      </c>
      <c r="N39" s="4">
        <f t="shared" si="24"/>
        <v>24595</v>
      </c>
      <c r="O39" s="4">
        <f t="shared" si="25"/>
        <v>6230</v>
      </c>
      <c r="P39" s="4">
        <f t="shared" si="25"/>
        <v>18365</v>
      </c>
      <c r="Q39" s="4">
        <f t="shared" si="25"/>
        <v>2630</v>
      </c>
    </row>
    <row r="40" spans="1:17" x14ac:dyDescent="0.35">
      <c r="K40" s="8">
        <f t="shared" si="21"/>
        <v>44736</v>
      </c>
      <c r="L40" s="2">
        <f t="shared" si="22"/>
        <v>2258.1</v>
      </c>
      <c r="M40" s="2">
        <f t="shared" si="23"/>
        <v>3531.9</v>
      </c>
      <c r="N40" s="2">
        <f t="shared" si="24"/>
        <v>5790</v>
      </c>
      <c r="O40" s="2">
        <f t="shared" si="25"/>
        <v>4670</v>
      </c>
      <c r="P40" s="2">
        <f t="shared" si="25"/>
        <v>1120</v>
      </c>
      <c r="Q40" s="2">
        <f t="shared" si="25"/>
        <v>30</v>
      </c>
    </row>
    <row r="41" spans="1:17" x14ac:dyDescent="0.35">
      <c r="K41" s="9">
        <f t="shared" si="21"/>
        <v>44737</v>
      </c>
      <c r="L41" s="4">
        <f t="shared" si="22"/>
        <v>7230.6</v>
      </c>
      <c r="M41" s="4">
        <f t="shared" si="23"/>
        <v>11309.4</v>
      </c>
      <c r="N41" s="4">
        <f t="shared" si="24"/>
        <v>18540</v>
      </c>
      <c r="O41" s="4">
        <f t="shared" si="25"/>
        <v>3910</v>
      </c>
      <c r="P41" s="4">
        <f t="shared" si="25"/>
        <v>14630</v>
      </c>
      <c r="Q41" s="4">
        <f t="shared" si="25"/>
        <v>1250</v>
      </c>
    </row>
    <row r="42" spans="1:17" x14ac:dyDescent="0.35">
      <c r="K42" s="8">
        <f t="shared" si="21"/>
        <v>44738</v>
      </c>
      <c r="L42" s="2">
        <f t="shared" si="22"/>
        <v>4644.9000000000005</v>
      </c>
      <c r="M42" s="2">
        <f t="shared" si="23"/>
        <v>7265.0999999999995</v>
      </c>
      <c r="N42" s="2">
        <f t="shared" si="24"/>
        <v>11910</v>
      </c>
      <c r="O42" s="2">
        <f t="shared" si="25"/>
        <v>4500</v>
      </c>
      <c r="P42" s="2">
        <f t="shared" si="25"/>
        <v>7410</v>
      </c>
      <c r="Q42" s="2">
        <f t="shared" si="25"/>
        <v>7740</v>
      </c>
    </row>
    <row r="43" spans="1:17" x14ac:dyDescent="0.35">
      <c r="K43" s="3" t="s">
        <v>4</v>
      </c>
      <c r="L43" s="4">
        <f t="shared" ref="L43:Q43" si="26">SUM(L36:L42)</f>
        <v>44040.75</v>
      </c>
      <c r="M43" s="4">
        <f t="shared" si="26"/>
        <v>68884.25</v>
      </c>
      <c r="N43" s="4">
        <f t="shared" si="26"/>
        <v>112925</v>
      </c>
      <c r="O43" s="4">
        <f t="shared" si="26"/>
        <v>41710</v>
      </c>
      <c r="P43" s="4">
        <f t="shared" si="26"/>
        <v>71215</v>
      </c>
      <c r="Q43" s="4">
        <f t="shared" si="26"/>
        <v>66920</v>
      </c>
    </row>
    <row r="44" spans="1:17" x14ac:dyDescent="0.35">
      <c r="K44" s="3" t="s">
        <v>0</v>
      </c>
      <c r="L44" s="2">
        <f>L43/3</f>
        <v>14680.25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>
        <f t="shared" ref="K47:K53" si="27">A30</f>
        <v>44739</v>
      </c>
      <c r="L47" s="2">
        <f t="shared" ref="L47:L53" si="28">N47*0.42</f>
        <v>1310.3999999999999</v>
      </c>
      <c r="M47" s="2">
        <f t="shared" ref="M47:M53" si="29">N47-L47</f>
        <v>1809.6000000000001</v>
      </c>
      <c r="N47" s="2">
        <f t="shared" ref="N47:N53" si="30">O47+P47</f>
        <v>3120</v>
      </c>
      <c r="O47" s="2">
        <f t="shared" ref="O47:Q53" si="31">E30</f>
        <v>870</v>
      </c>
      <c r="P47" s="2">
        <f t="shared" si="31"/>
        <v>2250</v>
      </c>
      <c r="Q47" s="2">
        <f t="shared" si="31"/>
        <v>0</v>
      </c>
    </row>
    <row r="48" spans="1:17" x14ac:dyDescent="0.35">
      <c r="K48" s="9">
        <f t="shared" si="27"/>
        <v>44740</v>
      </c>
      <c r="L48" s="4">
        <f t="shared" si="28"/>
        <v>4725</v>
      </c>
      <c r="M48" s="4">
        <f t="shared" si="29"/>
        <v>6525</v>
      </c>
      <c r="N48" s="4">
        <f t="shared" si="30"/>
        <v>11250</v>
      </c>
      <c r="O48" s="4">
        <f t="shared" si="31"/>
        <v>10970</v>
      </c>
      <c r="P48" s="4">
        <f t="shared" si="31"/>
        <v>280</v>
      </c>
      <c r="Q48" s="4">
        <f t="shared" si="31"/>
        <v>30</v>
      </c>
    </row>
    <row r="49" spans="11:17" x14ac:dyDescent="0.35">
      <c r="K49" s="8">
        <f t="shared" si="27"/>
        <v>44741</v>
      </c>
      <c r="L49" s="2">
        <f t="shared" si="28"/>
        <v>3620.4</v>
      </c>
      <c r="M49" s="2">
        <f t="shared" si="29"/>
        <v>4999.6000000000004</v>
      </c>
      <c r="N49" s="2">
        <f t="shared" si="30"/>
        <v>8620</v>
      </c>
      <c r="O49" s="2">
        <f t="shared" si="31"/>
        <v>5420</v>
      </c>
      <c r="P49" s="2">
        <f t="shared" si="31"/>
        <v>3200</v>
      </c>
      <c r="Q49" s="2">
        <f t="shared" si="31"/>
        <v>230</v>
      </c>
    </row>
    <row r="50" spans="11:17" x14ac:dyDescent="0.35">
      <c r="K50" s="9">
        <f t="shared" si="27"/>
        <v>44742</v>
      </c>
      <c r="L50" s="4">
        <f t="shared" si="28"/>
        <v>7742.7</v>
      </c>
      <c r="M50" s="4">
        <f t="shared" si="29"/>
        <v>10692.3</v>
      </c>
      <c r="N50" s="4">
        <f t="shared" si="30"/>
        <v>18435</v>
      </c>
      <c r="O50" s="4">
        <f t="shared" si="31"/>
        <v>8510</v>
      </c>
      <c r="P50" s="4">
        <f t="shared" si="31"/>
        <v>9925</v>
      </c>
      <c r="Q50" s="4">
        <f t="shared" si="31"/>
        <v>30</v>
      </c>
    </row>
    <row r="51" spans="11:17" x14ac:dyDescent="0.35">
      <c r="K51" s="8">
        <f t="shared" si="27"/>
        <v>44743</v>
      </c>
      <c r="L51" s="2">
        <f t="shared" si="28"/>
        <v>2389.7999999999997</v>
      </c>
      <c r="M51" s="2">
        <f t="shared" si="29"/>
        <v>3300.2000000000003</v>
      </c>
      <c r="N51" s="2">
        <f t="shared" si="30"/>
        <v>5690</v>
      </c>
      <c r="O51" s="2">
        <f t="shared" si="31"/>
        <v>3250</v>
      </c>
      <c r="P51" s="2">
        <f t="shared" si="31"/>
        <v>2440</v>
      </c>
      <c r="Q51" s="2">
        <f t="shared" si="31"/>
        <v>20</v>
      </c>
    </row>
    <row r="52" spans="11:17" x14ac:dyDescent="0.35">
      <c r="K52" s="9">
        <f t="shared" si="27"/>
        <v>44744</v>
      </c>
      <c r="L52" s="4">
        <f t="shared" si="28"/>
        <v>1528.8</v>
      </c>
      <c r="M52" s="4">
        <f t="shared" si="29"/>
        <v>2111.1999999999998</v>
      </c>
      <c r="N52" s="4">
        <f t="shared" si="30"/>
        <v>3640</v>
      </c>
      <c r="O52" s="4">
        <f t="shared" si="31"/>
        <v>2440</v>
      </c>
      <c r="P52" s="4">
        <f t="shared" si="31"/>
        <v>1200</v>
      </c>
      <c r="Q52" s="4">
        <f t="shared" si="31"/>
        <v>95</v>
      </c>
    </row>
    <row r="53" spans="11:17" x14ac:dyDescent="0.35">
      <c r="K53" s="8">
        <f t="shared" si="27"/>
        <v>44745</v>
      </c>
      <c r="L53" s="2">
        <f t="shared" si="28"/>
        <v>4821.5999999999995</v>
      </c>
      <c r="M53" s="2">
        <f t="shared" si="29"/>
        <v>6658.4000000000005</v>
      </c>
      <c r="N53" s="2">
        <f t="shared" si="30"/>
        <v>11480</v>
      </c>
      <c r="O53" s="2">
        <f t="shared" si="31"/>
        <v>7480</v>
      </c>
      <c r="P53" s="2">
        <f t="shared" si="31"/>
        <v>4000</v>
      </c>
      <c r="Q53" s="2">
        <f t="shared" si="31"/>
        <v>100</v>
      </c>
    </row>
    <row r="54" spans="11:17" x14ac:dyDescent="0.35">
      <c r="K54" s="3" t="s">
        <v>4</v>
      </c>
      <c r="L54" s="4">
        <f t="shared" ref="L54:Q54" si="32">SUM(L47:L53)</f>
        <v>26138.699999999997</v>
      </c>
      <c r="M54" s="4">
        <f t="shared" si="32"/>
        <v>36096.300000000003</v>
      </c>
      <c r="N54" s="4">
        <f t="shared" si="32"/>
        <v>62235</v>
      </c>
      <c r="O54" s="4">
        <f t="shared" si="32"/>
        <v>38940</v>
      </c>
      <c r="P54" s="4">
        <f t="shared" si="32"/>
        <v>23295</v>
      </c>
      <c r="Q54" s="4">
        <f t="shared" si="32"/>
        <v>505</v>
      </c>
    </row>
    <row r="55" spans="11:17" x14ac:dyDescent="0.35">
      <c r="K55" s="3" t="s">
        <v>0</v>
      </c>
      <c r="L55" s="2">
        <f>L54/3</f>
        <v>8712.9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A4</f>
        <v>44713</v>
      </c>
      <c r="L59" s="4">
        <f>+SUM(B4:B33)</f>
        <v>145659.77999999997</v>
      </c>
      <c r="M59" s="4">
        <f t="shared" ref="M59:Q59" si="33">+SUM(C4:C33)</f>
        <v>201149.22000000003</v>
      </c>
      <c r="N59" s="4">
        <f>+SUM(D4:D33)</f>
        <v>346809</v>
      </c>
      <c r="O59" s="4">
        <f t="shared" si="33"/>
        <v>171855</v>
      </c>
      <c r="P59" s="4">
        <f t="shared" si="33"/>
        <v>174954</v>
      </c>
      <c r="Q59" s="4">
        <f t="shared" si="33"/>
        <v>123930</v>
      </c>
    </row>
    <row r="60" spans="11:17" x14ac:dyDescent="0.35">
      <c r="K60" s="3" t="s">
        <v>0</v>
      </c>
      <c r="L60" s="2">
        <f>L59/3</f>
        <v>48553.259999999987</v>
      </c>
      <c r="M60" s="2"/>
      <c r="N60" s="2"/>
      <c r="O60" s="2"/>
      <c r="P60" s="2"/>
      <c r="Q60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8:Q58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1D67-05A6-44F8-92C3-3002D56FAE4A}">
  <dimension ref="A1:Q50"/>
  <sheetViews>
    <sheetView zoomScale="90" zoomScaleNormal="90" workbookViewId="0">
      <pane ySplit="1" topLeftCell="A32" activePane="bottomLeft" state="frozen"/>
      <selection pane="bottomLeft" activeCell="O49" sqref="O49:P49"/>
    </sheetView>
  </sheetViews>
  <sheetFormatPr defaultColWidth="26" defaultRowHeight="14.5" x14ac:dyDescent="0.35"/>
  <cols>
    <col min="1" max="1" width="11.1796875" bestFit="1" customWidth="1"/>
    <col min="2" max="4" width="9" style="1" bestFit="1" customWidth="1"/>
    <col min="5" max="5" width="11.54296875" style="1" bestFit="1" customWidth="1"/>
    <col min="6" max="6" width="9" style="1" bestFit="1" customWidth="1"/>
    <col min="7" max="7" width="8.453125" style="1" bestFit="1" customWidth="1"/>
    <col min="8" max="8" width="10.1796875" bestFit="1" customWidth="1"/>
    <col min="9" max="9" width="12" bestFit="1" customWidth="1"/>
    <col min="10" max="10" width="6.54296875" customWidth="1"/>
    <col min="11" max="11" width="11.1796875" bestFit="1" customWidth="1"/>
    <col min="12" max="15" width="9" bestFit="1" customWidth="1"/>
    <col min="16" max="16" width="16.453125" bestFit="1" customWidth="1"/>
    <col min="17" max="17" width="8.816406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44743</v>
      </c>
      <c r="B2" s="22">
        <f t="shared" ref="B2:B32" si="0">D2*0.42</f>
        <v>1797.6</v>
      </c>
      <c r="C2" s="22">
        <f t="shared" ref="C2:C32" si="1">D2-B2</f>
        <v>2482.4</v>
      </c>
      <c r="D2" s="22">
        <f t="shared" ref="D2:D32" si="2">E2+F2</f>
        <v>4280</v>
      </c>
      <c r="E2" s="22">
        <v>3250</v>
      </c>
      <c r="F2" s="22">
        <v>1030</v>
      </c>
      <c r="G2" s="22">
        <v>20</v>
      </c>
      <c r="H2" s="21">
        <f t="shared" ref="H2:H32" si="3">IFERROR(B2/C2,0)</f>
        <v>0.72413793103448265</v>
      </c>
      <c r="I2" s="20">
        <f>SUM($D$2:D2)-SUM($G$2:G2)</f>
        <v>4260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44744</v>
      </c>
      <c r="B3" s="22">
        <f t="shared" si="0"/>
        <v>1528.8</v>
      </c>
      <c r="C3" s="22">
        <f t="shared" si="1"/>
        <v>2111.1999999999998</v>
      </c>
      <c r="D3" s="22">
        <f t="shared" si="2"/>
        <v>3640</v>
      </c>
      <c r="E3" s="22">
        <v>2440</v>
      </c>
      <c r="F3" s="22">
        <v>1200</v>
      </c>
      <c r="G3" s="22">
        <v>95</v>
      </c>
      <c r="H3" s="21">
        <f t="shared" si="3"/>
        <v>0.72413793103448276</v>
      </c>
      <c r="I3" s="20">
        <f>SUM($D$2:D3)-SUM($G$2:G3)</f>
        <v>7805</v>
      </c>
      <c r="K3" s="8">
        <f t="shared" ref="K3:K9" si="4">A5</f>
        <v>44746</v>
      </c>
      <c r="L3" s="2">
        <f t="shared" ref="L3:L9" si="5">N3*0.42</f>
        <v>21800.1</v>
      </c>
      <c r="M3" s="2">
        <f t="shared" ref="M3:M9" si="6">N3-L3</f>
        <v>30104.9</v>
      </c>
      <c r="N3" s="2">
        <f t="shared" ref="N3:N9" si="7">O3+P3</f>
        <v>51905</v>
      </c>
      <c r="O3" s="2">
        <f>VLOOKUP(K3,A1:H33,5,0)</f>
        <v>10710</v>
      </c>
      <c r="P3" s="2">
        <f>VLOOKUP(K3,A1:H33,6,0)</f>
        <v>41195</v>
      </c>
      <c r="Q3" s="2">
        <f>VLOOKUP(K3,A1:H33,7,0)</f>
        <v>7700</v>
      </c>
    </row>
    <row r="4" spans="1:17" x14ac:dyDescent="0.35">
      <c r="A4" s="23">
        <v>44745</v>
      </c>
      <c r="B4" s="22">
        <f t="shared" si="0"/>
        <v>4821.5999999999995</v>
      </c>
      <c r="C4" s="22">
        <f t="shared" si="1"/>
        <v>6658.4000000000005</v>
      </c>
      <c r="D4" s="22">
        <f t="shared" si="2"/>
        <v>11480</v>
      </c>
      <c r="E4" s="22">
        <v>7480</v>
      </c>
      <c r="F4" s="22">
        <v>4000</v>
      </c>
      <c r="G4" s="22">
        <v>50</v>
      </c>
      <c r="H4" s="21">
        <f t="shared" si="3"/>
        <v>0.72413793103448265</v>
      </c>
      <c r="I4" s="20">
        <f>SUM($D$2:D4)-SUM($G$2:G4)</f>
        <v>19235</v>
      </c>
      <c r="K4" s="9">
        <f t="shared" si="4"/>
        <v>44747</v>
      </c>
      <c r="L4" s="4">
        <f t="shared" si="5"/>
        <v>594.29999999999995</v>
      </c>
      <c r="M4" s="4">
        <f t="shared" si="6"/>
        <v>820.7</v>
      </c>
      <c r="N4" s="4">
        <f t="shared" si="7"/>
        <v>1415</v>
      </c>
      <c r="O4" s="4">
        <f>VLOOKUP(K4,A1:H33,5,0)</f>
        <v>790</v>
      </c>
      <c r="P4" s="4">
        <f>VLOOKUP(K4,A1:H33,6,0)</f>
        <v>625</v>
      </c>
      <c r="Q4" s="4">
        <f>VLOOKUP(K4,A1:H33,7,0)</f>
        <v>530</v>
      </c>
    </row>
    <row r="5" spans="1:17" x14ac:dyDescent="0.35">
      <c r="A5" s="23">
        <v>44746</v>
      </c>
      <c r="B5" s="22">
        <f t="shared" si="0"/>
        <v>21800.1</v>
      </c>
      <c r="C5" s="22">
        <f t="shared" si="1"/>
        <v>30104.9</v>
      </c>
      <c r="D5" s="22">
        <f t="shared" si="2"/>
        <v>51905</v>
      </c>
      <c r="E5" s="22">
        <v>10710</v>
      </c>
      <c r="F5" s="22">
        <v>41195</v>
      </c>
      <c r="G5" s="22">
        <v>7700</v>
      </c>
      <c r="H5" s="21">
        <f t="shared" si="3"/>
        <v>0.72413793103448265</v>
      </c>
      <c r="I5" s="20">
        <f>SUM($D$2:D5)-SUM($G$2:G5)</f>
        <v>63440</v>
      </c>
      <c r="K5" s="8">
        <f t="shared" si="4"/>
        <v>44748</v>
      </c>
      <c r="L5" s="2">
        <f t="shared" si="5"/>
        <v>4263</v>
      </c>
      <c r="M5" s="2">
        <f t="shared" si="6"/>
        <v>5887</v>
      </c>
      <c r="N5" s="2">
        <f t="shared" si="7"/>
        <v>10150</v>
      </c>
      <c r="O5" s="2">
        <f>VLOOKUP(K5,A3:H35,5,0)</f>
        <v>2820</v>
      </c>
      <c r="P5" s="2">
        <f>VLOOKUP(K5,A3:H35,6,0)</f>
        <v>7330</v>
      </c>
      <c r="Q5" s="2">
        <f>VLOOKUP(K5,A3:H35,7,0)</f>
        <v>555</v>
      </c>
    </row>
    <row r="6" spans="1:17" x14ac:dyDescent="0.35">
      <c r="A6" s="23">
        <v>44747</v>
      </c>
      <c r="B6" s="22">
        <f t="shared" si="0"/>
        <v>594.29999999999995</v>
      </c>
      <c r="C6" s="22">
        <f t="shared" si="1"/>
        <v>820.7</v>
      </c>
      <c r="D6" s="22">
        <f t="shared" si="2"/>
        <v>1415</v>
      </c>
      <c r="E6" s="22">
        <v>790</v>
      </c>
      <c r="F6" s="22">
        <v>625</v>
      </c>
      <c r="G6" s="22">
        <v>530</v>
      </c>
      <c r="H6" s="21">
        <f t="shared" si="3"/>
        <v>0.72413793103448265</v>
      </c>
      <c r="I6" s="20">
        <f>SUM($D$2:D6)-SUM($G$2:G6)</f>
        <v>64325</v>
      </c>
      <c r="K6" s="9">
        <f t="shared" si="4"/>
        <v>44749</v>
      </c>
      <c r="L6" s="4">
        <f t="shared" si="5"/>
        <v>12593.699999999999</v>
      </c>
      <c r="M6" s="4">
        <f t="shared" si="6"/>
        <v>17391.300000000003</v>
      </c>
      <c r="N6" s="4">
        <f t="shared" si="7"/>
        <v>29985</v>
      </c>
      <c r="O6" s="4">
        <f>VLOOKUP(K6,A3:H35,5,0)</f>
        <v>14485</v>
      </c>
      <c r="P6" s="4">
        <f>VLOOKUP(K6,A3:H35,6,0)</f>
        <v>15500</v>
      </c>
      <c r="Q6" s="4">
        <f>VLOOKUP(K6,A3:H35,7,0)</f>
        <v>1200</v>
      </c>
    </row>
    <row r="7" spans="1:17" x14ac:dyDescent="0.35">
      <c r="A7" s="23">
        <v>44748</v>
      </c>
      <c r="B7" s="22">
        <f t="shared" si="0"/>
        <v>4263</v>
      </c>
      <c r="C7" s="22">
        <f t="shared" si="1"/>
        <v>5887</v>
      </c>
      <c r="D7" s="22">
        <f t="shared" si="2"/>
        <v>10150</v>
      </c>
      <c r="E7" s="22">
        <v>2820</v>
      </c>
      <c r="F7" s="22">
        <v>7330</v>
      </c>
      <c r="G7" s="22">
        <v>555</v>
      </c>
      <c r="H7" s="21">
        <f t="shared" si="3"/>
        <v>0.72413793103448276</v>
      </c>
      <c r="I7" s="20">
        <f>SUM($D$2:D7)-SUM($G$2:G7)</f>
        <v>73920</v>
      </c>
      <c r="K7" s="8">
        <f t="shared" si="4"/>
        <v>44750</v>
      </c>
      <c r="L7" s="2">
        <f t="shared" si="5"/>
        <v>5065.2</v>
      </c>
      <c r="M7" s="2">
        <f t="shared" si="6"/>
        <v>6994.8</v>
      </c>
      <c r="N7" s="2">
        <f t="shared" si="7"/>
        <v>12060</v>
      </c>
      <c r="O7" s="2">
        <f>VLOOKUP(K7,A5:H37,5,0)</f>
        <v>5810</v>
      </c>
      <c r="P7" s="2">
        <f>VLOOKUP(K7,A5:H37,6,0)</f>
        <v>6250</v>
      </c>
      <c r="Q7" s="2">
        <f>VLOOKUP(K7,A5:H37,7,0)</f>
        <v>4000</v>
      </c>
    </row>
    <row r="8" spans="1:17" x14ac:dyDescent="0.35">
      <c r="A8" s="23">
        <v>44749</v>
      </c>
      <c r="B8" s="22">
        <f t="shared" si="0"/>
        <v>12593.699999999999</v>
      </c>
      <c r="C8" s="22">
        <f t="shared" si="1"/>
        <v>17391.300000000003</v>
      </c>
      <c r="D8" s="22">
        <f t="shared" si="2"/>
        <v>29985</v>
      </c>
      <c r="E8" s="22">
        <v>14485</v>
      </c>
      <c r="F8" s="22">
        <v>15500</v>
      </c>
      <c r="G8" s="22">
        <v>1200</v>
      </c>
      <c r="H8" s="21">
        <f t="shared" si="3"/>
        <v>0.72413793103448254</v>
      </c>
      <c r="I8" s="20">
        <f>SUM($D$2:D8)-SUM($G$2:G8)</f>
        <v>102705</v>
      </c>
      <c r="K8" s="9">
        <f t="shared" si="4"/>
        <v>44751</v>
      </c>
      <c r="L8" s="4">
        <f t="shared" si="5"/>
        <v>3108</v>
      </c>
      <c r="M8" s="4">
        <f t="shared" si="6"/>
        <v>4292</v>
      </c>
      <c r="N8" s="4">
        <f t="shared" si="7"/>
        <v>7400</v>
      </c>
      <c r="O8" s="4">
        <f>VLOOKUP(K8,A5:H37,5,0)</f>
        <v>4100</v>
      </c>
      <c r="P8" s="4">
        <f>VLOOKUP(K8,A5:H37,6,0)</f>
        <v>3300</v>
      </c>
      <c r="Q8" s="4">
        <f>VLOOKUP(K8,A5:H37,7,0)</f>
        <v>4000</v>
      </c>
    </row>
    <row r="9" spans="1:17" x14ac:dyDescent="0.35">
      <c r="A9" s="23">
        <v>44750</v>
      </c>
      <c r="B9" s="22">
        <f t="shared" si="0"/>
        <v>5065.2</v>
      </c>
      <c r="C9" s="22">
        <f t="shared" si="1"/>
        <v>6994.8</v>
      </c>
      <c r="D9" s="22">
        <f t="shared" si="2"/>
        <v>12060</v>
      </c>
      <c r="E9" s="22">
        <v>5810</v>
      </c>
      <c r="F9" s="22">
        <v>6250</v>
      </c>
      <c r="G9" s="22">
        <v>4000</v>
      </c>
      <c r="H9" s="21">
        <f t="shared" si="3"/>
        <v>0.72413793103448276</v>
      </c>
      <c r="I9" s="20">
        <f>SUM($D$2:D9)-SUM($G$2:G9)</f>
        <v>110765</v>
      </c>
      <c r="K9" s="8">
        <f t="shared" si="4"/>
        <v>44752</v>
      </c>
      <c r="L9" s="2">
        <f t="shared" si="5"/>
        <v>3654</v>
      </c>
      <c r="M9" s="2">
        <f t="shared" si="6"/>
        <v>5046</v>
      </c>
      <c r="N9" s="2">
        <f t="shared" si="7"/>
        <v>8700</v>
      </c>
      <c r="O9" s="2">
        <f>VLOOKUP(K9,A7:H39,5,0)</f>
        <v>7970</v>
      </c>
      <c r="P9" s="2">
        <f>VLOOKUP(K9,A7:H39,6,0)</f>
        <v>730</v>
      </c>
      <c r="Q9" s="2">
        <f>VLOOKUP(K9,A7:H39,7,0)</f>
        <v>75</v>
      </c>
    </row>
    <row r="10" spans="1:17" x14ac:dyDescent="0.35">
      <c r="A10" s="23">
        <v>44751</v>
      </c>
      <c r="B10" s="22">
        <f t="shared" si="0"/>
        <v>3108</v>
      </c>
      <c r="C10" s="22">
        <f t="shared" si="1"/>
        <v>4292</v>
      </c>
      <c r="D10" s="22">
        <f t="shared" si="2"/>
        <v>7400</v>
      </c>
      <c r="E10" s="22">
        <v>4100</v>
      </c>
      <c r="F10" s="22">
        <v>3300</v>
      </c>
      <c r="G10" s="22">
        <v>4000</v>
      </c>
      <c r="H10" s="21">
        <f t="shared" si="3"/>
        <v>0.72413793103448276</v>
      </c>
      <c r="I10" s="20">
        <f>SUM($D$2:D10)-SUM($G$2:G10)</f>
        <v>114165</v>
      </c>
      <c r="K10" s="3" t="s">
        <v>4</v>
      </c>
      <c r="L10" s="3">
        <f>SUM(L3:L9)</f>
        <v>51078.299999999996</v>
      </c>
      <c r="M10" s="3">
        <f>SUM(M2:M9)</f>
        <v>70536.700000000012</v>
      </c>
      <c r="N10" s="3">
        <f>SUM(N2:N9)</f>
        <v>121615</v>
      </c>
      <c r="O10" s="3">
        <f>SUM(O2:O9)</f>
        <v>46685</v>
      </c>
      <c r="P10" s="3">
        <f>SUM(P2:P9)</f>
        <v>74930</v>
      </c>
      <c r="Q10" s="3">
        <f>SUM(Q2:Q9)</f>
        <v>18060</v>
      </c>
    </row>
    <row r="11" spans="1:17" x14ac:dyDescent="0.35">
      <c r="A11" s="23">
        <v>44752</v>
      </c>
      <c r="B11" s="22">
        <f t="shared" si="0"/>
        <v>3654</v>
      </c>
      <c r="C11" s="22">
        <f t="shared" si="1"/>
        <v>5046</v>
      </c>
      <c r="D11" s="22">
        <f t="shared" si="2"/>
        <v>8700</v>
      </c>
      <c r="E11" s="22">
        <v>7970</v>
      </c>
      <c r="F11" s="22">
        <v>730</v>
      </c>
      <c r="G11" s="22">
        <v>75</v>
      </c>
      <c r="H11" s="21">
        <f t="shared" si="3"/>
        <v>0.72413793103448276</v>
      </c>
      <c r="I11" s="20">
        <f>SUM($D$2:D11)-SUM($G$2:G11)</f>
        <v>122790</v>
      </c>
      <c r="K11" s="3" t="s">
        <v>0</v>
      </c>
      <c r="L11" s="3">
        <f>L10/3</f>
        <v>17026.099999999999</v>
      </c>
      <c r="M11" s="3"/>
      <c r="N11" s="3"/>
      <c r="O11" s="2"/>
      <c r="P11" s="2"/>
      <c r="Q11" s="2"/>
    </row>
    <row r="12" spans="1:17" x14ac:dyDescent="0.35">
      <c r="A12" s="23">
        <v>44753</v>
      </c>
      <c r="B12" s="22">
        <f t="shared" si="0"/>
        <v>8580.6</v>
      </c>
      <c r="C12" s="22">
        <f t="shared" si="1"/>
        <v>11849.4</v>
      </c>
      <c r="D12" s="22">
        <f t="shared" si="2"/>
        <v>20430</v>
      </c>
      <c r="E12" s="22">
        <v>6560</v>
      </c>
      <c r="F12" s="22">
        <v>13870</v>
      </c>
      <c r="G12" s="22">
        <v>1000</v>
      </c>
      <c r="H12" s="21">
        <f t="shared" si="3"/>
        <v>0.72413793103448276</v>
      </c>
      <c r="I12" s="20">
        <f>SUM($D$2:D12)-SUM($G$2:G12)</f>
        <v>142220</v>
      </c>
    </row>
    <row r="13" spans="1:17" x14ac:dyDescent="0.35">
      <c r="A13" s="23">
        <v>44754</v>
      </c>
      <c r="B13" s="22">
        <f t="shared" si="0"/>
        <v>15628.199999999999</v>
      </c>
      <c r="C13" s="22">
        <f t="shared" si="1"/>
        <v>21581.800000000003</v>
      </c>
      <c r="D13" s="22">
        <f t="shared" si="2"/>
        <v>37210</v>
      </c>
      <c r="E13" s="22">
        <v>910</v>
      </c>
      <c r="F13" s="22">
        <v>36300</v>
      </c>
      <c r="G13" s="22"/>
      <c r="H13" s="21">
        <f t="shared" si="3"/>
        <v>0.72413793103448265</v>
      </c>
      <c r="I13" s="20">
        <f>SUM($D$2:D13)-SUM($G$2:G13)</f>
        <v>179430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44755</v>
      </c>
      <c r="B14" s="22">
        <f t="shared" si="0"/>
        <v>7774.2</v>
      </c>
      <c r="C14" s="22">
        <f t="shared" si="1"/>
        <v>10735.8</v>
      </c>
      <c r="D14" s="22">
        <f t="shared" si="2"/>
        <v>18510</v>
      </c>
      <c r="E14" s="22">
        <v>17830</v>
      </c>
      <c r="F14" s="22">
        <v>680</v>
      </c>
      <c r="G14" s="22">
        <v>75</v>
      </c>
      <c r="H14" s="21">
        <f t="shared" si="3"/>
        <v>0.72413793103448276</v>
      </c>
      <c r="I14" s="20">
        <f>SUM($D$2:D14)-SUM($G$2:G14)</f>
        <v>197865</v>
      </c>
      <c r="K14" s="8">
        <f t="shared" ref="K14:K20" si="8">A12</f>
        <v>44753</v>
      </c>
      <c r="L14" s="2">
        <f t="shared" ref="L14:L20" si="9">N14*0.42</f>
        <v>8580.6</v>
      </c>
      <c r="M14" s="2">
        <f t="shared" ref="M14:M20" si="10">N14-L14</f>
        <v>11849.4</v>
      </c>
      <c r="N14" s="2">
        <f t="shared" ref="N14:N20" si="11">O14+P14</f>
        <v>20430</v>
      </c>
      <c r="O14" s="2">
        <f t="shared" ref="O14:Q20" si="12">E12</f>
        <v>6560</v>
      </c>
      <c r="P14" s="2">
        <f t="shared" si="12"/>
        <v>13870</v>
      </c>
      <c r="Q14" s="2">
        <f t="shared" si="12"/>
        <v>1000</v>
      </c>
    </row>
    <row r="15" spans="1:17" x14ac:dyDescent="0.35">
      <c r="A15" s="23">
        <v>44756</v>
      </c>
      <c r="B15" s="22">
        <f t="shared" si="0"/>
        <v>7211.4</v>
      </c>
      <c r="C15" s="22">
        <f t="shared" si="1"/>
        <v>9958.6</v>
      </c>
      <c r="D15" s="22">
        <f t="shared" si="2"/>
        <v>17170</v>
      </c>
      <c r="E15" s="22">
        <v>9970</v>
      </c>
      <c r="F15" s="22">
        <v>7200</v>
      </c>
      <c r="G15" s="22">
        <v>8280</v>
      </c>
      <c r="H15" s="21">
        <f t="shared" si="3"/>
        <v>0.72413793103448265</v>
      </c>
      <c r="I15" s="20">
        <f>SUM($D$2:D15)-SUM($G$2:G15)</f>
        <v>206755</v>
      </c>
      <c r="K15" s="9">
        <f t="shared" si="8"/>
        <v>44754</v>
      </c>
      <c r="L15" s="4">
        <f t="shared" si="9"/>
        <v>15628.199999999999</v>
      </c>
      <c r="M15" s="4">
        <f t="shared" si="10"/>
        <v>21581.800000000003</v>
      </c>
      <c r="N15" s="4">
        <f t="shared" si="11"/>
        <v>37210</v>
      </c>
      <c r="O15" s="4">
        <f t="shared" si="12"/>
        <v>910</v>
      </c>
      <c r="P15" s="4">
        <f t="shared" si="12"/>
        <v>36300</v>
      </c>
      <c r="Q15" s="4">
        <f t="shared" si="12"/>
        <v>0</v>
      </c>
    </row>
    <row r="16" spans="1:17" x14ac:dyDescent="0.35">
      <c r="A16" s="23">
        <v>44757</v>
      </c>
      <c r="B16" s="22">
        <f t="shared" si="0"/>
        <v>10462.199999999999</v>
      </c>
      <c r="C16" s="22">
        <f t="shared" si="1"/>
        <v>14447.800000000001</v>
      </c>
      <c r="D16" s="22">
        <f t="shared" si="2"/>
        <v>24910</v>
      </c>
      <c r="E16" s="22">
        <v>5130</v>
      </c>
      <c r="F16" s="22">
        <v>19780</v>
      </c>
      <c r="G16" s="22">
        <v>3810</v>
      </c>
      <c r="H16" s="21">
        <f t="shared" si="3"/>
        <v>0.72413793103448265</v>
      </c>
      <c r="I16" s="20">
        <f>SUM($D$2:D16)-SUM($G$2:G16)</f>
        <v>227855</v>
      </c>
      <c r="K16" s="8">
        <f t="shared" si="8"/>
        <v>44755</v>
      </c>
      <c r="L16" s="2">
        <f t="shared" si="9"/>
        <v>7774.2</v>
      </c>
      <c r="M16" s="2">
        <f t="shared" si="10"/>
        <v>10735.8</v>
      </c>
      <c r="N16" s="2">
        <f t="shared" si="11"/>
        <v>18510</v>
      </c>
      <c r="O16" s="2">
        <f t="shared" si="12"/>
        <v>17830</v>
      </c>
      <c r="P16" s="2">
        <f t="shared" si="12"/>
        <v>680</v>
      </c>
      <c r="Q16" s="2">
        <f t="shared" si="12"/>
        <v>75</v>
      </c>
    </row>
    <row r="17" spans="1:17" x14ac:dyDescent="0.35">
      <c r="A17" s="23">
        <v>44758</v>
      </c>
      <c r="B17" s="22">
        <f t="shared" si="0"/>
        <v>3866.1</v>
      </c>
      <c r="C17" s="22">
        <f t="shared" si="1"/>
        <v>5338.9</v>
      </c>
      <c r="D17" s="22">
        <f t="shared" si="2"/>
        <v>9205</v>
      </c>
      <c r="E17" s="22">
        <v>6715</v>
      </c>
      <c r="F17" s="22">
        <v>2490</v>
      </c>
      <c r="G17" s="22">
        <v>670</v>
      </c>
      <c r="H17" s="21">
        <f t="shared" si="3"/>
        <v>0.72413793103448276</v>
      </c>
      <c r="I17" s="20">
        <f>SUM($D$2:D17)-SUM($G$2:G17)</f>
        <v>236390</v>
      </c>
      <c r="K17" s="9">
        <f t="shared" si="8"/>
        <v>44756</v>
      </c>
      <c r="L17" s="4">
        <f t="shared" si="9"/>
        <v>7211.4</v>
      </c>
      <c r="M17" s="4">
        <f t="shared" si="10"/>
        <v>9958.6</v>
      </c>
      <c r="N17" s="4">
        <f t="shared" si="11"/>
        <v>17170</v>
      </c>
      <c r="O17" s="4">
        <f t="shared" si="12"/>
        <v>9970</v>
      </c>
      <c r="P17" s="4">
        <f t="shared" si="12"/>
        <v>7200</v>
      </c>
      <c r="Q17" s="4">
        <f t="shared" si="12"/>
        <v>8280</v>
      </c>
    </row>
    <row r="18" spans="1:17" x14ac:dyDescent="0.35">
      <c r="A18" s="23">
        <v>44759</v>
      </c>
      <c r="B18" s="22">
        <f t="shared" si="0"/>
        <v>9528.119999999999</v>
      </c>
      <c r="C18" s="22">
        <f t="shared" si="1"/>
        <v>13157.880000000001</v>
      </c>
      <c r="D18" s="22">
        <f t="shared" si="2"/>
        <v>22686</v>
      </c>
      <c r="E18" s="22">
        <v>13220</v>
      </c>
      <c r="F18" s="22">
        <v>9466</v>
      </c>
      <c r="G18" s="22">
        <v>500</v>
      </c>
      <c r="H18" s="21">
        <f t="shared" si="3"/>
        <v>0.72413793103448265</v>
      </c>
      <c r="I18" s="20">
        <f>SUM($D$2:D18)-SUM($G$2:G18)</f>
        <v>258576</v>
      </c>
      <c r="K18" s="8">
        <f t="shared" si="8"/>
        <v>44757</v>
      </c>
      <c r="L18" s="2">
        <f t="shared" si="9"/>
        <v>10462.199999999999</v>
      </c>
      <c r="M18" s="2">
        <f t="shared" si="10"/>
        <v>14447.800000000001</v>
      </c>
      <c r="N18" s="2">
        <f t="shared" si="11"/>
        <v>24910</v>
      </c>
      <c r="O18" s="2">
        <f t="shared" si="12"/>
        <v>5130</v>
      </c>
      <c r="P18" s="2">
        <f t="shared" si="12"/>
        <v>19780</v>
      </c>
      <c r="Q18" s="2">
        <f t="shared" si="12"/>
        <v>3810</v>
      </c>
    </row>
    <row r="19" spans="1:17" x14ac:dyDescent="0.35">
      <c r="A19" s="23">
        <v>44760</v>
      </c>
      <c r="B19" s="22">
        <f t="shared" si="0"/>
        <v>11379.06</v>
      </c>
      <c r="C19" s="22">
        <f t="shared" si="1"/>
        <v>15713.94</v>
      </c>
      <c r="D19" s="22">
        <f t="shared" si="2"/>
        <v>27093</v>
      </c>
      <c r="E19" s="22">
        <v>11500</v>
      </c>
      <c r="F19" s="22">
        <v>15593</v>
      </c>
      <c r="G19" s="22">
        <v>370</v>
      </c>
      <c r="H19" s="21">
        <f t="shared" si="3"/>
        <v>0.72413793103448265</v>
      </c>
      <c r="I19" s="20">
        <f>SUM($D$2:D19)-SUM($G$2:G19)</f>
        <v>285299</v>
      </c>
      <c r="K19" s="9">
        <f t="shared" si="8"/>
        <v>44758</v>
      </c>
      <c r="L19" s="4">
        <f t="shared" si="9"/>
        <v>3866.1</v>
      </c>
      <c r="M19" s="4">
        <f t="shared" si="10"/>
        <v>5338.9</v>
      </c>
      <c r="N19" s="4">
        <f t="shared" si="11"/>
        <v>9205</v>
      </c>
      <c r="O19" s="4">
        <f t="shared" si="12"/>
        <v>6715</v>
      </c>
      <c r="P19" s="4">
        <f t="shared" si="12"/>
        <v>2490</v>
      </c>
      <c r="Q19" s="4">
        <f t="shared" si="12"/>
        <v>670</v>
      </c>
    </row>
    <row r="20" spans="1:17" x14ac:dyDescent="0.35">
      <c r="A20" s="23">
        <v>44761</v>
      </c>
      <c r="B20" s="22">
        <f t="shared" si="0"/>
        <v>2121</v>
      </c>
      <c r="C20" s="22">
        <f t="shared" si="1"/>
        <v>2929</v>
      </c>
      <c r="D20" s="22">
        <f t="shared" si="2"/>
        <v>5050</v>
      </c>
      <c r="E20" s="22">
        <v>2900</v>
      </c>
      <c r="F20" s="22">
        <v>2150</v>
      </c>
      <c r="G20" s="22">
        <v>630</v>
      </c>
      <c r="H20" s="21">
        <f t="shared" si="3"/>
        <v>0.72413793103448276</v>
      </c>
      <c r="I20" s="20">
        <f>SUM($D$2:D20)-SUM($G$2:G20)</f>
        <v>289719</v>
      </c>
      <c r="K20" s="8">
        <f t="shared" si="8"/>
        <v>44759</v>
      </c>
      <c r="L20" s="2">
        <f t="shared" si="9"/>
        <v>9528.119999999999</v>
      </c>
      <c r="M20" s="2">
        <f t="shared" si="10"/>
        <v>13157.880000000001</v>
      </c>
      <c r="N20" s="2">
        <f t="shared" si="11"/>
        <v>22686</v>
      </c>
      <c r="O20" s="2">
        <f t="shared" si="12"/>
        <v>13220</v>
      </c>
      <c r="P20" s="2">
        <f t="shared" si="12"/>
        <v>9466</v>
      </c>
      <c r="Q20" s="2">
        <f t="shared" si="12"/>
        <v>500</v>
      </c>
    </row>
    <row r="21" spans="1:17" x14ac:dyDescent="0.35">
      <c r="A21" s="23">
        <v>44762</v>
      </c>
      <c r="B21" s="22">
        <f t="shared" si="0"/>
        <v>4821.5999999999995</v>
      </c>
      <c r="C21" s="22">
        <f t="shared" si="1"/>
        <v>6658.4000000000005</v>
      </c>
      <c r="D21" s="22">
        <f t="shared" si="2"/>
        <v>11480</v>
      </c>
      <c r="E21" s="22">
        <f>9960+320</f>
        <v>10280</v>
      </c>
      <c r="F21" s="22">
        <v>1200</v>
      </c>
      <c r="G21" s="22">
        <v>2440</v>
      </c>
      <c r="H21" s="21">
        <f t="shared" si="3"/>
        <v>0.72413793103448265</v>
      </c>
      <c r="I21" s="20">
        <f>SUM($D$2:D21)-SUM($G$2:G21)</f>
        <v>298759</v>
      </c>
      <c r="K21" s="3" t="s">
        <v>4</v>
      </c>
      <c r="L21" s="3">
        <f t="shared" ref="L21:Q21" si="13">SUM(L14:L20)</f>
        <v>63050.819999999992</v>
      </c>
      <c r="M21" s="3">
        <f t="shared" si="13"/>
        <v>87070.18</v>
      </c>
      <c r="N21" s="3">
        <f t="shared" si="13"/>
        <v>150121</v>
      </c>
      <c r="O21" s="3">
        <f t="shared" si="13"/>
        <v>60335</v>
      </c>
      <c r="P21" s="3">
        <f t="shared" si="13"/>
        <v>89786</v>
      </c>
      <c r="Q21" s="3">
        <f t="shared" si="13"/>
        <v>14335</v>
      </c>
    </row>
    <row r="22" spans="1:17" x14ac:dyDescent="0.35">
      <c r="A22" s="23">
        <v>44763</v>
      </c>
      <c r="B22" s="22">
        <f t="shared" si="0"/>
        <v>9828</v>
      </c>
      <c r="C22" s="22">
        <f t="shared" si="1"/>
        <v>13572</v>
      </c>
      <c r="D22" s="22">
        <f t="shared" si="2"/>
        <v>23400</v>
      </c>
      <c r="E22" s="22">
        <v>18400</v>
      </c>
      <c r="F22" s="22">
        <v>5000</v>
      </c>
      <c r="G22" s="22">
        <v>3270</v>
      </c>
      <c r="H22" s="21">
        <f t="shared" si="3"/>
        <v>0.72413793103448276</v>
      </c>
      <c r="I22" s="20">
        <f>SUM($D$2:D22)-SUM($G$2:G22)</f>
        <v>318889</v>
      </c>
      <c r="K22" s="3" t="s">
        <v>0</v>
      </c>
      <c r="L22" s="3">
        <f>L21/3</f>
        <v>21016.94</v>
      </c>
      <c r="M22" s="3"/>
      <c r="N22" s="3"/>
      <c r="O22" s="2"/>
      <c r="P22" s="2"/>
      <c r="Q22" s="2"/>
    </row>
    <row r="23" spans="1:17" x14ac:dyDescent="0.35">
      <c r="A23" s="23">
        <v>44764</v>
      </c>
      <c r="B23" s="22">
        <f t="shared" si="0"/>
        <v>3334.7999999999997</v>
      </c>
      <c r="C23" s="22">
        <f t="shared" si="1"/>
        <v>4605.2000000000007</v>
      </c>
      <c r="D23" s="22">
        <f t="shared" si="2"/>
        <v>7940</v>
      </c>
      <c r="E23" s="22">
        <v>6250</v>
      </c>
      <c r="F23" s="22">
        <v>1690</v>
      </c>
      <c r="G23" s="22">
        <v>3220</v>
      </c>
      <c r="H23" s="21">
        <f t="shared" si="3"/>
        <v>0.72413793103448254</v>
      </c>
      <c r="I23" s="20">
        <f>SUM($D$2:D23)-SUM($G$2:G23)</f>
        <v>323609</v>
      </c>
    </row>
    <row r="24" spans="1:17" x14ac:dyDescent="0.35">
      <c r="A24" s="23">
        <v>44765</v>
      </c>
      <c r="B24" s="22">
        <f t="shared" si="0"/>
        <v>19546.8</v>
      </c>
      <c r="C24" s="22">
        <f t="shared" si="1"/>
        <v>26993.200000000001</v>
      </c>
      <c r="D24" s="22">
        <f t="shared" si="2"/>
        <v>46540</v>
      </c>
      <c r="E24" s="22">
        <f>12915+1915</f>
        <v>14830</v>
      </c>
      <c r="F24" s="22">
        <v>31710</v>
      </c>
      <c r="G24" s="22">
        <v>1930</v>
      </c>
      <c r="H24" s="21">
        <f t="shared" si="3"/>
        <v>0.72413793103448276</v>
      </c>
      <c r="I24" s="20">
        <f>SUM($D$2:D24)-SUM($G$2:G24)</f>
        <v>368219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44766</v>
      </c>
      <c r="B25" s="22">
        <f t="shared" si="0"/>
        <v>10590.3</v>
      </c>
      <c r="C25" s="22">
        <f t="shared" si="1"/>
        <v>14624.7</v>
      </c>
      <c r="D25" s="22">
        <f t="shared" si="2"/>
        <v>25215</v>
      </c>
      <c r="E25" s="22">
        <v>7325</v>
      </c>
      <c r="F25" s="22">
        <v>17890</v>
      </c>
      <c r="G25" s="22">
        <v>2050</v>
      </c>
      <c r="H25" s="21">
        <f t="shared" si="3"/>
        <v>0.72413793103448265</v>
      </c>
      <c r="I25" s="20">
        <f>SUM($D$2:D25)-SUM($G$2:G25)</f>
        <v>391384</v>
      </c>
      <c r="K25" s="8">
        <f t="shared" ref="K25:K31" si="14">A19</f>
        <v>44760</v>
      </c>
      <c r="L25" s="2">
        <f t="shared" ref="L25:L31" si="15">N25*0.42</f>
        <v>11379.06</v>
      </c>
      <c r="M25" s="2">
        <f t="shared" ref="M25:M31" si="16">N25-L25</f>
        <v>15713.94</v>
      </c>
      <c r="N25" s="2">
        <f t="shared" ref="N25:N31" si="17">O25+P25</f>
        <v>27093</v>
      </c>
      <c r="O25" s="2">
        <f t="shared" ref="O25:Q31" si="18">E19</f>
        <v>11500</v>
      </c>
      <c r="P25" s="2">
        <f t="shared" si="18"/>
        <v>15593</v>
      </c>
      <c r="Q25" s="2">
        <f t="shared" si="18"/>
        <v>370</v>
      </c>
    </row>
    <row r="26" spans="1:17" x14ac:dyDescent="0.35">
      <c r="A26" s="23">
        <v>44767</v>
      </c>
      <c r="B26" s="22">
        <f t="shared" si="0"/>
        <v>19346.04</v>
      </c>
      <c r="C26" s="22">
        <f t="shared" si="1"/>
        <v>26715.96</v>
      </c>
      <c r="D26" s="22">
        <f t="shared" si="2"/>
        <v>46062</v>
      </c>
      <c r="E26" s="22">
        <v>1870</v>
      </c>
      <c r="F26" s="22">
        <v>44192</v>
      </c>
      <c r="G26" s="22">
        <v>33000</v>
      </c>
      <c r="H26" s="21">
        <f t="shared" si="3"/>
        <v>0.72413793103448276</v>
      </c>
      <c r="I26" s="20">
        <f>SUM($D$2:D26)-SUM($G$2:G26)</f>
        <v>404446</v>
      </c>
      <c r="K26" s="9">
        <f t="shared" si="14"/>
        <v>44761</v>
      </c>
      <c r="L26" s="4">
        <f t="shared" si="15"/>
        <v>2121</v>
      </c>
      <c r="M26" s="4">
        <f t="shared" si="16"/>
        <v>2929</v>
      </c>
      <c r="N26" s="4">
        <f t="shared" si="17"/>
        <v>5050</v>
      </c>
      <c r="O26" s="4">
        <f t="shared" si="18"/>
        <v>2900</v>
      </c>
      <c r="P26" s="4">
        <f t="shared" si="18"/>
        <v>2150</v>
      </c>
      <c r="Q26" s="4">
        <f t="shared" si="18"/>
        <v>630</v>
      </c>
    </row>
    <row r="27" spans="1:17" x14ac:dyDescent="0.35">
      <c r="A27" s="23">
        <v>44768</v>
      </c>
      <c r="B27" s="22">
        <f t="shared" si="0"/>
        <v>9521.4</v>
      </c>
      <c r="C27" s="22">
        <f t="shared" si="1"/>
        <v>13148.6</v>
      </c>
      <c r="D27" s="22">
        <f t="shared" si="2"/>
        <v>22670</v>
      </c>
      <c r="E27" s="22">
        <f>5040+130</f>
        <v>5170</v>
      </c>
      <c r="F27" s="22">
        <v>17500</v>
      </c>
      <c r="G27" s="22">
        <v>4680</v>
      </c>
      <c r="H27" s="21">
        <f t="shared" si="3"/>
        <v>0.72413793103448276</v>
      </c>
      <c r="I27" s="20">
        <f>SUM($D$2:D27)-SUM($G$2:G27)</f>
        <v>422436</v>
      </c>
      <c r="K27" s="8">
        <f t="shared" si="14"/>
        <v>44762</v>
      </c>
      <c r="L27" s="2">
        <f t="shared" si="15"/>
        <v>4821.5999999999995</v>
      </c>
      <c r="M27" s="2">
        <f t="shared" si="16"/>
        <v>6658.4000000000005</v>
      </c>
      <c r="N27" s="2">
        <f t="shared" si="17"/>
        <v>11480</v>
      </c>
      <c r="O27" s="2">
        <f t="shared" si="18"/>
        <v>10280</v>
      </c>
      <c r="P27" s="2">
        <f t="shared" si="18"/>
        <v>1200</v>
      </c>
      <c r="Q27" s="2">
        <f t="shared" si="18"/>
        <v>2440</v>
      </c>
    </row>
    <row r="28" spans="1:17" x14ac:dyDescent="0.35">
      <c r="A28" s="23">
        <v>44769</v>
      </c>
      <c r="B28" s="22">
        <f t="shared" si="0"/>
        <v>7583.0999999999995</v>
      </c>
      <c r="C28" s="22">
        <f t="shared" si="1"/>
        <v>10471.900000000001</v>
      </c>
      <c r="D28" s="22">
        <f t="shared" si="2"/>
        <v>18055</v>
      </c>
      <c r="E28" s="22">
        <v>12175</v>
      </c>
      <c r="F28" s="22">
        <v>5880</v>
      </c>
      <c r="G28" s="22">
        <v>3080</v>
      </c>
      <c r="H28" s="21">
        <f t="shared" si="3"/>
        <v>0.72413793103448265</v>
      </c>
      <c r="I28" s="20">
        <f>SUM($D$2:D28)-SUM($G$2:G28)</f>
        <v>437411</v>
      </c>
      <c r="K28" s="9">
        <f t="shared" si="14"/>
        <v>44763</v>
      </c>
      <c r="L28" s="4">
        <f t="shared" si="15"/>
        <v>9828</v>
      </c>
      <c r="M28" s="4">
        <f t="shared" si="16"/>
        <v>13572</v>
      </c>
      <c r="N28" s="4">
        <f t="shared" si="17"/>
        <v>23400</v>
      </c>
      <c r="O28" s="4">
        <f t="shared" si="18"/>
        <v>18400</v>
      </c>
      <c r="P28" s="4">
        <f t="shared" si="18"/>
        <v>5000</v>
      </c>
      <c r="Q28" s="4">
        <f t="shared" si="18"/>
        <v>3270</v>
      </c>
    </row>
    <row r="29" spans="1:17" x14ac:dyDescent="0.35">
      <c r="A29" s="23">
        <v>44770</v>
      </c>
      <c r="B29" s="22">
        <f t="shared" si="0"/>
        <v>6833.4</v>
      </c>
      <c r="C29" s="22">
        <f t="shared" si="1"/>
        <v>9436.6</v>
      </c>
      <c r="D29" s="22">
        <f t="shared" si="2"/>
        <v>16270</v>
      </c>
      <c r="E29" s="22">
        <v>5330</v>
      </c>
      <c r="F29" s="22">
        <v>10940</v>
      </c>
      <c r="G29" s="22">
        <v>8130</v>
      </c>
      <c r="H29" s="21">
        <f t="shared" si="3"/>
        <v>0.72413793103448265</v>
      </c>
      <c r="I29" s="20">
        <f>SUM($D$2:D29)-SUM($G$2:G29)</f>
        <v>445551</v>
      </c>
      <c r="K29" s="8">
        <f t="shared" si="14"/>
        <v>44764</v>
      </c>
      <c r="L29" s="2">
        <f t="shared" si="15"/>
        <v>3334.7999999999997</v>
      </c>
      <c r="M29" s="2">
        <f t="shared" si="16"/>
        <v>4605.2000000000007</v>
      </c>
      <c r="N29" s="2">
        <f t="shared" si="17"/>
        <v>7940</v>
      </c>
      <c r="O29" s="2">
        <f t="shared" si="18"/>
        <v>6250</v>
      </c>
      <c r="P29" s="2">
        <f t="shared" si="18"/>
        <v>1690</v>
      </c>
      <c r="Q29" s="2">
        <f t="shared" si="18"/>
        <v>3220</v>
      </c>
    </row>
    <row r="30" spans="1:17" x14ac:dyDescent="0.35">
      <c r="A30" s="23">
        <v>44771</v>
      </c>
      <c r="B30" s="22">
        <f t="shared" si="0"/>
        <v>5919.9</v>
      </c>
      <c r="C30" s="22">
        <f t="shared" si="1"/>
        <v>8175.1</v>
      </c>
      <c r="D30" s="22">
        <f t="shared" si="2"/>
        <v>14095</v>
      </c>
      <c r="E30" s="22">
        <v>6140</v>
      </c>
      <c r="F30" s="22">
        <v>7955</v>
      </c>
      <c r="G30" s="22"/>
      <c r="H30" s="21">
        <f t="shared" si="3"/>
        <v>0.72413793103448265</v>
      </c>
      <c r="I30" s="20">
        <f>SUM($D$2:D30)-SUM($G$2:G30)</f>
        <v>459646</v>
      </c>
      <c r="K30" s="9">
        <f t="shared" si="14"/>
        <v>44765</v>
      </c>
      <c r="L30" s="4">
        <f t="shared" si="15"/>
        <v>19546.8</v>
      </c>
      <c r="M30" s="4">
        <f t="shared" si="16"/>
        <v>26993.200000000001</v>
      </c>
      <c r="N30" s="4">
        <f t="shared" si="17"/>
        <v>46540</v>
      </c>
      <c r="O30" s="4">
        <f t="shared" si="18"/>
        <v>14830</v>
      </c>
      <c r="P30" s="4">
        <f t="shared" si="18"/>
        <v>31710</v>
      </c>
      <c r="Q30" s="4">
        <f t="shared" si="18"/>
        <v>1930</v>
      </c>
    </row>
    <row r="31" spans="1:17" x14ac:dyDescent="0.35">
      <c r="A31" s="23">
        <v>44772</v>
      </c>
      <c r="B31" s="22">
        <f t="shared" si="0"/>
        <v>3150</v>
      </c>
      <c r="C31" s="22">
        <f t="shared" si="1"/>
        <v>4350</v>
      </c>
      <c r="D31" s="22">
        <f t="shared" si="2"/>
        <v>7500</v>
      </c>
      <c r="E31" s="22">
        <v>7500</v>
      </c>
      <c r="F31" s="22"/>
      <c r="G31" s="22">
        <v>100</v>
      </c>
      <c r="H31" s="21">
        <f t="shared" si="3"/>
        <v>0.72413793103448276</v>
      </c>
      <c r="I31" s="20">
        <f>SUM($D$2:D31)-SUM($G$2:G31)</f>
        <v>467046</v>
      </c>
      <c r="K31" s="8">
        <f t="shared" si="14"/>
        <v>44766</v>
      </c>
      <c r="L31" s="2">
        <f t="shared" si="15"/>
        <v>10590.3</v>
      </c>
      <c r="M31" s="2">
        <f t="shared" si="16"/>
        <v>14624.7</v>
      </c>
      <c r="N31" s="2">
        <f t="shared" si="17"/>
        <v>25215</v>
      </c>
      <c r="O31" s="2">
        <f t="shared" si="18"/>
        <v>7325</v>
      </c>
      <c r="P31" s="2">
        <f t="shared" si="18"/>
        <v>17890</v>
      </c>
      <c r="Q31" s="2">
        <f t="shared" si="18"/>
        <v>2050</v>
      </c>
    </row>
    <row r="32" spans="1:17" x14ac:dyDescent="0.35">
      <c r="A32" s="23">
        <v>44773</v>
      </c>
      <c r="B32" s="22">
        <f t="shared" si="0"/>
        <v>10420.199999999999</v>
      </c>
      <c r="C32" s="22">
        <f t="shared" si="1"/>
        <v>14389.800000000001</v>
      </c>
      <c r="D32" s="22">
        <f t="shared" si="2"/>
        <v>24810</v>
      </c>
      <c r="E32" s="24">
        <v>20290</v>
      </c>
      <c r="F32" s="22">
        <v>4520</v>
      </c>
      <c r="G32" s="22">
        <v>100</v>
      </c>
      <c r="H32" s="21">
        <f t="shared" si="3"/>
        <v>0.72413793103448265</v>
      </c>
      <c r="I32" s="20">
        <f>SUM($D$2:D32)-SUM($G$2:G32)</f>
        <v>491756</v>
      </c>
      <c r="K32" s="3" t="s">
        <v>4</v>
      </c>
      <c r="L32" s="2">
        <f t="shared" ref="L32:Q32" si="19">SUM(L25:L31)</f>
        <v>61621.56</v>
      </c>
      <c r="M32" s="2">
        <f t="shared" si="19"/>
        <v>85096.44</v>
      </c>
      <c r="N32" s="2">
        <f t="shared" si="19"/>
        <v>146718</v>
      </c>
      <c r="O32" s="2">
        <f t="shared" si="19"/>
        <v>71485</v>
      </c>
      <c r="P32" s="2">
        <f t="shared" si="19"/>
        <v>75233</v>
      </c>
      <c r="Q32" s="2">
        <f t="shared" si="19"/>
        <v>13910</v>
      </c>
    </row>
    <row r="33" spans="1:17" ht="15" thickBot="1" x14ac:dyDescent="0.4">
      <c r="A33" s="19" t="s">
        <v>4</v>
      </c>
      <c r="B33" s="18">
        <f t="shared" ref="B33:G33" si="20">SUM(B2:B32)</f>
        <v>246672.71999999997</v>
      </c>
      <c r="C33" s="18">
        <f t="shared" si="20"/>
        <v>340643.27999999997</v>
      </c>
      <c r="D33" s="18">
        <f t="shared" si="20"/>
        <v>587316</v>
      </c>
      <c r="E33" s="18">
        <f t="shared" si="20"/>
        <v>250150</v>
      </c>
      <c r="F33" s="18">
        <f t="shared" si="20"/>
        <v>337166</v>
      </c>
      <c r="G33" s="18">
        <f t="shared" si="20"/>
        <v>95560</v>
      </c>
      <c r="H33" s="15">
        <f>SUM(G2:G32)</f>
        <v>95560</v>
      </c>
      <c r="I33" s="14">
        <f>B33/C33</f>
        <v>0.72413793103448276</v>
      </c>
      <c r="K33" s="3" t="s">
        <v>0</v>
      </c>
      <c r="L33" s="4">
        <f>L32/3</f>
        <v>20540.52</v>
      </c>
      <c r="M33" s="4"/>
      <c r="N33" s="4"/>
      <c r="O33" s="4"/>
      <c r="P33" s="4"/>
      <c r="Q33" s="4"/>
    </row>
    <row r="34" spans="1:17" x14ac:dyDescent="0.35">
      <c r="A34" s="12"/>
      <c r="B34" s="11">
        <f>B33/3</f>
        <v>82224.239999999991</v>
      </c>
      <c r="C34" s="11"/>
      <c r="E34" s="13">
        <f>D33*0.42</f>
        <v>246672.72</v>
      </c>
      <c r="F34" s="11"/>
      <c r="G34" s="11"/>
      <c r="H34" s="10"/>
    </row>
    <row r="35" spans="1:17" x14ac:dyDescent="0.35">
      <c r="A35" s="12"/>
      <c r="B35" s="11">
        <f>B34*100/D33</f>
        <v>13.999999999999998</v>
      </c>
      <c r="C35" s="11"/>
      <c r="E35" s="11">
        <f>E34/3</f>
        <v>82224.240000000005</v>
      </c>
      <c r="F35" s="11"/>
      <c r="G35" s="11"/>
      <c r="H35" s="10"/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K36" s="8">
        <f t="shared" ref="K36:K42" si="21">A26</f>
        <v>44767</v>
      </c>
      <c r="L36" s="2">
        <f t="shared" ref="L36:L42" si="22">N36*0.4</f>
        <v>18424.8</v>
      </c>
      <c r="M36" s="2">
        <f t="shared" ref="M36:M42" si="23">N36-L36</f>
        <v>27637.200000000001</v>
      </c>
      <c r="N36" s="2">
        <f t="shared" ref="N36:N42" si="24">O36+P36</f>
        <v>46062</v>
      </c>
      <c r="O36" s="2">
        <f t="shared" ref="O36:Q42" si="25">E26</f>
        <v>1870</v>
      </c>
      <c r="P36" s="2">
        <f t="shared" si="25"/>
        <v>44192</v>
      </c>
      <c r="Q36" s="2">
        <f t="shared" si="25"/>
        <v>33000</v>
      </c>
    </row>
    <row r="37" spans="1:17" x14ac:dyDescent="0.35">
      <c r="K37" s="9">
        <f t="shared" si="21"/>
        <v>44768</v>
      </c>
      <c r="L37" s="2">
        <f t="shared" si="22"/>
        <v>9068</v>
      </c>
      <c r="M37" s="4">
        <f t="shared" si="23"/>
        <v>13602</v>
      </c>
      <c r="N37" s="4">
        <f t="shared" si="24"/>
        <v>22670</v>
      </c>
      <c r="O37" s="4">
        <f t="shared" si="25"/>
        <v>5170</v>
      </c>
      <c r="P37" s="4">
        <f t="shared" si="25"/>
        <v>17500</v>
      </c>
      <c r="Q37" s="4">
        <f t="shared" si="25"/>
        <v>4680</v>
      </c>
    </row>
    <row r="38" spans="1:17" x14ac:dyDescent="0.35">
      <c r="K38" s="8">
        <f t="shared" si="21"/>
        <v>44769</v>
      </c>
      <c r="L38" s="2">
        <f t="shared" si="22"/>
        <v>7222</v>
      </c>
      <c r="M38" s="2">
        <f t="shared" si="23"/>
        <v>10833</v>
      </c>
      <c r="N38" s="2">
        <f t="shared" si="24"/>
        <v>18055</v>
      </c>
      <c r="O38" s="2">
        <f t="shared" si="25"/>
        <v>12175</v>
      </c>
      <c r="P38" s="2">
        <f t="shared" si="25"/>
        <v>5880</v>
      </c>
      <c r="Q38" s="2">
        <f t="shared" si="25"/>
        <v>3080</v>
      </c>
    </row>
    <row r="39" spans="1:17" x14ac:dyDescent="0.35">
      <c r="K39" s="9">
        <f t="shared" si="21"/>
        <v>44770</v>
      </c>
      <c r="L39" s="2">
        <f t="shared" si="22"/>
        <v>6508</v>
      </c>
      <c r="M39" s="4">
        <f t="shared" si="23"/>
        <v>9762</v>
      </c>
      <c r="N39" s="4">
        <f t="shared" si="24"/>
        <v>16270</v>
      </c>
      <c r="O39" s="4">
        <f t="shared" si="25"/>
        <v>5330</v>
      </c>
      <c r="P39" s="4">
        <f t="shared" si="25"/>
        <v>10940</v>
      </c>
      <c r="Q39" s="4">
        <f t="shared" si="25"/>
        <v>8130</v>
      </c>
    </row>
    <row r="40" spans="1:17" x14ac:dyDescent="0.35">
      <c r="K40" s="8">
        <f t="shared" si="21"/>
        <v>44771</v>
      </c>
      <c r="L40" s="2">
        <f t="shared" si="22"/>
        <v>5638</v>
      </c>
      <c r="M40" s="2">
        <f t="shared" si="23"/>
        <v>8457</v>
      </c>
      <c r="N40" s="2">
        <f t="shared" si="24"/>
        <v>14095</v>
      </c>
      <c r="O40" s="2">
        <f t="shared" si="25"/>
        <v>6140</v>
      </c>
      <c r="P40" s="2">
        <f t="shared" si="25"/>
        <v>7955</v>
      </c>
      <c r="Q40" s="2">
        <f t="shared" si="25"/>
        <v>0</v>
      </c>
    </row>
    <row r="41" spans="1:17" x14ac:dyDescent="0.35">
      <c r="K41" s="9">
        <f t="shared" si="21"/>
        <v>44772</v>
      </c>
      <c r="L41" s="2">
        <f t="shared" si="22"/>
        <v>3000</v>
      </c>
      <c r="M41" s="4">
        <f t="shared" si="23"/>
        <v>4500</v>
      </c>
      <c r="N41" s="4">
        <f t="shared" si="24"/>
        <v>7500</v>
      </c>
      <c r="O41" s="4">
        <f t="shared" si="25"/>
        <v>7500</v>
      </c>
      <c r="P41" s="4">
        <f t="shared" si="25"/>
        <v>0</v>
      </c>
      <c r="Q41" s="4">
        <f t="shared" si="25"/>
        <v>100</v>
      </c>
    </row>
    <row r="42" spans="1:17" x14ac:dyDescent="0.35">
      <c r="K42" s="8">
        <f t="shared" si="21"/>
        <v>44773</v>
      </c>
      <c r="L42" s="2">
        <f t="shared" si="22"/>
        <v>9924</v>
      </c>
      <c r="M42" s="2">
        <f t="shared" si="23"/>
        <v>14886</v>
      </c>
      <c r="N42" s="2">
        <f t="shared" si="24"/>
        <v>24810</v>
      </c>
      <c r="O42" s="2">
        <f t="shared" si="25"/>
        <v>20290</v>
      </c>
      <c r="P42" s="2">
        <f t="shared" si="25"/>
        <v>4520</v>
      </c>
      <c r="Q42" s="2">
        <f t="shared" si="25"/>
        <v>100</v>
      </c>
    </row>
    <row r="43" spans="1:17" x14ac:dyDescent="0.35">
      <c r="K43" s="3" t="s">
        <v>4</v>
      </c>
      <c r="L43" s="4">
        <f t="shared" ref="L43:Q43" si="26">SUM(L36:L42)</f>
        <v>59784.800000000003</v>
      </c>
      <c r="M43" s="4">
        <f t="shared" si="26"/>
        <v>89677.2</v>
      </c>
      <c r="N43" s="4">
        <f t="shared" si="26"/>
        <v>149462</v>
      </c>
      <c r="O43" s="4">
        <f t="shared" si="26"/>
        <v>58475</v>
      </c>
      <c r="P43" s="4">
        <f t="shared" si="26"/>
        <v>90987</v>
      </c>
      <c r="Q43" s="4">
        <f t="shared" si="26"/>
        <v>49090</v>
      </c>
    </row>
    <row r="44" spans="1:17" x14ac:dyDescent="0.35">
      <c r="K44" s="3" t="s">
        <v>0</v>
      </c>
      <c r="L44" s="2">
        <f>L43/3</f>
        <v>19928.266666666666</v>
      </c>
      <c r="M44" s="2"/>
      <c r="N44" s="2"/>
      <c r="O44" s="2"/>
      <c r="P44" s="2"/>
      <c r="Q44" s="2"/>
    </row>
    <row r="48" spans="1:17" x14ac:dyDescent="0.35">
      <c r="K48" s="7" t="s">
        <v>7</v>
      </c>
      <c r="L48" s="6" t="s">
        <v>6</v>
      </c>
      <c r="M48" s="6" t="s">
        <v>5</v>
      </c>
      <c r="N48" s="6" t="s">
        <v>4</v>
      </c>
      <c r="O48" s="6" t="s">
        <v>3</v>
      </c>
      <c r="P48" s="6" t="s">
        <v>2</v>
      </c>
      <c r="Q48" s="6" t="s">
        <v>1</v>
      </c>
    </row>
    <row r="49" spans="11:17" x14ac:dyDescent="0.35">
      <c r="K49" s="5">
        <f>A6</f>
        <v>44747</v>
      </c>
      <c r="L49" s="4">
        <f>SUM(B2:B32)</f>
        <v>246672.71999999997</v>
      </c>
      <c r="M49" s="4">
        <f t="shared" ref="M49:Q49" si="27">SUM(C2:C32)</f>
        <v>340643.27999999997</v>
      </c>
      <c r="N49" s="4">
        <f t="shared" si="27"/>
        <v>587316</v>
      </c>
      <c r="O49" s="4">
        <f t="shared" si="27"/>
        <v>250150</v>
      </c>
      <c r="P49" s="4">
        <f t="shared" si="27"/>
        <v>337166</v>
      </c>
      <c r="Q49" s="4">
        <f t="shared" si="27"/>
        <v>95560</v>
      </c>
    </row>
    <row r="50" spans="11:17" x14ac:dyDescent="0.35">
      <c r="K50" s="3" t="s">
        <v>0</v>
      </c>
      <c r="L50" s="2">
        <f>L49/3</f>
        <v>82224.239999999991</v>
      </c>
      <c r="M50" s="2"/>
      <c r="N50" s="2"/>
      <c r="O50" s="2"/>
      <c r="P50" s="2"/>
      <c r="Q50" s="2"/>
    </row>
  </sheetData>
  <conditionalFormatting sqref="A1:H1">
    <cfRule type="dataBar" priority="7">
      <dataBar>
        <cfvo type="min"/>
        <cfvo type="max"/>
        <color rgb="FF638EC6"/>
      </dataBar>
    </cfRule>
  </conditionalFormatting>
  <conditionalFormatting sqref="H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5">
      <dataBar>
        <cfvo type="min"/>
        <cfvo type="max"/>
        <color rgb="FF638EC6"/>
      </dataBar>
    </cfRule>
  </conditionalFormatting>
  <conditionalFormatting sqref="K24:Q24">
    <cfRule type="dataBar" priority="4">
      <dataBar>
        <cfvo type="min"/>
        <cfvo type="max"/>
        <color rgb="FF638EC6"/>
      </dataBar>
    </cfRule>
  </conditionalFormatting>
  <conditionalFormatting sqref="K35:Q35">
    <cfRule type="dataBar" priority="3">
      <dataBar>
        <cfvo type="min"/>
        <cfvo type="max"/>
        <color rgb="FF638EC6"/>
      </dataBar>
    </cfRule>
  </conditionalFormatting>
  <conditionalFormatting sqref="K48:Q48">
    <cfRule type="dataBar" priority="2">
      <dataBar>
        <cfvo type="min"/>
        <cfvo type="max"/>
        <color rgb="FF638EC6"/>
      </dataBar>
    </cfRule>
  </conditionalFormatting>
  <conditionalFormatting sqref="K1:Q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F769-41BD-4146-8AFB-2CCE1C773E9B}">
  <dimension ref="A1:Q60"/>
  <sheetViews>
    <sheetView zoomScale="90" zoomScaleNormal="90" workbookViewId="0">
      <pane ySplit="1" topLeftCell="A42" activePane="bottomLeft" state="frozen"/>
      <selection pane="bottomLeft" activeCell="O59" sqref="O59:P59"/>
    </sheetView>
  </sheetViews>
  <sheetFormatPr defaultColWidth="26" defaultRowHeight="14.5" x14ac:dyDescent="0.35"/>
  <cols>
    <col min="1" max="1" width="17.453125" bestFit="1" customWidth="1"/>
    <col min="2" max="4" width="9" style="1" bestFit="1" customWidth="1"/>
    <col min="5" max="5" width="11.54296875" style="1" bestFit="1" customWidth="1"/>
    <col min="6" max="6" width="9" style="1" bestFit="1" customWidth="1"/>
    <col min="7" max="7" width="8.453125" style="1" bestFit="1" customWidth="1"/>
    <col min="8" max="8" width="10.1796875" bestFit="1" customWidth="1"/>
    <col min="9" max="9" width="12" bestFit="1" customWidth="1"/>
    <col min="10" max="10" width="6.54296875" customWidth="1"/>
    <col min="11" max="11" width="17.453125" bestFit="1" customWidth="1"/>
    <col min="12" max="15" width="9" bestFit="1" customWidth="1"/>
    <col min="16" max="16" width="16.453125" bestFit="1" customWidth="1"/>
    <col min="17" max="17" width="8.816406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44774</v>
      </c>
      <c r="B2" s="22">
        <f t="shared" ref="B2:B36" si="0">D2*0.42</f>
        <v>3460.7999999999997</v>
      </c>
      <c r="C2" s="22">
        <f t="shared" ref="C2:C36" si="1">D2-B2</f>
        <v>4779.2000000000007</v>
      </c>
      <c r="D2" s="22">
        <f t="shared" ref="D2:D36" si="2">E2+F2</f>
        <v>8240</v>
      </c>
      <c r="E2" s="22">
        <v>6750</v>
      </c>
      <c r="F2" s="22">
        <v>1490</v>
      </c>
      <c r="G2" s="22">
        <v>170</v>
      </c>
      <c r="H2" s="21">
        <f t="shared" ref="H2:H36" si="3">IFERROR(B2/C2,0)</f>
        <v>0.72413793103448254</v>
      </c>
      <c r="I2" s="20">
        <f>SUM($D$2:D2)-SUM($G$2:G2)</f>
        <v>8070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44775</v>
      </c>
      <c r="B3" s="22">
        <f t="shared" si="0"/>
        <v>14324.1</v>
      </c>
      <c r="C3" s="22">
        <f t="shared" si="1"/>
        <v>19780.900000000001</v>
      </c>
      <c r="D3" s="22">
        <f t="shared" si="2"/>
        <v>34105</v>
      </c>
      <c r="E3" s="22">
        <v>17835</v>
      </c>
      <c r="F3" s="22">
        <v>16270</v>
      </c>
      <c r="G3" s="22">
        <v>2570</v>
      </c>
      <c r="H3" s="21">
        <f t="shared" si="3"/>
        <v>0.72413793103448276</v>
      </c>
      <c r="I3" s="20">
        <f>SUM($D$2:D3)-SUM($G$2:G3)</f>
        <v>39605</v>
      </c>
      <c r="K3" s="8">
        <f t="shared" ref="K3:K9" si="4">A2</f>
        <v>44774</v>
      </c>
      <c r="L3" s="2">
        <f t="shared" ref="L3:L9" si="5">N3*0.42</f>
        <v>3460.7999999999997</v>
      </c>
      <c r="M3" s="2">
        <f t="shared" ref="M3:M9" si="6">N3-L3</f>
        <v>4779.2000000000007</v>
      </c>
      <c r="N3" s="2">
        <f t="shared" ref="N3:N9" si="7">O3+P3</f>
        <v>8240</v>
      </c>
      <c r="O3" s="2">
        <f t="shared" ref="O3:O9" si="8">VLOOKUP(K3,$A$1:$H$37,5,0)</f>
        <v>6750</v>
      </c>
      <c r="P3" s="2">
        <f t="shared" ref="P3:P9" si="9">VLOOKUP(K3,$A$1:$H$37,6,0)</f>
        <v>1490</v>
      </c>
      <c r="Q3" s="2">
        <f t="shared" ref="Q3:Q9" si="10">VLOOKUP(K3,$A$1:$H$37,7,0)</f>
        <v>170</v>
      </c>
    </row>
    <row r="4" spans="1:17" x14ac:dyDescent="0.35">
      <c r="A4" s="23">
        <v>44776</v>
      </c>
      <c r="B4" s="22">
        <f t="shared" si="0"/>
        <v>3099.6</v>
      </c>
      <c r="C4" s="22">
        <f t="shared" si="1"/>
        <v>4280.3999999999996</v>
      </c>
      <c r="D4" s="22">
        <f t="shared" si="2"/>
        <v>7380</v>
      </c>
      <c r="E4" s="22">
        <v>7080</v>
      </c>
      <c r="F4" s="22">
        <v>300</v>
      </c>
      <c r="G4" s="22">
        <v>430</v>
      </c>
      <c r="H4" s="21">
        <f t="shared" si="3"/>
        <v>0.72413793103448276</v>
      </c>
      <c r="I4" s="20">
        <f>SUM($D$2:D4)-SUM($G$2:G4)</f>
        <v>46555</v>
      </c>
      <c r="K4" s="9">
        <f t="shared" si="4"/>
        <v>44775</v>
      </c>
      <c r="L4" s="4">
        <f t="shared" si="5"/>
        <v>14324.1</v>
      </c>
      <c r="M4" s="4">
        <f t="shared" si="6"/>
        <v>19780.900000000001</v>
      </c>
      <c r="N4" s="4">
        <f t="shared" si="7"/>
        <v>34105</v>
      </c>
      <c r="O4" s="4">
        <f t="shared" si="8"/>
        <v>17835</v>
      </c>
      <c r="P4" s="4">
        <f t="shared" si="9"/>
        <v>16270</v>
      </c>
      <c r="Q4" s="4">
        <f t="shared" si="10"/>
        <v>2570</v>
      </c>
    </row>
    <row r="5" spans="1:17" x14ac:dyDescent="0.35">
      <c r="A5" s="23">
        <v>44777</v>
      </c>
      <c r="B5" s="22">
        <f t="shared" si="0"/>
        <v>1377.6</v>
      </c>
      <c r="C5" s="22">
        <f t="shared" si="1"/>
        <v>1902.4</v>
      </c>
      <c r="D5" s="22">
        <f t="shared" si="2"/>
        <v>3280</v>
      </c>
      <c r="E5" s="22">
        <v>3280</v>
      </c>
      <c r="F5" s="22"/>
      <c r="G5" s="22">
        <v>450</v>
      </c>
      <c r="H5" s="21">
        <f t="shared" si="3"/>
        <v>0.72413793103448265</v>
      </c>
      <c r="I5" s="20">
        <f>SUM($D$2:D5)-SUM($G$2:G5)</f>
        <v>49385</v>
      </c>
      <c r="K5" s="8">
        <f t="shared" si="4"/>
        <v>44776</v>
      </c>
      <c r="L5" s="2">
        <f t="shared" si="5"/>
        <v>3099.6</v>
      </c>
      <c r="M5" s="2">
        <f t="shared" si="6"/>
        <v>4280.3999999999996</v>
      </c>
      <c r="N5" s="2">
        <f t="shared" si="7"/>
        <v>7380</v>
      </c>
      <c r="O5" s="2">
        <f t="shared" si="8"/>
        <v>7080</v>
      </c>
      <c r="P5" s="2">
        <f t="shared" si="9"/>
        <v>300</v>
      </c>
      <c r="Q5" s="2">
        <f t="shared" si="10"/>
        <v>430</v>
      </c>
    </row>
    <row r="6" spans="1:17" x14ac:dyDescent="0.35">
      <c r="A6" s="23">
        <v>44778</v>
      </c>
      <c r="B6" s="22">
        <f t="shared" si="0"/>
        <v>5483.94</v>
      </c>
      <c r="C6" s="22">
        <f t="shared" si="1"/>
        <v>7573.06</v>
      </c>
      <c r="D6" s="22">
        <f t="shared" si="2"/>
        <v>13057</v>
      </c>
      <c r="E6" s="22">
        <v>8160</v>
      </c>
      <c r="F6" s="22">
        <v>4897</v>
      </c>
      <c r="G6" s="22">
        <v>530</v>
      </c>
      <c r="H6" s="21">
        <f t="shared" si="3"/>
        <v>0.72413793103448265</v>
      </c>
      <c r="I6" s="20">
        <f>SUM($D$2:D6)-SUM($G$2:G6)</f>
        <v>61912</v>
      </c>
      <c r="K6" s="9">
        <f t="shared" si="4"/>
        <v>44777</v>
      </c>
      <c r="L6" s="4">
        <f t="shared" si="5"/>
        <v>1377.6</v>
      </c>
      <c r="M6" s="4">
        <f t="shared" si="6"/>
        <v>1902.4</v>
      </c>
      <c r="N6" s="4">
        <f t="shared" si="7"/>
        <v>3280</v>
      </c>
      <c r="O6" s="4">
        <f t="shared" si="8"/>
        <v>3280</v>
      </c>
      <c r="P6" s="4">
        <f t="shared" si="9"/>
        <v>0</v>
      </c>
      <c r="Q6" s="4">
        <f t="shared" si="10"/>
        <v>450</v>
      </c>
    </row>
    <row r="7" spans="1:17" x14ac:dyDescent="0.35">
      <c r="A7" s="23">
        <v>44779</v>
      </c>
      <c r="B7" s="22">
        <f t="shared" si="0"/>
        <v>9823.7999999999993</v>
      </c>
      <c r="C7" s="22">
        <f t="shared" si="1"/>
        <v>13566.2</v>
      </c>
      <c r="D7" s="22">
        <f t="shared" si="2"/>
        <v>23390</v>
      </c>
      <c r="E7" s="22">
        <v>14760</v>
      </c>
      <c r="F7" s="22">
        <v>8630</v>
      </c>
      <c r="G7" s="22">
        <v>8595</v>
      </c>
      <c r="H7" s="21">
        <f t="shared" si="3"/>
        <v>0.72413793103448265</v>
      </c>
      <c r="I7" s="20">
        <f>SUM($D$2:D7)-SUM($G$2:G7)</f>
        <v>76707</v>
      </c>
      <c r="K7" s="8">
        <f t="shared" si="4"/>
        <v>44778</v>
      </c>
      <c r="L7" s="2">
        <f t="shared" si="5"/>
        <v>5483.94</v>
      </c>
      <c r="M7" s="2">
        <f t="shared" si="6"/>
        <v>7573.06</v>
      </c>
      <c r="N7" s="2">
        <f t="shared" si="7"/>
        <v>13057</v>
      </c>
      <c r="O7" s="2">
        <f t="shared" si="8"/>
        <v>8160</v>
      </c>
      <c r="P7" s="2">
        <f t="shared" si="9"/>
        <v>4897</v>
      </c>
      <c r="Q7" s="2">
        <f t="shared" si="10"/>
        <v>530</v>
      </c>
    </row>
    <row r="8" spans="1:17" x14ac:dyDescent="0.35">
      <c r="A8" s="23">
        <v>44780</v>
      </c>
      <c r="B8" s="22">
        <f t="shared" si="0"/>
        <v>7919.5199999999995</v>
      </c>
      <c r="C8" s="22">
        <f t="shared" si="1"/>
        <v>10936.48</v>
      </c>
      <c r="D8" s="22">
        <f t="shared" si="2"/>
        <v>18856</v>
      </c>
      <c r="E8" s="22">
        <v>17706</v>
      </c>
      <c r="F8" s="22">
        <v>1150</v>
      </c>
      <c r="G8" s="22">
        <v>6605</v>
      </c>
      <c r="H8" s="21">
        <f t="shared" si="3"/>
        <v>0.72413793103448276</v>
      </c>
      <c r="I8" s="20">
        <f>SUM($D$2:D8)-SUM($G$2:G8)</f>
        <v>88958</v>
      </c>
      <c r="K8" s="9">
        <f t="shared" si="4"/>
        <v>44779</v>
      </c>
      <c r="L8" s="4">
        <f t="shared" si="5"/>
        <v>9823.7999999999993</v>
      </c>
      <c r="M8" s="4">
        <f t="shared" si="6"/>
        <v>13566.2</v>
      </c>
      <c r="N8" s="4">
        <f t="shared" si="7"/>
        <v>23390</v>
      </c>
      <c r="O8" s="4">
        <f t="shared" si="8"/>
        <v>14760</v>
      </c>
      <c r="P8" s="4">
        <f t="shared" si="9"/>
        <v>8630</v>
      </c>
      <c r="Q8" s="4">
        <f t="shared" si="10"/>
        <v>8595</v>
      </c>
    </row>
    <row r="9" spans="1:17" x14ac:dyDescent="0.35">
      <c r="A9" s="23">
        <v>44781</v>
      </c>
      <c r="B9" s="22">
        <f t="shared" si="0"/>
        <v>7051.8</v>
      </c>
      <c r="C9" s="22">
        <f t="shared" si="1"/>
        <v>9738.2000000000007</v>
      </c>
      <c r="D9" s="22">
        <f t="shared" si="2"/>
        <v>16790</v>
      </c>
      <c r="E9" s="22">
        <v>4730</v>
      </c>
      <c r="F9" s="22">
        <v>12060</v>
      </c>
      <c r="G9" s="22">
        <v>100</v>
      </c>
      <c r="H9" s="21">
        <f t="shared" si="3"/>
        <v>0.72413793103448276</v>
      </c>
      <c r="I9" s="20">
        <f>SUM($D$2:D9)-SUM($G$2:G9)</f>
        <v>105648</v>
      </c>
      <c r="K9" s="8">
        <f t="shared" si="4"/>
        <v>44780</v>
      </c>
      <c r="L9" s="2">
        <f t="shared" si="5"/>
        <v>7919.5199999999995</v>
      </c>
      <c r="M9" s="2">
        <f t="shared" si="6"/>
        <v>10936.48</v>
      </c>
      <c r="N9" s="2">
        <f t="shared" si="7"/>
        <v>18856</v>
      </c>
      <c r="O9" s="2">
        <f t="shared" si="8"/>
        <v>17706</v>
      </c>
      <c r="P9" s="2">
        <f t="shared" si="9"/>
        <v>1150</v>
      </c>
      <c r="Q9" s="2">
        <f t="shared" si="10"/>
        <v>6605</v>
      </c>
    </row>
    <row r="10" spans="1:17" x14ac:dyDescent="0.35">
      <c r="A10" s="23">
        <v>44782</v>
      </c>
      <c r="B10" s="22">
        <f t="shared" si="0"/>
        <v>3723.72</v>
      </c>
      <c r="C10" s="22">
        <f t="shared" si="1"/>
        <v>5142.2800000000007</v>
      </c>
      <c r="D10" s="22">
        <f t="shared" si="2"/>
        <v>8866</v>
      </c>
      <c r="E10" s="22">
        <v>1730</v>
      </c>
      <c r="F10" s="22">
        <v>7136</v>
      </c>
      <c r="G10" s="22">
        <v>150</v>
      </c>
      <c r="H10" s="21">
        <f t="shared" si="3"/>
        <v>0.72413793103448265</v>
      </c>
      <c r="I10" s="20">
        <f>SUM($D$2:D10)-SUM($G$2:G10)</f>
        <v>114364</v>
      </c>
      <c r="K10" s="3" t="s">
        <v>4</v>
      </c>
      <c r="L10" s="3">
        <f>SUM(L3:L9)</f>
        <v>45489.359999999993</v>
      </c>
      <c r="M10" s="3">
        <f>SUM(M2:M9)</f>
        <v>62818.64</v>
      </c>
      <c r="N10" s="3">
        <f>SUM(N2:N9)</f>
        <v>108308</v>
      </c>
      <c r="O10" s="3">
        <f>SUM(O2:O9)</f>
        <v>75571</v>
      </c>
      <c r="P10" s="3">
        <f>SUM(P2:P9)</f>
        <v>32737</v>
      </c>
      <c r="Q10" s="3">
        <f>SUM(Q2:Q9)</f>
        <v>19350</v>
      </c>
    </row>
    <row r="11" spans="1:17" x14ac:dyDescent="0.35">
      <c r="A11" s="23">
        <v>44783</v>
      </c>
      <c r="B11" s="22">
        <f t="shared" si="0"/>
        <v>6255.9</v>
      </c>
      <c r="C11" s="22">
        <f t="shared" si="1"/>
        <v>8639.1</v>
      </c>
      <c r="D11" s="22">
        <f t="shared" si="2"/>
        <v>14895</v>
      </c>
      <c r="E11" s="22">
        <v>2520</v>
      </c>
      <c r="F11" s="22">
        <v>12375</v>
      </c>
      <c r="G11" s="22">
        <v>195</v>
      </c>
      <c r="H11" s="21">
        <f t="shared" si="3"/>
        <v>0.72413793103448265</v>
      </c>
      <c r="I11" s="20">
        <f>SUM($D$2:D11)-SUM($G$2:G11)</f>
        <v>129064</v>
      </c>
      <c r="K11" s="3" t="s">
        <v>0</v>
      </c>
      <c r="L11" s="3">
        <f>L10/3</f>
        <v>15163.119999999997</v>
      </c>
      <c r="M11" s="3"/>
      <c r="N11" s="3"/>
      <c r="O11" s="2"/>
      <c r="P11" s="2"/>
      <c r="Q11" s="2"/>
    </row>
    <row r="12" spans="1:17" x14ac:dyDescent="0.35">
      <c r="A12" s="23">
        <v>44784</v>
      </c>
      <c r="B12" s="22">
        <f t="shared" si="0"/>
        <v>4628.3999999999996</v>
      </c>
      <c r="C12" s="22">
        <f t="shared" si="1"/>
        <v>6391.6</v>
      </c>
      <c r="D12" s="22">
        <f t="shared" si="2"/>
        <v>11020</v>
      </c>
      <c r="E12" s="22">
        <f>9460+1170</f>
        <v>10630</v>
      </c>
      <c r="F12" s="22">
        <v>390</v>
      </c>
      <c r="G12" s="22">
        <v>400</v>
      </c>
      <c r="H12" s="21">
        <f t="shared" si="3"/>
        <v>0.72413793103448265</v>
      </c>
      <c r="I12" s="20">
        <f>SUM($D$2:D12)-SUM($G$2:G12)</f>
        <v>139684</v>
      </c>
    </row>
    <row r="13" spans="1:17" x14ac:dyDescent="0.35">
      <c r="A13" s="23">
        <v>44785</v>
      </c>
      <c r="B13" s="22">
        <f t="shared" si="0"/>
        <v>5823.3</v>
      </c>
      <c r="C13" s="22">
        <f t="shared" si="1"/>
        <v>8041.7</v>
      </c>
      <c r="D13" s="22">
        <f t="shared" si="2"/>
        <v>13865</v>
      </c>
      <c r="E13" s="22">
        <v>7900</v>
      </c>
      <c r="F13" s="22">
        <v>5965</v>
      </c>
      <c r="G13" s="22">
        <v>1740</v>
      </c>
      <c r="H13" s="21">
        <f t="shared" si="3"/>
        <v>0.72413793103448276</v>
      </c>
      <c r="I13" s="20">
        <f>SUM($D$2:D13)-SUM($G$2:G13)</f>
        <v>151809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44786</v>
      </c>
      <c r="B14" s="22">
        <f t="shared" si="0"/>
        <v>13843.199999999999</v>
      </c>
      <c r="C14" s="22">
        <f t="shared" si="1"/>
        <v>19116.800000000003</v>
      </c>
      <c r="D14" s="22">
        <f t="shared" si="2"/>
        <v>32960</v>
      </c>
      <c r="E14" s="22">
        <v>25345</v>
      </c>
      <c r="F14" s="22">
        <v>7615</v>
      </c>
      <c r="G14" s="22">
        <v>4500</v>
      </c>
      <c r="H14" s="21">
        <f t="shared" si="3"/>
        <v>0.72413793103448254</v>
      </c>
      <c r="I14" s="20">
        <f>SUM($D$2:D14)-SUM($G$2:G14)</f>
        <v>180269</v>
      </c>
      <c r="K14" s="8">
        <f t="shared" ref="K14:K20" si="11">A9</f>
        <v>44781</v>
      </c>
      <c r="L14" s="2">
        <f t="shared" ref="L14:L20" si="12">N14*0.42</f>
        <v>7051.8</v>
      </c>
      <c r="M14" s="2">
        <f t="shared" ref="M14:M20" si="13">N14-L14</f>
        <v>9738.2000000000007</v>
      </c>
      <c r="N14" s="2">
        <f t="shared" ref="N14:N20" si="14">O14+P14</f>
        <v>16790</v>
      </c>
      <c r="O14" s="2">
        <f t="shared" ref="O14:O20" si="15">VLOOKUP(K14,$A$1:$H$37,5,0)</f>
        <v>4730</v>
      </c>
      <c r="P14" s="2">
        <f t="shared" ref="P14:P20" si="16">VLOOKUP(K14,$A$1:$H$37,6,0)</f>
        <v>12060</v>
      </c>
      <c r="Q14" s="2">
        <f t="shared" ref="Q14:Q20" si="17">VLOOKUP(K14,$A$1:$H$37,7,0)</f>
        <v>100</v>
      </c>
    </row>
    <row r="15" spans="1:17" x14ac:dyDescent="0.35">
      <c r="A15" s="23">
        <v>44787</v>
      </c>
      <c r="B15" s="22">
        <f t="shared" si="0"/>
        <v>6644.4</v>
      </c>
      <c r="C15" s="22">
        <f t="shared" si="1"/>
        <v>9175.6</v>
      </c>
      <c r="D15" s="22">
        <f t="shared" si="2"/>
        <v>15820</v>
      </c>
      <c r="E15" s="22">
        <v>8910</v>
      </c>
      <c r="F15" s="22">
        <v>6910</v>
      </c>
      <c r="G15" s="22">
        <v>1990</v>
      </c>
      <c r="H15" s="21">
        <f t="shared" si="3"/>
        <v>0.72413793103448265</v>
      </c>
      <c r="I15" s="20">
        <f>SUM($D$2:D15)-SUM($G$2:G15)</f>
        <v>194099</v>
      </c>
      <c r="K15" s="9">
        <f t="shared" si="11"/>
        <v>44782</v>
      </c>
      <c r="L15" s="4">
        <f t="shared" si="12"/>
        <v>3723.72</v>
      </c>
      <c r="M15" s="4">
        <f t="shared" si="13"/>
        <v>5142.2800000000007</v>
      </c>
      <c r="N15" s="4">
        <f t="shared" si="14"/>
        <v>8866</v>
      </c>
      <c r="O15" s="4">
        <f t="shared" si="15"/>
        <v>1730</v>
      </c>
      <c r="P15" s="4">
        <f t="shared" si="16"/>
        <v>7136</v>
      </c>
      <c r="Q15" s="4">
        <f t="shared" si="17"/>
        <v>150</v>
      </c>
    </row>
    <row r="16" spans="1:17" x14ac:dyDescent="0.35">
      <c r="A16" s="23">
        <v>44788</v>
      </c>
      <c r="B16" s="22">
        <f t="shared" si="0"/>
        <v>3504.9</v>
      </c>
      <c r="C16" s="22">
        <f t="shared" si="1"/>
        <v>4840.1000000000004</v>
      </c>
      <c r="D16" s="22">
        <f t="shared" si="2"/>
        <v>8345</v>
      </c>
      <c r="E16" s="22">
        <v>7495</v>
      </c>
      <c r="F16" s="22">
        <v>850</v>
      </c>
      <c r="G16" s="22">
        <v>4800</v>
      </c>
      <c r="H16" s="21">
        <f t="shared" si="3"/>
        <v>0.72413793103448276</v>
      </c>
      <c r="I16" s="20">
        <f>SUM($D$2:D16)-SUM($G$2:G16)</f>
        <v>197644</v>
      </c>
      <c r="K16" s="8">
        <f t="shared" si="11"/>
        <v>44783</v>
      </c>
      <c r="L16" s="2">
        <f t="shared" si="12"/>
        <v>6255.9</v>
      </c>
      <c r="M16" s="2">
        <f t="shared" si="13"/>
        <v>8639.1</v>
      </c>
      <c r="N16" s="2">
        <f t="shared" si="14"/>
        <v>14895</v>
      </c>
      <c r="O16" s="2">
        <f t="shared" si="15"/>
        <v>2520</v>
      </c>
      <c r="P16" s="2">
        <f t="shared" si="16"/>
        <v>12375</v>
      </c>
      <c r="Q16" s="2">
        <f t="shared" si="17"/>
        <v>195</v>
      </c>
    </row>
    <row r="17" spans="1:17" x14ac:dyDescent="0.35">
      <c r="A17" s="23">
        <v>44789</v>
      </c>
      <c r="B17" s="22">
        <f t="shared" si="0"/>
        <v>7580.16</v>
      </c>
      <c r="C17" s="22">
        <f t="shared" si="1"/>
        <v>10467.84</v>
      </c>
      <c r="D17" s="22">
        <f t="shared" si="2"/>
        <v>18048</v>
      </c>
      <c r="E17" s="22">
        <v>15755</v>
      </c>
      <c r="F17" s="22">
        <v>2293</v>
      </c>
      <c r="G17" s="22">
        <v>100</v>
      </c>
      <c r="H17" s="21">
        <f t="shared" si="3"/>
        <v>0.72413793103448276</v>
      </c>
      <c r="I17" s="20">
        <f>SUM($D$2:D17)-SUM($G$2:G17)</f>
        <v>215592</v>
      </c>
      <c r="K17" s="9">
        <f t="shared" si="11"/>
        <v>44784</v>
      </c>
      <c r="L17" s="4">
        <f t="shared" si="12"/>
        <v>4628.3999999999996</v>
      </c>
      <c r="M17" s="4">
        <f t="shared" si="13"/>
        <v>6391.6</v>
      </c>
      <c r="N17" s="4">
        <f t="shared" si="14"/>
        <v>11020</v>
      </c>
      <c r="O17" s="4">
        <f t="shared" si="15"/>
        <v>10630</v>
      </c>
      <c r="P17" s="4">
        <f t="shared" si="16"/>
        <v>390</v>
      </c>
      <c r="Q17" s="4">
        <f t="shared" si="17"/>
        <v>400</v>
      </c>
    </row>
    <row r="18" spans="1:17" x14ac:dyDescent="0.35">
      <c r="A18" s="23">
        <v>44790</v>
      </c>
      <c r="B18" s="22">
        <f t="shared" si="0"/>
        <v>3175.2</v>
      </c>
      <c r="C18" s="22">
        <f t="shared" si="1"/>
        <v>4384.8</v>
      </c>
      <c r="D18" s="22">
        <f t="shared" si="2"/>
        <v>7560</v>
      </c>
      <c r="E18" s="22">
        <v>3060</v>
      </c>
      <c r="F18" s="22">
        <v>4500</v>
      </c>
      <c r="G18" s="22">
        <v>2500</v>
      </c>
      <c r="H18" s="21">
        <f t="shared" si="3"/>
        <v>0.72413793103448265</v>
      </c>
      <c r="I18" s="20">
        <f>SUM($D$2:D18)-SUM($G$2:G18)</f>
        <v>220652</v>
      </c>
      <c r="K18" s="8">
        <f t="shared" si="11"/>
        <v>44785</v>
      </c>
      <c r="L18" s="2">
        <f t="shared" si="12"/>
        <v>5823.3</v>
      </c>
      <c r="M18" s="2">
        <f t="shared" si="13"/>
        <v>8041.7</v>
      </c>
      <c r="N18" s="2">
        <f t="shared" si="14"/>
        <v>13865</v>
      </c>
      <c r="O18" s="2">
        <f t="shared" si="15"/>
        <v>7900</v>
      </c>
      <c r="P18" s="2">
        <f t="shared" si="16"/>
        <v>5965</v>
      </c>
      <c r="Q18" s="2">
        <f t="shared" si="17"/>
        <v>1740</v>
      </c>
    </row>
    <row r="19" spans="1:17" x14ac:dyDescent="0.35">
      <c r="A19" s="23">
        <v>44791</v>
      </c>
      <c r="B19" s="22">
        <f t="shared" si="0"/>
        <v>3759</v>
      </c>
      <c r="C19" s="22">
        <f t="shared" si="1"/>
        <v>5191</v>
      </c>
      <c r="D19" s="22">
        <f t="shared" si="2"/>
        <v>8950</v>
      </c>
      <c r="E19" s="22">
        <v>6710</v>
      </c>
      <c r="F19" s="22">
        <v>2240</v>
      </c>
      <c r="G19" s="22">
        <v>450</v>
      </c>
      <c r="H19" s="21">
        <f t="shared" si="3"/>
        <v>0.72413793103448276</v>
      </c>
      <c r="I19" s="20">
        <f>SUM($D$2:D19)-SUM($G$2:G19)</f>
        <v>229152</v>
      </c>
      <c r="K19" s="9">
        <f t="shared" si="11"/>
        <v>44786</v>
      </c>
      <c r="L19" s="4">
        <f t="shared" si="12"/>
        <v>13843.199999999999</v>
      </c>
      <c r="M19" s="4">
        <f t="shared" si="13"/>
        <v>19116.800000000003</v>
      </c>
      <c r="N19" s="4">
        <f t="shared" si="14"/>
        <v>32960</v>
      </c>
      <c r="O19" s="4">
        <f t="shared" si="15"/>
        <v>25345</v>
      </c>
      <c r="P19" s="4">
        <f t="shared" si="16"/>
        <v>7615</v>
      </c>
      <c r="Q19" s="4">
        <f t="shared" si="17"/>
        <v>4500</v>
      </c>
    </row>
    <row r="20" spans="1:17" x14ac:dyDescent="0.35">
      <c r="A20" s="23">
        <v>44792</v>
      </c>
      <c r="B20" s="22">
        <f t="shared" si="0"/>
        <v>6577.2</v>
      </c>
      <c r="C20" s="22">
        <f t="shared" si="1"/>
        <v>9082.7999999999993</v>
      </c>
      <c r="D20" s="22">
        <f t="shared" si="2"/>
        <v>15660</v>
      </c>
      <c r="E20" s="22">
        <v>510</v>
      </c>
      <c r="F20" s="22">
        <v>15150</v>
      </c>
      <c r="G20" s="22">
        <v>220</v>
      </c>
      <c r="H20" s="21">
        <f t="shared" si="3"/>
        <v>0.72413793103448276</v>
      </c>
      <c r="I20" s="20">
        <f>SUM($D$2:D20)-SUM($G$2:G20)</f>
        <v>244592</v>
      </c>
      <c r="K20" s="8">
        <f t="shared" si="11"/>
        <v>44787</v>
      </c>
      <c r="L20" s="2">
        <f t="shared" si="12"/>
        <v>6644.4</v>
      </c>
      <c r="M20" s="2">
        <f t="shared" si="13"/>
        <v>9175.6</v>
      </c>
      <c r="N20" s="2">
        <f t="shared" si="14"/>
        <v>15820</v>
      </c>
      <c r="O20" s="2">
        <f t="shared" si="15"/>
        <v>8910</v>
      </c>
      <c r="P20" s="2">
        <f t="shared" si="16"/>
        <v>6910</v>
      </c>
      <c r="Q20" s="2">
        <f t="shared" si="17"/>
        <v>1990</v>
      </c>
    </row>
    <row r="21" spans="1:17" x14ac:dyDescent="0.35">
      <c r="A21" s="23">
        <v>44793</v>
      </c>
      <c r="B21" s="22">
        <f t="shared" si="0"/>
        <v>20731.2</v>
      </c>
      <c r="C21" s="22">
        <f t="shared" si="1"/>
        <v>28628.799999999999</v>
      </c>
      <c r="D21" s="22">
        <f t="shared" si="2"/>
        <v>49360</v>
      </c>
      <c r="E21" s="22">
        <v>16960</v>
      </c>
      <c r="F21" s="22">
        <v>32400</v>
      </c>
      <c r="G21" s="22">
        <v>1080</v>
      </c>
      <c r="H21" s="21">
        <f t="shared" si="3"/>
        <v>0.72413793103448276</v>
      </c>
      <c r="I21" s="20">
        <f>SUM($D$2:D21)-SUM($G$2:G21)</f>
        <v>292872</v>
      </c>
      <c r="K21" s="3" t="s">
        <v>4</v>
      </c>
      <c r="L21" s="3">
        <f t="shared" ref="L21:Q21" si="18">SUM(L14:L20)</f>
        <v>47970.720000000001</v>
      </c>
      <c r="M21" s="3">
        <f t="shared" si="18"/>
        <v>66245.279999999999</v>
      </c>
      <c r="N21" s="3">
        <f t="shared" si="18"/>
        <v>114216</v>
      </c>
      <c r="O21" s="3">
        <f t="shared" si="18"/>
        <v>61765</v>
      </c>
      <c r="P21" s="3">
        <f t="shared" si="18"/>
        <v>52451</v>
      </c>
      <c r="Q21" s="3">
        <f t="shared" si="18"/>
        <v>9075</v>
      </c>
    </row>
    <row r="22" spans="1:17" x14ac:dyDescent="0.35">
      <c r="A22" s="23">
        <v>44794</v>
      </c>
      <c r="B22" s="22">
        <f t="shared" si="0"/>
        <v>8498.6999999999989</v>
      </c>
      <c r="C22" s="22">
        <f t="shared" si="1"/>
        <v>11736.300000000001</v>
      </c>
      <c r="D22" s="22">
        <f t="shared" si="2"/>
        <v>20235</v>
      </c>
      <c r="E22" s="22">
        <v>16735</v>
      </c>
      <c r="F22" s="22">
        <v>3500</v>
      </c>
      <c r="G22" s="22">
        <v>50</v>
      </c>
      <c r="H22" s="21">
        <f t="shared" si="3"/>
        <v>0.72413793103448265</v>
      </c>
      <c r="I22" s="20">
        <f>SUM($D$2:D22)-SUM($G$2:G22)</f>
        <v>313057</v>
      </c>
      <c r="K22" s="3" t="s">
        <v>0</v>
      </c>
      <c r="L22" s="3">
        <f>L21/3</f>
        <v>15990.24</v>
      </c>
      <c r="M22" s="3"/>
      <c r="N22" s="3"/>
      <c r="O22" s="2"/>
      <c r="P22" s="2"/>
      <c r="Q22" s="2"/>
    </row>
    <row r="23" spans="1:17" x14ac:dyDescent="0.35">
      <c r="A23" s="23">
        <v>44795</v>
      </c>
      <c r="B23" s="22">
        <f t="shared" si="0"/>
        <v>12845.699999999999</v>
      </c>
      <c r="C23" s="22">
        <f t="shared" si="1"/>
        <v>17739.300000000003</v>
      </c>
      <c r="D23" s="22">
        <f t="shared" si="2"/>
        <v>30585</v>
      </c>
      <c r="E23" s="22">
        <v>16860</v>
      </c>
      <c r="F23" s="22">
        <v>13725</v>
      </c>
      <c r="G23" s="22">
        <v>1900</v>
      </c>
      <c r="H23" s="21">
        <f t="shared" si="3"/>
        <v>0.72413793103448254</v>
      </c>
      <c r="I23" s="20">
        <f>SUM($D$2:D23)-SUM($G$2:G23)</f>
        <v>341742</v>
      </c>
    </row>
    <row r="24" spans="1:17" x14ac:dyDescent="0.35">
      <c r="A24" s="23">
        <v>44796</v>
      </c>
      <c r="B24" s="22">
        <f t="shared" si="0"/>
        <v>4968.5999999999995</v>
      </c>
      <c r="C24" s="22">
        <f t="shared" si="1"/>
        <v>6861.4000000000005</v>
      </c>
      <c r="D24" s="22">
        <f t="shared" si="2"/>
        <v>11830</v>
      </c>
      <c r="E24" s="22">
        <v>830</v>
      </c>
      <c r="F24" s="22">
        <v>11000</v>
      </c>
      <c r="G24" s="22">
        <v>630</v>
      </c>
      <c r="H24" s="21">
        <f t="shared" si="3"/>
        <v>0.72413793103448265</v>
      </c>
      <c r="I24" s="20">
        <f>SUM($D$2:D24)-SUM($G$2:G24)</f>
        <v>352942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44797</v>
      </c>
      <c r="B25" s="22">
        <f t="shared" si="0"/>
        <v>2367.96</v>
      </c>
      <c r="C25" s="22">
        <f t="shared" si="1"/>
        <v>3270.04</v>
      </c>
      <c r="D25" s="22">
        <f t="shared" si="2"/>
        <v>5638</v>
      </c>
      <c r="E25" s="22">
        <v>2250</v>
      </c>
      <c r="F25" s="22">
        <v>3388</v>
      </c>
      <c r="G25" s="22">
        <v>1685</v>
      </c>
      <c r="H25" s="21">
        <f t="shared" si="3"/>
        <v>0.72413793103448276</v>
      </c>
      <c r="I25" s="20">
        <f>SUM($D$2:D25)-SUM($G$2:G25)</f>
        <v>356895</v>
      </c>
      <c r="K25" s="8">
        <f t="shared" ref="K25:K31" si="19">A16</f>
        <v>44788</v>
      </c>
      <c r="L25" s="2">
        <f t="shared" ref="L25:L31" si="20">N25*0.42</f>
        <v>3504.9</v>
      </c>
      <c r="M25" s="2">
        <f t="shared" ref="M25:M31" si="21">N25-L25</f>
        <v>4840.1000000000004</v>
      </c>
      <c r="N25" s="2">
        <f t="shared" ref="N25:N31" si="22">O25+P25</f>
        <v>8345</v>
      </c>
      <c r="O25" s="2">
        <f t="shared" ref="O25:O31" si="23">VLOOKUP(K25,$A$1:$H$37,5,0)</f>
        <v>7495</v>
      </c>
      <c r="P25" s="2">
        <f t="shared" ref="P25:P31" si="24">VLOOKUP(K25,$A$1:$H$37,6,0)</f>
        <v>850</v>
      </c>
      <c r="Q25" s="2">
        <f t="shared" ref="Q25:Q31" si="25">VLOOKUP(K25,$A$1:$H$37,7,0)</f>
        <v>4800</v>
      </c>
    </row>
    <row r="26" spans="1:17" x14ac:dyDescent="0.35">
      <c r="A26" s="23">
        <v>44798</v>
      </c>
      <c r="B26" s="22">
        <f t="shared" si="0"/>
        <v>12986.4</v>
      </c>
      <c r="C26" s="22">
        <f t="shared" si="1"/>
        <v>17933.599999999999</v>
      </c>
      <c r="D26" s="22">
        <f t="shared" si="2"/>
        <v>30920</v>
      </c>
      <c r="E26" s="22">
        <v>13100</v>
      </c>
      <c r="F26" s="22">
        <v>17820</v>
      </c>
      <c r="G26" s="22">
        <v>85</v>
      </c>
      <c r="H26" s="21">
        <f t="shared" si="3"/>
        <v>0.72413793103448276</v>
      </c>
      <c r="I26" s="20">
        <f>SUM($D$2:D26)-SUM($G$2:G26)</f>
        <v>387730</v>
      </c>
      <c r="K26" s="9">
        <f t="shared" si="19"/>
        <v>44789</v>
      </c>
      <c r="L26" s="4">
        <f t="shared" si="20"/>
        <v>7580.16</v>
      </c>
      <c r="M26" s="4">
        <f t="shared" si="21"/>
        <v>10467.84</v>
      </c>
      <c r="N26" s="4">
        <f t="shared" si="22"/>
        <v>18048</v>
      </c>
      <c r="O26" s="4">
        <f t="shared" si="23"/>
        <v>15755</v>
      </c>
      <c r="P26" s="4">
        <f t="shared" si="24"/>
        <v>2293</v>
      </c>
      <c r="Q26" s="4">
        <f t="shared" si="25"/>
        <v>100</v>
      </c>
    </row>
    <row r="27" spans="1:17" x14ac:dyDescent="0.35">
      <c r="A27" s="23">
        <v>44799</v>
      </c>
      <c r="B27" s="22">
        <f t="shared" si="0"/>
        <v>3911.04</v>
      </c>
      <c r="C27" s="22">
        <f t="shared" si="1"/>
        <v>5400.96</v>
      </c>
      <c r="D27" s="22">
        <f t="shared" si="2"/>
        <v>9312</v>
      </c>
      <c r="E27" s="22">
        <v>6940</v>
      </c>
      <c r="F27" s="22">
        <v>2372</v>
      </c>
      <c r="G27" s="22">
        <v>3400</v>
      </c>
      <c r="H27" s="21">
        <f t="shared" si="3"/>
        <v>0.72413793103448276</v>
      </c>
      <c r="I27" s="20">
        <f>SUM($D$2:D27)-SUM($G$2:G27)</f>
        <v>393642</v>
      </c>
      <c r="K27" s="8">
        <f t="shared" si="19"/>
        <v>44790</v>
      </c>
      <c r="L27" s="2">
        <f t="shared" si="20"/>
        <v>3175.2</v>
      </c>
      <c r="M27" s="2">
        <f t="shared" si="21"/>
        <v>4384.8</v>
      </c>
      <c r="N27" s="2">
        <f t="shared" si="22"/>
        <v>7560</v>
      </c>
      <c r="O27" s="2">
        <f t="shared" si="23"/>
        <v>3060</v>
      </c>
      <c r="P27" s="2">
        <f t="shared" si="24"/>
        <v>4500</v>
      </c>
      <c r="Q27" s="2">
        <f t="shared" si="25"/>
        <v>2500</v>
      </c>
    </row>
    <row r="28" spans="1:17" x14ac:dyDescent="0.35">
      <c r="A28" s="23">
        <v>44800</v>
      </c>
      <c r="B28" s="22">
        <f t="shared" si="0"/>
        <v>14290.5</v>
      </c>
      <c r="C28" s="22">
        <f t="shared" si="1"/>
        <v>19734.5</v>
      </c>
      <c r="D28" s="22">
        <f t="shared" si="2"/>
        <v>34025</v>
      </c>
      <c r="E28" s="22">
        <v>23200</v>
      </c>
      <c r="F28" s="22">
        <v>10825</v>
      </c>
      <c r="G28" s="22">
        <v>4550</v>
      </c>
      <c r="H28" s="21">
        <f t="shared" si="3"/>
        <v>0.72413793103448276</v>
      </c>
      <c r="I28" s="20">
        <f>SUM($D$2:D28)-SUM($G$2:G28)</f>
        <v>423117</v>
      </c>
      <c r="K28" s="9">
        <f t="shared" si="19"/>
        <v>44791</v>
      </c>
      <c r="L28" s="4">
        <f t="shared" si="20"/>
        <v>3759</v>
      </c>
      <c r="M28" s="4">
        <f t="shared" si="21"/>
        <v>5191</v>
      </c>
      <c r="N28" s="4">
        <f t="shared" si="22"/>
        <v>8950</v>
      </c>
      <c r="O28" s="4">
        <f t="shared" si="23"/>
        <v>6710</v>
      </c>
      <c r="P28" s="4">
        <f t="shared" si="24"/>
        <v>2240</v>
      </c>
      <c r="Q28" s="4">
        <f t="shared" si="25"/>
        <v>450</v>
      </c>
    </row>
    <row r="29" spans="1:17" x14ac:dyDescent="0.35">
      <c r="A29" s="23">
        <v>44801</v>
      </c>
      <c r="B29" s="22">
        <f t="shared" si="0"/>
        <v>18039</v>
      </c>
      <c r="C29" s="22">
        <f t="shared" si="1"/>
        <v>24911</v>
      </c>
      <c r="D29" s="22">
        <f t="shared" si="2"/>
        <v>42950</v>
      </c>
      <c r="E29" s="22">
        <v>18630</v>
      </c>
      <c r="F29" s="22">
        <v>24320</v>
      </c>
      <c r="G29" s="22">
        <v>5590</v>
      </c>
      <c r="H29" s="21">
        <f t="shared" si="3"/>
        <v>0.72413793103448276</v>
      </c>
      <c r="I29" s="20">
        <f>SUM($D$2:D29)-SUM($G$2:G29)</f>
        <v>460477</v>
      </c>
      <c r="K29" s="8">
        <f t="shared" si="19"/>
        <v>44792</v>
      </c>
      <c r="L29" s="2">
        <f t="shared" si="20"/>
        <v>6577.2</v>
      </c>
      <c r="M29" s="2">
        <f t="shared" si="21"/>
        <v>9082.7999999999993</v>
      </c>
      <c r="N29" s="2">
        <f t="shared" si="22"/>
        <v>15660</v>
      </c>
      <c r="O29" s="2">
        <f t="shared" si="23"/>
        <v>510</v>
      </c>
      <c r="P29" s="2">
        <f t="shared" si="24"/>
        <v>15150</v>
      </c>
      <c r="Q29" s="2">
        <f t="shared" si="25"/>
        <v>220</v>
      </c>
    </row>
    <row r="30" spans="1:17" x14ac:dyDescent="0.35">
      <c r="A30" s="23">
        <v>44802</v>
      </c>
      <c r="B30" s="22">
        <f t="shared" si="0"/>
        <v>9101.4</v>
      </c>
      <c r="C30" s="22">
        <f t="shared" si="1"/>
        <v>12568.6</v>
      </c>
      <c r="D30" s="22">
        <f t="shared" si="2"/>
        <v>21670</v>
      </c>
      <c r="E30" s="22">
        <v>14500</v>
      </c>
      <c r="F30" s="22">
        <v>7170</v>
      </c>
      <c r="G30" s="22">
        <v>35</v>
      </c>
      <c r="H30" s="21">
        <f t="shared" si="3"/>
        <v>0.72413793103448276</v>
      </c>
      <c r="I30" s="20">
        <f>SUM($D$2:D30)-SUM($G$2:G30)</f>
        <v>482112</v>
      </c>
      <c r="K30" s="9">
        <f t="shared" si="19"/>
        <v>44793</v>
      </c>
      <c r="L30" s="4">
        <f t="shared" si="20"/>
        <v>20731.2</v>
      </c>
      <c r="M30" s="4">
        <f t="shared" si="21"/>
        <v>28628.799999999999</v>
      </c>
      <c r="N30" s="4">
        <f t="shared" si="22"/>
        <v>49360</v>
      </c>
      <c r="O30" s="4">
        <f t="shared" si="23"/>
        <v>16960</v>
      </c>
      <c r="P30" s="4">
        <f t="shared" si="24"/>
        <v>32400</v>
      </c>
      <c r="Q30" s="4">
        <f t="shared" si="25"/>
        <v>1080</v>
      </c>
    </row>
    <row r="31" spans="1:17" x14ac:dyDescent="0.35">
      <c r="A31" s="23">
        <v>44803</v>
      </c>
      <c r="B31" s="22">
        <f t="shared" si="0"/>
        <v>4901.3999999999996</v>
      </c>
      <c r="C31" s="22">
        <f t="shared" si="1"/>
        <v>6768.6</v>
      </c>
      <c r="D31" s="22">
        <f t="shared" si="2"/>
        <v>11670</v>
      </c>
      <c r="E31" s="22">
        <v>6290</v>
      </c>
      <c r="F31" s="22">
        <v>5380</v>
      </c>
      <c r="G31" s="22">
        <v>1055</v>
      </c>
      <c r="H31" s="21">
        <f t="shared" si="3"/>
        <v>0.72413793103448265</v>
      </c>
      <c r="I31" s="20">
        <f>SUM($D$2:D31)-SUM($G$2:G31)</f>
        <v>492727</v>
      </c>
      <c r="K31" s="8">
        <f t="shared" si="19"/>
        <v>44794</v>
      </c>
      <c r="L31" s="2">
        <f t="shared" si="20"/>
        <v>8498.6999999999989</v>
      </c>
      <c r="M31" s="2">
        <f t="shared" si="21"/>
        <v>11736.300000000001</v>
      </c>
      <c r="N31" s="2">
        <f t="shared" si="22"/>
        <v>20235</v>
      </c>
      <c r="O31" s="2">
        <f t="shared" si="23"/>
        <v>16735</v>
      </c>
      <c r="P31" s="2">
        <f t="shared" si="24"/>
        <v>3500</v>
      </c>
      <c r="Q31" s="2">
        <f t="shared" si="25"/>
        <v>50</v>
      </c>
    </row>
    <row r="32" spans="1:17" x14ac:dyDescent="0.35">
      <c r="A32" s="23">
        <v>44804</v>
      </c>
      <c r="B32" s="22">
        <f t="shared" si="0"/>
        <v>4987.92</v>
      </c>
      <c r="C32" s="22">
        <f t="shared" si="1"/>
        <v>6888.08</v>
      </c>
      <c r="D32" s="22">
        <f t="shared" si="2"/>
        <v>11876</v>
      </c>
      <c r="E32" s="24">
        <v>10455</v>
      </c>
      <c r="F32" s="24">
        <v>1421</v>
      </c>
      <c r="G32" s="24">
        <v>605</v>
      </c>
      <c r="H32" s="21">
        <f t="shared" si="3"/>
        <v>0.72413793103448276</v>
      </c>
      <c r="I32" s="20">
        <f>SUM($D$2:D32)-SUM($G$2:G32)</f>
        <v>503998</v>
      </c>
      <c r="K32" s="3" t="s">
        <v>4</v>
      </c>
      <c r="L32" s="2">
        <f t="shared" ref="L32:Q32" si="26">SUM(L25:L31)</f>
        <v>53826.36</v>
      </c>
      <c r="M32" s="2">
        <f t="shared" si="26"/>
        <v>74331.64</v>
      </c>
      <c r="N32" s="2">
        <f t="shared" si="26"/>
        <v>128158</v>
      </c>
      <c r="O32" s="2">
        <f t="shared" si="26"/>
        <v>67225</v>
      </c>
      <c r="P32" s="2">
        <f t="shared" si="26"/>
        <v>60933</v>
      </c>
      <c r="Q32" s="2">
        <f t="shared" si="26"/>
        <v>9200</v>
      </c>
    </row>
    <row r="33" spans="1:17" x14ac:dyDescent="0.35">
      <c r="A33" s="23">
        <v>44805</v>
      </c>
      <c r="B33" s="22">
        <f t="shared" si="0"/>
        <v>2167.1999999999998</v>
      </c>
      <c r="C33" s="22">
        <f t="shared" si="1"/>
        <v>2992.8</v>
      </c>
      <c r="D33" s="22">
        <f t="shared" si="2"/>
        <v>5160</v>
      </c>
      <c r="E33" s="22">
        <v>4160</v>
      </c>
      <c r="F33" s="22">
        <v>1000</v>
      </c>
      <c r="G33" s="22">
        <v>1240</v>
      </c>
      <c r="H33" s="21">
        <f t="shared" si="3"/>
        <v>0.72413793103448265</v>
      </c>
      <c r="I33" s="20">
        <f>SUM($D$2:D33)-SUM($G$2:G33)</f>
        <v>507918</v>
      </c>
      <c r="K33" s="3" t="s">
        <v>0</v>
      </c>
      <c r="L33" s="4">
        <f>L32/3</f>
        <v>17942.12</v>
      </c>
      <c r="M33" s="4"/>
      <c r="N33" s="4"/>
      <c r="O33" s="4"/>
      <c r="P33" s="4"/>
      <c r="Q33" s="4"/>
    </row>
    <row r="34" spans="1:17" x14ac:dyDescent="0.35">
      <c r="A34" s="23">
        <v>44806</v>
      </c>
      <c r="B34" s="22">
        <f t="shared" si="0"/>
        <v>22260</v>
      </c>
      <c r="C34" s="22">
        <f t="shared" si="1"/>
        <v>30740</v>
      </c>
      <c r="D34" s="22">
        <f t="shared" si="2"/>
        <v>53000</v>
      </c>
      <c r="E34" s="22">
        <v>7600</v>
      </c>
      <c r="F34" s="22">
        <v>45400</v>
      </c>
      <c r="G34" s="22">
        <v>2820</v>
      </c>
      <c r="H34" s="21">
        <f t="shared" si="3"/>
        <v>0.72413793103448276</v>
      </c>
      <c r="I34" s="20">
        <f>SUM($D$2:D34)-SUM($G$2:G34)</f>
        <v>558098</v>
      </c>
    </row>
    <row r="35" spans="1:17" x14ac:dyDescent="0.35">
      <c r="A35" s="23">
        <v>44807</v>
      </c>
      <c r="B35" s="22">
        <f t="shared" si="0"/>
        <v>8202.6</v>
      </c>
      <c r="C35" s="22">
        <f t="shared" si="1"/>
        <v>11327.4</v>
      </c>
      <c r="D35" s="22">
        <f t="shared" si="2"/>
        <v>19530</v>
      </c>
      <c r="E35" s="22">
        <v>19040</v>
      </c>
      <c r="F35" s="22">
        <v>490</v>
      </c>
      <c r="G35" s="22">
        <v>70</v>
      </c>
      <c r="H35" s="21">
        <f t="shared" si="3"/>
        <v>0.72413793103448276</v>
      </c>
      <c r="I35" s="20">
        <f>SUM($D$2:D35)-SUM($G$2:G35)</f>
        <v>577558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3">
        <v>44808</v>
      </c>
      <c r="B36" s="22">
        <f t="shared" si="0"/>
        <v>1528.8</v>
      </c>
      <c r="C36" s="22">
        <f t="shared" si="1"/>
        <v>2111.1999999999998</v>
      </c>
      <c r="D36" s="22">
        <f t="shared" si="2"/>
        <v>3640</v>
      </c>
      <c r="E36" s="22">
        <v>2330</v>
      </c>
      <c r="F36" s="22">
        <v>1310</v>
      </c>
      <c r="G36" s="22">
        <v>260</v>
      </c>
      <c r="H36" s="21">
        <f t="shared" si="3"/>
        <v>0.72413793103448276</v>
      </c>
      <c r="I36" s="20">
        <f>SUM($D$2:D36)-SUM($G$2:G36)</f>
        <v>580938</v>
      </c>
      <c r="K36" s="8">
        <f t="shared" ref="K36:K42" si="27">A23</f>
        <v>44795</v>
      </c>
      <c r="L36" s="2">
        <f t="shared" ref="L36:L43" si="28">N36*0.42</f>
        <v>12845.699999999999</v>
      </c>
      <c r="M36" s="2">
        <f t="shared" ref="M36:M42" si="29">N36-L36</f>
        <v>17739.300000000003</v>
      </c>
      <c r="N36" s="2">
        <f t="shared" ref="N36:N42" si="30">O36+P36</f>
        <v>30585</v>
      </c>
      <c r="O36" s="2">
        <f t="shared" ref="O36:O42" si="31">VLOOKUP(K36,$A$1:$H$37,5,0)</f>
        <v>16860</v>
      </c>
      <c r="P36" s="2">
        <f t="shared" ref="P36:P42" si="32">VLOOKUP(K36,$A$1:$H$37,6,0)</f>
        <v>13725</v>
      </c>
      <c r="Q36" s="2">
        <f t="shared" ref="Q36:Q42" si="33">VLOOKUP(K36,$A$1:$H$37,7,0)</f>
        <v>1900</v>
      </c>
    </row>
    <row r="37" spans="1:17" ht="15" thickBot="1" x14ac:dyDescent="0.4">
      <c r="A37" s="19" t="s">
        <v>4</v>
      </c>
      <c r="B37" s="18">
        <f t="shared" ref="B37:G37" si="34">SUM(B2:B32)</f>
        <v>235686.36000000002</v>
      </c>
      <c r="C37" s="18">
        <f t="shared" si="34"/>
        <v>325471.63999999996</v>
      </c>
      <c r="D37" s="18">
        <f t="shared" si="34"/>
        <v>561158</v>
      </c>
      <c r="E37" s="18">
        <f t="shared" si="34"/>
        <v>317616</v>
      </c>
      <c r="F37" s="18">
        <f t="shared" si="34"/>
        <v>243542</v>
      </c>
      <c r="G37" s="18">
        <f t="shared" si="34"/>
        <v>57160</v>
      </c>
      <c r="H37" s="15">
        <f>SUM(G2:G36)</f>
        <v>61550</v>
      </c>
      <c r="I37" s="14">
        <f>B37/C37</f>
        <v>0.72413793103448287</v>
      </c>
      <c r="K37" s="9">
        <f t="shared" si="27"/>
        <v>44796</v>
      </c>
      <c r="L37" s="4">
        <f t="shared" si="28"/>
        <v>4968.5999999999995</v>
      </c>
      <c r="M37" s="4">
        <f t="shared" si="29"/>
        <v>6861.4000000000005</v>
      </c>
      <c r="N37" s="4">
        <f t="shared" si="30"/>
        <v>11830</v>
      </c>
      <c r="O37" s="4">
        <f t="shared" si="31"/>
        <v>830</v>
      </c>
      <c r="P37" s="4">
        <f t="shared" si="32"/>
        <v>11000</v>
      </c>
      <c r="Q37" s="4">
        <f t="shared" si="33"/>
        <v>630</v>
      </c>
    </row>
    <row r="38" spans="1:17" x14ac:dyDescent="0.35">
      <c r="A38" s="12"/>
      <c r="B38" s="11">
        <f>B37/3</f>
        <v>78562.12000000001</v>
      </c>
      <c r="C38" s="11"/>
      <c r="E38" s="13">
        <f>D37*0.42</f>
        <v>235686.36</v>
      </c>
      <c r="F38" s="11"/>
      <c r="G38" s="11"/>
      <c r="H38" s="10"/>
      <c r="K38" s="8">
        <f t="shared" si="27"/>
        <v>44797</v>
      </c>
      <c r="L38" s="2">
        <f t="shared" si="28"/>
        <v>2367.96</v>
      </c>
      <c r="M38" s="2">
        <f t="shared" si="29"/>
        <v>3270.04</v>
      </c>
      <c r="N38" s="2">
        <f t="shared" si="30"/>
        <v>5638</v>
      </c>
      <c r="O38" s="2">
        <f t="shared" si="31"/>
        <v>2250</v>
      </c>
      <c r="P38" s="2">
        <f t="shared" si="32"/>
        <v>3388</v>
      </c>
      <c r="Q38" s="2">
        <f t="shared" si="33"/>
        <v>1685</v>
      </c>
    </row>
    <row r="39" spans="1:17" x14ac:dyDescent="0.35">
      <c r="A39" s="12"/>
      <c r="B39" s="11">
        <f>B38*100/D37</f>
        <v>14.000000000000002</v>
      </c>
      <c r="C39" s="11"/>
      <c r="E39" s="11">
        <f>E38/3</f>
        <v>78562.12</v>
      </c>
      <c r="F39" s="11"/>
      <c r="G39" s="11"/>
      <c r="H39" s="10"/>
      <c r="K39" s="9">
        <f t="shared" si="27"/>
        <v>44798</v>
      </c>
      <c r="L39" s="4">
        <f t="shared" si="28"/>
        <v>12986.4</v>
      </c>
      <c r="M39" s="4">
        <f t="shared" si="29"/>
        <v>17933.599999999999</v>
      </c>
      <c r="N39" s="4">
        <f t="shared" si="30"/>
        <v>30920</v>
      </c>
      <c r="O39" s="4">
        <f t="shared" si="31"/>
        <v>13100</v>
      </c>
      <c r="P39" s="4">
        <f t="shared" si="32"/>
        <v>17820</v>
      </c>
      <c r="Q39" s="4">
        <f t="shared" si="33"/>
        <v>85</v>
      </c>
    </row>
    <row r="40" spans="1:17" x14ac:dyDescent="0.35">
      <c r="K40" s="8">
        <f t="shared" si="27"/>
        <v>44799</v>
      </c>
      <c r="L40" s="2">
        <f t="shared" si="28"/>
        <v>3911.04</v>
      </c>
      <c r="M40" s="2">
        <f t="shared" si="29"/>
        <v>5400.96</v>
      </c>
      <c r="N40" s="2">
        <f t="shared" si="30"/>
        <v>9312</v>
      </c>
      <c r="O40" s="2">
        <f t="shared" si="31"/>
        <v>6940</v>
      </c>
      <c r="P40" s="2">
        <f t="shared" si="32"/>
        <v>2372</v>
      </c>
      <c r="Q40" s="2">
        <f t="shared" si="33"/>
        <v>3400</v>
      </c>
    </row>
    <row r="41" spans="1:17" x14ac:dyDescent="0.35">
      <c r="K41" s="9">
        <f t="shared" si="27"/>
        <v>44800</v>
      </c>
      <c r="L41" s="4">
        <f t="shared" si="28"/>
        <v>14290.5</v>
      </c>
      <c r="M41" s="4">
        <f t="shared" si="29"/>
        <v>19734.5</v>
      </c>
      <c r="N41" s="4">
        <f t="shared" si="30"/>
        <v>34025</v>
      </c>
      <c r="O41" s="4">
        <f t="shared" si="31"/>
        <v>23200</v>
      </c>
      <c r="P41" s="4">
        <f t="shared" si="32"/>
        <v>10825</v>
      </c>
      <c r="Q41" s="4">
        <f t="shared" si="33"/>
        <v>4550</v>
      </c>
    </row>
    <row r="42" spans="1:17" x14ac:dyDescent="0.35">
      <c r="K42" s="8">
        <f t="shared" si="27"/>
        <v>44801</v>
      </c>
      <c r="L42" s="2">
        <f t="shared" si="28"/>
        <v>18039</v>
      </c>
      <c r="M42" s="2">
        <f t="shared" si="29"/>
        <v>24911</v>
      </c>
      <c r="N42" s="2">
        <f t="shared" si="30"/>
        <v>42950</v>
      </c>
      <c r="O42" s="2">
        <f t="shared" si="31"/>
        <v>18630</v>
      </c>
      <c r="P42" s="2">
        <f t="shared" si="32"/>
        <v>24320</v>
      </c>
      <c r="Q42" s="2">
        <f t="shared" si="33"/>
        <v>5590</v>
      </c>
    </row>
    <row r="43" spans="1:17" x14ac:dyDescent="0.35">
      <c r="K43" s="3" t="s">
        <v>4</v>
      </c>
      <c r="L43" s="4">
        <f t="shared" si="28"/>
        <v>69409.2</v>
      </c>
      <c r="M43" s="4">
        <f>SUM(M36:M42)</f>
        <v>95850.8</v>
      </c>
      <c r="N43" s="4">
        <f>SUM(N36:N42)</f>
        <v>165260</v>
      </c>
      <c r="O43" s="4">
        <f>SUM(O36:O42)</f>
        <v>81810</v>
      </c>
      <c r="P43" s="4">
        <f>SUM(P36:P42)</f>
        <v>83450</v>
      </c>
      <c r="Q43" s="4">
        <f>SUM(Q36:Q42)</f>
        <v>17840</v>
      </c>
    </row>
    <row r="44" spans="1:17" x14ac:dyDescent="0.35">
      <c r="K44" s="3" t="s">
        <v>0</v>
      </c>
      <c r="L44" s="2">
        <f>L43/3</f>
        <v>23136.399999999998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>
        <f t="shared" ref="K47:K53" si="35">A30</f>
        <v>44802</v>
      </c>
      <c r="L47" s="2">
        <f t="shared" ref="L47:L53" si="36">N47*0.42</f>
        <v>9101.4</v>
      </c>
      <c r="M47" s="2">
        <f t="shared" ref="M47:M53" si="37">N47-L47</f>
        <v>12568.6</v>
      </c>
      <c r="N47" s="2">
        <f t="shared" ref="N47:N53" si="38">O47+P47</f>
        <v>21670</v>
      </c>
      <c r="O47" s="2">
        <f t="shared" ref="O47:O53" si="39">VLOOKUP(K47,$A$1:$H$37,5,0)</f>
        <v>14500</v>
      </c>
      <c r="P47" s="2">
        <f t="shared" ref="P47:P53" si="40">VLOOKUP(K47,$A$1:$H$37,6,0)</f>
        <v>7170</v>
      </c>
      <c r="Q47" s="2">
        <f t="shared" ref="Q47:Q53" si="41">VLOOKUP(K47,$A$1:$H$37,7,0)</f>
        <v>35</v>
      </c>
    </row>
    <row r="48" spans="1:17" x14ac:dyDescent="0.35">
      <c r="K48" s="9">
        <f t="shared" si="35"/>
        <v>44803</v>
      </c>
      <c r="L48" s="4">
        <f t="shared" si="36"/>
        <v>4901.3999999999996</v>
      </c>
      <c r="M48" s="4">
        <f t="shared" si="37"/>
        <v>6768.6</v>
      </c>
      <c r="N48" s="4">
        <f t="shared" si="38"/>
        <v>11670</v>
      </c>
      <c r="O48" s="4">
        <f t="shared" si="39"/>
        <v>6290</v>
      </c>
      <c r="P48" s="4">
        <f t="shared" si="40"/>
        <v>5380</v>
      </c>
      <c r="Q48" s="4">
        <f t="shared" si="41"/>
        <v>1055</v>
      </c>
    </row>
    <row r="49" spans="11:17" x14ac:dyDescent="0.35">
      <c r="K49" s="8">
        <f t="shared" si="35"/>
        <v>44804</v>
      </c>
      <c r="L49" s="2">
        <f t="shared" si="36"/>
        <v>4987.92</v>
      </c>
      <c r="M49" s="2">
        <f t="shared" si="37"/>
        <v>6888.08</v>
      </c>
      <c r="N49" s="2">
        <f t="shared" si="38"/>
        <v>11876</v>
      </c>
      <c r="O49" s="2">
        <f t="shared" si="39"/>
        <v>10455</v>
      </c>
      <c r="P49" s="2">
        <f t="shared" si="40"/>
        <v>1421</v>
      </c>
      <c r="Q49" s="2">
        <f t="shared" si="41"/>
        <v>605</v>
      </c>
    </row>
    <row r="50" spans="11:17" x14ac:dyDescent="0.35">
      <c r="K50" s="9">
        <f t="shared" si="35"/>
        <v>44805</v>
      </c>
      <c r="L50" s="4">
        <f t="shared" si="36"/>
        <v>2167.1999999999998</v>
      </c>
      <c r="M50" s="4">
        <f t="shared" si="37"/>
        <v>2992.8</v>
      </c>
      <c r="N50" s="4">
        <f t="shared" si="38"/>
        <v>5160</v>
      </c>
      <c r="O50" s="4">
        <f t="shared" si="39"/>
        <v>4160</v>
      </c>
      <c r="P50" s="4">
        <f t="shared" si="40"/>
        <v>1000</v>
      </c>
      <c r="Q50" s="4">
        <f t="shared" si="41"/>
        <v>1240</v>
      </c>
    </row>
    <row r="51" spans="11:17" x14ac:dyDescent="0.35">
      <c r="K51" s="8">
        <f t="shared" si="35"/>
        <v>44806</v>
      </c>
      <c r="L51" s="2">
        <f t="shared" si="36"/>
        <v>22260</v>
      </c>
      <c r="M51" s="2">
        <f t="shared" si="37"/>
        <v>30740</v>
      </c>
      <c r="N51" s="2">
        <f t="shared" si="38"/>
        <v>53000</v>
      </c>
      <c r="O51" s="2">
        <f t="shared" si="39"/>
        <v>7600</v>
      </c>
      <c r="P51" s="2">
        <f t="shared" si="40"/>
        <v>45400</v>
      </c>
      <c r="Q51" s="2">
        <f t="shared" si="41"/>
        <v>2820</v>
      </c>
    </row>
    <row r="52" spans="11:17" x14ac:dyDescent="0.35">
      <c r="K52" s="9">
        <f t="shared" si="35"/>
        <v>44807</v>
      </c>
      <c r="L52" s="4">
        <f t="shared" si="36"/>
        <v>8202.6</v>
      </c>
      <c r="M52" s="4">
        <f t="shared" si="37"/>
        <v>11327.4</v>
      </c>
      <c r="N52" s="4">
        <f t="shared" si="38"/>
        <v>19530</v>
      </c>
      <c r="O52" s="4">
        <f t="shared" si="39"/>
        <v>19040</v>
      </c>
      <c r="P52" s="4">
        <f t="shared" si="40"/>
        <v>490</v>
      </c>
      <c r="Q52" s="4">
        <f t="shared" si="41"/>
        <v>70</v>
      </c>
    </row>
    <row r="53" spans="11:17" x14ac:dyDescent="0.35">
      <c r="K53" s="8">
        <f t="shared" si="35"/>
        <v>44808</v>
      </c>
      <c r="L53" s="2">
        <f t="shared" si="36"/>
        <v>1528.8</v>
      </c>
      <c r="M53" s="2">
        <f t="shared" si="37"/>
        <v>2111.1999999999998</v>
      </c>
      <c r="N53" s="2">
        <f t="shared" si="38"/>
        <v>3640</v>
      </c>
      <c r="O53" s="2">
        <f t="shared" si="39"/>
        <v>2330</v>
      </c>
      <c r="P53" s="2">
        <f t="shared" si="40"/>
        <v>1310</v>
      </c>
      <c r="Q53" s="2">
        <f t="shared" si="41"/>
        <v>260</v>
      </c>
    </row>
    <row r="54" spans="11:17" x14ac:dyDescent="0.35">
      <c r="K54" s="3" t="s">
        <v>4</v>
      </c>
      <c r="L54" s="4">
        <f>SUM(L47:L53)</f>
        <v>53149.32</v>
      </c>
      <c r="M54" s="4">
        <f>SUM(M47:M53)</f>
        <v>73396.679999999993</v>
      </c>
      <c r="N54" s="4">
        <f>SUM(N47:N53)</f>
        <v>126546</v>
      </c>
      <c r="O54" s="4"/>
      <c r="P54" s="4"/>
      <c r="Q54" s="4"/>
    </row>
    <row r="55" spans="11:17" x14ac:dyDescent="0.35">
      <c r="K55" s="3" t="s">
        <v>0</v>
      </c>
      <c r="L55" s="2">
        <f>L54/3</f>
        <v>17716.439999999999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44778</v>
      </c>
      <c r="L59" s="4">
        <f>SUM(B2:B32)</f>
        <v>235686.36000000002</v>
      </c>
      <c r="M59" s="4">
        <f t="shared" ref="M59:Q59" si="42">SUM(C2:C32)</f>
        <v>325471.63999999996</v>
      </c>
      <c r="N59" s="4">
        <f t="shared" si="42"/>
        <v>561158</v>
      </c>
      <c r="O59" s="4">
        <f t="shared" si="42"/>
        <v>317616</v>
      </c>
      <c r="P59" s="4">
        <f t="shared" si="42"/>
        <v>243542</v>
      </c>
      <c r="Q59" s="4">
        <f t="shared" si="42"/>
        <v>57160</v>
      </c>
    </row>
    <row r="60" spans="11:17" x14ac:dyDescent="0.35">
      <c r="K60" s="3" t="s">
        <v>0</v>
      </c>
      <c r="L60" s="2">
        <f>L59/3</f>
        <v>78562.12000000001</v>
      </c>
      <c r="M60" s="2"/>
      <c r="N60" s="2"/>
      <c r="O60" s="2"/>
      <c r="P60" s="2"/>
      <c r="Q60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8:Q58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F50D-A73E-4A83-9957-600F82A1572E}">
  <dimension ref="A1:Q60"/>
  <sheetViews>
    <sheetView zoomScale="90" zoomScaleNormal="90" workbookViewId="0">
      <pane ySplit="1" topLeftCell="A42" activePane="bottomLeft" state="frozen"/>
      <selection pane="bottomLeft" activeCell="O59" sqref="O59:P59"/>
    </sheetView>
  </sheetViews>
  <sheetFormatPr defaultColWidth="26" defaultRowHeight="14.5" x14ac:dyDescent="0.35"/>
  <cols>
    <col min="1" max="1" width="17.453125" bestFit="1" customWidth="1"/>
    <col min="2" max="2" width="9" style="1" bestFit="1" customWidth="1"/>
    <col min="3" max="4" width="10" style="1" bestFit="1" customWidth="1"/>
    <col min="5" max="5" width="11.54296875" style="1" bestFit="1" customWidth="1"/>
    <col min="6" max="7" width="9" style="1" bestFit="1" customWidth="1"/>
    <col min="8" max="8" width="10.1796875" bestFit="1" customWidth="1"/>
    <col min="9" max="9" width="12" bestFit="1" customWidth="1"/>
    <col min="10" max="10" width="6.54296875" customWidth="1"/>
    <col min="11" max="11" width="17.453125" bestFit="1" customWidth="1"/>
    <col min="12" max="13" width="9" bestFit="1" customWidth="1"/>
    <col min="14" max="14" width="10" bestFit="1" customWidth="1"/>
    <col min="15" max="15" width="9" bestFit="1" customWidth="1"/>
    <col min="16" max="16" width="16.453125" bestFit="1" customWidth="1"/>
    <col min="17" max="17" width="8.816406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44805</v>
      </c>
      <c r="B2" s="22">
        <f>D2*0.42</f>
        <v>2167.1999999999998</v>
      </c>
      <c r="C2" s="22">
        <f t="shared" ref="C2:C31" si="0">D2-B2</f>
        <v>2992.8</v>
      </c>
      <c r="D2" s="22">
        <f t="shared" ref="D2:D31" si="1">E2+F2</f>
        <v>5160</v>
      </c>
      <c r="E2" s="22">
        <v>4160</v>
      </c>
      <c r="F2" s="22">
        <v>1000</v>
      </c>
      <c r="G2" s="22">
        <v>1240</v>
      </c>
      <c r="H2" s="21">
        <f t="shared" ref="H2:H31" si="2">IFERROR(B2/C2,0)</f>
        <v>0.72413793103448265</v>
      </c>
      <c r="I2" s="20">
        <f>SUM($D$2:D2)-SUM($G$2:G2)</f>
        <v>3920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44806</v>
      </c>
      <c r="B3" s="22">
        <f>D3*0.42</f>
        <v>22260</v>
      </c>
      <c r="C3" s="22">
        <f t="shared" si="0"/>
        <v>30740</v>
      </c>
      <c r="D3" s="22">
        <f t="shared" si="1"/>
        <v>53000</v>
      </c>
      <c r="E3" s="22">
        <v>7600</v>
      </c>
      <c r="F3" s="22">
        <v>45400</v>
      </c>
      <c r="G3" s="22">
        <v>2820</v>
      </c>
      <c r="H3" s="21">
        <f t="shared" si="2"/>
        <v>0.72413793103448276</v>
      </c>
      <c r="I3" s="20">
        <f>SUM($D$2:D3)-SUM($G$2:G3)</f>
        <v>54100</v>
      </c>
      <c r="K3" s="8">
        <f t="shared" ref="K3:K9" si="3">A6</f>
        <v>44809</v>
      </c>
      <c r="L3" s="2">
        <f t="shared" ref="L3:L9" si="4">N3*0.42</f>
        <v>3941.7</v>
      </c>
      <c r="M3" s="2">
        <f t="shared" ref="M3:M9" si="5">N3-L3</f>
        <v>5443.3</v>
      </c>
      <c r="N3" s="2">
        <f t="shared" ref="N3:N9" si="6">O3+P3</f>
        <v>9385</v>
      </c>
      <c r="O3" s="2">
        <f t="shared" ref="O3:O9" si="7">VLOOKUP(K3,$A$1:$H$32,5,0)</f>
        <v>8835</v>
      </c>
      <c r="P3" s="2">
        <f t="shared" ref="P3:P9" si="8">VLOOKUP(K3,$A$1:$H$32,6,0)</f>
        <v>550</v>
      </c>
      <c r="Q3" s="2">
        <f t="shared" ref="Q3:Q9" si="9">VLOOKUP(K3,$A$1:$H$32,7,0)</f>
        <v>3000</v>
      </c>
    </row>
    <row r="4" spans="1:17" x14ac:dyDescent="0.35">
      <c r="A4" s="23">
        <v>44807</v>
      </c>
      <c r="B4" s="22">
        <f>D4*0.42</f>
        <v>8202.6</v>
      </c>
      <c r="C4" s="22">
        <f t="shared" si="0"/>
        <v>11327.4</v>
      </c>
      <c r="D4" s="22">
        <f t="shared" si="1"/>
        <v>19530</v>
      </c>
      <c r="E4" s="22">
        <v>19040</v>
      </c>
      <c r="F4" s="22">
        <v>490</v>
      </c>
      <c r="G4" s="22">
        <v>70</v>
      </c>
      <c r="H4" s="21">
        <f t="shared" si="2"/>
        <v>0.72413793103448276</v>
      </c>
      <c r="I4" s="20">
        <f>SUM($D$2:D4)-SUM($G$2:G4)</f>
        <v>73560</v>
      </c>
      <c r="K4" s="9">
        <f t="shared" si="3"/>
        <v>44810</v>
      </c>
      <c r="L4" s="4">
        <f t="shared" si="4"/>
        <v>9226.56</v>
      </c>
      <c r="M4" s="4">
        <f t="shared" si="5"/>
        <v>12741.44</v>
      </c>
      <c r="N4" s="4">
        <f t="shared" si="6"/>
        <v>21968</v>
      </c>
      <c r="O4" s="4">
        <f t="shared" si="7"/>
        <v>12945</v>
      </c>
      <c r="P4" s="4">
        <f t="shared" si="8"/>
        <v>9023</v>
      </c>
      <c r="Q4" s="4">
        <f t="shared" si="9"/>
        <v>7950</v>
      </c>
    </row>
    <row r="5" spans="1:17" x14ac:dyDescent="0.35">
      <c r="A5" s="23">
        <v>44808</v>
      </c>
      <c r="B5" s="22">
        <f>D5*0.42</f>
        <v>1528.8</v>
      </c>
      <c r="C5" s="22">
        <f t="shared" si="0"/>
        <v>2111.1999999999998</v>
      </c>
      <c r="D5" s="22">
        <f t="shared" si="1"/>
        <v>3640</v>
      </c>
      <c r="E5" s="22">
        <v>2330</v>
      </c>
      <c r="F5" s="22">
        <v>1310</v>
      </c>
      <c r="G5" s="22">
        <v>260</v>
      </c>
      <c r="H5" s="21">
        <f t="shared" si="2"/>
        <v>0.72413793103448276</v>
      </c>
      <c r="I5" s="20">
        <f>SUM($D$2:D5)-SUM($G$2:G5)</f>
        <v>76940</v>
      </c>
      <c r="K5" s="8">
        <f t="shared" si="3"/>
        <v>44811</v>
      </c>
      <c r="L5" s="2">
        <f t="shared" si="4"/>
        <v>2517.9</v>
      </c>
      <c r="M5" s="2">
        <f t="shared" si="5"/>
        <v>3477.1</v>
      </c>
      <c r="N5" s="2">
        <f t="shared" si="6"/>
        <v>5995</v>
      </c>
      <c r="O5" s="2">
        <f t="shared" si="7"/>
        <v>4185</v>
      </c>
      <c r="P5" s="2">
        <f t="shared" si="8"/>
        <v>1810</v>
      </c>
      <c r="Q5" s="2">
        <f t="shared" si="9"/>
        <v>1970</v>
      </c>
    </row>
    <row r="6" spans="1:17" x14ac:dyDescent="0.35">
      <c r="A6" s="23">
        <v>44809</v>
      </c>
      <c r="B6" s="22">
        <f t="shared" ref="B6:B31" si="10">D6*0.3</f>
        <v>2815.5</v>
      </c>
      <c r="C6" s="22">
        <f t="shared" si="0"/>
        <v>6569.5</v>
      </c>
      <c r="D6" s="22">
        <f t="shared" si="1"/>
        <v>9385</v>
      </c>
      <c r="E6" s="22">
        <v>8835</v>
      </c>
      <c r="F6" s="22">
        <v>550</v>
      </c>
      <c r="G6" s="22">
        <f>2650+350</f>
        <v>3000</v>
      </c>
      <c r="H6" s="21">
        <f t="shared" si="2"/>
        <v>0.42857142857142855</v>
      </c>
      <c r="I6" s="20">
        <f>SUM($D$6:D6)-SUM($G$6:G6)</f>
        <v>6385</v>
      </c>
      <c r="K6" s="9">
        <f t="shared" si="3"/>
        <v>44812</v>
      </c>
      <c r="L6" s="4">
        <f t="shared" si="4"/>
        <v>8433.6</v>
      </c>
      <c r="M6" s="4">
        <f t="shared" si="5"/>
        <v>11646.4</v>
      </c>
      <c r="N6" s="4">
        <f t="shared" si="6"/>
        <v>20080</v>
      </c>
      <c r="O6" s="4">
        <f t="shared" si="7"/>
        <v>9830</v>
      </c>
      <c r="P6" s="4">
        <f t="shared" si="8"/>
        <v>10250</v>
      </c>
      <c r="Q6" s="4">
        <f t="shared" si="9"/>
        <v>0</v>
      </c>
    </row>
    <row r="7" spans="1:17" x14ac:dyDescent="0.35">
      <c r="A7" s="23">
        <v>44810</v>
      </c>
      <c r="B7" s="22">
        <f t="shared" si="10"/>
        <v>6590.4</v>
      </c>
      <c r="C7" s="22">
        <f t="shared" si="0"/>
        <v>15377.6</v>
      </c>
      <c r="D7" s="22">
        <f t="shared" si="1"/>
        <v>21968</v>
      </c>
      <c r="E7" s="22">
        <v>12945</v>
      </c>
      <c r="F7" s="22">
        <v>9023</v>
      </c>
      <c r="G7" s="22">
        <v>7950</v>
      </c>
      <c r="H7" s="21">
        <f t="shared" si="2"/>
        <v>0.42857142857142855</v>
      </c>
      <c r="I7" s="20">
        <f>SUM($D$6:D7)-SUM($G$6:G7)</f>
        <v>20403</v>
      </c>
      <c r="K7" s="8">
        <f t="shared" si="3"/>
        <v>44813</v>
      </c>
      <c r="L7" s="2">
        <f t="shared" si="4"/>
        <v>3836.7</v>
      </c>
      <c r="M7" s="2">
        <f t="shared" si="5"/>
        <v>5298.3</v>
      </c>
      <c r="N7" s="2">
        <f t="shared" si="6"/>
        <v>9135</v>
      </c>
      <c r="O7" s="2">
        <f t="shared" si="7"/>
        <v>850</v>
      </c>
      <c r="P7" s="2">
        <f t="shared" si="8"/>
        <v>8285</v>
      </c>
      <c r="Q7" s="2">
        <f t="shared" si="9"/>
        <v>0</v>
      </c>
    </row>
    <row r="8" spans="1:17" x14ac:dyDescent="0.35">
      <c r="A8" s="23">
        <v>44811</v>
      </c>
      <c r="B8" s="22">
        <f t="shared" si="10"/>
        <v>1798.5</v>
      </c>
      <c r="C8" s="22">
        <f t="shared" si="0"/>
        <v>4196.5</v>
      </c>
      <c r="D8" s="22">
        <f t="shared" si="1"/>
        <v>5995</v>
      </c>
      <c r="E8" s="22">
        <v>4185</v>
      </c>
      <c r="F8" s="22">
        <v>1810</v>
      </c>
      <c r="G8" s="22">
        <v>1970</v>
      </c>
      <c r="H8" s="21">
        <f t="shared" si="2"/>
        <v>0.42857142857142855</v>
      </c>
      <c r="I8" s="20">
        <f>SUM($D$6:D8)-SUM($G$6:G8)</f>
        <v>24428</v>
      </c>
      <c r="K8" s="9">
        <f t="shared" si="3"/>
        <v>44814</v>
      </c>
      <c r="L8" s="4">
        <f t="shared" si="4"/>
        <v>10995.6</v>
      </c>
      <c r="M8" s="4">
        <f t="shared" si="5"/>
        <v>15184.4</v>
      </c>
      <c r="N8" s="4">
        <f t="shared" si="6"/>
        <v>26180</v>
      </c>
      <c r="O8" s="4">
        <f t="shared" si="7"/>
        <v>14240</v>
      </c>
      <c r="P8" s="4">
        <f t="shared" si="8"/>
        <v>11940</v>
      </c>
      <c r="Q8" s="4">
        <f t="shared" si="9"/>
        <v>300</v>
      </c>
    </row>
    <row r="9" spans="1:17" x14ac:dyDescent="0.35">
      <c r="A9" s="23">
        <v>44812</v>
      </c>
      <c r="B9" s="22">
        <f t="shared" si="10"/>
        <v>6024</v>
      </c>
      <c r="C9" s="22">
        <f t="shared" si="0"/>
        <v>14056</v>
      </c>
      <c r="D9" s="22">
        <f t="shared" si="1"/>
        <v>20080</v>
      </c>
      <c r="E9" s="22">
        <v>9830</v>
      </c>
      <c r="F9" s="22">
        <v>10250</v>
      </c>
      <c r="G9" s="22"/>
      <c r="H9" s="21">
        <f t="shared" si="2"/>
        <v>0.42857142857142855</v>
      </c>
      <c r="I9" s="20">
        <f>SUM($D$6:D9)-SUM($G$6:G9)</f>
        <v>44508</v>
      </c>
      <c r="K9" s="8">
        <f t="shared" si="3"/>
        <v>44815</v>
      </c>
      <c r="L9" s="2">
        <f t="shared" si="4"/>
        <v>19338.899999999998</v>
      </c>
      <c r="M9" s="2">
        <f t="shared" si="5"/>
        <v>26706.100000000002</v>
      </c>
      <c r="N9" s="2">
        <f t="shared" si="6"/>
        <v>46045</v>
      </c>
      <c r="O9" s="2">
        <f t="shared" si="7"/>
        <v>32225</v>
      </c>
      <c r="P9" s="2">
        <f t="shared" si="8"/>
        <v>13820</v>
      </c>
      <c r="Q9" s="2">
        <f t="shared" si="9"/>
        <v>1990</v>
      </c>
    </row>
    <row r="10" spans="1:17" x14ac:dyDescent="0.35">
      <c r="A10" s="23">
        <v>44813</v>
      </c>
      <c r="B10" s="22">
        <f t="shared" si="10"/>
        <v>2740.5</v>
      </c>
      <c r="C10" s="22">
        <f t="shared" si="0"/>
        <v>6394.5</v>
      </c>
      <c r="D10" s="22">
        <f t="shared" si="1"/>
        <v>9135</v>
      </c>
      <c r="E10" s="22">
        <v>850</v>
      </c>
      <c r="F10" s="22">
        <v>8285</v>
      </c>
      <c r="G10" s="22"/>
      <c r="H10" s="21">
        <f t="shared" si="2"/>
        <v>0.42857142857142855</v>
      </c>
      <c r="I10" s="20">
        <f>SUM($D$6:D10)-SUM($G$6:G10)</f>
        <v>53643</v>
      </c>
      <c r="K10" s="3" t="s">
        <v>4</v>
      </c>
      <c r="L10" s="3">
        <f>SUM(L3:L9)</f>
        <v>58290.959999999992</v>
      </c>
      <c r="M10" s="3">
        <f>SUM(M2:M9)</f>
        <v>80497.040000000008</v>
      </c>
      <c r="N10" s="3">
        <f>SUM(N2:N9)</f>
        <v>138788</v>
      </c>
      <c r="O10" s="3">
        <f>SUM(O2:O9)</f>
        <v>83110</v>
      </c>
      <c r="P10" s="3">
        <f>SUM(P2:P9)</f>
        <v>55678</v>
      </c>
      <c r="Q10" s="3">
        <f>SUM(Q2:Q9)</f>
        <v>15210</v>
      </c>
    </row>
    <row r="11" spans="1:17" x14ac:dyDescent="0.35">
      <c r="A11" s="23">
        <v>44814</v>
      </c>
      <c r="B11" s="22">
        <f t="shared" si="10"/>
        <v>7854</v>
      </c>
      <c r="C11" s="22">
        <f t="shared" si="0"/>
        <v>18326</v>
      </c>
      <c r="D11" s="22">
        <f t="shared" si="1"/>
        <v>26180</v>
      </c>
      <c r="E11" s="22">
        <v>14240</v>
      </c>
      <c r="F11" s="22">
        <v>11940</v>
      </c>
      <c r="G11" s="22">
        <v>300</v>
      </c>
      <c r="H11" s="21">
        <f t="shared" si="2"/>
        <v>0.42857142857142855</v>
      </c>
      <c r="I11" s="20">
        <f>SUM($D$6:D11)-SUM($G$6:G11)</f>
        <v>79523</v>
      </c>
      <c r="K11" s="3" t="s">
        <v>0</v>
      </c>
      <c r="L11" s="3">
        <f>L10/3</f>
        <v>19430.319999999996</v>
      </c>
      <c r="M11" s="3"/>
      <c r="N11" s="3"/>
      <c r="O11" s="2"/>
      <c r="P11" s="2"/>
      <c r="Q11" s="2"/>
    </row>
    <row r="12" spans="1:17" x14ac:dyDescent="0.35">
      <c r="A12" s="23">
        <v>44815</v>
      </c>
      <c r="B12" s="22">
        <f t="shared" si="10"/>
        <v>13813.5</v>
      </c>
      <c r="C12" s="22">
        <f t="shared" si="0"/>
        <v>32231.5</v>
      </c>
      <c r="D12" s="22">
        <f t="shared" si="1"/>
        <v>46045</v>
      </c>
      <c r="E12" s="22">
        <v>32225</v>
      </c>
      <c r="F12" s="22">
        <v>13820</v>
      </c>
      <c r="G12" s="22">
        <v>1990</v>
      </c>
      <c r="H12" s="21">
        <f t="shared" si="2"/>
        <v>0.42857142857142855</v>
      </c>
      <c r="I12" s="20">
        <f>SUM($D$6:D12)-SUM($G$6:G12)</f>
        <v>123578</v>
      </c>
    </row>
    <row r="13" spans="1:17" x14ac:dyDescent="0.35">
      <c r="A13" s="23">
        <v>44816</v>
      </c>
      <c r="B13" s="22">
        <f t="shared" si="10"/>
        <v>4212</v>
      </c>
      <c r="C13" s="22">
        <f t="shared" si="0"/>
        <v>9828</v>
      </c>
      <c r="D13" s="22">
        <f t="shared" si="1"/>
        <v>14040</v>
      </c>
      <c r="E13" s="22">
        <v>13940</v>
      </c>
      <c r="F13" s="22">
        <v>100</v>
      </c>
      <c r="G13" s="22">
        <v>150</v>
      </c>
      <c r="H13" s="21">
        <f t="shared" si="2"/>
        <v>0.42857142857142855</v>
      </c>
      <c r="I13" s="20">
        <f>SUM($D$6:D13)-SUM($G$6:G13)</f>
        <v>137468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44817</v>
      </c>
      <c r="B14" s="22">
        <f t="shared" si="10"/>
        <v>2493</v>
      </c>
      <c r="C14" s="22">
        <f t="shared" si="0"/>
        <v>5817</v>
      </c>
      <c r="D14" s="22">
        <f t="shared" si="1"/>
        <v>8310</v>
      </c>
      <c r="E14" s="22">
        <v>2360</v>
      </c>
      <c r="F14" s="22">
        <v>5950</v>
      </c>
      <c r="G14" s="22">
        <v>150</v>
      </c>
      <c r="H14" s="21">
        <f t="shared" si="2"/>
        <v>0.42857142857142855</v>
      </c>
      <c r="I14" s="20">
        <f>SUM($D$6:D14)-SUM($G$6:G14)</f>
        <v>145628</v>
      </c>
      <c r="K14" s="8">
        <f t="shared" ref="K14:K20" si="11">A13</f>
        <v>44816</v>
      </c>
      <c r="L14" s="2">
        <f t="shared" ref="L14:L19" si="12">N14*0.42</f>
        <v>5896.8</v>
      </c>
      <c r="M14" s="2">
        <f t="shared" ref="M14:M20" si="13">N14-L14</f>
        <v>8143.2</v>
      </c>
      <c r="N14" s="2">
        <f t="shared" ref="N14:N20" si="14">O14+P14</f>
        <v>14040</v>
      </c>
      <c r="O14" s="2">
        <f t="shared" ref="O14:O20" si="15">VLOOKUP(K14,$A$1:$H$32,5,0)</f>
        <v>13940</v>
      </c>
      <c r="P14" s="2">
        <f t="shared" ref="P14:P20" si="16">VLOOKUP(K14,$A$1:$H$32,6,0)</f>
        <v>100</v>
      </c>
      <c r="Q14" s="2">
        <f t="shared" ref="Q14:Q20" si="17">VLOOKUP(K14,$A$1:$H$32,7,0)</f>
        <v>150</v>
      </c>
    </row>
    <row r="15" spans="1:17" x14ac:dyDescent="0.35">
      <c r="A15" s="23">
        <v>44818</v>
      </c>
      <c r="B15" s="22">
        <f t="shared" si="10"/>
        <v>10332</v>
      </c>
      <c r="C15" s="22">
        <f t="shared" si="0"/>
        <v>24108</v>
      </c>
      <c r="D15" s="22">
        <f t="shared" si="1"/>
        <v>34440</v>
      </c>
      <c r="E15" s="22">
        <v>15800</v>
      </c>
      <c r="F15" s="22">
        <v>18640</v>
      </c>
      <c r="G15" s="22">
        <v>830</v>
      </c>
      <c r="H15" s="21">
        <f t="shared" si="2"/>
        <v>0.42857142857142855</v>
      </c>
      <c r="I15" s="20">
        <f>SUM($D$6:D15)-SUM($G$6:G15)</f>
        <v>179238</v>
      </c>
      <c r="K15" s="9">
        <f t="shared" si="11"/>
        <v>44817</v>
      </c>
      <c r="L15" s="4">
        <f t="shared" si="12"/>
        <v>3490.2</v>
      </c>
      <c r="M15" s="4">
        <f t="shared" si="13"/>
        <v>4819.8</v>
      </c>
      <c r="N15" s="4">
        <f t="shared" si="14"/>
        <v>8310</v>
      </c>
      <c r="O15" s="4">
        <f t="shared" si="15"/>
        <v>2360</v>
      </c>
      <c r="P15" s="4">
        <f t="shared" si="16"/>
        <v>5950</v>
      </c>
      <c r="Q15" s="4">
        <f t="shared" si="17"/>
        <v>150</v>
      </c>
    </row>
    <row r="16" spans="1:17" x14ac:dyDescent="0.35">
      <c r="A16" s="23">
        <v>44819</v>
      </c>
      <c r="B16" s="22">
        <f t="shared" si="10"/>
        <v>1735.5</v>
      </c>
      <c r="C16" s="22">
        <f t="shared" si="0"/>
        <v>4049.5</v>
      </c>
      <c r="D16" s="22">
        <f t="shared" si="1"/>
        <v>5785</v>
      </c>
      <c r="E16" s="22">
        <v>5095</v>
      </c>
      <c r="F16" s="22">
        <v>690</v>
      </c>
      <c r="G16" s="22">
        <v>1590</v>
      </c>
      <c r="H16" s="21">
        <f t="shared" si="2"/>
        <v>0.42857142857142855</v>
      </c>
      <c r="I16" s="20">
        <f>SUM($D$6:D16)-SUM($G$6:G16)</f>
        <v>183433</v>
      </c>
      <c r="K16" s="8">
        <f t="shared" si="11"/>
        <v>44818</v>
      </c>
      <c r="L16" s="2">
        <f t="shared" si="12"/>
        <v>14464.8</v>
      </c>
      <c r="M16" s="2">
        <f t="shared" si="13"/>
        <v>19975.2</v>
      </c>
      <c r="N16" s="2">
        <f t="shared" si="14"/>
        <v>34440</v>
      </c>
      <c r="O16" s="2">
        <f t="shared" si="15"/>
        <v>15800</v>
      </c>
      <c r="P16" s="2">
        <f t="shared" si="16"/>
        <v>18640</v>
      </c>
      <c r="Q16" s="2">
        <f t="shared" si="17"/>
        <v>830</v>
      </c>
    </row>
    <row r="17" spans="1:17" x14ac:dyDescent="0.35">
      <c r="A17" s="23">
        <v>44820</v>
      </c>
      <c r="B17" s="22">
        <f t="shared" si="10"/>
        <v>4479</v>
      </c>
      <c r="C17" s="22">
        <f t="shared" si="0"/>
        <v>10451</v>
      </c>
      <c r="D17" s="22">
        <f t="shared" si="1"/>
        <v>14930</v>
      </c>
      <c r="E17" s="22">
        <f>3790+300</f>
        <v>4090</v>
      </c>
      <c r="F17" s="22">
        <v>10840</v>
      </c>
      <c r="G17" s="22">
        <v>4550</v>
      </c>
      <c r="H17" s="21">
        <f t="shared" si="2"/>
        <v>0.42857142857142855</v>
      </c>
      <c r="I17" s="20">
        <f>SUM($D$6:D17)-SUM($G$6:G17)</f>
        <v>193813</v>
      </c>
      <c r="K17" s="9">
        <f t="shared" si="11"/>
        <v>44819</v>
      </c>
      <c r="L17" s="4">
        <f t="shared" si="12"/>
        <v>2429.6999999999998</v>
      </c>
      <c r="M17" s="4">
        <f t="shared" si="13"/>
        <v>3355.3</v>
      </c>
      <c r="N17" s="4">
        <f t="shared" si="14"/>
        <v>5785</v>
      </c>
      <c r="O17" s="4">
        <f t="shared" si="15"/>
        <v>5095</v>
      </c>
      <c r="P17" s="4">
        <f t="shared" si="16"/>
        <v>690</v>
      </c>
      <c r="Q17" s="4">
        <f t="shared" si="17"/>
        <v>1590</v>
      </c>
    </row>
    <row r="18" spans="1:17" x14ac:dyDescent="0.35">
      <c r="A18" s="23">
        <v>44821</v>
      </c>
      <c r="B18" s="22">
        <f t="shared" si="10"/>
        <v>10101</v>
      </c>
      <c r="C18" s="22">
        <f t="shared" si="0"/>
        <v>23569</v>
      </c>
      <c r="D18" s="22">
        <f t="shared" si="1"/>
        <v>33670</v>
      </c>
      <c r="E18" s="22">
        <v>7805</v>
      </c>
      <c r="F18" s="22">
        <v>25865</v>
      </c>
      <c r="G18" s="22">
        <v>7470</v>
      </c>
      <c r="H18" s="21">
        <f t="shared" si="2"/>
        <v>0.42857142857142855</v>
      </c>
      <c r="I18" s="20">
        <f>SUM($D$6:D18)-SUM($G$6:G18)</f>
        <v>220013</v>
      </c>
      <c r="K18" s="8">
        <f t="shared" si="11"/>
        <v>44820</v>
      </c>
      <c r="L18" s="2">
        <f t="shared" si="12"/>
        <v>6270.5999999999995</v>
      </c>
      <c r="M18" s="2">
        <f t="shared" si="13"/>
        <v>8659.4000000000015</v>
      </c>
      <c r="N18" s="2">
        <f t="shared" si="14"/>
        <v>14930</v>
      </c>
      <c r="O18" s="2">
        <f t="shared" si="15"/>
        <v>4090</v>
      </c>
      <c r="P18" s="2">
        <f t="shared" si="16"/>
        <v>10840</v>
      </c>
      <c r="Q18" s="2">
        <f t="shared" si="17"/>
        <v>4550</v>
      </c>
    </row>
    <row r="19" spans="1:17" x14ac:dyDescent="0.35">
      <c r="A19" s="23">
        <v>44822</v>
      </c>
      <c r="B19" s="22">
        <f t="shared" si="10"/>
        <v>16380</v>
      </c>
      <c r="C19" s="22">
        <f t="shared" si="0"/>
        <v>38220</v>
      </c>
      <c r="D19" s="22">
        <f t="shared" si="1"/>
        <v>54600</v>
      </c>
      <c r="E19" s="22">
        <v>37900</v>
      </c>
      <c r="F19" s="22">
        <v>16700</v>
      </c>
      <c r="G19" s="22">
        <v>300</v>
      </c>
      <c r="H19" s="21">
        <f t="shared" si="2"/>
        <v>0.42857142857142855</v>
      </c>
      <c r="I19" s="20">
        <f>SUM($D$6:D19)-SUM($G$6:G19)</f>
        <v>274313</v>
      </c>
      <c r="K19" s="9">
        <f t="shared" si="11"/>
        <v>44821</v>
      </c>
      <c r="L19" s="4">
        <f t="shared" si="12"/>
        <v>14141.4</v>
      </c>
      <c r="M19" s="4">
        <f t="shared" si="13"/>
        <v>19528.599999999999</v>
      </c>
      <c r="N19" s="4">
        <f t="shared" si="14"/>
        <v>33670</v>
      </c>
      <c r="O19" s="4">
        <f t="shared" si="15"/>
        <v>7805</v>
      </c>
      <c r="P19" s="4">
        <f t="shared" si="16"/>
        <v>25865</v>
      </c>
      <c r="Q19" s="4">
        <f t="shared" si="17"/>
        <v>7470</v>
      </c>
    </row>
    <row r="20" spans="1:17" x14ac:dyDescent="0.35">
      <c r="A20" s="23">
        <v>44823</v>
      </c>
      <c r="B20" s="22">
        <f t="shared" si="10"/>
        <v>10145.699999999999</v>
      </c>
      <c r="C20" s="22">
        <f t="shared" si="0"/>
        <v>23673.300000000003</v>
      </c>
      <c r="D20" s="22">
        <f t="shared" si="1"/>
        <v>33819</v>
      </c>
      <c r="E20" s="22">
        <v>24954</v>
      </c>
      <c r="F20" s="22">
        <v>8865</v>
      </c>
      <c r="G20" s="22">
        <v>1910</v>
      </c>
      <c r="H20" s="21">
        <f t="shared" si="2"/>
        <v>0.42857142857142849</v>
      </c>
      <c r="I20" s="20">
        <f>SUM($D$6:D20)-SUM($G$6:G20)</f>
        <v>306222</v>
      </c>
      <c r="K20" s="8">
        <f t="shared" si="11"/>
        <v>44822</v>
      </c>
      <c r="L20" s="2">
        <f>N20*0.3</f>
        <v>16380</v>
      </c>
      <c r="M20" s="2">
        <f t="shared" si="13"/>
        <v>38220</v>
      </c>
      <c r="N20" s="2">
        <f t="shared" si="14"/>
        <v>54600</v>
      </c>
      <c r="O20" s="2">
        <f t="shared" si="15"/>
        <v>37900</v>
      </c>
      <c r="P20" s="2">
        <f t="shared" si="16"/>
        <v>16700</v>
      </c>
      <c r="Q20" s="2">
        <f t="shared" si="17"/>
        <v>300</v>
      </c>
    </row>
    <row r="21" spans="1:17" x14ac:dyDescent="0.35">
      <c r="A21" s="23">
        <v>44824</v>
      </c>
      <c r="B21" s="22">
        <f t="shared" si="10"/>
        <v>15751.199999999999</v>
      </c>
      <c r="C21" s="22">
        <f t="shared" si="0"/>
        <v>36752.800000000003</v>
      </c>
      <c r="D21" s="22">
        <f t="shared" si="1"/>
        <v>52504</v>
      </c>
      <c r="E21" s="22">
        <v>40950</v>
      </c>
      <c r="F21" s="22">
        <v>11554</v>
      </c>
      <c r="G21" s="22">
        <v>13200</v>
      </c>
      <c r="H21" s="21">
        <f t="shared" si="2"/>
        <v>0.42857142857142849</v>
      </c>
      <c r="I21" s="20">
        <f>SUM($D$6:D21)-SUM($G$6:G21)</f>
        <v>345526</v>
      </c>
      <c r="K21" s="3" t="s">
        <v>4</v>
      </c>
      <c r="L21" s="3">
        <f t="shared" ref="L21:Q21" si="18">SUM(L14:L20)</f>
        <v>63073.5</v>
      </c>
      <c r="M21" s="3">
        <f t="shared" si="18"/>
        <v>102701.5</v>
      </c>
      <c r="N21" s="3">
        <f t="shared" si="18"/>
        <v>165775</v>
      </c>
      <c r="O21" s="3">
        <f t="shared" si="18"/>
        <v>86990</v>
      </c>
      <c r="P21" s="3">
        <f t="shared" si="18"/>
        <v>78785</v>
      </c>
      <c r="Q21" s="3">
        <f t="shared" si="18"/>
        <v>15040</v>
      </c>
    </row>
    <row r="22" spans="1:17" x14ac:dyDescent="0.35">
      <c r="A22" s="23">
        <v>44825</v>
      </c>
      <c r="B22" s="22">
        <f t="shared" si="10"/>
        <v>32516.1</v>
      </c>
      <c r="C22" s="22">
        <f t="shared" si="0"/>
        <v>75870.899999999994</v>
      </c>
      <c r="D22" s="22">
        <f t="shared" si="1"/>
        <v>108387</v>
      </c>
      <c r="E22" s="22">
        <v>40000</v>
      </c>
      <c r="F22" s="22">
        <v>68387</v>
      </c>
      <c r="G22" s="22">
        <v>500</v>
      </c>
      <c r="H22" s="21">
        <f t="shared" si="2"/>
        <v>0.4285714285714286</v>
      </c>
      <c r="I22" s="20">
        <f>SUM($D$6:D22)-SUM($G$6:G22)</f>
        <v>453413</v>
      </c>
      <c r="K22" s="3" t="s">
        <v>0</v>
      </c>
      <c r="L22" s="3">
        <f>L21/3</f>
        <v>21024.5</v>
      </c>
      <c r="M22" s="3"/>
      <c r="N22" s="3"/>
      <c r="O22" s="2"/>
      <c r="P22" s="2"/>
      <c r="Q22" s="2"/>
    </row>
    <row r="23" spans="1:17" x14ac:dyDescent="0.35">
      <c r="A23" s="23">
        <v>44826</v>
      </c>
      <c r="B23" s="22">
        <f t="shared" si="10"/>
        <v>11811</v>
      </c>
      <c r="C23" s="22">
        <f t="shared" si="0"/>
        <v>27559</v>
      </c>
      <c r="D23" s="22">
        <f t="shared" si="1"/>
        <v>39370</v>
      </c>
      <c r="E23" s="22">
        <v>29740</v>
      </c>
      <c r="F23" s="22">
        <v>9630</v>
      </c>
      <c r="G23" s="22">
        <v>3740</v>
      </c>
      <c r="H23" s="21">
        <f t="shared" si="2"/>
        <v>0.42857142857142855</v>
      </c>
      <c r="I23" s="20">
        <f>SUM($D$6:D23)-SUM($G$6:G23)</f>
        <v>489043</v>
      </c>
    </row>
    <row r="24" spans="1:17" x14ac:dyDescent="0.35">
      <c r="A24" s="23">
        <v>44827</v>
      </c>
      <c r="B24" s="22">
        <f t="shared" si="10"/>
        <v>10444.5</v>
      </c>
      <c r="C24" s="22">
        <f t="shared" si="0"/>
        <v>24370.5</v>
      </c>
      <c r="D24" s="22">
        <f t="shared" si="1"/>
        <v>34815</v>
      </c>
      <c r="E24" s="22">
        <v>24450</v>
      </c>
      <c r="F24" s="22">
        <v>10365</v>
      </c>
      <c r="G24" s="22">
        <v>3250</v>
      </c>
      <c r="H24" s="21">
        <f t="shared" si="2"/>
        <v>0.42857142857142855</v>
      </c>
      <c r="I24" s="20">
        <f>SUM($D$6:D24)-SUM($G$6:G24)</f>
        <v>520608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44828</v>
      </c>
      <c r="B25" s="22">
        <f t="shared" si="10"/>
        <v>53610</v>
      </c>
      <c r="C25" s="22">
        <f t="shared" si="0"/>
        <v>125090</v>
      </c>
      <c r="D25" s="22">
        <f t="shared" si="1"/>
        <v>178700</v>
      </c>
      <c r="E25" s="22">
        <v>145500</v>
      </c>
      <c r="F25" s="22">
        <f>18250+14950</f>
        <v>33200</v>
      </c>
      <c r="G25" s="22">
        <v>5500</v>
      </c>
      <c r="H25" s="21">
        <f t="shared" si="2"/>
        <v>0.42857142857142855</v>
      </c>
      <c r="I25" s="20">
        <f>SUM($D$6:D25)-SUM($G$6:G25)</f>
        <v>693808</v>
      </c>
      <c r="K25" s="8">
        <f t="shared" ref="K25:K31" si="19">A20</f>
        <v>44823</v>
      </c>
      <c r="L25" s="2">
        <f t="shared" ref="L25:L31" si="20">N25*0.3</f>
        <v>10145.699999999999</v>
      </c>
      <c r="M25" s="2">
        <f t="shared" ref="M25:M31" si="21">N25-L25</f>
        <v>23673.300000000003</v>
      </c>
      <c r="N25" s="2">
        <f t="shared" ref="N25:N31" si="22">O25+P25</f>
        <v>33819</v>
      </c>
      <c r="O25" s="2">
        <f t="shared" ref="O25:O31" si="23">VLOOKUP(K25,$A$1:$H$32,5,0)</f>
        <v>24954</v>
      </c>
      <c r="P25" s="2">
        <f t="shared" ref="P25:P31" si="24">VLOOKUP(K25,$A$1:$H$32,6,0)</f>
        <v>8865</v>
      </c>
      <c r="Q25" s="2">
        <f t="shared" ref="Q25:Q31" si="25">VLOOKUP(K25,$A$1:$H$32,7,0)</f>
        <v>1910</v>
      </c>
    </row>
    <row r="26" spans="1:17" x14ac:dyDescent="0.35">
      <c r="A26" s="23">
        <v>44829</v>
      </c>
      <c r="B26" s="22">
        <f t="shared" si="10"/>
        <v>25090.799999999999</v>
      </c>
      <c r="C26" s="22">
        <f t="shared" si="0"/>
        <v>58545.2</v>
      </c>
      <c r="D26" s="22">
        <f t="shared" si="1"/>
        <v>83636</v>
      </c>
      <c r="E26" s="22">
        <v>24800</v>
      </c>
      <c r="F26" s="22">
        <v>58836</v>
      </c>
      <c r="G26" s="22">
        <v>800</v>
      </c>
      <c r="H26" s="21">
        <f t="shared" si="2"/>
        <v>0.4285714285714286</v>
      </c>
      <c r="I26" s="20">
        <f>SUM($D$6:D26)-SUM($G$6:G26)</f>
        <v>776644</v>
      </c>
      <c r="K26" s="9">
        <f t="shared" si="19"/>
        <v>44824</v>
      </c>
      <c r="L26" s="4">
        <f t="shared" si="20"/>
        <v>15751.199999999999</v>
      </c>
      <c r="M26" s="4">
        <f t="shared" si="21"/>
        <v>36752.800000000003</v>
      </c>
      <c r="N26" s="4">
        <f t="shared" si="22"/>
        <v>52504</v>
      </c>
      <c r="O26" s="4">
        <f t="shared" si="23"/>
        <v>40950</v>
      </c>
      <c r="P26" s="4">
        <f t="shared" si="24"/>
        <v>11554</v>
      </c>
      <c r="Q26" s="4">
        <f t="shared" si="25"/>
        <v>13200</v>
      </c>
    </row>
    <row r="27" spans="1:17" x14ac:dyDescent="0.35">
      <c r="A27" s="23">
        <v>44830</v>
      </c>
      <c r="B27" s="22">
        <f t="shared" si="10"/>
        <v>12326.699999999999</v>
      </c>
      <c r="C27" s="22">
        <f t="shared" si="0"/>
        <v>28762.300000000003</v>
      </c>
      <c r="D27" s="22">
        <f t="shared" si="1"/>
        <v>41089</v>
      </c>
      <c r="E27" s="22">
        <v>20500</v>
      </c>
      <c r="F27" s="22">
        <v>20589</v>
      </c>
      <c r="G27" s="22">
        <v>4500</v>
      </c>
      <c r="H27" s="21">
        <f t="shared" si="2"/>
        <v>0.42857142857142849</v>
      </c>
      <c r="I27" s="20">
        <f>SUM($D$6:D27)-SUM($G$6:G27)</f>
        <v>813233</v>
      </c>
      <c r="K27" s="8">
        <f t="shared" si="19"/>
        <v>44825</v>
      </c>
      <c r="L27" s="2">
        <f t="shared" si="20"/>
        <v>32516.1</v>
      </c>
      <c r="M27" s="2">
        <f t="shared" si="21"/>
        <v>75870.899999999994</v>
      </c>
      <c r="N27" s="2">
        <f t="shared" si="22"/>
        <v>108387</v>
      </c>
      <c r="O27" s="2">
        <f t="shared" si="23"/>
        <v>40000</v>
      </c>
      <c r="P27" s="2">
        <f t="shared" si="24"/>
        <v>68387</v>
      </c>
      <c r="Q27" s="2">
        <f t="shared" si="25"/>
        <v>500</v>
      </c>
    </row>
    <row r="28" spans="1:17" x14ac:dyDescent="0.35">
      <c r="A28" s="23">
        <v>44831</v>
      </c>
      <c r="B28" s="22">
        <f t="shared" si="10"/>
        <v>24558</v>
      </c>
      <c r="C28" s="22">
        <f t="shared" si="0"/>
        <v>57302</v>
      </c>
      <c r="D28" s="22">
        <f t="shared" si="1"/>
        <v>81860</v>
      </c>
      <c r="E28" s="22">
        <v>37500</v>
      </c>
      <c r="F28" s="22">
        <v>44360</v>
      </c>
      <c r="G28" s="22">
        <v>1880</v>
      </c>
      <c r="H28" s="21">
        <f t="shared" si="2"/>
        <v>0.42857142857142855</v>
      </c>
      <c r="I28" s="20">
        <f>SUM($D$6:D28)-SUM($G$6:G28)</f>
        <v>893213</v>
      </c>
      <c r="K28" s="9">
        <f t="shared" si="19"/>
        <v>44826</v>
      </c>
      <c r="L28" s="4">
        <f t="shared" si="20"/>
        <v>11811</v>
      </c>
      <c r="M28" s="4">
        <f t="shared" si="21"/>
        <v>27559</v>
      </c>
      <c r="N28" s="4">
        <f t="shared" si="22"/>
        <v>39370</v>
      </c>
      <c r="O28" s="4">
        <f t="shared" si="23"/>
        <v>29740</v>
      </c>
      <c r="P28" s="4">
        <f t="shared" si="24"/>
        <v>9630</v>
      </c>
      <c r="Q28" s="4">
        <f t="shared" si="25"/>
        <v>3740</v>
      </c>
    </row>
    <row r="29" spans="1:17" x14ac:dyDescent="0.35">
      <c r="A29" s="23">
        <v>44832</v>
      </c>
      <c r="B29" s="22">
        <f t="shared" si="10"/>
        <v>17856</v>
      </c>
      <c r="C29" s="22">
        <f t="shared" si="0"/>
        <v>41664</v>
      </c>
      <c r="D29" s="22">
        <f t="shared" si="1"/>
        <v>59520</v>
      </c>
      <c r="E29" s="22">
        <v>36660</v>
      </c>
      <c r="F29" s="22">
        <v>22860</v>
      </c>
      <c r="G29" s="22">
        <f>6660+1500+50000</f>
        <v>58160</v>
      </c>
      <c r="H29" s="21">
        <f t="shared" si="2"/>
        <v>0.42857142857142855</v>
      </c>
      <c r="I29" s="20">
        <f>SUM($D$6:D29)-SUM($G$6:G29)</f>
        <v>894573</v>
      </c>
      <c r="K29" s="8">
        <f t="shared" si="19"/>
        <v>44827</v>
      </c>
      <c r="L29" s="2">
        <f t="shared" si="20"/>
        <v>10444.5</v>
      </c>
      <c r="M29" s="2">
        <f t="shared" si="21"/>
        <v>24370.5</v>
      </c>
      <c r="N29" s="2">
        <f t="shared" si="22"/>
        <v>34815</v>
      </c>
      <c r="O29" s="2">
        <f t="shared" si="23"/>
        <v>24450</v>
      </c>
      <c r="P29" s="2">
        <f t="shared" si="24"/>
        <v>10365</v>
      </c>
      <c r="Q29" s="2">
        <f t="shared" si="25"/>
        <v>3250</v>
      </c>
    </row>
    <row r="30" spans="1:17" x14ac:dyDescent="0.35">
      <c r="A30" s="23">
        <v>44833</v>
      </c>
      <c r="B30" s="22">
        <f t="shared" si="10"/>
        <v>35220</v>
      </c>
      <c r="C30" s="22">
        <f t="shared" si="0"/>
        <v>82180</v>
      </c>
      <c r="D30" s="22">
        <f t="shared" si="1"/>
        <v>117400</v>
      </c>
      <c r="E30" s="22">
        <v>105500</v>
      </c>
      <c r="F30" s="22">
        <v>11900</v>
      </c>
      <c r="G30" s="22">
        <f>5500+15000</f>
        <v>20500</v>
      </c>
      <c r="H30" s="21">
        <f t="shared" si="2"/>
        <v>0.42857142857142855</v>
      </c>
      <c r="I30" s="20">
        <f>SUM($D$6:D30)-SUM($G$6:G30)</f>
        <v>991473</v>
      </c>
      <c r="K30" s="9">
        <f t="shared" si="19"/>
        <v>44828</v>
      </c>
      <c r="L30" s="4">
        <f t="shared" si="20"/>
        <v>53610</v>
      </c>
      <c r="M30" s="4">
        <f t="shared" si="21"/>
        <v>125090</v>
      </c>
      <c r="N30" s="4">
        <f t="shared" si="22"/>
        <v>178700</v>
      </c>
      <c r="O30" s="4">
        <f t="shared" si="23"/>
        <v>145500</v>
      </c>
      <c r="P30" s="4">
        <f t="shared" si="24"/>
        <v>33200</v>
      </c>
      <c r="Q30" s="4">
        <f t="shared" si="25"/>
        <v>5500</v>
      </c>
    </row>
    <row r="31" spans="1:17" x14ac:dyDescent="0.35">
      <c r="A31" s="23">
        <v>44834</v>
      </c>
      <c r="B31" s="22">
        <f t="shared" si="10"/>
        <v>29944.799999999999</v>
      </c>
      <c r="C31" s="22">
        <f t="shared" si="0"/>
        <v>69871.199999999997</v>
      </c>
      <c r="D31" s="22">
        <f t="shared" si="1"/>
        <v>99816</v>
      </c>
      <c r="E31" s="22">
        <v>41500</v>
      </c>
      <c r="F31" s="22">
        <v>58316</v>
      </c>
      <c r="G31" s="22">
        <v>500</v>
      </c>
      <c r="H31" s="21">
        <f t="shared" si="2"/>
        <v>0.4285714285714286</v>
      </c>
      <c r="I31" s="20">
        <f>SUM($D$6:D31)-SUM($G$6:G31)</f>
        <v>1090789</v>
      </c>
      <c r="K31" s="8">
        <f t="shared" si="19"/>
        <v>44829</v>
      </c>
      <c r="L31" s="2">
        <f t="shared" si="20"/>
        <v>25090.799999999999</v>
      </c>
      <c r="M31" s="2">
        <f t="shared" si="21"/>
        <v>58545.2</v>
      </c>
      <c r="N31" s="2">
        <f t="shared" si="22"/>
        <v>83636</v>
      </c>
      <c r="O31" s="2">
        <f t="shared" si="23"/>
        <v>24800</v>
      </c>
      <c r="P31" s="2">
        <f t="shared" si="24"/>
        <v>58836</v>
      </c>
      <c r="Q31" s="2">
        <f t="shared" si="25"/>
        <v>800</v>
      </c>
    </row>
    <row r="32" spans="1:17" ht="15" thickBot="1" x14ac:dyDescent="0.4">
      <c r="A32" s="19" t="s">
        <v>4</v>
      </c>
      <c r="B32" s="18">
        <f>SUBTOTAL(109,Table234534568791112151416171819202122232425[Profit])</f>
        <v>404802.30000000005</v>
      </c>
      <c r="C32" s="18">
        <f>SUBTOTAL(109,Table234534568791112151416171819202122232425[Actual])</f>
        <v>912006.7</v>
      </c>
      <c r="D32" s="18">
        <f>SUBTOTAL(109,Table234534568791112151416171819202122232425[Total])</f>
        <v>1316809</v>
      </c>
      <c r="E32" s="18">
        <f>SUM(E6:E31)</f>
        <v>742154</v>
      </c>
      <c r="F32" s="18">
        <f>SUM(F6:F31)</f>
        <v>493325</v>
      </c>
      <c r="G32" s="18">
        <f>SUM(G6:G31)</f>
        <v>144690</v>
      </c>
      <c r="H32" s="15">
        <f>SUM(G2:G31)</f>
        <v>149080</v>
      </c>
      <c r="I32" s="14">
        <f>B32/C32</f>
        <v>0.44385891024704105</v>
      </c>
      <c r="K32" s="3" t="s">
        <v>4</v>
      </c>
      <c r="L32" s="2">
        <f t="shared" ref="L32:Q32" si="26">SUM(L25:L31)</f>
        <v>159369.29999999999</v>
      </c>
      <c r="M32" s="2">
        <f t="shared" si="26"/>
        <v>371861.7</v>
      </c>
      <c r="N32" s="2">
        <f t="shared" si="26"/>
        <v>531231</v>
      </c>
      <c r="O32" s="2">
        <f t="shared" si="26"/>
        <v>330394</v>
      </c>
      <c r="P32" s="2">
        <f t="shared" si="26"/>
        <v>200837</v>
      </c>
      <c r="Q32" s="2">
        <f t="shared" si="26"/>
        <v>28900</v>
      </c>
    </row>
    <row r="33" spans="1:17" x14ac:dyDescent="0.35">
      <c r="A33" s="12"/>
      <c r="B33" s="11">
        <f>B32/3</f>
        <v>134934.1</v>
      </c>
      <c r="C33" s="11"/>
      <c r="E33" s="13">
        <f>D32*0.42</f>
        <v>553059.78</v>
      </c>
      <c r="F33" s="11"/>
      <c r="G33" s="11"/>
      <c r="H33" s="10"/>
      <c r="K33" s="3" t="s">
        <v>0</v>
      </c>
      <c r="L33" s="4">
        <f>L32/3</f>
        <v>53123.1</v>
      </c>
      <c r="M33" s="4"/>
      <c r="N33" s="4"/>
      <c r="O33" s="4"/>
      <c r="P33" s="4"/>
      <c r="Q33" s="4"/>
    </row>
    <row r="34" spans="1:17" x14ac:dyDescent="0.35">
      <c r="A34" s="12"/>
      <c r="B34" s="11">
        <f>B33*100/D32</f>
        <v>10.247051774403122</v>
      </c>
      <c r="C34" s="11"/>
      <c r="E34" s="11">
        <f>E33/3</f>
        <v>184353.26</v>
      </c>
      <c r="F34" s="11"/>
      <c r="G34" s="11"/>
      <c r="H34" s="10"/>
    </row>
    <row r="35" spans="1:17" x14ac:dyDescent="0.35"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K36" s="8">
        <f>A27</f>
        <v>44830</v>
      </c>
      <c r="L36" s="2">
        <f t="shared" ref="L36:L42" si="27">N36*0.3</f>
        <v>12326.699999999999</v>
      </c>
      <c r="M36" s="2">
        <f t="shared" ref="M36:M42" si="28">N36-L36</f>
        <v>28762.300000000003</v>
      </c>
      <c r="N36" s="2">
        <f t="shared" ref="N36:N42" si="29">O36+P36</f>
        <v>41089</v>
      </c>
      <c r="O36" s="2">
        <f t="shared" ref="O36:O42" si="30">VLOOKUP(K36,$A$1:$H$32,5,0)</f>
        <v>20500</v>
      </c>
      <c r="P36" s="2">
        <f t="shared" ref="P36:P42" si="31">VLOOKUP(K36,$A$1:$H$32,6,0)</f>
        <v>20589</v>
      </c>
      <c r="Q36" s="2">
        <f t="shared" ref="Q36:Q42" si="32">VLOOKUP(K36,$A$1:$H$32,7,0)</f>
        <v>4500</v>
      </c>
    </row>
    <row r="37" spans="1:17" x14ac:dyDescent="0.35">
      <c r="K37" s="9">
        <f>A28</f>
        <v>44831</v>
      </c>
      <c r="L37" s="4">
        <f t="shared" si="27"/>
        <v>24558</v>
      </c>
      <c r="M37" s="4">
        <f t="shared" si="28"/>
        <v>57302</v>
      </c>
      <c r="N37" s="4">
        <f t="shared" si="29"/>
        <v>81860</v>
      </c>
      <c r="O37" s="4">
        <f t="shared" si="30"/>
        <v>37500</v>
      </c>
      <c r="P37" s="4">
        <f t="shared" si="31"/>
        <v>44360</v>
      </c>
      <c r="Q37" s="4">
        <f t="shared" si="32"/>
        <v>1880</v>
      </c>
    </row>
    <row r="38" spans="1:17" x14ac:dyDescent="0.35">
      <c r="K38" s="8">
        <f>A29</f>
        <v>44832</v>
      </c>
      <c r="L38" s="2">
        <f t="shared" si="27"/>
        <v>17856</v>
      </c>
      <c r="M38" s="2">
        <f t="shared" si="28"/>
        <v>41664</v>
      </c>
      <c r="N38" s="2">
        <f t="shared" si="29"/>
        <v>59520</v>
      </c>
      <c r="O38" s="2">
        <f t="shared" si="30"/>
        <v>36660</v>
      </c>
      <c r="P38" s="2">
        <f t="shared" si="31"/>
        <v>22860</v>
      </c>
      <c r="Q38" s="2">
        <f t="shared" si="32"/>
        <v>58160</v>
      </c>
    </row>
    <row r="39" spans="1:17" x14ac:dyDescent="0.35">
      <c r="K39" s="9">
        <f>A30</f>
        <v>44833</v>
      </c>
      <c r="L39" s="4">
        <f t="shared" si="27"/>
        <v>35220</v>
      </c>
      <c r="M39" s="4">
        <f t="shared" si="28"/>
        <v>82180</v>
      </c>
      <c r="N39" s="4">
        <f t="shared" si="29"/>
        <v>117400</v>
      </c>
      <c r="O39" s="4">
        <f t="shared" si="30"/>
        <v>105500</v>
      </c>
      <c r="P39" s="4">
        <f t="shared" si="31"/>
        <v>11900</v>
      </c>
      <c r="Q39" s="4">
        <f t="shared" si="32"/>
        <v>20500</v>
      </c>
    </row>
    <row r="40" spans="1:17" x14ac:dyDescent="0.35">
      <c r="K40" s="8">
        <f>A31</f>
        <v>44834</v>
      </c>
      <c r="L40" s="2">
        <f t="shared" si="27"/>
        <v>29944.799999999999</v>
      </c>
      <c r="M40" s="2">
        <f t="shared" si="28"/>
        <v>69871.199999999997</v>
      </c>
      <c r="N40" s="2">
        <f t="shared" si="29"/>
        <v>99816</v>
      </c>
      <c r="O40" s="2">
        <f t="shared" si="30"/>
        <v>41500</v>
      </c>
      <c r="P40" s="2">
        <f t="shared" si="31"/>
        <v>58316</v>
      </c>
      <c r="Q40" s="2">
        <f t="shared" si="32"/>
        <v>500</v>
      </c>
    </row>
    <row r="41" spans="1:17" x14ac:dyDescent="0.35">
      <c r="K41" s="9" t="e">
        <f>#REF!</f>
        <v>#REF!</v>
      </c>
      <c r="L41" s="4" t="e">
        <f t="shared" si="27"/>
        <v>#REF!</v>
      </c>
      <c r="M41" s="4" t="e">
        <f t="shared" si="28"/>
        <v>#REF!</v>
      </c>
      <c r="N41" s="4" t="e">
        <f t="shared" si="29"/>
        <v>#REF!</v>
      </c>
      <c r="O41" s="4" t="e">
        <f t="shared" si="30"/>
        <v>#REF!</v>
      </c>
      <c r="P41" s="4" t="e">
        <f t="shared" si="31"/>
        <v>#REF!</v>
      </c>
      <c r="Q41" s="4" t="e">
        <f t="shared" si="32"/>
        <v>#REF!</v>
      </c>
    </row>
    <row r="42" spans="1:17" x14ac:dyDescent="0.35">
      <c r="K42" s="8" t="e">
        <f>#REF!</f>
        <v>#REF!</v>
      </c>
      <c r="L42" s="2" t="e">
        <f t="shared" si="27"/>
        <v>#REF!</v>
      </c>
      <c r="M42" s="2" t="e">
        <f t="shared" si="28"/>
        <v>#REF!</v>
      </c>
      <c r="N42" s="2" t="e">
        <f t="shared" si="29"/>
        <v>#REF!</v>
      </c>
      <c r="O42" s="2" t="e">
        <f t="shared" si="30"/>
        <v>#REF!</v>
      </c>
      <c r="P42" s="2" t="e">
        <f t="shared" si="31"/>
        <v>#REF!</v>
      </c>
      <c r="Q42" s="2" t="e">
        <f t="shared" si="32"/>
        <v>#REF!</v>
      </c>
    </row>
    <row r="43" spans="1:17" x14ac:dyDescent="0.35">
      <c r="K43" s="3" t="s">
        <v>4</v>
      </c>
      <c r="L43" s="4" t="e">
        <f t="shared" ref="L43:Q43" si="33">SUM(L36:L42)</f>
        <v>#REF!</v>
      </c>
      <c r="M43" s="4" t="e">
        <f t="shared" si="33"/>
        <v>#REF!</v>
      </c>
      <c r="N43" s="4" t="e">
        <f t="shared" si="33"/>
        <v>#REF!</v>
      </c>
      <c r="O43" s="4" t="e">
        <f t="shared" si="33"/>
        <v>#REF!</v>
      </c>
      <c r="P43" s="4" t="e">
        <f t="shared" si="33"/>
        <v>#REF!</v>
      </c>
      <c r="Q43" s="4" t="e">
        <f t="shared" si="33"/>
        <v>#REF!</v>
      </c>
    </row>
    <row r="44" spans="1:17" x14ac:dyDescent="0.35">
      <c r="K44" s="3" t="s">
        <v>0</v>
      </c>
      <c r="L44" s="2" t="e">
        <f>L43/3</f>
        <v>#REF!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 t="e">
        <f>#REF!</f>
        <v>#REF!</v>
      </c>
      <c r="L47" s="2" t="e">
        <f t="shared" ref="L47:L53" si="34">N47*0.42</f>
        <v>#REF!</v>
      </c>
      <c r="M47" s="2" t="e">
        <f t="shared" ref="M47:M53" si="35">N47-L47</f>
        <v>#REF!</v>
      </c>
      <c r="N47" s="2" t="e">
        <f t="shared" ref="N47:N53" si="36">O47+P47</f>
        <v>#REF!</v>
      </c>
      <c r="O47" s="2" t="e">
        <f t="shared" ref="O47:O53" si="37">VLOOKUP(K47,$A$1:$H$32,5,0)</f>
        <v>#REF!</v>
      </c>
      <c r="P47" s="2" t="e">
        <f t="shared" ref="P47:P53" si="38">VLOOKUP(K47,$A$1:$H$32,6,0)</f>
        <v>#REF!</v>
      </c>
      <c r="Q47" s="2" t="e">
        <f t="shared" ref="Q47:Q53" si="39">VLOOKUP(K47,$A$1:$H$32,7,0)</f>
        <v>#REF!</v>
      </c>
    </row>
    <row r="48" spans="1:17" x14ac:dyDescent="0.35">
      <c r="K48" s="9" t="e">
        <f>#REF!</f>
        <v>#REF!</v>
      </c>
      <c r="L48" s="4" t="e">
        <f t="shared" si="34"/>
        <v>#REF!</v>
      </c>
      <c r="M48" s="4" t="e">
        <f t="shared" si="35"/>
        <v>#REF!</v>
      </c>
      <c r="N48" s="4" t="e">
        <f t="shared" si="36"/>
        <v>#REF!</v>
      </c>
      <c r="O48" s="4" t="e">
        <f t="shared" si="37"/>
        <v>#REF!</v>
      </c>
      <c r="P48" s="4" t="e">
        <f t="shared" si="38"/>
        <v>#REF!</v>
      </c>
      <c r="Q48" s="4" t="e">
        <f t="shared" si="39"/>
        <v>#REF!</v>
      </c>
    </row>
    <row r="49" spans="11:17" x14ac:dyDescent="0.35">
      <c r="K49" s="8" t="e">
        <f>#REF!</f>
        <v>#REF!</v>
      </c>
      <c r="L49" s="2" t="e">
        <f t="shared" si="34"/>
        <v>#REF!</v>
      </c>
      <c r="M49" s="2" t="e">
        <f t="shared" si="35"/>
        <v>#REF!</v>
      </c>
      <c r="N49" s="2" t="e">
        <f t="shared" si="36"/>
        <v>#REF!</v>
      </c>
      <c r="O49" s="2" t="e">
        <f t="shared" si="37"/>
        <v>#REF!</v>
      </c>
      <c r="P49" s="2" t="e">
        <f t="shared" si="38"/>
        <v>#REF!</v>
      </c>
      <c r="Q49" s="2" t="e">
        <f t="shared" si="39"/>
        <v>#REF!</v>
      </c>
    </row>
    <row r="50" spans="11:17" x14ac:dyDescent="0.35">
      <c r="K50" s="9" t="e">
        <f>#REF!</f>
        <v>#REF!</v>
      </c>
      <c r="L50" s="4" t="e">
        <f t="shared" si="34"/>
        <v>#REF!</v>
      </c>
      <c r="M50" s="4" t="e">
        <f t="shared" si="35"/>
        <v>#REF!</v>
      </c>
      <c r="N50" s="4" t="e">
        <f t="shared" si="36"/>
        <v>#REF!</v>
      </c>
      <c r="O50" s="4" t="e">
        <f t="shared" si="37"/>
        <v>#REF!</v>
      </c>
      <c r="P50" s="4" t="e">
        <f t="shared" si="38"/>
        <v>#REF!</v>
      </c>
      <c r="Q50" s="4" t="e">
        <f t="shared" si="39"/>
        <v>#REF!</v>
      </c>
    </row>
    <row r="51" spans="11:17" x14ac:dyDescent="0.35">
      <c r="K51" s="8" t="e">
        <f>#REF!</f>
        <v>#REF!</v>
      </c>
      <c r="L51" s="2" t="e">
        <f t="shared" si="34"/>
        <v>#REF!</v>
      </c>
      <c r="M51" s="2" t="e">
        <f t="shared" si="35"/>
        <v>#REF!</v>
      </c>
      <c r="N51" s="2" t="e">
        <f t="shared" si="36"/>
        <v>#REF!</v>
      </c>
      <c r="O51" s="2" t="e">
        <f t="shared" si="37"/>
        <v>#REF!</v>
      </c>
      <c r="P51" s="2" t="e">
        <f t="shared" si="38"/>
        <v>#REF!</v>
      </c>
      <c r="Q51" s="2" t="e">
        <f t="shared" si="39"/>
        <v>#REF!</v>
      </c>
    </row>
    <row r="52" spans="11:17" x14ac:dyDescent="0.35">
      <c r="K52" s="9" t="e">
        <f>#REF!</f>
        <v>#REF!</v>
      </c>
      <c r="L52" s="4" t="e">
        <f t="shared" si="34"/>
        <v>#REF!</v>
      </c>
      <c r="M52" s="4" t="e">
        <f t="shared" si="35"/>
        <v>#REF!</v>
      </c>
      <c r="N52" s="4" t="e">
        <f t="shared" si="36"/>
        <v>#REF!</v>
      </c>
      <c r="O52" s="4" t="e">
        <f t="shared" si="37"/>
        <v>#REF!</v>
      </c>
      <c r="P52" s="4" t="e">
        <f t="shared" si="38"/>
        <v>#REF!</v>
      </c>
      <c r="Q52" s="4" t="e">
        <f t="shared" si="39"/>
        <v>#REF!</v>
      </c>
    </row>
    <row r="53" spans="11:17" x14ac:dyDescent="0.35">
      <c r="K53" s="8" t="e">
        <f>#REF!</f>
        <v>#REF!</v>
      </c>
      <c r="L53" s="2" t="e">
        <f t="shared" si="34"/>
        <v>#REF!</v>
      </c>
      <c r="M53" s="2" t="e">
        <f t="shared" si="35"/>
        <v>#REF!</v>
      </c>
      <c r="N53" s="2" t="e">
        <f t="shared" si="36"/>
        <v>#REF!</v>
      </c>
      <c r="O53" s="2" t="e">
        <f t="shared" si="37"/>
        <v>#REF!</v>
      </c>
      <c r="P53" s="2" t="e">
        <f t="shared" si="38"/>
        <v>#REF!</v>
      </c>
      <c r="Q53" s="2" t="e">
        <f t="shared" si="39"/>
        <v>#REF!</v>
      </c>
    </row>
    <row r="54" spans="11:17" x14ac:dyDescent="0.35">
      <c r="K54" s="3" t="s">
        <v>4</v>
      </c>
      <c r="L54" s="4" t="e">
        <f>SUM(L47:L53)</f>
        <v>#REF!</v>
      </c>
      <c r="M54" s="4" t="e">
        <f>SUM(M47:M53)</f>
        <v>#REF!</v>
      </c>
      <c r="N54" s="4" t="e">
        <f>SUM(N47:N53)</f>
        <v>#REF!</v>
      </c>
      <c r="O54" s="4"/>
      <c r="P54" s="4"/>
      <c r="Q54" s="4"/>
    </row>
    <row r="55" spans="11:17" x14ac:dyDescent="0.35">
      <c r="K55" s="3" t="s">
        <v>0</v>
      </c>
      <c r="L55" s="2" t="e">
        <f>L54/3</f>
        <v>#REF!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A10</f>
        <v>44813</v>
      </c>
      <c r="L59" s="4">
        <f>SUM(B2:B31)</f>
        <v>404802.30000000005</v>
      </c>
      <c r="M59" s="4">
        <f t="shared" ref="M59:Q59" si="40">SUM(C2:C31)</f>
        <v>912006.7</v>
      </c>
      <c r="N59" s="4">
        <f t="shared" si="40"/>
        <v>1316809</v>
      </c>
      <c r="O59" s="4">
        <f t="shared" si="40"/>
        <v>775284</v>
      </c>
      <c r="P59" s="4">
        <f t="shared" si="40"/>
        <v>541525</v>
      </c>
      <c r="Q59" s="4">
        <f t="shared" si="40"/>
        <v>149080</v>
      </c>
    </row>
    <row r="60" spans="11:17" x14ac:dyDescent="0.35">
      <c r="K60" s="3" t="s">
        <v>0</v>
      </c>
      <c r="L60" s="2">
        <f>L59/3</f>
        <v>134934.1</v>
      </c>
      <c r="M60" s="2"/>
      <c r="N60" s="2"/>
      <c r="O60" s="2"/>
      <c r="P60" s="2"/>
      <c r="Q60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8:Q58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2A2B-0115-4330-806B-F02CC5DB1BAB}">
  <dimension ref="A1:Q60"/>
  <sheetViews>
    <sheetView zoomScale="90" zoomScaleNormal="90" workbookViewId="0">
      <pane ySplit="1" topLeftCell="A19" activePane="bottomLeft" state="frozen"/>
      <selection pane="bottomLeft" activeCell="E34" sqref="E34"/>
    </sheetView>
  </sheetViews>
  <sheetFormatPr defaultColWidth="26" defaultRowHeight="14.5" x14ac:dyDescent="0.35"/>
  <cols>
    <col min="1" max="1" width="27.7265625" bestFit="1" customWidth="1"/>
    <col min="2" max="4" width="10.7265625" style="1" bestFit="1" customWidth="1"/>
    <col min="5" max="5" width="13.453125" style="1" bestFit="1" customWidth="1"/>
    <col min="6" max="6" width="10.7265625" style="1" bestFit="1" customWidth="1"/>
    <col min="7" max="7" width="9.1796875" style="1" bestFit="1" customWidth="1"/>
    <col min="8" max="8" width="9.81640625" bestFit="1" customWidth="1"/>
    <col min="9" max="9" width="8.81640625" bestFit="1" customWidth="1"/>
    <col min="10" max="10" width="6.54296875" customWidth="1"/>
    <col min="11" max="11" width="27.7265625" bestFit="1" customWidth="1"/>
    <col min="12" max="15" width="10.7265625" bestFit="1" customWidth="1"/>
    <col min="16" max="16" width="17" bestFit="1" customWidth="1"/>
    <col min="17" max="17" width="10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44835</v>
      </c>
      <c r="B2" s="22">
        <f t="shared" ref="B2:B33" si="0">D2*0.3</f>
        <v>29944.799999999999</v>
      </c>
      <c r="C2" s="22">
        <f t="shared" ref="C2:C33" si="1">D2-B2</f>
        <v>69871.199999999997</v>
      </c>
      <c r="D2" s="22">
        <f t="shared" ref="D2:D33" si="2">E2+F2</f>
        <v>99816</v>
      </c>
      <c r="E2" s="22">
        <v>41500</v>
      </c>
      <c r="F2" s="22">
        <v>58316</v>
      </c>
      <c r="G2" s="22">
        <v>500</v>
      </c>
      <c r="H2" s="21">
        <f t="shared" ref="H2:H33" si="3">IFERROR(B2/C2,0)</f>
        <v>0.4285714285714286</v>
      </c>
      <c r="I2" s="20">
        <f>SUM($D2:D$6)-SUM($G2:G$6)</f>
        <v>512769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44836</v>
      </c>
      <c r="B3" s="22">
        <f t="shared" si="0"/>
        <v>38670</v>
      </c>
      <c r="C3" s="22">
        <f t="shared" si="1"/>
        <v>90230</v>
      </c>
      <c r="D3" s="22">
        <f t="shared" si="2"/>
        <v>128900</v>
      </c>
      <c r="E3" s="22">
        <v>111500</v>
      </c>
      <c r="F3" s="22">
        <v>17400</v>
      </c>
      <c r="G3" s="22">
        <v>28500</v>
      </c>
      <c r="H3" s="21">
        <f t="shared" si="3"/>
        <v>0.42857142857142855</v>
      </c>
      <c r="I3" s="20">
        <f>SUM($D3:D$6)-SUM($G3:G$6)</f>
        <v>413453</v>
      </c>
      <c r="K3" s="8">
        <f t="shared" ref="K3:K9" si="4">A5</f>
        <v>44837</v>
      </c>
      <c r="L3" s="2">
        <f t="shared" ref="L3:L9" si="5">N3*0.42</f>
        <v>43701</v>
      </c>
      <c r="M3" s="2">
        <f t="shared" ref="M3:M9" si="6">N3-L3</f>
        <v>60349</v>
      </c>
      <c r="N3" s="2">
        <f t="shared" ref="N3:N9" si="7">O3+P3</f>
        <v>104050</v>
      </c>
      <c r="O3" s="2">
        <f t="shared" ref="O3:O9" si="8">VLOOKUP(K3,$A$1:$H$34,5,0)</f>
        <v>77000</v>
      </c>
      <c r="P3" s="2">
        <f t="shared" ref="P3:P9" si="9">VLOOKUP(K3,$A$1:$H$34,6,0)</f>
        <v>27050</v>
      </c>
      <c r="Q3" s="2">
        <f t="shared" ref="Q3:Q9" si="10">VLOOKUP(K3,$A$1:$H$34,7,0)</f>
        <v>17000</v>
      </c>
    </row>
    <row r="4" spans="1:17" x14ac:dyDescent="0.35">
      <c r="A4" s="23">
        <v>44837</v>
      </c>
      <c r="B4" s="22">
        <f t="shared" si="0"/>
        <v>31215</v>
      </c>
      <c r="C4" s="22">
        <f t="shared" si="1"/>
        <v>72835</v>
      </c>
      <c r="D4" s="22">
        <f t="shared" si="2"/>
        <v>104050</v>
      </c>
      <c r="E4" s="22">
        <v>77000</v>
      </c>
      <c r="F4" s="22">
        <v>27050</v>
      </c>
      <c r="G4" s="22">
        <v>17000</v>
      </c>
      <c r="H4" s="21">
        <f t="shared" si="3"/>
        <v>0.42857142857142855</v>
      </c>
      <c r="I4" s="20">
        <f>SUM($D4:D$6)-SUM($G4:G$6)</f>
        <v>313053</v>
      </c>
      <c r="K4" s="9">
        <f t="shared" si="4"/>
        <v>44838</v>
      </c>
      <c r="L4" s="4">
        <f t="shared" si="5"/>
        <v>76084.259999999995</v>
      </c>
      <c r="M4" s="4">
        <f t="shared" si="6"/>
        <v>105068.74</v>
      </c>
      <c r="N4" s="4">
        <f t="shared" si="7"/>
        <v>181153</v>
      </c>
      <c r="O4" s="4">
        <f t="shared" si="8"/>
        <v>38000</v>
      </c>
      <c r="P4" s="4">
        <f t="shared" si="9"/>
        <v>143153</v>
      </c>
      <c r="Q4" s="4">
        <f t="shared" si="10"/>
        <v>42200</v>
      </c>
    </row>
    <row r="5" spans="1:17" x14ac:dyDescent="0.35">
      <c r="A5" s="23">
        <v>44837</v>
      </c>
      <c r="B5" s="22">
        <f t="shared" si="0"/>
        <v>31215</v>
      </c>
      <c r="C5" s="22">
        <f t="shared" si="1"/>
        <v>72835</v>
      </c>
      <c r="D5" s="22">
        <f t="shared" si="2"/>
        <v>104050</v>
      </c>
      <c r="E5" s="22">
        <v>77000</v>
      </c>
      <c r="F5" s="22">
        <v>27050</v>
      </c>
      <c r="G5" s="22">
        <v>17000</v>
      </c>
      <c r="H5" s="21">
        <f t="shared" si="3"/>
        <v>0.42857142857142855</v>
      </c>
      <c r="I5" s="20">
        <f>SUM($D$5:D5)-SUM($G$5:G5)</f>
        <v>87050</v>
      </c>
      <c r="K5" s="8">
        <f t="shared" si="4"/>
        <v>44839</v>
      </c>
      <c r="L5" s="2">
        <f t="shared" si="5"/>
        <v>29101.8</v>
      </c>
      <c r="M5" s="2">
        <f t="shared" si="6"/>
        <v>40188.199999999997</v>
      </c>
      <c r="N5" s="2">
        <f t="shared" si="7"/>
        <v>69290</v>
      </c>
      <c r="O5" s="2">
        <f t="shared" si="8"/>
        <v>50000</v>
      </c>
      <c r="P5" s="2">
        <f t="shared" si="9"/>
        <v>19290</v>
      </c>
      <c r="Q5" s="2">
        <f t="shared" si="10"/>
        <v>3000</v>
      </c>
    </row>
    <row r="6" spans="1:17" x14ac:dyDescent="0.35">
      <c r="A6" s="23">
        <v>44838</v>
      </c>
      <c r="B6" s="22">
        <f t="shared" si="0"/>
        <v>54345.9</v>
      </c>
      <c r="C6" s="22">
        <f t="shared" si="1"/>
        <v>126807.1</v>
      </c>
      <c r="D6" s="22">
        <f t="shared" si="2"/>
        <v>181153</v>
      </c>
      <c r="E6" s="22">
        <v>38000</v>
      </c>
      <c r="F6" s="22">
        <v>143153</v>
      </c>
      <c r="G6" s="22">
        <v>42200</v>
      </c>
      <c r="H6" s="21">
        <f t="shared" si="3"/>
        <v>0.42857142857142855</v>
      </c>
      <c r="I6" s="20">
        <f>SUM($D$5:D6)-SUM($G$5:G6)</f>
        <v>226003</v>
      </c>
      <c r="K6" s="9">
        <f t="shared" si="4"/>
        <v>44840</v>
      </c>
      <c r="L6" s="4">
        <f t="shared" si="5"/>
        <v>67893</v>
      </c>
      <c r="M6" s="4">
        <f t="shared" si="6"/>
        <v>93757</v>
      </c>
      <c r="N6" s="4">
        <f t="shared" si="7"/>
        <v>161650</v>
      </c>
      <c r="O6" s="4">
        <f t="shared" si="8"/>
        <v>114000</v>
      </c>
      <c r="P6" s="4">
        <f t="shared" si="9"/>
        <v>47650</v>
      </c>
      <c r="Q6" s="4">
        <f t="shared" si="10"/>
        <v>2100</v>
      </c>
    </row>
    <row r="7" spans="1:17" x14ac:dyDescent="0.35">
      <c r="A7" s="23">
        <v>44839</v>
      </c>
      <c r="B7" s="22">
        <f t="shared" si="0"/>
        <v>20787</v>
      </c>
      <c r="C7" s="22">
        <f t="shared" si="1"/>
        <v>48503</v>
      </c>
      <c r="D7" s="22">
        <f t="shared" si="2"/>
        <v>69290</v>
      </c>
      <c r="E7" s="22">
        <v>50000</v>
      </c>
      <c r="F7" s="22">
        <v>19290</v>
      </c>
      <c r="G7" s="22">
        <v>3000</v>
      </c>
      <c r="H7" s="21">
        <f t="shared" si="3"/>
        <v>0.42857142857142855</v>
      </c>
      <c r="I7" s="20">
        <f>SUM($D$5:D7)-SUM($G$5:G7)</f>
        <v>292293</v>
      </c>
      <c r="K7" s="8">
        <f t="shared" si="4"/>
        <v>44841</v>
      </c>
      <c r="L7" s="2">
        <f t="shared" si="5"/>
        <v>199718.39999999999</v>
      </c>
      <c r="M7" s="2">
        <f t="shared" si="6"/>
        <v>275801.59999999998</v>
      </c>
      <c r="N7" s="2">
        <f t="shared" si="7"/>
        <v>475520</v>
      </c>
      <c r="O7" s="2">
        <f t="shared" si="8"/>
        <v>412000</v>
      </c>
      <c r="P7" s="2">
        <f t="shared" si="9"/>
        <v>63520</v>
      </c>
      <c r="Q7" s="2">
        <f t="shared" si="10"/>
        <v>30000</v>
      </c>
    </row>
    <row r="8" spans="1:17" x14ac:dyDescent="0.35">
      <c r="A8" s="23">
        <v>44840</v>
      </c>
      <c r="B8" s="22">
        <f t="shared" si="0"/>
        <v>48495</v>
      </c>
      <c r="C8" s="22">
        <f t="shared" si="1"/>
        <v>113155</v>
      </c>
      <c r="D8" s="22">
        <f t="shared" si="2"/>
        <v>161650</v>
      </c>
      <c r="E8" s="22">
        <v>114000</v>
      </c>
      <c r="F8" s="22">
        <v>47650</v>
      </c>
      <c r="G8" s="22">
        <v>2100</v>
      </c>
      <c r="H8" s="21">
        <f t="shared" si="3"/>
        <v>0.42857142857142855</v>
      </c>
      <c r="I8" s="20">
        <f>SUM($D$5:D8)-SUM($G$5:G8)</f>
        <v>451843</v>
      </c>
      <c r="K8" s="9">
        <f t="shared" si="4"/>
        <v>44842</v>
      </c>
      <c r="L8" s="4">
        <f t="shared" si="5"/>
        <v>100805.45999999999</v>
      </c>
      <c r="M8" s="4">
        <f t="shared" si="6"/>
        <v>139207.54</v>
      </c>
      <c r="N8" s="4">
        <f t="shared" si="7"/>
        <v>240013</v>
      </c>
      <c r="O8" s="4">
        <f t="shared" si="8"/>
        <v>157500</v>
      </c>
      <c r="P8" s="4">
        <f t="shared" si="9"/>
        <v>82513</v>
      </c>
      <c r="Q8" s="4">
        <f t="shared" si="10"/>
        <v>1500</v>
      </c>
    </row>
    <row r="9" spans="1:17" x14ac:dyDescent="0.35">
      <c r="A9" s="23">
        <v>44841</v>
      </c>
      <c r="B9" s="22">
        <f t="shared" si="0"/>
        <v>142656</v>
      </c>
      <c r="C9" s="22">
        <f t="shared" si="1"/>
        <v>332864</v>
      </c>
      <c r="D9" s="22">
        <f t="shared" si="2"/>
        <v>475520</v>
      </c>
      <c r="E9" s="22">
        <f>231000+181000</f>
        <v>412000</v>
      </c>
      <c r="F9" s="22">
        <v>63520</v>
      </c>
      <c r="G9" s="22">
        <v>30000</v>
      </c>
      <c r="H9" s="21">
        <f t="shared" si="3"/>
        <v>0.42857142857142855</v>
      </c>
      <c r="I9" s="20">
        <f>SUM($D$5:D9)-SUM($G$5:G9)</f>
        <v>897363</v>
      </c>
      <c r="K9" s="8">
        <f t="shared" si="4"/>
        <v>44843</v>
      </c>
      <c r="L9" s="2">
        <f t="shared" si="5"/>
        <v>180733.13999999998</v>
      </c>
      <c r="M9" s="2">
        <f t="shared" si="6"/>
        <v>249583.86000000002</v>
      </c>
      <c r="N9" s="2">
        <f t="shared" si="7"/>
        <v>430317</v>
      </c>
      <c r="O9" s="2">
        <f t="shared" si="8"/>
        <v>285700</v>
      </c>
      <c r="P9" s="2">
        <f t="shared" si="9"/>
        <v>144617</v>
      </c>
      <c r="Q9" s="2">
        <f t="shared" si="10"/>
        <v>31000</v>
      </c>
    </row>
    <row r="10" spans="1:17" x14ac:dyDescent="0.35">
      <c r="A10" s="23">
        <v>44842</v>
      </c>
      <c r="B10" s="22">
        <f t="shared" si="0"/>
        <v>72003.899999999994</v>
      </c>
      <c r="C10" s="22">
        <f t="shared" si="1"/>
        <v>168009.1</v>
      </c>
      <c r="D10" s="22">
        <f t="shared" si="2"/>
        <v>240013</v>
      </c>
      <c r="E10" s="22">
        <f>156000+1500</f>
        <v>157500</v>
      </c>
      <c r="F10" s="22">
        <v>82513</v>
      </c>
      <c r="G10" s="22">
        <v>1500</v>
      </c>
      <c r="H10" s="21">
        <f t="shared" si="3"/>
        <v>0.42857142857142855</v>
      </c>
      <c r="I10" s="20">
        <f>SUM($D$5:D10)-SUM($G$5:G10)</f>
        <v>1135876</v>
      </c>
      <c r="K10" s="3" t="s">
        <v>4</v>
      </c>
      <c r="L10" s="3">
        <f>SUM(L3:L9)</f>
        <v>698037.05999999994</v>
      </c>
      <c r="M10" s="3">
        <f>SUM(M2:M9)</f>
        <v>963955.94000000006</v>
      </c>
      <c r="N10" s="3">
        <f>SUM(N2:N9)</f>
        <v>1661993</v>
      </c>
      <c r="O10" s="3">
        <f>SUM(O2:O9)</f>
        <v>1134200</v>
      </c>
      <c r="P10" s="3">
        <f>SUM(P2:P9)</f>
        <v>527793</v>
      </c>
      <c r="Q10" s="3">
        <f>SUM(Q2:Q9)</f>
        <v>126800</v>
      </c>
    </row>
    <row r="11" spans="1:17" x14ac:dyDescent="0.35">
      <c r="A11" s="23">
        <v>44843</v>
      </c>
      <c r="B11" s="22">
        <f t="shared" si="0"/>
        <v>129095.09999999999</v>
      </c>
      <c r="C11" s="22">
        <f t="shared" si="1"/>
        <v>301221.90000000002</v>
      </c>
      <c r="D11" s="22">
        <f t="shared" si="2"/>
        <v>430317</v>
      </c>
      <c r="E11" s="22">
        <f>255700+30000</f>
        <v>285700</v>
      </c>
      <c r="F11" s="22">
        <v>144617</v>
      </c>
      <c r="G11" s="22">
        <v>31000</v>
      </c>
      <c r="H11" s="21">
        <f t="shared" si="3"/>
        <v>0.42857142857142849</v>
      </c>
      <c r="I11" s="20">
        <f>SUM($D$5:D11)-SUM($G$5:G11)</f>
        <v>1535193</v>
      </c>
      <c r="K11" s="3" t="s">
        <v>0</v>
      </c>
      <c r="L11" s="3">
        <f>L10/3</f>
        <v>232679.02</v>
      </c>
      <c r="M11" s="3"/>
      <c r="N11" s="3"/>
      <c r="O11" s="2"/>
      <c r="P11" s="2"/>
      <c r="Q11" s="2"/>
    </row>
    <row r="12" spans="1:17" x14ac:dyDescent="0.35">
      <c r="A12" s="23">
        <v>44844</v>
      </c>
      <c r="B12" s="22">
        <f t="shared" si="0"/>
        <v>65031</v>
      </c>
      <c r="C12" s="22">
        <f t="shared" si="1"/>
        <v>151739</v>
      </c>
      <c r="D12" s="22">
        <f t="shared" si="2"/>
        <v>216770</v>
      </c>
      <c r="E12" s="22">
        <v>176600</v>
      </c>
      <c r="F12" s="22">
        <v>40170</v>
      </c>
      <c r="G12" s="22">
        <v>1000</v>
      </c>
      <c r="H12" s="21">
        <f t="shared" si="3"/>
        <v>0.42857142857142855</v>
      </c>
      <c r="I12" s="20">
        <f>SUM($D$5:D12)-SUM($G$5:G12)</f>
        <v>1750963</v>
      </c>
    </row>
    <row r="13" spans="1:17" x14ac:dyDescent="0.35">
      <c r="A13" s="23">
        <v>44845</v>
      </c>
      <c r="B13" s="22">
        <f t="shared" si="0"/>
        <v>108608.4</v>
      </c>
      <c r="C13" s="22">
        <f t="shared" si="1"/>
        <v>253419.6</v>
      </c>
      <c r="D13" s="22">
        <f t="shared" si="2"/>
        <v>362028</v>
      </c>
      <c r="E13" s="22">
        <v>275000</v>
      </c>
      <c r="F13" s="22">
        <v>87028</v>
      </c>
      <c r="G13" s="22">
        <v>67000</v>
      </c>
      <c r="H13" s="21">
        <f t="shared" si="3"/>
        <v>0.42857142857142855</v>
      </c>
      <c r="I13" s="20">
        <f>SUM($D$5:D13)-SUM($G$5:G13)</f>
        <v>2045991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44846</v>
      </c>
      <c r="B14" s="22">
        <f t="shared" si="0"/>
        <v>76260</v>
      </c>
      <c r="C14" s="22">
        <f t="shared" si="1"/>
        <v>177940</v>
      </c>
      <c r="D14" s="22">
        <f t="shared" si="2"/>
        <v>254200</v>
      </c>
      <c r="E14" s="22">
        <f>220000+8000</f>
        <v>228000</v>
      </c>
      <c r="F14" s="22">
        <v>26200</v>
      </c>
      <c r="G14" s="22">
        <v>8000</v>
      </c>
      <c r="H14" s="21">
        <f t="shared" si="3"/>
        <v>0.42857142857142855</v>
      </c>
      <c r="I14" s="20">
        <f>SUM($D$5:D14)-SUM($G$5:G14)</f>
        <v>2292191</v>
      </c>
      <c r="K14" s="8">
        <f t="shared" ref="K14:K20" si="11">A12</f>
        <v>44844</v>
      </c>
      <c r="L14" s="2">
        <f t="shared" ref="L14:L19" si="12">N14*0.42</f>
        <v>91043.4</v>
      </c>
      <c r="M14" s="2">
        <f t="shared" ref="M14:M20" si="13">N14-L14</f>
        <v>125726.6</v>
      </c>
      <c r="N14" s="2">
        <f t="shared" ref="N14:N20" si="14">O14+P14</f>
        <v>216770</v>
      </c>
      <c r="O14" s="2">
        <f t="shared" ref="O14:O20" si="15">VLOOKUP(K14,$A$1:$H$34,5,0)</f>
        <v>176600</v>
      </c>
      <c r="P14" s="2">
        <f t="shared" ref="P14:P20" si="16">VLOOKUP(K14,$A$1:$H$34,6,0)</f>
        <v>40170</v>
      </c>
      <c r="Q14" s="2">
        <f t="shared" ref="Q14:Q20" si="17">VLOOKUP(K14,$A$1:$H$34,7,0)</f>
        <v>1000</v>
      </c>
    </row>
    <row r="15" spans="1:17" x14ac:dyDescent="0.35">
      <c r="A15" s="23">
        <v>44847</v>
      </c>
      <c r="B15" s="22">
        <f t="shared" si="0"/>
        <v>80100</v>
      </c>
      <c r="C15" s="22">
        <f t="shared" si="1"/>
        <v>186900</v>
      </c>
      <c r="D15" s="22">
        <f t="shared" si="2"/>
        <v>267000</v>
      </c>
      <c r="E15" s="22">
        <v>217360</v>
      </c>
      <c r="F15" s="22">
        <v>49640</v>
      </c>
      <c r="G15" s="22">
        <v>1000</v>
      </c>
      <c r="H15" s="21">
        <f t="shared" si="3"/>
        <v>0.42857142857142855</v>
      </c>
      <c r="I15" s="20">
        <f>SUM($D$5:D15)-SUM($G$5:G15)</f>
        <v>2558191</v>
      </c>
      <c r="K15" s="9">
        <f t="shared" si="11"/>
        <v>44845</v>
      </c>
      <c r="L15" s="4">
        <f t="shared" si="12"/>
        <v>152051.75999999998</v>
      </c>
      <c r="M15" s="4">
        <f t="shared" si="13"/>
        <v>209976.24000000002</v>
      </c>
      <c r="N15" s="4">
        <f t="shared" si="14"/>
        <v>362028</v>
      </c>
      <c r="O15" s="4">
        <f t="shared" si="15"/>
        <v>275000</v>
      </c>
      <c r="P15" s="4">
        <f t="shared" si="16"/>
        <v>87028</v>
      </c>
      <c r="Q15" s="4">
        <f t="shared" si="17"/>
        <v>67000</v>
      </c>
    </row>
    <row r="16" spans="1:17" x14ac:dyDescent="0.35">
      <c r="A16" s="23">
        <v>44848</v>
      </c>
      <c r="B16" s="22">
        <f t="shared" si="0"/>
        <v>97751.4</v>
      </c>
      <c r="C16" s="22">
        <f t="shared" si="1"/>
        <v>228086.6</v>
      </c>
      <c r="D16" s="22">
        <f t="shared" si="2"/>
        <v>325838</v>
      </c>
      <c r="E16" s="22">
        <v>267000</v>
      </c>
      <c r="F16" s="22">
        <v>58838</v>
      </c>
      <c r="G16" s="22">
        <v>9300</v>
      </c>
      <c r="H16" s="21">
        <f t="shared" si="3"/>
        <v>0.42857142857142855</v>
      </c>
      <c r="I16" s="20">
        <f>SUM($D$5:D16)-SUM($G$5:G16)</f>
        <v>2874729</v>
      </c>
      <c r="K16" s="8">
        <f t="shared" si="11"/>
        <v>44846</v>
      </c>
      <c r="L16" s="2">
        <f t="shared" si="12"/>
        <v>106764</v>
      </c>
      <c r="M16" s="2">
        <f t="shared" si="13"/>
        <v>147436</v>
      </c>
      <c r="N16" s="2">
        <f t="shared" si="14"/>
        <v>254200</v>
      </c>
      <c r="O16" s="2">
        <f t="shared" si="15"/>
        <v>228000</v>
      </c>
      <c r="P16" s="2">
        <f t="shared" si="16"/>
        <v>26200</v>
      </c>
      <c r="Q16" s="2">
        <f t="shared" si="17"/>
        <v>8000</v>
      </c>
    </row>
    <row r="17" spans="1:17" x14ac:dyDescent="0.35">
      <c r="A17" s="23">
        <v>44849</v>
      </c>
      <c r="B17" s="22">
        <f t="shared" si="0"/>
        <v>85530</v>
      </c>
      <c r="C17" s="22">
        <f t="shared" si="1"/>
        <v>199570</v>
      </c>
      <c r="D17" s="22">
        <f t="shared" si="2"/>
        <v>285100</v>
      </c>
      <c r="E17" s="22">
        <v>231000</v>
      </c>
      <c r="F17" s="22">
        <v>54100</v>
      </c>
      <c r="G17" s="22">
        <v>11000</v>
      </c>
      <c r="H17" s="21">
        <f t="shared" si="3"/>
        <v>0.42857142857142855</v>
      </c>
      <c r="I17" s="20">
        <f>SUM($D$5:D17)-SUM($G$5:G17)</f>
        <v>3148829</v>
      </c>
      <c r="K17" s="9">
        <f t="shared" si="11"/>
        <v>44847</v>
      </c>
      <c r="L17" s="4">
        <f t="shared" si="12"/>
        <v>112140</v>
      </c>
      <c r="M17" s="4">
        <f t="shared" si="13"/>
        <v>154860</v>
      </c>
      <c r="N17" s="4">
        <f t="shared" si="14"/>
        <v>267000</v>
      </c>
      <c r="O17" s="4">
        <f t="shared" si="15"/>
        <v>217360</v>
      </c>
      <c r="P17" s="4">
        <f t="shared" si="16"/>
        <v>49640</v>
      </c>
      <c r="Q17" s="4">
        <f t="shared" si="17"/>
        <v>1000</v>
      </c>
    </row>
    <row r="18" spans="1:17" x14ac:dyDescent="0.35">
      <c r="A18" s="23">
        <v>44850</v>
      </c>
      <c r="B18" s="22">
        <f t="shared" si="0"/>
        <v>106269</v>
      </c>
      <c r="C18" s="22">
        <f t="shared" si="1"/>
        <v>247961</v>
      </c>
      <c r="D18" s="22">
        <f t="shared" si="2"/>
        <v>354230</v>
      </c>
      <c r="E18" s="22">
        <v>318000</v>
      </c>
      <c r="F18" s="22">
        <v>36230</v>
      </c>
      <c r="G18" s="22">
        <v>10000</v>
      </c>
      <c r="H18" s="21">
        <f t="shared" si="3"/>
        <v>0.42857142857142855</v>
      </c>
      <c r="I18" s="20">
        <f>SUM($D$5:D18)-SUM($G$5:G18)</f>
        <v>3493059</v>
      </c>
      <c r="K18" s="8">
        <f t="shared" si="11"/>
        <v>44848</v>
      </c>
      <c r="L18" s="2">
        <f t="shared" si="12"/>
        <v>136851.96</v>
      </c>
      <c r="M18" s="2">
        <f t="shared" si="13"/>
        <v>188986.04</v>
      </c>
      <c r="N18" s="2">
        <f t="shared" si="14"/>
        <v>325838</v>
      </c>
      <c r="O18" s="2">
        <f t="shared" si="15"/>
        <v>267000</v>
      </c>
      <c r="P18" s="2">
        <f t="shared" si="16"/>
        <v>58838</v>
      </c>
      <c r="Q18" s="2">
        <f t="shared" si="17"/>
        <v>9300</v>
      </c>
    </row>
    <row r="19" spans="1:17" x14ac:dyDescent="0.35">
      <c r="A19" s="23">
        <v>44851</v>
      </c>
      <c r="B19" s="22">
        <f t="shared" si="0"/>
        <v>110419.2</v>
      </c>
      <c r="C19" s="22">
        <f t="shared" si="1"/>
        <v>257644.79999999999</v>
      </c>
      <c r="D19" s="22">
        <f t="shared" si="2"/>
        <v>368064</v>
      </c>
      <c r="E19" s="22">
        <v>303000</v>
      </c>
      <c r="F19" s="22">
        <v>65064</v>
      </c>
      <c r="G19" s="22">
        <v>2000</v>
      </c>
      <c r="H19" s="21">
        <f t="shared" si="3"/>
        <v>0.4285714285714286</v>
      </c>
      <c r="I19" s="20">
        <f>SUM($D$5:D19)-SUM($G$5:G19)</f>
        <v>3859123</v>
      </c>
      <c r="K19" s="9">
        <f t="shared" si="11"/>
        <v>44849</v>
      </c>
      <c r="L19" s="4">
        <f t="shared" si="12"/>
        <v>119742</v>
      </c>
      <c r="M19" s="4">
        <f t="shared" si="13"/>
        <v>165358</v>
      </c>
      <c r="N19" s="4">
        <f t="shared" si="14"/>
        <v>285100</v>
      </c>
      <c r="O19" s="4">
        <f t="shared" si="15"/>
        <v>231000</v>
      </c>
      <c r="P19" s="4">
        <f t="shared" si="16"/>
        <v>54100</v>
      </c>
      <c r="Q19" s="4">
        <f t="shared" si="17"/>
        <v>11000</v>
      </c>
    </row>
    <row r="20" spans="1:17" x14ac:dyDescent="0.35">
      <c r="A20" s="23">
        <v>44852</v>
      </c>
      <c r="B20" s="22">
        <f t="shared" si="0"/>
        <v>95052.9</v>
      </c>
      <c r="C20" s="22">
        <f t="shared" si="1"/>
        <v>221790.1</v>
      </c>
      <c r="D20" s="22">
        <f t="shared" si="2"/>
        <v>316843</v>
      </c>
      <c r="E20" s="22">
        <f>221000+15500</f>
        <v>236500</v>
      </c>
      <c r="F20" s="22">
        <v>80343</v>
      </c>
      <c r="G20" s="22">
        <v>15500</v>
      </c>
      <c r="H20" s="21">
        <f t="shared" si="3"/>
        <v>0.42857142857142855</v>
      </c>
      <c r="I20" s="20">
        <f>SUM($D$5:D20)-SUM($G$5:G20)</f>
        <v>4160466</v>
      </c>
      <c r="K20" s="8">
        <f t="shared" si="11"/>
        <v>44850</v>
      </c>
      <c r="L20" s="2">
        <f>N20*0.3</f>
        <v>106269</v>
      </c>
      <c r="M20" s="2">
        <f t="shared" si="13"/>
        <v>247961</v>
      </c>
      <c r="N20" s="2">
        <f t="shared" si="14"/>
        <v>354230</v>
      </c>
      <c r="O20" s="2">
        <f t="shared" si="15"/>
        <v>318000</v>
      </c>
      <c r="P20" s="2">
        <f t="shared" si="16"/>
        <v>36230</v>
      </c>
      <c r="Q20" s="2">
        <f t="shared" si="17"/>
        <v>10000</v>
      </c>
    </row>
    <row r="21" spans="1:17" x14ac:dyDescent="0.35">
      <c r="A21" s="23">
        <v>44853</v>
      </c>
      <c r="B21" s="22">
        <f t="shared" si="0"/>
        <v>92479.5</v>
      </c>
      <c r="C21" s="22">
        <f t="shared" si="1"/>
        <v>215785.5</v>
      </c>
      <c r="D21" s="22">
        <f t="shared" si="2"/>
        <v>308265</v>
      </c>
      <c r="E21" s="22">
        <v>238000</v>
      </c>
      <c r="F21" s="22">
        <v>70265</v>
      </c>
      <c r="G21" s="22">
        <v>2000</v>
      </c>
      <c r="H21" s="21">
        <f t="shared" si="3"/>
        <v>0.42857142857142855</v>
      </c>
      <c r="I21" s="20">
        <f>SUM($D$5:D21)-SUM($G$5:G21)</f>
        <v>4466731</v>
      </c>
      <c r="K21" s="3" t="s">
        <v>4</v>
      </c>
      <c r="L21" s="3">
        <f t="shared" ref="L21:Q21" si="18">SUM(L14:L20)</f>
        <v>824862.12</v>
      </c>
      <c r="M21" s="3">
        <f t="shared" si="18"/>
        <v>1240303.8800000001</v>
      </c>
      <c r="N21" s="3">
        <f t="shared" si="18"/>
        <v>2065166</v>
      </c>
      <c r="O21" s="3">
        <f t="shared" si="18"/>
        <v>1712960</v>
      </c>
      <c r="P21" s="3">
        <f t="shared" si="18"/>
        <v>352206</v>
      </c>
      <c r="Q21" s="3">
        <f t="shared" si="18"/>
        <v>107300</v>
      </c>
    </row>
    <row r="22" spans="1:17" x14ac:dyDescent="0.35">
      <c r="A22" s="23">
        <v>44854</v>
      </c>
      <c r="B22" s="22">
        <f t="shared" si="0"/>
        <v>80700</v>
      </c>
      <c r="C22" s="22">
        <f t="shared" si="1"/>
        <v>188300</v>
      </c>
      <c r="D22" s="22">
        <f t="shared" si="2"/>
        <v>269000</v>
      </c>
      <c r="E22" s="22">
        <v>184000</v>
      </c>
      <c r="F22" s="22">
        <v>85000</v>
      </c>
      <c r="G22" s="22">
        <v>15000</v>
      </c>
      <c r="H22" s="21">
        <f t="shared" si="3"/>
        <v>0.42857142857142855</v>
      </c>
      <c r="I22" s="20">
        <f>SUM($D$5:D22)-SUM($G$5:G22)</f>
        <v>4720731</v>
      </c>
      <c r="K22" s="3" t="s">
        <v>0</v>
      </c>
      <c r="L22" s="3">
        <f>L21/3</f>
        <v>274954.03999999998</v>
      </c>
      <c r="M22" s="3"/>
      <c r="N22" s="3"/>
      <c r="O22" s="2"/>
      <c r="P22" s="2"/>
      <c r="Q22" s="2"/>
    </row>
    <row r="23" spans="1:17" x14ac:dyDescent="0.35">
      <c r="A23" s="23">
        <v>44855</v>
      </c>
      <c r="B23" s="22">
        <f t="shared" si="0"/>
        <v>45000</v>
      </c>
      <c r="C23" s="22">
        <f t="shared" si="1"/>
        <v>105000</v>
      </c>
      <c r="D23" s="22">
        <f t="shared" si="2"/>
        <v>150000</v>
      </c>
      <c r="E23" s="22">
        <v>100000</v>
      </c>
      <c r="F23" s="22">
        <v>50000</v>
      </c>
      <c r="G23" s="22">
        <v>4000</v>
      </c>
      <c r="H23" s="21">
        <f t="shared" si="3"/>
        <v>0.42857142857142855</v>
      </c>
      <c r="I23" s="20">
        <f>SUM($D$5:D23)-SUM($G$5:G23)</f>
        <v>4866731</v>
      </c>
    </row>
    <row r="24" spans="1:17" x14ac:dyDescent="0.35">
      <c r="A24" s="23">
        <v>44856</v>
      </c>
      <c r="B24" s="22">
        <f t="shared" si="0"/>
        <v>49156.5</v>
      </c>
      <c r="C24" s="22">
        <f t="shared" si="1"/>
        <v>114698.5</v>
      </c>
      <c r="D24" s="22">
        <f t="shared" si="2"/>
        <v>163855</v>
      </c>
      <c r="E24" s="22">
        <v>129000</v>
      </c>
      <c r="F24" s="22">
        <v>34855</v>
      </c>
      <c r="G24" s="22">
        <v>3000</v>
      </c>
      <c r="H24" s="21">
        <f t="shared" si="3"/>
        <v>0.42857142857142855</v>
      </c>
      <c r="I24" s="20">
        <f>SUM($D$5:D24)-SUM($G$5:G24)</f>
        <v>5027586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44857</v>
      </c>
      <c r="B25" s="22">
        <f t="shared" si="0"/>
        <v>19455</v>
      </c>
      <c r="C25" s="22">
        <f t="shared" si="1"/>
        <v>45395</v>
      </c>
      <c r="D25" s="22">
        <f t="shared" si="2"/>
        <v>64850</v>
      </c>
      <c r="E25" s="22">
        <v>51500</v>
      </c>
      <c r="F25" s="22">
        <v>13350</v>
      </c>
      <c r="G25" s="22">
        <v>12000</v>
      </c>
      <c r="H25" s="21">
        <f t="shared" si="3"/>
        <v>0.42857142857142855</v>
      </c>
      <c r="I25" s="20">
        <f>SUM($D$5:D25)-SUM($G$5:G25)</f>
        <v>5080436</v>
      </c>
      <c r="K25" s="8">
        <f t="shared" ref="K25:K31" si="19">A19</f>
        <v>44851</v>
      </c>
      <c r="L25" s="2">
        <f t="shared" ref="L25:L31" si="20">N25*0.3</f>
        <v>110419.2</v>
      </c>
      <c r="M25" s="2">
        <f t="shared" ref="M25:M31" si="21">N25-L25</f>
        <v>257644.79999999999</v>
      </c>
      <c r="N25" s="2">
        <f t="shared" ref="N25:N31" si="22">O25+P25</f>
        <v>368064</v>
      </c>
      <c r="O25" s="2">
        <f t="shared" ref="O25:O31" si="23">VLOOKUP(K25,$A$1:$H$34,5,0)</f>
        <v>303000</v>
      </c>
      <c r="P25" s="2">
        <f t="shared" ref="P25:P31" si="24">VLOOKUP(K25,$A$1:$H$34,6,0)</f>
        <v>65064</v>
      </c>
      <c r="Q25" s="2">
        <f t="shared" ref="Q25:Q31" si="25">VLOOKUP(K25,$A$1:$H$34,7,0)</f>
        <v>2000</v>
      </c>
    </row>
    <row r="26" spans="1:17" x14ac:dyDescent="0.35">
      <c r="A26" s="23">
        <v>44858</v>
      </c>
      <c r="B26" s="22">
        <f t="shared" si="0"/>
        <v>26034</v>
      </c>
      <c r="C26" s="22">
        <f t="shared" si="1"/>
        <v>60746</v>
      </c>
      <c r="D26" s="22">
        <f t="shared" si="2"/>
        <v>86780</v>
      </c>
      <c r="E26" s="22">
        <v>81000</v>
      </c>
      <c r="F26" s="22">
        <v>5780</v>
      </c>
      <c r="G26" s="22">
        <v>10000</v>
      </c>
      <c r="H26" s="21">
        <f t="shared" si="3"/>
        <v>0.42857142857142855</v>
      </c>
      <c r="I26" s="20">
        <f>SUM($D$5:D26)-SUM($G$5:G26)</f>
        <v>5157216</v>
      </c>
      <c r="K26" s="9">
        <f t="shared" si="19"/>
        <v>44852</v>
      </c>
      <c r="L26" s="4">
        <f t="shared" si="20"/>
        <v>95052.9</v>
      </c>
      <c r="M26" s="4">
        <f t="shared" si="21"/>
        <v>221790.1</v>
      </c>
      <c r="N26" s="4">
        <f t="shared" si="22"/>
        <v>316843</v>
      </c>
      <c r="O26" s="4">
        <f t="shared" si="23"/>
        <v>236500</v>
      </c>
      <c r="P26" s="4">
        <f t="shared" si="24"/>
        <v>80343</v>
      </c>
      <c r="Q26" s="4">
        <f t="shared" si="25"/>
        <v>15500</v>
      </c>
    </row>
    <row r="27" spans="1:17" x14ac:dyDescent="0.35">
      <c r="A27" s="23">
        <v>44859</v>
      </c>
      <c r="B27" s="22">
        <f t="shared" si="0"/>
        <v>1897.5</v>
      </c>
      <c r="C27" s="22">
        <f t="shared" si="1"/>
        <v>4427.5</v>
      </c>
      <c r="D27" s="22">
        <f t="shared" si="2"/>
        <v>6325</v>
      </c>
      <c r="E27" s="22">
        <v>100</v>
      </c>
      <c r="F27" s="22">
        <v>6225</v>
      </c>
      <c r="G27" s="22">
        <v>10000</v>
      </c>
      <c r="H27" s="21">
        <f t="shared" si="3"/>
        <v>0.42857142857142855</v>
      </c>
      <c r="I27" s="20">
        <f>SUM($D$5:D27)-SUM($G$5:G27)</f>
        <v>5153541</v>
      </c>
      <c r="K27" s="8">
        <f t="shared" si="19"/>
        <v>44853</v>
      </c>
      <c r="L27" s="2">
        <f t="shared" si="20"/>
        <v>92479.5</v>
      </c>
      <c r="M27" s="2">
        <f t="shared" si="21"/>
        <v>215785.5</v>
      </c>
      <c r="N27" s="2">
        <f t="shared" si="22"/>
        <v>308265</v>
      </c>
      <c r="O27" s="2">
        <f t="shared" si="23"/>
        <v>238000</v>
      </c>
      <c r="P27" s="2">
        <f t="shared" si="24"/>
        <v>70265</v>
      </c>
      <c r="Q27" s="2">
        <f t="shared" si="25"/>
        <v>2000</v>
      </c>
    </row>
    <row r="28" spans="1:17" x14ac:dyDescent="0.35">
      <c r="A28" s="23">
        <v>44860</v>
      </c>
      <c r="B28" s="22">
        <f t="shared" si="0"/>
        <v>204</v>
      </c>
      <c r="C28" s="22">
        <f t="shared" si="1"/>
        <v>476</v>
      </c>
      <c r="D28" s="22">
        <f t="shared" si="2"/>
        <v>680</v>
      </c>
      <c r="E28" s="22">
        <v>680</v>
      </c>
      <c r="F28" s="22"/>
      <c r="G28" s="22">
        <v>500</v>
      </c>
      <c r="H28" s="21">
        <f t="shared" si="3"/>
        <v>0.42857142857142855</v>
      </c>
      <c r="I28" s="20">
        <f>SUM($D$5:D28)-SUM($G$5:G28)</f>
        <v>5153721</v>
      </c>
      <c r="K28" s="9">
        <f t="shared" si="19"/>
        <v>44854</v>
      </c>
      <c r="L28" s="4">
        <f t="shared" si="20"/>
        <v>80700</v>
      </c>
      <c r="M28" s="4">
        <f t="shared" si="21"/>
        <v>188300</v>
      </c>
      <c r="N28" s="4">
        <f t="shared" si="22"/>
        <v>269000</v>
      </c>
      <c r="O28" s="4">
        <f t="shared" si="23"/>
        <v>184000</v>
      </c>
      <c r="P28" s="4">
        <f t="shared" si="24"/>
        <v>85000</v>
      </c>
      <c r="Q28" s="4">
        <f t="shared" si="25"/>
        <v>15000</v>
      </c>
    </row>
    <row r="29" spans="1:17" x14ac:dyDescent="0.35">
      <c r="A29" s="23">
        <v>44861</v>
      </c>
      <c r="B29" s="22">
        <f t="shared" si="0"/>
        <v>1905</v>
      </c>
      <c r="C29" s="22">
        <f t="shared" si="1"/>
        <v>4445</v>
      </c>
      <c r="D29" s="22">
        <f t="shared" si="2"/>
        <v>6350</v>
      </c>
      <c r="E29" s="22">
        <v>4700</v>
      </c>
      <c r="F29" s="22">
        <v>1650</v>
      </c>
      <c r="G29" s="22">
        <v>700</v>
      </c>
      <c r="H29" s="21">
        <f t="shared" si="3"/>
        <v>0.42857142857142855</v>
      </c>
      <c r="I29" s="20">
        <f>SUM($D$5:D29)-SUM($G$5:G29)</f>
        <v>5159371</v>
      </c>
      <c r="K29" s="8">
        <f t="shared" si="19"/>
        <v>44855</v>
      </c>
      <c r="L29" s="2">
        <f t="shared" si="20"/>
        <v>45000</v>
      </c>
      <c r="M29" s="2">
        <f t="shared" si="21"/>
        <v>105000</v>
      </c>
      <c r="N29" s="2">
        <f t="shared" si="22"/>
        <v>150000</v>
      </c>
      <c r="O29" s="2">
        <f t="shared" si="23"/>
        <v>100000</v>
      </c>
      <c r="P29" s="2">
        <f t="shared" si="24"/>
        <v>50000</v>
      </c>
      <c r="Q29" s="2">
        <f t="shared" si="25"/>
        <v>4000</v>
      </c>
    </row>
    <row r="30" spans="1:17" x14ac:dyDescent="0.35">
      <c r="A30" s="23">
        <v>44862</v>
      </c>
      <c r="B30" s="22">
        <f t="shared" si="0"/>
        <v>11179.5</v>
      </c>
      <c r="C30" s="22">
        <f t="shared" si="1"/>
        <v>26085.5</v>
      </c>
      <c r="D30" s="22">
        <f t="shared" si="2"/>
        <v>37265</v>
      </c>
      <c r="E30" s="22">
        <v>17915</v>
      </c>
      <c r="F30" s="22">
        <v>19350</v>
      </c>
      <c r="G30" s="22">
        <v>7800</v>
      </c>
      <c r="H30" s="21">
        <f t="shared" si="3"/>
        <v>0.42857142857142855</v>
      </c>
      <c r="I30" s="20">
        <f>SUM($D$5:D30)-SUM($G$5:G30)</f>
        <v>5188836</v>
      </c>
      <c r="K30" s="9">
        <f t="shared" si="19"/>
        <v>44856</v>
      </c>
      <c r="L30" s="4">
        <f t="shared" si="20"/>
        <v>49156.5</v>
      </c>
      <c r="M30" s="4">
        <f t="shared" si="21"/>
        <v>114698.5</v>
      </c>
      <c r="N30" s="4">
        <f t="shared" si="22"/>
        <v>163855</v>
      </c>
      <c r="O30" s="4">
        <f t="shared" si="23"/>
        <v>129000</v>
      </c>
      <c r="P30" s="4">
        <f t="shared" si="24"/>
        <v>34855</v>
      </c>
      <c r="Q30" s="4">
        <f t="shared" si="25"/>
        <v>3000</v>
      </c>
    </row>
    <row r="31" spans="1:17" x14ac:dyDescent="0.35">
      <c r="A31" s="23">
        <v>44863</v>
      </c>
      <c r="B31" s="22">
        <f t="shared" si="0"/>
        <v>5805</v>
      </c>
      <c r="C31" s="22">
        <f t="shared" si="1"/>
        <v>13545</v>
      </c>
      <c r="D31" s="22">
        <f t="shared" si="2"/>
        <v>19350</v>
      </c>
      <c r="E31" s="22">
        <v>11955</v>
      </c>
      <c r="F31" s="22">
        <v>7395</v>
      </c>
      <c r="G31" s="22">
        <v>16000</v>
      </c>
      <c r="H31" s="21">
        <f t="shared" si="3"/>
        <v>0.42857142857142855</v>
      </c>
      <c r="I31" s="20">
        <f>SUM($D$5:D31)-SUM($G$5:G31)</f>
        <v>5192186</v>
      </c>
      <c r="K31" s="8">
        <f t="shared" si="19"/>
        <v>44857</v>
      </c>
      <c r="L31" s="2">
        <f t="shared" si="20"/>
        <v>19455</v>
      </c>
      <c r="M31" s="2">
        <f t="shared" si="21"/>
        <v>45395</v>
      </c>
      <c r="N31" s="2">
        <f t="shared" si="22"/>
        <v>64850</v>
      </c>
      <c r="O31" s="2">
        <f t="shared" si="23"/>
        <v>51500</v>
      </c>
      <c r="P31" s="2">
        <f t="shared" si="24"/>
        <v>13350</v>
      </c>
      <c r="Q31" s="2">
        <f t="shared" si="25"/>
        <v>12000</v>
      </c>
    </row>
    <row r="32" spans="1:17" x14ac:dyDescent="0.35">
      <c r="A32" s="23">
        <v>44864</v>
      </c>
      <c r="B32" s="22">
        <f t="shared" si="0"/>
        <v>3996</v>
      </c>
      <c r="C32" s="22">
        <f t="shared" si="1"/>
        <v>9324</v>
      </c>
      <c r="D32" s="22">
        <f t="shared" si="2"/>
        <v>13320</v>
      </c>
      <c r="E32" s="22">
        <v>10070</v>
      </c>
      <c r="F32" s="22">
        <v>3250</v>
      </c>
      <c r="G32" s="22">
        <v>100</v>
      </c>
      <c r="H32" s="21">
        <f t="shared" si="3"/>
        <v>0.42857142857142855</v>
      </c>
      <c r="I32" s="20">
        <f>SUM($D$5:D32)-SUM($G$5:G32)</f>
        <v>5205406</v>
      </c>
      <c r="K32" s="3" t="s">
        <v>4</v>
      </c>
      <c r="L32" s="2">
        <f t="shared" ref="L32:Q32" si="26">SUM(L25:L31)</f>
        <v>492263.1</v>
      </c>
      <c r="M32" s="2">
        <f t="shared" si="26"/>
        <v>1148613.8999999999</v>
      </c>
      <c r="N32" s="2">
        <f t="shared" si="26"/>
        <v>1640877</v>
      </c>
      <c r="O32" s="2">
        <f t="shared" si="26"/>
        <v>1242000</v>
      </c>
      <c r="P32" s="2">
        <f t="shared" si="26"/>
        <v>398877</v>
      </c>
      <c r="Q32" s="2">
        <f t="shared" si="26"/>
        <v>53500</v>
      </c>
    </row>
    <row r="33" spans="1:17" x14ac:dyDescent="0.35">
      <c r="A33" s="23">
        <v>44865</v>
      </c>
      <c r="B33" s="22">
        <f t="shared" si="0"/>
        <v>3904.5</v>
      </c>
      <c r="C33" s="22">
        <f t="shared" si="1"/>
        <v>9110.5</v>
      </c>
      <c r="D33" s="22">
        <f t="shared" si="2"/>
        <v>13015</v>
      </c>
      <c r="E33" s="22">
        <v>6160</v>
      </c>
      <c r="F33" s="22">
        <v>6855</v>
      </c>
      <c r="G33" s="22">
        <v>4000</v>
      </c>
      <c r="H33" s="21">
        <f t="shared" si="3"/>
        <v>0.42857142857142855</v>
      </c>
      <c r="I33" s="20">
        <f>SUM($D$5:D33)-SUM($G$5:G33)</f>
        <v>5214421</v>
      </c>
      <c r="K33" s="3" t="s">
        <v>0</v>
      </c>
      <c r="L33" s="4">
        <f>L32/3</f>
        <v>164087.69999999998</v>
      </c>
      <c r="M33" s="4"/>
      <c r="N33" s="4"/>
      <c r="O33" s="4"/>
      <c r="P33" s="4"/>
      <c r="Q33" s="4"/>
    </row>
    <row r="34" spans="1:17" ht="15" thickBot="1" x14ac:dyDescent="0.4">
      <c r="A34" s="19" t="s">
        <v>4</v>
      </c>
      <c r="B34" s="18">
        <f>SUBTOTAL(109,Table23453456879111215141617181920212223242526[Profit])</f>
        <v>1765166.0999999999</v>
      </c>
      <c r="C34" s="18">
        <f>SUBTOTAL(109,Table23453456879111215141617181920212223242526[Actual])</f>
        <v>4118720.9000000004</v>
      </c>
      <c r="D34" s="18">
        <f>SUBTOTAL(109,Table23453456879111215141617181920212223242526[Total])</f>
        <v>5883887</v>
      </c>
      <c r="E34" s="18">
        <f>SUM(E5:E33)</f>
        <v>4221740</v>
      </c>
      <c r="F34" s="18">
        <f>SUM(F5:F33)</f>
        <v>1329381</v>
      </c>
      <c r="G34" s="18">
        <f>SUM(G5:G33)</f>
        <v>336700</v>
      </c>
      <c r="H34" s="15">
        <f>SUM(G2:G33)</f>
        <v>382700</v>
      </c>
      <c r="I34" s="14">
        <f>B34/C34</f>
        <v>0.42857142857142849</v>
      </c>
    </row>
    <row r="35" spans="1:17" x14ac:dyDescent="0.35">
      <c r="A35" s="12"/>
      <c r="B35" s="11">
        <f>B34/3</f>
        <v>588388.69999999995</v>
      </c>
      <c r="C35" s="11"/>
      <c r="E35" s="13">
        <f>D34*0.42</f>
        <v>2471232.54</v>
      </c>
      <c r="F35" s="11"/>
      <c r="G35" s="11"/>
      <c r="H35" s="10"/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12"/>
      <c r="B36" s="11">
        <f>B35*100/D34</f>
        <v>9.9999999999999982</v>
      </c>
      <c r="C36" s="11"/>
      <c r="E36" s="11">
        <f>E35/3</f>
        <v>823744.18</v>
      </c>
      <c r="F36" s="11"/>
      <c r="G36" s="11"/>
      <c r="H36" s="10"/>
      <c r="K36" s="8">
        <f t="shared" ref="K36:K42" si="27">A26</f>
        <v>44858</v>
      </c>
      <c r="L36" s="2">
        <f t="shared" ref="L36:L42" si="28">N36*0.3</f>
        <v>26034</v>
      </c>
      <c r="M36" s="2">
        <f t="shared" ref="M36:M42" si="29">N36-L36</f>
        <v>60746</v>
      </c>
      <c r="N36" s="2">
        <f t="shared" ref="N36:N42" si="30">O36+P36</f>
        <v>86780</v>
      </c>
      <c r="O36" s="2">
        <f t="shared" ref="O36:O42" si="31">VLOOKUP(K36,$A$1:$H$34,5,0)</f>
        <v>81000</v>
      </c>
      <c r="P36" s="2">
        <f t="shared" ref="P36:P42" si="32">VLOOKUP(K36,$A$1:$H$34,6,0)</f>
        <v>5780</v>
      </c>
      <c r="Q36" s="2">
        <f t="shared" ref="Q36:Q42" si="33">VLOOKUP(K36,$A$1:$H$34,7,0)</f>
        <v>10000</v>
      </c>
    </row>
    <row r="37" spans="1:17" x14ac:dyDescent="0.35">
      <c r="K37" s="9">
        <f t="shared" si="27"/>
        <v>44859</v>
      </c>
      <c r="L37" s="4">
        <f t="shared" si="28"/>
        <v>1897.5</v>
      </c>
      <c r="M37" s="4">
        <f t="shared" si="29"/>
        <v>4427.5</v>
      </c>
      <c r="N37" s="4">
        <f t="shared" si="30"/>
        <v>6325</v>
      </c>
      <c r="O37" s="4">
        <f t="shared" si="31"/>
        <v>100</v>
      </c>
      <c r="P37" s="4">
        <f t="shared" si="32"/>
        <v>6225</v>
      </c>
      <c r="Q37" s="4">
        <f t="shared" si="33"/>
        <v>10000</v>
      </c>
    </row>
    <row r="38" spans="1:17" x14ac:dyDescent="0.35">
      <c r="K38" s="8">
        <f t="shared" si="27"/>
        <v>44860</v>
      </c>
      <c r="L38" s="2">
        <f t="shared" si="28"/>
        <v>204</v>
      </c>
      <c r="M38" s="2">
        <f t="shared" si="29"/>
        <v>476</v>
      </c>
      <c r="N38" s="2">
        <f t="shared" si="30"/>
        <v>680</v>
      </c>
      <c r="O38" s="2">
        <f t="shared" si="31"/>
        <v>680</v>
      </c>
      <c r="P38" s="2">
        <f t="shared" si="32"/>
        <v>0</v>
      </c>
      <c r="Q38" s="2">
        <f t="shared" si="33"/>
        <v>500</v>
      </c>
    </row>
    <row r="39" spans="1:17" x14ac:dyDescent="0.35">
      <c r="K39" s="9">
        <f t="shared" si="27"/>
        <v>44861</v>
      </c>
      <c r="L39" s="4">
        <f t="shared" si="28"/>
        <v>1905</v>
      </c>
      <c r="M39" s="4">
        <f t="shared" si="29"/>
        <v>4445</v>
      </c>
      <c r="N39" s="4">
        <f t="shared" si="30"/>
        <v>6350</v>
      </c>
      <c r="O39" s="4">
        <f t="shared" si="31"/>
        <v>4700</v>
      </c>
      <c r="P39" s="4">
        <f t="shared" si="32"/>
        <v>1650</v>
      </c>
      <c r="Q39" s="4">
        <f t="shared" si="33"/>
        <v>700</v>
      </c>
    </row>
    <row r="40" spans="1:17" x14ac:dyDescent="0.35">
      <c r="K40" s="8">
        <f t="shared" si="27"/>
        <v>44862</v>
      </c>
      <c r="L40" s="2">
        <f t="shared" si="28"/>
        <v>11179.5</v>
      </c>
      <c r="M40" s="2">
        <f t="shared" si="29"/>
        <v>26085.5</v>
      </c>
      <c r="N40" s="2">
        <f t="shared" si="30"/>
        <v>37265</v>
      </c>
      <c r="O40" s="2">
        <f t="shared" si="31"/>
        <v>17915</v>
      </c>
      <c r="P40" s="2">
        <f t="shared" si="32"/>
        <v>19350</v>
      </c>
      <c r="Q40" s="2">
        <f t="shared" si="33"/>
        <v>7800</v>
      </c>
    </row>
    <row r="41" spans="1:17" x14ac:dyDescent="0.35">
      <c r="K41" s="9">
        <f t="shared" si="27"/>
        <v>44863</v>
      </c>
      <c r="L41" s="4">
        <f t="shared" si="28"/>
        <v>5805</v>
      </c>
      <c r="M41" s="4">
        <f t="shared" si="29"/>
        <v>13545</v>
      </c>
      <c r="N41" s="4">
        <f t="shared" si="30"/>
        <v>19350</v>
      </c>
      <c r="O41" s="4">
        <f t="shared" si="31"/>
        <v>11955</v>
      </c>
      <c r="P41" s="4">
        <f t="shared" si="32"/>
        <v>7395</v>
      </c>
      <c r="Q41" s="4">
        <f t="shared" si="33"/>
        <v>16000</v>
      </c>
    </row>
    <row r="42" spans="1:17" x14ac:dyDescent="0.35">
      <c r="K42" s="8">
        <f t="shared" si="27"/>
        <v>44864</v>
      </c>
      <c r="L42" s="2">
        <f t="shared" si="28"/>
        <v>3996</v>
      </c>
      <c r="M42" s="2">
        <f t="shared" si="29"/>
        <v>9324</v>
      </c>
      <c r="N42" s="2">
        <f t="shared" si="30"/>
        <v>13320</v>
      </c>
      <c r="O42" s="2">
        <f t="shared" si="31"/>
        <v>10070</v>
      </c>
      <c r="P42" s="2">
        <f t="shared" si="32"/>
        <v>3250</v>
      </c>
      <c r="Q42" s="2">
        <f t="shared" si="33"/>
        <v>100</v>
      </c>
    </row>
    <row r="43" spans="1:17" x14ac:dyDescent="0.35">
      <c r="K43" s="3" t="s">
        <v>4</v>
      </c>
      <c r="L43" s="4">
        <f t="shared" ref="L43:Q43" si="34">SUM(L36:L42)</f>
        <v>51021</v>
      </c>
      <c r="M43" s="4">
        <f t="shared" si="34"/>
        <v>119049</v>
      </c>
      <c r="N43" s="4">
        <f t="shared" si="34"/>
        <v>170070</v>
      </c>
      <c r="O43" s="4">
        <f t="shared" si="34"/>
        <v>126420</v>
      </c>
      <c r="P43" s="4">
        <f t="shared" si="34"/>
        <v>43650</v>
      </c>
      <c r="Q43" s="4">
        <f t="shared" si="34"/>
        <v>45100</v>
      </c>
    </row>
    <row r="44" spans="1:17" x14ac:dyDescent="0.35">
      <c r="K44" s="3" t="s">
        <v>0</v>
      </c>
      <c r="L44" s="2">
        <f>L43/3</f>
        <v>17007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>
        <f>A33</f>
        <v>44865</v>
      </c>
      <c r="L47" s="2">
        <f t="shared" ref="L47:L53" si="35">N47*0.42</f>
        <v>5466.3</v>
      </c>
      <c r="M47" s="2">
        <f t="shared" ref="M47:M53" si="36">N47-L47</f>
        <v>7548.7</v>
      </c>
      <c r="N47" s="2">
        <f t="shared" ref="N47:N53" si="37">O47+P47</f>
        <v>13015</v>
      </c>
      <c r="O47" s="2">
        <f t="shared" ref="O47:O53" si="38">VLOOKUP(K47,$A$1:$H$34,5,0)</f>
        <v>6160</v>
      </c>
      <c r="P47" s="2">
        <f t="shared" ref="P47:P53" si="39">VLOOKUP(K47,$A$1:$H$34,6,0)</f>
        <v>6855</v>
      </c>
      <c r="Q47" s="2">
        <f t="shared" ref="Q47:Q53" si="40">VLOOKUP(K47,$A$1:$H$34,7,0)</f>
        <v>4000</v>
      </c>
    </row>
    <row r="48" spans="1:17" x14ac:dyDescent="0.35">
      <c r="K48" s="9" t="e">
        <f>#REF!</f>
        <v>#REF!</v>
      </c>
      <c r="L48" s="4" t="e">
        <f t="shared" si="35"/>
        <v>#REF!</v>
      </c>
      <c r="M48" s="4" t="e">
        <f t="shared" si="36"/>
        <v>#REF!</v>
      </c>
      <c r="N48" s="4" t="e">
        <f t="shared" si="37"/>
        <v>#REF!</v>
      </c>
      <c r="O48" s="4" t="e">
        <f t="shared" si="38"/>
        <v>#REF!</v>
      </c>
      <c r="P48" s="4" t="e">
        <f t="shared" si="39"/>
        <v>#REF!</v>
      </c>
      <c r="Q48" s="4" t="e">
        <f t="shared" si="40"/>
        <v>#REF!</v>
      </c>
    </row>
    <row r="49" spans="11:17" x14ac:dyDescent="0.35">
      <c r="K49" s="8" t="e">
        <f>#REF!</f>
        <v>#REF!</v>
      </c>
      <c r="L49" s="2" t="e">
        <f t="shared" si="35"/>
        <v>#REF!</v>
      </c>
      <c r="M49" s="2" t="e">
        <f t="shared" si="36"/>
        <v>#REF!</v>
      </c>
      <c r="N49" s="2" t="e">
        <f t="shared" si="37"/>
        <v>#REF!</v>
      </c>
      <c r="O49" s="2" t="e">
        <f t="shared" si="38"/>
        <v>#REF!</v>
      </c>
      <c r="P49" s="2" t="e">
        <f t="shared" si="39"/>
        <v>#REF!</v>
      </c>
      <c r="Q49" s="2" t="e">
        <f t="shared" si="40"/>
        <v>#REF!</v>
      </c>
    </row>
    <row r="50" spans="11:17" x14ac:dyDescent="0.35">
      <c r="K50" s="9" t="e">
        <f>#REF!</f>
        <v>#REF!</v>
      </c>
      <c r="L50" s="4" t="e">
        <f t="shared" si="35"/>
        <v>#REF!</v>
      </c>
      <c r="M50" s="4" t="e">
        <f t="shared" si="36"/>
        <v>#REF!</v>
      </c>
      <c r="N50" s="4" t="e">
        <f t="shared" si="37"/>
        <v>#REF!</v>
      </c>
      <c r="O50" s="4" t="e">
        <f t="shared" si="38"/>
        <v>#REF!</v>
      </c>
      <c r="P50" s="4" t="e">
        <f t="shared" si="39"/>
        <v>#REF!</v>
      </c>
      <c r="Q50" s="4" t="e">
        <f t="shared" si="40"/>
        <v>#REF!</v>
      </c>
    </row>
    <row r="51" spans="11:17" x14ac:dyDescent="0.35">
      <c r="K51" s="8" t="e">
        <f>#REF!</f>
        <v>#REF!</v>
      </c>
      <c r="L51" s="2" t="e">
        <f t="shared" si="35"/>
        <v>#REF!</v>
      </c>
      <c r="M51" s="2" t="e">
        <f t="shared" si="36"/>
        <v>#REF!</v>
      </c>
      <c r="N51" s="2" t="e">
        <f t="shared" si="37"/>
        <v>#REF!</v>
      </c>
      <c r="O51" s="2" t="e">
        <f t="shared" si="38"/>
        <v>#REF!</v>
      </c>
      <c r="P51" s="2" t="e">
        <f t="shared" si="39"/>
        <v>#REF!</v>
      </c>
      <c r="Q51" s="2" t="e">
        <f t="shared" si="40"/>
        <v>#REF!</v>
      </c>
    </row>
    <row r="52" spans="11:17" x14ac:dyDescent="0.35">
      <c r="K52" s="9" t="e">
        <f>#REF!</f>
        <v>#REF!</v>
      </c>
      <c r="L52" s="4" t="e">
        <f t="shared" si="35"/>
        <v>#REF!</v>
      </c>
      <c r="M52" s="4" t="e">
        <f t="shared" si="36"/>
        <v>#REF!</v>
      </c>
      <c r="N52" s="4" t="e">
        <f t="shared" si="37"/>
        <v>#REF!</v>
      </c>
      <c r="O52" s="4" t="e">
        <f t="shared" si="38"/>
        <v>#REF!</v>
      </c>
      <c r="P52" s="4" t="e">
        <f t="shared" si="39"/>
        <v>#REF!</v>
      </c>
      <c r="Q52" s="4" t="e">
        <f t="shared" si="40"/>
        <v>#REF!</v>
      </c>
    </row>
    <row r="53" spans="11:17" x14ac:dyDescent="0.35">
      <c r="K53" s="8" t="e">
        <f>#REF!</f>
        <v>#REF!</v>
      </c>
      <c r="L53" s="2" t="e">
        <f t="shared" si="35"/>
        <v>#REF!</v>
      </c>
      <c r="M53" s="2" t="e">
        <f t="shared" si="36"/>
        <v>#REF!</v>
      </c>
      <c r="N53" s="2" t="e">
        <f t="shared" si="37"/>
        <v>#REF!</v>
      </c>
      <c r="O53" s="2" t="e">
        <f t="shared" si="38"/>
        <v>#REF!</v>
      </c>
      <c r="P53" s="2" t="e">
        <f t="shared" si="39"/>
        <v>#REF!</v>
      </c>
      <c r="Q53" s="2" t="e">
        <f t="shared" si="40"/>
        <v>#REF!</v>
      </c>
    </row>
    <row r="54" spans="11:17" x14ac:dyDescent="0.35">
      <c r="K54" s="3" t="s">
        <v>4</v>
      </c>
      <c r="L54" s="4" t="e">
        <f>SUM(L47:L53)</f>
        <v>#REF!</v>
      </c>
      <c r="M54" s="4" t="e">
        <f>SUM(M47:M53)</f>
        <v>#REF!</v>
      </c>
      <c r="N54" s="4" t="e">
        <f>SUM(N47:N53)</f>
        <v>#REF!</v>
      </c>
      <c r="O54" s="4"/>
      <c r="P54" s="4"/>
      <c r="Q54" s="4"/>
    </row>
    <row r="55" spans="11:17" x14ac:dyDescent="0.35">
      <c r="K55" s="3" t="s">
        <v>0</v>
      </c>
      <c r="L55" s="2" t="e">
        <f>L54/3</f>
        <v>#REF!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A9</f>
        <v>44841</v>
      </c>
      <c r="L59" s="4">
        <f>SUM(B2:B33)</f>
        <v>1765166.0999999999</v>
      </c>
      <c r="M59" s="4">
        <f t="shared" ref="M59:Q59" si="41">SUM(C2:C33)</f>
        <v>4118720.9000000004</v>
      </c>
      <c r="N59" s="4">
        <f t="shared" si="41"/>
        <v>5883887</v>
      </c>
      <c r="O59" s="4">
        <f t="shared" si="41"/>
        <v>4451740</v>
      </c>
      <c r="P59" s="4">
        <f t="shared" si="41"/>
        <v>1432147</v>
      </c>
      <c r="Q59" s="4">
        <f t="shared" si="41"/>
        <v>382700</v>
      </c>
    </row>
    <row r="60" spans="11:17" x14ac:dyDescent="0.35">
      <c r="K60" s="3" t="s">
        <v>0</v>
      </c>
      <c r="L60" s="2">
        <f>L59/3</f>
        <v>588388.69999999995</v>
      </c>
      <c r="M60" s="2"/>
      <c r="N60" s="2"/>
      <c r="O60" s="2"/>
      <c r="P60" s="2"/>
      <c r="Q60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8:Q58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F724-B22A-4E07-ADD5-72D2E22AA8EF}">
  <dimension ref="A1:Q60"/>
  <sheetViews>
    <sheetView zoomScale="90" zoomScaleNormal="90" workbookViewId="0">
      <pane ySplit="1" topLeftCell="A31" activePane="bottomLeft" state="frozen"/>
      <selection pane="bottomLeft" activeCell="B37" sqref="B37:F37"/>
    </sheetView>
  </sheetViews>
  <sheetFormatPr defaultColWidth="26" defaultRowHeight="14.5" x14ac:dyDescent="0.35"/>
  <cols>
    <col min="1" max="1" width="17.453125" bestFit="1" customWidth="1"/>
    <col min="2" max="3" width="9" style="1" bestFit="1" customWidth="1"/>
    <col min="4" max="4" width="10" style="1" bestFit="1" customWidth="1"/>
    <col min="5" max="5" width="11.54296875" style="1" bestFit="1" customWidth="1"/>
    <col min="6" max="6" width="10" style="1" bestFit="1" customWidth="1"/>
    <col min="7" max="7" width="9" style="1" bestFit="1" customWidth="1"/>
    <col min="8" max="8" width="10.1796875" bestFit="1" customWidth="1"/>
    <col min="9" max="9" width="12" bestFit="1" customWidth="1"/>
    <col min="10" max="10" width="6.54296875" customWidth="1"/>
    <col min="11" max="11" width="17.453125" bestFit="1" customWidth="1"/>
    <col min="12" max="12" width="9" bestFit="1" customWidth="1"/>
    <col min="13" max="15" width="10" bestFit="1" customWidth="1"/>
    <col min="16" max="16" width="16.453125" bestFit="1" customWidth="1"/>
    <col min="17" max="17" width="8.81640625" bestFit="1" customWidth="1"/>
  </cols>
  <sheetData>
    <row r="1" spans="1:17" s="30" customFormat="1" ht="29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44865</v>
      </c>
      <c r="B2" s="22">
        <f t="shared" ref="B2:B36" si="0">D2*0.3</f>
        <v>3904.5</v>
      </c>
      <c r="C2" s="22">
        <f t="shared" ref="C2:C36" si="1">D2-B2</f>
        <v>9110.5</v>
      </c>
      <c r="D2" s="22">
        <f t="shared" ref="D2:D36" si="2">E2+F2</f>
        <v>13015</v>
      </c>
      <c r="E2" s="22">
        <v>6160</v>
      </c>
      <c r="F2" s="22">
        <v>6855</v>
      </c>
      <c r="G2" s="22">
        <v>4000</v>
      </c>
      <c r="H2" s="21">
        <f t="shared" ref="H2:H36" si="3">IFERROR(B2/C2,0)</f>
        <v>0.42857142857142855</v>
      </c>
      <c r="I2" s="20">
        <f>SUM($D$2:D2)-SUM($G$2:G2)</f>
        <v>9015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44866</v>
      </c>
      <c r="B3" s="22">
        <f t="shared" si="0"/>
        <v>9711</v>
      </c>
      <c r="C3" s="22">
        <f t="shared" si="1"/>
        <v>22659</v>
      </c>
      <c r="D3" s="22">
        <f t="shared" si="2"/>
        <v>32370</v>
      </c>
      <c r="E3" s="22">
        <v>31160</v>
      </c>
      <c r="F3" s="22">
        <v>1210</v>
      </c>
      <c r="G3" s="22">
        <v>1100</v>
      </c>
      <c r="H3" s="21">
        <f t="shared" si="3"/>
        <v>0.42857142857142855</v>
      </c>
      <c r="I3" s="20">
        <f>SUM($D$2:D3)-SUM($G$2:G3)</f>
        <v>40285</v>
      </c>
      <c r="K3" s="8">
        <f t="shared" ref="K3:K9" si="4">A2</f>
        <v>44865</v>
      </c>
      <c r="L3" s="2">
        <f t="shared" ref="L3:L9" si="5">N3*0.42</f>
        <v>5466.3</v>
      </c>
      <c r="M3" s="2">
        <f t="shared" ref="M3:M9" si="6">N3-L3</f>
        <v>7548.7</v>
      </c>
      <c r="N3" s="2">
        <f t="shared" ref="N3:N9" si="7">O3+P3</f>
        <v>13015</v>
      </c>
      <c r="O3" s="2">
        <f t="shared" ref="O3:O9" si="8">VLOOKUP(K3,$A$1:$H$37,5,0)</f>
        <v>6160</v>
      </c>
      <c r="P3" s="2">
        <f t="shared" ref="P3:P9" si="9">VLOOKUP(K3,$A$1:$H$37,6,0)</f>
        <v>6855</v>
      </c>
      <c r="Q3" s="2">
        <f t="shared" ref="Q3:Q9" si="10">VLOOKUP(K3,$A$1:$H$37,7,0)</f>
        <v>4000</v>
      </c>
    </row>
    <row r="4" spans="1:17" x14ac:dyDescent="0.35">
      <c r="A4" s="23">
        <v>44867</v>
      </c>
      <c r="B4" s="22">
        <f t="shared" si="0"/>
        <v>1614</v>
      </c>
      <c r="C4" s="22">
        <f t="shared" si="1"/>
        <v>3766</v>
      </c>
      <c r="D4" s="22">
        <f t="shared" si="2"/>
        <v>5380</v>
      </c>
      <c r="E4" s="24">
        <v>2880</v>
      </c>
      <c r="F4" s="24">
        <v>2500</v>
      </c>
      <c r="G4" s="24">
        <v>10450</v>
      </c>
      <c r="H4" s="21">
        <f t="shared" si="3"/>
        <v>0.42857142857142855</v>
      </c>
      <c r="I4" s="20">
        <f>SUM($D$2:D4)-SUM($G$2:G4)</f>
        <v>35215</v>
      </c>
      <c r="K4" s="9">
        <f t="shared" si="4"/>
        <v>44866</v>
      </c>
      <c r="L4" s="4">
        <f t="shared" si="5"/>
        <v>13595.4</v>
      </c>
      <c r="M4" s="4">
        <f t="shared" si="6"/>
        <v>18774.599999999999</v>
      </c>
      <c r="N4" s="4">
        <f t="shared" si="7"/>
        <v>32370</v>
      </c>
      <c r="O4" s="4">
        <f t="shared" si="8"/>
        <v>31160</v>
      </c>
      <c r="P4" s="4">
        <f t="shared" si="9"/>
        <v>1210</v>
      </c>
      <c r="Q4" s="4">
        <f t="shared" si="10"/>
        <v>1100</v>
      </c>
    </row>
    <row r="5" spans="1:17" x14ac:dyDescent="0.35">
      <c r="A5" s="23">
        <v>44868</v>
      </c>
      <c r="B5" s="22">
        <f t="shared" si="0"/>
        <v>6245.7</v>
      </c>
      <c r="C5" s="22">
        <f t="shared" si="1"/>
        <v>14573.3</v>
      </c>
      <c r="D5" s="22">
        <f t="shared" si="2"/>
        <v>20819</v>
      </c>
      <c r="E5" s="22">
        <v>8359</v>
      </c>
      <c r="F5" s="22">
        <v>12460</v>
      </c>
      <c r="G5" s="22">
        <v>8000</v>
      </c>
      <c r="H5" s="21">
        <f t="shared" si="3"/>
        <v>0.4285714285714286</v>
      </c>
      <c r="I5" s="20">
        <f>SUM($D$2:D5)-SUM($G$2:G5)</f>
        <v>48034</v>
      </c>
      <c r="K5" s="8">
        <f t="shared" si="4"/>
        <v>44867</v>
      </c>
      <c r="L5" s="2">
        <f t="shared" si="5"/>
        <v>2259.6</v>
      </c>
      <c r="M5" s="2">
        <f t="shared" si="6"/>
        <v>3120.4</v>
      </c>
      <c r="N5" s="2">
        <f t="shared" si="7"/>
        <v>5380</v>
      </c>
      <c r="O5" s="2">
        <f t="shared" si="8"/>
        <v>2880</v>
      </c>
      <c r="P5" s="2">
        <f t="shared" si="9"/>
        <v>2500</v>
      </c>
      <c r="Q5" s="2">
        <f t="shared" si="10"/>
        <v>10450</v>
      </c>
    </row>
    <row r="6" spans="1:17" x14ac:dyDescent="0.35">
      <c r="A6" s="23">
        <v>44869</v>
      </c>
      <c r="B6" s="22">
        <f t="shared" si="0"/>
        <v>13962</v>
      </c>
      <c r="C6" s="22">
        <f t="shared" si="1"/>
        <v>32578</v>
      </c>
      <c r="D6" s="22">
        <f t="shared" si="2"/>
        <v>46540</v>
      </c>
      <c r="E6" s="22">
        <v>19190</v>
      </c>
      <c r="F6" s="22">
        <v>27350</v>
      </c>
      <c r="G6" s="22">
        <v>5680</v>
      </c>
      <c r="H6" s="21">
        <f t="shared" si="3"/>
        <v>0.42857142857142855</v>
      </c>
      <c r="I6" s="20">
        <f>SUM($D$2:D6)-SUM($G$2:G6)</f>
        <v>88894</v>
      </c>
      <c r="K6" s="9">
        <f t="shared" si="4"/>
        <v>44868</v>
      </c>
      <c r="L6" s="4">
        <f t="shared" si="5"/>
        <v>8743.98</v>
      </c>
      <c r="M6" s="4">
        <f t="shared" si="6"/>
        <v>12075.02</v>
      </c>
      <c r="N6" s="4">
        <f t="shared" si="7"/>
        <v>20819</v>
      </c>
      <c r="O6" s="4">
        <f t="shared" si="8"/>
        <v>8359</v>
      </c>
      <c r="P6" s="4">
        <f t="shared" si="9"/>
        <v>12460</v>
      </c>
      <c r="Q6" s="4">
        <f t="shared" si="10"/>
        <v>8000</v>
      </c>
    </row>
    <row r="7" spans="1:17" x14ac:dyDescent="0.35">
      <c r="A7" s="23">
        <v>44870</v>
      </c>
      <c r="B7" s="22">
        <f t="shared" si="0"/>
        <v>8541</v>
      </c>
      <c r="C7" s="22">
        <f t="shared" si="1"/>
        <v>19929</v>
      </c>
      <c r="D7" s="22">
        <f t="shared" si="2"/>
        <v>28470</v>
      </c>
      <c r="E7" s="22">
        <v>24030</v>
      </c>
      <c r="F7" s="22">
        <v>4440</v>
      </c>
      <c r="G7" s="22">
        <v>5000</v>
      </c>
      <c r="H7" s="21">
        <f t="shared" si="3"/>
        <v>0.42857142857142855</v>
      </c>
      <c r="I7" s="20">
        <f>SUM($D$2:D7)-SUM($G$2:G7)</f>
        <v>112364</v>
      </c>
      <c r="K7" s="8">
        <f t="shared" si="4"/>
        <v>44869</v>
      </c>
      <c r="L7" s="2">
        <f t="shared" si="5"/>
        <v>19546.8</v>
      </c>
      <c r="M7" s="2">
        <f t="shared" si="6"/>
        <v>26993.200000000001</v>
      </c>
      <c r="N7" s="2">
        <f t="shared" si="7"/>
        <v>46540</v>
      </c>
      <c r="O7" s="2">
        <f t="shared" si="8"/>
        <v>19190</v>
      </c>
      <c r="P7" s="2">
        <f t="shared" si="9"/>
        <v>27350</v>
      </c>
      <c r="Q7" s="2">
        <f t="shared" si="10"/>
        <v>5680</v>
      </c>
    </row>
    <row r="8" spans="1:17" x14ac:dyDescent="0.35">
      <c r="A8" s="23">
        <v>44871</v>
      </c>
      <c r="B8" s="22">
        <f t="shared" si="0"/>
        <v>6423</v>
      </c>
      <c r="C8" s="22">
        <f t="shared" si="1"/>
        <v>14987</v>
      </c>
      <c r="D8" s="22">
        <f t="shared" si="2"/>
        <v>21410</v>
      </c>
      <c r="E8" s="22">
        <v>17630</v>
      </c>
      <c r="F8" s="22">
        <v>3780</v>
      </c>
      <c r="G8" s="22">
        <v>10300</v>
      </c>
      <c r="H8" s="21">
        <f t="shared" si="3"/>
        <v>0.42857142857142855</v>
      </c>
      <c r="I8" s="20">
        <f>SUM($D$2:D8)-SUM($G$2:G8)</f>
        <v>123474</v>
      </c>
      <c r="K8" s="9">
        <f t="shared" si="4"/>
        <v>44870</v>
      </c>
      <c r="L8" s="4">
        <f t="shared" si="5"/>
        <v>11957.4</v>
      </c>
      <c r="M8" s="4">
        <f t="shared" si="6"/>
        <v>16512.599999999999</v>
      </c>
      <c r="N8" s="4">
        <f t="shared" si="7"/>
        <v>28470</v>
      </c>
      <c r="O8" s="4">
        <f t="shared" si="8"/>
        <v>24030</v>
      </c>
      <c r="P8" s="4">
        <f t="shared" si="9"/>
        <v>4440</v>
      </c>
      <c r="Q8" s="4">
        <f t="shared" si="10"/>
        <v>5000</v>
      </c>
    </row>
    <row r="9" spans="1:17" x14ac:dyDescent="0.35">
      <c r="A9" s="23">
        <v>44872</v>
      </c>
      <c r="B9" s="22">
        <f t="shared" si="0"/>
        <v>4627.5</v>
      </c>
      <c r="C9" s="22">
        <f t="shared" si="1"/>
        <v>10797.5</v>
      </c>
      <c r="D9" s="22">
        <f t="shared" si="2"/>
        <v>15425</v>
      </c>
      <c r="E9" s="22">
        <v>4210</v>
      </c>
      <c r="F9" s="22">
        <v>11215</v>
      </c>
      <c r="G9" s="22">
        <v>1500</v>
      </c>
      <c r="H9" s="21">
        <f t="shared" si="3"/>
        <v>0.42857142857142855</v>
      </c>
      <c r="I9" s="20">
        <f>SUM($D$2:D9)-SUM($G$2:G9)</f>
        <v>137399</v>
      </c>
      <c r="K9" s="8">
        <f t="shared" si="4"/>
        <v>44871</v>
      </c>
      <c r="L9" s="2">
        <f t="shared" si="5"/>
        <v>8992.1999999999989</v>
      </c>
      <c r="M9" s="2">
        <f t="shared" si="6"/>
        <v>12417.800000000001</v>
      </c>
      <c r="N9" s="2">
        <f t="shared" si="7"/>
        <v>21410</v>
      </c>
      <c r="O9" s="2">
        <f t="shared" si="8"/>
        <v>17630</v>
      </c>
      <c r="P9" s="2">
        <f t="shared" si="9"/>
        <v>3780</v>
      </c>
      <c r="Q9" s="2">
        <f t="shared" si="10"/>
        <v>10300</v>
      </c>
    </row>
    <row r="10" spans="1:17" x14ac:dyDescent="0.35">
      <c r="A10" s="23">
        <v>44873</v>
      </c>
      <c r="B10" s="22">
        <f t="shared" si="0"/>
        <v>13881</v>
      </c>
      <c r="C10" s="22">
        <f t="shared" si="1"/>
        <v>32389</v>
      </c>
      <c r="D10" s="22">
        <f t="shared" si="2"/>
        <v>46270</v>
      </c>
      <c r="E10" s="22">
        <v>44250</v>
      </c>
      <c r="F10" s="22">
        <v>2020</v>
      </c>
      <c r="G10" s="22">
        <v>4540</v>
      </c>
      <c r="H10" s="21">
        <f t="shared" si="3"/>
        <v>0.42857142857142855</v>
      </c>
      <c r="I10" s="20">
        <f>SUM($D$2:D10)-SUM($G$2:G10)</f>
        <v>179129</v>
      </c>
      <c r="K10" s="3" t="s">
        <v>4</v>
      </c>
      <c r="L10" s="3">
        <f>SUM(L3:L9)</f>
        <v>70561.680000000008</v>
      </c>
      <c r="M10" s="3">
        <f>SUM(M2:M9)</f>
        <v>97442.319999999992</v>
      </c>
      <c r="N10" s="3">
        <f>SUM(N2:N9)</f>
        <v>168004</v>
      </c>
      <c r="O10" s="3">
        <f>SUM(O2:O9)</f>
        <v>109409</v>
      </c>
      <c r="P10" s="3">
        <f>SUM(P2:P9)</f>
        <v>58595</v>
      </c>
      <c r="Q10" s="3">
        <f>SUM(Q2:Q9)</f>
        <v>44530</v>
      </c>
    </row>
    <row r="11" spans="1:17" x14ac:dyDescent="0.35">
      <c r="A11" s="23">
        <v>44874</v>
      </c>
      <c r="B11" s="22">
        <f t="shared" si="0"/>
        <v>6480</v>
      </c>
      <c r="C11" s="22">
        <f t="shared" si="1"/>
        <v>15120</v>
      </c>
      <c r="D11" s="22">
        <f t="shared" si="2"/>
        <v>21600</v>
      </c>
      <c r="E11" s="22">
        <v>14100</v>
      </c>
      <c r="F11" s="22">
        <v>7500</v>
      </c>
      <c r="G11" s="22">
        <v>11600</v>
      </c>
      <c r="H11" s="21">
        <f t="shared" si="3"/>
        <v>0.42857142857142855</v>
      </c>
      <c r="I11" s="20">
        <f>SUM($D$2:D11)-SUM($G$2:G11)</f>
        <v>189129</v>
      </c>
      <c r="K11" s="3" t="s">
        <v>0</v>
      </c>
      <c r="L11" s="3">
        <f>L10/3</f>
        <v>23520.560000000001</v>
      </c>
      <c r="M11" s="3"/>
      <c r="N11" s="3"/>
      <c r="O11" s="2"/>
      <c r="P11" s="2"/>
      <c r="Q11" s="2"/>
    </row>
    <row r="12" spans="1:17" x14ac:dyDescent="0.35">
      <c r="A12" s="23">
        <v>44875</v>
      </c>
      <c r="B12" s="22">
        <f t="shared" si="0"/>
        <v>11838</v>
      </c>
      <c r="C12" s="22">
        <f t="shared" si="1"/>
        <v>27622</v>
      </c>
      <c r="D12" s="22">
        <f t="shared" si="2"/>
        <v>39460</v>
      </c>
      <c r="E12" s="22">
        <v>20810</v>
      </c>
      <c r="F12" s="22">
        <v>18650</v>
      </c>
      <c r="G12" s="22">
        <v>10700</v>
      </c>
      <c r="H12" s="21">
        <f t="shared" si="3"/>
        <v>0.42857142857142855</v>
      </c>
      <c r="I12" s="20">
        <f>SUM($D$2:D12)-SUM($G$2:G12)</f>
        <v>217889</v>
      </c>
    </row>
    <row r="13" spans="1:17" x14ac:dyDescent="0.35">
      <c r="A13" s="23">
        <v>44876</v>
      </c>
      <c r="B13" s="22">
        <f t="shared" si="0"/>
        <v>8730.9</v>
      </c>
      <c r="C13" s="22">
        <f t="shared" si="1"/>
        <v>20372.099999999999</v>
      </c>
      <c r="D13" s="22">
        <f t="shared" si="2"/>
        <v>29103</v>
      </c>
      <c r="E13" s="22">
        <v>17770</v>
      </c>
      <c r="F13" s="22">
        <v>11333</v>
      </c>
      <c r="G13" s="22">
        <v>1450</v>
      </c>
      <c r="H13" s="21">
        <f t="shared" si="3"/>
        <v>0.4285714285714286</v>
      </c>
      <c r="I13" s="20">
        <f>SUM($D$2:D13)-SUM($G$2:G13)</f>
        <v>245542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44877</v>
      </c>
      <c r="B14" s="22">
        <f t="shared" si="0"/>
        <v>3588</v>
      </c>
      <c r="C14" s="22">
        <f t="shared" si="1"/>
        <v>8372</v>
      </c>
      <c r="D14" s="22">
        <f t="shared" si="2"/>
        <v>11960</v>
      </c>
      <c r="E14" s="22">
        <v>3910</v>
      </c>
      <c r="F14" s="22">
        <v>8050</v>
      </c>
      <c r="G14" s="22">
        <v>100</v>
      </c>
      <c r="H14" s="21">
        <f t="shared" si="3"/>
        <v>0.42857142857142855</v>
      </c>
      <c r="I14" s="20">
        <f>SUM($D$2:D14)-SUM($G$2:G14)</f>
        <v>257402</v>
      </c>
      <c r="K14" s="8">
        <f t="shared" ref="K14:K20" si="11">A9</f>
        <v>44872</v>
      </c>
      <c r="L14" s="2">
        <f t="shared" ref="L14:L19" si="12">N14*0.42</f>
        <v>6478.5</v>
      </c>
      <c r="M14" s="2">
        <f t="shared" ref="M14:M20" si="13">N14-L14</f>
        <v>8946.5</v>
      </c>
      <c r="N14" s="2">
        <f t="shared" ref="N14:N20" si="14">O14+P14</f>
        <v>15425</v>
      </c>
      <c r="O14" s="2">
        <f t="shared" ref="O14:O20" si="15">VLOOKUP(K14,$A$1:$H$37,5,0)</f>
        <v>4210</v>
      </c>
      <c r="P14" s="2">
        <f t="shared" ref="P14:P20" si="16">VLOOKUP(K14,$A$1:$H$37,6,0)</f>
        <v>11215</v>
      </c>
      <c r="Q14" s="2">
        <f t="shared" ref="Q14:Q20" si="17">VLOOKUP(K14,$A$1:$H$37,7,0)</f>
        <v>1500</v>
      </c>
    </row>
    <row r="15" spans="1:17" x14ac:dyDescent="0.35">
      <c r="A15" s="23">
        <v>44878</v>
      </c>
      <c r="B15" s="22">
        <f t="shared" si="0"/>
        <v>7440</v>
      </c>
      <c r="C15" s="22">
        <f t="shared" si="1"/>
        <v>17360</v>
      </c>
      <c r="D15" s="22">
        <f t="shared" si="2"/>
        <v>24800</v>
      </c>
      <c r="E15" s="22">
        <v>18200</v>
      </c>
      <c r="F15" s="22">
        <v>6600</v>
      </c>
      <c r="G15" s="22">
        <v>2600</v>
      </c>
      <c r="H15" s="21">
        <f t="shared" si="3"/>
        <v>0.42857142857142855</v>
      </c>
      <c r="I15" s="20">
        <f>SUM($D$2:D15)-SUM($G$2:G15)</f>
        <v>279602</v>
      </c>
      <c r="K15" s="9">
        <f t="shared" si="11"/>
        <v>44873</v>
      </c>
      <c r="L15" s="4">
        <f t="shared" si="12"/>
        <v>19433.399999999998</v>
      </c>
      <c r="M15" s="4">
        <f t="shared" si="13"/>
        <v>26836.600000000002</v>
      </c>
      <c r="N15" s="4">
        <f t="shared" si="14"/>
        <v>46270</v>
      </c>
      <c r="O15" s="4">
        <f t="shared" si="15"/>
        <v>44250</v>
      </c>
      <c r="P15" s="4">
        <f t="shared" si="16"/>
        <v>2020</v>
      </c>
      <c r="Q15" s="4">
        <f t="shared" si="17"/>
        <v>4540</v>
      </c>
    </row>
    <row r="16" spans="1:17" x14ac:dyDescent="0.35">
      <c r="A16" s="23">
        <v>44879</v>
      </c>
      <c r="B16" s="22">
        <f t="shared" si="0"/>
        <v>4582.5</v>
      </c>
      <c r="C16" s="22">
        <f t="shared" si="1"/>
        <v>10692.5</v>
      </c>
      <c r="D16" s="22">
        <f t="shared" si="2"/>
        <v>15275</v>
      </c>
      <c r="E16" s="22">
        <v>11400</v>
      </c>
      <c r="F16" s="22">
        <v>3875</v>
      </c>
      <c r="G16" s="22">
        <v>1500</v>
      </c>
      <c r="H16" s="21">
        <f t="shared" si="3"/>
        <v>0.42857142857142855</v>
      </c>
      <c r="I16" s="20">
        <f>SUM($D$2:D16)-SUM($G$2:G16)</f>
        <v>293377</v>
      </c>
      <c r="K16" s="8">
        <f t="shared" si="11"/>
        <v>44874</v>
      </c>
      <c r="L16" s="2">
        <f t="shared" si="12"/>
        <v>9072</v>
      </c>
      <c r="M16" s="2">
        <f t="shared" si="13"/>
        <v>12528</v>
      </c>
      <c r="N16" s="2">
        <f t="shared" si="14"/>
        <v>21600</v>
      </c>
      <c r="O16" s="2">
        <f t="shared" si="15"/>
        <v>14100</v>
      </c>
      <c r="P16" s="2">
        <f t="shared" si="16"/>
        <v>7500</v>
      </c>
      <c r="Q16" s="2">
        <f t="shared" si="17"/>
        <v>11600</v>
      </c>
    </row>
    <row r="17" spans="1:17" x14ac:dyDescent="0.35">
      <c r="A17" s="23">
        <v>44880</v>
      </c>
      <c r="B17" s="22">
        <f t="shared" si="0"/>
        <v>8670</v>
      </c>
      <c r="C17" s="22">
        <f t="shared" si="1"/>
        <v>20230</v>
      </c>
      <c r="D17" s="22">
        <f t="shared" si="2"/>
        <v>28900</v>
      </c>
      <c r="E17" s="22">
        <v>8900</v>
      </c>
      <c r="F17" s="22">
        <v>20000</v>
      </c>
      <c r="G17" s="22">
        <v>4300</v>
      </c>
      <c r="H17" s="21">
        <f t="shared" si="3"/>
        <v>0.42857142857142855</v>
      </c>
      <c r="I17" s="20">
        <f>SUM($D$2:D17)-SUM($G$2:G17)</f>
        <v>317977</v>
      </c>
      <c r="K17" s="9">
        <f t="shared" si="11"/>
        <v>44875</v>
      </c>
      <c r="L17" s="4">
        <f t="shared" si="12"/>
        <v>16573.2</v>
      </c>
      <c r="M17" s="4">
        <f t="shared" si="13"/>
        <v>22886.799999999999</v>
      </c>
      <c r="N17" s="4">
        <f t="shared" si="14"/>
        <v>39460</v>
      </c>
      <c r="O17" s="4">
        <f t="shared" si="15"/>
        <v>20810</v>
      </c>
      <c r="P17" s="4">
        <f t="shared" si="16"/>
        <v>18650</v>
      </c>
      <c r="Q17" s="4">
        <f t="shared" si="17"/>
        <v>10700</v>
      </c>
    </row>
    <row r="18" spans="1:17" x14ac:dyDescent="0.35">
      <c r="A18" s="23">
        <v>44881</v>
      </c>
      <c r="B18" s="22">
        <f t="shared" si="0"/>
        <v>2100</v>
      </c>
      <c r="C18" s="22">
        <f t="shared" si="1"/>
        <v>4900</v>
      </c>
      <c r="D18" s="22">
        <f t="shared" si="2"/>
        <v>7000</v>
      </c>
      <c r="E18" s="22">
        <v>2010</v>
      </c>
      <c r="F18" s="22">
        <v>4990</v>
      </c>
      <c r="G18" s="22">
        <v>140</v>
      </c>
      <c r="H18" s="21">
        <f t="shared" si="3"/>
        <v>0.42857142857142855</v>
      </c>
      <c r="I18" s="20">
        <f>SUM($D$2:D18)-SUM($G$2:G18)</f>
        <v>324837</v>
      </c>
      <c r="K18" s="8">
        <f t="shared" si="11"/>
        <v>44876</v>
      </c>
      <c r="L18" s="2">
        <f t="shared" si="12"/>
        <v>12223.26</v>
      </c>
      <c r="M18" s="2">
        <f t="shared" si="13"/>
        <v>16879.739999999998</v>
      </c>
      <c r="N18" s="2">
        <f t="shared" si="14"/>
        <v>29103</v>
      </c>
      <c r="O18" s="2">
        <f t="shared" si="15"/>
        <v>17770</v>
      </c>
      <c r="P18" s="2">
        <f t="shared" si="16"/>
        <v>11333</v>
      </c>
      <c r="Q18" s="2">
        <f t="shared" si="17"/>
        <v>1450</v>
      </c>
    </row>
    <row r="19" spans="1:17" x14ac:dyDescent="0.35">
      <c r="A19" s="23">
        <v>44882</v>
      </c>
      <c r="B19" s="22">
        <f t="shared" si="0"/>
        <v>12760.5</v>
      </c>
      <c r="C19" s="22">
        <f t="shared" si="1"/>
        <v>29774.5</v>
      </c>
      <c r="D19" s="22">
        <f t="shared" si="2"/>
        <v>42535</v>
      </c>
      <c r="E19" s="22">
        <f>8150+190</f>
        <v>8340</v>
      </c>
      <c r="F19" s="22">
        <v>34195</v>
      </c>
      <c r="G19" s="22">
        <v>5000</v>
      </c>
      <c r="H19" s="21">
        <f t="shared" si="3"/>
        <v>0.42857142857142855</v>
      </c>
      <c r="I19" s="20">
        <f>SUM($D$2:D19)-SUM($G$2:G19)</f>
        <v>362372</v>
      </c>
      <c r="K19" s="9">
        <f t="shared" si="11"/>
        <v>44877</v>
      </c>
      <c r="L19" s="4">
        <f t="shared" si="12"/>
        <v>5023.2</v>
      </c>
      <c r="M19" s="4">
        <f t="shared" si="13"/>
        <v>6936.8</v>
      </c>
      <c r="N19" s="4">
        <f t="shared" si="14"/>
        <v>11960</v>
      </c>
      <c r="O19" s="4">
        <f t="shared" si="15"/>
        <v>3910</v>
      </c>
      <c r="P19" s="4">
        <f t="shared" si="16"/>
        <v>8050</v>
      </c>
      <c r="Q19" s="4">
        <f t="shared" si="17"/>
        <v>100</v>
      </c>
    </row>
    <row r="20" spans="1:17" x14ac:dyDescent="0.35">
      <c r="A20" s="23">
        <v>44883</v>
      </c>
      <c r="B20" s="22">
        <f t="shared" si="0"/>
        <v>7788</v>
      </c>
      <c r="C20" s="22">
        <f t="shared" si="1"/>
        <v>18172</v>
      </c>
      <c r="D20" s="22">
        <f t="shared" si="2"/>
        <v>25960</v>
      </c>
      <c r="E20" s="22">
        <f>14410+700</f>
        <v>15110</v>
      </c>
      <c r="F20" s="22">
        <v>10850</v>
      </c>
      <c r="G20" s="22">
        <v>100</v>
      </c>
      <c r="H20" s="21">
        <f t="shared" si="3"/>
        <v>0.42857142857142855</v>
      </c>
      <c r="I20" s="20">
        <f>SUM($D$2:D20)-SUM($G$2:G20)</f>
        <v>388232</v>
      </c>
      <c r="K20" s="8">
        <f t="shared" si="11"/>
        <v>44878</v>
      </c>
      <c r="L20" s="2">
        <f>N20*0.3</f>
        <v>7440</v>
      </c>
      <c r="M20" s="2">
        <f t="shared" si="13"/>
        <v>17360</v>
      </c>
      <c r="N20" s="2">
        <f t="shared" si="14"/>
        <v>24800</v>
      </c>
      <c r="O20" s="2">
        <f t="shared" si="15"/>
        <v>18200</v>
      </c>
      <c r="P20" s="2">
        <f t="shared" si="16"/>
        <v>6600</v>
      </c>
      <c r="Q20" s="2">
        <f t="shared" si="17"/>
        <v>2600</v>
      </c>
    </row>
    <row r="21" spans="1:17" x14ac:dyDescent="0.35">
      <c r="A21" s="23">
        <v>44884</v>
      </c>
      <c r="B21" s="22">
        <f t="shared" si="0"/>
        <v>6894</v>
      </c>
      <c r="C21" s="22">
        <f t="shared" si="1"/>
        <v>16086</v>
      </c>
      <c r="D21" s="22">
        <f t="shared" si="2"/>
        <v>22980</v>
      </c>
      <c r="E21" s="22">
        <v>17780</v>
      </c>
      <c r="F21" s="22">
        <v>5200</v>
      </c>
      <c r="G21" s="22">
        <v>100</v>
      </c>
      <c r="H21" s="21">
        <f t="shared" si="3"/>
        <v>0.42857142857142855</v>
      </c>
      <c r="I21" s="20">
        <f>SUM($D$2:D21)-SUM($G$2:G21)</f>
        <v>411112</v>
      </c>
      <c r="K21" s="3" t="s">
        <v>4</v>
      </c>
      <c r="L21" s="3">
        <f t="shared" ref="L21:Q21" si="18">SUM(L14:L20)</f>
        <v>76243.56</v>
      </c>
      <c r="M21" s="3">
        <f t="shared" si="18"/>
        <v>112374.44000000002</v>
      </c>
      <c r="N21" s="3">
        <f t="shared" si="18"/>
        <v>188618</v>
      </c>
      <c r="O21" s="3">
        <f t="shared" si="18"/>
        <v>123250</v>
      </c>
      <c r="P21" s="3">
        <f t="shared" si="18"/>
        <v>65368</v>
      </c>
      <c r="Q21" s="3">
        <f t="shared" si="18"/>
        <v>32490</v>
      </c>
    </row>
    <row r="22" spans="1:17" x14ac:dyDescent="0.35">
      <c r="A22" s="23">
        <v>44885</v>
      </c>
      <c r="B22" s="22">
        <f t="shared" si="0"/>
        <v>8619</v>
      </c>
      <c r="C22" s="22">
        <f t="shared" si="1"/>
        <v>20111</v>
      </c>
      <c r="D22" s="22">
        <f t="shared" si="2"/>
        <v>28730</v>
      </c>
      <c r="E22" s="22">
        <f>26830+900</f>
        <v>27730</v>
      </c>
      <c r="F22" s="22">
        <v>1000</v>
      </c>
      <c r="G22" s="22">
        <v>770</v>
      </c>
      <c r="H22" s="21">
        <f t="shared" si="3"/>
        <v>0.42857142857142855</v>
      </c>
      <c r="I22" s="20">
        <f>SUM($D$2:D22)-SUM($G$2:G22)</f>
        <v>439072</v>
      </c>
      <c r="K22" s="3" t="s">
        <v>0</v>
      </c>
      <c r="L22" s="3">
        <f>L21/3</f>
        <v>25414.52</v>
      </c>
      <c r="M22" s="3"/>
      <c r="N22" s="3"/>
      <c r="O22" s="2"/>
      <c r="P22" s="2"/>
      <c r="Q22" s="2"/>
    </row>
    <row r="23" spans="1:17" x14ac:dyDescent="0.35">
      <c r="A23" s="23">
        <v>44886</v>
      </c>
      <c r="B23" s="22">
        <f t="shared" si="0"/>
        <v>7878</v>
      </c>
      <c r="C23" s="22">
        <f t="shared" si="1"/>
        <v>18382</v>
      </c>
      <c r="D23" s="22">
        <f t="shared" si="2"/>
        <v>26260</v>
      </c>
      <c r="E23" s="22">
        <v>7440</v>
      </c>
      <c r="F23" s="22">
        <v>18820</v>
      </c>
      <c r="G23" s="22">
        <v>6200</v>
      </c>
      <c r="H23" s="21">
        <f t="shared" si="3"/>
        <v>0.42857142857142855</v>
      </c>
      <c r="I23" s="20">
        <f>SUM($D$2:D23)-SUM($G$2:G23)</f>
        <v>459132</v>
      </c>
    </row>
    <row r="24" spans="1:17" x14ac:dyDescent="0.35">
      <c r="A24" s="23">
        <v>44887</v>
      </c>
      <c r="B24" s="22">
        <f t="shared" si="0"/>
        <v>5139</v>
      </c>
      <c r="C24" s="22">
        <f t="shared" si="1"/>
        <v>11991</v>
      </c>
      <c r="D24" s="22">
        <f t="shared" si="2"/>
        <v>17130</v>
      </c>
      <c r="E24" s="22">
        <v>5990</v>
      </c>
      <c r="F24" s="22">
        <v>11140</v>
      </c>
      <c r="G24" s="22">
        <f>4160+3700</f>
        <v>7860</v>
      </c>
      <c r="H24" s="21">
        <f t="shared" si="3"/>
        <v>0.42857142857142855</v>
      </c>
      <c r="I24" s="20">
        <f>SUM($D$2:D24)-SUM($G$2:G24)</f>
        <v>468402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44888</v>
      </c>
      <c r="B25" s="22">
        <f t="shared" si="0"/>
        <v>15513</v>
      </c>
      <c r="C25" s="22">
        <f t="shared" si="1"/>
        <v>36197</v>
      </c>
      <c r="D25" s="22">
        <f t="shared" si="2"/>
        <v>51710</v>
      </c>
      <c r="E25" s="22">
        <v>5930</v>
      </c>
      <c r="F25" s="22">
        <v>45780</v>
      </c>
      <c r="G25" s="22">
        <v>1170</v>
      </c>
      <c r="H25" s="21">
        <f t="shared" si="3"/>
        <v>0.42857142857142855</v>
      </c>
      <c r="I25" s="20">
        <f>SUM($D$2:D25)-SUM($G$2:G25)</f>
        <v>518942</v>
      </c>
      <c r="K25" s="8">
        <f t="shared" ref="K25:K31" si="19">A16</f>
        <v>44879</v>
      </c>
      <c r="L25" s="2">
        <f t="shared" ref="L25:L31" si="20">N25*0.3</f>
        <v>4582.5</v>
      </c>
      <c r="M25" s="2">
        <f t="shared" ref="M25:M31" si="21">N25-L25</f>
        <v>10692.5</v>
      </c>
      <c r="N25" s="2">
        <f t="shared" ref="N25:N31" si="22">O25+P25</f>
        <v>15275</v>
      </c>
      <c r="O25" s="2">
        <f t="shared" ref="O25:O31" si="23">VLOOKUP(K25,$A$1:$H$37,5,0)</f>
        <v>11400</v>
      </c>
      <c r="P25" s="2">
        <f t="shared" ref="P25:P31" si="24">VLOOKUP(K25,$A$1:$H$37,6,0)</f>
        <v>3875</v>
      </c>
      <c r="Q25" s="2">
        <f t="shared" ref="Q25:Q31" si="25">VLOOKUP(K25,$A$1:$H$37,7,0)</f>
        <v>1500</v>
      </c>
    </row>
    <row r="26" spans="1:17" x14ac:dyDescent="0.35">
      <c r="A26" s="23">
        <v>44889</v>
      </c>
      <c r="B26" s="22">
        <f t="shared" si="0"/>
        <v>2874</v>
      </c>
      <c r="C26" s="22">
        <f t="shared" si="1"/>
        <v>6706</v>
      </c>
      <c r="D26" s="22">
        <f t="shared" si="2"/>
        <v>9580</v>
      </c>
      <c r="E26" s="22">
        <v>3630</v>
      </c>
      <c r="F26" s="22">
        <v>5950</v>
      </c>
      <c r="G26" s="22">
        <v>1500</v>
      </c>
      <c r="H26" s="21">
        <f t="shared" si="3"/>
        <v>0.42857142857142855</v>
      </c>
      <c r="I26" s="20">
        <f>SUM($D$2:D26)-SUM($G$2:G26)</f>
        <v>527022</v>
      </c>
      <c r="K26" s="9">
        <f t="shared" si="19"/>
        <v>44880</v>
      </c>
      <c r="L26" s="4">
        <f t="shared" si="20"/>
        <v>8670</v>
      </c>
      <c r="M26" s="4">
        <f t="shared" si="21"/>
        <v>20230</v>
      </c>
      <c r="N26" s="4">
        <f t="shared" si="22"/>
        <v>28900</v>
      </c>
      <c r="O26" s="4">
        <f t="shared" si="23"/>
        <v>8900</v>
      </c>
      <c r="P26" s="4">
        <f t="shared" si="24"/>
        <v>20000</v>
      </c>
      <c r="Q26" s="4">
        <f t="shared" si="25"/>
        <v>4300</v>
      </c>
    </row>
    <row r="27" spans="1:17" x14ac:dyDescent="0.35">
      <c r="A27" s="23">
        <v>44890</v>
      </c>
      <c r="B27" s="22">
        <f t="shared" si="0"/>
        <v>18864</v>
      </c>
      <c r="C27" s="22">
        <f t="shared" si="1"/>
        <v>44016</v>
      </c>
      <c r="D27" s="22">
        <f t="shared" si="2"/>
        <v>62880</v>
      </c>
      <c r="E27" s="22">
        <v>42180</v>
      </c>
      <c r="F27" s="22">
        <v>20700</v>
      </c>
      <c r="G27" s="22">
        <v>800</v>
      </c>
      <c r="H27" s="21">
        <f t="shared" si="3"/>
        <v>0.42857142857142855</v>
      </c>
      <c r="I27" s="20">
        <f>SUM($D$2:D27)-SUM($G$2:G27)</f>
        <v>589102</v>
      </c>
      <c r="K27" s="8">
        <f t="shared" si="19"/>
        <v>44881</v>
      </c>
      <c r="L27" s="2">
        <f t="shared" si="20"/>
        <v>2100</v>
      </c>
      <c r="M27" s="2">
        <f t="shared" si="21"/>
        <v>4900</v>
      </c>
      <c r="N27" s="2">
        <f t="shared" si="22"/>
        <v>7000</v>
      </c>
      <c r="O27" s="2">
        <f t="shared" si="23"/>
        <v>2010</v>
      </c>
      <c r="P27" s="2">
        <f t="shared" si="24"/>
        <v>4990</v>
      </c>
      <c r="Q27" s="2">
        <f t="shared" si="25"/>
        <v>140</v>
      </c>
    </row>
    <row r="28" spans="1:17" x14ac:dyDescent="0.35">
      <c r="A28" s="23">
        <v>44891</v>
      </c>
      <c r="B28" s="22">
        <f t="shared" si="0"/>
        <v>8121</v>
      </c>
      <c r="C28" s="22">
        <f t="shared" si="1"/>
        <v>18949</v>
      </c>
      <c r="D28" s="22">
        <f t="shared" si="2"/>
        <v>27070</v>
      </c>
      <c r="E28" s="22">
        <v>14170</v>
      </c>
      <c r="F28" s="22">
        <v>12900</v>
      </c>
      <c r="G28" s="22">
        <v>1300</v>
      </c>
      <c r="H28" s="21">
        <f t="shared" si="3"/>
        <v>0.42857142857142855</v>
      </c>
      <c r="I28" s="20">
        <f>SUM($D$2:D28)-SUM($G$2:G28)</f>
        <v>614872</v>
      </c>
      <c r="K28" s="9">
        <f t="shared" si="19"/>
        <v>44882</v>
      </c>
      <c r="L28" s="4">
        <f t="shared" si="20"/>
        <v>12760.5</v>
      </c>
      <c r="M28" s="4">
        <f t="shared" si="21"/>
        <v>29774.5</v>
      </c>
      <c r="N28" s="4">
        <f t="shared" si="22"/>
        <v>42535</v>
      </c>
      <c r="O28" s="4">
        <f t="shared" si="23"/>
        <v>8340</v>
      </c>
      <c r="P28" s="4">
        <f t="shared" si="24"/>
        <v>34195</v>
      </c>
      <c r="Q28" s="4">
        <f t="shared" si="25"/>
        <v>5000</v>
      </c>
    </row>
    <row r="29" spans="1:17" x14ac:dyDescent="0.35">
      <c r="A29" s="23">
        <v>44892</v>
      </c>
      <c r="B29" s="22">
        <f t="shared" si="0"/>
        <v>5892</v>
      </c>
      <c r="C29" s="22">
        <f t="shared" si="1"/>
        <v>13748</v>
      </c>
      <c r="D29" s="22">
        <f t="shared" si="2"/>
        <v>19640</v>
      </c>
      <c r="E29" s="22">
        <v>14280</v>
      </c>
      <c r="F29" s="22">
        <v>5360</v>
      </c>
      <c r="G29" s="22">
        <v>3800</v>
      </c>
      <c r="H29" s="21">
        <f t="shared" si="3"/>
        <v>0.42857142857142855</v>
      </c>
      <c r="I29" s="20">
        <f>SUM($D$2:D29)-SUM($G$2:G29)</f>
        <v>630712</v>
      </c>
      <c r="K29" s="8">
        <f t="shared" si="19"/>
        <v>44883</v>
      </c>
      <c r="L29" s="2">
        <f t="shared" si="20"/>
        <v>7788</v>
      </c>
      <c r="M29" s="2">
        <f t="shared" si="21"/>
        <v>18172</v>
      </c>
      <c r="N29" s="2">
        <f t="shared" si="22"/>
        <v>25960</v>
      </c>
      <c r="O29" s="2">
        <f t="shared" si="23"/>
        <v>15110</v>
      </c>
      <c r="P29" s="2">
        <f t="shared" si="24"/>
        <v>10850</v>
      </c>
      <c r="Q29" s="2">
        <f t="shared" si="25"/>
        <v>100</v>
      </c>
    </row>
    <row r="30" spans="1:17" x14ac:dyDescent="0.35">
      <c r="A30" s="23">
        <v>44893</v>
      </c>
      <c r="B30" s="22">
        <f t="shared" si="0"/>
        <v>6196.5</v>
      </c>
      <c r="C30" s="22">
        <f t="shared" si="1"/>
        <v>14458.5</v>
      </c>
      <c r="D30" s="22">
        <f t="shared" si="2"/>
        <v>20655</v>
      </c>
      <c r="E30" s="22">
        <v>3135</v>
      </c>
      <c r="F30" s="22">
        <v>17520</v>
      </c>
      <c r="G30" s="22">
        <v>1800</v>
      </c>
      <c r="H30" s="21">
        <f t="shared" si="3"/>
        <v>0.42857142857142855</v>
      </c>
      <c r="I30" s="20">
        <f>SUM($D$2:D30)-SUM($G$2:G30)</f>
        <v>649567</v>
      </c>
      <c r="K30" s="9">
        <f t="shared" si="19"/>
        <v>44884</v>
      </c>
      <c r="L30" s="4">
        <f t="shared" si="20"/>
        <v>6894</v>
      </c>
      <c r="M30" s="4">
        <f t="shared" si="21"/>
        <v>16086</v>
      </c>
      <c r="N30" s="4">
        <f t="shared" si="22"/>
        <v>22980</v>
      </c>
      <c r="O30" s="4">
        <f t="shared" si="23"/>
        <v>17780</v>
      </c>
      <c r="P30" s="4">
        <f t="shared" si="24"/>
        <v>5200</v>
      </c>
      <c r="Q30" s="4">
        <f t="shared" si="25"/>
        <v>100</v>
      </c>
    </row>
    <row r="31" spans="1:17" x14ac:dyDescent="0.35">
      <c r="A31" s="23">
        <v>44894</v>
      </c>
      <c r="B31" s="22">
        <f t="shared" si="0"/>
        <v>10674</v>
      </c>
      <c r="C31" s="22">
        <f t="shared" si="1"/>
        <v>24906</v>
      </c>
      <c r="D31" s="22">
        <f t="shared" si="2"/>
        <v>35580</v>
      </c>
      <c r="E31" s="22">
        <v>23270</v>
      </c>
      <c r="F31" s="22">
        <v>12310</v>
      </c>
      <c r="G31" s="22">
        <v>1550</v>
      </c>
      <c r="H31" s="21">
        <f t="shared" si="3"/>
        <v>0.42857142857142855</v>
      </c>
      <c r="I31" s="20">
        <f>SUM($D$2:D31)-SUM($G$2:G31)</f>
        <v>683597</v>
      </c>
      <c r="K31" s="8">
        <f t="shared" si="19"/>
        <v>44885</v>
      </c>
      <c r="L31" s="2">
        <f t="shared" si="20"/>
        <v>8619</v>
      </c>
      <c r="M31" s="2">
        <f t="shared" si="21"/>
        <v>20111</v>
      </c>
      <c r="N31" s="2">
        <f t="shared" si="22"/>
        <v>28730</v>
      </c>
      <c r="O31" s="2">
        <f t="shared" si="23"/>
        <v>27730</v>
      </c>
      <c r="P31" s="2">
        <f t="shared" si="24"/>
        <v>1000</v>
      </c>
      <c r="Q31" s="2">
        <f t="shared" si="25"/>
        <v>770</v>
      </c>
    </row>
    <row r="32" spans="1:17" x14ac:dyDescent="0.35">
      <c r="A32" s="23">
        <v>44895</v>
      </c>
      <c r="B32" s="22">
        <f t="shared" si="0"/>
        <v>7128</v>
      </c>
      <c r="C32" s="22">
        <f t="shared" si="1"/>
        <v>16632</v>
      </c>
      <c r="D32" s="22">
        <f t="shared" si="2"/>
        <v>23760</v>
      </c>
      <c r="E32" s="24">
        <v>3830</v>
      </c>
      <c r="F32" s="24">
        <v>19930</v>
      </c>
      <c r="G32" s="24">
        <v>560</v>
      </c>
      <c r="H32" s="21">
        <f t="shared" si="3"/>
        <v>0.42857142857142855</v>
      </c>
      <c r="I32" s="20">
        <f>SUM($D$2:D32)-SUM($G$2:G32)</f>
        <v>706797</v>
      </c>
      <c r="K32" s="3" t="s">
        <v>4</v>
      </c>
      <c r="L32" s="2">
        <f t="shared" ref="L32:Q32" si="26">SUM(L25:L31)</f>
        <v>51414</v>
      </c>
      <c r="M32" s="2">
        <f t="shared" si="26"/>
        <v>119966</v>
      </c>
      <c r="N32" s="2">
        <f t="shared" si="26"/>
        <v>171380</v>
      </c>
      <c r="O32" s="2">
        <f t="shared" si="26"/>
        <v>91270</v>
      </c>
      <c r="P32" s="2">
        <f t="shared" si="26"/>
        <v>80110</v>
      </c>
      <c r="Q32" s="2">
        <f t="shared" si="26"/>
        <v>11910</v>
      </c>
    </row>
    <row r="33" spans="1:17" x14ac:dyDescent="0.35">
      <c r="A33" s="23">
        <v>44896</v>
      </c>
      <c r="B33" s="22">
        <f t="shared" si="0"/>
        <v>6065.7</v>
      </c>
      <c r="C33" s="22">
        <f t="shared" si="1"/>
        <v>14153.3</v>
      </c>
      <c r="D33" s="22">
        <f t="shared" si="2"/>
        <v>20219</v>
      </c>
      <c r="E33" s="22">
        <v>14705</v>
      </c>
      <c r="F33" s="22">
        <v>5514</v>
      </c>
      <c r="G33" s="22">
        <v>1450</v>
      </c>
      <c r="H33" s="21">
        <f t="shared" si="3"/>
        <v>0.4285714285714286</v>
      </c>
      <c r="I33" s="20">
        <f>SUM($D$2:D33)-SUM($G$2:G33)</f>
        <v>725566</v>
      </c>
      <c r="K33" s="3" t="s">
        <v>0</v>
      </c>
      <c r="L33" s="4">
        <f>L32/3</f>
        <v>17138</v>
      </c>
      <c r="M33" s="4"/>
      <c r="N33" s="4"/>
      <c r="O33" s="4"/>
      <c r="P33" s="4"/>
      <c r="Q33" s="4"/>
    </row>
    <row r="34" spans="1:17" x14ac:dyDescent="0.35">
      <c r="A34" s="23">
        <v>44897</v>
      </c>
      <c r="B34" s="22">
        <f t="shared" si="0"/>
        <v>7441.5</v>
      </c>
      <c r="C34" s="22">
        <f t="shared" si="1"/>
        <v>17363.5</v>
      </c>
      <c r="D34" s="22">
        <f t="shared" si="2"/>
        <v>24805</v>
      </c>
      <c r="E34" s="22">
        <v>8055</v>
      </c>
      <c r="F34" s="22">
        <v>16750</v>
      </c>
      <c r="G34" s="22">
        <v>2040</v>
      </c>
      <c r="H34" s="21">
        <f t="shared" si="3"/>
        <v>0.42857142857142855</v>
      </c>
      <c r="I34" s="20">
        <f>SUM($D$2:D34)-SUM($G$2:G34)</f>
        <v>748331</v>
      </c>
    </row>
    <row r="35" spans="1:17" x14ac:dyDescent="0.35">
      <c r="A35" s="23">
        <v>44898</v>
      </c>
      <c r="B35" s="22">
        <f t="shared" si="0"/>
        <v>10386</v>
      </c>
      <c r="C35" s="22">
        <f t="shared" si="1"/>
        <v>24234</v>
      </c>
      <c r="D35" s="22">
        <f t="shared" si="2"/>
        <v>34620</v>
      </c>
      <c r="E35" s="22">
        <v>10260</v>
      </c>
      <c r="F35" s="22">
        <v>24360</v>
      </c>
      <c r="G35" s="22">
        <v>4100</v>
      </c>
      <c r="H35" s="21">
        <f t="shared" si="3"/>
        <v>0.42857142857142855</v>
      </c>
      <c r="I35" s="20">
        <f>SUM($D$2:D35)-SUM($G$2:G35)</f>
        <v>778851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3">
        <v>44899</v>
      </c>
      <c r="B36" s="22">
        <f t="shared" si="0"/>
        <v>5283</v>
      </c>
      <c r="C36" s="22">
        <f t="shared" si="1"/>
        <v>12327</v>
      </c>
      <c r="D36" s="22">
        <f t="shared" si="2"/>
        <v>17610</v>
      </c>
      <c r="E36" s="22">
        <v>10660</v>
      </c>
      <c r="F36" s="22">
        <v>6950</v>
      </c>
      <c r="G36" s="22">
        <v>1600</v>
      </c>
      <c r="H36" s="21">
        <f t="shared" si="3"/>
        <v>0.42857142857142855</v>
      </c>
      <c r="I36" s="20">
        <f>SUM($D$2:D36)-SUM($G$2:G36)</f>
        <v>794861</v>
      </c>
      <c r="K36" s="8">
        <f t="shared" ref="K36:K42" si="27">A23</f>
        <v>44886</v>
      </c>
      <c r="L36" s="2">
        <f>N36*0.39</f>
        <v>10241.4</v>
      </c>
      <c r="M36" s="2">
        <f t="shared" ref="M36:M42" si="28">N36-L36</f>
        <v>16018.6</v>
      </c>
      <c r="N36" s="2">
        <f t="shared" ref="N36:N42" si="29">O36+P36</f>
        <v>26260</v>
      </c>
      <c r="O36" s="2">
        <f t="shared" ref="O36:O42" si="30">VLOOKUP(K36,$A$1:$H$37,5,0)</f>
        <v>7440</v>
      </c>
      <c r="P36" s="2">
        <f t="shared" ref="P36:P42" si="31">VLOOKUP(K36,$A$1:$H$37,6,0)</f>
        <v>18820</v>
      </c>
      <c r="Q36" s="2">
        <f t="shared" ref="Q36:Q42" si="32">VLOOKUP(K36,$A$1:$H$37,7,0)</f>
        <v>6200</v>
      </c>
    </row>
    <row r="37" spans="1:17" ht="15" thickBot="1" x14ac:dyDescent="0.4">
      <c r="A37" s="19" t="s">
        <v>4</v>
      </c>
      <c r="B37" s="18">
        <f>SUM(B3:B32)</f>
        <v>242775.59999999998</v>
      </c>
      <c r="C37" s="18">
        <f t="shared" ref="C37:H37" si="33">SUM(C3:C32)</f>
        <v>566476.4</v>
      </c>
      <c r="D37" s="18">
        <f t="shared" si="33"/>
        <v>809252</v>
      </c>
      <c r="E37" s="18">
        <f t="shared" si="33"/>
        <v>441624</v>
      </c>
      <c r="F37" s="18">
        <f t="shared" si="33"/>
        <v>367628</v>
      </c>
      <c r="G37" s="18">
        <f t="shared" si="33"/>
        <v>111470</v>
      </c>
      <c r="H37" s="18">
        <f t="shared" si="33"/>
        <v>12.857142857142861</v>
      </c>
      <c r="I37" s="14">
        <f>B37/C37</f>
        <v>0.42857142857142849</v>
      </c>
      <c r="K37" s="9">
        <f t="shared" si="27"/>
        <v>44887</v>
      </c>
      <c r="L37" s="2">
        <f>N37*0.39</f>
        <v>6680.7</v>
      </c>
      <c r="M37" s="4">
        <f t="shared" si="28"/>
        <v>10449.299999999999</v>
      </c>
      <c r="N37" s="4">
        <f t="shared" si="29"/>
        <v>17130</v>
      </c>
      <c r="O37" s="4">
        <f t="shared" si="30"/>
        <v>5990</v>
      </c>
      <c r="P37" s="4">
        <f t="shared" si="31"/>
        <v>11140</v>
      </c>
      <c r="Q37" s="4">
        <f t="shared" si="32"/>
        <v>7860</v>
      </c>
    </row>
    <row r="38" spans="1:17" x14ac:dyDescent="0.35">
      <c r="A38" s="12"/>
      <c r="B38" s="11">
        <f>B37/3</f>
        <v>80925.2</v>
      </c>
      <c r="C38" s="11"/>
      <c r="E38" s="13">
        <f>D37*0.42</f>
        <v>339885.83999999997</v>
      </c>
      <c r="F38" s="11"/>
      <c r="G38" s="11"/>
      <c r="H38" s="10"/>
      <c r="K38" s="8">
        <f t="shared" si="27"/>
        <v>44888</v>
      </c>
      <c r="L38" s="2">
        <f>N38*0.39</f>
        <v>20166.900000000001</v>
      </c>
      <c r="M38" s="2">
        <f t="shared" si="28"/>
        <v>31543.1</v>
      </c>
      <c r="N38" s="2">
        <f t="shared" si="29"/>
        <v>51710</v>
      </c>
      <c r="O38" s="2">
        <f t="shared" si="30"/>
        <v>5930</v>
      </c>
      <c r="P38" s="2">
        <f t="shared" si="31"/>
        <v>45780</v>
      </c>
      <c r="Q38" s="2">
        <f t="shared" si="32"/>
        <v>1170</v>
      </c>
    </row>
    <row r="39" spans="1:17" x14ac:dyDescent="0.35">
      <c r="A39" s="12"/>
      <c r="B39" s="11">
        <f>B38*100/D37</f>
        <v>10</v>
      </c>
      <c r="C39" s="11"/>
      <c r="E39" s="11">
        <f>E38/3</f>
        <v>113295.27999999998</v>
      </c>
      <c r="F39" s="11"/>
      <c r="G39" s="11"/>
      <c r="H39" s="10"/>
      <c r="K39" s="9">
        <f t="shared" si="27"/>
        <v>44889</v>
      </c>
      <c r="L39" s="2">
        <f>N39*0.39</f>
        <v>3736.2000000000003</v>
      </c>
      <c r="M39" s="4">
        <f t="shared" si="28"/>
        <v>5843.7999999999993</v>
      </c>
      <c r="N39" s="4">
        <f t="shared" si="29"/>
        <v>9580</v>
      </c>
      <c r="O39" s="4">
        <f t="shared" si="30"/>
        <v>3630</v>
      </c>
      <c r="P39" s="4">
        <f t="shared" si="31"/>
        <v>5950</v>
      </c>
      <c r="Q39" s="4">
        <f t="shared" si="32"/>
        <v>1500</v>
      </c>
    </row>
    <row r="40" spans="1:17" x14ac:dyDescent="0.35">
      <c r="K40" s="8">
        <f t="shared" si="27"/>
        <v>44890</v>
      </c>
      <c r="L40" s="2">
        <f>N40*0.25</f>
        <v>15720</v>
      </c>
      <c r="M40" s="2">
        <f t="shared" si="28"/>
        <v>47160</v>
      </c>
      <c r="N40" s="2">
        <f t="shared" si="29"/>
        <v>62880</v>
      </c>
      <c r="O40" s="2">
        <f t="shared" si="30"/>
        <v>42180</v>
      </c>
      <c r="P40" s="2">
        <f t="shared" si="31"/>
        <v>20700</v>
      </c>
      <c r="Q40" s="2">
        <f t="shared" si="32"/>
        <v>800</v>
      </c>
    </row>
    <row r="41" spans="1:17" x14ac:dyDescent="0.35">
      <c r="K41" s="9">
        <f t="shared" si="27"/>
        <v>44891</v>
      </c>
      <c r="L41" s="2">
        <f>N41*0.39</f>
        <v>10557.300000000001</v>
      </c>
      <c r="M41" s="4">
        <f t="shared" si="28"/>
        <v>16512.699999999997</v>
      </c>
      <c r="N41" s="4">
        <f t="shared" si="29"/>
        <v>27070</v>
      </c>
      <c r="O41" s="4">
        <f t="shared" si="30"/>
        <v>14170</v>
      </c>
      <c r="P41" s="4">
        <f t="shared" si="31"/>
        <v>12900</v>
      </c>
      <c r="Q41" s="4">
        <f t="shared" si="32"/>
        <v>1300</v>
      </c>
    </row>
    <row r="42" spans="1:17" x14ac:dyDescent="0.35">
      <c r="K42" s="8">
        <f t="shared" si="27"/>
        <v>44892</v>
      </c>
      <c r="L42" s="2">
        <f>N42*0.39</f>
        <v>7659.6</v>
      </c>
      <c r="M42" s="2">
        <f t="shared" si="28"/>
        <v>11980.4</v>
      </c>
      <c r="N42" s="2">
        <f t="shared" si="29"/>
        <v>19640</v>
      </c>
      <c r="O42" s="2">
        <f t="shared" si="30"/>
        <v>14280</v>
      </c>
      <c r="P42" s="2">
        <f t="shared" si="31"/>
        <v>5360</v>
      </c>
      <c r="Q42" s="2">
        <f t="shared" si="32"/>
        <v>3800</v>
      </c>
    </row>
    <row r="43" spans="1:17" x14ac:dyDescent="0.35">
      <c r="K43" s="3" t="s">
        <v>4</v>
      </c>
      <c r="L43" s="4">
        <f t="shared" ref="L43:Q43" si="34">SUM(L36:L42)</f>
        <v>74762.100000000006</v>
      </c>
      <c r="M43" s="4">
        <f t="shared" si="34"/>
        <v>139507.9</v>
      </c>
      <c r="N43" s="4">
        <f t="shared" si="34"/>
        <v>214270</v>
      </c>
      <c r="O43" s="4">
        <f t="shared" si="34"/>
        <v>93620</v>
      </c>
      <c r="P43" s="4">
        <f t="shared" si="34"/>
        <v>120650</v>
      </c>
      <c r="Q43" s="4">
        <f t="shared" si="34"/>
        <v>22630</v>
      </c>
    </row>
    <row r="44" spans="1:17" x14ac:dyDescent="0.35">
      <c r="K44" s="3" t="s">
        <v>0</v>
      </c>
      <c r="L44" s="2">
        <f>L43/3</f>
        <v>24920.7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>
        <f t="shared" ref="K47:K53" si="35">A30</f>
        <v>44893</v>
      </c>
      <c r="L47" s="2">
        <f t="shared" ref="L47:L53" si="36">N47*0.39</f>
        <v>8055.4500000000007</v>
      </c>
      <c r="M47" s="2">
        <f t="shared" ref="M47:M53" si="37">N47-L47</f>
        <v>12599.55</v>
      </c>
      <c r="N47" s="2">
        <f t="shared" ref="N47:N53" si="38">O47+P47</f>
        <v>20655</v>
      </c>
      <c r="O47" s="2">
        <f t="shared" ref="O47:O53" si="39">VLOOKUP(K47,$A$1:$H$37,5,0)</f>
        <v>3135</v>
      </c>
      <c r="P47" s="2">
        <f t="shared" ref="P47:P53" si="40">VLOOKUP(K47,$A$1:$H$37,6,0)</f>
        <v>17520</v>
      </c>
      <c r="Q47" s="2">
        <f t="shared" ref="Q47:Q53" si="41">VLOOKUP(K47,$A$1:$H$37,7,0)</f>
        <v>1800</v>
      </c>
    </row>
    <row r="48" spans="1:17" x14ac:dyDescent="0.35">
      <c r="K48" s="9">
        <f t="shared" si="35"/>
        <v>44894</v>
      </c>
      <c r="L48" s="4">
        <f t="shared" si="36"/>
        <v>13876.2</v>
      </c>
      <c r="M48" s="4">
        <f t="shared" si="37"/>
        <v>21703.8</v>
      </c>
      <c r="N48" s="4">
        <f t="shared" si="38"/>
        <v>35580</v>
      </c>
      <c r="O48" s="4">
        <f t="shared" si="39"/>
        <v>23270</v>
      </c>
      <c r="P48" s="4">
        <f t="shared" si="40"/>
        <v>12310</v>
      </c>
      <c r="Q48" s="4">
        <f t="shared" si="41"/>
        <v>1550</v>
      </c>
    </row>
    <row r="49" spans="11:17" x14ac:dyDescent="0.35">
      <c r="K49" s="8">
        <f t="shared" si="35"/>
        <v>44895</v>
      </c>
      <c r="L49" s="2">
        <f t="shared" si="36"/>
        <v>9266.4</v>
      </c>
      <c r="M49" s="2">
        <f t="shared" si="37"/>
        <v>14493.6</v>
      </c>
      <c r="N49" s="2">
        <f t="shared" si="38"/>
        <v>23760</v>
      </c>
      <c r="O49" s="2">
        <f t="shared" si="39"/>
        <v>3830</v>
      </c>
      <c r="P49" s="2">
        <f t="shared" si="40"/>
        <v>19930</v>
      </c>
      <c r="Q49" s="2">
        <f t="shared" si="41"/>
        <v>560</v>
      </c>
    </row>
    <row r="50" spans="11:17" x14ac:dyDescent="0.35">
      <c r="K50" s="9">
        <f t="shared" si="35"/>
        <v>44896</v>
      </c>
      <c r="L50" s="4">
        <f t="shared" si="36"/>
        <v>7885.41</v>
      </c>
      <c r="M50" s="4">
        <f t="shared" si="37"/>
        <v>12333.59</v>
      </c>
      <c r="N50" s="4">
        <f t="shared" si="38"/>
        <v>20219</v>
      </c>
      <c r="O50" s="4">
        <f t="shared" si="39"/>
        <v>14705</v>
      </c>
      <c r="P50" s="4">
        <f t="shared" si="40"/>
        <v>5514</v>
      </c>
      <c r="Q50" s="4">
        <f t="shared" si="41"/>
        <v>1450</v>
      </c>
    </row>
    <row r="51" spans="11:17" x14ac:dyDescent="0.35">
      <c r="K51" s="8">
        <f t="shared" si="35"/>
        <v>44897</v>
      </c>
      <c r="L51" s="2">
        <f t="shared" si="36"/>
        <v>9673.9500000000007</v>
      </c>
      <c r="M51" s="2">
        <f t="shared" si="37"/>
        <v>15131.05</v>
      </c>
      <c r="N51" s="2">
        <f t="shared" si="38"/>
        <v>24805</v>
      </c>
      <c r="O51" s="2">
        <f t="shared" si="39"/>
        <v>8055</v>
      </c>
      <c r="P51" s="2">
        <f t="shared" si="40"/>
        <v>16750</v>
      </c>
      <c r="Q51" s="2">
        <f t="shared" si="41"/>
        <v>2040</v>
      </c>
    </row>
    <row r="52" spans="11:17" x14ac:dyDescent="0.35">
      <c r="K52" s="9">
        <f t="shared" si="35"/>
        <v>44898</v>
      </c>
      <c r="L52" s="4">
        <f t="shared" si="36"/>
        <v>13501.800000000001</v>
      </c>
      <c r="M52" s="4">
        <f t="shared" si="37"/>
        <v>21118.199999999997</v>
      </c>
      <c r="N52" s="4">
        <f t="shared" si="38"/>
        <v>34620</v>
      </c>
      <c r="O52" s="4">
        <f t="shared" si="39"/>
        <v>10260</v>
      </c>
      <c r="P52" s="4">
        <f t="shared" si="40"/>
        <v>24360</v>
      </c>
      <c r="Q52" s="4">
        <f t="shared" si="41"/>
        <v>4100</v>
      </c>
    </row>
    <row r="53" spans="11:17" x14ac:dyDescent="0.35">
      <c r="K53" s="8">
        <f t="shared" si="35"/>
        <v>44899</v>
      </c>
      <c r="L53" s="2">
        <f t="shared" si="36"/>
        <v>6867.9000000000005</v>
      </c>
      <c r="M53" s="2">
        <f t="shared" si="37"/>
        <v>10742.099999999999</v>
      </c>
      <c r="N53" s="2">
        <f t="shared" si="38"/>
        <v>17610</v>
      </c>
      <c r="O53" s="2">
        <f t="shared" si="39"/>
        <v>10660</v>
      </c>
      <c r="P53" s="2">
        <f t="shared" si="40"/>
        <v>6950</v>
      </c>
      <c r="Q53" s="2">
        <f t="shared" si="41"/>
        <v>1600</v>
      </c>
    </row>
    <row r="54" spans="11:17" x14ac:dyDescent="0.35">
      <c r="K54" s="3" t="s">
        <v>4</v>
      </c>
      <c r="L54" s="4">
        <f>SUM(L47:L53)</f>
        <v>69127.11</v>
      </c>
      <c r="M54" s="4">
        <f>SUM(M47:M53)</f>
        <v>108121.88999999998</v>
      </c>
      <c r="N54" s="4">
        <f>SUM(N47:N53)</f>
        <v>177249</v>
      </c>
      <c r="O54" s="4"/>
      <c r="P54" s="4"/>
      <c r="Q54" s="4"/>
    </row>
    <row r="55" spans="11:17" x14ac:dyDescent="0.35">
      <c r="K55" s="3" t="s">
        <v>0</v>
      </c>
      <c r="L55" s="2">
        <f>L54/3</f>
        <v>23042.37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44869</v>
      </c>
      <c r="L59" s="4">
        <f>SUM(B3:B32)</f>
        <v>242775.59999999998</v>
      </c>
      <c r="M59" s="4">
        <f t="shared" ref="M59:Q59" si="42">SUM(C3:C32)</f>
        <v>566476.4</v>
      </c>
      <c r="N59" s="4">
        <f t="shared" si="42"/>
        <v>809252</v>
      </c>
      <c r="O59" s="4">
        <f t="shared" si="42"/>
        <v>441624</v>
      </c>
      <c r="P59" s="4">
        <f t="shared" si="42"/>
        <v>367628</v>
      </c>
      <c r="Q59" s="4">
        <f t="shared" si="42"/>
        <v>111470</v>
      </c>
    </row>
    <row r="60" spans="11:17" x14ac:dyDescent="0.35">
      <c r="K60" s="3" t="s">
        <v>0</v>
      </c>
      <c r="L60" s="2">
        <f>L59/3</f>
        <v>80925.2</v>
      </c>
      <c r="M60" s="2"/>
      <c r="N60" s="2"/>
      <c r="O60" s="2"/>
      <c r="P60" s="2"/>
      <c r="Q60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8:Q58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4F24-E879-4D78-B88F-E865ED1DE59C}">
  <dimension ref="A1:Q60"/>
  <sheetViews>
    <sheetView tabSelected="1" zoomScale="90" zoomScaleNormal="90" workbookViewId="0">
      <pane ySplit="1" topLeftCell="A18" activePane="bottomLeft" state="frozen"/>
      <selection pane="bottomLeft" activeCell="B37" sqref="B37:F37"/>
    </sheetView>
  </sheetViews>
  <sheetFormatPr defaultColWidth="17.54296875" defaultRowHeight="14.5" x14ac:dyDescent="0.35"/>
  <cols>
    <col min="1" max="1" width="30" bestFit="1" customWidth="1"/>
    <col min="2" max="4" width="9.1796875" style="1" bestFit="1" customWidth="1"/>
    <col min="5" max="5" width="11.81640625" style="1" bestFit="1" customWidth="1"/>
    <col min="6" max="6" width="16.453125" style="1" bestFit="1" customWidth="1"/>
    <col min="7" max="7" width="8.81640625" style="1" bestFit="1" customWidth="1"/>
    <col min="8" max="8" width="11" bestFit="1" customWidth="1"/>
    <col min="9" max="9" width="12.7265625" bestFit="1" customWidth="1"/>
    <col min="11" max="11" width="30" bestFit="1" customWidth="1"/>
    <col min="12" max="15" width="9.1796875" bestFit="1" customWidth="1"/>
    <col min="16" max="16" width="17" bestFit="1" customWidth="1"/>
    <col min="17" max="17" width="9.26953125" bestFit="1" customWidth="1"/>
  </cols>
  <sheetData>
    <row r="1" spans="1:17" s="30" customFormat="1" x14ac:dyDescent="0.35">
      <c r="A1" s="37" t="s">
        <v>7</v>
      </c>
      <c r="B1" s="35" t="s">
        <v>6</v>
      </c>
      <c r="C1" s="35" t="s">
        <v>5</v>
      </c>
      <c r="D1" s="35" t="s">
        <v>4</v>
      </c>
      <c r="E1" s="36" t="s">
        <v>3</v>
      </c>
      <c r="F1" s="36" t="s">
        <v>2</v>
      </c>
      <c r="G1" s="35" t="s">
        <v>1</v>
      </c>
      <c r="H1" s="34" t="s">
        <v>9</v>
      </c>
      <c r="I1" s="33" t="s">
        <v>8</v>
      </c>
      <c r="K1" s="32" t="s">
        <v>7</v>
      </c>
      <c r="L1" s="31" t="s">
        <v>6</v>
      </c>
      <c r="M1" s="31" t="s">
        <v>5</v>
      </c>
      <c r="N1" s="31" t="s">
        <v>4</v>
      </c>
      <c r="O1" s="31" t="s">
        <v>3</v>
      </c>
      <c r="P1" s="31" t="s">
        <v>2</v>
      </c>
      <c r="Q1" s="31" t="s">
        <v>1</v>
      </c>
    </row>
    <row r="2" spans="1:17" x14ac:dyDescent="0.35">
      <c r="A2" s="23">
        <v>44893</v>
      </c>
      <c r="B2" s="22">
        <f t="shared" ref="B2:B36" si="0">D2*0.3</f>
        <v>6196.5</v>
      </c>
      <c r="C2" s="22">
        <f t="shared" ref="C2:C36" si="1">D2-B2</f>
        <v>14458.5</v>
      </c>
      <c r="D2" s="22">
        <f t="shared" ref="D2:D36" si="2">E2+F2</f>
        <v>20655</v>
      </c>
      <c r="E2" s="22">
        <v>3135</v>
      </c>
      <c r="F2" s="22">
        <v>17520</v>
      </c>
      <c r="G2" s="22">
        <v>1800</v>
      </c>
      <c r="H2" s="21">
        <f t="shared" ref="H2:H36" si="3">IFERROR(B2/C2,0)</f>
        <v>0.42857142857142855</v>
      </c>
      <c r="I2" s="20">
        <f>SUM($D$2:D2)-SUM($G$2:G2)</f>
        <v>18855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3">
        <v>44894</v>
      </c>
      <c r="B3" s="22">
        <f t="shared" si="0"/>
        <v>10674</v>
      </c>
      <c r="C3" s="22">
        <f t="shared" si="1"/>
        <v>24906</v>
      </c>
      <c r="D3" s="22">
        <f t="shared" si="2"/>
        <v>35580</v>
      </c>
      <c r="E3" s="22">
        <v>23270</v>
      </c>
      <c r="F3" s="22">
        <v>12310</v>
      </c>
      <c r="G3" s="22">
        <v>1550</v>
      </c>
      <c r="H3" s="21">
        <f t="shared" si="3"/>
        <v>0.42857142857142855</v>
      </c>
      <c r="I3" s="20">
        <f>SUM($D$2:D3)-SUM($G$2:G3)</f>
        <v>52885</v>
      </c>
      <c r="K3" s="8">
        <f t="shared" ref="K3:K9" si="4">A2</f>
        <v>44893</v>
      </c>
      <c r="L3" s="2">
        <f t="shared" ref="L3:L9" si="5">N3*0.39</f>
        <v>8055.4500000000007</v>
      </c>
      <c r="M3" s="2">
        <f t="shared" ref="M3:M9" si="6">N3-L3</f>
        <v>12599.55</v>
      </c>
      <c r="N3" s="2">
        <f t="shared" ref="N3:N9" si="7">O3+P3</f>
        <v>20655</v>
      </c>
      <c r="O3" s="2">
        <f t="shared" ref="O3:O9" si="8">VLOOKUP(K3,$A$1:$H$37,5,0)</f>
        <v>3135</v>
      </c>
      <c r="P3" s="2">
        <f t="shared" ref="P3:P9" si="9">VLOOKUP(K3,$A$1:$H$37,6,0)</f>
        <v>17520</v>
      </c>
      <c r="Q3" s="2">
        <f t="shared" ref="Q3:Q9" si="10">VLOOKUP(K3,$A$1:$H$37,7,0)</f>
        <v>1800</v>
      </c>
    </row>
    <row r="4" spans="1:17" x14ac:dyDescent="0.35">
      <c r="A4" s="23">
        <v>44895</v>
      </c>
      <c r="B4" s="22">
        <f t="shared" si="0"/>
        <v>7128</v>
      </c>
      <c r="C4" s="22">
        <f t="shared" si="1"/>
        <v>16632</v>
      </c>
      <c r="D4" s="22">
        <f t="shared" si="2"/>
        <v>23760</v>
      </c>
      <c r="E4" s="24">
        <v>3830</v>
      </c>
      <c r="F4" s="24">
        <v>19930</v>
      </c>
      <c r="G4" s="24">
        <v>560</v>
      </c>
      <c r="H4" s="21">
        <f t="shared" si="3"/>
        <v>0.42857142857142855</v>
      </c>
      <c r="I4" s="20">
        <f>SUM($D$2:D4)-SUM($G$2:G4)</f>
        <v>76085</v>
      </c>
      <c r="K4" s="9">
        <f t="shared" si="4"/>
        <v>44894</v>
      </c>
      <c r="L4" s="4">
        <f t="shared" si="5"/>
        <v>13876.2</v>
      </c>
      <c r="M4" s="4">
        <f t="shared" si="6"/>
        <v>21703.8</v>
      </c>
      <c r="N4" s="4">
        <f t="shared" si="7"/>
        <v>35580</v>
      </c>
      <c r="O4" s="4">
        <f t="shared" si="8"/>
        <v>23270</v>
      </c>
      <c r="P4" s="4">
        <f t="shared" si="9"/>
        <v>12310</v>
      </c>
      <c r="Q4" s="4">
        <f t="shared" si="10"/>
        <v>1550</v>
      </c>
    </row>
    <row r="5" spans="1:17" x14ac:dyDescent="0.35">
      <c r="A5" s="23">
        <v>44896</v>
      </c>
      <c r="B5" s="22">
        <f t="shared" si="0"/>
        <v>6065.7</v>
      </c>
      <c r="C5" s="22">
        <f t="shared" si="1"/>
        <v>14153.3</v>
      </c>
      <c r="D5" s="22">
        <f t="shared" si="2"/>
        <v>20219</v>
      </c>
      <c r="E5" s="22">
        <v>14705</v>
      </c>
      <c r="F5" s="22">
        <v>5514</v>
      </c>
      <c r="G5" s="22">
        <v>1450</v>
      </c>
      <c r="H5" s="21">
        <f t="shared" si="3"/>
        <v>0.4285714285714286</v>
      </c>
      <c r="I5" s="20">
        <f>SUM($D$2:D5)-SUM($G$2:G5)</f>
        <v>94854</v>
      </c>
      <c r="K5" s="8">
        <f t="shared" si="4"/>
        <v>44895</v>
      </c>
      <c r="L5" s="2">
        <f t="shared" si="5"/>
        <v>9266.4</v>
      </c>
      <c r="M5" s="2">
        <f t="shared" si="6"/>
        <v>14493.6</v>
      </c>
      <c r="N5" s="2">
        <f t="shared" si="7"/>
        <v>23760</v>
      </c>
      <c r="O5" s="2">
        <f t="shared" si="8"/>
        <v>3830</v>
      </c>
      <c r="P5" s="2">
        <f t="shared" si="9"/>
        <v>19930</v>
      </c>
      <c r="Q5" s="2">
        <f t="shared" si="10"/>
        <v>560</v>
      </c>
    </row>
    <row r="6" spans="1:17" x14ac:dyDescent="0.35">
      <c r="A6" s="23">
        <v>44897</v>
      </c>
      <c r="B6" s="22">
        <f t="shared" si="0"/>
        <v>7441.5</v>
      </c>
      <c r="C6" s="22">
        <f t="shared" si="1"/>
        <v>17363.5</v>
      </c>
      <c r="D6" s="22">
        <f t="shared" si="2"/>
        <v>24805</v>
      </c>
      <c r="E6" s="22">
        <v>8055</v>
      </c>
      <c r="F6" s="22">
        <v>16750</v>
      </c>
      <c r="G6" s="22">
        <v>2040</v>
      </c>
      <c r="H6" s="21">
        <f t="shared" si="3"/>
        <v>0.42857142857142855</v>
      </c>
      <c r="I6" s="20">
        <f>SUM($D$2:D6)-SUM($G$2:G6)</f>
        <v>117619</v>
      </c>
      <c r="K6" s="9">
        <f t="shared" si="4"/>
        <v>44896</v>
      </c>
      <c r="L6" s="4">
        <f t="shared" si="5"/>
        <v>7885.41</v>
      </c>
      <c r="M6" s="4">
        <f t="shared" si="6"/>
        <v>12333.59</v>
      </c>
      <c r="N6" s="4">
        <f t="shared" si="7"/>
        <v>20219</v>
      </c>
      <c r="O6" s="4">
        <f t="shared" si="8"/>
        <v>14705</v>
      </c>
      <c r="P6" s="4">
        <f t="shared" si="9"/>
        <v>5514</v>
      </c>
      <c r="Q6" s="4">
        <f t="shared" si="10"/>
        <v>1450</v>
      </c>
    </row>
    <row r="7" spans="1:17" x14ac:dyDescent="0.35">
      <c r="A7" s="23">
        <v>44898</v>
      </c>
      <c r="B7" s="22">
        <f t="shared" si="0"/>
        <v>10386</v>
      </c>
      <c r="C7" s="22">
        <f t="shared" si="1"/>
        <v>24234</v>
      </c>
      <c r="D7" s="22">
        <f t="shared" si="2"/>
        <v>34620</v>
      </c>
      <c r="E7" s="22">
        <v>10260</v>
      </c>
      <c r="F7" s="22">
        <v>24360</v>
      </c>
      <c r="G7" s="22">
        <v>4100</v>
      </c>
      <c r="H7" s="21">
        <f t="shared" si="3"/>
        <v>0.42857142857142855</v>
      </c>
      <c r="I7" s="20">
        <f>SUM($D$2:D7)-SUM($G$2:G7)</f>
        <v>148139</v>
      </c>
      <c r="K7" s="8">
        <f t="shared" si="4"/>
        <v>44897</v>
      </c>
      <c r="L7" s="2">
        <f t="shared" si="5"/>
        <v>9673.9500000000007</v>
      </c>
      <c r="M7" s="2">
        <f t="shared" si="6"/>
        <v>15131.05</v>
      </c>
      <c r="N7" s="2">
        <f t="shared" si="7"/>
        <v>24805</v>
      </c>
      <c r="O7" s="2">
        <f t="shared" si="8"/>
        <v>8055</v>
      </c>
      <c r="P7" s="2">
        <f t="shared" si="9"/>
        <v>16750</v>
      </c>
      <c r="Q7" s="2">
        <f t="shared" si="10"/>
        <v>2040</v>
      </c>
    </row>
    <row r="8" spans="1:17" x14ac:dyDescent="0.35">
      <c r="A8" s="23">
        <v>44899</v>
      </c>
      <c r="B8" s="22">
        <f t="shared" si="0"/>
        <v>5283</v>
      </c>
      <c r="C8" s="22">
        <f t="shared" si="1"/>
        <v>12327</v>
      </c>
      <c r="D8" s="22">
        <f t="shared" si="2"/>
        <v>17610</v>
      </c>
      <c r="E8" s="22">
        <v>10660</v>
      </c>
      <c r="F8" s="22">
        <v>6950</v>
      </c>
      <c r="G8" s="22">
        <v>1600</v>
      </c>
      <c r="H8" s="21">
        <f t="shared" si="3"/>
        <v>0.42857142857142855</v>
      </c>
      <c r="I8" s="20">
        <f>SUM($D$2:D8)-SUM($G$2:G8)</f>
        <v>164149</v>
      </c>
      <c r="K8" s="9">
        <f t="shared" si="4"/>
        <v>44898</v>
      </c>
      <c r="L8" s="4">
        <f t="shared" si="5"/>
        <v>13501.800000000001</v>
      </c>
      <c r="M8" s="4">
        <f t="shared" si="6"/>
        <v>21118.199999999997</v>
      </c>
      <c r="N8" s="4">
        <f t="shared" si="7"/>
        <v>34620</v>
      </c>
      <c r="O8" s="4">
        <f t="shared" si="8"/>
        <v>10260</v>
      </c>
      <c r="P8" s="4">
        <f t="shared" si="9"/>
        <v>24360</v>
      </c>
      <c r="Q8" s="4">
        <f t="shared" si="10"/>
        <v>4100</v>
      </c>
    </row>
    <row r="9" spans="1:17" x14ac:dyDescent="0.35">
      <c r="A9" s="23">
        <v>44900</v>
      </c>
      <c r="B9" s="22">
        <f t="shared" si="0"/>
        <v>4401.8999999999996</v>
      </c>
      <c r="C9" s="22">
        <f t="shared" si="1"/>
        <v>10271.1</v>
      </c>
      <c r="D9" s="22">
        <f t="shared" si="2"/>
        <v>14673</v>
      </c>
      <c r="E9" s="22">
        <f>8935+1250</f>
        <v>10185</v>
      </c>
      <c r="F9" s="22">
        <v>4488</v>
      </c>
      <c r="G9" s="22">
        <v>1320</v>
      </c>
      <c r="H9" s="21">
        <f t="shared" si="3"/>
        <v>0.42857142857142855</v>
      </c>
      <c r="I9" s="20">
        <f>SUM($D$2:D9)-SUM($G$2:G9)</f>
        <v>177502</v>
      </c>
      <c r="K9" s="8">
        <f t="shared" si="4"/>
        <v>44899</v>
      </c>
      <c r="L9" s="2">
        <f t="shared" si="5"/>
        <v>6867.9000000000005</v>
      </c>
      <c r="M9" s="2">
        <f t="shared" si="6"/>
        <v>10742.099999999999</v>
      </c>
      <c r="N9" s="2">
        <f t="shared" si="7"/>
        <v>17610</v>
      </c>
      <c r="O9" s="2">
        <f t="shared" si="8"/>
        <v>10660</v>
      </c>
      <c r="P9" s="2">
        <f t="shared" si="9"/>
        <v>6950</v>
      </c>
      <c r="Q9" s="2">
        <f t="shared" si="10"/>
        <v>1600</v>
      </c>
    </row>
    <row r="10" spans="1:17" x14ac:dyDescent="0.35">
      <c r="A10" s="23">
        <v>44901</v>
      </c>
      <c r="B10" s="22">
        <f t="shared" si="0"/>
        <v>7617.5999999999995</v>
      </c>
      <c r="C10" s="22">
        <f t="shared" si="1"/>
        <v>17774.400000000001</v>
      </c>
      <c r="D10" s="22">
        <f t="shared" si="2"/>
        <v>25392</v>
      </c>
      <c r="E10" s="22">
        <v>17010</v>
      </c>
      <c r="F10" s="22">
        <v>8382</v>
      </c>
      <c r="G10" s="22">
        <v>70</v>
      </c>
      <c r="H10" s="21">
        <f t="shared" si="3"/>
        <v>0.42857142857142849</v>
      </c>
      <c r="I10" s="20">
        <f>SUM($D$2:D10)-SUM($G$2:G10)</f>
        <v>202824</v>
      </c>
      <c r="K10" s="3" t="s">
        <v>4</v>
      </c>
      <c r="L10" s="3">
        <f>SUM(L3:L9)</f>
        <v>69127.11</v>
      </c>
      <c r="M10" s="3">
        <f>SUM(M2:M9)</f>
        <v>108121.88999999998</v>
      </c>
      <c r="N10" s="3">
        <f>SUM(N2:N9)</f>
        <v>177249</v>
      </c>
      <c r="O10" s="3">
        <f>SUM(O2:O9)</f>
        <v>73915</v>
      </c>
      <c r="P10" s="3">
        <f>SUM(P2:P9)</f>
        <v>103334</v>
      </c>
      <c r="Q10" s="3">
        <f>SUM(Q2:Q9)</f>
        <v>13100</v>
      </c>
    </row>
    <row r="11" spans="1:17" x14ac:dyDescent="0.35">
      <c r="A11" s="23">
        <v>44902</v>
      </c>
      <c r="B11" s="22">
        <f t="shared" si="0"/>
        <v>8233.1999999999989</v>
      </c>
      <c r="C11" s="22">
        <f t="shared" si="1"/>
        <v>19210.800000000003</v>
      </c>
      <c r="D11" s="22">
        <f t="shared" si="2"/>
        <v>27444</v>
      </c>
      <c r="E11" s="22">
        <v>19380</v>
      </c>
      <c r="F11" s="22">
        <v>8064</v>
      </c>
      <c r="G11" s="22">
        <v>480</v>
      </c>
      <c r="H11" s="21">
        <f t="shared" si="3"/>
        <v>0.42857142857142844</v>
      </c>
      <c r="I11" s="20">
        <f>SUM($D$2:D11)-SUM($G$2:G11)</f>
        <v>229788</v>
      </c>
      <c r="K11" s="3" t="s">
        <v>0</v>
      </c>
      <c r="L11" s="3">
        <f>L10/3</f>
        <v>23042.37</v>
      </c>
      <c r="M11" s="3"/>
      <c r="N11" s="3"/>
      <c r="O11" s="2"/>
      <c r="P11" s="2"/>
      <c r="Q11" s="2"/>
    </row>
    <row r="12" spans="1:17" x14ac:dyDescent="0.35">
      <c r="A12" s="23">
        <v>44903</v>
      </c>
      <c r="B12" s="22">
        <f t="shared" si="0"/>
        <v>13005</v>
      </c>
      <c r="C12" s="22">
        <f t="shared" si="1"/>
        <v>30345</v>
      </c>
      <c r="D12" s="22">
        <f t="shared" si="2"/>
        <v>43350</v>
      </c>
      <c r="E12" s="22">
        <v>13650</v>
      </c>
      <c r="F12" s="22">
        <v>29700</v>
      </c>
      <c r="G12" s="22">
        <v>5960</v>
      </c>
      <c r="H12" s="21">
        <f t="shared" si="3"/>
        <v>0.42857142857142855</v>
      </c>
      <c r="I12" s="20">
        <f>SUM($D$2:D12)-SUM($G$2:G12)</f>
        <v>267178</v>
      </c>
    </row>
    <row r="13" spans="1:17" x14ac:dyDescent="0.35">
      <c r="A13" s="23">
        <v>44904</v>
      </c>
      <c r="B13" s="22">
        <f t="shared" si="0"/>
        <v>9306</v>
      </c>
      <c r="C13" s="22">
        <f t="shared" si="1"/>
        <v>21714</v>
      </c>
      <c r="D13" s="22">
        <f t="shared" si="2"/>
        <v>31020</v>
      </c>
      <c r="E13" s="22">
        <v>6460</v>
      </c>
      <c r="F13" s="22">
        <v>24560</v>
      </c>
      <c r="G13" s="22">
        <v>2100</v>
      </c>
      <c r="H13" s="21">
        <f t="shared" si="3"/>
        <v>0.42857142857142855</v>
      </c>
      <c r="I13" s="20">
        <f>SUM($D$2:D13)-SUM($G$2:G13)</f>
        <v>296098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3">
        <v>44905</v>
      </c>
      <c r="B14" s="22">
        <f t="shared" si="0"/>
        <v>4026</v>
      </c>
      <c r="C14" s="22">
        <f t="shared" si="1"/>
        <v>9394</v>
      </c>
      <c r="D14" s="22">
        <f t="shared" si="2"/>
        <v>13420</v>
      </c>
      <c r="E14" s="22">
        <v>8620</v>
      </c>
      <c r="F14" s="22">
        <v>4800</v>
      </c>
      <c r="G14" s="22">
        <v>120</v>
      </c>
      <c r="H14" s="21">
        <f t="shared" si="3"/>
        <v>0.42857142857142855</v>
      </c>
      <c r="I14" s="20">
        <f>SUM($D$2:D14)-SUM($G$2:G14)</f>
        <v>309398</v>
      </c>
      <c r="K14" s="8">
        <f t="shared" ref="K14:K20" si="11">A9</f>
        <v>44900</v>
      </c>
      <c r="L14" s="2">
        <f t="shared" ref="L14:L20" si="12">N14*0.39</f>
        <v>5722.47</v>
      </c>
      <c r="M14" s="2">
        <f t="shared" ref="M14:M20" si="13">N14-L14</f>
        <v>8950.5299999999988</v>
      </c>
      <c r="N14" s="2">
        <f t="shared" ref="N14:N20" si="14">O14+P14</f>
        <v>14673</v>
      </c>
      <c r="O14" s="2">
        <f t="shared" ref="O14:O20" si="15">VLOOKUP(K14,$A$1:$H$37,5,0)</f>
        <v>10185</v>
      </c>
      <c r="P14" s="2">
        <f t="shared" ref="P14:P20" si="16">VLOOKUP(K14,$A$1:$H$37,6,0)</f>
        <v>4488</v>
      </c>
      <c r="Q14" s="2">
        <f t="shared" ref="Q14:Q20" si="17">VLOOKUP(K14,$A$1:$H$37,7,0)</f>
        <v>1320</v>
      </c>
    </row>
    <row r="15" spans="1:17" x14ac:dyDescent="0.35">
      <c r="A15" s="23">
        <v>44906</v>
      </c>
      <c r="B15" s="22">
        <f t="shared" si="0"/>
        <v>3072.2999999999997</v>
      </c>
      <c r="C15" s="22">
        <f t="shared" si="1"/>
        <v>7168.7000000000007</v>
      </c>
      <c r="D15" s="22">
        <f t="shared" si="2"/>
        <v>10241</v>
      </c>
      <c r="E15" s="22">
        <v>5190</v>
      </c>
      <c r="F15" s="22">
        <v>5051</v>
      </c>
      <c r="G15" s="22">
        <v>13800</v>
      </c>
      <c r="H15" s="21">
        <f t="shared" si="3"/>
        <v>0.42857142857142849</v>
      </c>
      <c r="I15" s="20">
        <f>SUM($D$2:D15)-SUM($G$2:G15)</f>
        <v>305839</v>
      </c>
      <c r="K15" s="9">
        <f t="shared" si="11"/>
        <v>44901</v>
      </c>
      <c r="L15" s="4">
        <f t="shared" si="12"/>
        <v>9902.880000000001</v>
      </c>
      <c r="M15" s="4">
        <f t="shared" si="13"/>
        <v>15489.119999999999</v>
      </c>
      <c r="N15" s="4">
        <f t="shared" si="14"/>
        <v>25392</v>
      </c>
      <c r="O15" s="4">
        <f t="shared" si="15"/>
        <v>17010</v>
      </c>
      <c r="P15" s="4">
        <f t="shared" si="16"/>
        <v>8382</v>
      </c>
      <c r="Q15" s="4">
        <f t="shared" si="17"/>
        <v>70</v>
      </c>
    </row>
    <row r="16" spans="1:17" x14ac:dyDescent="0.35">
      <c r="A16" s="23">
        <v>44907</v>
      </c>
      <c r="B16" s="22">
        <f t="shared" si="0"/>
        <v>5569.5</v>
      </c>
      <c r="C16" s="22">
        <f t="shared" si="1"/>
        <v>12995.5</v>
      </c>
      <c r="D16" s="22">
        <f t="shared" si="2"/>
        <v>18565</v>
      </c>
      <c r="E16" s="22">
        <v>18105</v>
      </c>
      <c r="F16" s="22">
        <v>460</v>
      </c>
      <c r="G16" s="22">
        <v>100</v>
      </c>
      <c r="H16" s="21">
        <f t="shared" si="3"/>
        <v>0.42857142857142855</v>
      </c>
      <c r="I16" s="20">
        <f>SUM($D$2:D16)-SUM($G$2:G16)</f>
        <v>324304</v>
      </c>
      <c r="K16" s="8">
        <f t="shared" si="11"/>
        <v>44902</v>
      </c>
      <c r="L16" s="2">
        <f t="shared" si="12"/>
        <v>10703.16</v>
      </c>
      <c r="M16" s="2">
        <f t="shared" si="13"/>
        <v>16740.84</v>
      </c>
      <c r="N16" s="2">
        <f t="shared" si="14"/>
        <v>27444</v>
      </c>
      <c r="O16" s="2">
        <f t="shared" si="15"/>
        <v>19380</v>
      </c>
      <c r="P16" s="2">
        <f t="shared" si="16"/>
        <v>8064</v>
      </c>
      <c r="Q16" s="2">
        <f t="shared" si="17"/>
        <v>480</v>
      </c>
    </row>
    <row r="17" spans="1:17" x14ac:dyDescent="0.35">
      <c r="A17" s="23">
        <v>44908</v>
      </c>
      <c r="B17" s="22">
        <f t="shared" si="0"/>
        <v>6624</v>
      </c>
      <c r="C17" s="22">
        <f t="shared" si="1"/>
        <v>15456</v>
      </c>
      <c r="D17" s="22">
        <f t="shared" si="2"/>
        <v>22080</v>
      </c>
      <c r="E17" s="22">
        <v>9130</v>
      </c>
      <c r="F17" s="22">
        <v>12950</v>
      </c>
      <c r="G17" s="22">
        <v>545</v>
      </c>
      <c r="H17" s="21">
        <f t="shared" si="3"/>
        <v>0.42857142857142855</v>
      </c>
      <c r="I17" s="20">
        <f>SUM($D$2:D17)-SUM($G$2:G17)</f>
        <v>345839</v>
      </c>
      <c r="K17" s="9">
        <f t="shared" si="11"/>
        <v>44903</v>
      </c>
      <c r="L17" s="4">
        <f t="shared" si="12"/>
        <v>16906.5</v>
      </c>
      <c r="M17" s="4">
        <f t="shared" si="13"/>
        <v>26443.5</v>
      </c>
      <c r="N17" s="4">
        <f t="shared" si="14"/>
        <v>43350</v>
      </c>
      <c r="O17" s="4">
        <f t="shared" si="15"/>
        <v>13650</v>
      </c>
      <c r="P17" s="4">
        <f t="shared" si="16"/>
        <v>29700</v>
      </c>
      <c r="Q17" s="4">
        <f t="shared" si="17"/>
        <v>5960</v>
      </c>
    </row>
    <row r="18" spans="1:17" x14ac:dyDescent="0.35">
      <c r="A18" s="23">
        <v>44909</v>
      </c>
      <c r="B18" s="22">
        <f t="shared" si="0"/>
        <v>11614.5</v>
      </c>
      <c r="C18" s="22">
        <f t="shared" si="1"/>
        <v>27100.5</v>
      </c>
      <c r="D18" s="22">
        <f t="shared" si="2"/>
        <v>38715</v>
      </c>
      <c r="E18" s="22">
        <v>15015</v>
      </c>
      <c r="F18" s="22">
        <v>23700</v>
      </c>
      <c r="G18" s="22">
        <v>5050</v>
      </c>
      <c r="H18" s="21">
        <f t="shared" si="3"/>
        <v>0.42857142857142855</v>
      </c>
      <c r="I18" s="20">
        <f>SUM($D$2:D18)-SUM($G$2:G18)</f>
        <v>379504</v>
      </c>
      <c r="K18" s="8">
        <f t="shared" si="11"/>
        <v>44904</v>
      </c>
      <c r="L18" s="2">
        <f t="shared" si="12"/>
        <v>12097.800000000001</v>
      </c>
      <c r="M18" s="2">
        <f t="shared" si="13"/>
        <v>18922.199999999997</v>
      </c>
      <c r="N18" s="2">
        <f t="shared" si="14"/>
        <v>31020</v>
      </c>
      <c r="O18" s="2">
        <f t="shared" si="15"/>
        <v>6460</v>
      </c>
      <c r="P18" s="2">
        <f t="shared" si="16"/>
        <v>24560</v>
      </c>
      <c r="Q18" s="2">
        <f t="shared" si="17"/>
        <v>2100</v>
      </c>
    </row>
    <row r="19" spans="1:17" x14ac:dyDescent="0.35">
      <c r="A19" s="23">
        <v>44910</v>
      </c>
      <c r="B19" s="22">
        <f t="shared" si="0"/>
        <v>6504</v>
      </c>
      <c r="C19" s="22">
        <f t="shared" si="1"/>
        <v>15176</v>
      </c>
      <c r="D19" s="22">
        <f t="shared" si="2"/>
        <v>21680</v>
      </c>
      <c r="E19" s="22">
        <v>15080</v>
      </c>
      <c r="F19" s="22">
        <v>6600</v>
      </c>
      <c r="G19" s="22">
        <v>1080</v>
      </c>
      <c r="H19" s="21">
        <f t="shared" si="3"/>
        <v>0.42857142857142855</v>
      </c>
      <c r="I19" s="20">
        <f>SUM($D$2:D19)-SUM($G$2:G19)</f>
        <v>400104</v>
      </c>
      <c r="K19" s="9">
        <f t="shared" si="11"/>
        <v>44905</v>
      </c>
      <c r="L19" s="4">
        <f t="shared" si="12"/>
        <v>5233.8</v>
      </c>
      <c r="M19" s="4">
        <f t="shared" si="13"/>
        <v>8186.2</v>
      </c>
      <c r="N19" s="4">
        <f t="shared" si="14"/>
        <v>13420</v>
      </c>
      <c r="O19" s="4">
        <f t="shared" si="15"/>
        <v>8620</v>
      </c>
      <c r="P19" s="4">
        <f t="shared" si="16"/>
        <v>4800</v>
      </c>
      <c r="Q19" s="4">
        <f t="shared" si="17"/>
        <v>120</v>
      </c>
    </row>
    <row r="20" spans="1:17" x14ac:dyDescent="0.35">
      <c r="A20" s="23">
        <v>44911</v>
      </c>
      <c r="B20" s="22">
        <f t="shared" si="0"/>
        <v>9276</v>
      </c>
      <c r="C20" s="22">
        <f t="shared" si="1"/>
        <v>21644</v>
      </c>
      <c r="D20" s="22">
        <f t="shared" si="2"/>
        <v>30920</v>
      </c>
      <c r="E20" s="22">
        <v>18420</v>
      </c>
      <c r="F20" s="22">
        <v>12500</v>
      </c>
      <c r="G20" s="22">
        <v>600</v>
      </c>
      <c r="H20" s="21">
        <f t="shared" si="3"/>
        <v>0.42857142857142855</v>
      </c>
      <c r="I20" s="20">
        <f>SUM($D$2:D20)-SUM($G$2:G20)</f>
        <v>430424</v>
      </c>
      <c r="K20" s="8">
        <f t="shared" si="11"/>
        <v>44906</v>
      </c>
      <c r="L20" s="2">
        <f t="shared" si="12"/>
        <v>3993.9900000000002</v>
      </c>
      <c r="M20" s="2">
        <f t="shared" si="13"/>
        <v>6247.01</v>
      </c>
      <c r="N20" s="2">
        <f t="shared" si="14"/>
        <v>10241</v>
      </c>
      <c r="O20" s="2">
        <f t="shared" si="15"/>
        <v>5190</v>
      </c>
      <c r="P20" s="2">
        <f t="shared" si="16"/>
        <v>5051</v>
      </c>
      <c r="Q20" s="2">
        <f t="shared" si="17"/>
        <v>13800</v>
      </c>
    </row>
    <row r="21" spans="1:17" x14ac:dyDescent="0.35">
      <c r="A21" s="23">
        <v>44912</v>
      </c>
      <c r="B21" s="22">
        <f t="shared" si="0"/>
        <v>12609</v>
      </c>
      <c r="C21" s="22">
        <f t="shared" si="1"/>
        <v>29421</v>
      </c>
      <c r="D21" s="22">
        <f t="shared" si="2"/>
        <v>42030</v>
      </c>
      <c r="E21" s="22">
        <v>2050</v>
      </c>
      <c r="F21" s="22">
        <v>39980</v>
      </c>
      <c r="G21" s="22">
        <v>14700</v>
      </c>
      <c r="H21" s="21">
        <f t="shared" si="3"/>
        <v>0.42857142857142855</v>
      </c>
      <c r="I21" s="20">
        <f>SUM($D$2:D21)-SUM($G$2:G21)</f>
        <v>457754</v>
      </c>
      <c r="K21" s="3" t="s">
        <v>4</v>
      </c>
      <c r="L21" s="3">
        <f t="shared" ref="L21:Q21" si="18">SUM(L14:L20)</f>
        <v>64560.600000000006</v>
      </c>
      <c r="M21" s="3">
        <f t="shared" si="18"/>
        <v>100979.39999999998</v>
      </c>
      <c r="N21" s="3">
        <f t="shared" si="18"/>
        <v>165540</v>
      </c>
      <c r="O21" s="3">
        <f t="shared" si="18"/>
        <v>80495</v>
      </c>
      <c r="P21" s="3">
        <f t="shared" si="18"/>
        <v>85045</v>
      </c>
      <c r="Q21" s="3">
        <f t="shared" si="18"/>
        <v>23850</v>
      </c>
    </row>
    <row r="22" spans="1:17" x14ac:dyDescent="0.35">
      <c r="A22" s="23">
        <v>44913</v>
      </c>
      <c r="B22" s="22">
        <f t="shared" si="0"/>
        <v>7978.2</v>
      </c>
      <c r="C22" s="22">
        <f t="shared" si="1"/>
        <v>18615.8</v>
      </c>
      <c r="D22" s="22">
        <f t="shared" si="2"/>
        <v>26594</v>
      </c>
      <c r="E22" s="22">
        <v>5564</v>
      </c>
      <c r="F22" s="22">
        <v>21030</v>
      </c>
      <c r="G22" s="22">
        <v>2165</v>
      </c>
      <c r="H22" s="21">
        <f t="shared" si="3"/>
        <v>0.4285714285714286</v>
      </c>
      <c r="I22" s="20">
        <f>SUM($D$2:D22)-SUM($G$2:G22)</f>
        <v>482183</v>
      </c>
      <c r="K22" s="3" t="s">
        <v>0</v>
      </c>
      <c r="L22" s="3">
        <f>L21/3</f>
        <v>21520.2</v>
      </c>
      <c r="M22" s="3"/>
      <c r="N22" s="3"/>
      <c r="O22" s="2"/>
      <c r="P22" s="2"/>
      <c r="Q22" s="2"/>
    </row>
    <row r="23" spans="1:17" x14ac:dyDescent="0.35">
      <c r="A23" s="23">
        <v>44914</v>
      </c>
      <c r="B23" s="22">
        <f t="shared" si="0"/>
        <v>4812.8999999999996</v>
      </c>
      <c r="C23" s="22">
        <f t="shared" si="1"/>
        <v>11230.1</v>
      </c>
      <c r="D23" s="22">
        <f t="shared" si="2"/>
        <v>16043</v>
      </c>
      <c r="E23" s="22">
        <v>10450</v>
      </c>
      <c r="F23" s="22">
        <v>5593</v>
      </c>
      <c r="G23" s="22">
        <v>5121</v>
      </c>
      <c r="H23" s="21">
        <f t="shared" si="3"/>
        <v>0.42857142857142855</v>
      </c>
      <c r="I23" s="20">
        <f>SUM($D$2:D23)-SUM($G$2:G23)</f>
        <v>493105</v>
      </c>
    </row>
    <row r="24" spans="1:17" x14ac:dyDescent="0.35">
      <c r="A24" s="23">
        <v>44915</v>
      </c>
      <c r="B24" s="22">
        <f t="shared" si="0"/>
        <v>1476</v>
      </c>
      <c r="C24" s="22">
        <f t="shared" si="1"/>
        <v>3444</v>
      </c>
      <c r="D24" s="22">
        <f t="shared" si="2"/>
        <v>4920</v>
      </c>
      <c r="E24" s="22">
        <v>4500</v>
      </c>
      <c r="F24" s="22">
        <v>420</v>
      </c>
      <c r="G24" s="22">
        <v>1260</v>
      </c>
      <c r="H24" s="21">
        <f t="shared" si="3"/>
        <v>0.42857142857142855</v>
      </c>
      <c r="I24" s="20">
        <f>SUM($D$2:D24)-SUM($G$2:G24)</f>
        <v>496765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3">
        <v>44916</v>
      </c>
      <c r="B25" s="22">
        <f t="shared" si="0"/>
        <v>4354.5</v>
      </c>
      <c r="C25" s="22">
        <f t="shared" si="1"/>
        <v>10160.5</v>
      </c>
      <c r="D25" s="22">
        <f t="shared" si="2"/>
        <v>14515</v>
      </c>
      <c r="E25" s="22">
        <v>2825</v>
      </c>
      <c r="F25" s="22">
        <v>11690</v>
      </c>
      <c r="G25" s="22">
        <v>960</v>
      </c>
      <c r="H25" s="21">
        <f t="shared" si="3"/>
        <v>0.42857142857142855</v>
      </c>
      <c r="I25" s="20">
        <f>SUM($D$2:D25)-SUM($G$2:G25)</f>
        <v>510320</v>
      </c>
      <c r="K25" s="8">
        <f t="shared" ref="K25:K31" si="19">A16</f>
        <v>44907</v>
      </c>
      <c r="L25" s="2">
        <f t="shared" ref="L25:L31" si="20">N25*0.39</f>
        <v>7240.35</v>
      </c>
      <c r="M25" s="2">
        <f t="shared" ref="M25:M31" si="21">N25-L25</f>
        <v>11324.65</v>
      </c>
      <c r="N25" s="2">
        <f t="shared" ref="N25:N31" si="22">O25+P25</f>
        <v>18565</v>
      </c>
      <c r="O25" s="2">
        <f t="shared" ref="O25:O31" si="23">VLOOKUP(K25,$A$1:$H$37,5,0)</f>
        <v>18105</v>
      </c>
      <c r="P25" s="2">
        <f t="shared" ref="P25:P31" si="24">VLOOKUP(K25,$A$1:$H$37,6,0)</f>
        <v>460</v>
      </c>
      <c r="Q25" s="2">
        <f t="shared" ref="Q25:Q31" si="25">VLOOKUP(K25,$A$1:$H$37,7,0)</f>
        <v>100</v>
      </c>
    </row>
    <row r="26" spans="1:17" x14ac:dyDescent="0.35">
      <c r="A26" s="23">
        <v>44917</v>
      </c>
      <c r="B26" s="22">
        <f t="shared" si="0"/>
        <v>4788</v>
      </c>
      <c r="C26" s="22">
        <f t="shared" si="1"/>
        <v>11172</v>
      </c>
      <c r="D26" s="22">
        <f t="shared" si="2"/>
        <v>15960</v>
      </c>
      <c r="E26" s="22">
        <v>4380</v>
      </c>
      <c r="F26" s="22">
        <v>11580</v>
      </c>
      <c r="G26" s="22">
        <v>200</v>
      </c>
      <c r="H26" s="21">
        <f t="shared" si="3"/>
        <v>0.42857142857142855</v>
      </c>
      <c r="I26" s="20">
        <f>SUM($D$2:D26)-SUM($G$2:G26)</f>
        <v>526080</v>
      </c>
      <c r="K26" s="9">
        <f t="shared" si="19"/>
        <v>44908</v>
      </c>
      <c r="L26" s="4">
        <f t="shared" si="20"/>
        <v>8611.2000000000007</v>
      </c>
      <c r="M26" s="4">
        <f t="shared" si="21"/>
        <v>13468.8</v>
      </c>
      <c r="N26" s="4">
        <f t="shared" si="22"/>
        <v>22080</v>
      </c>
      <c r="O26" s="4">
        <f t="shared" si="23"/>
        <v>9130</v>
      </c>
      <c r="P26" s="4">
        <f t="shared" si="24"/>
        <v>12950</v>
      </c>
      <c r="Q26" s="4">
        <f t="shared" si="25"/>
        <v>545</v>
      </c>
    </row>
    <row r="27" spans="1:17" x14ac:dyDescent="0.35">
      <c r="A27" s="23">
        <v>44918</v>
      </c>
      <c r="B27" s="22">
        <f t="shared" si="0"/>
        <v>7623</v>
      </c>
      <c r="C27" s="22">
        <f t="shared" si="1"/>
        <v>17787</v>
      </c>
      <c r="D27" s="22">
        <f t="shared" si="2"/>
        <v>25410</v>
      </c>
      <c r="E27" s="22">
        <v>14610</v>
      </c>
      <c r="F27" s="22">
        <v>10800</v>
      </c>
      <c r="G27" s="22">
        <v>560</v>
      </c>
      <c r="H27" s="21">
        <f t="shared" si="3"/>
        <v>0.42857142857142855</v>
      </c>
      <c r="I27" s="20">
        <f>SUM($D$2:D27)-SUM($G$2:G27)</f>
        <v>550930</v>
      </c>
      <c r="K27" s="8">
        <f t="shared" si="19"/>
        <v>44909</v>
      </c>
      <c r="L27" s="2">
        <f t="shared" si="20"/>
        <v>15098.85</v>
      </c>
      <c r="M27" s="2">
        <f t="shared" si="21"/>
        <v>23616.15</v>
      </c>
      <c r="N27" s="2">
        <f t="shared" si="22"/>
        <v>38715</v>
      </c>
      <c r="O27" s="2">
        <f t="shared" si="23"/>
        <v>15015</v>
      </c>
      <c r="P27" s="2">
        <f t="shared" si="24"/>
        <v>23700</v>
      </c>
      <c r="Q27" s="2">
        <f t="shared" si="25"/>
        <v>5050</v>
      </c>
    </row>
    <row r="28" spans="1:17" x14ac:dyDescent="0.35">
      <c r="A28" s="23">
        <v>44919</v>
      </c>
      <c r="B28" s="22">
        <f t="shared" si="0"/>
        <v>4467</v>
      </c>
      <c r="C28" s="22">
        <f t="shared" si="1"/>
        <v>10423</v>
      </c>
      <c r="D28" s="22">
        <f t="shared" si="2"/>
        <v>14890</v>
      </c>
      <c r="E28" s="22">
        <v>4910</v>
      </c>
      <c r="F28" s="22">
        <v>9980</v>
      </c>
      <c r="G28" s="22">
        <v>4600</v>
      </c>
      <c r="H28" s="21">
        <f t="shared" si="3"/>
        <v>0.42857142857142855</v>
      </c>
      <c r="I28" s="20">
        <f>SUM($D$2:D28)-SUM($G$2:G28)</f>
        <v>561220</v>
      </c>
      <c r="K28" s="9">
        <f t="shared" si="19"/>
        <v>44910</v>
      </c>
      <c r="L28" s="4">
        <f t="shared" si="20"/>
        <v>8455.2000000000007</v>
      </c>
      <c r="M28" s="4">
        <f t="shared" si="21"/>
        <v>13224.8</v>
      </c>
      <c r="N28" s="4">
        <f t="shared" si="22"/>
        <v>21680</v>
      </c>
      <c r="O28" s="4">
        <f t="shared" si="23"/>
        <v>15080</v>
      </c>
      <c r="P28" s="4">
        <f t="shared" si="24"/>
        <v>6600</v>
      </c>
      <c r="Q28" s="4">
        <f t="shared" si="25"/>
        <v>1080</v>
      </c>
    </row>
    <row r="29" spans="1:17" x14ac:dyDescent="0.35">
      <c r="A29" s="23">
        <v>44920</v>
      </c>
      <c r="B29" s="22">
        <f t="shared" si="0"/>
        <v>8508</v>
      </c>
      <c r="C29" s="22">
        <f t="shared" si="1"/>
        <v>19852</v>
      </c>
      <c r="D29" s="22">
        <f t="shared" si="2"/>
        <v>28360</v>
      </c>
      <c r="E29" s="22">
        <v>10420</v>
      </c>
      <c r="F29" s="22">
        <v>17940</v>
      </c>
      <c r="G29" s="22">
        <v>950</v>
      </c>
      <c r="H29" s="21">
        <f t="shared" si="3"/>
        <v>0.42857142857142855</v>
      </c>
      <c r="I29" s="20">
        <f>SUM($D$2:D29)-SUM($G$2:G29)</f>
        <v>588630</v>
      </c>
      <c r="K29" s="8">
        <f t="shared" si="19"/>
        <v>44911</v>
      </c>
      <c r="L29" s="2">
        <f t="shared" si="20"/>
        <v>12058.800000000001</v>
      </c>
      <c r="M29" s="2">
        <f t="shared" si="21"/>
        <v>18861.199999999997</v>
      </c>
      <c r="N29" s="2">
        <f t="shared" si="22"/>
        <v>30920</v>
      </c>
      <c r="O29" s="2">
        <f t="shared" si="23"/>
        <v>18420</v>
      </c>
      <c r="P29" s="2">
        <f t="shared" si="24"/>
        <v>12500</v>
      </c>
      <c r="Q29" s="2">
        <f t="shared" si="25"/>
        <v>600</v>
      </c>
    </row>
    <row r="30" spans="1:17" x14ac:dyDescent="0.35">
      <c r="A30" s="23">
        <v>44921</v>
      </c>
      <c r="B30" s="22">
        <f t="shared" si="0"/>
        <v>2202</v>
      </c>
      <c r="C30" s="22">
        <f t="shared" si="1"/>
        <v>5138</v>
      </c>
      <c r="D30" s="22">
        <f t="shared" si="2"/>
        <v>7340</v>
      </c>
      <c r="E30" s="22">
        <v>6940</v>
      </c>
      <c r="F30" s="22">
        <v>400</v>
      </c>
      <c r="G30" s="22">
        <v>6570</v>
      </c>
      <c r="H30" s="21">
        <f t="shared" si="3"/>
        <v>0.42857142857142855</v>
      </c>
      <c r="I30" s="20">
        <f>SUM($D$2:D30)-SUM($G$2:G30)</f>
        <v>589400</v>
      </c>
      <c r="K30" s="9">
        <f t="shared" si="19"/>
        <v>44912</v>
      </c>
      <c r="L30" s="4">
        <f t="shared" si="20"/>
        <v>16391.7</v>
      </c>
      <c r="M30" s="4">
        <f t="shared" si="21"/>
        <v>25638.3</v>
      </c>
      <c r="N30" s="4">
        <f t="shared" si="22"/>
        <v>42030</v>
      </c>
      <c r="O30" s="4">
        <f t="shared" si="23"/>
        <v>2050</v>
      </c>
      <c r="P30" s="4">
        <f t="shared" si="24"/>
        <v>39980</v>
      </c>
      <c r="Q30" s="4">
        <f t="shared" si="25"/>
        <v>14700</v>
      </c>
    </row>
    <row r="31" spans="1:17" x14ac:dyDescent="0.35">
      <c r="A31" s="23">
        <v>44922</v>
      </c>
      <c r="B31" s="22">
        <f t="shared" si="0"/>
        <v>4518</v>
      </c>
      <c r="C31" s="22">
        <f t="shared" si="1"/>
        <v>10542</v>
      </c>
      <c r="D31" s="22">
        <f t="shared" si="2"/>
        <v>15060</v>
      </c>
      <c r="E31" s="22">
        <v>14060</v>
      </c>
      <c r="F31" s="22">
        <v>1000</v>
      </c>
      <c r="G31" s="22">
        <v>350</v>
      </c>
      <c r="H31" s="21">
        <f t="shared" si="3"/>
        <v>0.42857142857142855</v>
      </c>
      <c r="I31" s="20">
        <f>SUM($D$2:D31)-SUM($G$2:G31)</f>
        <v>604110</v>
      </c>
      <c r="K31" s="8">
        <f t="shared" si="19"/>
        <v>44913</v>
      </c>
      <c r="L31" s="2">
        <f t="shared" si="20"/>
        <v>10371.66</v>
      </c>
      <c r="M31" s="2">
        <f t="shared" si="21"/>
        <v>16222.34</v>
      </c>
      <c r="N31" s="2">
        <f t="shared" si="22"/>
        <v>26594</v>
      </c>
      <c r="O31" s="2">
        <f t="shared" si="23"/>
        <v>5564</v>
      </c>
      <c r="P31" s="2">
        <f t="shared" si="24"/>
        <v>21030</v>
      </c>
      <c r="Q31" s="2">
        <f t="shared" si="25"/>
        <v>2165</v>
      </c>
    </row>
    <row r="32" spans="1:17" x14ac:dyDescent="0.35">
      <c r="A32" s="23">
        <v>44923</v>
      </c>
      <c r="B32" s="22">
        <f t="shared" si="0"/>
        <v>8469</v>
      </c>
      <c r="C32" s="22">
        <f t="shared" si="1"/>
        <v>19761</v>
      </c>
      <c r="D32" s="22">
        <f t="shared" si="2"/>
        <v>28230</v>
      </c>
      <c r="E32" s="24">
        <v>13560</v>
      </c>
      <c r="F32" s="24">
        <v>14670</v>
      </c>
      <c r="G32" s="24">
        <v>3305</v>
      </c>
      <c r="H32" s="21">
        <f t="shared" si="3"/>
        <v>0.42857142857142855</v>
      </c>
      <c r="I32" s="20">
        <f>SUM($D$2:D32)-SUM($G$2:G32)</f>
        <v>629035</v>
      </c>
      <c r="K32" s="3" t="s">
        <v>4</v>
      </c>
      <c r="L32" s="2">
        <f t="shared" ref="L32:Q32" si="26">SUM(L25:L31)</f>
        <v>78227.760000000009</v>
      </c>
      <c r="M32" s="2">
        <f t="shared" si="26"/>
        <v>122356.23999999999</v>
      </c>
      <c r="N32" s="2">
        <f t="shared" si="26"/>
        <v>200584</v>
      </c>
      <c r="O32" s="2">
        <f t="shared" si="26"/>
        <v>83364</v>
      </c>
      <c r="P32" s="2">
        <f t="shared" si="26"/>
        <v>117220</v>
      </c>
      <c r="Q32" s="2">
        <f t="shared" si="26"/>
        <v>24240</v>
      </c>
    </row>
    <row r="33" spans="1:17" x14ac:dyDescent="0.35">
      <c r="A33" s="23">
        <v>44924</v>
      </c>
      <c r="B33" s="22">
        <f t="shared" si="0"/>
        <v>5917.2</v>
      </c>
      <c r="C33" s="22">
        <f t="shared" si="1"/>
        <v>13806.8</v>
      </c>
      <c r="D33" s="22">
        <f t="shared" si="2"/>
        <v>19724</v>
      </c>
      <c r="E33" s="22">
        <v>14090</v>
      </c>
      <c r="F33" s="22">
        <v>5634</v>
      </c>
      <c r="G33" s="22">
        <v>1440</v>
      </c>
      <c r="H33" s="21">
        <f t="shared" si="3"/>
        <v>0.4285714285714286</v>
      </c>
      <c r="I33" s="20">
        <f>SUM($D$2:D33)-SUM($G$2:G33)</f>
        <v>647319</v>
      </c>
      <c r="K33" s="3" t="s">
        <v>0</v>
      </c>
      <c r="L33" s="4">
        <f>L32/3</f>
        <v>26075.920000000002</v>
      </c>
      <c r="M33" s="4"/>
      <c r="N33" s="4"/>
      <c r="O33" s="4"/>
      <c r="P33" s="4"/>
      <c r="Q33" s="4"/>
    </row>
    <row r="34" spans="1:17" x14ac:dyDescent="0.35">
      <c r="A34" s="23">
        <v>44925</v>
      </c>
      <c r="B34" s="22">
        <f t="shared" si="0"/>
        <v>5523</v>
      </c>
      <c r="C34" s="22">
        <f t="shared" si="1"/>
        <v>12887</v>
      </c>
      <c r="D34" s="22">
        <f t="shared" si="2"/>
        <v>18410</v>
      </c>
      <c r="E34" s="22">
        <v>9390</v>
      </c>
      <c r="F34" s="22">
        <v>9020</v>
      </c>
      <c r="G34" s="22">
        <v>220</v>
      </c>
      <c r="H34" s="21">
        <f t="shared" si="3"/>
        <v>0.42857142857142855</v>
      </c>
      <c r="I34" s="20">
        <f>SUM($D$2:D34)-SUM($G$2:G34)</f>
        <v>665509</v>
      </c>
    </row>
    <row r="35" spans="1:17" x14ac:dyDescent="0.35">
      <c r="A35" s="23">
        <v>44926</v>
      </c>
      <c r="B35" s="22">
        <f t="shared" si="0"/>
        <v>3913.5</v>
      </c>
      <c r="C35" s="22">
        <f t="shared" si="1"/>
        <v>9131.5</v>
      </c>
      <c r="D35" s="22">
        <f t="shared" si="2"/>
        <v>13045</v>
      </c>
      <c r="E35" s="24">
        <v>10150</v>
      </c>
      <c r="F35" s="24">
        <v>2895</v>
      </c>
      <c r="G35" s="24">
        <v>1490</v>
      </c>
      <c r="H35" s="21">
        <f t="shared" si="3"/>
        <v>0.42857142857142855</v>
      </c>
      <c r="I35" s="20">
        <f>SUM($D$2:D35)-SUM($G$2:G35)</f>
        <v>677064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3">
        <v>44927</v>
      </c>
      <c r="B36" s="22">
        <f t="shared" si="0"/>
        <v>1335</v>
      </c>
      <c r="C36" s="22">
        <f t="shared" si="1"/>
        <v>3115</v>
      </c>
      <c r="D36" s="22">
        <f t="shared" si="2"/>
        <v>4450</v>
      </c>
      <c r="E36" s="24">
        <v>3870</v>
      </c>
      <c r="F36" s="24">
        <v>580</v>
      </c>
      <c r="G36" s="24">
        <v>400</v>
      </c>
      <c r="H36" s="21">
        <f t="shared" si="3"/>
        <v>0.42857142857142855</v>
      </c>
      <c r="I36" s="20">
        <f>SUM($D$2:D36)-SUM($G$2:G36)</f>
        <v>681114</v>
      </c>
      <c r="K36" s="8">
        <f t="shared" ref="K36:K42" si="27">A23</f>
        <v>44914</v>
      </c>
      <c r="L36" s="2">
        <f t="shared" ref="L36:L42" si="28">N36*0.39</f>
        <v>6256.77</v>
      </c>
      <c r="M36" s="2">
        <f t="shared" ref="M36:M42" si="29">N36-L36</f>
        <v>9786.23</v>
      </c>
      <c r="N36" s="2">
        <f t="shared" ref="N36:N42" si="30">O36+P36</f>
        <v>16043</v>
      </c>
      <c r="O36" s="2">
        <f t="shared" ref="O36:O42" si="31">VLOOKUP(K36,$A$1:$H$37,5,0)</f>
        <v>10450</v>
      </c>
      <c r="P36" s="2">
        <f t="shared" ref="P36:P42" si="32">VLOOKUP(K36,$A$1:$H$37,6,0)</f>
        <v>5593</v>
      </c>
      <c r="Q36" s="2">
        <f t="shared" ref="Q36:Q42" si="33">VLOOKUP(K36,$A$1:$H$37,7,0)</f>
        <v>5121</v>
      </c>
    </row>
    <row r="37" spans="1:17" ht="15" thickBot="1" x14ac:dyDescent="0.4">
      <c r="A37" s="19" t="s">
        <v>4</v>
      </c>
      <c r="B37" s="18">
        <f>SUM(B5:B36)</f>
        <v>206920.5</v>
      </c>
      <c r="C37" s="18">
        <f t="shared" ref="C37:H37" si="34">SUM(C5:C36)</f>
        <v>482814.5</v>
      </c>
      <c r="D37" s="18">
        <f t="shared" si="34"/>
        <v>689735</v>
      </c>
      <c r="E37" s="18">
        <f t="shared" si="34"/>
        <v>331694</v>
      </c>
      <c r="F37" s="18">
        <f t="shared" si="34"/>
        <v>358041</v>
      </c>
      <c r="G37" s="18">
        <f t="shared" si="34"/>
        <v>84706</v>
      </c>
      <c r="H37" s="18">
        <f t="shared" si="34"/>
        <v>13.714285714285719</v>
      </c>
      <c r="I37" s="14">
        <f>B37/C37</f>
        <v>0.42857142857142855</v>
      </c>
      <c r="K37" s="9">
        <f t="shared" si="27"/>
        <v>44915</v>
      </c>
      <c r="L37" s="4">
        <f t="shared" si="28"/>
        <v>1918.8</v>
      </c>
      <c r="M37" s="4">
        <f t="shared" si="29"/>
        <v>3001.2</v>
      </c>
      <c r="N37" s="4">
        <f t="shared" si="30"/>
        <v>4920</v>
      </c>
      <c r="O37" s="4">
        <f t="shared" si="31"/>
        <v>4500</v>
      </c>
      <c r="P37" s="4">
        <f t="shared" si="32"/>
        <v>420</v>
      </c>
      <c r="Q37" s="4">
        <f t="shared" si="33"/>
        <v>1260</v>
      </c>
    </row>
    <row r="38" spans="1:17" x14ac:dyDescent="0.35">
      <c r="A38" s="12"/>
      <c r="B38" s="11">
        <f>B37/3</f>
        <v>68973.5</v>
      </c>
      <c r="C38" s="11"/>
      <c r="E38" s="13">
        <f>D37*0.42</f>
        <v>289688.7</v>
      </c>
      <c r="F38" s="11"/>
      <c r="G38" s="11"/>
      <c r="H38" s="10"/>
      <c r="K38" s="8">
        <f t="shared" si="27"/>
        <v>44916</v>
      </c>
      <c r="L38" s="2">
        <f t="shared" si="28"/>
        <v>5660.85</v>
      </c>
      <c r="M38" s="2">
        <f t="shared" si="29"/>
        <v>8854.15</v>
      </c>
      <c r="N38" s="2">
        <f t="shared" si="30"/>
        <v>14515</v>
      </c>
      <c r="O38" s="2">
        <f t="shared" si="31"/>
        <v>2825</v>
      </c>
      <c r="P38" s="2">
        <f t="shared" si="32"/>
        <v>11690</v>
      </c>
      <c r="Q38" s="2">
        <f t="shared" si="33"/>
        <v>960</v>
      </c>
    </row>
    <row r="39" spans="1:17" x14ac:dyDescent="0.35">
      <c r="A39" s="12"/>
      <c r="B39" s="11">
        <f>B38*100/D37</f>
        <v>10</v>
      </c>
      <c r="C39" s="11"/>
      <c r="E39" s="11">
        <f>E38/3</f>
        <v>96562.900000000009</v>
      </c>
      <c r="F39" s="11"/>
      <c r="G39" s="11"/>
      <c r="H39" s="10"/>
      <c r="K39" s="9">
        <f t="shared" si="27"/>
        <v>44917</v>
      </c>
      <c r="L39" s="4">
        <f t="shared" si="28"/>
        <v>6224.4000000000005</v>
      </c>
      <c r="M39" s="4">
        <f t="shared" si="29"/>
        <v>9735.5999999999985</v>
      </c>
      <c r="N39" s="4">
        <f t="shared" si="30"/>
        <v>15960</v>
      </c>
      <c r="O39" s="4">
        <f t="shared" si="31"/>
        <v>4380</v>
      </c>
      <c r="P39" s="4">
        <f t="shared" si="32"/>
        <v>11580</v>
      </c>
      <c r="Q39" s="4">
        <f t="shared" si="33"/>
        <v>200</v>
      </c>
    </row>
    <row r="40" spans="1:17" x14ac:dyDescent="0.35">
      <c r="K40" s="8">
        <f t="shared" si="27"/>
        <v>44918</v>
      </c>
      <c r="L40" s="2">
        <f t="shared" si="28"/>
        <v>9909.9</v>
      </c>
      <c r="M40" s="2">
        <f t="shared" si="29"/>
        <v>15500.1</v>
      </c>
      <c r="N40" s="2">
        <f t="shared" si="30"/>
        <v>25410</v>
      </c>
      <c r="O40" s="2">
        <f t="shared" si="31"/>
        <v>14610</v>
      </c>
      <c r="P40" s="2">
        <f t="shared" si="32"/>
        <v>10800</v>
      </c>
      <c r="Q40" s="2">
        <f t="shared" si="33"/>
        <v>560</v>
      </c>
    </row>
    <row r="41" spans="1:17" x14ac:dyDescent="0.35">
      <c r="K41" s="9">
        <f t="shared" si="27"/>
        <v>44919</v>
      </c>
      <c r="L41" s="4">
        <f t="shared" si="28"/>
        <v>5807.1</v>
      </c>
      <c r="M41" s="4">
        <f t="shared" si="29"/>
        <v>9082.9</v>
      </c>
      <c r="N41" s="4">
        <f t="shared" si="30"/>
        <v>14890</v>
      </c>
      <c r="O41" s="4">
        <f t="shared" si="31"/>
        <v>4910</v>
      </c>
      <c r="P41" s="4">
        <f t="shared" si="32"/>
        <v>9980</v>
      </c>
      <c r="Q41" s="4">
        <f t="shared" si="33"/>
        <v>4600</v>
      </c>
    </row>
    <row r="42" spans="1:17" x14ac:dyDescent="0.35">
      <c r="K42" s="8">
        <f t="shared" si="27"/>
        <v>44920</v>
      </c>
      <c r="L42" s="2">
        <f t="shared" si="28"/>
        <v>11060.4</v>
      </c>
      <c r="M42" s="2">
        <f t="shared" si="29"/>
        <v>17299.599999999999</v>
      </c>
      <c r="N42" s="2">
        <f t="shared" si="30"/>
        <v>28360</v>
      </c>
      <c r="O42" s="2">
        <f t="shared" si="31"/>
        <v>10420</v>
      </c>
      <c r="P42" s="2">
        <f t="shared" si="32"/>
        <v>17940</v>
      </c>
      <c r="Q42" s="2">
        <f t="shared" si="33"/>
        <v>950</v>
      </c>
    </row>
    <row r="43" spans="1:17" x14ac:dyDescent="0.35">
      <c r="K43" s="3" t="s">
        <v>4</v>
      </c>
      <c r="L43" s="4">
        <f t="shared" ref="L43:Q43" si="35">SUM(L36:L42)</f>
        <v>46838.22</v>
      </c>
      <c r="M43" s="4">
        <f t="shared" si="35"/>
        <v>73259.78</v>
      </c>
      <c r="N43" s="4">
        <f t="shared" si="35"/>
        <v>120098</v>
      </c>
      <c r="O43" s="4">
        <f t="shared" si="35"/>
        <v>52095</v>
      </c>
      <c r="P43" s="4">
        <f t="shared" si="35"/>
        <v>68003</v>
      </c>
      <c r="Q43" s="4">
        <f t="shared" si="35"/>
        <v>13651</v>
      </c>
    </row>
    <row r="44" spans="1:17" x14ac:dyDescent="0.35">
      <c r="K44" s="3" t="s">
        <v>0</v>
      </c>
      <c r="L44" s="2">
        <f>L43/3</f>
        <v>15612.74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>
        <f t="shared" ref="K47:K53" si="36">A30</f>
        <v>44921</v>
      </c>
      <c r="L47" s="2">
        <f t="shared" ref="L47:L53" si="37">N47*0.39</f>
        <v>2862.6</v>
      </c>
      <c r="M47" s="2">
        <f t="shared" ref="M47:M53" si="38">N47-L47</f>
        <v>4477.3999999999996</v>
      </c>
      <c r="N47" s="2">
        <f t="shared" ref="N47:N53" si="39">O47+P47</f>
        <v>7340</v>
      </c>
      <c r="O47" s="2">
        <f t="shared" ref="O47:O53" si="40">VLOOKUP(K47,$A$1:$H$37,5,0)</f>
        <v>6940</v>
      </c>
      <c r="P47" s="2">
        <f t="shared" ref="P47:P53" si="41">VLOOKUP(K47,$A$1:$H$37,6,0)</f>
        <v>400</v>
      </c>
      <c r="Q47" s="2">
        <f t="shared" ref="Q47:Q53" si="42">VLOOKUP(K47,$A$1:$H$37,7,0)</f>
        <v>6570</v>
      </c>
    </row>
    <row r="48" spans="1:17" x14ac:dyDescent="0.35">
      <c r="K48" s="9">
        <f t="shared" si="36"/>
        <v>44922</v>
      </c>
      <c r="L48" s="4">
        <f t="shared" si="37"/>
        <v>5873.4000000000005</v>
      </c>
      <c r="M48" s="4">
        <f t="shared" si="38"/>
        <v>9186.5999999999985</v>
      </c>
      <c r="N48" s="4">
        <f t="shared" si="39"/>
        <v>15060</v>
      </c>
      <c r="O48" s="4">
        <f t="shared" si="40"/>
        <v>14060</v>
      </c>
      <c r="P48" s="4">
        <f t="shared" si="41"/>
        <v>1000</v>
      </c>
      <c r="Q48" s="4">
        <f t="shared" si="42"/>
        <v>350</v>
      </c>
    </row>
    <row r="49" spans="11:17" x14ac:dyDescent="0.35">
      <c r="K49" s="8">
        <f t="shared" si="36"/>
        <v>44923</v>
      </c>
      <c r="L49" s="2">
        <f t="shared" si="37"/>
        <v>11009.7</v>
      </c>
      <c r="M49" s="2">
        <f t="shared" si="38"/>
        <v>17220.3</v>
      </c>
      <c r="N49" s="2">
        <f t="shared" si="39"/>
        <v>28230</v>
      </c>
      <c r="O49" s="2">
        <f t="shared" si="40"/>
        <v>13560</v>
      </c>
      <c r="P49" s="2">
        <f t="shared" si="41"/>
        <v>14670</v>
      </c>
      <c r="Q49" s="2">
        <f t="shared" si="42"/>
        <v>3305</v>
      </c>
    </row>
    <row r="50" spans="11:17" x14ac:dyDescent="0.35">
      <c r="K50" s="9">
        <f t="shared" si="36"/>
        <v>44924</v>
      </c>
      <c r="L50" s="4">
        <f t="shared" si="37"/>
        <v>7692.3600000000006</v>
      </c>
      <c r="M50" s="4">
        <f t="shared" si="38"/>
        <v>12031.64</v>
      </c>
      <c r="N50" s="4">
        <f t="shared" si="39"/>
        <v>19724</v>
      </c>
      <c r="O50" s="4">
        <f t="shared" si="40"/>
        <v>14090</v>
      </c>
      <c r="P50" s="4">
        <f t="shared" si="41"/>
        <v>5634</v>
      </c>
      <c r="Q50" s="4">
        <f t="shared" si="42"/>
        <v>1440</v>
      </c>
    </row>
    <row r="51" spans="11:17" x14ac:dyDescent="0.35">
      <c r="K51" s="8">
        <f t="shared" si="36"/>
        <v>44925</v>
      </c>
      <c r="L51" s="2">
        <f t="shared" si="37"/>
        <v>7179.9000000000005</v>
      </c>
      <c r="M51" s="2">
        <f t="shared" si="38"/>
        <v>11230.099999999999</v>
      </c>
      <c r="N51" s="2">
        <f t="shared" si="39"/>
        <v>18410</v>
      </c>
      <c r="O51" s="2">
        <f t="shared" si="40"/>
        <v>9390</v>
      </c>
      <c r="P51" s="2">
        <f t="shared" si="41"/>
        <v>9020</v>
      </c>
      <c r="Q51" s="2">
        <f t="shared" si="42"/>
        <v>220</v>
      </c>
    </row>
    <row r="52" spans="11:17" x14ac:dyDescent="0.35">
      <c r="K52" s="9">
        <f t="shared" si="36"/>
        <v>44926</v>
      </c>
      <c r="L52" s="4">
        <f t="shared" si="37"/>
        <v>5087.55</v>
      </c>
      <c r="M52" s="4">
        <f t="shared" si="38"/>
        <v>7957.45</v>
      </c>
      <c r="N52" s="4">
        <f t="shared" si="39"/>
        <v>13045</v>
      </c>
      <c r="O52" s="4">
        <f t="shared" si="40"/>
        <v>10150</v>
      </c>
      <c r="P52" s="4">
        <f t="shared" si="41"/>
        <v>2895</v>
      </c>
      <c r="Q52" s="4">
        <f t="shared" si="42"/>
        <v>1490</v>
      </c>
    </row>
    <row r="53" spans="11:17" x14ac:dyDescent="0.35">
      <c r="K53" s="8">
        <f t="shared" si="36"/>
        <v>44927</v>
      </c>
      <c r="L53" s="2">
        <f t="shared" si="37"/>
        <v>1735.5</v>
      </c>
      <c r="M53" s="2">
        <f t="shared" si="38"/>
        <v>2714.5</v>
      </c>
      <c r="N53" s="2">
        <f t="shared" si="39"/>
        <v>4450</v>
      </c>
      <c r="O53" s="2">
        <f t="shared" si="40"/>
        <v>3870</v>
      </c>
      <c r="P53" s="2">
        <f t="shared" si="41"/>
        <v>580</v>
      </c>
      <c r="Q53" s="2">
        <f t="shared" si="42"/>
        <v>400</v>
      </c>
    </row>
    <row r="54" spans="11:17" x14ac:dyDescent="0.35">
      <c r="K54" s="3" t="s">
        <v>4</v>
      </c>
      <c r="L54" s="4">
        <f>SUM(L47:L53)</f>
        <v>41441.01</v>
      </c>
      <c r="M54" s="4">
        <f>SUM(M47:M53)</f>
        <v>64817.989999999991</v>
      </c>
      <c r="N54" s="4">
        <f>SUM(N47:N53)</f>
        <v>106259</v>
      </c>
      <c r="O54" s="4"/>
      <c r="P54" s="4"/>
      <c r="Q54" s="4"/>
    </row>
    <row r="55" spans="11:17" x14ac:dyDescent="0.35">
      <c r="K55" s="3" t="s">
        <v>0</v>
      </c>
      <c r="L55" s="2">
        <f>L54/3</f>
        <v>13813.67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44897</v>
      </c>
      <c r="L59" s="4">
        <f t="shared" ref="L59:Q59" si="43">SUM(B5:B35)</f>
        <v>205585.5</v>
      </c>
      <c r="M59" s="4">
        <f t="shared" si="43"/>
        <v>479699.5</v>
      </c>
      <c r="N59" s="4">
        <f t="shared" si="43"/>
        <v>685285</v>
      </c>
      <c r="O59" s="4">
        <f t="shared" si="43"/>
        <v>327824</v>
      </c>
      <c r="P59" s="4">
        <f t="shared" si="43"/>
        <v>357461</v>
      </c>
      <c r="Q59" s="4">
        <f t="shared" si="43"/>
        <v>84306</v>
      </c>
    </row>
    <row r="60" spans="11:17" x14ac:dyDescent="0.35">
      <c r="K60" s="3" t="s">
        <v>0</v>
      </c>
      <c r="L60" s="2">
        <f>L59/3</f>
        <v>68528.5</v>
      </c>
      <c r="M60" s="2"/>
      <c r="N60" s="2"/>
      <c r="O60" s="2"/>
      <c r="P60" s="2"/>
      <c r="Q60" s="2"/>
    </row>
  </sheetData>
  <conditionalFormatting sqref="A1:H1">
    <cfRule type="dataBar" priority="8">
      <dataBar>
        <cfvo type="min"/>
        <cfvo type="max"/>
        <color rgb="FF638EC6"/>
      </dataBar>
    </cfRule>
  </conditionalFormatting>
  <conditionalFormatting sqref="H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dataBar" priority="6">
      <dataBar>
        <cfvo type="min"/>
        <cfvo type="max"/>
        <color rgb="FF638EC6"/>
      </dataBar>
    </cfRule>
  </conditionalFormatting>
  <conditionalFormatting sqref="K24:Q24">
    <cfRule type="dataBar" priority="5">
      <dataBar>
        <cfvo type="min"/>
        <cfvo type="max"/>
        <color rgb="FF638EC6"/>
      </dataBar>
    </cfRule>
  </conditionalFormatting>
  <conditionalFormatting sqref="K35:Q35">
    <cfRule type="dataBar" priority="4">
      <dataBar>
        <cfvo type="min"/>
        <cfvo type="max"/>
        <color rgb="FF638EC6"/>
      </dataBar>
    </cfRule>
  </conditionalFormatting>
  <conditionalFormatting sqref="K58:Q58">
    <cfRule type="dataBar" priority="3">
      <dataBar>
        <cfvo type="min"/>
        <cfvo type="max"/>
        <color rgb="FF638EC6"/>
      </dataBar>
    </cfRule>
  </conditionalFormatting>
  <conditionalFormatting sqref="K1:Q1">
    <cfRule type="dataBar" priority="2">
      <dataBar>
        <cfvo type="min"/>
        <cfvo type="max"/>
        <color rgb="FF638EC6"/>
      </dataBar>
    </cfRule>
  </conditionalFormatting>
  <conditionalFormatting sqref="K46:Q4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2022</vt:lpstr>
      <vt:lpstr>Febuary 2022</vt:lpstr>
      <vt:lpstr>March 2022</vt:lpstr>
      <vt:lpstr>April 2022</vt:lpstr>
      <vt:lpstr>May 2022</vt:lpstr>
      <vt:lpstr>June 2022</vt:lpstr>
      <vt:lpstr>July 2022</vt:lpstr>
      <vt:lpstr>August 2022</vt:lpstr>
      <vt:lpstr>September 2022</vt:lpstr>
      <vt:lpstr>October 2022</vt:lpstr>
      <vt:lpstr>November 2022</vt:lpstr>
      <vt:lpstr>Decemeber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2015-06-05T18:17:20Z</dcterms:created>
  <dcterms:modified xsi:type="dcterms:W3CDTF">2023-11-29T07:04:20Z</dcterms:modified>
</cp:coreProperties>
</file>