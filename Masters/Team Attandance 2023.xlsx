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1002" documentId="11_F25DC773A252ABDACC1048B9A99943D25BDE58ED" xr6:coauthVersionLast="47" xr6:coauthVersionMax="47" xr10:uidLastSave="{DCA4CFA8-3071-4CA4-99E3-F5BDF52DDDD5}"/>
  <bookViews>
    <workbookView xWindow="-110" yWindow="-110" windowWidth="19420" windowHeight="10300" activeTab="2" xr2:uid="{00000000-000D-0000-FFFF-FFFF00000000}"/>
  </bookViews>
  <sheets>
    <sheet name="July 2023" sheetId="1" r:id="rId1"/>
    <sheet name="August 2023" sheetId="2" r:id="rId2"/>
    <sheet name="September 2023" sheetId="3" r:id="rId3"/>
    <sheet name="October 202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4" l="1"/>
  <c r="AQ35" i="4"/>
  <c r="AP35" i="4"/>
  <c r="AR34" i="4"/>
  <c r="AQ33" i="4"/>
  <c r="AO33" i="4"/>
  <c r="AN33" i="4"/>
  <c r="AP33" i="4" s="1"/>
  <c r="AQ32" i="4"/>
  <c r="AO32" i="4"/>
  <c r="AN32" i="4"/>
  <c r="AQ31" i="4"/>
  <c r="AO31" i="4"/>
  <c r="AP31" i="4" s="1"/>
  <c r="AN31" i="4"/>
  <c r="AQ30" i="4"/>
  <c r="AO30" i="4"/>
  <c r="AN30" i="4"/>
  <c r="AP30" i="4" s="1"/>
  <c r="AQ29" i="4"/>
  <c r="AO29" i="4"/>
  <c r="AP29" i="4" s="1"/>
  <c r="AN29" i="4"/>
  <c r="AQ28" i="4"/>
  <c r="AO28" i="4"/>
  <c r="AN28" i="4"/>
  <c r="AQ27" i="4"/>
  <c r="AP27" i="4"/>
  <c r="AO27" i="4"/>
  <c r="AN27" i="4"/>
  <c r="AQ26" i="4"/>
  <c r="AO26" i="4"/>
  <c r="AN26" i="4"/>
  <c r="AP26" i="4" s="1"/>
  <c r="AQ25" i="4"/>
  <c r="AO25" i="4"/>
  <c r="AP25" i="4" s="1"/>
  <c r="AN25" i="4"/>
  <c r="AQ24" i="4"/>
  <c r="AO24" i="4"/>
  <c r="AN24" i="4"/>
  <c r="AQ23" i="4"/>
  <c r="AO23" i="4"/>
  <c r="AP23" i="4" s="1"/>
  <c r="AN23" i="4"/>
  <c r="AQ22" i="4"/>
  <c r="AO22" i="4"/>
  <c r="AN22" i="4"/>
  <c r="AQ21" i="4"/>
  <c r="AO21" i="4"/>
  <c r="AN21" i="4"/>
  <c r="AP21" i="4" s="1"/>
  <c r="AQ20" i="4"/>
  <c r="AO20" i="4"/>
  <c r="AN20" i="4"/>
  <c r="AP20" i="4" s="1"/>
  <c r="AQ19" i="4"/>
  <c r="AO19" i="4"/>
  <c r="AP19" i="4" s="1"/>
  <c r="AN19" i="4"/>
  <c r="AQ18" i="4"/>
  <c r="AO18" i="4"/>
  <c r="AN18" i="4"/>
  <c r="AQ17" i="4"/>
  <c r="AO17" i="4"/>
  <c r="AN17" i="4"/>
  <c r="AQ16" i="4"/>
  <c r="AO16" i="4"/>
  <c r="AP16" i="4" s="1"/>
  <c r="AN16" i="4"/>
  <c r="AQ15" i="4"/>
  <c r="AP15" i="4"/>
  <c r="AO15" i="4"/>
  <c r="AN15" i="4"/>
  <c r="AQ14" i="4"/>
  <c r="AO14" i="4"/>
  <c r="AN14" i="4"/>
  <c r="AQ13" i="4"/>
  <c r="AO13" i="4"/>
  <c r="AN13" i="4"/>
  <c r="AQ12" i="4"/>
  <c r="AO12" i="4"/>
  <c r="AP12" i="4" s="1"/>
  <c r="AN12" i="4"/>
  <c r="AQ11" i="4"/>
  <c r="AO11" i="4"/>
  <c r="AN11" i="4"/>
  <c r="AP11" i="4" s="1"/>
  <c r="AQ10" i="4"/>
  <c r="AO10" i="4"/>
  <c r="AN10" i="4"/>
  <c r="AQ9" i="4"/>
  <c r="AP9" i="4"/>
  <c r="AO9" i="4"/>
  <c r="AN9" i="4"/>
  <c r="AQ8" i="4"/>
  <c r="AO8" i="4"/>
  <c r="AP8" i="4" s="1"/>
  <c r="AN8" i="4"/>
  <c r="AO7" i="4"/>
  <c r="AN7" i="4"/>
  <c r="AO6" i="4"/>
  <c r="AN6" i="4"/>
  <c r="AO5" i="4"/>
  <c r="AN5" i="4"/>
  <c r="AP5" i="4" s="1"/>
  <c r="AQ5" i="4" s="1"/>
  <c r="AO4" i="4"/>
  <c r="AN4" i="4"/>
  <c r="AO3" i="4"/>
  <c r="AN3" i="4"/>
  <c r="AH35" i="4"/>
  <c r="AG35" i="4"/>
  <c r="AI34" i="4"/>
  <c r="AH33" i="4"/>
  <c r="AF33" i="4"/>
  <c r="AE33" i="4"/>
  <c r="AH32" i="4"/>
  <c r="AF32" i="4"/>
  <c r="AG32" i="4" s="1"/>
  <c r="AE32" i="4"/>
  <c r="AH31" i="4"/>
  <c r="AF31" i="4"/>
  <c r="AG31" i="4" s="1"/>
  <c r="AE31" i="4"/>
  <c r="AH30" i="4"/>
  <c r="AF30" i="4"/>
  <c r="AE30" i="4"/>
  <c r="AH29" i="4"/>
  <c r="AF29" i="4"/>
  <c r="AE29" i="4"/>
  <c r="AH28" i="4"/>
  <c r="AF28" i="4"/>
  <c r="AG28" i="4" s="1"/>
  <c r="AE28" i="4"/>
  <c r="AH27" i="4"/>
  <c r="AF27" i="4"/>
  <c r="AE27" i="4"/>
  <c r="AH26" i="4"/>
  <c r="AF26" i="4"/>
  <c r="AE26" i="4"/>
  <c r="AH25" i="4"/>
  <c r="AF25" i="4"/>
  <c r="AE25" i="4"/>
  <c r="AH24" i="4"/>
  <c r="AF24" i="4"/>
  <c r="AG24" i="4" s="1"/>
  <c r="AE24" i="4"/>
  <c r="AH23" i="4"/>
  <c r="AF23" i="4"/>
  <c r="AG23" i="4" s="1"/>
  <c r="AE23" i="4"/>
  <c r="AH22" i="4"/>
  <c r="AF22" i="4"/>
  <c r="AE22" i="4"/>
  <c r="AH21" i="4"/>
  <c r="AF21" i="4"/>
  <c r="AE21" i="4"/>
  <c r="AH20" i="4"/>
  <c r="AF20" i="4"/>
  <c r="AG20" i="4" s="1"/>
  <c r="AE20" i="4"/>
  <c r="AH19" i="4"/>
  <c r="AF19" i="4"/>
  <c r="AE19" i="4"/>
  <c r="AH18" i="4"/>
  <c r="AF18" i="4"/>
  <c r="AE18" i="4"/>
  <c r="AH17" i="4"/>
  <c r="AF17" i="4"/>
  <c r="AE17" i="4"/>
  <c r="AH16" i="4"/>
  <c r="AF16" i="4"/>
  <c r="AG16" i="4" s="1"/>
  <c r="AE16" i="4"/>
  <c r="AH15" i="4"/>
  <c r="AF15" i="4"/>
  <c r="AG15" i="4" s="1"/>
  <c r="AE15" i="4"/>
  <c r="AH14" i="4"/>
  <c r="AF14" i="4"/>
  <c r="AE14" i="4"/>
  <c r="AH13" i="4"/>
  <c r="AF13" i="4"/>
  <c r="AE13" i="4"/>
  <c r="AH12" i="4"/>
  <c r="AF12" i="4"/>
  <c r="AG12" i="4" s="1"/>
  <c r="AE12" i="4"/>
  <c r="AH11" i="4"/>
  <c r="AF11" i="4"/>
  <c r="AE11" i="4"/>
  <c r="AH10" i="4"/>
  <c r="AF10" i="4"/>
  <c r="AE10" i="4"/>
  <c r="AH9" i="4"/>
  <c r="AF9" i="4"/>
  <c r="AE9" i="4"/>
  <c r="AH8" i="4"/>
  <c r="AF8" i="4"/>
  <c r="AG8" i="4" s="1"/>
  <c r="AE8" i="4"/>
  <c r="AF7" i="4"/>
  <c r="AG7" i="4" s="1"/>
  <c r="AH7" i="4" s="1"/>
  <c r="AE7" i="4"/>
  <c r="AF6" i="4"/>
  <c r="AG6" i="4" s="1"/>
  <c r="AH6" i="4" s="1"/>
  <c r="AE6" i="4"/>
  <c r="AF5" i="4"/>
  <c r="AE5" i="4"/>
  <c r="AF4" i="4"/>
  <c r="AE4" i="4"/>
  <c r="AF3" i="4"/>
  <c r="AE3" i="4"/>
  <c r="Y35" i="4"/>
  <c r="X35" i="4"/>
  <c r="Z34" i="4"/>
  <c r="Y33" i="4"/>
  <c r="W33" i="4"/>
  <c r="X33" i="4" s="1"/>
  <c r="V33" i="4"/>
  <c r="Y32" i="4"/>
  <c r="W32" i="4"/>
  <c r="V32" i="4"/>
  <c r="X32" i="4" s="1"/>
  <c r="Y31" i="4"/>
  <c r="W31" i="4"/>
  <c r="V31" i="4"/>
  <c r="Y30" i="4"/>
  <c r="W30" i="4"/>
  <c r="V30" i="4"/>
  <c r="X30" i="4" s="1"/>
  <c r="Y29" i="4"/>
  <c r="W29" i="4"/>
  <c r="X29" i="4" s="1"/>
  <c r="V29" i="4"/>
  <c r="Y28" i="4"/>
  <c r="W28" i="4"/>
  <c r="V28" i="4"/>
  <c r="X28" i="4" s="1"/>
  <c r="Y27" i="4"/>
  <c r="W27" i="4"/>
  <c r="X27" i="4" s="1"/>
  <c r="V27" i="4"/>
  <c r="Y26" i="4"/>
  <c r="W26" i="4"/>
  <c r="V26" i="4"/>
  <c r="X26" i="4" s="1"/>
  <c r="Y25" i="4"/>
  <c r="W25" i="4"/>
  <c r="X25" i="4" s="1"/>
  <c r="V25" i="4"/>
  <c r="Y24" i="4"/>
  <c r="W24" i="4"/>
  <c r="V24" i="4"/>
  <c r="X24" i="4" s="1"/>
  <c r="Y23" i="4"/>
  <c r="W23" i="4"/>
  <c r="X23" i="4" s="1"/>
  <c r="V23" i="4"/>
  <c r="Y22" i="4"/>
  <c r="W22" i="4"/>
  <c r="V22" i="4"/>
  <c r="X22" i="4" s="1"/>
  <c r="Y21" i="4"/>
  <c r="W21" i="4"/>
  <c r="X21" i="4" s="1"/>
  <c r="V21" i="4"/>
  <c r="Y20" i="4"/>
  <c r="W20" i="4"/>
  <c r="V20" i="4"/>
  <c r="X20" i="4" s="1"/>
  <c r="Y19" i="4"/>
  <c r="W19" i="4"/>
  <c r="X19" i="4" s="1"/>
  <c r="V19" i="4"/>
  <c r="Y18" i="4"/>
  <c r="W18" i="4"/>
  <c r="V18" i="4"/>
  <c r="X18" i="4" s="1"/>
  <c r="Y17" i="4"/>
  <c r="W17" i="4"/>
  <c r="X17" i="4" s="1"/>
  <c r="V17" i="4"/>
  <c r="Y16" i="4"/>
  <c r="W16" i="4"/>
  <c r="V16" i="4"/>
  <c r="X16" i="4" s="1"/>
  <c r="Y15" i="4"/>
  <c r="W15" i="4"/>
  <c r="X15" i="4" s="1"/>
  <c r="V15" i="4"/>
  <c r="Y14" i="4"/>
  <c r="W14" i="4"/>
  <c r="V14" i="4"/>
  <c r="X14" i="4" s="1"/>
  <c r="Y13" i="4"/>
  <c r="W13" i="4"/>
  <c r="X13" i="4" s="1"/>
  <c r="V13" i="4"/>
  <c r="Y12" i="4"/>
  <c r="W12" i="4"/>
  <c r="V12" i="4"/>
  <c r="X12" i="4" s="1"/>
  <c r="Y11" i="4"/>
  <c r="W11" i="4"/>
  <c r="X11" i="4" s="1"/>
  <c r="V11" i="4"/>
  <c r="Y10" i="4"/>
  <c r="W10" i="4"/>
  <c r="V10" i="4"/>
  <c r="X10" i="4" s="1"/>
  <c r="Y9" i="4"/>
  <c r="W9" i="4"/>
  <c r="X9" i="4" s="1"/>
  <c r="V9" i="4"/>
  <c r="Y8" i="4"/>
  <c r="W8" i="4"/>
  <c r="V8" i="4"/>
  <c r="X8" i="4" s="1"/>
  <c r="W7" i="4"/>
  <c r="V7" i="4"/>
  <c r="W6" i="4"/>
  <c r="V6" i="4"/>
  <c r="X6" i="4" s="1"/>
  <c r="Y6" i="4" s="1"/>
  <c r="W5" i="4"/>
  <c r="V5" i="4"/>
  <c r="W4" i="4"/>
  <c r="V4" i="4"/>
  <c r="W3" i="4"/>
  <c r="X3" i="4" s="1"/>
  <c r="Y3" i="4" s="1"/>
  <c r="V3" i="4"/>
  <c r="P35" i="4"/>
  <c r="O35" i="4"/>
  <c r="Q34" i="4"/>
  <c r="P33" i="4"/>
  <c r="N33" i="4"/>
  <c r="M33" i="4"/>
  <c r="P32" i="4"/>
  <c r="N32" i="4"/>
  <c r="O32" i="4" s="1"/>
  <c r="M32" i="4"/>
  <c r="P31" i="4"/>
  <c r="N31" i="4"/>
  <c r="M31" i="4"/>
  <c r="O31" i="4" s="1"/>
  <c r="P30" i="4"/>
  <c r="N30" i="4"/>
  <c r="M30" i="4"/>
  <c r="O30" i="4" s="1"/>
  <c r="P29" i="4"/>
  <c r="N29" i="4"/>
  <c r="M29" i="4"/>
  <c r="P28" i="4"/>
  <c r="N28" i="4"/>
  <c r="O28" i="4" s="1"/>
  <c r="M28" i="4"/>
  <c r="P27" i="4"/>
  <c r="N27" i="4"/>
  <c r="M27" i="4"/>
  <c r="O27" i="4" s="1"/>
  <c r="P26" i="4"/>
  <c r="O26" i="4"/>
  <c r="N26" i="4"/>
  <c r="M26" i="4"/>
  <c r="P25" i="4"/>
  <c r="N25" i="4"/>
  <c r="M25" i="4"/>
  <c r="P24" i="4"/>
  <c r="N24" i="4"/>
  <c r="O24" i="4" s="1"/>
  <c r="M24" i="4"/>
  <c r="P23" i="4"/>
  <c r="N23" i="4"/>
  <c r="M23" i="4"/>
  <c r="O23" i="4" s="1"/>
  <c r="P22" i="4"/>
  <c r="O22" i="4"/>
  <c r="N22" i="4"/>
  <c r="M22" i="4"/>
  <c r="P21" i="4"/>
  <c r="N21" i="4"/>
  <c r="M21" i="4"/>
  <c r="P20" i="4"/>
  <c r="N20" i="4"/>
  <c r="O20" i="4" s="1"/>
  <c r="M20" i="4"/>
  <c r="P19" i="4"/>
  <c r="N19" i="4"/>
  <c r="M19" i="4"/>
  <c r="O19" i="4" s="1"/>
  <c r="P18" i="4"/>
  <c r="N18" i="4"/>
  <c r="M18" i="4"/>
  <c r="O18" i="4" s="1"/>
  <c r="P17" i="4"/>
  <c r="N17" i="4"/>
  <c r="M17" i="4"/>
  <c r="P16" i="4"/>
  <c r="N16" i="4"/>
  <c r="O16" i="4" s="1"/>
  <c r="M16" i="4"/>
  <c r="P15" i="4"/>
  <c r="N15" i="4"/>
  <c r="M15" i="4"/>
  <c r="O15" i="4" s="1"/>
  <c r="P14" i="4"/>
  <c r="N14" i="4"/>
  <c r="O14" i="4" s="1"/>
  <c r="M14" i="4"/>
  <c r="P13" i="4"/>
  <c r="N13" i="4"/>
  <c r="M13" i="4"/>
  <c r="P12" i="4"/>
  <c r="N12" i="4"/>
  <c r="O12" i="4" s="1"/>
  <c r="M12" i="4"/>
  <c r="P11" i="4"/>
  <c r="N11" i="4"/>
  <c r="M11" i="4"/>
  <c r="O11" i="4" s="1"/>
  <c r="P10" i="4"/>
  <c r="O10" i="4"/>
  <c r="N10" i="4"/>
  <c r="M10" i="4"/>
  <c r="P9" i="4"/>
  <c r="N9" i="4"/>
  <c r="M9" i="4"/>
  <c r="P8" i="4"/>
  <c r="N8" i="4"/>
  <c r="O8" i="4" s="1"/>
  <c r="M8" i="4"/>
  <c r="N7" i="4"/>
  <c r="M7" i="4"/>
  <c r="O7" i="4" s="1"/>
  <c r="P7" i="4" s="1"/>
  <c r="N6" i="4"/>
  <c r="O6" i="4" s="1"/>
  <c r="P6" i="4" s="1"/>
  <c r="M6" i="4"/>
  <c r="N5" i="4"/>
  <c r="M5" i="4"/>
  <c r="N4" i="4"/>
  <c r="M4" i="4"/>
  <c r="N3" i="4"/>
  <c r="M3" i="4"/>
  <c r="G32" i="4"/>
  <c r="E32" i="4"/>
  <c r="D32" i="4"/>
  <c r="G35" i="4"/>
  <c r="F35" i="4"/>
  <c r="H34" i="4"/>
  <c r="E33" i="4"/>
  <c r="D33" i="4"/>
  <c r="E31" i="4"/>
  <c r="D31" i="4"/>
  <c r="G30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G35" i="3"/>
  <c r="AY27" i="3"/>
  <c r="N31" i="3"/>
  <c r="O31" i="3" s="1"/>
  <c r="P31" i="3" s="1"/>
  <c r="M31" i="3"/>
  <c r="N25" i="3"/>
  <c r="M25" i="3"/>
  <c r="O25" i="3" s="1"/>
  <c r="P25" i="3" s="1"/>
  <c r="AP7" i="4" l="1"/>
  <c r="AQ7" i="4" s="1"/>
  <c r="O3" i="4"/>
  <c r="P3" i="4" s="1"/>
  <c r="O9" i="4"/>
  <c r="O25" i="4"/>
  <c r="AG13" i="4"/>
  <c r="AG21" i="4"/>
  <c r="AG29" i="4"/>
  <c r="O21" i="4"/>
  <c r="AP3" i="4"/>
  <c r="AQ3" i="4" s="1"/>
  <c r="AQ34" i="4" s="1"/>
  <c r="AQ36" i="4" s="1"/>
  <c r="AP13" i="4"/>
  <c r="O4" i="4"/>
  <c r="P4" i="4" s="1"/>
  <c r="X31" i="4"/>
  <c r="AG14" i="4"/>
  <c r="AG22" i="4"/>
  <c r="AG30" i="4"/>
  <c r="AP6" i="4"/>
  <c r="AQ6" i="4" s="1"/>
  <c r="O5" i="4"/>
  <c r="P5" i="4" s="1"/>
  <c r="P34" i="4" s="1"/>
  <c r="P36" i="4" s="1"/>
  <c r="O17" i="4"/>
  <c r="O33" i="4"/>
  <c r="X4" i="4"/>
  <c r="Y4" i="4" s="1"/>
  <c r="X7" i="4"/>
  <c r="Y7" i="4" s="1"/>
  <c r="O13" i="4"/>
  <c r="O29" i="4"/>
  <c r="AP17" i="4"/>
  <c r="AG5" i="4"/>
  <c r="AH5" i="4" s="1"/>
  <c r="AG4" i="4"/>
  <c r="AH4" i="4" s="1"/>
  <c r="X5" i="4"/>
  <c r="Y5" i="4" s="1"/>
  <c r="X34" i="4"/>
  <c r="X36" i="4" s="1"/>
  <c r="AG3" i="4"/>
  <c r="AH3" i="4" s="1"/>
  <c r="AG11" i="4"/>
  <c r="AG19" i="4"/>
  <c r="AG27" i="4"/>
  <c r="AP14" i="4"/>
  <c r="AP28" i="4"/>
  <c r="AG9" i="4"/>
  <c r="AG17" i="4"/>
  <c r="AG25" i="4"/>
  <c r="AG33" i="4"/>
  <c r="AP10" i="4"/>
  <c r="AP24" i="4"/>
  <c r="Y34" i="4"/>
  <c r="Y36" i="4" s="1"/>
  <c r="AP22" i="4"/>
  <c r="AG10" i="4"/>
  <c r="AG18" i="4"/>
  <c r="AG26" i="4"/>
  <c r="AP4" i="4"/>
  <c r="AQ4" i="4" s="1"/>
  <c r="AP18" i="4"/>
  <c r="AP32" i="4"/>
  <c r="F30" i="4"/>
  <c r="F31" i="4"/>
  <c r="G31" i="4" s="1"/>
  <c r="F32" i="4"/>
  <c r="F11" i="4"/>
  <c r="G11" i="4" s="1"/>
  <c r="F20" i="4"/>
  <c r="G20" i="4" s="1"/>
  <c r="F3" i="4"/>
  <c r="G3" i="4" s="1"/>
  <c r="F7" i="4"/>
  <c r="G7" i="4" s="1"/>
  <c r="F4" i="4"/>
  <c r="G4" i="4" s="1"/>
  <c r="F6" i="4"/>
  <c r="G6" i="4" s="1"/>
  <c r="F19" i="4"/>
  <c r="G19" i="4" s="1"/>
  <c r="F28" i="4"/>
  <c r="G28" i="4" s="1"/>
  <c r="F29" i="4"/>
  <c r="G29" i="4" s="1"/>
  <c r="F23" i="4"/>
  <c r="G23" i="4" s="1"/>
  <c r="F15" i="4"/>
  <c r="G15" i="4" s="1"/>
  <c r="F22" i="4"/>
  <c r="G22" i="4" s="1"/>
  <c r="F5" i="4"/>
  <c r="G5" i="4" s="1"/>
  <c r="F21" i="4"/>
  <c r="G21" i="4" s="1"/>
  <c r="F10" i="4"/>
  <c r="G10" i="4" s="1"/>
  <c r="F14" i="4"/>
  <c r="G14" i="4" s="1"/>
  <c r="F18" i="4"/>
  <c r="G18" i="4" s="1"/>
  <c r="F24" i="4"/>
  <c r="G24" i="4" s="1"/>
  <c r="F27" i="4"/>
  <c r="G27" i="4" s="1"/>
  <c r="F25" i="4"/>
  <c r="G25" i="4" s="1"/>
  <c r="F8" i="4"/>
  <c r="G8" i="4" s="1"/>
  <c r="F12" i="4"/>
  <c r="G12" i="4" s="1"/>
  <c r="F16" i="4"/>
  <c r="G16" i="4" s="1"/>
  <c r="F9" i="4"/>
  <c r="G9" i="4" s="1"/>
  <c r="F13" i="4"/>
  <c r="G13" i="4" s="1"/>
  <c r="F17" i="4"/>
  <c r="G17" i="4" s="1"/>
  <c r="F26" i="4"/>
  <c r="G26" i="4" s="1"/>
  <c r="F33" i="4"/>
  <c r="G33" i="4" s="1"/>
  <c r="G20" i="3"/>
  <c r="AP34" i="4" l="1"/>
  <c r="AP36" i="4" s="1"/>
  <c r="AP37" i="4" s="1"/>
  <c r="O34" i="4"/>
  <c r="O36" i="4" s="1"/>
  <c r="O37" i="4" s="1"/>
  <c r="AH34" i="4"/>
  <c r="AH36" i="4" s="1"/>
  <c r="AG34" i="4"/>
  <c r="AG36" i="4" s="1"/>
  <c r="AG37" i="4" s="1"/>
  <c r="F34" i="4"/>
  <c r="F36" i="4" s="1"/>
  <c r="F37" i="4" s="1"/>
  <c r="G34" i="4"/>
  <c r="G36" i="4" s="1"/>
  <c r="E24" i="3"/>
  <c r="F24" i="3" s="1"/>
  <c r="G24" i="3" s="1"/>
  <c r="D24" i="3"/>
  <c r="H33" i="3"/>
  <c r="AZ28" i="3"/>
  <c r="AX23" i="3"/>
  <c r="AY23" i="3" s="1"/>
  <c r="AZ23" i="3" s="1"/>
  <c r="AW23" i="3"/>
  <c r="AX16" i="3"/>
  <c r="AY16" i="3" s="1"/>
  <c r="AZ16" i="3" s="1"/>
  <c r="AW16" i="3"/>
  <c r="AP15" i="3"/>
  <c r="AQ15" i="3" s="1"/>
  <c r="AO15" i="3"/>
  <c r="AN15" i="3"/>
  <c r="AO14" i="3"/>
  <c r="AP14" i="3" s="1"/>
  <c r="AQ14" i="3" s="1"/>
  <c r="AN14" i="3"/>
  <c r="AP13" i="3"/>
  <c r="AQ13" i="3" s="1"/>
  <c r="AO13" i="3"/>
  <c r="AN13" i="3"/>
  <c r="W17" i="3"/>
  <c r="V17" i="3"/>
  <c r="G34" i="3"/>
  <c r="F34" i="3"/>
  <c r="N17" i="3"/>
  <c r="O17" i="3" s="1"/>
  <c r="P17" i="3" s="1"/>
  <c r="M17" i="3"/>
  <c r="M16" i="3"/>
  <c r="N16" i="3"/>
  <c r="AX9" i="3"/>
  <c r="AY9" i="3" s="1"/>
  <c r="AZ9" i="3" s="1"/>
  <c r="AW9" i="3"/>
  <c r="O14" i="3"/>
  <c r="P14" i="3" s="1"/>
  <c r="N14" i="3"/>
  <c r="M14" i="3"/>
  <c r="O13" i="3"/>
  <c r="P13" i="3" s="1"/>
  <c r="N13" i="3"/>
  <c r="M13" i="3"/>
  <c r="F14" i="3"/>
  <c r="G14" i="3" s="1"/>
  <c r="E14" i="3"/>
  <c r="D14" i="3"/>
  <c r="BA27" i="3"/>
  <c r="AY28" i="3" s="1"/>
  <c r="AZ26" i="3"/>
  <c r="AX26" i="3"/>
  <c r="AY26" i="3" s="1"/>
  <c r="AW26" i="3"/>
  <c r="AX25" i="3"/>
  <c r="AW25" i="3"/>
  <c r="AX24" i="3"/>
  <c r="AY24" i="3" s="1"/>
  <c r="AZ24" i="3" s="1"/>
  <c r="AW24" i="3"/>
  <c r="AX22" i="3"/>
  <c r="AW22" i="3"/>
  <c r="AX21" i="3"/>
  <c r="AW21" i="3"/>
  <c r="AX20" i="3"/>
  <c r="AW20" i="3"/>
  <c r="AX19" i="3"/>
  <c r="AW19" i="3"/>
  <c r="AX18" i="3"/>
  <c r="AW18" i="3"/>
  <c r="AX17" i="3"/>
  <c r="AW17" i="3"/>
  <c r="AX15" i="3"/>
  <c r="AW15" i="3"/>
  <c r="AX14" i="3"/>
  <c r="AY14" i="3" s="1"/>
  <c r="AZ14" i="3" s="1"/>
  <c r="AW14" i="3"/>
  <c r="AZ13" i="3"/>
  <c r="AX13" i="3"/>
  <c r="AY13" i="3" s="1"/>
  <c r="AW13" i="3"/>
  <c r="AX12" i="3"/>
  <c r="AW12" i="3"/>
  <c r="AX11" i="3"/>
  <c r="AW11" i="3"/>
  <c r="AX10" i="3"/>
  <c r="AW10" i="3"/>
  <c r="AX8" i="3"/>
  <c r="AY8" i="3" s="1"/>
  <c r="AZ8" i="3" s="1"/>
  <c r="AW8" i="3"/>
  <c r="AX7" i="3"/>
  <c r="AW7" i="3"/>
  <c r="AX6" i="3"/>
  <c r="AW6" i="3"/>
  <c r="AZ5" i="3"/>
  <c r="AX5" i="3"/>
  <c r="AY5" i="3" s="1"/>
  <c r="AW5" i="3"/>
  <c r="AX4" i="3"/>
  <c r="AY4" i="3" s="1"/>
  <c r="AZ4" i="3" s="1"/>
  <c r="AW4" i="3"/>
  <c r="AX3" i="3"/>
  <c r="AY3" i="3" s="1"/>
  <c r="AZ3" i="3" s="1"/>
  <c r="AW3" i="3"/>
  <c r="G36" i="2"/>
  <c r="AF32" i="3"/>
  <c r="AG32" i="3" s="1"/>
  <c r="AH32" i="3" s="1"/>
  <c r="AE32" i="3"/>
  <c r="AF31" i="3"/>
  <c r="AE31" i="3"/>
  <c r="AG31" i="3" s="1"/>
  <c r="AH31" i="3" s="1"/>
  <c r="AF30" i="3"/>
  <c r="AG30" i="3" s="1"/>
  <c r="AH30" i="3" s="1"/>
  <c r="AE30" i="3"/>
  <c r="AF29" i="3"/>
  <c r="AE29" i="3"/>
  <c r="AF28" i="3"/>
  <c r="AE28" i="3"/>
  <c r="AF27" i="3"/>
  <c r="AE27" i="3"/>
  <c r="AF26" i="3"/>
  <c r="AE26" i="3"/>
  <c r="AF25" i="3"/>
  <c r="AE25" i="3"/>
  <c r="AG25" i="3" s="1"/>
  <c r="AH25" i="3" s="1"/>
  <c r="AF24" i="3"/>
  <c r="AE24" i="3"/>
  <c r="AF23" i="3"/>
  <c r="AE23" i="3"/>
  <c r="AF22" i="3"/>
  <c r="AE22" i="3"/>
  <c r="AF21" i="3"/>
  <c r="AE21" i="3"/>
  <c r="AF20" i="3"/>
  <c r="AE20" i="3"/>
  <c r="AF19" i="3"/>
  <c r="AE19" i="3"/>
  <c r="AF18" i="3"/>
  <c r="AE18" i="3"/>
  <c r="AF17" i="3"/>
  <c r="AE17" i="3"/>
  <c r="AF16" i="3"/>
  <c r="AE16" i="3"/>
  <c r="AH15" i="3"/>
  <c r="AF15" i="3"/>
  <c r="AE15" i="3"/>
  <c r="AG15" i="3" s="1"/>
  <c r="AF14" i="3"/>
  <c r="AG14" i="3" s="1"/>
  <c r="AH14" i="3" s="1"/>
  <c r="AE14" i="3"/>
  <c r="AF13" i="3"/>
  <c r="AE13" i="3"/>
  <c r="AG13" i="3" s="1"/>
  <c r="AH13" i="3" s="1"/>
  <c r="AF12" i="3"/>
  <c r="AE12" i="3"/>
  <c r="AH11" i="3"/>
  <c r="AF11" i="3"/>
  <c r="AE11" i="3"/>
  <c r="AG11" i="3" s="1"/>
  <c r="AF10" i="3"/>
  <c r="AE10" i="3"/>
  <c r="AF9" i="3"/>
  <c r="AE9" i="3"/>
  <c r="AF8" i="3"/>
  <c r="AG8" i="3" s="1"/>
  <c r="AH8" i="3" s="1"/>
  <c r="AE8" i="3"/>
  <c r="AF7" i="3"/>
  <c r="AE7" i="3"/>
  <c r="AF6" i="3"/>
  <c r="AE6" i="3"/>
  <c r="AF5" i="3"/>
  <c r="AE5" i="3"/>
  <c r="AF4" i="3"/>
  <c r="AE4" i="3"/>
  <c r="AF3" i="3"/>
  <c r="AE3" i="3"/>
  <c r="AG3" i="3" s="1"/>
  <c r="AH3" i="3" s="1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X21" i="3" s="1"/>
  <c r="Y21" i="3" s="1"/>
  <c r="V21" i="3"/>
  <c r="W20" i="3"/>
  <c r="V20" i="3"/>
  <c r="W19" i="3"/>
  <c r="V19" i="3"/>
  <c r="W18" i="3"/>
  <c r="V18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W4" i="3"/>
  <c r="V4" i="3"/>
  <c r="W3" i="3"/>
  <c r="V3" i="3"/>
  <c r="AQ29" i="3"/>
  <c r="AO29" i="3"/>
  <c r="AP29" i="3" s="1"/>
  <c r="AN29" i="3"/>
  <c r="AQ28" i="3"/>
  <c r="AO28" i="3"/>
  <c r="AN28" i="3"/>
  <c r="AQ27" i="3"/>
  <c r="AO27" i="3"/>
  <c r="AN27" i="3"/>
  <c r="AQ26" i="3"/>
  <c r="AO26" i="3"/>
  <c r="AP26" i="3" s="1"/>
  <c r="AN26" i="3"/>
  <c r="AQ25" i="3"/>
  <c r="AO25" i="3"/>
  <c r="AN25" i="3"/>
  <c r="AQ24" i="3"/>
  <c r="AO24" i="3"/>
  <c r="AN24" i="3"/>
  <c r="AQ23" i="3"/>
  <c r="AO23" i="3"/>
  <c r="AN23" i="3"/>
  <c r="AQ22" i="3"/>
  <c r="AO22" i="3"/>
  <c r="AN22" i="3"/>
  <c r="AQ21" i="3"/>
  <c r="AO21" i="3"/>
  <c r="AP21" i="3" s="1"/>
  <c r="AN21" i="3"/>
  <c r="AQ20" i="3"/>
  <c r="AO20" i="3"/>
  <c r="AN20" i="3"/>
  <c r="AO19" i="3"/>
  <c r="AN19" i="3"/>
  <c r="AO18" i="3"/>
  <c r="AP18" i="3" s="1"/>
  <c r="AQ18" i="3" s="1"/>
  <c r="AN18" i="3"/>
  <c r="AO17" i="3"/>
  <c r="AN17" i="3"/>
  <c r="AO16" i="3"/>
  <c r="AN16" i="3"/>
  <c r="AO12" i="3"/>
  <c r="AN12" i="3"/>
  <c r="AO11" i="3"/>
  <c r="AN11" i="3"/>
  <c r="AO10" i="3"/>
  <c r="AP10" i="3" s="1"/>
  <c r="AQ10" i="3" s="1"/>
  <c r="AN10" i="3"/>
  <c r="AO9" i="3"/>
  <c r="AN9" i="3"/>
  <c r="AO8" i="3"/>
  <c r="AN8" i="3"/>
  <c r="AO7" i="3"/>
  <c r="AN7" i="3"/>
  <c r="AO6" i="3"/>
  <c r="AN6" i="3"/>
  <c r="AO5" i="3"/>
  <c r="AN5" i="3"/>
  <c r="AO4" i="3"/>
  <c r="AN4" i="3"/>
  <c r="AO3" i="3"/>
  <c r="AN3" i="3"/>
  <c r="P32" i="3"/>
  <c r="N32" i="3"/>
  <c r="M32" i="3"/>
  <c r="O32" i="3" s="1"/>
  <c r="N30" i="3"/>
  <c r="O30" i="3" s="1"/>
  <c r="P30" i="3" s="1"/>
  <c r="M30" i="3"/>
  <c r="N29" i="3"/>
  <c r="M29" i="3"/>
  <c r="O29" i="3" s="1"/>
  <c r="P29" i="3" s="1"/>
  <c r="N28" i="3"/>
  <c r="M28" i="3"/>
  <c r="N27" i="3"/>
  <c r="M27" i="3"/>
  <c r="N26" i="3"/>
  <c r="O26" i="3" s="1"/>
  <c r="P26" i="3" s="1"/>
  <c r="M26" i="3"/>
  <c r="N24" i="3"/>
  <c r="M24" i="3"/>
  <c r="N23" i="3"/>
  <c r="M23" i="3"/>
  <c r="N22" i="3"/>
  <c r="O22" i="3" s="1"/>
  <c r="P22" i="3" s="1"/>
  <c r="M22" i="3"/>
  <c r="N21" i="3"/>
  <c r="M21" i="3"/>
  <c r="N20" i="3"/>
  <c r="M20" i="3"/>
  <c r="N19" i="3"/>
  <c r="M19" i="3"/>
  <c r="P18" i="3"/>
  <c r="O18" i="3"/>
  <c r="N18" i="3"/>
  <c r="M18" i="3"/>
  <c r="N15" i="3"/>
  <c r="M15" i="3"/>
  <c r="N12" i="3"/>
  <c r="M12" i="3"/>
  <c r="N11" i="3"/>
  <c r="M11" i="3"/>
  <c r="N10" i="3"/>
  <c r="M10" i="3"/>
  <c r="N9" i="3"/>
  <c r="O9" i="3" s="1"/>
  <c r="P9" i="3" s="1"/>
  <c r="M9" i="3"/>
  <c r="N8" i="3"/>
  <c r="M8" i="3"/>
  <c r="P7" i="3"/>
  <c r="N7" i="3"/>
  <c r="O7" i="3" s="1"/>
  <c r="M7" i="3"/>
  <c r="N6" i="3"/>
  <c r="M6" i="3"/>
  <c r="N5" i="3"/>
  <c r="M5" i="3"/>
  <c r="O5" i="3" s="1"/>
  <c r="P5" i="3" s="1"/>
  <c r="N4" i="3"/>
  <c r="M4" i="3"/>
  <c r="O4" i="3" s="1"/>
  <c r="P4" i="3" s="1"/>
  <c r="N3" i="3"/>
  <c r="M3" i="3"/>
  <c r="AQ31" i="3"/>
  <c r="AH34" i="3"/>
  <c r="Y34" i="3"/>
  <c r="P34" i="3"/>
  <c r="AR30" i="3"/>
  <c r="AP31" i="3" s="1"/>
  <c r="AI33" i="3"/>
  <c r="AG34" i="3" s="1"/>
  <c r="Z33" i="3"/>
  <c r="X34" i="3" s="1"/>
  <c r="Q33" i="3"/>
  <c r="O34" i="3" s="1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3" i="3"/>
  <c r="F23" i="3" s="1"/>
  <c r="G23" i="3" s="1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F7" i="3" s="1"/>
  <c r="G7" i="3" s="1"/>
  <c r="D7" i="3"/>
  <c r="E6" i="3"/>
  <c r="D6" i="3"/>
  <c r="E5" i="3"/>
  <c r="D5" i="3"/>
  <c r="E4" i="3"/>
  <c r="D4" i="3"/>
  <c r="E3" i="3"/>
  <c r="D3" i="3"/>
  <c r="H34" i="2"/>
  <c r="O36" i="2"/>
  <c r="P34" i="2"/>
  <c r="F33" i="2"/>
  <c r="G33" i="2" s="1"/>
  <c r="E33" i="2"/>
  <c r="D33" i="2"/>
  <c r="F35" i="2"/>
  <c r="F37" i="2" s="1"/>
  <c r="Z34" i="2"/>
  <c r="X35" i="2" s="1"/>
  <c r="D32" i="2"/>
  <c r="F32" i="2" s="1"/>
  <c r="G32" i="2" s="1"/>
  <c r="D31" i="2"/>
  <c r="E25" i="2"/>
  <c r="D29" i="2"/>
  <c r="F29" i="2" s="1"/>
  <c r="D28" i="2"/>
  <c r="F28" i="2" s="1"/>
  <c r="G28" i="2" s="1"/>
  <c r="D27" i="2"/>
  <c r="D26" i="2"/>
  <c r="F26" i="2" s="1"/>
  <c r="G26" i="2" s="1"/>
  <c r="D25" i="2"/>
  <c r="F25" i="2" s="1"/>
  <c r="G25" i="2" s="1"/>
  <c r="G17" i="1"/>
  <c r="E24" i="2"/>
  <c r="F24" i="2" s="1"/>
  <c r="G24" i="2" s="1"/>
  <c r="D24" i="2"/>
  <c r="N33" i="2"/>
  <c r="O33" i="2" s="1"/>
  <c r="M33" i="2"/>
  <c r="N32" i="2"/>
  <c r="M32" i="2"/>
  <c r="N31" i="2"/>
  <c r="O31" i="2" s="1"/>
  <c r="P31" i="2" s="1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O24" i="2" s="1"/>
  <c r="M24" i="2"/>
  <c r="N23" i="2"/>
  <c r="O23" i="2" s="1"/>
  <c r="P23" i="2" s="1"/>
  <c r="M23" i="2"/>
  <c r="N22" i="2"/>
  <c r="M22" i="2"/>
  <c r="N21" i="2"/>
  <c r="O21" i="2" s="1"/>
  <c r="P21" i="2" s="1"/>
  <c r="M21" i="2"/>
  <c r="N20" i="2"/>
  <c r="M20" i="2"/>
  <c r="N19" i="2"/>
  <c r="O19" i="2" s="1"/>
  <c r="P19" i="2" s="1"/>
  <c r="M19" i="2"/>
  <c r="N18" i="2"/>
  <c r="M18" i="2"/>
  <c r="N17" i="2"/>
  <c r="O17" i="2" s="1"/>
  <c r="P17" i="2" s="1"/>
  <c r="M17" i="2"/>
  <c r="N16" i="2"/>
  <c r="M16" i="2"/>
  <c r="N15" i="2"/>
  <c r="O15" i="2" s="1"/>
  <c r="P15" i="2" s="1"/>
  <c r="M15" i="2"/>
  <c r="D22" i="2"/>
  <c r="D21" i="2"/>
  <c r="D20" i="2"/>
  <c r="D19" i="2"/>
  <c r="E18" i="2"/>
  <c r="E19" i="2"/>
  <c r="E20" i="2"/>
  <c r="E21" i="2"/>
  <c r="E22" i="2"/>
  <c r="E23" i="2"/>
  <c r="E26" i="2"/>
  <c r="E27" i="2"/>
  <c r="E28" i="2"/>
  <c r="E29" i="2"/>
  <c r="E30" i="2"/>
  <c r="E31" i="2"/>
  <c r="F31" i="2" s="1"/>
  <c r="G31" i="2" s="1"/>
  <c r="E32" i="2"/>
  <c r="F18" i="2"/>
  <c r="D18" i="2"/>
  <c r="E17" i="2"/>
  <c r="F17" i="2" s="1"/>
  <c r="G17" i="2" s="1"/>
  <c r="D17" i="2"/>
  <c r="G35" i="2"/>
  <c r="P35" i="2"/>
  <c r="Y35" i="2"/>
  <c r="AH35" i="2"/>
  <c r="AQ35" i="2"/>
  <c r="AR34" i="2"/>
  <c r="AP35" i="2" s="1"/>
  <c r="AQ33" i="2"/>
  <c r="AO33" i="2"/>
  <c r="AP33" i="2" s="1"/>
  <c r="AN33" i="2"/>
  <c r="AQ32" i="2"/>
  <c r="AO32" i="2"/>
  <c r="AP32" i="2" s="1"/>
  <c r="AN32" i="2"/>
  <c r="AQ31" i="2"/>
  <c r="AO31" i="2"/>
  <c r="AP31" i="2" s="1"/>
  <c r="AN31" i="2"/>
  <c r="AQ30" i="2"/>
  <c r="AO30" i="2"/>
  <c r="AN30" i="2"/>
  <c r="AQ29" i="2"/>
  <c r="AO29" i="2"/>
  <c r="AP29" i="2" s="1"/>
  <c r="AN29" i="2"/>
  <c r="AQ28" i="2"/>
  <c r="AO28" i="2"/>
  <c r="AP28" i="2" s="1"/>
  <c r="AN28" i="2"/>
  <c r="AQ27" i="2"/>
  <c r="AO27" i="2"/>
  <c r="AP27" i="2" s="1"/>
  <c r="AN27" i="2"/>
  <c r="AQ26" i="2"/>
  <c r="AO26" i="2"/>
  <c r="AP26" i="2" s="1"/>
  <c r="AN26" i="2"/>
  <c r="AQ25" i="2"/>
  <c r="AO25" i="2"/>
  <c r="AN25" i="2"/>
  <c r="AO24" i="2"/>
  <c r="AN24" i="2"/>
  <c r="AO23" i="2"/>
  <c r="AN23" i="2"/>
  <c r="AO22" i="2"/>
  <c r="AN22" i="2"/>
  <c r="AO21" i="2"/>
  <c r="AP21" i="2" s="1"/>
  <c r="AQ21" i="2" s="1"/>
  <c r="AN21" i="2"/>
  <c r="AO20" i="2"/>
  <c r="AN20" i="2"/>
  <c r="AO19" i="2"/>
  <c r="AP19" i="2" s="1"/>
  <c r="AQ19" i="2" s="1"/>
  <c r="AN19" i="2"/>
  <c r="AO18" i="2"/>
  <c r="AP18" i="2" s="1"/>
  <c r="AQ18" i="2" s="1"/>
  <c r="AN18" i="2"/>
  <c r="AO17" i="2"/>
  <c r="AN17" i="2"/>
  <c r="AO16" i="2"/>
  <c r="AP16" i="2" s="1"/>
  <c r="AQ16" i="2" s="1"/>
  <c r="AN16" i="2"/>
  <c r="AO15" i="2"/>
  <c r="AP15" i="2" s="1"/>
  <c r="AQ15" i="2" s="1"/>
  <c r="AN15" i="2"/>
  <c r="AO14" i="2"/>
  <c r="AP14" i="2" s="1"/>
  <c r="AQ14" i="2" s="1"/>
  <c r="AN14" i="2"/>
  <c r="AO13" i="2"/>
  <c r="AP13" i="2" s="1"/>
  <c r="AQ13" i="2" s="1"/>
  <c r="AN13" i="2"/>
  <c r="AO12" i="2"/>
  <c r="AP12" i="2" s="1"/>
  <c r="AQ12" i="2" s="1"/>
  <c r="AN12" i="2"/>
  <c r="AO11" i="2"/>
  <c r="AP11" i="2" s="1"/>
  <c r="AQ11" i="2" s="1"/>
  <c r="AN11" i="2"/>
  <c r="AO10" i="2"/>
  <c r="AP10" i="2" s="1"/>
  <c r="AQ10" i="2" s="1"/>
  <c r="AN10" i="2"/>
  <c r="AO9" i="2"/>
  <c r="AP9" i="2" s="1"/>
  <c r="AQ9" i="2" s="1"/>
  <c r="AN9" i="2"/>
  <c r="AO8" i="2"/>
  <c r="AN8" i="2"/>
  <c r="AO7" i="2"/>
  <c r="AN7" i="2"/>
  <c r="AO6" i="2"/>
  <c r="AP6" i="2" s="1"/>
  <c r="AQ6" i="2" s="1"/>
  <c r="AN6" i="2"/>
  <c r="AO5" i="2"/>
  <c r="AP5" i="2" s="1"/>
  <c r="AQ5" i="2" s="1"/>
  <c r="AN5" i="2"/>
  <c r="AO4" i="2"/>
  <c r="AN4" i="2"/>
  <c r="AO3" i="2"/>
  <c r="AN3" i="2"/>
  <c r="AI34" i="2"/>
  <c r="AG35" i="2" s="1"/>
  <c r="AF33" i="2"/>
  <c r="AG33" i="2" s="1"/>
  <c r="AH33" i="2" s="1"/>
  <c r="AE33" i="2"/>
  <c r="AH32" i="2"/>
  <c r="AF32" i="2"/>
  <c r="AG32" i="2" s="1"/>
  <c r="AE32" i="2"/>
  <c r="AF31" i="2"/>
  <c r="AG31" i="2" s="1"/>
  <c r="AH31" i="2" s="1"/>
  <c r="AE31" i="2"/>
  <c r="AF30" i="2"/>
  <c r="AE30" i="2"/>
  <c r="AF29" i="2"/>
  <c r="AE29" i="2"/>
  <c r="AF28" i="2"/>
  <c r="AE28" i="2"/>
  <c r="AF27" i="2"/>
  <c r="AG27" i="2" s="1"/>
  <c r="AH27" i="2" s="1"/>
  <c r="AE27" i="2"/>
  <c r="AF26" i="2"/>
  <c r="AE26" i="2"/>
  <c r="AF25" i="2"/>
  <c r="AE25" i="2"/>
  <c r="AF24" i="2"/>
  <c r="AE24" i="2"/>
  <c r="AF23" i="2"/>
  <c r="AE23" i="2"/>
  <c r="AF22" i="2"/>
  <c r="AG22" i="2" s="1"/>
  <c r="AH22" i="2" s="1"/>
  <c r="AE22" i="2"/>
  <c r="AF21" i="2"/>
  <c r="AE21" i="2"/>
  <c r="AF20" i="2"/>
  <c r="AE20" i="2"/>
  <c r="AF19" i="2"/>
  <c r="AE19" i="2"/>
  <c r="AF18" i="2"/>
  <c r="AG18" i="2" s="1"/>
  <c r="AH18" i="2" s="1"/>
  <c r="AE18" i="2"/>
  <c r="AF17" i="2"/>
  <c r="AE17" i="2"/>
  <c r="AF16" i="2"/>
  <c r="AE16" i="2"/>
  <c r="AF15" i="2"/>
  <c r="AE15" i="2"/>
  <c r="AF14" i="2"/>
  <c r="AG14" i="2" s="1"/>
  <c r="AH14" i="2" s="1"/>
  <c r="AE14" i="2"/>
  <c r="AF13" i="2"/>
  <c r="AE13" i="2"/>
  <c r="AF12" i="2"/>
  <c r="AE12" i="2"/>
  <c r="AF11" i="2"/>
  <c r="AE11" i="2"/>
  <c r="AF10" i="2"/>
  <c r="AE10" i="2"/>
  <c r="AF9" i="2"/>
  <c r="AE9" i="2"/>
  <c r="AF8" i="2"/>
  <c r="AE8" i="2"/>
  <c r="AF7" i="2"/>
  <c r="AE7" i="2"/>
  <c r="AF6" i="2"/>
  <c r="AG6" i="2" s="1"/>
  <c r="AH6" i="2" s="1"/>
  <c r="AE6" i="2"/>
  <c r="AF5" i="2"/>
  <c r="AE5" i="2"/>
  <c r="AF4" i="2"/>
  <c r="AE4" i="2"/>
  <c r="AF3" i="2"/>
  <c r="AE3" i="2"/>
  <c r="W33" i="2"/>
  <c r="V33" i="2"/>
  <c r="W32" i="2"/>
  <c r="X32" i="2" s="1"/>
  <c r="Y32" i="2" s="1"/>
  <c r="V32" i="2"/>
  <c r="W31" i="2"/>
  <c r="V31" i="2"/>
  <c r="X31" i="2" s="1"/>
  <c r="Y31" i="2" s="1"/>
  <c r="W30" i="2"/>
  <c r="X30" i="2" s="1"/>
  <c r="V30" i="2"/>
  <c r="W29" i="2"/>
  <c r="X29" i="2" s="1"/>
  <c r="Y29" i="2" s="1"/>
  <c r="V29" i="2"/>
  <c r="W28" i="2"/>
  <c r="X28" i="2" s="1"/>
  <c r="Y28" i="2" s="1"/>
  <c r="V28" i="2"/>
  <c r="W27" i="2"/>
  <c r="V27" i="2"/>
  <c r="X27" i="2" s="1"/>
  <c r="Y27" i="2" s="1"/>
  <c r="W26" i="2"/>
  <c r="X26" i="2" s="1"/>
  <c r="V26" i="2"/>
  <c r="W25" i="2"/>
  <c r="V25" i="2"/>
  <c r="W24" i="2"/>
  <c r="V24" i="2"/>
  <c r="X24" i="2" s="1"/>
  <c r="Y24" i="2" s="1"/>
  <c r="W23" i="2"/>
  <c r="V23" i="2"/>
  <c r="W22" i="2"/>
  <c r="V22" i="2"/>
  <c r="W21" i="2"/>
  <c r="X21" i="2" s="1"/>
  <c r="Y21" i="2" s="1"/>
  <c r="V21" i="2"/>
  <c r="W20" i="2"/>
  <c r="V20" i="2"/>
  <c r="W19" i="2"/>
  <c r="V19" i="2"/>
  <c r="W18" i="2"/>
  <c r="X18" i="2" s="1"/>
  <c r="Y18" i="2" s="1"/>
  <c r="V18" i="2"/>
  <c r="W17" i="2"/>
  <c r="X17" i="2" s="1"/>
  <c r="Y17" i="2" s="1"/>
  <c r="V17" i="2"/>
  <c r="X33" i="2"/>
  <c r="Y33" i="2" s="1"/>
  <c r="Y30" i="2"/>
  <c r="Y26" i="2"/>
  <c r="X25" i="2"/>
  <c r="X20" i="2"/>
  <c r="Y20" i="2" s="1"/>
  <c r="W16" i="2"/>
  <c r="X16" i="2" s="1"/>
  <c r="Y16" i="2" s="1"/>
  <c r="V16" i="2"/>
  <c r="W15" i="2"/>
  <c r="V15" i="2"/>
  <c r="W14" i="2"/>
  <c r="X14" i="2" s="1"/>
  <c r="Y14" i="2" s="1"/>
  <c r="V14" i="2"/>
  <c r="W13" i="2"/>
  <c r="V13" i="2"/>
  <c r="W12" i="2"/>
  <c r="V12" i="2"/>
  <c r="W11" i="2"/>
  <c r="V11" i="2"/>
  <c r="W10" i="2"/>
  <c r="X10" i="2" s="1"/>
  <c r="Y10" i="2" s="1"/>
  <c r="V10" i="2"/>
  <c r="W9" i="2"/>
  <c r="V9" i="2"/>
  <c r="W8" i="2"/>
  <c r="V8" i="2"/>
  <c r="W7" i="2"/>
  <c r="V7" i="2"/>
  <c r="W6" i="2"/>
  <c r="X6" i="2" s="1"/>
  <c r="Y6" i="2" s="1"/>
  <c r="V6" i="2"/>
  <c r="W5" i="2"/>
  <c r="X5" i="2" s="1"/>
  <c r="Y5" i="2" s="1"/>
  <c r="V5" i="2"/>
  <c r="W4" i="2"/>
  <c r="X4" i="2" s="1"/>
  <c r="Y4" i="2" s="1"/>
  <c r="V4" i="2"/>
  <c r="W3" i="2"/>
  <c r="X3" i="2" s="1"/>
  <c r="V3" i="2"/>
  <c r="Q34" i="2"/>
  <c r="O35" i="2" s="1"/>
  <c r="O37" i="2" s="1"/>
  <c r="P33" i="2"/>
  <c r="P32" i="2"/>
  <c r="O32" i="2"/>
  <c r="O30" i="2"/>
  <c r="P30" i="2" s="1"/>
  <c r="O28" i="2"/>
  <c r="P28" i="2" s="1"/>
  <c r="P26" i="2"/>
  <c r="O26" i="2"/>
  <c r="O22" i="2"/>
  <c r="P22" i="2" s="1"/>
  <c r="O20" i="2"/>
  <c r="P20" i="2" s="1"/>
  <c r="O18" i="2"/>
  <c r="P18" i="2" s="1"/>
  <c r="N14" i="2"/>
  <c r="O14" i="2" s="1"/>
  <c r="P14" i="2" s="1"/>
  <c r="M14" i="2"/>
  <c r="N13" i="2"/>
  <c r="O13" i="2" s="1"/>
  <c r="P13" i="2" s="1"/>
  <c r="M13" i="2"/>
  <c r="N12" i="2"/>
  <c r="M12" i="2"/>
  <c r="N11" i="2"/>
  <c r="O11" i="2" s="1"/>
  <c r="P11" i="2" s="1"/>
  <c r="M11" i="2"/>
  <c r="N10" i="2"/>
  <c r="O10" i="2" s="1"/>
  <c r="P10" i="2" s="1"/>
  <c r="M10" i="2"/>
  <c r="N9" i="2"/>
  <c r="O9" i="2" s="1"/>
  <c r="P9" i="2" s="1"/>
  <c r="M9" i="2"/>
  <c r="N8" i="2"/>
  <c r="O8" i="2" s="1"/>
  <c r="P8" i="2" s="1"/>
  <c r="M8" i="2"/>
  <c r="N7" i="2"/>
  <c r="O7" i="2" s="1"/>
  <c r="P7" i="2" s="1"/>
  <c r="M7" i="2"/>
  <c r="N6" i="2"/>
  <c r="O6" i="2" s="1"/>
  <c r="P6" i="2" s="1"/>
  <c r="M6" i="2"/>
  <c r="N5" i="2"/>
  <c r="O5" i="2" s="1"/>
  <c r="P5" i="2" s="1"/>
  <c r="M5" i="2"/>
  <c r="N4" i="2"/>
  <c r="M4" i="2"/>
  <c r="N3" i="2"/>
  <c r="O3" i="2" s="1"/>
  <c r="M3" i="2"/>
  <c r="G6" i="2"/>
  <c r="G7" i="2"/>
  <c r="G8" i="2"/>
  <c r="G9" i="2"/>
  <c r="G10" i="2"/>
  <c r="G11" i="2"/>
  <c r="G12" i="2"/>
  <c r="G13" i="2"/>
  <c r="G14" i="2"/>
  <c r="G15" i="2"/>
  <c r="G16" i="2"/>
  <c r="G29" i="2"/>
  <c r="F27" i="2"/>
  <c r="G27" i="2" s="1"/>
  <c r="F23" i="2"/>
  <c r="G23" i="2" s="1"/>
  <c r="F21" i="2"/>
  <c r="G21" i="2" s="1"/>
  <c r="F19" i="2"/>
  <c r="G19" i="2" s="1"/>
  <c r="F16" i="2"/>
  <c r="F15" i="2"/>
  <c r="F14" i="2"/>
  <c r="F12" i="2"/>
  <c r="F11" i="2"/>
  <c r="F10" i="2"/>
  <c r="F9" i="2"/>
  <c r="F8" i="2"/>
  <c r="F6" i="2"/>
  <c r="D30" i="2"/>
  <c r="F30" i="2" s="1"/>
  <c r="G30" i="2" s="1"/>
  <c r="D23" i="2"/>
  <c r="E16" i="2"/>
  <c r="D16" i="2"/>
  <c r="E15" i="2"/>
  <c r="D15" i="2"/>
  <c r="E14" i="2"/>
  <c r="D14" i="2"/>
  <c r="E13" i="2"/>
  <c r="D13" i="2"/>
  <c r="F13" i="2" s="1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F4" i="2" s="1"/>
  <c r="D4" i="2"/>
  <c r="E3" i="2"/>
  <c r="D3" i="2"/>
  <c r="Y11" i="1"/>
  <c r="X12" i="1"/>
  <c r="W10" i="1"/>
  <c r="V10" i="1"/>
  <c r="X10" i="1" s="1"/>
  <c r="Y10" i="1" s="1"/>
  <c r="W9" i="1"/>
  <c r="X9" i="1" s="1"/>
  <c r="Y9" i="1" s="1"/>
  <c r="V9" i="1"/>
  <c r="W8" i="1"/>
  <c r="V8" i="1"/>
  <c r="W7" i="1"/>
  <c r="V7" i="1"/>
  <c r="W6" i="1"/>
  <c r="V6" i="1"/>
  <c r="W5" i="1"/>
  <c r="V5" i="1"/>
  <c r="W4" i="1"/>
  <c r="X4" i="1" s="1"/>
  <c r="Y4" i="1" s="1"/>
  <c r="V4" i="1"/>
  <c r="W3" i="1"/>
  <c r="X3" i="1" s="1"/>
  <c r="Y3" i="1" s="1"/>
  <c r="V3" i="1"/>
  <c r="P13" i="1"/>
  <c r="Q13" i="1"/>
  <c r="O14" i="1" s="1"/>
  <c r="X17" i="3" l="1"/>
  <c r="Y17" i="3" s="1"/>
  <c r="X31" i="3"/>
  <c r="Y31" i="3" s="1"/>
  <c r="X29" i="3"/>
  <c r="Y29" i="3" s="1"/>
  <c r="AY22" i="3"/>
  <c r="AZ22" i="3" s="1"/>
  <c r="AY20" i="3"/>
  <c r="AZ20" i="3" s="1"/>
  <c r="AG26" i="3"/>
  <c r="AH26" i="3" s="1"/>
  <c r="AG29" i="3"/>
  <c r="AH29" i="3" s="1"/>
  <c r="F25" i="3"/>
  <c r="G25" i="3" s="1"/>
  <c r="F27" i="3"/>
  <c r="G27" i="3" s="1"/>
  <c r="X27" i="3"/>
  <c r="Y27" i="3" s="1"/>
  <c r="O24" i="3"/>
  <c r="P24" i="3" s="1"/>
  <c r="AG24" i="3"/>
  <c r="AH24" i="3" s="1"/>
  <c r="AG22" i="3"/>
  <c r="AH22" i="3" s="1"/>
  <c r="AG23" i="3"/>
  <c r="AH23" i="3" s="1"/>
  <c r="AG21" i="3"/>
  <c r="AH21" i="3" s="1"/>
  <c r="X23" i="3"/>
  <c r="Y23" i="3" s="1"/>
  <c r="X19" i="3"/>
  <c r="Y19" i="3" s="1"/>
  <c r="F21" i="3"/>
  <c r="G21" i="3" s="1"/>
  <c r="AY12" i="3"/>
  <c r="AZ12" i="3" s="1"/>
  <c r="AG18" i="3"/>
  <c r="AH18" i="3" s="1"/>
  <c r="AG17" i="3"/>
  <c r="AH17" i="3" s="1"/>
  <c r="AG16" i="3"/>
  <c r="AH16" i="3" s="1"/>
  <c r="O19" i="3"/>
  <c r="P19" i="3" s="1"/>
  <c r="O16" i="3"/>
  <c r="P16" i="3" s="1"/>
  <c r="F18" i="3"/>
  <c r="G18" i="3" s="1"/>
  <c r="F17" i="3"/>
  <c r="G17" i="3" s="1"/>
  <c r="AY6" i="3"/>
  <c r="AZ6" i="3" s="1"/>
  <c r="X15" i="3"/>
  <c r="Y15" i="3" s="1"/>
  <c r="AG7" i="3"/>
  <c r="AH7" i="3" s="1"/>
  <c r="X11" i="3"/>
  <c r="Y11" i="3" s="1"/>
  <c r="O12" i="3"/>
  <c r="P12" i="3" s="1"/>
  <c r="F13" i="3"/>
  <c r="G13" i="3" s="1"/>
  <c r="AG10" i="3"/>
  <c r="AH10" i="3" s="1"/>
  <c r="F10" i="3"/>
  <c r="G10" i="3" s="1"/>
  <c r="X16" i="3"/>
  <c r="Y16" i="3" s="1"/>
  <c r="X24" i="3"/>
  <c r="Y24" i="3" s="1"/>
  <c r="AY17" i="3"/>
  <c r="AZ17" i="3" s="1"/>
  <c r="AY25" i="3"/>
  <c r="AZ25" i="3" s="1"/>
  <c r="AP9" i="3"/>
  <c r="AQ9" i="3" s="1"/>
  <c r="AP17" i="3"/>
  <c r="AQ17" i="3" s="1"/>
  <c r="AP25" i="3"/>
  <c r="AY7" i="3"/>
  <c r="AY15" i="3"/>
  <c r="AZ15" i="3" s="1"/>
  <c r="F26" i="3"/>
  <c r="G26" i="3" s="1"/>
  <c r="F30" i="3"/>
  <c r="G30" i="3" s="1"/>
  <c r="O10" i="3"/>
  <c r="P10" i="3" s="1"/>
  <c r="O20" i="3"/>
  <c r="P20" i="3" s="1"/>
  <c r="O28" i="3"/>
  <c r="P28" i="3" s="1"/>
  <c r="AP12" i="3"/>
  <c r="AQ12" i="3" s="1"/>
  <c r="AP20" i="3"/>
  <c r="AP28" i="3"/>
  <c r="X8" i="3"/>
  <c r="Y8" i="3" s="1"/>
  <c r="AG19" i="3"/>
  <c r="AH19" i="3" s="1"/>
  <c r="AG27" i="3"/>
  <c r="AH27" i="3" s="1"/>
  <c r="AY10" i="3"/>
  <c r="AZ10" i="3" s="1"/>
  <c r="AY18" i="3"/>
  <c r="AZ18" i="3" s="1"/>
  <c r="AY21" i="3"/>
  <c r="AZ21" i="3" s="1"/>
  <c r="X18" i="3"/>
  <c r="Y18" i="3" s="1"/>
  <c r="AG9" i="3"/>
  <c r="AH9" i="3" s="1"/>
  <c r="AY11" i="3"/>
  <c r="AZ11" i="3" s="1"/>
  <c r="AY19" i="3"/>
  <c r="AZ19" i="3" s="1"/>
  <c r="AP5" i="3"/>
  <c r="AQ5" i="3" s="1"/>
  <c r="AP4" i="3"/>
  <c r="AQ4" i="3" s="1"/>
  <c r="AG6" i="3"/>
  <c r="AH6" i="3" s="1"/>
  <c r="X10" i="3"/>
  <c r="Y10" i="3" s="1"/>
  <c r="X7" i="3"/>
  <c r="Y7" i="3" s="1"/>
  <c r="O8" i="3"/>
  <c r="P8" i="3" s="1"/>
  <c r="X6" i="3"/>
  <c r="Y6" i="3" s="1"/>
  <c r="AP3" i="3"/>
  <c r="AQ3" i="3" s="1"/>
  <c r="AP11" i="3"/>
  <c r="AQ11" i="3" s="1"/>
  <c r="AP19" i="3"/>
  <c r="AQ19" i="3" s="1"/>
  <c r="AP27" i="3"/>
  <c r="X9" i="3"/>
  <c r="Y9" i="3" s="1"/>
  <c r="X25" i="3"/>
  <c r="Y25" i="3" s="1"/>
  <c r="AG12" i="3"/>
  <c r="AH12" i="3" s="1"/>
  <c r="AG20" i="3"/>
  <c r="AH20" i="3" s="1"/>
  <c r="AG28" i="3"/>
  <c r="AH28" i="3" s="1"/>
  <c r="F6" i="3"/>
  <c r="G6" i="3" s="1"/>
  <c r="F22" i="3"/>
  <c r="G22" i="3" s="1"/>
  <c r="F29" i="3"/>
  <c r="G29" i="3" s="1"/>
  <c r="O15" i="3"/>
  <c r="P15" i="3" s="1"/>
  <c r="AP6" i="3"/>
  <c r="AQ6" i="3" s="1"/>
  <c r="AP22" i="3"/>
  <c r="X3" i="3"/>
  <c r="Y3" i="3" s="1"/>
  <c r="X12" i="3"/>
  <c r="Y12" i="3" s="1"/>
  <c r="X20" i="3"/>
  <c r="Y20" i="3" s="1"/>
  <c r="X28" i="3"/>
  <c r="Y28" i="3" s="1"/>
  <c r="F15" i="3"/>
  <c r="G15" i="3" s="1"/>
  <c r="F19" i="3"/>
  <c r="G19" i="3" s="1"/>
  <c r="O6" i="3"/>
  <c r="P6" i="3" s="1"/>
  <c r="O27" i="3"/>
  <c r="P27" i="3" s="1"/>
  <c r="AG4" i="3"/>
  <c r="AH4" i="3" s="1"/>
  <c r="F28" i="3"/>
  <c r="G28" i="3" s="1"/>
  <c r="X14" i="3"/>
  <c r="Y14" i="3" s="1"/>
  <c r="O3" i="3"/>
  <c r="P3" i="3" s="1"/>
  <c r="O11" i="3"/>
  <c r="P11" i="3" s="1"/>
  <c r="X26" i="3"/>
  <c r="Y26" i="3" s="1"/>
  <c r="AP16" i="3"/>
  <c r="AQ16" i="3" s="1"/>
  <c r="F5" i="3"/>
  <c r="G5" i="3" s="1"/>
  <c r="F31" i="3"/>
  <c r="G31" i="3" s="1"/>
  <c r="O23" i="3"/>
  <c r="P23" i="3" s="1"/>
  <c r="AP7" i="3"/>
  <c r="AQ7" i="3" s="1"/>
  <c r="AP23" i="3"/>
  <c r="X13" i="3"/>
  <c r="Y13" i="3" s="1"/>
  <c r="AP8" i="3"/>
  <c r="AQ8" i="3" s="1"/>
  <c r="AP24" i="3"/>
  <c r="X22" i="3"/>
  <c r="Y22" i="3" s="1"/>
  <c r="X30" i="3"/>
  <c r="Y30" i="3" s="1"/>
  <c r="O21" i="3"/>
  <c r="X32" i="3"/>
  <c r="Y32" i="3" s="1"/>
  <c r="AG5" i="3"/>
  <c r="AH5" i="3" s="1"/>
  <c r="X5" i="3"/>
  <c r="Y5" i="3" s="1"/>
  <c r="X4" i="3"/>
  <c r="Y4" i="3" s="1"/>
  <c r="F3" i="3"/>
  <c r="G3" i="3" s="1"/>
  <c r="F4" i="3"/>
  <c r="G4" i="3" s="1"/>
  <c r="F16" i="3"/>
  <c r="G16" i="3" s="1"/>
  <c r="F20" i="3"/>
  <c r="F32" i="3"/>
  <c r="G32" i="3" s="1"/>
  <c r="F8" i="3"/>
  <c r="G8" i="3" s="1"/>
  <c r="F12" i="3"/>
  <c r="G12" i="3" s="1"/>
  <c r="F9" i="3"/>
  <c r="G9" i="3" s="1"/>
  <c r="F11" i="3"/>
  <c r="G11" i="3" s="1"/>
  <c r="AG29" i="2"/>
  <c r="AH29" i="2" s="1"/>
  <c r="AG30" i="2"/>
  <c r="AH30" i="2" s="1"/>
  <c r="AG26" i="2"/>
  <c r="AH26" i="2" s="1"/>
  <c r="X34" i="2"/>
  <c r="O29" i="2"/>
  <c r="P29" i="2" s="1"/>
  <c r="O27" i="2"/>
  <c r="P27" i="2" s="1"/>
  <c r="F20" i="2"/>
  <c r="G20" i="2" s="1"/>
  <c r="F5" i="2"/>
  <c r="G5" i="2" s="1"/>
  <c r="G4" i="2"/>
  <c r="Y25" i="2"/>
  <c r="Y34" i="2" s="1"/>
  <c r="O25" i="2"/>
  <c r="P25" i="2" s="1"/>
  <c r="P24" i="2"/>
  <c r="O34" i="2"/>
  <c r="AP25" i="2"/>
  <c r="AP24" i="2"/>
  <c r="AQ24" i="2" s="1"/>
  <c r="AP22" i="2"/>
  <c r="AQ22" i="2" s="1"/>
  <c r="AP20" i="2"/>
  <c r="AQ20" i="2" s="1"/>
  <c r="AP17" i="2"/>
  <c r="AQ17" i="2" s="1"/>
  <c r="AG24" i="2"/>
  <c r="AG25" i="2"/>
  <c r="AH25" i="2" s="1"/>
  <c r="AG20" i="2"/>
  <c r="AH20" i="2" s="1"/>
  <c r="AG23" i="2"/>
  <c r="AH23" i="2" s="1"/>
  <c r="AG21" i="2"/>
  <c r="AH21" i="2" s="1"/>
  <c r="AG19" i="2"/>
  <c r="AH19" i="2" s="1"/>
  <c r="X22" i="2"/>
  <c r="Y22" i="2" s="1"/>
  <c r="X23" i="2"/>
  <c r="Y23" i="2" s="1"/>
  <c r="X19" i="2"/>
  <c r="Y19" i="2" s="1"/>
  <c r="F22" i="2"/>
  <c r="G22" i="2" s="1"/>
  <c r="G18" i="2"/>
  <c r="O16" i="2"/>
  <c r="P16" i="2" s="1"/>
  <c r="AP7" i="2"/>
  <c r="AQ7" i="2" s="1"/>
  <c r="AP4" i="2"/>
  <c r="AQ4" i="2" s="1"/>
  <c r="AP8" i="2"/>
  <c r="AQ8" i="2" s="1"/>
  <c r="AP3" i="2"/>
  <c r="AP30" i="2"/>
  <c r="AP23" i="2"/>
  <c r="AG10" i="2"/>
  <c r="AH10" i="2" s="1"/>
  <c r="AG7" i="2"/>
  <c r="AH7" i="2" s="1"/>
  <c r="AG11" i="2"/>
  <c r="AH11" i="2" s="1"/>
  <c r="AG15" i="2"/>
  <c r="AH15" i="2" s="1"/>
  <c r="AG4" i="2"/>
  <c r="AH4" i="2" s="1"/>
  <c r="AG8" i="2"/>
  <c r="AH8" i="2" s="1"/>
  <c r="AG12" i="2"/>
  <c r="AH12" i="2" s="1"/>
  <c r="AG16" i="2"/>
  <c r="AH16" i="2" s="1"/>
  <c r="AG5" i="2"/>
  <c r="AH5" i="2" s="1"/>
  <c r="AG9" i="2"/>
  <c r="AH9" i="2" s="1"/>
  <c r="AG13" i="2"/>
  <c r="AH13" i="2" s="1"/>
  <c r="AG17" i="2"/>
  <c r="AH17" i="2" s="1"/>
  <c r="AG3" i="2"/>
  <c r="AG28" i="2"/>
  <c r="AH28" i="2" s="1"/>
  <c r="X15" i="2"/>
  <c r="Y15" i="2" s="1"/>
  <c r="X12" i="2"/>
  <c r="Y12" i="2" s="1"/>
  <c r="X11" i="2"/>
  <c r="Y11" i="2" s="1"/>
  <c r="X13" i="2"/>
  <c r="Y13" i="2" s="1"/>
  <c r="X7" i="2"/>
  <c r="Y7" i="2" s="1"/>
  <c r="X8" i="2"/>
  <c r="Y8" i="2" s="1"/>
  <c r="X9" i="2"/>
  <c r="Y9" i="2" s="1"/>
  <c r="Y3" i="2"/>
  <c r="O4" i="2"/>
  <c r="P4" i="2" s="1"/>
  <c r="O12" i="2"/>
  <c r="P12" i="2" s="1"/>
  <c r="P3" i="2"/>
  <c r="F7" i="2"/>
  <c r="F3" i="2"/>
  <c r="G3" i="2" s="1"/>
  <c r="X8" i="1"/>
  <c r="Y8" i="1" s="1"/>
  <c r="X5" i="1"/>
  <c r="Y5" i="1" s="1"/>
  <c r="X6" i="1"/>
  <c r="Y6" i="1" s="1"/>
  <c r="H17" i="1"/>
  <c r="F18" i="1" s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O5" i="1" s="1"/>
  <c r="P5" i="1" s="1"/>
  <c r="M5" i="1"/>
  <c r="N4" i="1"/>
  <c r="M4" i="1"/>
  <c r="N3" i="1"/>
  <c r="M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E3" i="1"/>
  <c r="D3" i="1"/>
  <c r="O33" i="3" l="1"/>
  <c r="O35" i="3" s="1"/>
  <c r="O36" i="3" s="1"/>
  <c r="P21" i="3"/>
  <c r="P33" i="3" s="1"/>
  <c r="AY29" i="3"/>
  <c r="AZ7" i="3"/>
  <c r="AZ27" i="3" s="1"/>
  <c r="AG33" i="3"/>
  <c r="AG35" i="3" s="1"/>
  <c r="AQ30" i="3"/>
  <c r="AP30" i="3"/>
  <c r="AP32" i="3" s="1"/>
  <c r="AH33" i="3"/>
  <c r="G33" i="3"/>
  <c r="Y33" i="3"/>
  <c r="X33" i="3"/>
  <c r="X35" i="3" s="1"/>
  <c r="X36" i="3" s="1"/>
  <c r="F33" i="3"/>
  <c r="F35" i="3" s="1"/>
  <c r="F36" i="3" s="1"/>
  <c r="G34" i="2"/>
  <c r="F34" i="2"/>
  <c r="F36" i="2" s="1"/>
  <c r="AQ23" i="2"/>
  <c r="AQ34" i="2" s="1"/>
  <c r="AP34" i="2"/>
  <c r="AH24" i="2"/>
  <c r="AH34" i="2" s="1"/>
  <c r="AG34" i="2"/>
  <c r="AG36" i="2" s="1"/>
  <c r="AQ3" i="2"/>
  <c r="AH3" i="2"/>
  <c r="X36" i="2"/>
  <c r="X37" i="2" s="1"/>
  <c r="X40" i="2" s="1"/>
  <c r="F9" i="1"/>
  <c r="G9" i="1" s="1"/>
  <c r="F5" i="1"/>
  <c r="G5" i="1" s="1"/>
  <c r="O4" i="1"/>
  <c r="P4" i="1" s="1"/>
  <c r="O7" i="1"/>
  <c r="P7" i="1" s="1"/>
  <c r="X11" i="1"/>
  <c r="X13" i="1" s="1"/>
  <c r="X14" i="1" s="1"/>
  <c r="F15" i="1"/>
  <c r="G15" i="1" s="1"/>
  <c r="F11" i="1"/>
  <c r="G11" i="1" s="1"/>
  <c r="O6" i="1"/>
  <c r="P6" i="1" s="1"/>
  <c r="O3" i="1"/>
  <c r="O10" i="1"/>
  <c r="P10" i="1" s="1"/>
  <c r="O11" i="1"/>
  <c r="P11" i="1" s="1"/>
  <c r="O8" i="1"/>
  <c r="P8" i="1" s="1"/>
  <c r="O12" i="1"/>
  <c r="P12" i="1" s="1"/>
  <c r="F6" i="1"/>
  <c r="G6" i="1" s="1"/>
  <c r="F7" i="1"/>
  <c r="F14" i="1"/>
  <c r="G14" i="1" s="1"/>
  <c r="F10" i="1"/>
  <c r="G10" i="1" s="1"/>
  <c r="F3" i="1"/>
  <c r="F16" i="1"/>
  <c r="G16" i="1" s="1"/>
  <c r="F12" i="1"/>
  <c r="G12" i="1" s="1"/>
  <c r="F8" i="1"/>
  <c r="G8" i="1" s="1"/>
  <c r="AY30" i="3" l="1"/>
  <c r="AG36" i="3"/>
  <c r="AP33" i="3"/>
  <c r="AG37" i="2"/>
  <c r="O13" i="1"/>
  <c r="O15" i="1" s="1"/>
  <c r="O16" i="1" s="1"/>
  <c r="G3" i="1"/>
  <c r="F17" i="1"/>
  <c r="F19" i="1" s="1"/>
  <c r="F20" i="1" s="1"/>
  <c r="AP36" i="2"/>
  <c r="AP37" i="2" s="1"/>
</calcChain>
</file>

<file path=xl/sharedStrings.xml><?xml version="1.0" encoding="utf-8"?>
<sst xmlns="http://schemas.openxmlformats.org/spreadsheetml/2006/main" count="219" uniqueCount="22">
  <si>
    <t>Date</t>
  </si>
  <si>
    <t>Time in</t>
  </si>
  <si>
    <t>Time out</t>
  </si>
  <si>
    <t>Difference</t>
  </si>
  <si>
    <t>Total time</t>
  </si>
  <si>
    <t>Syed(Mukka)</t>
  </si>
  <si>
    <t>Advance</t>
  </si>
  <si>
    <t>Total Hours</t>
  </si>
  <si>
    <t>Amount</t>
  </si>
  <si>
    <t>Balance Amount</t>
  </si>
  <si>
    <t>Sameer(Mari)</t>
  </si>
  <si>
    <t>VIKAS</t>
  </si>
  <si>
    <t>Sameer</t>
  </si>
  <si>
    <t>Vikas</t>
  </si>
  <si>
    <t>Rehan</t>
  </si>
  <si>
    <t>Yogesh</t>
  </si>
  <si>
    <t>July 2023 Balance</t>
  </si>
  <si>
    <t>Total</t>
  </si>
  <si>
    <t>UMER</t>
  </si>
  <si>
    <t>REHMAN</t>
  </si>
  <si>
    <t xml:space="preserve"> </t>
  </si>
  <si>
    <t>Sept 2023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</si>
</sst>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14009]dddd\,\ d\ mmmm\,\ yyyy;@"/>
    <numFmt numFmtId="165" formatCode="[$-10409]hh:mm\ AM/PM;@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165" fontId="0" fillId="0" borderId="0" xfId="0" applyNumberFormat="1"/>
    <xf numFmtId="12" fontId="0" fillId="0" borderId="0" xfId="0" applyNumberFormat="1"/>
    <xf numFmtId="12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2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2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2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6" fontId="2" fillId="5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/>
    <xf numFmtId="166" fontId="0" fillId="0" borderId="0" xfId="1" applyNumberFormat="1" applyFont="1"/>
    <xf numFmtId="166" fontId="0" fillId="4" borderId="1" xfId="1" applyNumberFormat="1" applyFont="1" applyFill="1" applyBorder="1"/>
    <xf numFmtId="166" fontId="0" fillId="0" borderId="1" xfId="1" applyNumberFormat="1" applyFont="1" applyFill="1" applyBorder="1"/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2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66" fontId="0" fillId="6" borderId="1" xfId="1" applyNumberFormat="1" applyFont="1" applyFill="1" applyBorder="1"/>
    <xf numFmtId="2" fontId="0" fillId="0" borderId="0" xfId="0" applyNumberFormat="1"/>
    <xf numFmtId="2" fontId="2" fillId="5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0" fillId="3" borderId="1" xfId="1" applyNumberFormat="1" applyFont="1" applyFill="1" applyBorder="1"/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6" fontId="0" fillId="7" borderId="1" xfId="1" applyNumberFormat="1" applyFont="1" applyFill="1" applyBorder="1"/>
    <xf numFmtId="164" fontId="0" fillId="8" borderId="1" xfId="0" applyNumberForma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6" fontId="2" fillId="5" borderId="2" xfId="1" applyNumberFormat="1" applyFont="1" applyFill="1" applyBorder="1" applyAlignment="1">
      <alignment horizontal="center" vertical="center"/>
    </xf>
    <xf numFmtId="166" fontId="2" fillId="5" borderId="3" xfId="1" applyNumberFormat="1" applyFont="1" applyFill="1" applyBorder="1" applyAlignment="1">
      <alignment horizontal="center" vertical="center"/>
    </xf>
    <xf numFmtId="166" fontId="2" fillId="5" borderId="4" xfId="1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opLeftCell="A10" workbookViewId="0">
      <selection activeCell="F20" sqref="F20"/>
    </sheetView>
  </sheetViews>
  <sheetFormatPr defaultRowHeight="14.5" x14ac:dyDescent="0.35"/>
  <cols>
    <col min="1" max="1" width="22.26953125" style="1" bestFit="1" customWidth="1"/>
    <col min="2" max="3" width="8.7265625" style="2"/>
    <col min="4" max="4" width="0" style="3" hidden="1" customWidth="1"/>
    <col min="5" max="5" width="0" hidden="1" customWidth="1"/>
    <col min="8" max="8" width="8.7265625" style="25"/>
    <col min="10" max="10" width="22.26953125" bestFit="1" customWidth="1"/>
    <col min="13" max="14" width="0" hidden="1" customWidth="1"/>
    <col min="19" max="19" width="22.26953125" bestFit="1" customWidth="1"/>
    <col min="22" max="23" width="0" hidden="1" customWidth="1"/>
  </cols>
  <sheetData>
    <row r="1" spans="1:26" x14ac:dyDescent="0.35">
      <c r="A1" s="42" t="s">
        <v>5</v>
      </c>
      <c r="B1" s="42"/>
      <c r="C1" s="42"/>
      <c r="D1" s="42"/>
      <c r="E1" s="42"/>
      <c r="F1" s="42"/>
      <c r="G1" s="42"/>
      <c r="H1" s="42"/>
      <c r="J1" s="42" t="s">
        <v>10</v>
      </c>
      <c r="K1" s="42"/>
      <c r="L1" s="42"/>
      <c r="M1" s="42"/>
      <c r="N1" s="42"/>
      <c r="O1" s="42"/>
      <c r="P1" s="42"/>
      <c r="Q1" s="42"/>
      <c r="S1" s="42" t="s">
        <v>11</v>
      </c>
      <c r="T1" s="42"/>
      <c r="U1" s="42"/>
      <c r="V1" s="42"/>
      <c r="W1" s="42"/>
      <c r="X1" s="42"/>
      <c r="Y1" s="42"/>
      <c r="Z1" s="42"/>
    </row>
    <row r="2" spans="1:26" x14ac:dyDescent="0.35">
      <c r="A2" s="19" t="s">
        <v>0</v>
      </c>
      <c r="B2" s="20" t="s">
        <v>1</v>
      </c>
      <c r="C2" s="20" t="s">
        <v>2</v>
      </c>
      <c r="D2" s="21"/>
      <c r="E2" s="22"/>
      <c r="F2" s="22" t="s">
        <v>4</v>
      </c>
      <c r="G2" s="22" t="s">
        <v>3</v>
      </c>
      <c r="H2" s="23" t="s">
        <v>6</v>
      </c>
      <c r="J2" s="19" t="s">
        <v>0</v>
      </c>
      <c r="K2" s="20" t="s">
        <v>1</v>
      </c>
      <c r="L2" s="20" t="s">
        <v>2</v>
      </c>
      <c r="M2" s="21"/>
      <c r="N2" s="22"/>
      <c r="O2" s="22" t="s">
        <v>4</v>
      </c>
      <c r="P2" s="22" t="s">
        <v>3</v>
      </c>
      <c r="Q2" s="23" t="s">
        <v>6</v>
      </c>
      <c r="S2" s="19" t="s">
        <v>0</v>
      </c>
      <c r="T2" s="20" t="s">
        <v>1</v>
      </c>
      <c r="U2" s="20" t="s">
        <v>2</v>
      </c>
      <c r="V2" s="21"/>
      <c r="W2" s="22"/>
      <c r="X2" s="22" t="s">
        <v>4</v>
      </c>
      <c r="Y2" s="22" t="s">
        <v>3</v>
      </c>
      <c r="Z2" s="23" t="s">
        <v>6</v>
      </c>
    </row>
    <row r="3" spans="1:26" x14ac:dyDescent="0.35">
      <c r="A3" s="7">
        <v>45125</v>
      </c>
      <c r="B3" s="8">
        <v>0.41666666666666669</v>
      </c>
      <c r="C3" s="8">
        <v>0.85416666666666663</v>
      </c>
      <c r="D3" s="9">
        <f>B3*24</f>
        <v>10</v>
      </c>
      <c r="E3" s="10">
        <f>C3*24</f>
        <v>20.5</v>
      </c>
      <c r="F3" s="10">
        <f>E3-D3</f>
        <v>10.5</v>
      </c>
      <c r="G3" s="10">
        <f>12-F3</f>
        <v>1.5</v>
      </c>
      <c r="H3" s="24"/>
      <c r="J3" s="7">
        <v>45129</v>
      </c>
      <c r="K3" s="8">
        <v>0.41666666666666669</v>
      </c>
      <c r="L3" s="8">
        <v>0.91666666666666663</v>
      </c>
      <c r="M3" s="9">
        <f t="shared" ref="M3:M12" si="0">K3*24</f>
        <v>10</v>
      </c>
      <c r="N3" s="10">
        <f t="shared" ref="N3:N12" si="1">L3*24</f>
        <v>22</v>
      </c>
      <c r="O3" s="10">
        <f t="shared" ref="O3:O8" si="2">N3-M3</f>
        <v>12</v>
      </c>
      <c r="P3" s="10">
        <v>0</v>
      </c>
      <c r="Q3" s="24"/>
      <c r="S3" s="7">
        <v>45131</v>
      </c>
      <c r="T3" s="8">
        <v>0.41666666666666669</v>
      </c>
      <c r="U3" s="8">
        <v>0.91666666666666663</v>
      </c>
      <c r="V3" s="9">
        <f t="shared" ref="V3:V10" si="3">T3*24</f>
        <v>10</v>
      </c>
      <c r="W3" s="10">
        <f t="shared" ref="W3:W10" si="4">U3*24</f>
        <v>22</v>
      </c>
      <c r="X3" s="10">
        <f t="shared" ref="X3:X6" si="5">W3-V3</f>
        <v>12</v>
      </c>
      <c r="Y3" s="10">
        <f t="shared" ref="Y3:Y6" si="6">12-X3</f>
        <v>0</v>
      </c>
      <c r="Z3" s="24"/>
    </row>
    <row r="4" spans="1:26" x14ac:dyDescent="0.35">
      <c r="A4" s="7">
        <v>45126</v>
      </c>
      <c r="B4" s="8">
        <v>0</v>
      </c>
      <c r="C4" s="8">
        <v>0</v>
      </c>
      <c r="D4" s="9">
        <f t="shared" ref="D4:D16" si="7">B4*24</f>
        <v>0</v>
      </c>
      <c r="E4" s="10">
        <f t="shared" ref="E4:E16" si="8">C4*24</f>
        <v>0</v>
      </c>
      <c r="F4" s="10">
        <v>12</v>
      </c>
      <c r="G4" s="10">
        <v>0</v>
      </c>
      <c r="H4" s="24"/>
      <c r="J4" s="7">
        <v>45130</v>
      </c>
      <c r="K4" s="8">
        <v>0.41666666666666669</v>
      </c>
      <c r="L4" s="8">
        <v>0.91666666666666663</v>
      </c>
      <c r="M4" s="9">
        <f t="shared" si="0"/>
        <v>10</v>
      </c>
      <c r="N4" s="10">
        <f t="shared" si="1"/>
        <v>22</v>
      </c>
      <c r="O4" s="10">
        <f t="shared" si="2"/>
        <v>12</v>
      </c>
      <c r="P4" s="10">
        <f t="shared" ref="P4:P12" si="9">12-O4</f>
        <v>0</v>
      </c>
      <c r="Q4" s="24"/>
      <c r="S4" s="7">
        <v>45132</v>
      </c>
      <c r="T4" s="8">
        <v>0.41666666666666669</v>
      </c>
      <c r="U4" s="8">
        <v>0.91666666666666663</v>
      </c>
      <c r="V4" s="9">
        <f t="shared" si="3"/>
        <v>10</v>
      </c>
      <c r="W4" s="10">
        <f t="shared" si="4"/>
        <v>22</v>
      </c>
      <c r="X4" s="10">
        <f t="shared" si="5"/>
        <v>12</v>
      </c>
      <c r="Y4" s="10">
        <f t="shared" si="6"/>
        <v>0</v>
      </c>
      <c r="Z4" s="27"/>
    </row>
    <row r="5" spans="1:26" x14ac:dyDescent="0.35">
      <c r="A5" s="7">
        <v>45127</v>
      </c>
      <c r="B5" s="8">
        <v>0.41666666666666669</v>
      </c>
      <c r="C5" s="8">
        <v>0.85416666666666663</v>
      </c>
      <c r="D5" s="9">
        <f t="shared" si="7"/>
        <v>10</v>
      </c>
      <c r="E5" s="10">
        <f t="shared" si="8"/>
        <v>20.5</v>
      </c>
      <c r="F5" s="10">
        <f t="shared" ref="F5:F16" si="10">E5-D5</f>
        <v>10.5</v>
      </c>
      <c r="G5" s="10">
        <f t="shared" ref="G5:G16" si="11">12-F5</f>
        <v>1.5</v>
      </c>
      <c r="H5" s="24"/>
      <c r="J5" s="7">
        <v>45131</v>
      </c>
      <c r="K5" s="8">
        <v>0.41666666666666669</v>
      </c>
      <c r="L5" s="8">
        <v>0.91666666666666663</v>
      </c>
      <c r="M5" s="9">
        <f t="shared" si="0"/>
        <v>10</v>
      </c>
      <c r="N5" s="10">
        <f t="shared" si="1"/>
        <v>22</v>
      </c>
      <c r="O5" s="10">
        <f t="shared" si="2"/>
        <v>12</v>
      </c>
      <c r="P5" s="10">
        <f t="shared" si="9"/>
        <v>0</v>
      </c>
      <c r="Q5" s="24"/>
      <c r="S5" s="7">
        <v>45133</v>
      </c>
      <c r="T5" s="8">
        <v>0.41666666666666669</v>
      </c>
      <c r="U5" s="8">
        <v>0.91666666666666663</v>
      </c>
      <c r="V5" s="9">
        <f t="shared" si="3"/>
        <v>10</v>
      </c>
      <c r="W5" s="10">
        <f t="shared" si="4"/>
        <v>22</v>
      </c>
      <c r="X5" s="10">
        <f t="shared" si="5"/>
        <v>12</v>
      </c>
      <c r="Y5" s="10">
        <f t="shared" si="6"/>
        <v>0</v>
      </c>
      <c r="Z5" s="27"/>
    </row>
    <row r="6" spans="1:26" x14ac:dyDescent="0.35">
      <c r="A6" s="7">
        <v>45128</v>
      </c>
      <c r="B6" s="8">
        <v>0.41666666666666669</v>
      </c>
      <c r="C6" s="8">
        <v>0.85416666666666663</v>
      </c>
      <c r="D6" s="9">
        <f t="shared" si="7"/>
        <v>10</v>
      </c>
      <c r="E6" s="10">
        <f t="shared" si="8"/>
        <v>20.5</v>
      </c>
      <c r="F6" s="10">
        <f t="shared" si="10"/>
        <v>10.5</v>
      </c>
      <c r="G6" s="10">
        <f t="shared" si="11"/>
        <v>1.5</v>
      </c>
      <c r="H6" s="24"/>
      <c r="J6" s="15">
        <v>45132</v>
      </c>
      <c r="K6" s="16">
        <v>0.41666666666666669</v>
      </c>
      <c r="L6" s="16">
        <v>0.41666666666666669</v>
      </c>
      <c r="M6" s="17">
        <f t="shared" si="0"/>
        <v>10</v>
      </c>
      <c r="N6" s="18">
        <f t="shared" si="1"/>
        <v>10</v>
      </c>
      <c r="O6" s="18">
        <f t="shared" si="2"/>
        <v>0</v>
      </c>
      <c r="P6" s="18">
        <f t="shared" si="9"/>
        <v>12</v>
      </c>
      <c r="Q6" s="26"/>
      <c r="S6" s="7">
        <v>45134</v>
      </c>
      <c r="T6" s="8">
        <v>0.41666666666666669</v>
      </c>
      <c r="U6" s="8">
        <v>0.91666666666666663</v>
      </c>
      <c r="V6" s="9">
        <f t="shared" si="3"/>
        <v>10</v>
      </c>
      <c r="W6" s="10">
        <f t="shared" si="4"/>
        <v>22</v>
      </c>
      <c r="X6" s="10">
        <f t="shared" si="5"/>
        <v>12</v>
      </c>
      <c r="Y6" s="10">
        <f t="shared" si="6"/>
        <v>0</v>
      </c>
      <c r="Z6" s="27"/>
    </row>
    <row r="7" spans="1:26" x14ac:dyDescent="0.35">
      <c r="A7" s="15">
        <v>45129</v>
      </c>
      <c r="B7" s="16">
        <v>0</v>
      </c>
      <c r="C7" s="16">
        <v>0</v>
      </c>
      <c r="D7" s="17">
        <f t="shared" si="7"/>
        <v>0</v>
      </c>
      <c r="E7" s="18">
        <f t="shared" si="8"/>
        <v>0</v>
      </c>
      <c r="F7" s="18">
        <f t="shared" si="10"/>
        <v>0</v>
      </c>
      <c r="G7" s="18">
        <v>0</v>
      </c>
      <c r="H7" s="24"/>
      <c r="J7" s="7">
        <v>45133</v>
      </c>
      <c r="K7" s="8">
        <v>0.41666666666666669</v>
      </c>
      <c r="L7" s="8">
        <v>0.91666666666666663</v>
      </c>
      <c r="M7" s="9">
        <f t="shared" si="0"/>
        <v>10</v>
      </c>
      <c r="N7" s="10">
        <f t="shared" si="1"/>
        <v>22</v>
      </c>
      <c r="O7" s="10">
        <f t="shared" si="2"/>
        <v>12</v>
      </c>
      <c r="P7" s="10">
        <f t="shared" si="9"/>
        <v>0</v>
      </c>
      <c r="Q7" s="24"/>
      <c r="S7" s="7">
        <v>45135</v>
      </c>
      <c r="T7" s="8">
        <v>0.41666666666666669</v>
      </c>
      <c r="U7" s="8">
        <v>0.91666666666666663</v>
      </c>
      <c r="V7" s="9">
        <f t="shared" si="3"/>
        <v>10</v>
      </c>
      <c r="W7" s="10">
        <f t="shared" si="4"/>
        <v>22</v>
      </c>
      <c r="X7" s="10">
        <v>12</v>
      </c>
      <c r="Y7" s="10">
        <v>0</v>
      </c>
      <c r="Z7" s="27"/>
    </row>
    <row r="8" spans="1:26" x14ac:dyDescent="0.35">
      <c r="A8" s="7">
        <v>45130</v>
      </c>
      <c r="B8" s="8">
        <v>0.375</v>
      </c>
      <c r="C8" s="8">
        <v>0.875</v>
      </c>
      <c r="D8" s="9">
        <f t="shared" si="7"/>
        <v>9</v>
      </c>
      <c r="E8" s="10">
        <f t="shared" si="8"/>
        <v>21</v>
      </c>
      <c r="F8" s="10">
        <f t="shared" si="10"/>
        <v>12</v>
      </c>
      <c r="G8" s="10">
        <f t="shared" si="11"/>
        <v>0</v>
      </c>
      <c r="H8" s="24"/>
      <c r="J8" s="11">
        <v>45134</v>
      </c>
      <c r="K8" s="12">
        <v>0.41666666666666669</v>
      </c>
      <c r="L8" s="12">
        <v>0.91666666666666663</v>
      </c>
      <c r="M8" s="13">
        <f t="shared" si="0"/>
        <v>10</v>
      </c>
      <c r="N8" s="14">
        <f t="shared" si="1"/>
        <v>22</v>
      </c>
      <c r="O8" s="14">
        <f t="shared" si="2"/>
        <v>12</v>
      </c>
      <c r="P8" s="14">
        <f t="shared" si="9"/>
        <v>0</v>
      </c>
      <c r="Q8" s="24"/>
      <c r="S8" s="11">
        <v>45136</v>
      </c>
      <c r="T8" s="12">
        <v>0.41666666666666669</v>
      </c>
      <c r="U8" s="12">
        <v>0.91666666666666663</v>
      </c>
      <c r="V8" s="13">
        <f t="shared" si="3"/>
        <v>10</v>
      </c>
      <c r="W8" s="14">
        <f t="shared" si="4"/>
        <v>22</v>
      </c>
      <c r="X8" s="14">
        <f t="shared" ref="X8:X10" si="12">W8-V8</f>
        <v>12</v>
      </c>
      <c r="Y8" s="14">
        <f t="shared" ref="Y8:Y10" si="13">12-X8</f>
        <v>0</v>
      </c>
      <c r="Z8" s="24"/>
    </row>
    <row r="9" spans="1:26" x14ac:dyDescent="0.35">
      <c r="A9" s="7">
        <v>45131</v>
      </c>
      <c r="B9" s="8">
        <v>0.375</v>
      </c>
      <c r="C9" s="8">
        <v>0.875</v>
      </c>
      <c r="D9" s="9">
        <f t="shared" si="7"/>
        <v>9</v>
      </c>
      <c r="E9" s="10">
        <f t="shared" si="8"/>
        <v>21</v>
      </c>
      <c r="F9" s="10">
        <f t="shared" si="10"/>
        <v>12</v>
      </c>
      <c r="G9" s="10">
        <f t="shared" si="11"/>
        <v>0</v>
      </c>
      <c r="H9" s="24"/>
      <c r="J9" s="7">
        <v>45135</v>
      </c>
      <c r="K9" s="8">
        <v>0.41666666666666669</v>
      </c>
      <c r="L9" s="8">
        <v>0.91666666666666663</v>
      </c>
      <c r="M9" s="9">
        <f t="shared" si="0"/>
        <v>10</v>
      </c>
      <c r="N9" s="10">
        <f t="shared" si="1"/>
        <v>22</v>
      </c>
      <c r="O9" s="10">
        <v>12</v>
      </c>
      <c r="P9" s="10">
        <v>0</v>
      </c>
      <c r="Q9" s="27">
        <v>1000</v>
      </c>
      <c r="S9" s="7">
        <v>45137</v>
      </c>
      <c r="T9" s="8">
        <v>0.41666666666666669</v>
      </c>
      <c r="U9" s="8">
        <v>0.91666666666666663</v>
      </c>
      <c r="V9" s="9">
        <f t="shared" si="3"/>
        <v>10</v>
      </c>
      <c r="W9" s="10">
        <f t="shared" si="4"/>
        <v>22</v>
      </c>
      <c r="X9" s="10">
        <f t="shared" si="12"/>
        <v>12</v>
      </c>
      <c r="Y9" s="10">
        <f t="shared" si="13"/>
        <v>0</v>
      </c>
      <c r="Z9" s="24"/>
    </row>
    <row r="10" spans="1:26" x14ac:dyDescent="0.35">
      <c r="A10" s="7">
        <v>45132</v>
      </c>
      <c r="B10" s="8">
        <v>0.375</v>
      </c>
      <c r="C10" s="8">
        <v>0.875</v>
      </c>
      <c r="D10" s="9">
        <f t="shared" si="7"/>
        <v>9</v>
      </c>
      <c r="E10" s="10">
        <f t="shared" si="8"/>
        <v>21</v>
      </c>
      <c r="F10" s="10">
        <f t="shared" si="10"/>
        <v>12</v>
      </c>
      <c r="G10" s="10">
        <f t="shared" si="11"/>
        <v>0</v>
      </c>
      <c r="H10" s="24"/>
      <c r="J10" s="7">
        <v>45136</v>
      </c>
      <c r="K10" s="8">
        <v>0.41666666666666669</v>
      </c>
      <c r="L10" s="8">
        <v>0.91666666666666663</v>
      </c>
      <c r="M10" s="9">
        <f t="shared" si="0"/>
        <v>10</v>
      </c>
      <c r="N10" s="10">
        <f t="shared" si="1"/>
        <v>22</v>
      </c>
      <c r="O10" s="10">
        <f t="shared" ref="O10:O12" si="14">N10-M10</f>
        <v>12</v>
      </c>
      <c r="P10" s="10">
        <f t="shared" si="9"/>
        <v>0</v>
      </c>
      <c r="Q10" s="24">
        <v>500</v>
      </c>
      <c r="S10" s="7">
        <v>45138</v>
      </c>
      <c r="T10" s="8">
        <v>0.41666666666666669</v>
      </c>
      <c r="U10" s="8">
        <v>0.91666666666666663</v>
      </c>
      <c r="V10" s="9">
        <f t="shared" si="3"/>
        <v>10</v>
      </c>
      <c r="W10" s="10">
        <f t="shared" si="4"/>
        <v>22</v>
      </c>
      <c r="X10" s="10">
        <f t="shared" si="12"/>
        <v>12</v>
      </c>
      <c r="Y10" s="10">
        <f t="shared" si="13"/>
        <v>0</v>
      </c>
      <c r="Z10" s="24"/>
    </row>
    <row r="11" spans="1:26" x14ac:dyDescent="0.35">
      <c r="A11" s="7">
        <v>45133</v>
      </c>
      <c r="B11" s="8">
        <v>0.375</v>
      </c>
      <c r="C11" s="8">
        <v>0.875</v>
      </c>
      <c r="D11" s="9">
        <f t="shared" si="7"/>
        <v>9</v>
      </c>
      <c r="E11" s="10">
        <f t="shared" si="8"/>
        <v>21</v>
      </c>
      <c r="F11" s="10">
        <f t="shared" si="10"/>
        <v>12</v>
      </c>
      <c r="G11" s="10">
        <f t="shared" si="11"/>
        <v>0</v>
      </c>
      <c r="H11" s="24"/>
      <c r="J11" s="7">
        <v>45137</v>
      </c>
      <c r="K11" s="8">
        <v>0.41666666666666669</v>
      </c>
      <c r="L11" s="8">
        <v>0.91666666666666663</v>
      </c>
      <c r="M11" s="9">
        <f t="shared" si="0"/>
        <v>10</v>
      </c>
      <c r="N11" s="10">
        <f t="shared" si="1"/>
        <v>22</v>
      </c>
      <c r="O11" s="10">
        <f t="shared" si="14"/>
        <v>12</v>
      </c>
      <c r="P11" s="10">
        <f t="shared" si="9"/>
        <v>0</v>
      </c>
      <c r="Q11" s="24">
        <v>1100</v>
      </c>
      <c r="S11" s="43" t="s">
        <v>7</v>
      </c>
      <c r="T11" s="43"/>
      <c r="U11" s="43"/>
      <c r="V11" s="4"/>
      <c r="W11" s="5"/>
      <c r="X11" s="6">
        <f>SUM(X3:X10)</f>
        <v>96</v>
      </c>
      <c r="Y11" s="10">
        <f>11000/(31*12)</f>
        <v>29.56989247311828</v>
      </c>
      <c r="Z11" s="24">
        <v>100</v>
      </c>
    </row>
    <row r="12" spans="1:26" x14ac:dyDescent="0.35">
      <c r="A12" s="7">
        <v>45134</v>
      </c>
      <c r="B12" s="8">
        <v>0.375</v>
      </c>
      <c r="C12" s="8">
        <v>0.875</v>
      </c>
      <c r="D12" s="9">
        <f t="shared" si="7"/>
        <v>9</v>
      </c>
      <c r="E12" s="10">
        <f t="shared" si="8"/>
        <v>21</v>
      </c>
      <c r="F12" s="10">
        <f t="shared" si="10"/>
        <v>12</v>
      </c>
      <c r="G12" s="10">
        <f t="shared" si="11"/>
        <v>0</v>
      </c>
      <c r="H12" s="24"/>
      <c r="J12" s="7">
        <v>45138</v>
      </c>
      <c r="K12" s="8">
        <v>0.41666666666666669</v>
      </c>
      <c r="L12" s="8">
        <v>0.91666666666666663</v>
      </c>
      <c r="M12" s="9">
        <f t="shared" si="0"/>
        <v>10</v>
      </c>
      <c r="N12" s="10">
        <f t="shared" si="1"/>
        <v>22</v>
      </c>
      <c r="O12" s="10">
        <f t="shared" si="14"/>
        <v>12</v>
      </c>
      <c r="P12" s="10">
        <f t="shared" si="9"/>
        <v>0</v>
      </c>
      <c r="Q12" s="24"/>
      <c r="S12" s="43" t="s">
        <v>6</v>
      </c>
      <c r="T12" s="43"/>
      <c r="U12" s="43"/>
      <c r="V12" s="4"/>
      <c r="W12" s="5"/>
      <c r="X12" s="24">
        <f>Z11</f>
        <v>100</v>
      </c>
      <c r="Y12" s="5"/>
      <c r="Z12" s="24"/>
    </row>
    <row r="13" spans="1:26" x14ac:dyDescent="0.35">
      <c r="A13" s="11">
        <v>45135</v>
      </c>
      <c r="B13" s="12">
        <v>0</v>
      </c>
      <c r="C13" s="12">
        <v>0</v>
      </c>
      <c r="D13" s="13">
        <f t="shared" si="7"/>
        <v>0</v>
      </c>
      <c r="E13" s="14">
        <f t="shared" si="8"/>
        <v>0</v>
      </c>
      <c r="F13" s="14">
        <v>12</v>
      </c>
      <c r="G13" s="14">
        <v>0</v>
      </c>
      <c r="H13" s="24">
        <v>1000</v>
      </c>
      <c r="J13" s="43" t="s">
        <v>7</v>
      </c>
      <c r="K13" s="43"/>
      <c r="L13" s="43"/>
      <c r="M13" s="4"/>
      <c r="N13" s="5"/>
      <c r="O13" s="6">
        <f>SUM(O3:O12)</f>
        <v>108</v>
      </c>
      <c r="P13" s="10">
        <f>12000/(31*12)</f>
        <v>32.258064516129032</v>
      </c>
      <c r="Q13" s="24">
        <f>SUM(Q9:Q11)</f>
        <v>2600</v>
      </c>
      <c r="S13" s="43" t="s">
        <v>8</v>
      </c>
      <c r="T13" s="43"/>
      <c r="U13" s="43"/>
      <c r="V13" s="4"/>
      <c r="W13" s="5"/>
      <c r="X13" s="24">
        <f>X11*Y11</f>
        <v>2838.7096774193551</v>
      </c>
      <c r="Y13" s="5"/>
      <c r="Z13" s="24"/>
    </row>
    <row r="14" spans="1:26" x14ac:dyDescent="0.35">
      <c r="A14" s="7">
        <v>45136</v>
      </c>
      <c r="B14" s="8">
        <v>0.375</v>
      </c>
      <c r="C14" s="8">
        <v>0.875</v>
      </c>
      <c r="D14" s="9">
        <f t="shared" si="7"/>
        <v>9</v>
      </c>
      <c r="E14" s="10">
        <f t="shared" si="8"/>
        <v>21</v>
      </c>
      <c r="F14" s="10">
        <f t="shared" si="10"/>
        <v>12</v>
      </c>
      <c r="G14" s="10">
        <f t="shared" si="11"/>
        <v>0</v>
      </c>
      <c r="H14" s="24">
        <v>500</v>
      </c>
      <c r="J14" s="43" t="s">
        <v>6</v>
      </c>
      <c r="K14" s="43"/>
      <c r="L14" s="43"/>
      <c r="M14" s="4"/>
      <c r="N14" s="5"/>
      <c r="O14" s="24">
        <f>Q13</f>
        <v>2600</v>
      </c>
      <c r="P14" s="5"/>
      <c r="Q14" s="24"/>
      <c r="S14" s="43" t="s">
        <v>9</v>
      </c>
      <c r="T14" s="43"/>
      <c r="U14" s="43"/>
      <c r="V14" s="4"/>
      <c r="W14" s="5"/>
      <c r="X14" s="24">
        <f>ROUND(X13-X12,0)</f>
        <v>2739</v>
      </c>
      <c r="Y14" s="5"/>
      <c r="Z14" s="24"/>
    </row>
    <row r="15" spans="1:26" x14ac:dyDescent="0.35">
      <c r="A15" s="7">
        <v>45137</v>
      </c>
      <c r="B15" s="8">
        <v>0.375</v>
      </c>
      <c r="C15" s="8">
        <v>0.875</v>
      </c>
      <c r="D15" s="9">
        <f t="shared" si="7"/>
        <v>9</v>
      </c>
      <c r="E15" s="10">
        <f t="shared" si="8"/>
        <v>21</v>
      </c>
      <c r="F15" s="10">
        <f t="shared" si="10"/>
        <v>12</v>
      </c>
      <c r="G15" s="10">
        <f t="shared" si="11"/>
        <v>0</v>
      </c>
      <c r="H15" s="24">
        <v>200</v>
      </c>
      <c r="J15" s="43" t="s">
        <v>8</v>
      </c>
      <c r="K15" s="43"/>
      <c r="L15" s="43"/>
      <c r="M15" s="4"/>
      <c r="N15" s="5"/>
      <c r="O15" s="24">
        <f>O13*P13</f>
        <v>3483.8709677419356</v>
      </c>
      <c r="P15" s="5"/>
      <c r="Q15" s="24"/>
    </row>
    <row r="16" spans="1:26" x14ac:dyDescent="0.35">
      <c r="A16" s="7">
        <v>45138</v>
      </c>
      <c r="B16" s="8">
        <v>0.375</v>
      </c>
      <c r="C16" s="8">
        <v>0.875</v>
      </c>
      <c r="D16" s="9">
        <f t="shared" si="7"/>
        <v>9</v>
      </c>
      <c r="E16" s="10">
        <f t="shared" si="8"/>
        <v>21</v>
      </c>
      <c r="F16" s="10">
        <f t="shared" si="10"/>
        <v>12</v>
      </c>
      <c r="G16" s="10">
        <f t="shared" si="11"/>
        <v>0</v>
      </c>
      <c r="H16" s="24">
        <v>1200</v>
      </c>
      <c r="J16" s="43" t="s">
        <v>9</v>
      </c>
      <c r="K16" s="43"/>
      <c r="L16" s="43"/>
      <c r="M16" s="4"/>
      <c r="N16" s="5"/>
      <c r="O16" s="24">
        <f>ROUND(O15-O14,0)</f>
        <v>884</v>
      </c>
      <c r="P16" s="5"/>
      <c r="Q16" s="24"/>
    </row>
    <row r="17" spans="1:8" x14ac:dyDescent="0.35">
      <c r="A17" s="43" t="s">
        <v>7</v>
      </c>
      <c r="B17" s="43"/>
      <c r="C17" s="43"/>
      <c r="D17" s="4"/>
      <c r="E17" s="5"/>
      <c r="F17" s="6">
        <f>SUM(F3:F16)</f>
        <v>151.5</v>
      </c>
      <c r="G17" s="10">
        <f>12000/(31*12)</f>
        <v>32.258064516129032</v>
      </c>
      <c r="H17" s="24">
        <f>SUM(H13:H16)</f>
        <v>2900</v>
      </c>
    </row>
    <row r="18" spans="1:8" x14ac:dyDescent="0.35">
      <c r="A18" s="43" t="s">
        <v>6</v>
      </c>
      <c r="B18" s="43"/>
      <c r="C18" s="43"/>
      <c r="D18" s="4"/>
      <c r="E18" s="5"/>
      <c r="F18" s="24">
        <f>H17</f>
        <v>2900</v>
      </c>
      <c r="G18" s="5"/>
      <c r="H18" s="24"/>
    </row>
    <row r="19" spans="1:8" x14ac:dyDescent="0.35">
      <c r="A19" s="43" t="s">
        <v>8</v>
      </c>
      <c r="B19" s="43"/>
      <c r="C19" s="43"/>
      <c r="D19" s="4"/>
      <c r="E19" s="5"/>
      <c r="F19" s="24">
        <f>F17*G17</f>
        <v>4887.0967741935483</v>
      </c>
      <c r="G19" s="5"/>
      <c r="H19" s="24"/>
    </row>
    <row r="20" spans="1:8" x14ac:dyDescent="0.35">
      <c r="A20" s="43" t="s">
        <v>9</v>
      </c>
      <c r="B20" s="43"/>
      <c r="C20" s="43"/>
      <c r="D20" s="4"/>
      <c r="E20" s="5"/>
      <c r="F20" s="24">
        <f>ROUND(F19-F18,0)</f>
        <v>1987</v>
      </c>
      <c r="G20" s="5"/>
      <c r="H20" s="24"/>
    </row>
  </sheetData>
  <mergeCells count="15">
    <mergeCell ref="J1:Q1"/>
    <mergeCell ref="J13:L13"/>
    <mergeCell ref="J14:L14"/>
    <mergeCell ref="J15:L15"/>
    <mergeCell ref="J16:L16"/>
    <mergeCell ref="A1:H1"/>
    <mergeCell ref="A20:C20"/>
    <mergeCell ref="A17:C17"/>
    <mergeCell ref="A18:C18"/>
    <mergeCell ref="A19:C19"/>
    <mergeCell ref="S1:Z1"/>
    <mergeCell ref="S11:U11"/>
    <mergeCell ref="S12:U12"/>
    <mergeCell ref="S13:U13"/>
    <mergeCell ref="S14:U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DF2F-11AC-4361-A8B8-62E88B72DFB3}">
  <dimension ref="A1:AR40"/>
  <sheetViews>
    <sheetView topLeftCell="I1" workbookViewId="0">
      <pane ySplit="1" topLeftCell="A2" activePane="bottomLeft" state="frozen"/>
      <selection activeCell="J1" sqref="J1"/>
      <selection pane="bottomLeft" activeCell="AA1" sqref="AA1"/>
    </sheetView>
  </sheetViews>
  <sheetFormatPr defaultRowHeight="14.5" x14ac:dyDescent="0.35"/>
  <cols>
    <col min="1" max="1" width="24.90625" bestFit="1" customWidth="1"/>
    <col min="3" max="3" width="8.7265625" bestFit="1" customWidth="1"/>
    <col min="4" max="5" width="5.36328125" style="33" hidden="1" customWidth="1"/>
    <col min="6" max="6" width="9.36328125" bestFit="1" customWidth="1"/>
    <col min="7" max="7" width="9.453125" bestFit="1" customWidth="1"/>
    <col min="10" max="10" width="24.90625" bestFit="1" customWidth="1"/>
    <col min="13" max="13" width="6.08984375" style="33" hidden="1" customWidth="1"/>
    <col min="14" max="14" width="5.36328125" hidden="1" customWidth="1"/>
    <col min="19" max="19" width="24.90625" bestFit="1" customWidth="1"/>
    <col min="22" max="22" width="0" style="33" hidden="1" customWidth="1"/>
    <col min="23" max="23" width="0" hidden="1" customWidth="1"/>
    <col min="28" max="28" width="24.90625" bestFit="1" customWidth="1"/>
    <col min="31" max="32" width="0" hidden="1" customWidth="1"/>
    <col min="33" max="33" width="9.36328125" bestFit="1" customWidth="1"/>
    <col min="34" max="34" width="9.453125" bestFit="1" customWidth="1"/>
    <col min="37" max="37" width="24.90625" bestFit="1" customWidth="1"/>
    <col min="40" max="41" width="0" hidden="1" customWidth="1"/>
  </cols>
  <sheetData>
    <row r="1" spans="1:44" x14ac:dyDescent="0.35">
      <c r="A1" s="45" t="s">
        <v>5</v>
      </c>
      <c r="B1" s="46"/>
      <c r="C1" s="46"/>
      <c r="D1" s="46"/>
      <c r="E1" s="46"/>
      <c r="F1" s="46"/>
      <c r="G1" s="46"/>
      <c r="H1" s="47"/>
      <c r="J1" s="45" t="s">
        <v>12</v>
      </c>
      <c r="K1" s="46"/>
      <c r="L1" s="46"/>
      <c r="M1" s="46"/>
      <c r="N1" s="46"/>
      <c r="O1" s="46"/>
      <c r="P1" s="46"/>
      <c r="Q1" s="47"/>
      <c r="S1" s="45" t="s">
        <v>13</v>
      </c>
      <c r="T1" s="46"/>
      <c r="U1" s="46"/>
      <c r="V1" s="46"/>
      <c r="W1" s="46"/>
      <c r="X1" s="46"/>
      <c r="Y1" s="46"/>
      <c r="Z1" s="47"/>
      <c r="AB1" s="45" t="s">
        <v>14</v>
      </c>
      <c r="AC1" s="46"/>
      <c r="AD1" s="46"/>
      <c r="AE1" s="46"/>
      <c r="AF1" s="46"/>
      <c r="AG1" s="46"/>
      <c r="AH1" s="46"/>
      <c r="AI1" s="47"/>
      <c r="AK1" s="45" t="s">
        <v>15</v>
      </c>
      <c r="AL1" s="46"/>
      <c r="AM1" s="46"/>
      <c r="AN1" s="46"/>
      <c r="AO1" s="46"/>
      <c r="AP1" s="46"/>
      <c r="AQ1" s="46"/>
      <c r="AR1" s="47"/>
    </row>
    <row r="2" spans="1:44" x14ac:dyDescent="0.35">
      <c r="A2" s="19" t="s">
        <v>0</v>
      </c>
      <c r="B2" s="20" t="s">
        <v>1</v>
      </c>
      <c r="C2" s="20" t="s">
        <v>2</v>
      </c>
      <c r="D2" s="34"/>
      <c r="E2" s="34"/>
      <c r="F2" s="22" t="s">
        <v>4</v>
      </c>
      <c r="G2" s="22" t="s">
        <v>3</v>
      </c>
      <c r="H2" s="23" t="s">
        <v>6</v>
      </c>
      <c r="J2" s="19" t="s">
        <v>0</v>
      </c>
      <c r="K2" s="20" t="s">
        <v>1</v>
      </c>
      <c r="L2" s="20" t="s">
        <v>2</v>
      </c>
      <c r="M2" s="34"/>
      <c r="N2" s="22"/>
      <c r="O2" s="22" t="s">
        <v>4</v>
      </c>
      <c r="P2" s="22" t="s">
        <v>3</v>
      </c>
      <c r="Q2" s="23" t="s">
        <v>6</v>
      </c>
      <c r="S2" s="19" t="s">
        <v>0</v>
      </c>
      <c r="T2" s="20" t="s">
        <v>1</v>
      </c>
      <c r="U2" s="20" t="s">
        <v>2</v>
      </c>
      <c r="V2" s="34"/>
      <c r="W2" s="22"/>
      <c r="X2" s="22" t="s">
        <v>4</v>
      </c>
      <c r="Y2" s="22" t="s">
        <v>3</v>
      </c>
      <c r="Z2" s="23" t="s">
        <v>6</v>
      </c>
      <c r="AB2" s="19" t="s">
        <v>0</v>
      </c>
      <c r="AC2" s="20" t="s">
        <v>1</v>
      </c>
      <c r="AD2" s="20" t="s">
        <v>2</v>
      </c>
      <c r="AE2" s="21"/>
      <c r="AF2" s="22"/>
      <c r="AG2" s="22" t="s">
        <v>4</v>
      </c>
      <c r="AH2" s="22" t="s">
        <v>3</v>
      </c>
      <c r="AI2" s="23" t="s">
        <v>6</v>
      </c>
      <c r="AK2" s="19" t="s">
        <v>0</v>
      </c>
      <c r="AL2" s="20" t="s">
        <v>1</v>
      </c>
      <c r="AM2" s="20" t="s">
        <v>2</v>
      </c>
      <c r="AN2" s="21"/>
      <c r="AO2" s="22"/>
      <c r="AP2" s="22" t="s">
        <v>4</v>
      </c>
      <c r="AQ2" s="22" t="s">
        <v>3</v>
      </c>
      <c r="AR2" s="23" t="s">
        <v>6</v>
      </c>
    </row>
    <row r="3" spans="1:44" x14ac:dyDescent="0.35">
      <c r="A3" s="7">
        <v>45139</v>
      </c>
      <c r="B3" s="8">
        <v>0.41666666666666669</v>
      </c>
      <c r="C3" s="8">
        <v>0.85416666666666663</v>
      </c>
      <c r="D3" s="10">
        <f>B3*24</f>
        <v>10</v>
      </c>
      <c r="E3" s="10">
        <f>C3*24</f>
        <v>20.5</v>
      </c>
      <c r="F3" s="10">
        <f>E3-D3</f>
        <v>10.5</v>
      </c>
      <c r="G3" s="10">
        <f>IF(B3="",0,12-F3)</f>
        <v>1.5</v>
      </c>
      <c r="H3" s="24"/>
      <c r="J3" s="7">
        <v>45139</v>
      </c>
      <c r="K3" s="8">
        <v>0.41666666666666669</v>
      </c>
      <c r="L3" s="8">
        <v>0.91666666666666663</v>
      </c>
      <c r="M3" s="10">
        <f>K3*24</f>
        <v>10</v>
      </c>
      <c r="N3" s="10">
        <f>L3*24</f>
        <v>22</v>
      </c>
      <c r="O3" s="10">
        <f>N3-M3</f>
        <v>12</v>
      </c>
      <c r="P3" s="10">
        <f>IF(K3="",0,12-O3)</f>
        <v>0</v>
      </c>
      <c r="Q3" s="27"/>
      <c r="S3" s="28">
        <v>45139</v>
      </c>
      <c r="T3" s="29">
        <v>0.41666666666666669</v>
      </c>
      <c r="U3" s="29">
        <v>0.91666666666666663</v>
      </c>
      <c r="V3" s="31">
        <f>T3*24</f>
        <v>10</v>
      </c>
      <c r="W3" s="31">
        <f>U3*24</f>
        <v>22</v>
      </c>
      <c r="X3" s="31">
        <f>W3-V3</f>
        <v>12</v>
      </c>
      <c r="Y3" s="31">
        <f>IF(T3="",0,12-X3)</f>
        <v>0</v>
      </c>
      <c r="Z3" s="32"/>
      <c r="AB3" s="7">
        <v>45139</v>
      </c>
      <c r="AC3" s="8">
        <v>0.35416666666666669</v>
      </c>
      <c r="AD3" s="8">
        <v>0.85416666666666663</v>
      </c>
      <c r="AE3" s="10">
        <f>AC3*24</f>
        <v>8.5</v>
      </c>
      <c r="AF3" s="10">
        <f>AD3*24</f>
        <v>20.5</v>
      </c>
      <c r="AG3" s="10">
        <f>AF3-AE3</f>
        <v>12</v>
      </c>
      <c r="AH3" s="10">
        <f>IF(AC3="",0,12-AG3)</f>
        <v>0</v>
      </c>
      <c r="AI3" s="27"/>
      <c r="AK3" s="7">
        <v>45139</v>
      </c>
      <c r="AL3" s="8">
        <v>0.375</v>
      </c>
      <c r="AM3" s="8">
        <v>0.875</v>
      </c>
      <c r="AN3" s="9">
        <f>AL3*24</f>
        <v>9</v>
      </c>
      <c r="AO3" s="10">
        <f>AM3*24</f>
        <v>21</v>
      </c>
      <c r="AP3" s="10">
        <f>AO3-AN3</f>
        <v>12</v>
      </c>
      <c r="AQ3" s="10">
        <f>IF(AL3="",0,12-AP3)</f>
        <v>0</v>
      </c>
      <c r="AR3" s="27"/>
    </row>
    <row r="4" spans="1:44" x14ac:dyDescent="0.35">
      <c r="A4" s="15">
        <v>45140</v>
      </c>
      <c r="B4" s="16">
        <v>0.375</v>
      </c>
      <c r="C4" s="16">
        <v>0.375</v>
      </c>
      <c r="D4" s="18">
        <f t="shared" ref="D4:E22" si="0">B4*24</f>
        <v>9</v>
      </c>
      <c r="E4" s="18">
        <f t="shared" si="0"/>
        <v>9</v>
      </c>
      <c r="F4" s="18">
        <f t="shared" ref="F4:F32" si="1">E4-D4</f>
        <v>0</v>
      </c>
      <c r="G4" s="18">
        <f t="shared" ref="G4:G32" si="2">IF(B4="",0,12-F4)</f>
        <v>12</v>
      </c>
      <c r="H4" s="26"/>
      <c r="J4" s="7">
        <v>45140</v>
      </c>
      <c r="K4" s="8">
        <v>0.41666666666666669</v>
      </c>
      <c r="L4" s="8">
        <v>0.91666666666666663</v>
      </c>
      <c r="M4" s="10">
        <f t="shared" ref="M4:M14" si="3">K4*24</f>
        <v>10</v>
      </c>
      <c r="N4" s="10">
        <f t="shared" ref="N4:N14" si="4">L4*24</f>
        <v>22</v>
      </c>
      <c r="O4" s="10">
        <f t="shared" ref="O4:O33" si="5">N4-M4</f>
        <v>12</v>
      </c>
      <c r="P4" s="10">
        <f t="shared" ref="P4:P33" si="6">IF(K4="",0,12-O4)</f>
        <v>0</v>
      </c>
      <c r="Q4" s="27"/>
      <c r="S4" s="7">
        <v>45140</v>
      </c>
      <c r="T4" s="8">
        <v>0.41666666666666669</v>
      </c>
      <c r="U4" s="8">
        <v>0.85416666666666663</v>
      </c>
      <c r="V4" s="10">
        <f t="shared" ref="V4:V16" si="7">T4*24</f>
        <v>10</v>
      </c>
      <c r="W4" s="10">
        <f t="shared" ref="W4:W16" si="8">U4*24</f>
        <v>20.5</v>
      </c>
      <c r="X4" s="10">
        <f t="shared" ref="X4:X33" si="9">W4-V4</f>
        <v>10.5</v>
      </c>
      <c r="Y4" s="10">
        <f t="shared" ref="Y4:Y33" si="10">IF(T4="",0,12-X4)</f>
        <v>1.5</v>
      </c>
      <c r="Z4" s="27"/>
      <c r="AB4" s="7">
        <v>45140</v>
      </c>
      <c r="AC4" s="8">
        <v>0.35416666666666669</v>
      </c>
      <c r="AD4" s="8">
        <v>0.85416666666666663</v>
      </c>
      <c r="AE4" s="10">
        <f t="shared" ref="AE4:AE33" si="11">AC4*24</f>
        <v>8.5</v>
      </c>
      <c r="AF4" s="10">
        <f t="shared" ref="AF4:AF33" si="12">AD4*24</f>
        <v>20.5</v>
      </c>
      <c r="AG4" s="10">
        <f t="shared" ref="AG4:AG33" si="13">AF4-AE4</f>
        <v>12</v>
      </c>
      <c r="AH4" s="10">
        <f t="shared" ref="AH4:AH33" si="14">IF(AC4="",0,12-AG4)</f>
        <v>0</v>
      </c>
      <c r="AI4" s="27"/>
      <c r="AK4" s="7">
        <v>45140</v>
      </c>
      <c r="AL4" s="8">
        <v>0.375</v>
      </c>
      <c r="AM4" s="8">
        <v>0.875</v>
      </c>
      <c r="AN4" s="9">
        <f t="shared" ref="AN4:AN33" si="15">AL4*24</f>
        <v>9</v>
      </c>
      <c r="AO4" s="10">
        <f t="shared" ref="AO4:AO33" si="16">AM4*24</f>
        <v>21</v>
      </c>
      <c r="AP4" s="10">
        <f t="shared" ref="AP4:AP33" si="17">AO4-AN4</f>
        <v>12</v>
      </c>
      <c r="AQ4" s="10">
        <f t="shared" ref="AQ4:AQ33" si="18">IF(AL4="",0,12-AP4)</f>
        <v>0</v>
      </c>
      <c r="AR4" s="27"/>
    </row>
    <row r="5" spans="1:44" x14ac:dyDescent="0.35">
      <c r="A5" s="15">
        <v>45141</v>
      </c>
      <c r="B5" s="16">
        <v>0.375</v>
      </c>
      <c r="C5" s="16">
        <v>0.375</v>
      </c>
      <c r="D5" s="18">
        <f t="shared" si="0"/>
        <v>9</v>
      </c>
      <c r="E5" s="18">
        <f t="shared" si="0"/>
        <v>9</v>
      </c>
      <c r="F5" s="18">
        <f t="shared" si="1"/>
        <v>0</v>
      </c>
      <c r="G5" s="18">
        <f t="shared" si="2"/>
        <v>12</v>
      </c>
      <c r="H5" s="26"/>
      <c r="J5" s="28">
        <v>45141</v>
      </c>
      <c r="K5" s="29">
        <v>0.375</v>
      </c>
      <c r="L5" s="29">
        <v>0.875</v>
      </c>
      <c r="M5" s="31">
        <f t="shared" si="3"/>
        <v>9</v>
      </c>
      <c r="N5" s="31">
        <f t="shared" si="4"/>
        <v>21</v>
      </c>
      <c r="O5" s="31">
        <f t="shared" si="5"/>
        <v>12</v>
      </c>
      <c r="P5" s="31">
        <f t="shared" si="6"/>
        <v>0</v>
      </c>
      <c r="Q5" s="32"/>
      <c r="S5" s="7">
        <v>45141</v>
      </c>
      <c r="T5" s="8">
        <v>0.375</v>
      </c>
      <c r="U5" s="8">
        <v>0.875</v>
      </c>
      <c r="V5" s="10">
        <f t="shared" si="7"/>
        <v>9</v>
      </c>
      <c r="W5" s="10">
        <f t="shared" si="8"/>
        <v>21</v>
      </c>
      <c r="X5" s="10">
        <f t="shared" si="9"/>
        <v>12</v>
      </c>
      <c r="Y5" s="10">
        <f t="shared" si="10"/>
        <v>0</v>
      </c>
      <c r="Z5" s="27"/>
      <c r="AB5" s="7">
        <v>45141</v>
      </c>
      <c r="AC5" s="8">
        <v>0.35416666666666669</v>
      </c>
      <c r="AD5" s="8">
        <v>0.85416666666666663</v>
      </c>
      <c r="AE5" s="10">
        <f t="shared" si="11"/>
        <v>8.5</v>
      </c>
      <c r="AF5" s="10">
        <f t="shared" si="12"/>
        <v>20.5</v>
      </c>
      <c r="AG5" s="10">
        <f t="shared" si="13"/>
        <v>12</v>
      </c>
      <c r="AH5" s="10">
        <f t="shared" si="14"/>
        <v>0</v>
      </c>
      <c r="AI5" s="27"/>
      <c r="AK5" s="7">
        <v>45141</v>
      </c>
      <c r="AL5" s="8">
        <v>0.375</v>
      </c>
      <c r="AM5" s="8">
        <v>0.875</v>
      </c>
      <c r="AN5" s="9">
        <f t="shared" si="15"/>
        <v>9</v>
      </c>
      <c r="AO5" s="10">
        <f t="shared" si="16"/>
        <v>21</v>
      </c>
      <c r="AP5" s="10">
        <f t="shared" si="17"/>
        <v>12</v>
      </c>
      <c r="AQ5" s="10">
        <f t="shared" si="18"/>
        <v>0</v>
      </c>
      <c r="AR5" s="27"/>
    </row>
    <row r="6" spans="1:44" x14ac:dyDescent="0.35">
      <c r="A6" s="7">
        <v>45142</v>
      </c>
      <c r="B6" s="8">
        <v>0.41666666666666669</v>
      </c>
      <c r="C6" s="8">
        <v>0.85416666666666663</v>
      </c>
      <c r="D6" s="10">
        <f t="shared" si="0"/>
        <v>10</v>
      </c>
      <c r="E6" s="10">
        <f t="shared" si="0"/>
        <v>20.5</v>
      </c>
      <c r="F6" s="10">
        <f t="shared" si="1"/>
        <v>10.5</v>
      </c>
      <c r="G6" s="10">
        <f t="shared" si="2"/>
        <v>1.5</v>
      </c>
      <c r="H6" s="24"/>
      <c r="J6" s="7">
        <v>45142</v>
      </c>
      <c r="K6" s="8">
        <v>0.41666666666666669</v>
      </c>
      <c r="L6" s="8">
        <v>0.85416666666666663</v>
      </c>
      <c r="M6" s="10">
        <f t="shared" si="3"/>
        <v>10</v>
      </c>
      <c r="N6" s="10">
        <f t="shared" si="4"/>
        <v>20.5</v>
      </c>
      <c r="O6" s="10">
        <f t="shared" si="5"/>
        <v>10.5</v>
      </c>
      <c r="P6" s="10">
        <f t="shared" si="6"/>
        <v>1.5</v>
      </c>
      <c r="Q6" s="27"/>
      <c r="S6" s="7">
        <v>45142</v>
      </c>
      <c r="T6" s="8">
        <v>0.375</v>
      </c>
      <c r="U6" s="8">
        <v>0.875</v>
      </c>
      <c r="V6" s="10">
        <f t="shared" si="7"/>
        <v>9</v>
      </c>
      <c r="W6" s="10">
        <f t="shared" si="8"/>
        <v>21</v>
      </c>
      <c r="X6" s="10">
        <f t="shared" si="9"/>
        <v>12</v>
      </c>
      <c r="Y6" s="10">
        <f t="shared" si="10"/>
        <v>0</v>
      </c>
      <c r="Z6" s="27"/>
      <c r="AB6" s="28">
        <v>45142</v>
      </c>
      <c r="AC6" s="29">
        <v>0.375</v>
      </c>
      <c r="AD6" s="29">
        <v>0.875</v>
      </c>
      <c r="AE6" s="31">
        <f t="shared" si="11"/>
        <v>9</v>
      </c>
      <c r="AF6" s="31">
        <f t="shared" si="12"/>
        <v>21</v>
      </c>
      <c r="AG6" s="31">
        <f t="shared" si="13"/>
        <v>12</v>
      </c>
      <c r="AH6" s="31">
        <f t="shared" si="14"/>
        <v>0</v>
      </c>
      <c r="AI6" s="32"/>
      <c r="AK6" s="7">
        <v>45142</v>
      </c>
      <c r="AL6" s="8">
        <v>0.375</v>
      </c>
      <c r="AM6" s="8">
        <v>0.875</v>
      </c>
      <c r="AN6" s="9">
        <f t="shared" si="15"/>
        <v>9</v>
      </c>
      <c r="AO6" s="10">
        <f t="shared" si="16"/>
        <v>21</v>
      </c>
      <c r="AP6" s="10">
        <f t="shared" si="17"/>
        <v>12</v>
      </c>
      <c r="AQ6" s="10">
        <f t="shared" si="18"/>
        <v>0</v>
      </c>
      <c r="AR6" s="27"/>
    </row>
    <row r="7" spans="1:44" x14ac:dyDescent="0.35">
      <c r="A7" s="7">
        <v>45143</v>
      </c>
      <c r="B7" s="8">
        <v>0.41666666666666669</v>
      </c>
      <c r="C7" s="8">
        <v>0.91666666666666663</v>
      </c>
      <c r="D7" s="10">
        <f t="shared" si="0"/>
        <v>10</v>
      </c>
      <c r="E7" s="10">
        <f t="shared" si="0"/>
        <v>22</v>
      </c>
      <c r="F7" s="10">
        <f t="shared" si="1"/>
        <v>12</v>
      </c>
      <c r="G7" s="10">
        <f t="shared" si="2"/>
        <v>0</v>
      </c>
      <c r="H7" s="24"/>
      <c r="J7" s="7">
        <v>45143</v>
      </c>
      <c r="K7" s="8">
        <v>0.375</v>
      </c>
      <c r="L7" s="8">
        <v>0.875</v>
      </c>
      <c r="M7" s="10">
        <f t="shared" si="3"/>
        <v>9</v>
      </c>
      <c r="N7" s="10">
        <f t="shared" si="4"/>
        <v>21</v>
      </c>
      <c r="O7" s="10">
        <f t="shared" si="5"/>
        <v>12</v>
      </c>
      <c r="P7" s="10">
        <f t="shared" si="6"/>
        <v>0</v>
      </c>
      <c r="Q7" s="27"/>
      <c r="S7" s="7">
        <v>45143</v>
      </c>
      <c r="T7" s="8">
        <v>0.375</v>
      </c>
      <c r="U7" s="8">
        <v>0.875</v>
      </c>
      <c r="V7" s="10">
        <f t="shared" si="7"/>
        <v>9</v>
      </c>
      <c r="W7" s="10">
        <f t="shared" si="8"/>
        <v>21</v>
      </c>
      <c r="X7" s="10">
        <f t="shared" si="9"/>
        <v>12</v>
      </c>
      <c r="Y7" s="10">
        <f t="shared" si="10"/>
        <v>0</v>
      </c>
      <c r="Z7" s="27"/>
      <c r="AB7" s="7">
        <v>45143</v>
      </c>
      <c r="AC7" s="8">
        <v>0.35416666666666669</v>
      </c>
      <c r="AD7" s="8">
        <v>0.85416666666666663</v>
      </c>
      <c r="AE7" s="10">
        <f t="shared" si="11"/>
        <v>8.5</v>
      </c>
      <c r="AF7" s="10">
        <f t="shared" si="12"/>
        <v>20.5</v>
      </c>
      <c r="AG7" s="10">
        <f t="shared" si="13"/>
        <v>12</v>
      </c>
      <c r="AH7" s="10">
        <f t="shared" si="14"/>
        <v>0</v>
      </c>
      <c r="AI7" s="27"/>
      <c r="AK7" s="7">
        <v>45143</v>
      </c>
      <c r="AL7" s="8">
        <v>0.375</v>
      </c>
      <c r="AM7" s="8">
        <v>0.875</v>
      </c>
      <c r="AN7" s="9">
        <f t="shared" si="15"/>
        <v>9</v>
      </c>
      <c r="AO7" s="10">
        <f t="shared" si="16"/>
        <v>21</v>
      </c>
      <c r="AP7" s="10">
        <f t="shared" si="17"/>
        <v>12</v>
      </c>
      <c r="AQ7" s="10">
        <f t="shared" si="18"/>
        <v>0</v>
      </c>
      <c r="AR7" s="27"/>
    </row>
    <row r="8" spans="1:44" x14ac:dyDescent="0.35">
      <c r="A8" s="7">
        <v>45144</v>
      </c>
      <c r="B8" s="8">
        <v>0.375</v>
      </c>
      <c r="C8" s="8">
        <v>0.875</v>
      </c>
      <c r="D8" s="10">
        <f t="shared" si="0"/>
        <v>9</v>
      </c>
      <c r="E8" s="10">
        <f t="shared" si="0"/>
        <v>21</v>
      </c>
      <c r="F8" s="10">
        <f t="shared" si="1"/>
        <v>12</v>
      </c>
      <c r="G8" s="10">
        <f t="shared" si="2"/>
        <v>0</v>
      </c>
      <c r="H8" s="24"/>
      <c r="J8" s="7">
        <v>45144</v>
      </c>
      <c r="K8" s="8">
        <v>0.375</v>
      </c>
      <c r="L8" s="8">
        <v>0.875</v>
      </c>
      <c r="M8" s="10">
        <f t="shared" si="3"/>
        <v>9</v>
      </c>
      <c r="N8" s="10">
        <f t="shared" si="4"/>
        <v>21</v>
      </c>
      <c r="O8" s="10">
        <f t="shared" si="5"/>
        <v>12</v>
      </c>
      <c r="P8" s="10">
        <f t="shared" si="6"/>
        <v>0</v>
      </c>
      <c r="Q8" s="27"/>
      <c r="S8" s="7">
        <v>45144</v>
      </c>
      <c r="T8" s="8">
        <v>0.375</v>
      </c>
      <c r="U8" s="8">
        <v>0.875</v>
      </c>
      <c r="V8" s="10">
        <f t="shared" si="7"/>
        <v>9</v>
      </c>
      <c r="W8" s="10">
        <f t="shared" si="8"/>
        <v>21</v>
      </c>
      <c r="X8" s="10">
        <f t="shared" si="9"/>
        <v>12</v>
      </c>
      <c r="Y8" s="10">
        <f t="shared" si="10"/>
        <v>0</v>
      </c>
      <c r="Z8" s="27"/>
      <c r="AB8" s="7">
        <v>45144</v>
      </c>
      <c r="AC8" s="8">
        <v>0.35416666666666669</v>
      </c>
      <c r="AD8" s="8">
        <v>0.85416666666666663</v>
      </c>
      <c r="AE8" s="10">
        <f t="shared" si="11"/>
        <v>8.5</v>
      </c>
      <c r="AF8" s="10">
        <f t="shared" si="12"/>
        <v>20.5</v>
      </c>
      <c r="AG8" s="10">
        <f t="shared" si="13"/>
        <v>12</v>
      </c>
      <c r="AH8" s="10">
        <f t="shared" si="14"/>
        <v>0</v>
      </c>
      <c r="AI8" s="27"/>
      <c r="AK8" s="7">
        <v>45144</v>
      </c>
      <c r="AL8" s="8">
        <v>0.375</v>
      </c>
      <c r="AM8" s="8">
        <v>0.875</v>
      </c>
      <c r="AN8" s="9">
        <f t="shared" si="15"/>
        <v>9</v>
      </c>
      <c r="AO8" s="10">
        <f t="shared" si="16"/>
        <v>21</v>
      </c>
      <c r="AP8" s="10">
        <f t="shared" si="17"/>
        <v>12</v>
      </c>
      <c r="AQ8" s="10">
        <f t="shared" si="18"/>
        <v>0</v>
      </c>
      <c r="AR8" s="27"/>
    </row>
    <row r="9" spans="1:44" x14ac:dyDescent="0.35">
      <c r="A9" s="28">
        <v>45145</v>
      </c>
      <c r="B9" s="29">
        <v>0.375</v>
      </c>
      <c r="C9" s="29">
        <v>0.875</v>
      </c>
      <c r="D9" s="31">
        <f t="shared" si="0"/>
        <v>9</v>
      </c>
      <c r="E9" s="31">
        <f t="shared" si="0"/>
        <v>21</v>
      </c>
      <c r="F9" s="31">
        <f t="shared" si="1"/>
        <v>12</v>
      </c>
      <c r="G9" s="31">
        <f t="shared" si="2"/>
        <v>0</v>
      </c>
      <c r="H9" s="32"/>
      <c r="J9" s="7">
        <v>45145</v>
      </c>
      <c r="K9" s="8">
        <v>0.375</v>
      </c>
      <c r="L9" s="8">
        <v>0.875</v>
      </c>
      <c r="M9" s="10">
        <f t="shared" si="3"/>
        <v>9</v>
      </c>
      <c r="N9" s="10">
        <f t="shared" si="4"/>
        <v>21</v>
      </c>
      <c r="O9" s="10">
        <f t="shared" si="5"/>
        <v>12</v>
      </c>
      <c r="P9" s="10">
        <f t="shared" si="6"/>
        <v>0</v>
      </c>
      <c r="Q9" s="27"/>
      <c r="S9" s="7">
        <v>45145</v>
      </c>
      <c r="T9" s="8">
        <v>0.375</v>
      </c>
      <c r="U9" s="8">
        <v>0.875</v>
      </c>
      <c r="V9" s="10">
        <f t="shared" si="7"/>
        <v>9</v>
      </c>
      <c r="W9" s="10">
        <f t="shared" si="8"/>
        <v>21</v>
      </c>
      <c r="X9" s="10">
        <f t="shared" si="9"/>
        <v>12</v>
      </c>
      <c r="Y9" s="10">
        <f t="shared" si="10"/>
        <v>0</v>
      </c>
      <c r="Z9" s="27"/>
      <c r="AB9" s="7">
        <v>45145</v>
      </c>
      <c r="AC9" s="8">
        <v>0.35416666666666669</v>
      </c>
      <c r="AD9" s="8">
        <v>0.85416666666666663</v>
      </c>
      <c r="AE9" s="10">
        <f t="shared" si="11"/>
        <v>8.5</v>
      </c>
      <c r="AF9" s="10">
        <f t="shared" si="12"/>
        <v>20.5</v>
      </c>
      <c r="AG9" s="10">
        <f t="shared" si="13"/>
        <v>12</v>
      </c>
      <c r="AH9" s="10">
        <f t="shared" si="14"/>
        <v>0</v>
      </c>
      <c r="AI9" s="27"/>
      <c r="AK9" s="28">
        <v>45145</v>
      </c>
      <c r="AL9" s="29">
        <v>0.375</v>
      </c>
      <c r="AM9" s="29">
        <v>0.875</v>
      </c>
      <c r="AN9" s="30">
        <f t="shared" si="15"/>
        <v>9</v>
      </c>
      <c r="AO9" s="31">
        <f t="shared" si="16"/>
        <v>21</v>
      </c>
      <c r="AP9" s="31">
        <f t="shared" si="17"/>
        <v>12</v>
      </c>
      <c r="AQ9" s="31">
        <f t="shared" si="18"/>
        <v>0</v>
      </c>
      <c r="AR9" s="32"/>
    </row>
    <row r="10" spans="1:44" x14ac:dyDescent="0.35">
      <c r="A10" s="7">
        <v>45146</v>
      </c>
      <c r="B10" s="8">
        <v>0.375</v>
      </c>
      <c r="C10" s="8">
        <v>0.875</v>
      </c>
      <c r="D10" s="10">
        <f t="shared" si="0"/>
        <v>9</v>
      </c>
      <c r="E10" s="10">
        <f t="shared" si="0"/>
        <v>21</v>
      </c>
      <c r="F10" s="10">
        <f t="shared" si="1"/>
        <v>12</v>
      </c>
      <c r="G10" s="10">
        <f t="shared" si="2"/>
        <v>0</v>
      </c>
      <c r="H10" s="24"/>
      <c r="J10" s="7">
        <v>45146</v>
      </c>
      <c r="K10" s="8">
        <v>0.375</v>
      </c>
      <c r="L10" s="8">
        <v>0.875</v>
      </c>
      <c r="M10" s="10">
        <f t="shared" si="3"/>
        <v>9</v>
      </c>
      <c r="N10" s="10">
        <f t="shared" si="4"/>
        <v>21</v>
      </c>
      <c r="O10" s="10">
        <f t="shared" si="5"/>
        <v>12</v>
      </c>
      <c r="P10" s="10">
        <f t="shared" si="6"/>
        <v>0</v>
      </c>
      <c r="Q10" s="27"/>
      <c r="S10" s="28">
        <v>45146</v>
      </c>
      <c r="T10" s="29">
        <v>0.375</v>
      </c>
      <c r="U10" s="29">
        <v>0.875</v>
      </c>
      <c r="V10" s="31">
        <f t="shared" si="7"/>
        <v>9</v>
      </c>
      <c r="W10" s="31">
        <f t="shared" si="8"/>
        <v>21</v>
      </c>
      <c r="X10" s="31">
        <f t="shared" si="9"/>
        <v>12</v>
      </c>
      <c r="Y10" s="31">
        <f t="shared" si="10"/>
        <v>0</v>
      </c>
      <c r="Z10" s="32"/>
      <c r="AB10" s="7">
        <v>45146</v>
      </c>
      <c r="AC10" s="8">
        <v>0.35416666666666669</v>
      </c>
      <c r="AD10" s="8">
        <v>0.85416666666666663</v>
      </c>
      <c r="AE10" s="10">
        <f t="shared" si="11"/>
        <v>8.5</v>
      </c>
      <c r="AF10" s="10">
        <f t="shared" si="12"/>
        <v>20.5</v>
      </c>
      <c r="AG10" s="10">
        <f t="shared" si="13"/>
        <v>12</v>
      </c>
      <c r="AH10" s="10">
        <f t="shared" si="14"/>
        <v>0</v>
      </c>
      <c r="AI10" s="27"/>
      <c r="AK10" s="7">
        <v>45146</v>
      </c>
      <c r="AL10" s="8">
        <v>0.375</v>
      </c>
      <c r="AM10" s="8">
        <v>0.875</v>
      </c>
      <c r="AN10" s="9">
        <f t="shared" si="15"/>
        <v>9</v>
      </c>
      <c r="AO10" s="10">
        <f t="shared" si="16"/>
        <v>21</v>
      </c>
      <c r="AP10" s="10">
        <f t="shared" si="17"/>
        <v>12</v>
      </c>
      <c r="AQ10" s="10">
        <f t="shared" si="18"/>
        <v>0</v>
      </c>
      <c r="AR10" s="27"/>
    </row>
    <row r="11" spans="1:44" x14ac:dyDescent="0.35">
      <c r="A11" s="7">
        <v>45147</v>
      </c>
      <c r="B11" s="8">
        <v>0.375</v>
      </c>
      <c r="C11" s="8">
        <v>0.875</v>
      </c>
      <c r="D11" s="10">
        <f t="shared" si="0"/>
        <v>9</v>
      </c>
      <c r="E11" s="10">
        <f t="shared" si="0"/>
        <v>21</v>
      </c>
      <c r="F11" s="10">
        <f t="shared" si="1"/>
        <v>12</v>
      </c>
      <c r="G11" s="10">
        <f t="shared" si="2"/>
        <v>0</v>
      </c>
      <c r="H11" s="24"/>
      <c r="J11" s="7">
        <v>45147</v>
      </c>
      <c r="K11" s="8">
        <v>0.375</v>
      </c>
      <c r="L11" s="8">
        <v>0.875</v>
      </c>
      <c r="M11" s="10">
        <f t="shared" si="3"/>
        <v>9</v>
      </c>
      <c r="N11" s="10">
        <f t="shared" si="4"/>
        <v>21</v>
      </c>
      <c r="O11" s="10">
        <f t="shared" si="5"/>
        <v>12</v>
      </c>
      <c r="P11" s="10">
        <f t="shared" si="6"/>
        <v>0</v>
      </c>
      <c r="Q11" s="27"/>
      <c r="S11" s="7">
        <v>45147</v>
      </c>
      <c r="T11" s="8">
        <v>0.375</v>
      </c>
      <c r="U11" s="8">
        <v>0.875</v>
      </c>
      <c r="V11" s="10">
        <f t="shared" si="7"/>
        <v>9</v>
      </c>
      <c r="W11" s="10">
        <f t="shared" si="8"/>
        <v>21</v>
      </c>
      <c r="X11" s="10">
        <f t="shared" si="9"/>
        <v>12</v>
      </c>
      <c r="Y11" s="10">
        <f t="shared" si="10"/>
        <v>0</v>
      </c>
      <c r="Z11" s="27"/>
      <c r="AB11" s="7">
        <v>45147</v>
      </c>
      <c r="AC11" s="8">
        <v>0.35416666666666669</v>
      </c>
      <c r="AD11" s="8">
        <v>0.85416666666666663</v>
      </c>
      <c r="AE11" s="10">
        <f t="shared" si="11"/>
        <v>8.5</v>
      </c>
      <c r="AF11" s="10">
        <f t="shared" si="12"/>
        <v>20.5</v>
      </c>
      <c r="AG11" s="10">
        <f t="shared" si="13"/>
        <v>12</v>
      </c>
      <c r="AH11" s="10">
        <f t="shared" si="14"/>
        <v>0</v>
      </c>
      <c r="AI11" s="27"/>
      <c r="AK11" s="7">
        <v>45147</v>
      </c>
      <c r="AL11" s="8">
        <v>0.375</v>
      </c>
      <c r="AM11" s="8">
        <v>0.875</v>
      </c>
      <c r="AN11" s="9">
        <f t="shared" si="15"/>
        <v>9</v>
      </c>
      <c r="AO11" s="10">
        <f t="shared" si="16"/>
        <v>21</v>
      </c>
      <c r="AP11" s="10">
        <f t="shared" si="17"/>
        <v>12</v>
      </c>
      <c r="AQ11" s="10">
        <f t="shared" si="18"/>
        <v>0</v>
      </c>
      <c r="AR11" s="27"/>
    </row>
    <row r="12" spans="1:44" x14ac:dyDescent="0.35">
      <c r="A12" s="7">
        <v>45148</v>
      </c>
      <c r="B12" s="8">
        <v>0.375</v>
      </c>
      <c r="C12" s="8">
        <v>0.875</v>
      </c>
      <c r="D12" s="10">
        <f t="shared" si="0"/>
        <v>9</v>
      </c>
      <c r="E12" s="10">
        <f t="shared" si="0"/>
        <v>21</v>
      </c>
      <c r="F12" s="10">
        <f t="shared" si="1"/>
        <v>12</v>
      </c>
      <c r="G12" s="10">
        <f t="shared" si="2"/>
        <v>0</v>
      </c>
      <c r="H12" s="24"/>
      <c r="J12" s="28">
        <v>45148</v>
      </c>
      <c r="K12" s="29">
        <v>0.375</v>
      </c>
      <c r="L12" s="29">
        <v>0.875</v>
      </c>
      <c r="M12" s="31">
        <f t="shared" si="3"/>
        <v>9</v>
      </c>
      <c r="N12" s="31">
        <f t="shared" si="4"/>
        <v>21</v>
      </c>
      <c r="O12" s="31">
        <f t="shared" si="5"/>
        <v>12</v>
      </c>
      <c r="P12" s="31">
        <f t="shared" si="6"/>
        <v>0</v>
      </c>
      <c r="Q12" s="32"/>
      <c r="S12" s="7">
        <v>45148</v>
      </c>
      <c r="T12" s="8">
        <v>0.375</v>
      </c>
      <c r="U12" s="8">
        <v>0.875</v>
      </c>
      <c r="V12" s="10">
        <f t="shared" si="7"/>
        <v>9</v>
      </c>
      <c r="W12" s="10">
        <f t="shared" si="8"/>
        <v>21</v>
      </c>
      <c r="X12" s="10">
        <f t="shared" si="9"/>
        <v>12</v>
      </c>
      <c r="Y12" s="10">
        <f t="shared" si="10"/>
        <v>0</v>
      </c>
      <c r="Z12" s="27"/>
      <c r="AB12" s="7">
        <v>45148</v>
      </c>
      <c r="AC12" s="8">
        <v>0.35416666666666669</v>
      </c>
      <c r="AD12" s="8">
        <v>0.85416666666666663</v>
      </c>
      <c r="AE12" s="10">
        <f t="shared" si="11"/>
        <v>8.5</v>
      </c>
      <c r="AF12" s="10">
        <f t="shared" si="12"/>
        <v>20.5</v>
      </c>
      <c r="AG12" s="10">
        <f t="shared" si="13"/>
        <v>12</v>
      </c>
      <c r="AH12" s="10">
        <f t="shared" si="14"/>
        <v>0</v>
      </c>
      <c r="AI12" s="27"/>
      <c r="AK12" s="7">
        <v>45148</v>
      </c>
      <c r="AL12" s="8">
        <v>0.375</v>
      </c>
      <c r="AM12" s="8">
        <v>0.875</v>
      </c>
      <c r="AN12" s="9">
        <f t="shared" si="15"/>
        <v>9</v>
      </c>
      <c r="AO12" s="10">
        <f t="shared" si="16"/>
        <v>21</v>
      </c>
      <c r="AP12" s="10">
        <f t="shared" si="17"/>
        <v>12</v>
      </c>
      <c r="AQ12" s="10">
        <f t="shared" si="18"/>
        <v>0</v>
      </c>
      <c r="AR12" s="27"/>
    </row>
    <row r="13" spans="1:44" x14ac:dyDescent="0.35">
      <c r="A13" s="7">
        <v>45149</v>
      </c>
      <c r="B13" s="8">
        <v>0.375</v>
      </c>
      <c r="C13" s="8">
        <v>0.875</v>
      </c>
      <c r="D13" s="10">
        <f t="shared" si="0"/>
        <v>9</v>
      </c>
      <c r="E13" s="10">
        <f t="shared" si="0"/>
        <v>21</v>
      </c>
      <c r="F13" s="10">
        <f t="shared" si="1"/>
        <v>12</v>
      </c>
      <c r="G13" s="10">
        <f t="shared" si="2"/>
        <v>0</v>
      </c>
      <c r="H13" s="24"/>
      <c r="J13" s="7">
        <v>45149</v>
      </c>
      <c r="K13" s="8">
        <v>0.41666666666666669</v>
      </c>
      <c r="L13" s="8">
        <v>0.83333333333333337</v>
      </c>
      <c r="M13" s="10">
        <f t="shared" si="3"/>
        <v>10</v>
      </c>
      <c r="N13" s="10">
        <f t="shared" si="4"/>
        <v>20</v>
      </c>
      <c r="O13" s="10">
        <f t="shared" si="5"/>
        <v>10</v>
      </c>
      <c r="P13" s="10">
        <f t="shared" si="6"/>
        <v>2</v>
      </c>
      <c r="Q13" s="27"/>
      <c r="S13" s="7">
        <v>45149</v>
      </c>
      <c r="T13" s="8">
        <v>0.375</v>
      </c>
      <c r="U13" s="8">
        <v>0.875</v>
      </c>
      <c r="V13" s="10">
        <f t="shared" si="7"/>
        <v>9</v>
      </c>
      <c r="W13" s="10">
        <f t="shared" si="8"/>
        <v>21</v>
      </c>
      <c r="X13" s="10">
        <f t="shared" si="9"/>
        <v>12</v>
      </c>
      <c r="Y13" s="10">
        <f t="shared" si="10"/>
        <v>0</v>
      </c>
      <c r="Z13" s="27"/>
      <c r="AB13" s="28">
        <v>45149</v>
      </c>
      <c r="AC13" s="29">
        <v>0.375</v>
      </c>
      <c r="AD13" s="29">
        <v>0.875</v>
      </c>
      <c r="AE13" s="31">
        <f t="shared" si="11"/>
        <v>9</v>
      </c>
      <c r="AF13" s="31">
        <f t="shared" si="12"/>
        <v>21</v>
      </c>
      <c r="AG13" s="31">
        <f t="shared" si="13"/>
        <v>12</v>
      </c>
      <c r="AH13" s="31">
        <f t="shared" si="14"/>
        <v>0</v>
      </c>
      <c r="AI13" s="32"/>
      <c r="AK13" s="7">
        <v>45149</v>
      </c>
      <c r="AL13" s="8">
        <v>0.375</v>
      </c>
      <c r="AM13" s="8">
        <v>0.875</v>
      </c>
      <c r="AN13" s="9">
        <f t="shared" si="15"/>
        <v>9</v>
      </c>
      <c r="AO13" s="10">
        <f t="shared" si="16"/>
        <v>21</v>
      </c>
      <c r="AP13" s="10">
        <f t="shared" si="17"/>
        <v>12</v>
      </c>
      <c r="AQ13" s="10">
        <f t="shared" si="18"/>
        <v>0</v>
      </c>
      <c r="AR13" s="27"/>
    </row>
    <row r="14" spans="1:44" x14ac:dyDescent="0.35">
      <c r="A14" s="7">
        <v>45150</v>
      </c>
      <c r="B14" s="8">
        <v>0.375</v>
      </c>
      <c r="C14" s="8">
        <v>0.875</v>
      </c>
      <c r="D14" s="10">
        <f t="shared" si="0"/>
        <v>9</v>
      </c>
      <c r="E14" s="10">
        <f t="shared" si="0"/>
        <v>21</v>
      </c>
      <c r="F14" s="10">
        <f t="shared" si="1"/>
        <v>12</v>
      </c>
      <c r="G14" s="10">
        <f t="shared" si="2"/>
        <v>0</v>
      </c>
      <c r="H14" s="24"/>
      <c r="J14" s="15">
        <v>45150</v>
      </c>
      <c r="K14" s="16">
        <v>0.375</v>
      </c>
      <c r="L14" s="16">
        <v>0.375</v>
      </c>
      <c r="M14" s="18">
        <f t="shared" si="3"/>
        <v>9</v>
      </c>
      <c r="N14" s="18">
        <f t="shared" si="4"/>
        <v>9</v>
      </c>
      <c r="O14" s="18">
        <f t="shared" si="5"/>
        <v>0</v>
      </c>
      <c r="P14" s="18">
        <f t="shared" si="6"/>
        <v>12</v>
      </c>
      <c r="Q14" s="26"/>
      <c r="S14" s="7">
        <v>45150</v>
      </c>
      <c r="T14" s="8">
        <v>0.375</v>
      </c>
      <c r="U14" s="8">
        <v>0.875</v>
      </c>
      <c r="V14" s="10">
        <f t="shared" si="7"/>
        <v>9</v>
      </c>
      <c r="W14" s="10">
        <f t="shared" si="8"/>
        <v>21</v>
      </c>
      <c r="X14" s="10">
        <f t="shared" si="9"/>
        <v>12</v>
      </c>
      <c r="Y14" s="10">
        <f t="shared" si="10"/>
        <v>0</v>
      </c>
      <c r="Z14" s="27"/>
      <c r="AB14" s="7">
        <v>45150</v>
      </c>
      <c r="AC14" s="8">
        <v>0.35416666666666669</v>
      </c>
      <c r="AD14" s="8">
        <v>0.85416666666666663</v>
      </c>
      <c r="AE14" s="10">
        <f t="shared" si="11"/>
        <v>8.5</v>
      </c>
      <c r="AF14" s="10">
        <f t="shared" si="12"/>
        <v>20.5</v>
      </c>
      <c r="AG14" s="10">
        <f t="shared" si="13"/>
        <v>12</v>
      </c>
      <c r="AH14" s="10">
        <f t="shared" si="14"/>
        <v>0</v>
      </c>
      <c r="AI14" s="27"/>
      <c r="AK14" s="7">
        <v>45150</v>
      </c>
      <c r="AL14" s="8">
        <v>0.375</v>
      </c>
      <c r="AM14" s="8">
        <v>0.875</v>
      </c>
      <c r="AN14" s="9">
        <f t="shared" si="15"/>
        <v>9</v>
      </c>
      <c r="AO14" s="10">
        <f t="shared" si="16"/>
        <v>21</v>
      </c>
      <c r="AP14" s="10">
        <f t="shared" si="17"/>
        <v>12</v>
      </c>
      <c r="AQ14" s="10">
        <f t="shared" si="18"/>
        <v>0</v>
      </c>
      <c r="AR14" s="27"/>
    </row>
    <row r="15" spans="1:44" x14ac:dyDescent="0.35">
      <c r="A15" s="7">
        <v>45151</v>
      </c>
      <c r="B15" s="8">
        <v>0.41666666666666669</v>
      </c>
      <c r="C15" s="8">
        <v>0.91666666666666663</v>
      </c>
      <c r="D15" s="10">
        <f t="shared" si="0"/>
        <v>10</v>
      </c>
      <c r="E15" s="10">
        <f t="shared" si="0"/>
        <v>22</v>
      </c>
      <c r="F15" s="10">
        <f t="shared" si="1"/>
        <v>12</v>
      </c>
      <c r="G15" s="10">
        <f t="shared" si="2"/>
        <v>0</v>
      </c>
      <c r="H15" s="24"/>
      <c r="J15" s="7">
        <v>45151</v>
      </c>
      <c r="K15" s="8">
        <v>0.41666666666666669</v>
      </c>
      <c r="L15" s="8">
        <v>0.91666666666666663</v>
      </c>
      <c r="M15" s="10">
        <f t="shared" ref="M15:M33" si="19">K15*24</f>
        <v>10</v>
      </c>
      <c r="N15" s="10">
        <f t="shared" ref="N15:N33" si="20">L15*24</f>
        <v>22</v>
      </c>
      <c r="O15" s="10">
        <f t="shared" si="5"/>
        <v>12</v>
      </c>
      <c r="P15" s="10">
        <f t="shared" si="6"/>
        <v>0</v>
      </c>
      <c r="Q15" s="27"/>
      <c r="S15" s="7">
        <v>45151</v>
      </c>
      <c r="T15" s="8">
        <v>0.375</v>
      </c>
      <c r="U15" s="8">
        <v>0.875</v>
      </c>
      <c r="V15" s="10">
        <f t="shared" si="7"/>
        <v>9</v>
      </c>
      <c r="W15" s="10">
        <f t="shared" si="8"/>
        <v>21</v>
      </c>
      <c r="X15" s="10">
        <f t="shared" si="9"/>
        <v>12</v>
      </c>
      <c r="Y15" s="10">
        <f t="shared" si="10"/>
        <v>0</v>
      </c>
      <c r="Z15" s="27"/>
      <c r="AB15" s="7">
        <v>45151</v>
      </c>
      <c r="AC15" s="8">
        <v>0.41666666666666669</v>
      </c>
      <c r="AD15" s="8">
        <v>0.91666666666666663</v>
      </c>
      <c r="AE15" s="10">
        <f t="shared" si="11"/>
        <v>10</v>
      </c>
      <c r="AF15" s="10">
        <f t="shared" si="12"/>
        <v>22</v>
      </c>
      <c r="AG15" s="10">
        <f t="shared" si="13"/>
        <v>12</v>
      </c>
      <c r="AH15" s="10">
        <f t="shared" si="14"/>
        <v>0</v>
      </c>
      <c r="AI15" s="27"/>
      <c r="AK15" s="7">
        <v>45151</v>
      </c>
      <c r="AL15" s="8">
        <v>0.375</v>
      </c>
      <c r="AM15" s="8">
        <v>0.875</v>
      </c>
      <c r="AN15" s="9">
        <f t="shared" si="15"/>
        <v>9</v>
      </c>
      <c r="AO15" s="10">
        <f t="shared" si="16"/>
        <v>21</v>
      </c>
      <c r="AP15" s="10">
        <f t="shared" si="17"/>
        <v>12</v>
      </c>
      <c r="AQ15" s="10">
        <f t="shared" si="18"/>
        <v>0</v>
      </c>
      <c r="AR15" s="27"/>
    </row>
    <row r="16" spans="1:44" x14ac:dyDescent="0.35">
      <c r="A16" s="28">
        <v>45152</v>
      </c>
      <c r="B16" s="29">
        <v>0.375</v>
      </c>
      <c r="C16" s="29">
        <v>0.875</v>
      </c>
      <c r="D16" s="31">
        <f t="shared" si="0"/>
        <v>9</v>
      </c>
      <c r="E16" s="31">
        <f t="shared" si="0"/>
        <v>21</v>
      </c>
      <c r="F16" s="31">
        <f t="shared" si="1"/>
        <v>12</v>
      </c>
      <c r="G16" s="31">
        <f t="shared" si="2"/>
        <v>0</v>
      </c>
      <c r="H16" s="32"/>
      <c r="J16" s="7">
        <v>45152</v>
      </c>
      <c r="K16" s="8">
        <v>0.35416666666666669</v>
      </c>
      <c r="L16" s="8">
        <v>0.85416666666666663</v>
      </c>
      <c r="M16" s="10">
        <f t="shared" si="19"/>
        <v>8.5</v>
      </c>
      <c r="N16" s="10">
        <f t="shared" si="20"/>
        <v>20.5</v>
      </c>
      <c r="O16" s="10">
        <f t="shared" si="5"/>
        <v>12</v>
      </c>
      <c r="P16" s="10">
        <f t="shared" si="6"/>
        <v>0</v>
      </c>
      <c r="Q16" s="27"/>
      <c r="S16" s="7">
        <v>45152</v>
      </c>
      <c r="T16" s="8">
        <v>0.375</v>
      </c>
      <c r="U16" s="8">
        <v>0.875</v>
      </c>
      <c r="V16" s="10">
        <f t="shared" si="7"/>
        <v>9</v>
      </c>
      <c r="W16" s="10">
        <f t="shared" si="8"/>
        <v>21</v>
      </c>
      <c r="X16" s="10">
        <f t="shared" si="9"/>
        <v>12</v>
      </c>
      <c r="Y16" s="10">
        <f t="shared" si="10"/>
        <v>0</v>
      </c>
      <c r="Z16" s="27"/>
      <c r="AB16" s="7">
        <v>45152</v>
      </c>
      <c r="AC16" s="8">
        <v>0.41666666666666669</v>
      </c>
      <c r="AD16" s="8">
        <v>0.91666666666666663</v>
      </c>
      <c r="AE16" s="10">
        <f t="shared" si="11"/>
        <v>10</v>
      </c>
      <c r="AF16" s="10">
        <f t="shared" si="12"/>
        <v>22</v>
      </c>
      <c r="AG16" s="10">
        <f t="shared" si="13"/>
        <v>12</v>
      </c>
      <c r="AH16" s="10">
        <f t="shared" si="14"/>
        <v>0</v>
      </c>
      <c r="AI16" s="27"/>
      <c r="AK16" s="28">
        <v>45152</v>
      </c>
      <c r="AL16" s="29">
        <v>0.375</v>
      </c>
      <c r="AM16" s="29">
        <v>0.875</v>
      </c>
      <c r="AN16" s="30">
        <f t="shared" si="15"/>
        <v>9</v>
      </c>
      <c r="AO16" s="31">
        <f t="shared" si="16"/>
        <v>21</v>
      </c>
      <c r="AP16" s="31">
        <f t="shared" si="17"/>
        <v>12</v>
      </c>
      <c r="AQ16" s="31">
        <f t="shared" si="18"/>
        <v>0</v>
      </c>
      <c r="AR16" s="32"/>
    </row>
    <row r="17" spans="1:44" x14ac:dyDescent="0.35">
      <c r="A17" s="7">
        <v>45153</v>
      </c>
      <c r="B17" s="8">
        <v>0.42499999999999999</v>
      </c>
      <c r="C17" s="8">
        <v>0.89583333333333337</v>
      </c>
      <c r="D17" s="10">
        <f t="shared" si="0"/>
        <v>10.199999999999999</v>
      </c>
      <c r="E17" s="10">
        <f t="shared" si="0"/>
        <v>21.5</v>
      </c>
      <c r="F17" s="10">
        <f t="shared" si="1"/>
        <v>11.3</v>
      </c>
      <c r="G17" s="10">
        <f t="shared" si="2"/>
        <v>0.69999999999999929</v>
      </c>
      <c r="H17" s="24"/>
      <c r="J17" s="7">
        <v>45153</v>
      </c>
      <c r="K17" s="8">
        <v>0.35416666666666669</v>
      </c>
      <c r="L17" s="8">
        <v>0.85416666666666663</v>
      </c>
      <c r="M17" s="10">
        <f t="shared" si="19"/>
        <v>8.5</v>
      </c>
      <c r="N17" s="10">
        <f t="shared" si="20"/>
        <v>20.5</v>
      </c>
      <c r="O17" s="10">
        <f t="shared" si="5"/>
        <v>12</v>
      </c>
      <c r="P17" s="10">
        <f t="shared" si="6"/>
        <v>0</v>
      </c>
      <c r="Q17" s="27"/>
      <c r="S17" s="7">
        <v>45153</v>
      </c>
      <c r="T17" s="8">
        <v>0.41666666666666669</v>
      </c>
      <c r="U17" s="8">
        <v>0.89583333333333337</v>
      </c>
      <c r="V17" s="10">
        <f t="shared" ref="V17:V33" si="21">T17*24</f>
        <v>10</v>
      </c>
      <c r="W17" s="10">
        <f t="shared" ref="W17:W33" si="22">U17*24</f>
        <v>21.5</v>
      </c>
      <c r="X17" s="10">
        <f t="shared" si="9"/>
        <v>11.5</v>
      </c>
      <c r="Y17" s="10">
        <f t="shared" si="10"/>
        <v>0.5</v>
      </c>
      <c r="Z17" s="32"/>
      <c r="AB17" s="7">
        <v>45153</v>
      </c>
      <c r="AC17" s="8">
        <v>0.41666666666666669</v>
      </c>
      <c r="AD17" s="8">
        <v>0.91666666666666663</v>
      </c>
      <c r="AE17" s="10">
        <f t="shared" si="11"/>
        <v>10</v>
      </c>
      <c r="AF17" s="10">
        <f t="shared" si="12"/>
        <v>22</v>
      </c>
      <c r="AG17" s="10">
        <f t="shared" si="13"/>
        <v>12</v>
      </c>
      <c r="AH17" s="10">
        <f t="shared" si="14"/>
        <v>0</v>
      </c>
      <c r="AI17" s="27"/>
      <c r="AK17" s="7">
        <v>45153</v>
      </c>
      <c r="AL17" s="8">
        <v>0.375</v>
      </c>
      <c r="AM17" s="8">
        <v>0.875</v>
      </c>
      <c r="AN17" s="9">
        <f t="shared" si="15"/>
        <v>9</v>
      </c>
      <c r="AO17" s="10">
        <f t="shared" si="16"/>
        <v>21</v>
      </c>
      <c r="AP17" s="10">
        <f t="shared" si="17"/>
        <v>12</v>
      </c>
      <c r="AQ17" s="10">
        <f t="shared" si="18"/>
        <v>0</v>
      </c>
      <c r="AR17" s="27"/>
    </row>
    <row r="18" spans="1:44" x14ac:dyDescent="0.35">
      <c r="A18" s="7">
        <v>45154</v>
      </c>
      <c r="B18" s="8">
        <v>0.4375</v>
      </c>
      <c r="C18" s="8">
        <v>0.89583333333333337</v>
      </c>
      <c r="D18" s="10">
        <f t="shared" si="0"/>
        <v>10.5</v>
      </c>
      <c r="E18" s="10">
        <f t="shared" si="0"/>
        <v>21.5</v>
      </c>
      <c r="F18" s="10">
        <f t="shared" si="1"/>
        <v>11</v>
      </c>
      <c r="G18" s="10">
        <f t="shared" si="2"/>
        <v>1</v>
      </c>
      <c r="H18" s="24"/>
      <c r="J18" s="7">
        <v>45154</v>
      </c>
      <c r="K18" s="8">
        <v>0.35416666666666669</v>
      </c>
      <c r="L18" s="8">
        <v>0.85416666666666663</v>
      </c>
      <c r="M18" s="10">
        <f t="shared" si="19"/>
        <v>8.5</v>
      </c>
      <c r="N18" s="10">
        <f t="shared" si="20"/>
        <v>20.5</v>
      </c>
      <c r="O18" s="10">
        <f t="shared" si="5"/>
        <v>12</v>
      </c>
      <c r="P18" s="10">
        <f t="shared" si="6"/>
        <v>0</v>
      </c>
      <c r="Q18" s="27"/>
      <c r="S18" s="7">
        <v>45154</v>
      </c>
      <c r="T18" s="8">
        <v>0.41666666666666669</v>
      </c>
      <c r="U18" s="8">
        <v>0.91666666666666663</v>
      </c>
      <c r="V18" s="10">
        <f t="shared" si="21"/>
        <v>10</v>
      </c>
      <c r="W18" s="10">
        <f t="shared" si="22"/>
        <v>22</v>
      </c>
      <c r="X18" s="10">
        <f t="shared" si="9"/>
        <v>12</v>
      </c>
      <c r="Y18" s="10">
        <f t="shared" si="10"/>
        <v>0</v>
      </c>
      <c r="Z18" s="27"/>
      <c r="AB18" s="7">
        <v>45154</v>
      </c>
      <c r="AC18" s="8">
        <v>0.41666666666666669</v>
      </c>
      <c r="AD18" s="8">
        <v>0.91666666666666663</v>
      </c>
      <c r="AE18" s="10">
        <f t="shared" si="11"/>
        <v>10</v>
      </c>
      <c r="AF18" s="10">
        <f t="shared" si="12"/>
        <v>22</v>
      </c>
      <c r="AG18" s="10">
        <f t="shared" si="13"/>
        <v>12</v>
      </c>
      <c r="AH18" s="10">
        <f t="shared" si="14"/>
        <v>0</v>
      </c>
      <c r="AI18" s="27"/>
      <c r="AK18" s="7">
        <v>45154</v>
      </c>
      <c r="AL18" s="8">
        <v>0.375</v>
      </c>
      <c r="AM18" s="8">
        <v>0.875</v>
      </c>
      <c r="AN18" s="9">
        <f t="shared" si="15"/>
        <v>9</v>
      </c>
      <c r="AO18" s="10">
        <f t="shared" si="16"/>
        <v>21</v>
      </c>
      <c r="AP18" s="10">
        <f t="shared" si="17"/>
        <v>12</v>
      </c>
      <c r="AQ18" s="10">
        <f t="shared" si="18"/>
        <v>0</v>
      </c>
      <c r="AR18" s="27"/>
    </row>
    <row r="19" spans="1:44" x14ac:dyDescent="0.35">
      <c r="A19" s="7">
        <v>45155</v>
      </c>
      <c r="B19" s="8">
        <v>0.4375</v>
      </c>
      <c r="C19" s="8">
        <v>0.91666666666666663</v>
      </c>
      <c r="D19" s="10">
        <f t="shared" si="0"/>
        <v>10.5</v>
      </c>
      <c r="E19" s="10">
        <f t="shared" si="0"/>
        <v>22</v>
      </c>
      <c r="F19" s="10">
        <f t="shared" si="1"/>
        <v>11.5</v>
      </c>
      <c r="G19" s="10">
        <f t="shared" si="2"/>
        <v>0.5</v>
      </c>
      <c r="H19" s="24"/>
      <c r="J19" s="28">
        <v>45155</v>
      </c>
      <c r="K19" s="29">
        <v>0.375</v>
      </c>
      <c r="L19" s="29">
        <v>0.875</v>
      </c>
      <c r="M19" s="31">
        <f t="shared" si="19"/>
        <v>9</v>
      </c>
      <c r="N19" s="31">
        <f t="shared" si="20"/>
        <v>21</v>
      </c>
      <c r="O19" s="31">
        <f t="shared" si="5"/>
        <v>12</v>
      </c>
      <c r="P19" s="31">
        <f t="shared" si="6"/>
        <v>0</v>
      </c>
      <c r="Q19" s="32"/>
      <c r="S19" s="7">
        <v>45155</v>
      </c>
      <c r="T19" s="8">
        <v>0.41666666666666669</v>
      </c>
      <c r="U19" s="8">
        <v>0.91666666666666663</v>
      </c>
      <c r="V19" s="10">
        <f t="shared" si="21"/>
        <v>10</v>
      </c>
      <c r="W19" s="10">
        <f t="shared" si="22"/>
        <v>22</v>
      </c>
      <c r="X19" s="10">
        <f t="shared" si="9"/>
        <v>12</v>
      </c>
      <c r="Y19" s="10">
        <f t="shared" si="10"/>
        <v>0</v>
      </c>
      <c r="Z19" s="27"/>
      <c r="AB19" s="7">
        <v>45155</v>
      </c>
      <c r="AC19" s="8">
        <v>0.41666666666666669</v>
      </c>
      <c r="AD19" s="8">
        <v>0.91666666666666663</v>
      </c>
      <c r="AE19" s="10">
        <f t="shared" si="11"/>
        <v>10</v>
      </c>
      <c r="AF19" s="10">
        <f t="shared" si="12"/>
        <v>22</v>
      </c>
      <c r="AG19" s="10">
        <f t="shared" si="13"/>
        <v>12</v>
      </c>
      <c r="AH19" s="10">
        <f t="shared" si="14"/>
        <v>0</v>
      </c>
      <c r="AI19" s="27"/>
      <c r="AK19" s="7">
        <v>45155</v>
      </c>
      <c r="AL19" s="8">
        <v>0.375</v>
      </c>
      <c r="AM19" s="8">
        <v>0.875</v>
      </c>
      <c r="AN19" s="9">
        <f t="shared" si="15"/>
        <v>9</v>
      </c>
      <c r="AO19" s="10">
        <f t="shared" si="16"/>
        <v>21</v>
      </c>
      <c r="AP19" s="10">
        <f t="shared" si="17"/>
        <v>12</v>
      </c>
      <c r="AQ19" s="10">
        <f t="shared" si="18"/>
        <v>0</v>
      </c>
      <c r="AR19" s="27"/>
    </row>
    <row r="20" spans="1:44" x14ac:dyDescent="0.35">
      <c r="A20" s="15">
        <v>45156</v>
      </c>
      <c r="B20" s="16">
        <v>0.375</v>
      </c>
      <c r="C20" s="16">
        <v>0.375</v>
      </c>
      <c r="D20" s="18">
        <f t="shared" si="0"/>
        <v>9</v>
      </c>
      <c r="E20" s="18">
        <f t="shared" ref="E20:E32" si="23">C20*24</f>
        <v>9</v>
      </c>
      <c r="F20" s="18">
        <f t="shared" si="1"/>
        <v>0</v>
      </c>
      <c r="G20" s="18">
        <f t="shared" si="2"/>
        <v>12</v>
      </c>
      <c r="H20" s="26"/>
      <c r="J20" s="7">
        <v>45156</v>
      </c>
      <c r="K20" s="8">
        <v>0.35416666666666669</v>
      </c>
      <c r="L20" s="8">
        <v>0.85416666666666663</v>
      </c>
      <c r="M20" s="10">
        <f t="shared" si="19"/>
        <v>8.5</v>
      </c>
      <c r="N20" s="10">
        <f t="shared" si="20"/>
        <v>20.5</v>
      </c>
      <c r="O20" s="10">
        <f t="shared" si="5"/>
        <v>12</v>
      </c>
      <c r="P20" s="10">
        <f t="shared" si="6"/>
        <v>0</v>
      </c>
      <c r="Q20" s="27"/>
      <c r="S20" s="7">
        <v>45156</v>
      </c>
      <c r="T20" s="8">
        <v>0.41666666666666669</v>
      </c>
      <c r="U20" s="8">
        <v>0.91666666666666663</v>
      </c>
      <c r="V20" s="10">
        <f t="shared" si="21"/>
        <v>10</v>
      </c>
      <c r="W20" s="10">
        <f t="shared" si="22"/>
        <v>22</v>
      </c>
      <c r="X20" s="10">
        <f t="shared" si="9"/>
        <v>12</v>
      </c>
      <c r="Y20" s="10">
        <f t="shared" si="10"/>
        <v>0</v>
      </c>
      <c r="Z20" s="27"/>
      <c r="AB20" s="28">
        <v>45156</v>
      </c>
      <c r="AC20" s="29">
        <v>0.375</v>
      </c>
      <c r="AD20" s="29">
        <v>0.875</v>
      </c>
      <c r="AE20" s="31">
        <f t="shared" si="11"/>
        <v>9</v>
      </c>
      <c r="AF20" s="31">
        <f t="shared" si="12"/>
        <v>21</v>
      </c>
      <c r="AG20" s="31">
        <f t="shared" si="13"/>
        <v>12</v>
      </c>
      <c r="AH20" s="31">
        <f t="shared" si="14"/>
        <v>0</v>
      </c>
      <c r="AI20" s="32"/>
      <c r="AK20" s="7">
        <v>45156</v>
      </c>
      <c r="AL20" s="8">
        <v>0.375</v>
      </c>
      <c r="AM20" s="8">
        <v>0.875</v>
      </c>
      <c r="AN20" s="9">
        <f t="shared" si="15"/>
        <v>9</v>
      </c>
      <c r="AO20" s="10">
        <f t="shared" si="16"/>
        <v>21</v>
      </c>
      <c r="AP20" s="10">
        <f t="shared" si="17"/>
        <v>12</v>
      </c>
      <c r="AQ20" s="10">
        <f t="shared" si="18"/>
        <v>0</v>
      </c>
      <c r="AR20" s="27"/>
    </row>
    <row r="21" spans="1:44" x14ac:dyDescent="0.35">
      <c r="A21" s="7">
        <v>45157</v>
      </c>
      <c r="B21" s="8">
        <v>0.4375</v>
      </c>
      <c r="C21" s="8">
        <v>0.91666666666666663</v>
      </c>
      <c r="D21" s="10">
        <f t="shared" si="0"/>
        <v>10.5</v>
      </c>
      <c r="E21" s="10">
        <f t="shared" si="23"/>
        <v>22</v>
      </c>
      <c r="F21" s="10">
        <f t="shared" si="1"/>
        <v>11.5</v>
      </c>
      <c r="G21" s="10">
        <f t="shared" si="2"/>
        <v>0.5</v>
      </c>
      <c r="H21" s="24">
        <v>100</v>
      </c>
      <c r="J21" s="7">
        <v>45157</v>
      </c>
      <c r="K21" s="8">
        <v>0.45833333333333331</v>
      </c>
      <c r="L21" s="8">
        <v>0.89583333333333337</v>
      </c>
      <c r="M21" s="10">
        <f t="shared" si="19"/>
        <v>11</v>
      </c>
      <c r="N21" s="10">
        <f t="shared" si="20"/>
        <v>21.5</v>
      </c>
      <c r="O21" s="10">
        <f t="shared" si="5"/>
        <v>10.5</v>
      </c>
      <c r="P21" s="10">
        <f t="shared" si="6"/>
        <v>1.5</v>
      </c>
      <c r="Q21" s="27">
        <v>1500</v>
      </c>
      <c r="S21" s="7">
        <v>45157</v>
      </c>
      <c r="T21" s="8">
        <v>0.41666666666666669</v>
      </c>
      <c r="U21" s="8">
        <v>0.89583333333333337</v>
      </c>
      <c r="V21" s="10">
        <f t="shared" si="21"/>
        <v>10</v>
      </c>
      <c r="W21" s="10">
        <f t="shared" si="22"/>
        <v>21.5</v>
      </c>
      <c r="X21" s="10">
        <f t="shared" si="9"/>
        <v>11.5</v>
      </c>
      <c r="Y21" s="10">
        <f t="shared" si="10"/>
        <v>0.5</v>
      </c>
      <c r="Z21" s="27"/>
      <c r="AB21" s="7">
        <v>45157</v>
      </c>
      <c r="AC21" s="8">
        <v>0.35416666666666669</v>
      </c>
      <c r="AD21" s="8">
        <v>0.85416666666666663</v>
      </c>
      <c r="AE21" s="10">
        <f t="shared" si="11"/>
        <v>8.5</v>
      </c>
      <c r="AF21" s="10">
        <f t="shared" si="12"/>
        <v>20.5</v>
      </c>
      <c r="AG21" s="10">
        <f t="shared" si="13"/>
        <v>12</v>
      </c>
      <c r="AH21" s="10">
        <f t="shared" si="14"/>
        <v>0</v>
      </c>
      <c r="AI21" s="27"/>
      <c r="AK21" s="7">
        <v>45157</v>
      </c>
      <c r="AL21" s="8">
        <v>0.375</v>
      </c>
      <c r="AM21" s="8">
        <v>0.875</v>
      </c>
      <c r="AN21" s="9">
        <f t="shared" si="15"/>
        <v>9</v>
      </c>
      <c r="AO21" s="10">
        <f t="shared" si="16"/>
        <v>21</v>
      </c>
      <c r="AP21" s="10">
        <f t="shared" si="17"/>
        <v>12</v>
      </c>
      <c r="AQ21" s="10">
        <f t="shared" si="18"/>
        <v>0</v>
      </c>
      <c r="AR21" s="27"/>
    </row>
    <row r="22" spans="1:44" x14ac:dyDescent="0.35">
      <c r="A22" s="7">
        <v>45158</v>
      </c>
      <c r="B22" s="8">
        <v>0.43055555555555558</v>
      </c>
      <c r="C22" s="8">
        <v>0.89583333333333337</v>
      </c>
      <c r="D22" s="10">
        <f t="shared" si="0"/>
        <v>10.333333333333334</v>
      </c>
      <c r="E22" s="10">
        <f t="shared" si="23"/>
        <v>21.5</v>
      </c>
      <c r="F22" s="10">
        <f t="shared" si="1"/>
        <v>11.166666666666666</v>
      </c>
      <c r="G22" s="10">
        <f t="shared" si="2"/>
        <v>0.83333333333333393</v>
      </c>
      <c r="H22" s="24"/>
      <c r="J22" s="7">
        <v>45158</v>
      </c>
      <c r="K22" s="8">
        <v>0.41666666666666669</v>
      </c>
      <c r="L22" s="8">
        <v>0.91666666666666663</v>
      </c>
      <c r="M22" s="10">
        <f t="shared" si="19"/>
        <v>10</v>
      </c>
      <c r="N22" s="10">
        <f t="shared" si="20"/>
        <v>22</v>
      </c>
      <c r="O22" s="10">
        <f t="shared" si="5"/>
        <v>12</v>
      </c>
      <c r="P22" s="10">
        <f t="shared" si="6"/>
        <v>0</v>
      </c>
      <c r="Q22" s="27"/>
      <c r="S22" s="7">
        <v>45158</v>
      </c>
      <c r="T22" s="8">
        <v>0.43055555555555558</v>
      </c>
      <c r="U22" s="8">
        <v>0.91666666666666663</v>
      </c>
      <c r="V22" s="10">
        <f t="shared" si="21"/>
        <v>10.333333333333334</v>
      </c>
      <c r="W22" s="10">
        <f t="shared" si="22"/>
        <v>22</v>
      </c>
      <c r="X22" s="10">
        <f t="shared" si="9"/>
        <v>11.666666666666666</v>
      </c>
      <c r="Y22" s="10">
        <f t="shared" si="10"/>
        <v>0.33333333333333393</v>
      </c>
      <c r="Z22" s="27">
        <v>6000</v>
      </c>
      <c r="AB22" s="7">
        <v>45158</v>
      </c>
      <c r="AC22" s="8">
        <v>0.41666666666666669</v>
      </c>
      <c r="AD22" s="8">
        <v>0.91666666666666663</v>
      </c>
      <c r="AE22" s="10">
        <f t="shared" si="11"/>
        <v>10</v>
      </c>
      <c r="AF22" s="10">
        <f t="shared" si="12"/>
        <v>22</v>
      </c>
      <c r="AG22" s="10">
        <f t="shared" si="13"/>
        <v>12</v>
      </c>
      <c r="AH22" s="10">
        <f t="shared" si="14"/>
        <v>0</v>
      </c>
      <c r="AI22" s="27"/>
      <c r="AK22" s="7">
        <v>45158</v>
      </c>
      <c r="AL22" s="8">
        <v>0.375</v>
      </c>
      <c r="AM22" s="8">
        <v>0.875</v>
      </c>
      <c r="AN22" s="9">
        <f t="shared" si="15"/>
        <v>9</v>
      </c>
      <c r="AO22" s="10">
        <f t="shared" si="16"/>
        <v>21</v>
      </c>
      <c r="AP22" s="10">
        <f t="shared" si="17"/>
        <v>12</v>
      </c>
      <c r="AQ22" s="10">
        <f t="shared" si="18"/>
        <v>0</v>
      </c>
      <c r="AR22" s="27"/>
    </row>
    <row r="23" spans="1:44" x14ac:dyDescent="0.35">
      <c r="A23" s="28">
        <v>45159</v>
      </c>
      <c r="B23" s="29">
        <v>0.375</v>
      </c>
      <c r="C23" s="29">
        <v>0.875</v>
      </c>
      <c r="D23" s="31">
        <f t="shared" ref="D23:D32" si="24">B23*24</f>
        <v>9</v>
      </c>
      <c r="E23" s="31">
        <f t="shared" si="23"/>
        <v>21</v>
      </c>
      <c r="F23" s="31">
        <f t="shared" si="1"/>
        <v>12</v>
      </c>
      <c r="G23" s="31">
        <f t="shared" si="2"/>
        <v>0</v>
      </c>
      <c r="H23" s="32"/>
      <c r="J23" s="7">
        <v>45159</v>
      </c>
      <c r="K23" s="8">
        <v>0.4375</v>
      </c>
      <c r="L23" s="8">
        <v>0.875</v>
      </c>
      <c r="M23" s="10">
        <f t="shared" si="19"/>
        <v>10.5</v>
      </c>
      <c r="N23" s="10">
        <f t="shared" si="20"/>
        <v>21</v>
      </c>
      <c r="O23" s="10">
        <f t="shared" si="5"/>
        <v>10.5</v>
      </c>
      <c r="P23" s="10">
        <f t="shared" si="6"/>
        <v>1.5</v>
      </c>
      <c r="Q23" s="27"/>
      <c r="S23" s="7">
        <v>45159</v>
      </c>
      <c r="T23" s="8">
        <v>0.41666666666666669</v>
      </c>
      <c r="U23" s="8">
        <v>0.91666666666666663</v>
      </c>
      <c r="V23" s="10">
        <f t="shared" si="21"/>
        <v>10</v>
      </c>
      <c r="W23" s="10">
        <f t="shared" si="22"/>
        <v>22</v>
      </c>
      <c r="X23" s="10">
        <f t="shared" si="9"/>
        <v>12</v>
      </c>
      <c r="Y23" s="10">
        <f t="shared" si="10"/>
        <v>0</v>
      </c>
      <c r="Z23" s="27"/>
      <c r="AB23" s="7">
        <v>45159</v>
      </c>
      <c r="AC23" s="8">
        <v>0.35416666666666669</v>
      </c>
      <c r="AD23" s="8">
        <v>0.85416666666666663</v>
      </c>
      <c r="AE23" s="10">
        <f t="shared" si="11"/>
        <v>8.5</v>
      </c>
      <c r="AF23" s="10">
        <f t="shared" si="12"/>
        <v>20.5</v>
      </c>
      <c r="AG23" s="10">
        <f t="shared" si="13"/>
        <v>12</v>
      </c>
      <c r="AH23" s="10">
        <f t="shared" si="14"/>
        <v>0</v>
      </c>
      <c r="AI23" s="27"/>
      <c r="AK23" s="28">
        <v>45159</v>
      </c>
      <c r="AL23" s="29"/>
      <c r="AM23" s="29"/>
      <c r="AN23" s="30">
        <f t="shared" si="15"/>
        <v>0</v>
      </c>
      <c r="AO23" s="31">
        <f t="shared" si="16"/>
        <v>0</v>
      </c>
      <c r="AP23" s="31">
        <f t="shared" si="17"/>
        <v>0</v>
      </c>
      <c r="AQ23" s="31">
        <f t="shared" si="18"/>
        <v>0</v>
      </c>
      <c r="AR23" s="32"/>
    </row>
    <row r="24" spans="1:44" x14ac:dyDescent="0.35">
      <c r="A24" s="15">
        <v>45160</v>
      </c>
      <c r="B24" s="16">
        <v>0.375</v>
      </c>
      <c r="C24" s="16">
        <v>0.375</v>
      </c>
      <c r="D24" s="18">
        <f t="shared" si="24"/>
        <v>9</v>
      </c>
      <c r="E24" s="18">
        <f t="shared" ref="E24" si="25">C24*24</f>
        <v>9</v>
      </c>
      <c r="F24" s="18">
        <f t="shared" ref="F24" si="26">E24-D24</f>
        <v>0</v>
      </c>
      <c r="G24" s="18">
        <f t="shared" ref="G24" si="27">IF(B24="",0,12-F24)</f>
        <v>12</v>
      </c>
      <c r="H24" s="26"/>
      <c r="J24" s="7">
        <v>45160</v>
      </c>
      <c r="K24" s="8">
        <v>0.41666666666666669</v>
      </c>
      <c r="L24" s="8">
        <v>0.91666666666666663</v>
      </c>
      <c r="M24" s="10">
        <f t="shared" si="19"/>
        <v>10</v>
      </c>
      <c r="N24" s="10">
        <f t="shared" si="20"/>
        <v>22</v>
      </c>
      <c r="O24" s="10">
        <f t="shared" si="5"/>
        <v>12</v>
      </c>
      <c r="P24" s="10">
        <f t="shared" si="6"/>
        <v>0</v>
      </c>
      <c r="Q24" s="27"/>
      <c r="S24" s="7">
        <v>45160</v>
      </c>
      <c r="T24" s="8">
        <v>0.4375</v>
      </c>
      <c r="U24" s="8">
        <v>0.91666666666666663</v>
      </c>
      <c r="V24" s="10">
        <f t="shared" si="21"/>
        <v>10.5</v>
      </c>
      <c r="W24" s="10">
        <f t="shared" si="22"/>
        <v>22</v>
      </c>
      <c r="X24" s="10">
        <f t="shared" si="9"/>
        <v>11.5</v>
      </c>
      <c r="Y24" s="10">
        <f t="shared" si="10"/>
        <v>0.5</v>
      </c>
      <c r="Z24" s="32"/>
      <c r="AB24" s="7">
        <v>45160</v>
      </c>
      <c r="AC24" s="8">
        <v>0.35416666666666669</v>
      </c>
      <c r="AD24" s="8">
        <v>0.85416666666666663</v>
      </c>
      <c r="AE24" s="10">
        <f t="shared" si="11"/>
        <v>8.5</v>
      </c>
      <c r="AF24" s="10">
        <f t="shared" si="12"/>
        <v>20.5</v>
      </c>
      <c r="AG24" s="10">
        <f t="shared" si="13"/>
        <v>12</v>
      </c>
      <c r="AH24" s="10">
        <f t="shared" si="14"/>
        <v>0</v>
      </c>
      <c r="AI24" s="27"/>
      <c r="AK24" s="7">
        <v>45160</v>
      </c>
      <c r="AL24" s="8"/>
      <c r="AM24" s="8"/>
      <c r="AN24" s="9">
        <f t="shared" si="15"/>
        <v>0</v>
      </c>
      <c r="AO24" s="10">
        <f t="shared" si="16"/>
        <v>0</v>
      </c>
      <c r="AP24" s="10">
        <f t="shared" si="17"/>
        <v>0</v>
      </c>
      <c r="AQ24" s="10">
        <f t="shared" si="18"/>
        <v>0</v>
      </c>
      <c r="AR24" s="27"/>
    </row>
    <row r="25" spans="1:44" x14ac:dyDescent="0.35">
      <c r="A25" s="7">
        <v>45161</v>
      </c>
      <c r="B25" s="8">
        <v>0.4375</v>
      </c>
      <c r="C25" s="8">
        <v>0.91666666666666663</v>
      </c>
      <c r="D25" s="10">
        <f t="shared" si="24"/>
        <v>10.5</v>
      </c>
      <c r="E25" s="10">
        <f>C25*24</f>
        <v>22</v>
      </c>
      <c r="F25" s="10">
        <f t="shared" si="1"/>
        <v>11.5</v>
      </c>
      <c r="G25" s="10">
        <f t="shared" si="2"/>
        <v>0.5</v>
      </c>
      <c r="H25" s="24"/>
      <c r="J25" s="7">
        <v>45161</v>
      </c>
      <c r="K25" s="8">
        <v>0.35416666666666669</v>
      </c>
      <c r="L25" s="8">
        <v>0.85416666666666663</v>
      </c>
      <c r="M25" s="10">
        <f t="shared" si="19"/>
        <v>8.5</v>
      </c>
      <c r="N25" s="10">
        <f t="shared" si="20"/>
        <v>20.5</v>
      </c>
      <c r="O25" s="10">
        <f t="shared" si="5"/>
        <v>12</v>
      </c>
      <c r="P25" s="10">
        <f t="shared" si="6"/>
        <v>0</v>
      </c>
      <c r="Q25" s="27">
        <v>2500</v>
      </c>
      <c r="S25" s="7">
        <v>45161</v>
      </c>
      <c r="T25" s="8">
        <v>0.4375</v>
      </c>
      <c r="U25" s="8">
        <v>0.91666666666666663</v>
      </c>
      <c r="V25" s="10">
        <f t="shared" si="21"/>
        <v>10.5</v>
      </c>
      <c r="W25" s="10">
        <f t="shared" si="22"/>
        <v>22</v>
      </c>
      <c r="X25" s="10">
        <f t="shared" si="9"/>
        <v>11.5</v>
      </c>
      <c r="Y25" s="10">
        <f t="shared" si="10"/>
        <v>0.5</v>
      </c>
      <c r="Z25" s="27"/>
      <c r="AB25" s="7">
        <v>45161</v>
      </c>
      <c r="AC25" s="8">
        <v>0.625</v>
      </c>
      <c r="AD25" s="8">
        <v>0.91666666666666663</v>
      </c>
      <c r="AE25" s="10">
        <f t="shared" si="11"/>
        <v>15</v>
      </c>
      <c r="AF25" s="10">
        <f t="shared" si="12"/>
        <v>22</v>
      </c>
      <c r="AG25" s="10">
        <f t="shared" si="13"/>
        <v>7</v>
      </c>
      <c r="AH25" s="10">
        <f t="shared" si="14"/>
        <v>5</v>
      </c>
      <c r="AI25" s="27"/>
      <c r="AK25" s="7">
        <v>45161</v>
      </c>
      <c r="AL25" s="8"/>
      <c r="AM25" s="8"/>
      <c r="AN25" s="9">
        <f t="shared" si="15"/>
        <v>0</v>
      </c>
      <c r="AO25" s="10">
        <f t="shared" si="16"/>
        <v>0</v>
      </c>
      <c r="AP25" s="10">
        <f t="shared" si="17"/>
        <v>0</v>
      </c>
      <c r="AQ25" s="10">
        <f t="shared" si="18"/>
        <v>0</v>
      </c>
      <c r="AR25" s="27"/>
    </row>
    <row r="26" spans="1:44" x14ac:dyDescent="0.35">
      <c r="A26" s="7">
        <v>45162</v>
      </c>
      <c r="B26" s="8">
        <v>0.41666666666666669</v>
      </c>
      <c r="C26" s="8">
        <v>0.91666666666666663</v>
      </c>
      <c r="D26" s="10">
        <f t="shared" si="24"/>
        <v>10</v>
      </c>
      <c r="E26" s="10">
        <f t="shared" si="23"/>
        <v>22</v>
      </c>
      <c r="F26" s="10">
        <f t="shared" si="1"/>
        <v>12</v>
      </c>
      <c r="G26" s="10">
        <f t="shared" si="2"/>
        <v>0</v>
      </c>
      <c r="H26" s="24"/>
      <c r="J26" s="28">
        <v>45162</v>
      </c>
      <c r="K26" s="29">
        <v>0.375</v>
      </c>
      <c r="L26" s="29">
        <v>0.875</v>
      </c>
      <c r="M26" s="31">
        <f t="shared" si="19"/>
        <v>9</v>
      </c>
      <c r="N26" s="31">
        <f t="shared" si="20"/>
        <v>21</v>
      </c>
      <c r="O26" s="31">
        <f t="shared" si="5"/>
        <v>12</v>
      </c>
      <c r="P26" s="31">
        <f t="shared" si="6"/>
        <v>0</v>
      </c>
      <c r="Q26" s="32"/>
      <c r="S26" s="7">
        <v>45162</v>
      </c>
      <c r="T26" s="8">
        <v>0.41666666666666669</v>
      </c>
      <c r="U26" s="8">
        <v>0.91666666666666663</v>
      </c>
      <c r="V26" s="10">
        <f t="shared" si="21"/>
        <v>10</v>
      </c>
      <c r="W26" s="10">
        <f t="shared" si="22"/>
        <v>22</v>
      </c>
      <c r="X26" s="10">
        <f t="shared" si="9"/>
        <v>12</v>
      </c>
      <c r="Y26" s="10">
        <f t="shared" si="10"/>
        <v>0</v>
      </c>
      <c r="Z26" s="27"/>
      <c r="AB26" s="7">
        <v>45162</v>
      </c>
      <c r="AC26" s="8">
        <v>0.35416666666666669</v>
      </c>
      <c r="AD26" s="8">
        <v>0.85416666666666663</v>
      </c>
      <c r="AE26" s="10">
        <f t="shared" si="11"/>
        <v>8.5</v>
      </c>
      <c r="AF26" s="10">
        <f t="shared" si="12"/>
        <v>20.5</v>
      </c>
      <c r="AG26" s="10">
        <f t="shared" si="13"/>
        <v>12</v>
      </c>
      <c r="AH26" s="10">
        <f t="shared" si="14"/>
        <v>0</v>
      </c>
      <c r="AI26" s="27"/>
      <c r="AK26" s="7">
        <v>45162</v>
      </c>
      <c r="AL26" s="8"/>
      <c r="AM26" s="8"/>
      <c r="AN26" s="9">
        <f t="shared" si="15"/>
        <v>0</v>
      </c>
      <c r="AO26" s="10">
        <f t="shared" si="16"/>
        <v>0</v>
      </c>
      <c r="AP26" s="10">
        <f t="shared" si="17"/>
        <v>0</v>
      </c>
      <c r="AQ26" s="10">
        <f t="shared" si="18"/>
        <v>0</v>
      </c>
      <c r="AR26" s="27"/>
    </row>
    <row r="27" spans="1:44" x14ac:dyDescent="0.35">
      <c r="A27" s="7">
        <v>45163</v>
      </c>
      <c r="B27" s="8">
        <v>0.41666666666666669</v>
      </c>
      <c r="C27" s="8">
        <v>0.91666666666666663</v>
      </c>
      <c r="D27" s="10">
        <f t="shared" si="24"/>
        <v>10</v>
      </c>
      <c r="E27" s="10">
        <f t="shared" si="23"/>
        <v>22</v>
      </c>
      <c r="F27" s="10">
        <f t="shared" si="1"/>
        <v>12</v>
      </c>
      <c r="G27" s="10">
        <f t="shared" si="2"/>
        <v>0</v>
      </c>
      <c r="H27" s="24">
        <v>1116</v>
      </c>
      <c r="J27" s="7">
        <v>45163</v>
      </c>
      <c r="K27" s="8">
        <v>0.41666666666666669</v>
      </c>
      <c r="L27" s="8">
        <v>0.91666666666666663</v>
      </c>
      <c r="M27" s="10">
        <f t="shared" si="19"/>
        <v>10</v>
      </c>
      <c r="N27" s="10">
        <f t="shared" si="20"/>
        <v>22</v>
      </c>
      <c r="O27" s="10">
        <f t="shared" si="5"/>
        <v>12</v>
      </c>
      <c r="P27" s="10">
        <f t="shared" si="6"/>
        <v>0</v>
      </c>
      <c r="Q27" s="27">
        <v>100</v>
      </c>
      <c r="S27" s="7">
        <v>45163</v>
      </c>
      <c r="T27" s="8">
        <v>0.41666666666666669</v>
      </c>
      <c r="U27" s="8">
        <v>0.91666666666666663</v>
      </c>
      <c r="V27" s="10">
        <f t="shared" si="21"/>
        <v>10</v>
      </c>
      <c r="W27" s="10">
        <f t="shared" si="22"/>
        <v>22</v>
      </c>
      <c r="X27" s="10">
        <f t="shared" si="9"/>
        <v>12</v>
      </c>
      <c r="Y27" s="10">
        <f t="shared" si="10"/>
        <v>0</v>
      </c>
      <c r="Z27" s="27"/>
      <c r="AB27" s="28">
        <v>45163</v>
      </c>
      <c r="AC27" s="29">
        <v>0.375</v>
      </c>
      <c r="AD27" s="29">
        <v>0.875</v>
      </c>
      <c r="AE27" s="31">
        <f t="shared" si="11"/>
        <v>9</v>
      </c>
      <c r="AF27" s="31">
        <f t="shared" si="12"/>
        <v>21</v>
      </c>
      <c r="AG27" s="31">
        <f t="shared" si="13"/>
        <v>12</v>
      </c>
      <c r="AH27" s="31">
        <f t="shared" si="14"/>
        <v>0</v>
      </c>
      <c r="AI27" s="32"/>
      <c r="AK27" s="7">
        <v>45163</v>
      </c>
      <c r="AL27" s="8"/>
      <c r="AM27" s="8"/>
      <c r="AN27" s="9">
        <f t="shared" si="15"/>
        <v>0</v>
      </c>
      <c r="AO27" s="10">
        <f t="shared" si="16"/>
        <v>0</v>
      </c>
      <c r="AP27" s="10">
        <f t="shared" si="17"/>
        <v>0</v>
      </c>
      <c r="AQ27" s="10">
        <f t="shared" si="18"/>
        <v>0</v>
      </c>
      <c r="AR27" s="27"/>
    </row>
    <row r="28" spans="1:44" x14ac:dyDescent="0.35">
      <c r="A28" s="7">
        <v>45164</v>
      </c>
      <c r="B28" s="8">
        <v>0.41666666666666669</v>
      </c>
      <c r="C28" s="8">
        <v>0.91666666666666663</v>
      </c>
      <c r="D28" s="10">
        <f t="shared" si="24"/>
        <v>10</v>
      </c>
      <c r="E28" s="10">
        <f t="shared" si="23"/>
        <v>22</v>
      </c>
      <c r="F28" s="10">
        <f t="shared" si="1"/>
        <v>12</v>
      </c>
      <c r="G28" s="10">
        <f t="shared" si="2"/>
        <v>0</v>
      </c>
      <c r="H28" s="24">
        <v>1000</v>
      </c>
      <c r="J28" s="7">
        <v>45164</v>
      </c>
      <c r="K28" s="8">
        <v>0.35416666666666669</v>
      </c>
      <c r="L28" s="8">
        <v>0.85416666666666663</v>
      </c>
      <c r="M28" s="10">
        <f t="shared" si="19"/>
        <v>8.5</v>
      </c>
      <c r="N28" s="10">
        <f t="shared" si="20"/>
        <v>20.5</v>
      </c>
      <c r="O28" s="10">
        <f t="shared" si="5"/>
        <v>12</v>
      </c>
      <c r="P28" s="10">
        <f t="shared" si="6"/>
        <v>0</v>
      </c>
      <c r="Q28" s="27"/>
      <c r="S28" s="7">
        <v>45164</v>
      </c>
      <c r="T28" s="8">
        <v>0.41666666666666669</v>
      </c>
      <c r="U28" s="8">
        <v>0.91666666666666663</v>
      </c>
      <c r="V28" s="10">
        <f t="shared" si="21"/>
        <v>10</v>
      </c>
      <c r="W28" s="10">
        <f t="shared" si="22"/>
        <v>22</v>
      </c>
      <c r="X28" s="10">
        <f t="shared" si="9"/>
        <v>12</v>
      </c>
      <c r="Y28" s="10">
        <f t="shared" si="10"/>
        <v>0</v>
      </c>
      <c r="Z28" s="27"/>
      <c r="AB28" s="7">
        <v>45164</v>
      </c>
      <c r="AC28" s="8">
        <v>0.35416666666666669</v>
      </c>
      <c r="AD28" s="8">
        <v>0.85416666666666663</v>
      </c>
      <c r="AE28" s="10">
        <f t="shared" si="11"/>
        <v>8.5</v>
      </c>
      <c r="AF28" s="10">
        <f t="shared" si="12"/>
        <v>20.5</v>
      </c>
      <c r="AG28" s="10">
        <f t="shared" si="13"/>
        <v>12</v>
      </c>
      <c r="AH28" s="10">
        <f t="shared" si="14"/>
        <v>0</v>
      </c>
      <c r="AI28" s="27"/>
      <c r="AK28" s="7">
        <v>45164</v>
      </c>
      <c r="AL28" s="8"/>
      <c r="AM28" s="8"/>
      <c r="AN28" s="9">
        <f t="shared" si="15"/>
        <v>0</v>
      </c>
      <c r="AO28" s="10">
        <f t="shared" si="16"/>
        <v>0</v>
      </c>
      <c r="AP28" s="10">
        <f t="shared" si="17"/>
        <v>0</v>
      </c>
      <c r="AQ28" s="10">
        <f t="shared" si="18"/>
        <v>0</v>
      </c>
      <c r="AR28" s="27"/>
    </row>
    <row r="29" spans="1:44" x14ac:dyDescent="0.35">
      <c r="A29" s="7">
        <v>45165</v>
      </c>
      <c r="B29" s="8">
        <v>0.41666666666666669</v>
      </c>
      <c r="C29" s="8">
        <v>0.91666666666666663</v>
      </c>
      <c r="D29" s="10">
        <f t="shared" si="24"/>
        <v>10</v>
      </c>
      <c r="E29" s="10">
        <f t="shared" si="23"/>
        <v>22</v>
      </c>
      <c r="F29" s="10">
        <f t="shared" si="1"/>
        <v>12</v>
      </c>
      <c r="G29" s="10">
        <f t="shared" si="2"/>
        <v>0</v>
      </c>
      <c r="H29" s="24"/>
      <c r="J29" s="7">
        <v>45165</v>
      </c>
      <c r="K29" s="8">
        <v>0.4375</v>
      </c>
      <c r="L29" s="8">
        <v>0.91666666666666663</v>
      </c>
      <c r="M29" s="10">
        <f t="shared" si="19"/>
        <v>10.5</v>
      </c>
      <c r="N29" s="10">
        <f t="shared" si="20"/>
        <v>22</v>
      </c>
      <c r="O29" s="10">
        <f t="shared" si="5"/>
        <v>11.5</v>
      </c>
      <c r="P29" s="10">
        <f t="shared" si="6"/>
        <v>0.5</v>
      </c>
      <c r="Q29" s="27"/>
      <c r="S29" s="7">
        <v>45165</v>
      </c>
      <c r="T29" s="8">
        <v>0.41666666666666669</v>
      </c>
      <c r="U29" s="8">
        <v>0.91666666666666663</v>
      </c>
      <c r="V29" s="10">
        <f t="shared" si="21"/>
        <v>10</v>
      </c>
      <c r="W29" s="10">
        <f t="shared" si="22"/>
        <v>22</v>
      </c>
      <c r="X29" s="10">
        <f t="shared" si="9"/>
        <v>12</v>
      </c>
      <c r="Y29" s="10">
        <f t="shared" si="10"/>
        <v>0</v>
      </c>
      <c r="Z29" s="27">
        <v>626</v>
      </c>
      <c r="AB29" s="7">
        <v>45165</v>
      </c>
      <c r="AC29" s="8">
        <v>0.35416666666666669</v>
      </c>
      <c r="AD29" s="8">
        <v>0.85416666666666663</v>
      </c>
      <c r="AE29" s="10">
        <f t="shared" si="11"/>
        <v>8.5</v>
      </c>
      <c r="AF29" s="10">
        <f t="shared" si="12"/>
        <v>20.5</v>
      </c>
      <c r="AG29" s="10">
        <f t="shared" si="13"/>
        <v>12</v>
      </c>
      <c r="AH29" s="10">
        <f t="shared" si="14"/>
        <v>0</v>
      </c>
      <c r="AI29" s="27"/>
      <c r="AK29" s="7">
        <v>45165</v>
      </c>
      <c r="AL29" s="8"/>
      <c r="AM29" s="8"/>
      <c r="AN29" s="9">
        <f t="shared" si="15"/>
        <v>0</v>
      </c>
      <c r="AO29" s="10">
        <f t="shared" si="16"/>
        <v>0</v>
      </c>
      <c r="AP29" s="10">
        <f t="shared" si="17"/>
        <v>0</v>
      </c>
      <c r="AQ29" s="10">
        <f t="shared" si="18"/>
        <v>0</v>
      </c>
      <c r="AR29" s="27"/>
    </row>
    <row r="30" spans="1:44" x14ac:dyDescent="0.35">
      <c r="A30" s="7">
        <v>45166</v>
      </c>
      <c r="B30" s="8">
        <v>0.55208333333333337</v>
      </c>
      <c r="C30" s="8">
        <v>0.875</v>
      </c>
      <c r="D30" s="10">
        <f t="shared" ref="D30" si="28">B30*24</f>
        <v>13.25</v>
      </c>
      <c r="E30" s="10">
        <f t="shared" si="23"/>
        <v>21</v>
      </c>
      <c r="F30" s="10">
        <f t="shared" si="1"/>
        <v>7.75</v>
      </c>
      <c r="G30" s="10">
        <f t="shared" si="2"/>
        <v>4.25</v>
      </c>
      <c r="H30" s="32"/>
      <c r="J30" s="7">
        <v>45166</v>
      </c>
      <c r="K30" s="8">
        <v>0.45833333333333331</v>
      </c>
      <c r="L30" s="8">
        <v>0.91666666666666663</v>
      </c>
      <c r="M30" s="10">
        <f t="shared" si="19"/>
        <v>11</v>
      </c>
      <c r="N30" s="10">
        <f t="shared" si="20"/>
        <v>22</v>
      </c>
      <c r="O30" s="10">
        <f t="shared" si="5"/>
        <v>11</v>
      </c>
      <c r="P30" s="10">
        <f t="shared" si="6"/>
        <v>1</v>
      </c>
      <c r="Q30" s="27">
        <v>500</v>
      </c>
      <c r="S30" s="7">
        <v>45166</v>
      </c>
      <c r="T30" s="8">
        <v>0.41666666666666669</v>
      </c>
      <c r="U30" s="8">
        <v>0.91666666666666663</v>
      </c>
      <c r="V30" s="10">
        <f t="shared" si="21"/>
        <v>10</v>
      </c>
      <c r="W30" s="10">
        <f t="shared" si="22"/>
        <v>22</v>
      </c>
      <c r="X30" s="10">
        <f t="shared" si="9"/>
        <v>12</v>
      </c>
      <c r="Y30" s="10">
        <f t="shared" si="10"/>
        <v>0</v>
      </c>
      <c r="Z30" s="27"/>
      <c r="AB30" s="7">
        <v>45166</v>
      </c>
      <c r="AC30" s="8">
        <v>0.35416666666666669</v>
      </c>
      <c r="AD30" s="8">
        <v>0.85416666666666663</v>
      </c>
      <c r="AE30" s="10">
        <f t="shared" si="11"/>
        <v>8.5</v>
      </c>
      <c r="AF30" s="10">
        <f t="shared" si="12"/>
        <v>20.5</v>
      </c>
      <c r="AG30" s="10">
        <f t="shared" si="13"/>
        <v>12</v>
      </c>
      <c r="AH30" s="10">
        <f t="shared" si="14"/>
        <v>0</v>
      </c>
      <c r="AI30" s="27"/>
      <c r="AK30" s="28">
        <v>45166</v>
      </c>
      <c r="AL30" s="29"/>
      <c r="AM30" s="29"/>
      <c r="AN30" s="30">
        <f t="shared" si="15"/>
        <v>0</v>
      </c>
      <c r="AO30" s="31">
        <f t="shared" si="16"/>
        <v>0</v>
      </c>
      <c r="AP30" s="31">
        <f t="shared" si="17"/>
        <v>0</v>
      </c>
      <c r="AQ30" s="31">
        <f t="shared" si="18"/>
        <v>0</v>
      </c>
      <c r="AR30" s="32"/>
    </row>
    <row r="31" spans="1:44" x14ac:dyDescent="0.35">
      <c r="A31" s="7">
        <v>45167</v>
      </c>
      <c r="B31" s="8">
        <v>0.41666666666666669</v>
      </c>
      <c r="C31" s="8">
        <v>0.89583333333333337</v>
      </c>
      <c r="D31" s="10">
        <f t="shared" si="24"/>
        <v>10</v>
      </c>
      <c r="E31" s="10">
        <f t="shared" si="23"/>
        <v>21.5</v>
      </c>
      <c r="F31" s="10">
        <f t="shared" si="1"/>
        <v>11.5</v>
      </c>
      <c r="G31" s="10">
        <f t="shared" si="2"/>
        <v>0.5</v>
      </c>
      <c r="H31" s="24"/>
      <c r="J31" s="7">
        <v>45167</v>
      </c>
      <c r="K31" s="8">
        <v>0.35416666666666669</v>
      </c>
      <c r="L31" s="8">
        <v>0.85416666666666663</v>
      </c>
      <c r="M31" s="10">
        <f t="shared" si="19"/>
        <v>8.5</v>
      </c>
      <c r="N31" s="10">
        <f t="shared" si="20"/>
        <v>20.5</v>
      </c>
      <c r="O31" s="10">
        <f t="shared" si="5"/>
        <v>12</v>
      </c>
      <c r="P31" s="10">
        <f t="shared" si="6"/>
        <v>0</v>
      </c>
      <c r="Q31" s="27"/>
      <c r="S31" s="28">
        <v>45167</v>
      </c>
      <c r="T31" s="29">
        <v>0.375</v>
      </c>
      <c r="U31" s="29">
        <v>0.875</v>
      </c>
      <c r="V31" s="31">
        <f t="shared" si="21"/>
        <v>9</v>
      </c>
      <c r="W31" s="31">
        <f t="shared" si="22"/>
        <v>21</v>
      </c>
      <c r="X31" s="31">
        <f t="shared" si="9"/>
        <v>12</v>
      </c>
      <c r="Y31" s="31">
        <f t="shared" si="10"/>
        <v>0</v>
      </c>
      <c r="Z31" s="32"/>
      <c r="AB31" s="7">
        <v>45167</v>
      </c>
      <c r="AC31" s="8">
        <v>0.35416666666666669</v>
      </c>
      <c r="AD31" s="8">
        <v>0.85416666666666663</v>
      </c>
      <c r="AE31" s="10">
        <f t="shared" si="11"/>
        <v>8.5</v>
      </c>
      <c r="AF31" s="10">
        <f t="shared" si="12"/>
        <v>20.5</v>
      </c>
      <c r="AG31" s="10">
        <f t="shared" si="13"/>
        <v>12</v>
      </c>
      <c r="AH31" s="10">
        <f t="shared" si="14"/>
        <v>0</v>
      </c>
      <c r="AI31" s="27"/>
      <c r="AK31" s="7">
        <v>45167</v>
      </c>
      <c r="AL31" s="8"/>
      <c r="AM31" s="8"/>
      <c r="AN31" s="9">
        <f t="shared" si="15"/>
        <v>0</v>
      </c>
      <c r="AO31" s="10">
        <f t="shared" si="16"/>
        <v>0</v>
      </c>
      <c r="AP31" s="10">
        <f t="shared" si="17"/>
        <v>0</v>
      </c>
      <c r="AQ31" s="10">
        <f t="shared" si="18"/>
        <v>0</v>
      </c>
      <c r="AR31" s="27"/>
    </row>
    <row r="32" spans="1:44" x14ac:dyDescent="0.35">
      <c r="A32" s="7">
        <v>45168</v>
      </c>
      <c r="B32" s="8">
        <v>0.42777777777777781</v>
      </c>
      <c r="C32" s="8">
        <v>0.91666666666666663</v>
      </c>
      <c r="D32" s="10">
        <f t="shared" si="24"/>
        <v>10.266666666666667</v>
      </c>
      <c r="E32" s="10">
        <f t="shared" si="23"/>
        <v>22</v>
      </c>
      <c r="F32" s="10">
        <f t="shared" si="1"/>
        <v>11.733333333333333</v>
      </c>
      <c r="G32" s="10">
        <f t="shared" si="2"/>
        <v>0.2666666666666675</v>
      </c>
      <c r="H32" s="24">
        <v>1500</v>
      </c>
      <c r="J32" s="7">
        <v>45168</v>
      </c>
      <c r="K32" s="8">
        <v>0.35416666666666669</v>
      </c>
      <c r="L32" s="8">
        <v>0.85416666666666663</v>
      </c>
      <c r="M32" s="10">
        <f t="shared" si="19"/>
        <v>8.5</v>
      </c>
      <c r="N32" s="10">
        <f t="shared" si="20"/>
        <v>20.5</v>
      </c>
      <c r="O32" s="10">
        <f t="shared" si="5"/>
        <v>12</v>
      </c>
      <c r="P32" s="10">
        <f t="shared" si="6"/>
        <v>0</v>
      </c>
      <c r="Q32" s="27">
        <v>1600</v>
      </c>
      <c r="S32" s="7">
        <v>45168</v>
      </c>
      <c r="T32" s="8">
        <v>0.41666666666666669</v>
      </c>
      <c r="U32" s="8">
        <v>0.91666666666666663</v>
      </c>
      <c r="V32" s="10">
        <f t="shared" si="21"/>
        <v>10</v>
      </c>
      <c r="W32" s="10">
        <f t="shared" si="22"/>
        <v>22</v>
      </c>
      <c r="X32" s="10">
        <f t="shared" si="9"/>
        <v>12</v>
      </c>
      <c r="Y32" s="10">
        <f t="shared" si="10"/>
        <v>0</v>
      </c>
      <c r="Z32" s="27"/>
      <c r="AB32" s="7">
        <v>45168</v>
      </c>
      <c r="AC32" s="8">
        <v>0.35416666666666669</v>
      </c>
      <c r="AD32" s="8">
        <v>0.85416666666666663</v>
      </c>
      <c r="AE32" s="10">
        <f t="shared" si="11"/>
        <v>8.5</v>
      </c>
      <c r="AF32" s="10">
        <f t="shared" si="12"/>
        <v>20.5</v>
      </c>
      <c r="AG32" s="10">
        <f t="shared" si="13"/>
        <v>12</v>
      </c>
      <c r="AH32" s="10">
        <f t="shared" si="14"/>
        <v>0</v>
      </c>
      <c r="AI32" s="27">
        <v>487</v>
      </c>
      <c r="AK32" s="7">
        <v>45168</v>
      </c>
      <c r="AL32" s="8"/>
      <c r="AM32" s="8"/>
      <c r="AN32" s="9">
        <f t="shared" si="15"/>
        <v>0</v>
      </c>
      <c r="AO32" s="10">
        <f t="shared" si="16"/>
        <v>0</v>
      </c>
      <c r="AP32" s="10">
        <f t="shared" si="17"/>
        <v>0</v>
      </c>
      <c r="AQ32" s="10">
        <f t="shared" si="18"/>
        <v>0</v>
      </c>
      <c r="AR32" s="27"/>
    </row>
    <row r="33" spans="1:44" x14ac:dyDescent="0.35">
      <c r="A33" s="7">
        <v>45169</v>
      </c>
      <c r="B33" s="29">
        <v>0.375</v>
      </c>
      <c r="C33" s="29">
        <v>0.875</v>
      </c>
      <c r="D33" s="31">
        <f t="shared" ref="D33" si="29">B33*24</f>
        <v>9</v>
      </c>
      <c r="E33" s="31">
        <f t="shared" ref="E33" si="30">C33*24</f>
        <v>21</v>
      </c>
      <c r="F33" s="31">
        <f t="shared" ref="F33" si="31">E33-D33</f>
        <v>12</v>
      </c>
      <c r="G33" s="31">
        <f t="shared" ref="G33" si="32">IF(B33="",0,12-F33)</f>
        <v>0</v>
      </c>
      <c r="H33" s="32">
        <v>4350</v>
      </c>
      <c r="J33" s="28">
        <v>45169</v>
      </c>
      <c r="K33" s="29">
        <v>0.375</v>
      </c>
      <c r="L33" s="29">
        <v>0.875</v>
      </c>
      <c r="M33" s="31">
        <f t="shared" si="19"/>
        <v>9</v>
      </c>
      <c r="N33" s="31">
        <f t="shared" si="20"/>
        <v>21</v>
      </c>
      <c r="O33" s="31">
        <f t="shared" si="5"/>
        <v>12</v>
      </c>
      <c r="P33" s="31">
        <f t="shared" si="6"/>
        <v>0</v>
      </c>
      <c r="Q33" s="32">
        <v>3150</v>
      </c>
      <c r="S33" s="7">
        <v>45169</v>
      </c>
      <c r="T33" s="8">
        <v>0.41666666666666669</v>
      </c>
      <c r="U33" s="8">
        <v>0.91666666666666663</v>
      </c>
      <c r="V33" s="10">
        <f t="shared" si="21"/>
        <v>10</v>
      </c>
      <c r="W33" s="10">
        <f t="shared" si="22"/>
        <v>22</v>
      </c>
      <c r="X33" s="10">
        <f t="shared" si="9"/>
        <v>12</v>
      </c>
      <c r="Y33" s="10">
        <f t="shared" si="10"/>
        <v>0</v>
      </c>
      <c r="Z33" s="27">
        <v>7000</v>
      </c>
      <c r="AB33" s="7">
        <v>45169</v>
      </c>
      <c r="AC33" s="8">
        <v>0.35416666666666669</v>
      </c>
      <c r="AD33" s="8">
        <v>0.85416666666666663</v>
      </c>
      <c r="AE33" s="10">
        <f t="shared" si="11"/>
        <v>8.5</v>
      </c>
      <c r="AF33" s="10">
        <f t="shared" si="12"/>
        <v>20.5</v>
      </c>
      <c r="AG33" s="10">
        <f t="shared" si="13"/>
        <v>12</v>
      </c>
      <c r="AH33" s="10">
        <f t="shared" si="14"/>
        <v>0</v>
      </c>
      <c r="AI33" s="27"/>
      <c r="AK33" s="7">
        <v>45169</v>
      </c>
      <c r="AL33" s="8"/>
      <c r="AM33" s="8"/>
      <c r="AN33" s="9">
        <f t="shared" si="15"/>
        <v>0</v>
      </c>
      <c r="AO33" s="10">
        <f t="shared" si="16"/>
        <v>0</v>
      </c>
      <c r="AP33" s="10">
        <f t="shared" si="17"/>
        <v>0</v>
      </c>
      <c r="AQ33" s="10">
        <f t="shared" si="18"/>
        <v>0</v>
      </c>
      <c r="AR33" s="27"/>
    </row>
    <row r="34" spans="1:44" x14ac:dyDescent="0.35">
      <c r="A34" s="43" t="s">
        <v>7</v>
      </c>
      <c r="B34" s="43"/>
      <c r="C34" s="43"/>
      <c r="D34" s="6"/>
      <c r="E34" s="6"/>
      <c r="F34" s="6">
        <f>SUM(F3:F33)</f>
        <v>311.95000000000005</v>
      </c>
      <c r="G34" s="6">
        <f>SUM(G3:G33)</f>
        <v>60.050000000000004</v>
      </c>
      <c r="H34" s="24">
        <f>SUM(H3:H33)</f>
        <v>8066</v>
      </c>
      <c r="J34" s="43" t="s">
        <v>7</v>
      </c>
      <c r="K34" s="43"/>
      <c r="L34" s="43"/>
      <c r="M34" s="6"/>
      <c r="N34" s="5"/>
      <c r="O34" s="6">
        <f>SUM(O3:O33)</f>
        <v>352</v>
      </c>
      <c r="P34" s="6">
        <f>SUM(P3:P33)</f>
        <v>20</v>
      </c>
      <c r="Q34" s="24">
        <f>SUM(Q3:Q33)</f>
        <v>9350</v>
      </c>
      <c r="S34" s="43" t="s">
        <v>7</v>
      </c>
      <c r="T34" s="43"/>
      <c r="U34" s="43"/>
      <c r="V34" s="6"/>
      <c r="W34" s="5"/>
      <c r="X34" s="6">
        <f>SUM(X3:X33)</f>
        <v>368.16666666666663</v>
      </c>
      <c r="Y34" s="6">
        <f>SUM(Y3:Y33)</f>
        <v>3.8333333333333339</v>
      </c>
      <c r="Z34" s="24">
        <f>SUM(Z3:Z33)</f>
        <v>13626</v>
      </c>
      <c r="AB34" s="43" t="s">
        <v>7</v>
      </c>
      <c r="AC34" s="43"/>
      <c r="AD34" s="43"/>
      <c r="AE34" s="4"/>
      <c r="AF34" s="5"/>
      <c r="AG34" s="6">
        <f>SUM(AG3:AG33)</f>
        <v>367</v>
      </c>
      <c r="AH34" s="6">
        <f>SUM(AH3:AH33)</f>
        <v>5</v>
      </c>
      <c r="AI34" s="27">
        <f>SUM(AI3:AI33)</f>
        <v>487</v>
      </c>
      <c r="AK34" s="43" t="s">
        <v>7</v>
      </c>
      <c r="AL34" s="43"/>
      <c r="AM34" s="43"/>
      <c r="AN34" s="4"/>
      <c r="AO34" s="5"/>
      <c r="AP34" s="6">
        <f>SUM(AP3:AP33)</f>
        <v>240</v>
      </c>
      <c r="AQ34" s="6">
        <f>SUM(AQ3:AQ33)</f>
        <v>0</v>
      </c>
      <c r="AR34" s="27">
        <f>SUM(AR3:AR33)</f>
        <v>0</v>
      </c>
    </row>
    <row r="35" spans="1:44" x14ac:dyDescent="0.35">
      <c r="A35" s="43" t="s">
        <v>6</v>
      </c>
      <c r="B35" s="43"/>
      <c r="C35" s="43"/>
      <c r="D35" s="6"/>
      <c r="E35" s="6"/>
      <c r="F35" s="24">
        <f>SUM(H3:H33)</f>
        <v>8066</v>
      </c>
      <c r="G35" s="10">
        <f>12000/(31*12)</f>
        <v>32.258064516129032</v>
      </c>
      <c r="H35" s="24"/>
      <c r="J35" s="43" t="s">
        <v>6</v>
      </c>
      <c r="K35" s="43"/>
      <c r="L35" s="43"/>
      <c r="M35" s="6"/>
      <c r="N35" s="5"/>
      <c r="O35" s="24">
        <f>Q34</f>
        <v>9350</v>
      </c>
      <c r="P35" s="10">
        <f>12000/(31*12)</f>
        <v>32.258064516129032</v>
      </c>
      <c r="Q35" s="24"/>
      <c r="S35" s="43" t="s">
        <v>6</v>
      </c>
      <c r="T35" s="43"/>
      <c r="U35" s="43"/>
      <c r="V35" s="6"/>
      <c r="W35" s="5"/>
      <c r="X35" s="24">
        <f>Z34</f>
        <v>13626</v>
      </c>
      <c r="Y35" s="10">
        <f>11000/(31*12)</f>
        <v>29.56989247311828</v>
      </c>
      <c r="Z35" s="24"/>
      <c r="AB35" s="43" t="s">
        <v>6</v>
      </c>
      <c r="AC35" s="43"/>
      <c r="AD35" s="43"/>
      <c r="AE35" s="4"/>
      <c r="AF35" s="5"/>
      <c r="AG35" s="27">
        <f>AI34</f>
        <v>487</v>
      </c>
      <c r="AH35" s="10">
        <f>11000/(31*12)</f>
        <v>29.56989247311828</v>
      </c>
      <c r="AI35" s="27"/>
      <c r="AK35" s="43" t="s">
        <v>6</v>
      </c>
      <c r="AL35" s="43"/>
      <c r="AM35" s="43"/>
      <c r="AN35" s="4"/>
      <c r="AO35" s="5"/>
      <c r="AP35" s="27">
        <f>AR34</f>
        <v>0</v>
      </c>
      <c r="AQ35" s="10">
        <f>10000/(31*12)</f>
        <v>26.881720430107528</v>
      </c>
      <c r="AR35" s="27"/>
    </row>
    <row r="36" spans="1:44" x14ac:dyDescent="0.35">
      <c r="A36" s="43" t="s">
        <v>8</v>
      </c>
      <c r="B36" s="43"/>
      <c r="C36" s="43"/>
      <c r="D36" s="6"/>
      <c r="E36" s="6"/>
      <c r="F36" s="24">
        <f>F34*G35</f>
        <v>10062.903225806453</v>
      </c>
      <c r="G36" s="5">
        <f>G34*G35</f>
        <v>1937.0967741935485</v>
      </c>
      <c r="H36" s="24"/>
      <c r="J36" s="43" t="s">
        <v>8</v>
      </c>
      <c r="K36" s="43"/>
      <c r="L36" s="43"/>
      <c r="M36" s="6"/>
      <c r="N36" s="5"/>
      <c r="O36" s="24">
        <f>O34*P35</f>
        <v>11354.838709677419</v>
      </c>
      <c r="P36" s="5"/>
      <c r="Q36" s="24"/>
      <c r="S36" s="43" t="s">
        <v>8</v>
      </c>
      <c r="T36" s="43"/>
      <c r="U36" s="43"/>
      <c r="V36" s="6"/>
      <c r="W36" s="5"/>
      <c r="X36" s="24">
        <f>X34*Y35</f>
        <v>10886.648745519713</v>
      </c>
      <c r="Y36" s="5"/>
      <c r="Z36" s="24"/>
      <c r="AB36" s="43" t="s">
        <v>8</v>
      </c>
      <c r="AC36" s="43"/>
      <c r="AD36" s="43"/>
      <c r="AE36" s="4"/>
      <c r="AF36" s="5"/>
      <c r="AG36" s="27">
        <f>AG34*AH35</f>
        <v>10852.150537634408</v>
      </c>
      <c r="AH36" s="5"/>
      <c r="AI36" s="27"/>
      <c r="AK36" s="43" t="s">
        <v>8</v>
      </c>
      <c r="AL36" s="43"/>
      <c r="AM36" s="43"/>
      <c r="AN36" s="4"/>
      <c r="AO36" s="5"/>
      <c r="AP36" s="27">
        <f>AP34*AQ35</f>
        <v>6451.6129032258068</v>
      </c>
      <c r="AQ36" s="5"/>
      <c r="AR36" s="27"/>
    </row>
    <row r="37" spans="1:44" x14ac:dyDescent="0.35">
      <c r="A37" s="43" t="s">
        <v>9</v>
      </c>
      <c r="B37" s="43"/>
      <c r="C37" s="43"/>
      <c r="D37" s="6"/>
      <c r="E37" s="6"/>
      <c r="F37" s="24">
        <f>F36-F35</f>
        <v>1996.9032258064526</v>
      </c>
      <c r="G37" s="5"/>
      <c r="H37" s="24"/>
      <c r="J37" s="43" t="s">
        <v>9</v>
      </c>
      <c r="K37" s="43"/>
      <c r="L37" s="43"/>
      <c r="M37" s="6"/>
      <c r="N37" s="5"/>
      <c r="O37" s="24">
        <f>O36-O35</f>
        <v>2004.8387096774186</v>
      </c>
      <c r="P37" s="5"/>
      <c r="Q37" s="24"/>
      <c r="S37" s="43" t="s">
        <v>9</v>
      </c>
      <c r="T37" s="43"/>
      <c r="U37" s="43"/>
      <c r="V37" s="6"/>
      <c r="W37" s="5"/>
      <c r="X37" s="24">
        <f>X36-X35</f>
        <v>-2739.351254480287</v>
      </c>
      <c r="Y37" s="5"/>
      <c r="Z37" s="24"/>
      <c r="AB37" s="43" t="s">
        <v>9</v>
      </c>
      <c r="AC37" s="43"/>
      <c r="AD37" s="43"/>
      <c r="AE37" s="4"/>
      <c r="AF37" s="5"/>
      <c r="AG37" s="27">
        <f>ROUND(AG36-AG35-(AH34*AH35),0)</f>
        <v>10217</v>
      </c>
      <c r="AH37" s="5"/>
      <c r="AI37" s="27"/>
      <c r="AK37" s="43" t="s">
        <v>9</v>
      </c>
      <c r="AL37" s="43"/>
      <c r="AM37" s="43"/>
      <c r="AN37" s="4"/>
      <c r="AO37" s="5"/>
      <c r="AP37" s="27">
        <f>ROUND(AP36-AP35-(AQ34*AQ35),0)</f>
        <v>6452</v>
      </c>
      <c r="AQ37" s="5"/>
      <c r="AR37" s="27"/>
    </row>
    <row r="38" spans="1:44" x14ac:dyDescent="0.35">
      <c r="S38" s="44" t="s">
        <v>16</v>
      </c>
      <c r="T38" s="44"/>
      <c r="U38" s="44"/>
      <c r="X38" s="24">
        <v>2739</v>
      </c>
    </row>
    <row r="40" spans="1:44" x14ac:dyDescent="0.35">
      <c r="S40" t="s">
        <v>17</v>
      </c>
      <c r="X40" s="35">
        <f>X38+X37</f>
        <v>-0.35125448028702522</v>
      </c>
    </row>
  </sheetData>
  <mergeCells count="26">
    <mergeCell ref="J1:Q1"/>
    <mergeCell ref="J34:L34"/>
    <mergeCell ref="J35:L35"/>
    <mergeCell ref="J36:L36"/>
    <mergeCell ref="J37:L37"/>
    <mergeCell ref="A1:H1"/>
    <mergeCell ref="A34:C34"/>
    <mergeCell ref="A35:C35"/>
    <mergeCell ref="A36:C36"/>
    <mergeCell ref="A37:C37"/>
    <mergeCell ref="S38:U38"/>
    <mergeCell ref="AK1:AR1"/>
    <mergeCell ref="AK34:AM34"/>
    <mergeCell ref="AK35:AM35"/>
    <mergeCell ref="AK36:AM36"/>
    <mergeCell ref="AK37:AM37"/>
    <mergeCell ref="S1:Z1"/>
    <mergeCell ref="S34:U34"/>
    <mergeCell ref="S35:U35"/>
    <mergeCell ref="S36:U36"/>
    <mergeCell ref="S37:U37"/>
    <mergeCell ref="AB1:AI1"/>
    <mergeCell ref="AB34:AD34"/>
    <mergeCell ref="AB35:AD35"/>
    <mergeCell ref="AB36:AD36"/>
    <mergeCell ref="AB37:AD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575B-BAA5-4E76-9852-FB7D5169C196}">
  <dimension ref="A1:BA39"/>
  <sheetViews>
    <sheetView tabSelected="1" topLeftCell="AJ1" workbookViewId="0">
      <pane ySplit="1" topLeftCell="A16" activePane="bottomLeft" state="frozen"/>
      <selection activeCell="J1" sqref="J1"/>
      <selection pane="bottomLeft" activeCell="BA35" sqref="BA35"/>
    </sheetView>
  </sheetViews>
  <sheetFormatPr defaultRowHeight="14.5" x14ac:dyDescent="0.35"/>
  <cols>
    <col min="1" max="1" width="28.36328125" bestFit="1" customWidth="1"/>
    <col min="3" max="3" width="8.7265625" bestFit="1" customWidth="1"/>
    <col min="4" max="5" width="5.36328125" style="33" hidden="1" customWidth="1"/>
    <col min="6" max="6" width="9.36328125" bestFit="1" customWidth="1"/>
    <col min="7" max="7" width="9.453125" bestFit="1" customWidth="1"/>
    <col min="10" max="10" width="28.36328125" bestFit="1" customWidth="1"/>
    <col min="13" max="13" width="6.08984375" style="33" hidden="1" customWidth="1"/>
    <col min="14" max="14" width="5.36328125" hidden="1" customWidth="1"/>
    <col min="19" max="19" width="28.36328125" bestFit="1" customWidth="1"/>
    <col min="22" max="22" width="0" style="33" hidden="1" customWidth="1"/>
    <col min="23" max="23" width="0" hidden="1" customWidth="1"/>
    <col min="28" max="28" width="28.36328125" bestFit="1" customWidth="1"/>
    <col min="31" max="32" width="0" hidden="1" customWidth="1"/>
    <col min="33" max="33" width="9.36328125" bestFit="1" customWidth="1"/>
    <col min="34" max="34" width="9.453125" bestFit="1" customWidth="1"/>
    <col min="37" max="37" width="28.36328125" bestFit="1" customWidth="1"/>
    <col min="40" max="41" width="0" hidden="1" customWidth="1"/>
    <col min="46" max="46" width="28.36328125" bestFit="1" customWidth="1"/>
    <col min="49" max="50" width="0" hidden="1" customWidth="1"/>
  </cols>
  <sheetData>
    <row r="1" spans="1:53" x14ac:dyDescent="0.35">
      <c r="A1" s="45" t="s">
        <v>5</v>
      </c>
      <c r="B1" s="46"/>
      <c r="C1" s="46"/>
      <c r="D1" s="46"/>
      <c r="E1" s="46"/>
      <c r="F1" s="46"/>
      <c r="G1" s="46"/>
      <c r="H1" s="47"/>
      <c r="J1" s="45" t="s">
        <v>12</v>
      </c>
      <c r="K1" s="46"/>
      <c r="L1" s="46"/>
      <c r="M1" s="46"/>
      <c r="N1" s="46"/>
      <c r="O1" s="46"/>
      <c r="P1" s="46"/>
      <c r="Q1" s="47"/>
      <c r="S1" s="45" t="s">
        <v>13</v>
      </c>
      <c r="T1" s="46"/>
      <c r="U1" s="46"/>
      <c r="V1" s="46"/>
      <c r="W1" s="46"/>
      <c r="X1" s="46"/>
      <c r="Y1" s="46"/>
      <c r="Z1" s="47"/>
      <c r="AB1" s="45" t="s">
        <v>14</v>
      </c>
      <c r="AC1" s="46"/>
      <c r="AD1" s="46"/>
      <c r="AE1" s="46"/>
      <c r="AF1" s="46"/>
      <c r="AG1" s="46"/>
      <c r="AH1" s="46"/>
      <c r="AI1" s="47"/>
      <c r="AK1" s="45" t="s">
        <v>18</v>
      </c>
      <c r="AL1" s="46"/>
      <c r="AM1" s="46"/>
      <c r="AN1" s="46"/>
      <c r="AO1" s="46"/>
      <c r="AP1" s="46"/>
      <c r="AQ1" s="46"/>
      <c r="AR1" s="47"/>
      <c r="AT1" s="45" t="s">
        <v>19</v>
      </c>
      <c r="AU1" s="46"/>
      <c r="AV1" s="46"/>
      <c r="AW1" s="46"/>
      <c r="AX1" s="46"/>
      <c r="AY1" s="46"/>
      <c r="AZ1" s="46"/>
      <c r="BA1" s="47"/>
    </row>
    <row r="2" spans="1:53" x14ac:dyDescent="0.35">
      <c r="A2" s="19" t="s">
        <v>0</v>
      </c>
      <c r="B2" s="20" t="s">
        <v>1</v>
      </c>
      <c r="C2" s="20" t="s">
        <v>2</v>
      </c>
      <c r="D2" s="34"/>
      <c r="E2" s="34"/>
      <c r="F2" s="22" t="s">
        <v>4</v>
      </c>
      <c r="G2" s="22" t="s">
        <v>3</v>
      </c>
      <c r="H2" s="23" t="s">
        <v>6</v>
      </c>
      <c r="J2" s="19" t="s">
        <v>0</v>
      </c>
      <c r="K2" s="20" t="s">
        <v>1</v>
      </c>
      <c r="L2" s="20" t="s">
        <v>2</v>
      </c>
      <c r="M2" s="34"/>
      <c r="N2" s="22"/>
      <c r="O2" s="22" t="s">
        <v>4</v>
      </c>
      <c r="P2" s="22" t="s">
        <v>3</v>
      </c>
      <c r="Q2" s="23" t="s">
        <v>6</v>
      </c>
      <c r="S2" s="19" t="s">
        <v>0</v>
      </c>
      <c r="T2" s="20" t="s">
        <v>1</v>
      </c>
      <c r="U2" s="20" t="s">
        <v>2</v>
      </c>
      <c r="V2" s="34"/>
      <c r="W2" s="22"/>
      <c r="X2" s="22" t="s">
        <v>4</v>
      </c>
      <c r="Y2" s="22" t="s">
        <v>3</v>
      </c>
      <c r="Z2" s="23" t="s">
        <v>6</v>
      </c>
      <c r="AB2" s="19" t="s">
        <v>0</v>
      </c>
      <c r="AC2" s="20" t="s">
        <v>1</v>
      </c>
      <c r="AD2" s="20" t="s">
        <v>2</v>
      </c>
      <c r="AE2" s="21"/>
      <c r="AF2" s="22"/>
      <c r="AG2" s="22" t="s">
        <v>4</v>
      </c>
      <c r="AH2" s="22" t="s">
        <v>3</v>
      </c>
      <c r="AI2" s="23" t="s">
        <v>6</v>
      </c>
      <c r="AK2" s="19" t="s">
        <v>0</v>
      </c>
      <c r="AL2" s="20" t="s">
        <v>1</v>
      </c>
      <c r="AM2" s="20" t="s">
        <v>2</v>
      </c>
      <c r="AN2" s="21"/>
      <c r="AO2" s="22"/>
      <c r="AP2" s="22" t="s">
        <v>4</v>
      </c>
      <c r="AQ2" s="22" t="s">
        <v>3</v>
      </c>
      <c r="AR2" s="23" t="s">
        <v>6</v>
      </c>
      <c r="AT2" s="19" t="s">
        <v>0</v>
      </c>
      <c r="AU2" s="20" t="s">
        <v>1</v>
      </c>
      <c r="AV2" s="20" t="s">
        <v>2</v>
      </c>
      <c r="AW2" s="21"/>
      <c r="AX2" s="22"/>
      <c r="AY2" s="22" t="s">
        <v>4</v>
      </c>
      <c r="AZ2" s="22" t="s">
        <v>3</v>
      </c>
      <c r="BA2" s="23" t="s">
        <v>6</v>
      </c>
    </row>
    <row r="3" spans="1:53" x14ac:dyDescent="0.35">
      <c r="A3" s="7">
        <v>45170</v>
      </c>
      <c r="B3" s="8">
        <v>0.41666666666666669</v>
      </c>
      <c r="C3" s="8">
        <v>0.91666666666666663</v>
      </c>
      <c r="D3" s="10">
        <f>B3*24</f>
        <v>10</v>
      </c>
      <c r="E3" s="10">
        <f>C3*24</f>
        <v>22</v>
      </c>
      <c r="F3" s="10">
        <f>E3-D3</f>
        <v>12</v>
      </c>
      <c r="G3" s="10">
        <f>IF(B3="",0,12-F3)</f>
        <v>0</v>
      </c>
      <c r="H3" s="27"/>
      <c r="J3" s="7">
        <v>45170</v>
      </c>
      <c r="K3" s="8">
        <v>0.41666666666666669</v>
      </c>
      <c r="L3" s="8">
        <v>0.91666666666666663</v>
      </c>
      <c r="M3" s="10">
        <f>K3*24</f>
        <v>10</v>
      </c>
      <c r="N3" s="10">
        <f>L3*24</f>
        <v>22</v>
      </c>
      <c r="O3" s="10">
        <f>N3-M3</f>
        <v>12</v>
      </c>
      <c r="P3" s="10">
        <f>IF(K3="",0,12-O3)</f>
        <v>0</v>
      </c>
      <c r="Q3" s="27"/>
      <c r="S3" s="7">
        <v>45170</v>
      </c>
      <c r="T3" s="8">
        <v>0.41666666666666669</v>
      </c>
      <c r="U3" s="8">
        <v>0.91666666666666663</v>
      </c>
      <c r="V3" s="10">
        <f>T3*24</f>
        <v>10</v>
      </c>
      <c r="W3" s="10">
        <f>U3*24</f>
        <v>22</v>
      </c>
      <c r="X3" s="10">
        <f>W3-V3</f>
        <v>12</v>
      </c>
      <c r="Y3" s="10">
        <f>IF(T3="",0,12-X3)</f>
        <v>0</v>
      </c>
      <c r="Z3" s="27"/>
      <c r="AB3" s="7">
        <v>45170</v>
      </c>
      <c r="AC3" s="8">
        <v>0.41666666666666669</v>
      </c>
      <c r="AD3" s="8">
        <v>0.91666666666666663</v>
      </c>
      <c r="AE3" s="10">
        <f>AC3*24</f>
        <v>10</v>
      </c>
      <c r="AF3" s="10">
        <f>AD3*24</f>
        <v>22</v>
      </c>
      <c r="AG3" s="10">
        <f>AF3-AE3</f>
        <v>12</v>
      </c>
      <c r="AH3" s="10">
        <f>IF(AC3="",0,12-AG3)</f>
        <v>0</v>
      </c>
      <c r="AI3" s="27"/>
      <c r="AK3" s="7">
        <v>45173</v>
      </c>
      <c r="AL3" s="8">
        <v>0.39583333333333331</v>
      </c>
      <c r="AM3" s="8">
        <v>0.89583333333333337</v>
      </c>
      <c r="AN3" s="10">
        <f t="shared" ref="AN3:AN29" si="0">AL3*24</f>
        <v>9.5</v>
      </c>
      <c r="AO3" s="10">
        <f t="shared" ref="AO3:AO21" si="1">AM3*24</f>
        <v>21.5</v>
      </c>
      <c r="AP3" s="10">
        <f t="shared" ref="AP3:AP29" si="2">AO3-AN3</f>
        <v>12</v>
      </c>
      <c r="AQ3" s="10">
        <f t="shared" ref="AQ3:AQ29" si="3">IF(AL3="",0,12-AP3)</f>
        <v>0</v>
      </c>
      <c r="AR3" s="27"/>
      <c r="AT3" s="7">
        <v>45176</v>
      </c>
      <c r="AU3" s="8">
        <v>0.33333333333333331</v>
      </c>
      <c r="AV3" s="8">
        <v>0.83333333333333337</v>
      </c>
      <c r="AW3" s="10">
        <f t="shared" ref="AW3:AW26" si="4">AU3*24</f>
        <v>8</v>
      </c>
      <c r="AX3" s="10">
        <f t="shared" ref="AX3:AX18" si="5">AV3*24</f>
        <v>20</v>
      </c>
      <c r="AY3" s="10">
        <f t="shared" ref="AY3:AY26" si="6">AX3-AW3</f>
        <v>12</v>
      </c>
      <c r="AZ3" s="10">
        <f t="shared" ref="AZ3:AZ26" si="7">IF(AU3="",0,12-AY3)</f>
        <v>0</v>
      </c>
      <c r="BA3" s="27"/>
    </row>
    <row r="4" spans="1:53" x14ac:dyDescent="0.35">
      <c r="A4" s="7">
        <v>45171</v>
      </c>
      <c r="B4" s="8">
        <v>0.4375</v>
      </c>
      <c r="C4" s="8">
        <v>0.91666666666666663</v>
      </c>
      <c r="D4" s="10">
        <f t="shared" ref="D4:E22" si="8">B4*24</f>
        <v>10.5</v>
      </c>
      <c r="E4" s="10">
        <f t="shared" si="8"/>
        <v>22</v>
      </c>
      <c r="F4" s="10">
        <f t="shared" ref="F4:F32" si="9">E4-D4</f>
        <v>11.5</v>
      </c>
      <c r="G4" s="10">
        <f t="shared" ref="G4:G32" si="10">IF(B4="",0,12-F4)</f>
        <v>0.5</v>
      </c>
      <c r="J4" s="7">
        <v>45171</v>
      </c>
      <c r="K4" s="8">
        <v>0.41666666666666669</v>
      </c>
      <c r="L4" s="8">
        <v>0.58333333333333337</v>
      </c>
      <c r="M4" s="10">
        <f t="shared" ref="M4:M32" si="11">K4*24</f>
        <v>10</v>
      </c>
      <c r="N4" s="10">
        <f t="shared" ref="N4:N25" si="12">L4*24</f>
        <v>14</v>
      </c>
      <c r="O4" s="10">
        <f t="shared" ref="O4:O32" si="13">N4-M4</f>
        <v>4</v>
      </c>
      <c r="P4" s="10">
        <f t="shared" ref="P4:P32" si="14">IF(K4="",0,12-O4)</f>
        <v>8</v>
      </c>
      <c r="Q4" s="27"/>
      <c r="S4" s="7">
        <v>45171</v>
      </c>
      <c r="T4" s="8">
        <v>0.39583333333333331</v>
      </c>
      <c r="U4" s="8">
        <v>0.89583333333333337</v>
      </c>
      <c r="V4" s="10">
        <f t="shared" ref="V4:V32" si="15">T4*24</f>
        <v>9.5</v>
      </c>
      <c r="W4" s="10">
        <f t="shared" ref="W4:W24" si="16">U4*24</f>
        <v>21.5</v>
      </c>
      <c r="X4" s="10">
        <f t="shared" ref="X4:X32" si="17">W4-V4</f>
        <v>12</v>
      </c>
      <c r="Y4" s="10">
        <f t="shared" ref="Y4:Y32" si="18">IF(T4="",0,12-X4)</f>
        <v>0</v>
      </c>
      <c r="Z4" s="27"/>
      <c r="AB4" s="11">
        <v>45171</v>
      </c>
      <c r="AC4" s="12">
        <v>0.375</v>
      </c>
      <c r="AD4" s="12">
        <v>0.875</v>
      </c>
      <c r="AE4" s="14">
        <f t="shared" ref="AE4:AE32" si="19">AC4*24</f>
        <v>9</v>
      </c>
      <c r="AF4" s="14">
        <f t="shared" ref="AF4:AF24" si="20">AD4*24</f>
        <v>21</v>
      </c>
      <c r="AG4" s="14">
        <f t="shared" ref="AG4:AG32" si="21">AF4-AE4</f>
        <v>12</v>
      </c>
      <c r="AH4" s="14">
        <f t="shared" ref="AH4:AH32" si="22">IF(AC4="",0,12-AG4)</f>
        <v>0</v>
      </c>
      <c r="AI4" s="36"/>
      <c r="AK4" s="7">
        <v>45174</v>
      </c>
      <c r="AL4" s="8">
        <v>0.39583333333333331</v>
      </c>
      <c r="AM4" s="8">
        <v>0.64583333333333337</v>
      </c>
      <c r="AN4" s="10">
        <f t="shared" si="0"/>
        <v>9.5</v>
      </c>
      <c r="AO4" s="10">
        <f t="shared" si="1"/>
        <v>15.5</v>
      </c>
      <c r="AP4" s="10">
        <f t="shared" si="2"/>
        <v>6</v>
      </c>
      <c r="AQ4" s="10">
        <f t="shared" si="3"/>
        <v>6</v>
      </c>
      <c r="AR4" s="27"/>
      <c r="AT4" s="7">
        <v>45177</v>
      </c>
      <c r="AU4" s="8">
        <v>0.33333333333333331</v>
      </c>
      <c r="AV4" s="8">
        <v>0.41666666666666669</v>
      </c>
      <c r="AW4" s="10">
        <f t="shared" si="4"/>
        <v>8</v>
      </c>
      <c r="AX4" s="10">
        <f t="shared" si="5"/>
        <v>10</v>
      </c>
      <c r="AY4" s="10">
        <f t="shared" si="6"/>
        <v>2</v>
      </c>
      <c r="AZ4" s="10">
        <f t="shared" si="7"/>
        <v>10</v>
      </c>
      <c r="BA4" s="27"/>
    </row>
    <row r="5" spans="1:53" x14ac:dyDescent="0.35">
      <c r="A5" s="7">
        <v>45172</v>
      </c>
      <c r="B5" s="8">
        <v>0.43055555555555558</v>
      </c>
      <c r="C5" s="8">
        <v>0.91666666666666663</v>
      </c>
      <c r="D5" s="10">
        <f t="shared" si="8"/>
        <v>10.333333333333334</v>
      </c>
      <c r="E5" s="10">
        <f t="shared" si="8"/>
        <v>22</v>
      </c>
      <c r="F5" s="10">
        <f t="shared" si="9"/>
        <v>11.666666666666666</v>
      </c>
      <c r="G5" s="10">
        <f t="shared" si="10"/>
        <v>0.33333333333333393</v>
      </c>
      <c r="H5" s="27"/>
      <c r="J5" s="7">
        <v>45172</v>
      </c>
      <c r="K5" s="8">
        <v>0.41666666666666669</v>
      </c>
      <c r="L5" s="8">
        <v>0.91666666666666663</v>
      </c>
      <c r="M5" s="10">
        <f t="shared" si="11"/>
        <v>10</v>
      </c>
      <c r="N5" s="10">
        <f t="shared" si="12"/>
        <v>22</v>
      </c>
      <c r="O5" s="10">
        <f t="shared" si="13"/>
        <v>12</v>
      </c>
      <c r="P5" s="10">
        <f t="shared" si="14"/>
        <v>0</v>
      </c>
      <c r="Q5" s="27"/>
      <c r="S5" s="7">
        <v>45172</v>
      </c>
      <c r="T5" s="8">
        <v>0.39583333333333331</v>
      </c>
      <c r="U5" s="8">
        <v>0.89583333333333337</v>
      </c>
      <c r="V5" s="10">
        <f t="shared" si="15"/>
        <v>9.5</v>
      </c>
      <c r="W5" s="10">
        <f t="shared" si="16"/>
        <v>21.5</v>
      </c>
      <c r="X5" s="10">
        <f t="shared" si="17"/>
        <v>12</v>
      </c>
      <c r="Y5" s="10">
        <f t="shared" si="18"/>
        <v>0</v>
      </c>
      <c r="Z5" s="27"/>
      <c r="AB5" s="7">
        <v>45172</v>
      </c>
      <c r="AC5" s="8">
        <v>0.39583333333333331</v>
      </c>
      <c r="AD5" s="8">
        <v>0.89583333333333337</v>
      </c>
      <c r="AE5" s="10">
        <f t="shared" si="19"/>
        <v>9.5</v>
      </c>
      <c r="AF5" s="10">
        <f t="shared" si="20"/>
        <v>21.5</v>
      </c>
      <c r="AG5" s="10">
        <f t="shared" si="21"/>
        <v>12</v>
      </c>
      <c r="AH5" s="10">
        <f t="shared" si="22"/>
        <v>0</v>
      </c>
      <c r="AI5" s="27"/>
      <c r="AK5" s="7">
        <v>45175</v>
      </c>
      <c r="AL5" s="8">
        <v>0.39583333333333331</v>
      </c>
      <c r="AM5" s="8">
        <v>0.64583333333333337</v>
      </c>
      <c r="AN5" s="10">
        <f t="shared" si="0"/>
        <v>9.5</v>
      </c>
      <c r="AO5" s="10">
        <f t="shared" si="1"/>
        <v>15.5</v>
      </c>
      <c r="AP5" s="10">
        <f t="shared" si="2"/>
        <v>6</v>
      </c>
      <c r="AQ5" s="10">
        <f t="shared" si="3"/>
        <v>6</v>
      </c>
      <c r="AR5" s="27"/>
      <c r="AT5" s="7">
        <v>45178</v>
      </c>
      <c r="AU5" s="8">
        <v>0.33333333333333331</v>
      </c>
      <c r="AV5" s="8">
        <v>0.83333333333333337</v>
      </c>
      <c r="AW5" s="10">
        <f t="shared" si="4"/>
        <v>8</v>
      </c>
      <c r="AX5" s="10">
        <f t="shared" si="5"/>
        <v>20</v>
      </c>
      <c r="AY5" s="10">
        <f t="shared" si="6"/>
        <v>12</v>
      </c>
      <c r="AZ5" s="10">
        <f t="shared" si="7"/>
        <v>0</v>
      </c>
      <c r="BA5" s="27"/>
    </row>
    <row r="6" spans="1:53" x14ac:dyDescent="0.35">
      <c r="A6" s="11">
        <v>45173</v>
      </c>
      <c r="B6" s="12">
        <v>0.375</v>
      </c>
      <c r="C6" s="12">
        <v>0.875</v>
      </c>
      <c r="D6" s="14">
        <f t="shared" si="8"/>
        <v>9</v>
      </c>
      <c r="E6" s="14">
        <f t="shared" si="8"/>
        <v>21</v>
      </c>
      <c r="F6" s="14">
        <f t="shared" si="9"/>
        <v>12</v>
      </c>
      <c r="G6" s="14">
        <f t="shared" si="10"/>
        <v>0</v>
      </c>
      <c r="H6" s="36"/>
      <c r="J6" s="11">
        <v>45173</v>
      </c>
      <c r="K6" s="12">
        <v>0.375</v>
      </c>
      <c r="L6" s="12">
        <v>0.875</v>
      </c>
      <c r="M6" s="14">
        <f t="shared" si="11"/>
        <v>9</v>
      </c>
      <c r="N6" s="14">
        <f t="shared" si="12"/>
        <v>21</v>
      </c>
      <c r="O6" s="14">
        <f t="shared" si="13"/>
        <v>12</v>
      </c>
      <c r="P6" s="14">
        <f t="shared" si="14"/>
        <v>0</v>
      </c>
      <c r="Q6" s="36"/>
      <c r="S6" s="7">
        <v>45173</v>
      </c>
      <c r="T6" s="8">
        <v>0.39583333333333331</v>
      </c>
      <c r="U6" s="8">
        <v>0.89583333333333337</v>
      </c>
      <c r="V6" s="10">
        <f t="shared" si="15"/>
        <v>9.5</v>
      </c>
      <c r="W6" s="10">
        <f t="shared" si="16"/>
        <v>21.5</v>
      </c>
      <c r="X6" s="10">
        <f t="shared" si="17"/>
        <v>12</v>
      </c>
      <c r="Y6" s="10">
        <f t="shared" si="18"/>
        <v>0</v>
      </c>
      <c r="Z6" s="27"/>
      <c r="AB6" s="7">
        <v>45173</v>
      </c>
      <c r="AC6" s="8">
        <v>0.39583333333333331</v>
      </c>
      <c r="AD6" s="8">
        <v>0.89583333333333337</v>
      </c>
      <c r="AE6" s="10">
        <f t="shared" si="19"/>
        <v>9.5</v>
      </c>
      <c r="AF6" s="10">
        <f t="shared" si="20"/>
        <v>21.5</v>
      </c>
      <c r="AG6" s="10">
        <f t="shared" si="21"/>
        <v>12</v>
      </c>
      <c r="AH6" s="10">
        <f t="shared" si="22"/>
        <v>0</v>
      </c>
      <c r="AI6" s="27"/>
      <c r="AK6" s="7">
        <v>45176</v>
      </c>
      <c r="AL6" s="8">
        <v>0.33333333333333331</v>
      </c>
      <c r="AM6" s="8">
        <v>0.83333333333333337</v>
      </c>
      <c r="AN6" s="10">
        <f t="shared" si="0"/>
        <v>8</v>
      </c>
      <c r="AO6" s="10">
        <f t="shared" si="1"/>
        <v>20</v>
      </c>
      <c r="AP6" s="10">
        <f t="shared" si="2"/>
        <v>12</v>
      </c>
      <c r="AQ6" s="10">
        <f t="shared" si="3"/>
        <v>0</v>
      </c>
      <c r="AR6" s="27"/>
      <c r="AT6" s="7">
        <v>45179</v>
      </c>
      <c r="AU6" s="8">
        <v>0.33333333333333331</v>
      </c>
      <c r="AV6" s="8">
        <v>0.83333333333333337</v>
      </c>
      <c r="AW6" s="10">
        <f t="shared" si="4"/>
        <v>8</v>
      </c>
      <c r="AX6" s="10">
        <f t="shared" si="5"/>
        <v>20</v>
      </c>
      <c r="AY6" s="10">
        <f t="shared" si="6"/>
        <v>12</v>
      </c>
      <c r="AZ6" s="10">
        <f t="shared" si="7"/>
        <v>0</v>
      </c>
      <c r="BA6" s="27"/>
    </row>
    <row r="7" spans="1:53" x14ac:dyDescent="0.35">
      <c r="A7" s="7">
        <v>45174</v>
      </c>
      <c r="B7" s="8">
        <v>0.41666666666666669</v>
      </c>
      <c r="C7" s="8">
        <v>0.91666666666666663</v>
      </c>
      <c r="D7" s="10">
        <f t="shared" si="8"/>
        <v>10</v>
      </c>
      <c r="E7" s="10">
        <f t="shared" si="8"/>
        <v>22</v>
      </c>
      <c r="F7" s="10">
        <f t="shared" si="9"/>
        <v>12</v>
      </c>
      <c r="G7" s="10">
        <f t="shared" si="10"/>
        <v>0</v>
      </c>
      <c r="H7" s="27"/>
      <c r="J7" s="7">
        <v>45174</v>
      </c>
      <c r="K7" s="8">
        <v>0.41666666666666669</v>
      </c>
      <c r="L7" s="8">
        <v>0.91666666666666663</v>
      </c>
      <c r="M7" s="10">
        <f t="shared" si="11"/>
        <v>10</v>
      </c>
      <c r="N7" s="10">
        <f t="shared" si="12"/>
        <v>22</v>
      </c>
      <c r="O7" s="10">
        <f t="shared" si="13"/>
        <v>12</v>
      </c>
      <c r="P7" s="10">
        <f t="shared" si="14"/>
        <v>0</v>
      </c>
      <c r="Q7" s="27">
        <v>1000</v>
      </c>
      <c r="S7" s="37">
        <v>45174</v>
      </c>
      <c r="T7" s="38">
        <v>0.39583333333333331</v>
      </c>
      <c r="U7" s="38">
        <v>0.89583333333333337</v>
      </c>
      <c r="V7" s="39">
        <f t="shared" si="15"/>
        <v>9.5</v>
      </c>
      <c r="W7" s="39">
        <f t="shared" si="16"/>
        <v>21.5</v>
      </c>
      <c r="X7" s="39">
        <f t="shared" si="17"/>
        <v>12</v>
      </c>
      <c r="Y7" s="39">
        <f t="shared" si="18"/>
        <v>0</v>
      </c>
      <c r="Z7" s="40"/>
      <c r="AB7" s="7">
        <v>45174</v>
      </c>
      <c r="AC7" s="8">
        <v>0.33333333333333331</v>
      </c>
      <c r="AD7" s="8">
        <v>0.66666666666666663</v>
      </c>
      <c r="AE7" s="10">
        <f t="shared" si="19"/>
        <v>8</v>
      </c>
      <c r="AF7" s="10">
        <f t="shared" si="20"/>
        <v>16</v>
      </c>
      <c r="AG7" s="10">
        <f t="shared" si="21"/>
        <v>8</v>
      </c>
      <c r="AH7" s="10">
        <f t="shared" si="22"/>
        <v>4</v>
      </c>
      <c r="AI7" s="27"/>
      <c r="AK7" s="7">
        <v>45177</v>
      </c>
      <c r="AL7" s="8">
        <v>0.39583333333333331</v>
      </c>
      <c r="AM7" s="8">
        <v>0.64583333333333337</v>
      </c>
      <c r="AN7" s="10">
        <f t="shared" si="0"/>
        <v>9.5</v>
      </c>
      <c r="AO7" s="10">
        <f t="shared" si="1"/>
        <v>15.5</v>
      </c>
      <c r="AP7" s="10">
        <f t="shared" si="2"/>
        <v>6</v>
      </c>
      <c r="AQ7" s="10">
        <f t="shared" si="3"/>
        <v>6</v>
      </c>
      <c r="AR7" s="27"/>
      <c r="AT7" s="7">
        <v>45180</v>
      </c>
      <c r="AU7" s="8">
        <v>0.33333333333333331</v>
      </c>
      <c r="AV7" s="8">
        <v>0.83333333333333337</v>
      </c>
      <c r="AW7" s="10">
        <f t="shared" si="4"/>
        <v>8</v>
      </c>
      <c r="AX7" s="10">
        <f t="shared" si="5"/>
        <v>20</v>
      </c>
      <c r="AY7" s="10">
        <f t="shared" si="6"/>
        <v>12</v>
      </c>
      <c r="AZ7" s="10">
        <f t="shared" si="7"/>
        <v>0</v>
      </c>
      <c r="BA7" s="27"/>
    </row>
    <row r="8" spans="1:53" x14ac:dyDescent="0.35">
      <c r="A8" s="7">
        <v>45175</v>
      </c>
      <c r="B8" s="8">
        <v>0.41666666666666669</v>
      </c>
      <c r="C8" s="8">
        <v>0.58333333333333337</v>
      </c>
      <c r="D8" s="10">
        <f t="shared" si="8"/>
        <v>10</v>
      </c>
      <c r="E8" s="10">
        <f t="shared" si="8"/>
        <v>14</v>
      </c>
      <c r="F8" s="10">
        <f t="shared" si="9"/>
        <v>4</v>
      </c>
      <c r="G8" s="10">
        <f t="shared" si="10"/>
        <v>8</v>
      </c>
      <c r="H8" s="27"/>
      <c r="J8" s="7">
        <v>45175</v>
      </c>
      <c r="K8" s="8">
        <v>0.41666666666666669</v>
      </c>
      <c r="L8" s="8">
        <v>0.91666666666666663</v>
      </c>
      <c r="M8" s="10">
        <f t="shared" si="11"/>
        <v>10</v>
      </c>
      <c r="N8" s="10">
        <f t="shared" si="12"/>
        <v>22</v>
      </c>
      <c r="O8" s="10">
        <f t="shared" si="13"/>
        <v>12</v>
      </c>
      <c r="P8" s="10">
        <f t="shared" si="14"/>
        <v>0</v>
      </c>
      <c r="Q8" s="27"/>
      <c r="S8" s="7">
        <v>45175</v>
      </c>
      <c r="T8" s="8">
        <v>0.39583333333333331</v>
      </c>
      <c r="U8" s="8">
        <v>0.89583333333333337</v>
      </c>
      <c r="V8" s="10">
        <f t="shared" si="15"/>
        <v>9.5</v>
      </c>
      <c r="W8" s="10">
        <f t="shared" si="16"/>
        <v>21.5</v>
      </c>
      <c r="X8" s="10">
        <f t="shared" si="17"/>
        <v>12</v>
      </c>
      <c r="Y8" s="10">
        <f t="shared" si="18"/>
        <v>0</v>
      </c>
      <c r="Z8" s="27"/>
      <c r="AB8" s="7">
        <v>45175</v>
      </c>
      <c r="AC8" s="8">
        <v>0.33333333333333331</v>
      </c>
      <c r="AD8" s="8">
        <v>0.66666666666666663</v>
      </c>
      <c r="AE8" s="10">
        <f t="shared" si="19"/>
        <v>8</v>
      </c>
      <c r="AF8" s="10">
        <f t="shared" si="20"/>
        <v>16</v>
      </c>
      <c r="AG8" s="10">
        <f t="shared" si="21"/>
        <v>8</v>
      </c>
      <c r="AH8" s="10">
        <f t="shared" si="22"/>
        <v>4</v>
      </c>
      <c r="AI8" s="27"/>
      <c r="AK8" s="7">
        <v>45178</v>
      </c>
      <c r="AL8" s="8">
        <v>0.33333333333333331</v>
      </c>
      <c r="AM8" s="8">
        <v>0.83333333333333337</v>
      </c>
      <c r="AN8" s="10">
        <f t="shared" si="0"/>
        <v>8</v>
      </c>
      <c r="AO8" s="10">
        <f t="shared" si="1"/>
        <v>20</v>
      </c>
      <c r="AP8" s="10">
        <f t="shared" si="2"/>
        <v>12</v>
      </c>
      <c r="AQ8" s="10">
        <f t="shared" si="3"/>
        <v>0</v>
      </c>
      <c r="AR8" s="27"/>
      <c r="AT8" s="7">
        <v>45181</v>
      </c>
      <c r="AU8" s="8">
        <v>0.33333333333333331</v>
      </c>
      <c r="AV8" s="8">
        <v>0.83333333333333337</v>
      </c>
      <c r="AW8" s="10">
        <f t="shared" si="4"/>
        <v>8</v>
      </c>
      <c r="AX8" s="10">
        <f t="shared" si="5"/>
        <v>20</v>
      </c>
      <c r="AY8" s="10">
        <f t="shared" si="6"/>
        <v>12</v>
      </c>
      <c r="AZ8" s="10">
        <f t="shared" si="7"/>
        <v>0</v>
      </c>
      <c r="BA8" s="27"/>
    </row>
    <row r="9" spans="1:53" x14ac:dyDescent="0.35">
      <c r="A9" s="15">
        <v>45176</v>
      </c>
      <c r="B9" s="16">
        <v>9</v>
      </c>
      <c r="C9" s="16">
        <v>9</v>
      </c>
      <c r="D9" s="18">
        <f t="shared" si="8"/>
        <v>216</v>
      </c>
      <c r="E9" s="18">
        <f t="shared" si="8"/>
        <v>216</v>
      </c>
      <c r="F9" s="18">
        <f t="shared" si="9"/>
        <v>0</v>
      </c>
      <c r="G9" s="18">
        <f t="shared" si="10"/>
        <v>12</v>
      </c>
      <c r="H9" s="26"/>
      <c r="J9" s="7">
        <v>45176</v>
      </c>
      <c r="K9" s="8">
        <v>0.4375</v>
      </c>
      <c r="L9" s="8">
        <v>0.875</v>
      </c>
      <c r="M9" s="10">
        <f t="shared" si="11"/>
        <v>10.5</v>
      </c>
      <c r="N9" s="10">
        <f t="shared" si="12"/>
        <v>21</v>
      </c>
      <c r="O9" s="10">
        <f t="shared" si="13"/>
        <v>10.5</v>
      </c>
      <c r="P9" s="10">
        <f t="shared" si="14"/>
        <v>1.5</v>
      </c>
      <c r="Q9" s="27"/>
      <c r="S9" s="15">
        <v>45176</v>
      </c>
      <c r="T9" s="16">
        <v>9</v>
      </c>
      <c r="U9" s="16">
        <v>9</v>
      </c>
      <c r="V9" s="18">
        <f t="shared" si="15"/>
        <v>216</v>
      </c>
      <c r="W9" s="18">
        <f t="shared" si="16"/>
        <v>216</v>
      </c>
      <c r="X9" s="18">
        <f t="shared" si="17"/>
        <v>0</v>
      </c>
      <c r="Y9" s="18">
        <f t="shared" si="18"/>
        <v>12</v>
      </c>
      <c r="Z9" s="26"/>
      <c r="AB9" s="7">
        <v>45176</v>
      </c>
      <c r="AC9" s="8">
        <v>0.39583333333333331</v>
      </c>
      <c r="AD9" s="8">
        <v>0.89583333333333337</v>
      </c>
      <c r="AE9" s="10">
        <f t="shared" si="19"/>
        <v>9.5</v>
      </c>
      <c r="AF9" s="10">
        <f t="shared" si="20"/>
        <v>21.5</v>
      </c>
      <c r="AG9" s="10">
        <f t="shared" si="21"/>
        <v>12</v>
      </c>
      <c r="AH9" s="10">
        <f t="shared" si="22"/>
        <v>0</v>
      </c>
      <c r="AI9" s="27"/>
      <c r="AK9" s="7">
        <v>45179</v>
      </c>
      <c r="AL9" s="8">
        <v>0.33333333333333331</v>
      </c>
      <c r="AM9" s="8">
        <v>0.83333333333333337</v>
      </c>
      <c r="AN9" s="10">
        <f t="shared" si="0"/>
        <v>8</v>
      </c>
      <c r="AO9" s="10">
        <f t="shared" si="1"/>
        <v>20</v>
      </c>
      <c r="AP9" s="10">
        <f t="shared" si="2"/>
        <v>12</v>
      </c>
      <c r="AQ9" s="10">
        <f t="shared" si="3"/>
        <v>0</v>
      </c>
      <c r="AR9" s="27"/>
      <c r="AT9" s="37">
        <v>45182</v>
      </c>
      <c r="AU9" s="12">
        <v>0.375</v>
      </c>
      <c r="AV9" s="12">
        <v>0.875</v>
      </c>
      <c r="AW9" s="14">
        <f t="shared" si="4"/>
        <v>9</v>
      </c>
      <c r="AX9" s="14">
        <f t="shared" si="5"/>
        <v>21</v>
      </c>
      <c r="AY9" s="14">
        <f t="shared" si="6"/>
        <v>12</v>
      </c>
      <c r="AZ9" s="14">
        <f t="shared" si="7"/>
        <v>0</v>
      </c>
      <c r="BA9" s="36"/>
    </row>
    <row r="10" spans="1:53" x14ac:dyDescent="0.35">
      <c r="A10" s="7">
        <v>45177</v>
      </c>
      <c r="B10" s="8">
        <v>0.40625</v>
      </c>
      <c r="C10" s="8">
        <v>0.90625</v>
      </c>
      <c r="D10" s="10">
        <f t="shared" si="8"/>
        <v>9.75</v>
      </c>
      <c r="E10" s="10">
        <f t="shared" si="8"/>
        <v>21.75</v>
      </c>
      <c r="F10" s="10">
        <f t="shared" si="9"/>
        <v>12</v>
      </c>
      <c r="G10" s="10">
        <f t="shared" si="10"/>
        <v>0</v>
      </c>
      <c r="H10" s="27"/>
      <c r="J10" s="7">
        <v>45177</v>
      </c>
      <c r="K10" s="8">
        <v>0.4375</v>
      </c>
      <c r="L10" s="8">
        <v>0.91666666666666663</v>
      </c>
      <c r="M10" s="10">
        <f t="shared" si="11"/>
        <v>10.5</v>
      </c>
      <c r="N10" s="10">
        <f t="shared" si="12"/>
        <v>22</v>
      </c>
      <c r="O10" s="10">
        <f t="shared" si="13"/>
        <v>11.5</v>
      </c>
      <c r="P10" s="10">
        <f t="shared" si="14"/>
        <v>0.5</v>
      </c>
      <c r="Q10" s="27">
        <v>100</v>
      </c>
      <c r="S10" s="7">
        <v>45177</v>
      </c>
      <c r="T10" s="8">
        <v>0.40625</v>
      </c>
      <c r="U10" s="8">
        <v>0.90625</v>
      </c>
      <c r="V10" s="10">
        <f t="shared" si="15"/>
        <v>9.75</v>
      </c>
      <c r="W10" s="10">
        <f t="shared" si="16"/>
        <v>21.75</v>
      </c>
      <c r="X10" s="10">
        <f t="shared" si="17"/>
        <v>12</v>
      </c>
      <c r="Y10" s="10">
        <f t="shared" si="18"/>
        <v>0</v>
      </c>
      <c r="Z10" s="27"/>
      <c r="AB10" s="11">
        <v>45177</v>
      </c>
      <c r="AC10" s="12">
        <v>0.375</v>
      </c>
      <c r="AD10" s="12">
        <v>0.875</v>
      </c>
      <c r="AE10" s="14">
        <f t="shared" si="19"/>
        <v>9</v>
      </c>
      <c r="AF10" s="14">
        <f t="shared" si="20"/>
        <v>21</v>
      </c>
      <c r="AG10" s="14">
        <f t="shared" si="21"/>
        <v>12</v>
      </c>
      <c r="AH10" s="14">
        <f t="shared" si="22"/>
        <v>0</v>
      </c>
      <c r="AI10" s="36"/>
      <c r="AK10" s="7">
        <v>45180</v>
      </c>
      <c r="AL10" s="8">
        <v>0.39583333333333331</v>
      </c>
      <c r="AM10" s="8">
        <v>0.64583333333333337</v>
      </c>
      <c r="AN10" s="10">
        <f t="shared" si="0"/>
        <v>9.5</v>
      </c>
      <c r="AO10" s="10">
        <f t="shared" si="1"/>
        <v>15.5</v>
      </c>
      <c r="AP10" s="10">
        <f t="shared" si="2"/>
        <v>6</v>
      </c>
      <c r="AQ10" s="10">
        <f t="shared" si="3"/>
        <v>6</v>
      </c>
      <c r="AR10" s="27"/>
      <c r="AT10" s="7">
        <v>45183</v>
      </c>
      <c r="AU10" s="8">
        <v>0.33333333333333331</v>
      </c>
      <c r="AV10" s="8">
        <v>0.83333333333333337</v>
      </c>
      <c r="AW10" s="10">
        <f t="shared" si="4"/>
        <v>8</v>
      </c>
      <c r="AX10" s="10">
        <f t="shared" si="5"/>
        <v>20</v>
      </c>
      <c r="AY10" s="10">
        <f t="shared" si="6"/>
        <v>12</v>
      </c>
      <c r="AZ10" s="10">
        <f t="shared" si="7"/>
        <v>0</v>
      </c>
      <c r="BA10" s="27"/>
    </row>
    <row r="11" spans="1:53" x14ac:dyDescent="0.35">
      <c r="A11" s="7">
        <v>45178</v>
      </c>
      <c r="B11" s="8">
        <v>0.40625</v>
      </c>
      <c r="C11" s="8">
        <v>0.90625</v>
      </c>
      <c r="D11" s="10">
        <f t="shared" si="8"/>
        <v>9.75</v>
      </c>
      <c r="E11" s="10">
        <f t="shared" si="8"/>
        <v>21.75</v>
      </c>
      <c r="F11" s="10">
        <f t="shared" si="9"/>
        <v>12</v>
      </c>
      <c r="G11" s="10">
        <f t="shared" si="10"/>
        <v>0</v>
      </c>
      <c r="H11" s="27"/>
      <c r="J11" s="7">
        <v>45178</v>
      </c>
      <c r="K11" s="8">
        <v>0.35416666666666669</v>
      </c>
      <c r="L11" s="8">
        <v>0.85416666666666663</v>
      </c>
      <c r="M11" s="10">
        <f t="shared" si="11"/>
        <v>8.5</v>
      </c>
      <c r="N11" s="10">
        <f t="shared" si="12"/>
        <v>20.5</v>
      </c>
      <c r="O11" s="10">
        <f t="shared" si="13"/>
        <v>12</v>
      </c>
      <c r="P11" s="10">
        <f t="shared" si="14"/>
        <v>0</v>
      </c>
      <c r="Q11" s="27"/>
      <c r="S11" s="7">
        <v>45178</v>
      </c>
      <c r="T11" s="8">
        <v>0.40625</v>
      </c>
      <c r="U11" s="8">
        <v>0.90625</v>
      </c>
      <c r="V11" s="10">
        <f t="shared" si="15"/>
        <v>9.75</v>
      </c>
      <c r="W11" s="10">
        <f t="shared" si="16"/>
        <v>21.75</v>
      </c>
      <c r="X11" s="10">
        <f t="shared" si="17"/>
        <v>12</v>
      </c>
      <c r="Y11" s="10">
        <f t="shared" si="18"/>
        <v>0</v>
      </c>
      <c r="Z11" s="27"/>
      <c r="AB11" s="7">
        <v>45178</v>
      </c>
      <c r="AC11" s="8">
        <v>0.41666666666666669</v>
      </c>
      <c r="AD11" s="8">
        <v>0.91666666666666663</v>
      </c>
      <c r="AE11" s="10">
        <f t="shared" si="19"/>
        <v>10</v>
      </c>
      <c r="AF11" s="10">
        <f t="shared" si="20"/>
        <v>22</v>
      </c>
      <c r="AG11" s="10">
        <f t="shared" si="21"/>
        <v>12</v>
      </c>
      <c r="AH11" s="10">
        <f t="shared" si="22"/>
        <v>0</v>
      </c>
      <c r="AI11" s="27"/>
      <c r="AK11" s="7">
        <v>45181</v>
      </c>
      <c r="AL11" s="8">
        <v>0.39583333333333331</v>
      </c>
      <c r="AM11" s="8">
        <v>0.64583333333333337</v>
      </c>
      <c r="AN11" s="10">
        <f t="shared" si="0"/>
        <v>9.5</v>
      </c>
      <c r="AO11" s="10">
        <f t="shared" si="1"/>
        <v>15.5</v>
      </c>
      <c r="AP11" s="10">
        <f t="shared" si="2"/>
        <v>6</v>
      </c>
      <c r="AQ11" s="10">
        <f t="shared" si="3"/>
        <v>6</v>
      </c>
      <c r="AR11" s="27"/>
      <c r="AT11" s="7">
        <v>45184</v>
      </c>
      <c r="AU11" s="8">
        <v>0.33333333333333331</v>
      </c>
      <c r="AV11" s="8">
        <v>0.83333333333333337</v>
      </c>
      <c r="AW11" s="10">
        <f t="shared" si="4"/>
        <v>8</v>
      </c>
      <c r="AX11" s="10">
        <f t="shared" si="5"/>
        <v>20</v>
      </c>
      <c r="AY11" s="10">
        <f t="shared" si="6"/>
        <v>12</v>
      </c>
      <c r="AZ11" s="10">
        <f t="shared" si="7"/>
        <v>0</v>
      </c>
      <c r="BA11" s="27"/>
    </row>
    <row r="12" spans="1:53" x14ac:dyDescent="0.35">
      <c r="A12" s="7">
        <v>45179</v>
      </c>
      <c r="B12" s="8">
        <v>0.4375</v>
      </c>
      <c r="C12" s="8">
        <v>0.91666666666666663</v>
      </c>
      <c r="D12" s="10">
        <f t="shared" si="8"/>
        <v>10.5</v>
      </c>
      <c r="E12" s="10">
        <f t="shared" si="8"/>
        <v>22</v>
      </c>
      <c r="F12" s="10">
        <f t="shared" si="9"/>
        <v>11.5</v>
      </c>
      <c r="G12" s="10">
        <f t="shared" si="10"/>
        <v>0.5</v>
      </c>
      <c r="H12" s="27"/>
      <c r="J12" s="7">
        <v>45179</v>
      </c>
      <c r="K12" s="8">
        <v>0.4375</v>
      </c>
      <c r="L12" s="8">
        <v>0.91666666666666663</v>
      </c>
      <c r="M12" s="10">
        <f t="shared" si="11"/>
        <v>10.5</v>
      </c>
      <c r="N12" s="10">
        <f t="shared" si="12"/>
        <v>22</v>
      </c>
      <c r="O12" s="10">
        <f t="shared" si="13"/>
        <v>11.5</v>
      </c>
      <c r="P12" s="10">
        <f t="shared" si="14"/>
        <v>0.5</v>
      </c>
      <c r="Q12" s="27">
        <v>1100</v>
      </c>
      <c r="S12" s="7">
        <v>45179</v>
      </c>
      <c r="T12" s="8">
        <v>0.40625</v>
      </c>
      <c r="U12" s="8">
        <v>0.90625</v>
      </c>
      <c r="V12" s="10">
        <f t="shared" si="15"/>
        <v>9.75</v>
      </c>
      <c r="W12" s="10">
        <f t="shared" si="16"/>
        <v>21.75</v>
      </c>
      <c r="X12" s="10">
        <f t="shared" si="17"/>
        <v>12</v>
      </c>
      <c r="Y12" s="10">
        <f t="shared" si="18"/>
        <v>0</v>
      </c>
      <c r="Z12" s="27"/>
      <c r="AB12" s="7">
        <v>45179</v>
      </c>
      <c r="AC12" s="8">
        <v>0.41666666666666669</v>
      </c>
      <c r="AD12" s="8">
        <v>0.91666666666666663</v>
      </c>
      <c r="AE12" s="10">
        <f t="shared" si="19"/>
        <v>10</v>
      </c>
      <c r="AF12" s="10">
        <f t="shared" si="20"/>
        <v>22</v>
      </c>
      <c r="AG12" s="10">
        <f t="shared" si="21"/>
        <v>12</v>
      </c>
      <c r="AH12" s="10">
        <f t="shared" si="22"/>
        <v>0</v>
      </c>
      <c r="AI12" s="27"/>
      <c r="AK12" s="7">
        <v>45182</v>
      </c>
      <c r="AL12" s="8">
        <v>0.33333333333333331</v>
      </c>
      <c r="AM12" s="8">
        <v>0.45833333333333331</v>
      </c>
      <c r="AN12" s="10">
        <f t="shared" si="0"/>
        <v>8</v>
      </c>
      <c r="AO12" s="10">
        <f t="shared" si="1"/>
        <v>11</v>
      </c>
      <c r="AP12" s="10">
        <f t="shared" si="2"/>
        <v>3</v>
      </c>
      <c r="AQ12" s="10">
        <f t="shared" si="3"/>
        <v>9</v>
      </c>
      <c r="AR12" s="27"/>
      <c r="AT12" s="7">
        <v>45185</v>
      </c>
      <c r="AU12" s="8">
        <v>0.33333333333333331</v>
      </c>
      <c r="AV12" s="8">
        <v>0.83333333333333337</v>
      </c>
      <c r="AW12" s="10">
        <f t="shared" si="4"/>
        <v>8</v>
      </c>
      <c r="AX12" s="10">
        <f t="shared" si="5"/>
        <v>20</v>
      </c>
      <c r="AY12" s="10">
        <f t="shared" si="6"/>
        <v>12</v>
      </c>
      <c r="AZ12" s="10">
        <f t="shared" si="7"/>
        <v>0</v>
      </c>
      <c r="BA12" s="27"/>
    </row>
    <row r="13" spans="1:53" x14ac:dyDescent="0.35">
      <c r="A13" s="7">
        <v>45180</v>
      </c>
      <c r="B13" s="8">
        <v>0.41666666666666669</v>
      </c>
      <c r="C13" s="8">
        <v>0.91666666666666663</v>
      </c>
      <c r="D13" s="10">
        <f t="shared" si="8"/>
        <v>10</v>
      </c>
      <c r="E13" s="10">
        <f t="shared" si="8"/>
        <v>22</v>
      </c>
      <c r="F13" s="10">
        <f t="shared" si="9"/>
        <v>12</v>
      </c>
      <c r="G13" s="10">
        <f t="shared" si="10"/>
        <v>0</v>
      </c>
      <c r="H13" s="27">
        <v>1000</v>
      </c>
      <c r="J13" s="11">
        <v>45180</v>
      </c>
      <c r="K13" s="12">
        <v>0.375</v>
      </c>
      <c r="L13" s="12">
        <v>0.875</v>
      </c>
      <c r="M13" s="14">
        <f t="shared" si="11"/>
        <v>9</v>
      </c>
      <c r="N13" s="14">
        <f t="shared" si="12"/>
        <v>21</v>
      </c>
      <c r="O13" s="14">
        <f t="shared" si="13"/>
        <v>12</v>
      </c>
      <c r="P13" s="14">
        <f t="shared" si="14"/>
        <v>0</v>
      </c>
      <c r="Q13" s="36">
        <v>200</v>
      </c>
      <c r="S13" s="7">
        <v>45180</v>
      </c>
      <c r="T13" s="8">
        <v>0.40625</v>
      </c>
      <c r="U13" s="8">
        <v>0.90625</v>
      </c>
      <c r="V13" s="10">
        <f t="shared" si="15"/>
        <v>9.75</v>
      </c>
      <c r="W13" s="10">
        <f t="shared" si="16"/>
        <v>21.75</v>
      </c>
      <c r="X13" s="10">
        <f t="shared" si="17"/>
        <v>12</v>
      </c>
      <c r="Y13" s="10">
        <f t="shared" si="18"/>
        <v>0</v>
      </c>
      <c r="Z13" s="27"/>
      <c r="AB13" s="7">
        <v>45180</v>
      </c>
      <c r="AC13" s="8">
        <v>0.33333333333333331</v>
      </c>
      <c r="AD13" s="8">
        <v>0.66666666666666663</v>
      </c>
      <c r="AE13" s="10">
        <f t="shared" si="19"/>
        <v>8</v>
      </c>
      <c r="AF13" s="10">
        <f t="shared" si="20"/>
        <v>16</v>
      </c>
      <c r="AG13" s="10">
        <f t="shared" si="21"/>
        <v>8</v>
      </c>
      <c r="AH13" s="10">
        <f t="shared" si="22"/>
        <v>4</v>
      </c>
      <c r="AI13" s="27"/>
      <c r="AK13" s="7">
        <v>45183</v>
      </c>
      <c r="AL13" s="16">
        <v>9</v>
      </c>
      <c r="AM13" s="16">
        <v>9</v>
      </c>
      <c r="AN13" s="18">
        <f t="shared" si="0"/>
        <v>216</v>
      </c>
      <c r="AO13" s="18">
        <f t="shared" si="1"/>
        <v>216</v>
      </c>
      <c r="AP13" s="18">
        <f t="shared" si="2"/>
        <v>0</v>
      </c>
      <c r="AQ13" s="18">
        <f t="shared" si="3"/>
        <v>12</v>
      </c>
      <c r="AR13" s="26"/>
      <c r="AT13" s="7">
        <v>45186</v>
      </c>
      <c r="AU13" s="8">
        <v>0.33333333333333331</v>
      </c>
      <c r="AV13" s="8">
        <v>0.83333333333333337</v>
      </c>
      <c r="AW13" s="10">
        <f t="shared" si="4"/>
        <v>8</v>
      </c>
      <c r="AX13" s="10">
        <f t="shared" si="5"/>
        <v>20</v>
      </c>
      <c r="AY13" s="10">
        <f t="shared" si="6"/>
        <v>12</v>
      </c>
      <c r="AZ13" s="10">
        <f t="shared" si="7"/>
        <v>0</v>
      </c>
      <c r="BA13" s="27"/>
    </row>
    <row r="14" spans="1:53" x14ac:dyDescent="0.35">
      <c r="A14" s="41">
        <v>45181</v>
      </c>
      <c r="B14" s="12">
        <v>0.375</v>
      </c>
      <c r="C14" s="12">
        <v>0.875</v>
      </c>
      <c r="D14" s="14">
        <f t="shared" ref="D14" si="23">B14*24</f>
        <v>9</v>
      </c>
      <c r="E14" s="14">
        <f t="shared" ref="E14" si="24">C14*24</f>
        <v>21</v>
      </c>
      <c r="F14" s="14">
        <f t="shared" ref="F14" si="25">E14-D14</f>
        <v>12</v>
      </c>
      <c r="G14" s="14">
        <f t="shared" ref="G14" si="26">IF(B14="",0,12-F14)</f>
        <v>0</v>
      </c>
      <c r="H14" s="36"/>
      <c r="J14" s="15">
        <v>45181</v>
      </c>
      <c r="K14" s="16">
        <v>9</v>
      </c>
      <c r="L14" s="16">
        <v>9</v>
      </c>
      <c r="M14" s="18">
        <f t="shared" si="11"/>
        <v>216</v>
      </c>
      <c r="N14" s="18">
        <f t="shared" si="12"/>
        <v>216</v>
      </c>
      <c r="O14" s="18">
        <f t="shared" si="13"/>
        <v>0</v>
      </c>
      <c r="P14" s="18">
        <f t="shared" si="14"/>
        <v>12</v>
      </c>
      <c r="Q14" s="26"/>
      <c r="S14" s="7">
        <v>45181</v>
      </c>
      <c r="T14" s="8">
        <v>0.40625</v>
      </c>
      <c r="U14" s="8">
        <v>0.90625</v>
      </c>
      <c r="V14" s="10">
        <f t="shared" si="15"/>
        <v>9.75</v>
      </c>
      <c r="W14" s="10">
        <f t="shared" si="16"/>
        <v>21.75</v>
      </c>
      <c r="X14" s="10">
        <f t="shared" si="17"/>
        <v>12</v>
      </c>
      <c r="Y14" s="10">
        <f t="shared" si="18"/>
        <v>0</v>
      </c>
      <c r="Z14" s="27"/>
      <c r="AB14" s="7">
        <v>45181</v>
      </c>
      <c r="AC14" s="8">
        <v>0.41666666666666669</v>
      </c>
      <c r="AD14" s="8">
        <v>0.91666666666666663</v>
      </c>
      <c r="AE14" s="10">
        <f t="shared" si="19"/>
        <v>10</v>
      </c>
      <c r="AF14" s="10">
        <f t="shared" si="20"/>
        <v>22</v>
      </c>
      <c r="AG14" s="10">
        <f t="shared" si="21"/>
        <v>12</v>
      </c>
      <c r="AH14" s="10">
        <f t="shared" si="22"/>
        <v>0</v>
      </c>
      <c r="AI14" s="27"/>
      <c r="AK14" s="7">
        <v>45184</v>
      </c>
      <c r="AL14" s="16">
        <v>9</v>
      </c>
      <c r="AM14" s="16">
        <v>9</v>
      </c>
      <c r="AN14" s="18">
        <f t="shared" si="0"/>
        <v>216</v>
      </c>
      <c r="AO14" s="18">
        <f t="shared" si="1"/>
        <v>216</v>
      </c>
      <c r="AP14" s="18">
        <f t="shared" si="2"/>
        <v>0</v>
      </c>
      <c r="AQ14" s="18">
        <f t="shared" si="3"/>
        <v>12</v>
      </c>
      <c r="AR14" s="26"/>
      <c r="AT14" s="7">
        <v>45187</v>
      </c>
      <c r="AU14" s="8">
        <v>0.33333333333333331</v>
      </c>
      <c r="AV14" s="8">
        <v>0.83333333333333337</v>
      </c>
      <c r="AW14" s="10">
        <f t="shared" si="4"/>
        <v>8</v>
      </c>
      <c r="AX14" s="10">
        <f t="shared" si="5"/>
        <v>20</v>
      </c>
      <c r="AY14" s="10">
        <f t="shared" si="6"/>
        <v>12</v>
      </c>
      <c r="AZ14" s="10">
        <f t="shared" si="7"/>
        <v>0</v>
      </c>
      <c r="BA14" s="27"/>
    </row>
    <row r="15" spans="1:53" x14ac:dyDescent="0.35">
      <c r="A15" s="7">
        <v>45182</v>
      </c>
      <c r="B15" s="8">
        <v>0.4236111111111111</v>
      </c>
      <c r="C15" s="8">
        <v>0.91666666666666663</v>
      </c>
      <c r="D15" s="10">
        <f t="shared" si="8"/>
        <v>10.166666666666666</v>
      </c>
      <c r="E15" s="10">
        <f t="shared" si="8"/>
        <v>22</v>
      </c>
      <c r="F15" s="10">
        <f t="shared" si="9"/>
        <v>11.833333333333334</v>
      </c>
      <c r="G15" s="10">
        <f t="shared" si="10"/>
        <v>0.16666666666666607</v>
      </c>
      <c r="H15" s="27">
        <v>1000</v>
      </c>
      <c r="J15" s="7">
        <v>45182</v>
      </c>
      <c r="K15" s="8">
        <v>0.40625</v>
      </c>
      <c r="L15" s="8">
        <v>0.90625</v>
      </c>
      <c r="M15" s="10">
        <f t="shared" si="11"/>
        <v>9.75</v>
      </c>
      <c r="N15" s="10">
        <f t="shared" si="12"/>
        <v>21.75</v>
      </c>
      <c r="O15" s="10">
        <f t="shared" si="13"/>
        <v>12</v>
      </c>
      <c r="P15" s="10">
        <f t="shared" si="14"/>
        <v>0</v>
      </c>
      <c r="Q15" s="27"/>
      <c r="S15" s="7">
        <v>45182</v>
      </c>
      <c r="T15" s="8">
        <v>0.40625</v>
      </c>
      <c r="U15" s="8">
        <v>0.90625</v>
      </c>
      <c r="V15" s="10">
        <f t="shared" si="15"/>
        <v>9.75</v>
      </c>
      <c r="W15" s="10">
        <f t="shared" si="16"/>
        <v>21.75</v>
      </c>
      <c r="X15" s="10">
        <f t="shared" si="17"/>
        <v>12</v>
      </c>
      <c r="Y15" s="10">
        <f t="shared" si="18"/>
        <v>0</v>
      </c>
      <c r="Z15" s="27"/>
      <c r="AB15" s="7">
        <v>45182</v>
      </c>
      <c r="AC15" s="8">
        <v>0.33333333333333331</v>
      </c>
      <c r="AD15" s="8">
        <v>0.66666666666666663</v>
      </c>
      <c r="AE15" s="10">
        <f t="shared" si="19"/>
        <v>8</v>
      </c>
      <c r="AF15" s="10">
        <f t="shared" si="20"/>
        <v>16</v>
      </c>
      <c r="AG15" s="10">
        <f t="shared" si="21"/>
        <v>8</v>
      </c>
      <c r="AH15" s="10">
        <f t="shared" si="22"/>
        <v>4</v>
      </c>
      <c r="AI15" s="27"/>
      <c r="AK15" s="7">
        <v>45185</v>
      </c>
      <c r="AL15" s="16">
        <v>9</v>
      </c>
      <c r="AM15" s="16">
        <v>9</v>
      </c>
      <c r="AN15" s="18">
        <f t="shared" si="0"/>
        <v>216</v>
      </c>
      <c r="AO15" s="18">
        <f t="shared" si="1"/>
        <v>216</v>
      </c>
      <c r="AP15" s="18">
        <f t="shared" si="2"/>
        <v>0</v>
      </c>
      <c r="AQ15" s="18">
        <f t="shared" si="3"/>
        <v>12</v>
      </c>
      <c r="AR15" s="26"/>
      <c r="AT15" s="7">
        <v>45188</v>
      </c>
      <c r="AU15" s="8">
        <v>0.33333333333333331</v>
      </c>
      <c r="AV15" s="8">
        <v>0.83333333333333337</v>
      </c>
      <c r="AW15" s="10">
        <f t="shared" si="4"/>
        <v>8</v>
      </c>
      <c r="AX15" s="10">
        <f t="shared" si="5"/>
        <v>20</v>
      </c>
      <c r="AY15" s="10">
        <f t="shared" si="6"/>
        <v>12</v>
      </c>
      <c r="AZ15" s="10">
        <f t="shared" si="7"/>
        <v>0</v>
      </c>
      <c r="BA15" s="27"/>
    </row>
    <row r="16" spans="1:53" x14ac:dyDescent="0.35">
      <c r="A16" s="7">
        <v>45183</v>
      </c>
      <c r="B16" s="8">
        <v>0.4236111111111111</v>
      </c>
      <c r="C16" s="8">
        <v>0.91666666666666663</v>
      </c>
      <c r="D16" s="10">
        <f t="shared" si="8"/>
        <v>10.166666666666666</v>
      </c>
      <c r="E16" s="10">
        <f t="shared" si="8"/>
        <v>22</v>
      </c>
      <c r="F16" s="10">
        <f t="shared" si="9"/>
        <v>11.833333333333334</v>
      </c>
      <c r="G16" s="10">
        <f t="shared" si="10"/>
        <v>0.16666666666666607</v>
      </c>
      <c r="H16" s="27">
        <v>700</v>
      </c>
      <c r="J16" s="7">
        <v>45183</v>
      </c>
      <c r="K16" s="8">
        <v>0.40625</v>
      </c>
      <c r="L16" s="8">
        <v>0.90625</v>
      </c>
      <c r="M16" s="10">
        <f t="shared" si="11"/>
        <v>9.75</v>
      </c>
      <c r="N16" s="10">
        <f t="shared" si="12"/>
        <v>21.75</v>
      </c>
      <c r="O16" s="10">
        <f t="shared" si="13"/>
        <v>12</v>
      </c>
      <c r="P16" s="10">
        <f t="shared" si="14"/>
        <v>0</v>
      </c>
      <c r="Q16" s="27">
        <v>1300</v>
      </c>
      <c r="S16" s="7">
        <v>45183</v>
      </c>
      <c r="T16" s="8">
        <v>0.40625</v>
      </c>
      <c r="U16" s="8">
        <v>0.90625</v>
      </c>
      <c r="V16" s="10">
        <f t="shared" si="15"/>
        <v>9.75</v>
      </c>
      <c r="W16" s="10">
        <f t="shared" si="16"/>
        <v>21.75</v>
      </c>
      <c r="X16" s="10">
        <f t="shared" si="17"/>
        <v>12</v>
      </c>
      <c r="Y16" s="10">
        <f t="shared" si="18"/>
        <v>0</v>
      </c>
      <c r="Z16" s="27"/>
      <c r="AB16" s="7">
        <v>45183</v>
      </c>
      <c r="AC16" s="8">
        <v>0.33333333333333331</v>
      </c>
      <c r="AD16" s="8">
        <v>0.66666666666666663</v>
      </c>
      <c r="AE16" s="10">
        <f t="shared" si="19"/>
        <v>8</v>
      </c>
      <c r="AF16" s="10">
        <f t="shared" si="20"/>
        <v>16</v>
      </c>
      <c r="AG16" s="10">
        <f t="shared" si="21"/>
        <v>8</v>
      </c>
      <c r="AH16" s="10">
        <f t="shared" si="22"/>
        <v>4</v>
      </c>
      <c r="AI16" s="27"/>
      <c r="AK16" s="7">
        <v>45186</v>
      </c>
      <c r="AL16" s="8">
        <v>0.33333333333333331</v>
      </c>
      <c r="AM16" s="8">
        <v>0.83333333333333337</v>
      </c>
      <c r="AN16" s="10">
        <f t="shared" si="0"/>
        <v>8</v>
      </c>
      <c r="AO16" s="10">
        <f t="shared" si="1"/>
        <v>20</v>
      </c>
      <c r="AP16" s="10">
        <f t="shared" si="2"/>
        <v>12</v>
      </c>
      <c r="AQ16" s="10">
        <f t="shared" si="3"/>
        <v>0</v>
      </c>
      <c r="AR16" s="27"/>
      <c r="AT16" s="37">
        <v>45189</v>
      </c>
      <c r="AU16" s="12">
        <v>0.375</v>
      </c>
      <c r="AV16" s="12">
        <v>0.875</v>
      </c>
      <c r="AW16" s="14">
        <f t="shared" ref="AW16" si="27">AU16*24</f>
        <v>9</v>
      </c>
      <c r="AX16" s="14">
        <f t="shared" ref="AX16" si="28">AV16*24</f>
        <v>21</v>
      </c>
      <c r="AY16" s="14">
        <f t="shared" ref="AY16" si="29">AX16-AW16</f>
        <v>12</v>
      </c>
      <c r="AZ16" s="14">
        <f t="shared" ref="AZ16" si="30">IF(AU16="",0,12-AY16)</f>
        <v>0</v>
      </c>
      <c r="BA16" s="36"/>
    </row>
    <row r="17" spans="1:53" x14ac:dyDescent="0.35">
      <c r="A17" s="7">
        <v>45184</v>
      </c>
      <c r="B17" s="8">
        <v>0.4375</v>
      </c>
      <c r="C17" s="8">
        <v>0.91666666666666663</v>
      </c>
      <c r="D17" s="10">
        <f t="shared" si="8"/>
        <v>10.5</v>
      </c>
      <c r="E17" s="10">
        <f t="shared" si="8"/>
        <v>22</v>
      </c>
      <c r="F17" s="10">
        <f t="shared" si="9"/>
        <v>11.5</v>
      </c>
      <c r="G17" s="10">
        <f t="shared" si="10"/>
        <v>0.5</v>
      </c>
      <c r="H17" s="27"/>
      <c r="J17" s="15">
        <v>45184</v>
      </c>
      <c r="K17" s="16">
        <v>9</v>
      </c>
      <c r="L17" s="16">
        <v>9</v>
      </c>
      <c r="M17" s="18">
        <f t="shared" ref="M17" si="31">K17*24</f>
        <v>216</v>
      </c>
      <c r="N17" s="18">
        <f t="shared" ref="N17" si="32">L17*24</f>
        <v>216</v>
      </c>
      <c r="O17" s="18">
        <f t="shared" ref="O17" si="33">N17-M17</f>
        <v>0</v>
      </c>
      <c r="P17" s="18">
        <f t="shared" ref="P17" si="34">IF(K17="",0,12-O17)</f>
        <v>12</v>
      </c>
      <c r="Q17" s="26"/>
      <c r="S17" s="15">
        <v>45184</v>
      </c>
      <c r="T17" s="8">
        <v>0.40625</v>
      </c>
      <c r="U17" s="8">
        <v>0.90625</v>
      </c>
      <c r="V17" s="18">
        <f t="shared" si="15"/>
        <v>9.75</v>
      </c>
      <c r="W17" s="18">
        <f t="shared" si="16"/>
        <v>21.75</v>
      </c>
      <c r="X17" s="18">
        <f t="shared" si="17"/>
        <v>12</v>
      </c>
      <c r="Y17" s="18">
        <f t="shared" si="18"/>
        <v>0</v>
      </c>
      <c r="Z17" s="26"/>
      <c r="AB17" s="11">
        <v>45184</v>
      </c>
      <c r="AC17" s="12">
        <v>0.375</v>
      </c>
      <c r="AD17" s="12">
        <v>0.875</v>
      </c>
      <c r="AE17" s="14">
        <f t="shared" si="19"/>
        <v>9</v>
      </c>
      <c r="AF17" s="14">
        <f t="shared" si="20"/>
        <v>21</v>
      </c>
      <c r="AG17" s="14">
        <f t="shared" si="21"/>
        <v>12</v>
      </c>
      <c r="AH17" s="14">
        <f t="shared" si="22"/>
        <v>0</v>
      </c>
      <c r="AI17" s="36"/>
      <c r="AK17" s="7">
        <v>45187</v>
      </c>
      <c r="AL17" s="8">
        <v>0.33333333333333331</v>
      </c>
      <c r="AM17" s="8">
        <v>0.83333333333333337</v>
      </c>
      <c r="AN17" s="10">
        <f t="shared" si="0"/>
        <v>8</v>
      </c>
      <c r="AO17" s="10">
        <f t="shared" si="1"/>
        <v>20</v>
      </c>
      <c r="AP17" s="10">
        <f t="shared" si="2"/>
        <v>12</v>
      </c>
      <c r="AQ17" s="10">
        <f t="shared" si="3"/>
        <v>0</v>
      </c>
      <c r="AR17" s="27"/>
      <c r="AT17" s="7">
        <v>45190</v>
      </c>
      <c r="AU17" s="8">
        <v>0.33333333333333331</v>
      </c>
      <c r="AV17" s="8">
        <v>0.83333333333333337</v>
      </c>
      <c r="AW17" s="10">
        <f t="shared" si="4"/>
        <v>8</v>
      </c>
      <c r="AX17" s="10">
        <f t="shared" si="5"/>
        <v>20</v>
      </c>
      <c r="AY17" s="10">
        <f t="shared" si="6"/>
        <v>12</v>
      </c>
      <c r="AZ17" s="10">
        <f t="shared" si="7"/>
        <v>0</v>
      </c>
      <c r="BA17" s="27"/>
    </row>
    <row r="18" spans="1:53" x14ac:dyDescent="0.35">
      <c r="A18" s="7">
        <v>45185</v>
      </c>
      <c r="B18" s="8">
        <v>0.4375</v>
      </c>
      <c r="C18" s="8">
        <v>0.91666666666666663</v>
      </c>
      <c r="D18" s="10">
        <f t="shared" si="8"/>
        <v>10.5</v>
      </c>
      <c r="E18" s="10">
        <f t="shared" si="8"/>
        <v>22</v>
      </c>
      <c r="F18" s="10">
        <f t="shared" si="9"/>
        <v>11.5</v>
      </c>
      <c r="G18" s="10">
        <f t="shared" si="10"/>
        <v>0.5</v>
      </c>
      <c r="H18" s="27"/>
      <c r="J18" s="7">
        <v>45185</v>
      </c>
      <c r="K18" s="8">
        <v>0.41666666666666669</v>
      </c>
      <c r="L18" s="8">
        <v>0.91666666666666663</v>
      </c>
      <c r="M18" s="10">
        <f t="shared" si="11"/>
        <v>10</v>
      </c>
      <c r="N18" s="10">
        <f t="shared" si="12"/>
        <v>22</v>
      </c>
      <c r="O18" s="10">
        <f t="shared" si="13"/>
        <v>12</v>
      </c>
      <c r="P18" s="10">
        <f t="shared" si="14"/>
        <v>0</v>
      </c>
      <c r="Q18" s="27"/>
      <c r="S18" s="7">
        <v>45185</v>
      </c>
      <c r="T18" s="8">
        <v>0.40625</v>
      </c>
      <c r="U18" s="8">
        <v>0.90625</v>
      </c>
      <c r="V18" s="10">
        <f t="shared" si="15"/>
        <v>9.75</v>
      </c>
      <c r="W18" s="10">
        <f t="shared" si="16"/>
        <v>21.75</v>
      </c>
      <c r="X18" s="10">
        <f t="shared" si="17"/>
        <v>12</v>
      </c>
      <c r="Y18" s="10">
        <f t="shared" si="18"/>
        <v>0</v>
      </c>
      <c r="Z18" s="27"/>
      <c r="AB18" s="7">
        <v>45185</v>
      </c>
      <c r="AC18" s="8">
        <v>0.58333333333333337</v>
      </c>
      <c r="AD18" s="8">
        <v>0.91666666666666663</v>
      </c>
      <c r="AE18" s="10">
        <f t="shared" si="19"/>
        <v>14</v>
      </c>
      <c r="AF18" s="10">
        <f t="shared" si="20"/>
        <v>22</v>
      </c>
      <c r="AG18" s="10">
        <f t="shared" si="21"/>
        <v>8</v>
      </c>
      <c r="AH18" s="10">
        <f t="shared" si="22"/>
        <v>4</v>
      </c>
      <c r="AI18" s="27"/>
      <c r="AK18" s="7">
        <v>45188</v>
      </c>
      <c r="AL18" s="8">
        <v>0.39583333333333331</v>
      </c>
      <c r="AM18" s="8">
        <v>0.64583333333333337</v>
      </c>
      <c r="AN18" s="10">
        <f t="shared" si="0"/>
        <v>9.5</v>
      </c>
      <c r="AO18" s="10">
        <f t="shared" si="1"/>
        <v>15.5</v>
      </c>
      <c r="AP18" s="10">
        <f t="shared" si="2"/>
        <v>6</v>
      </c>
      <c r="AQ18" s="10">
        <f t="shared" si="3"/>
        <v>6</v>
      </c>
      <c r="AR18" s="27"/>
      <c r="AT18" s="7">
        <v>45191</v>
      </c>
      <c r="AU18" s="8">
        <v>0.33333333333333331</v>
      </c>
      <c r="AV18" s="8">
        <v>0.83333333333333337</v>
      </c>
      <c r="AW18" s="10">
        <f t="shared" si="4"/>
        <v>8</v>
      </c>
      <c r="AX18" s="10">
        <f t="shared" si="5"/>
        <v>20</v>
      </c>
      <c r="AY18" s="10">
        <f t="shared" si="6"/>
        <v>12</v>
      </c>
      <c r="AZ18" s="10">
        <f t="shared" si="7"/>
        <v>0</v>
      </c>
      <c r="BA18" s="27"/>
    </row>
    <row r="19" spans="1:53" x14ac:dyDescent="0.35">
      <c r="A19" s="7">
        <v>45186</v>
      </c>
      <c r="B19" s="8">
        <v>0.4236111111111111</v>
      </c>
      <c r="C19" s="8">
        <v>0.91666666666666663</v>
      </c>
      <c r="D19" s="10">
        <f t="shared" si="8"/>
        <v>10.166666666666666</v>
      </c>
      <c r="E19" s="10">
        <f t="shared" si="8"/>
        <v>22</v>
      </c>
      <c r="F19" s="10">
        <f t="shared" si="9"/>
        <v>11.833333333333334</v>
      </c>
      <c r="G19" s="10">
        <f t="shared" si="10"/>
        <v>0.16666666666666607</v>
      </c>
      <c r="H19" s="27"/>
      <c r="J19" s="7">
        <v>45186</v>
      </c>
      <c r="K19" s="8">
        <v>0.4375</v>
      </c>
      <c r="L19" s="8">
        <v>0.91666666666666663</v>
      </c>
      <c r="M19" s="10">
        <f t="shared" si="11"/>
        <v>10.5</v>
      </c>
      <c r="N19" s="10">
        <f t="shared" si="12"/>
        <v>22</v>
      </c>
      <c r="O19" s="10">
        <f t="shared" si="13"/>
        <v>11.5</v>
      </c>
      <c r="P19" s="10">
        <f t="shared" si="14"/>
        <v>0.5</v>
      </c>
      <c r="Q19" s="27">
        <v>3000</v>
      </c>
      <c r="S19" s="7">
        <v>45186</v>
      </c>
      <c r="T19" s="8">
        <v>0.40625</v>
      </c>
      <c r="U19" s="8">
        <v>0.90625</v>
      </c>
      <c r="V19" s="10">
        <f t="shared" si="15"/>
        <v>9.75</v>
      </c>
      <c r="W19" s="10">
        <f t="shared" si="16"/>
        <v>21.75</v>
      </c>
      <c r="X19" s="10">
        <f t="shared" si="17"/>
        <v>12</v>
      </c>
      <c r="Y19" s="10">
        <f t="shared" si="18"/>
        <v>0</v>
      </c>
      <c r="Z19" s="27"/>
      <c r="AB19" s="7">
        <v>45186</v>
      </c>
      <c r="AC19" s="8">
        <v>0.41666666666666669</v>
      </c>
      <c r="AD19" s="8">
        <v>0.91666666666666663</v>
      </c>
      <c r="AE19" s="10">
        <f t="shared" si="19"/>
        <v>10</v>
      </c>
      <c r="AF19" s="10">
        <f t="shared" si="20"/>
        <v>22</v>
      </c>
      <c r="AG19" s="10">
        <f t="shared" si="21"/>
        <v>12</v>
      </c>
      <c r="AH19" s="10">
        <f t="shared" si="22"/>
        <v>0</v>
      </c>
      <c r="AI19" s="27"/>
      <c r="AK19" s="7">
        <v>45189</v>
      </c>
      <c r="AL19" s="8">
        <v>0.33333333333333331</v>
      </c>
      <c r="AM19" s="8">
        <v>0.83333333333333337</v>
      </c>
      <c r="AN19" s="10">
        <f t="shared" si="0"/>
        <v>8</v>
      </c>
      <c r="AO19" s="10">
        <f t="shared" si="1"/>
        <v>20</v>
      </c>
      <c r="AP19" s="10">
        <f t="shared" si="2"/>
        <v>12</v>
      </c>
      <c r="AQ19" s="10">
        <f t="shared" si="3"/>
        <v>0</v>
      </c>
      <c r="AR19" s="27"/>
      <c r="AT19" s="7">
        <v>45192</v>
      </c>
      <c r="AU19" s="8">
        <v>0.33333333333333331</v>
      </c>
      <c r="AV19" s="8">
        <v>0.83333333333333337</v>
      </c>
      <c r="AW19" s="10">
        <f t="shared" si="4"/>
        <v>8</v>
      </c>
      <c r="AX19" s="10">
        <f>AV19*24</f>
        <v>20</v>
      </c>
      <c r="AY19" s="10">
        <f t="shared" si="6"/>
        <v>12</v>
      </c>
      <c r="AZ19" s="10">
        <f t="shared" si="7"/>
        <v>0</v>
      </c>
      <c r="BA19" s="27"/>
    </row>
    <row r="20" spans="1:53" x14ac:dyDescent="0.35">
      <c r="A20" s="7">
        <v>45187</v>
      </c>
      <c r="B20" s="8">
        <v>0.4236111111111111</v>
      </c>
      <c r="C20" s="8">
        <v>0.91666666666666663</v>
      </c>
      <c r="D20" s="10">
        <f t="shared" si="8"/>
        <v>10.166666666666666</v>
      </c>
      <c r="E20" s="10">
        <f t="shared" si="8"/>
        <v>22</v>
      </c>
      <c r="F20" s="10">
        <f t="shared" si="9"/>
        <v>11.833333333333334</v>
      </c>
      <c r="G20" s="10">
        <f>IF(B20="",0,12-F20)</f>
        <v>0.16666666666666607</v>
      </c>
      <c r="H20" s="27"/>
      <c r="J20" s="11">
        <v>45187</v>
      </c>
      <c r="K20" s="12">
        <v>0.375</v>
      </c>
      <c r="L20" s="12">
        <v>0.875</v>
      </c>
      <c r="M20" s="14">
        <f t="shared" si="11"/>
        <v>9</v>
      </c>
      <c r="N20" s="14">
        <f t="shared" si="12"/>
        <v>21</v>
      </c>
      <c r="O20" s="14">
        <f t="shared" si="13"/>
        <v>12</v>
      </c>
      <c r="P20" s="14">
        <f t="shared" si="14"/>
        <v>0</v>
      </c>
      <c r="Q20" s="36"/>
      <c r="S20" s="11">
        <v>45187</v>
      </c>
      <c r="T20" s="38">
        <v>0.39583333333333331</v>
      </c>
      <c r="U20" s="38">
        <v>0.89583333333333337</v>
      </c>
      <c r="V20" s="14">
        <f t="shared" si="15"/>
        <v>9.5</v>
      </c>
      <c r="W20" s="14">
        <f t="shared" si="16"/>
        <v>21.5</v>
      </c>
      <c r="X20" s="14">
        <f t="shared" si="17"/>
        <v>12</v>
      </c>
      <c r="Y20" s="14">
        <f t="shared" si="18"/>
        <v>0</v>
      </c>
      <c r="Z20" s="36"/>
      <c r="AB20" s="7">
        <v>45187</v>
      </c>
      <c r="AC20" s="8">
        <v>0.58333333333333337</v>
      </c>
      <c r="AD20" s="8">
        <v>0.91666666666666663</v>
      </c>
      <c r="AE20" s="10">
        <f t="shared" si="19"/>
        <v>14</v>
      </c>
      <c r="AF20" s="10">
        <f t="shared" si="20"/>
        <v>22</v>
      </c>
      <c r="AG20" s="10">
        <f t="shared" si="21"/>
        <v>8</v>
      </c>
      <c r="AH20" s="10">
        <f t="shared" si="22"/>
        <v>4</v>
      </c>
      <c r="AI20" s="27"/>
      <c r="AK20" s="7">
        <v>45190</v>
      </c>
      <c r="AL20" s="8"/>
      <c r="AM20" s="8"/>
      <c r="AN20" s="10">
        <f t="shared" si="0"/>
        <v>0</v>
      </c>
      <c r="AO20" s="10">
        <f t="shared" si="1"/>
        <v>0</v>
      </c>
      <c r="AP20" s="10">
        <f t="shared" si="2"/>
        <v>0</v>
      </c>
      <c r="AQ20" s="10">
        <f t="shared" si="3"/>
        <v>0</v>
      </c>
      <c r="AR20" s="27"/>
      <c r="AT20" s="7">
        <v>45193</v>
      </c>
      <c r="AU20" s="8">
        <v>0.33333333333333331</v>
      </c>
      <c r="AV20" s="8">
        <v>0.83333333333333337</v>
      </c>
      <c r="AW20" s="10">
        <f t="shared" si="4"/>
        <v>8</v>
      </c>
      <c r="AX20" s="10">
        <f t="shared" ref="AX20:AX26" si="35">AV20*24</f>
        <v>20</v>
      </c>
      <c r="AY20" s="10">
        <f t="shared" si="6"/>
        <v>12</v>
      </c>
      <c r="AZ20" s="10">
        <f t="shared" si="7"/>
        <v>0</v>
      </c>
      <c r="BA20" s="27"/>
    </row>
    <row r="21" spans="1:53" x14ac:dyDescent="0.35">
      <c r="A21" s="11">
        <v>45188</v>
      </c>
      <c r="B21" s="12">
        <v>0.375</v>
      </c>
      <c r="C21" s="12">
        <v>0.875</v>
      </c>
      <c r="D21" s="14">
        <f t="shared" si="8"/>
        <v>9</v>
      </c>
      <c r="E21" s="14">
        <f t="shared" si="8"/>
        <v>21</v>
      </c>
      <c r="F21" s="14">
        <f t="shared" si="9"/>
        <v>12</v>
      </c>
      <c r="G21" s="14">
        <f t="shared" si="10"/>
        <v>0</v>
      </c>
      <c r="H21" s="36">
        <v>1000</v>
      </c>
      <c r="J21" s="7">
        <v>45188</v>
      </c>
      <c r="K21" s="8">
        <v>0.4375</v>
      </c>
      <c r="L21" s="8">
        <v>0.91666666666666663</v>
      </c>
      <c r="M21" s="10">
        <f t="shared" si="11"/>
        <v>10.5</v>
      </c>
      <c r="N21" s="10">
        <f t="shared" si="12"/>
        <v>22</v>
      </c>
      <c r="O21" s="10">
        <f t="shared" si="13"/>
        <v>11.5</v>
      </c>
      <c r="P21" s="10">
        <f t="shared" si="14"/>
        <v>0.5</v>
      </c>
      <c r="Q21" s="27"/>
      <c r="S21" s="7">
        <v>45188</v>
      </c>
      <c r="T21" s="8">
        <v>0.40625</v>
      </c>
      <c r="U21" s="8">
        <v>0.90625</v>
      </c>
      <c r="V21" s="10">
        <f t="shared" si="15"/>
        <v>9.75</v>
      </c>
      <c r="W21" s="10">
        <f t="shared" si="16"/>
        <v>21.75</v>
      </c>
      <c r="X21" s="10">
        <f t="shared" si="17"/>
        <v>12</v>
      </c>
      <c r="Y21" s="10">
        <f t="shared" si="18"/>
        <v>0</v>
      </c>
      <c r="Z21" s="27"/>
      <c r="AB21" s="7">
        <v>45188</v>
      </c>
      <c r="AC21" s="8">
        <v>0.58333333333333337</v>
      </c>
      <c r="AD21" s="8">
        <v>0.91666666666666663</v>
      </c>
      <c r="AE21" s="10">
        <f t="shared" si="19"/>
        <v>14</v>
      </c>
      <c r="AF21" s="10">
        <f t="shared" si="20"/>
        <v>22</v>
      </c>
      <c r="AG21" s="10">
        <f t="shared" si="21"/>
        <v>8</v>
      </c>
      <c r="AH21" s="10">
        <f t="shared" si="22"/>
        <v>4</v>
      </c>
      <c r="AI21" s="27"/>
      <c r="AK21" s="7">
        <v>45191</v>
      </c>
      <c r="AL21" s="8"/>
      <c r="AM21" s="8"/>
      <c r="AN21" s="10">
        <f t="shared" si="0"/>
        <v>0</v>
      </c>
      <c r="AO21" s="10">
        <f t="shared" si="1"/>
        <v>0</v>
      </c>
      <c r="AP21" s="10">
        <f t="shared" si="2"/>
        <v>0</v>
      </c>
      <c r="AQ21" s="10">
        <f t="shared" si="3"/>
        <v>0</v>
      </c>
      <c r="AR21" s="27"/>
      <c r="AT21" s="7">
        <v>45194</v>
      </c>
      <c r="AU21" s="8">
        <v>0.33333333333333331</v>
      </c>
      <c r="AV21" s="8">
        <v>0.83333333333333337</v>
      </c>
      <c r="AW21" s="10">
        <f t="shared" si="4"/>
        <v>8</v>
      </c>
      <c r="AX21" s="10">
        <f t="shared" si="35"/>
        <v>20</v>
      </c>
      <c r="AY21" s="10">
        <f t="shared" si="6"/>
        <v>12</v>
      </c>
      <c r="AZ21" s="10">
        <f t="shared" si="7"/>
        <v>0</v>
      </c>
      <c r="BA21" s="27"/>
    </row>
    <row r="22" spans="1:53" x14ac:dyDescent="0.35">
      <c r="A22" s="7">
        <v>45189</v>
      </c>
      <c r="B22" s="8">
        <v>0.41666666666666669</v>
      </c>
      <c r="C22" s="8">
        <v>0.91666666666666663</v>
      </c>
      <c r="D22" s="10">
        <f t="shared" si="8"/>
        <v>10</v>
      </c>
      <c r="E22" s="10">
        <f t="shared" si="8"/>
        <v>22</v>
      </c>
      <c r="F22" s="10">
        <f t="shared" si="9"/>
        <v>12</v>
      </c>
      <c r="G22" s="10">
        <f t="shared" si="10"/>
        <v>0</v>
      </c>
      <c r="H22" s="27"/>
      <c r="J22" s="7">
        <v>45189</v>
      </c>
      <c r="K22" s="8">
        <v>0.41666666666666669</v>
      </c>
      <c r="L22" s="8">
        <v>0.91666666666666663</v>
      </c>
      <c r="M22" s="10">
        <f t="shared" si="11"/>
        <v>10</v>
      </c>
      <c r="N22" s="10">
        <f t="shared" si="12"/>
        <v>22</v>
      </c>
      <c r="O22" s="10">
        <f t="shared" si="13"/>
        <v>12</v>
      </c>
      <c r="P22" s="10">
        <f t="shared" si="14"/>
        <v>0</v>
      </c>
      <c r="Q22" s="27"/>
      <c r="S22" s="7">
        <v>45189</v>
      </c>
      <c r="T22" s="8">
        <v>0.40625</v>
      </c>
      <c r="U22" s="8">
        <v>0.90625</v>
      </c>
      <c r="V22" s="10">
        <f t="shared" si="15"/>
        <v>9.75</v>
      </c>
      <c r="W22" s="10">
        <f t="shared" si="16"/>
        <v>21.75</v>
      </c>
      <c r="X22" s="10">
        <f t="shared" si="17"/>
        <v>12</v>
      </c>
      <c r="Y22" s="10">
        <f t="shared" si="18"/>
        <v>0</v>
      </c>
      <c r="Z22" s="27"/>
      <c r="AB22" s="7">
        <v>45189</v>
      </c>
      <c r="AC22" s="8">
        <v>0.58333333333333337</v>
      </c>
      <c r="AD22" s="8">
        <v>0.91666666666666663</v>
      </c>
      <c r="AE22" s="10">
        <f t="shared" si="19"/>
        <v>14</v>
      </c>
      <c r="AF22" s="10">
        <f t="shared" si="20"/>
        <v>22</v>
      </c>
      <c r="AG22" s="10">
        <f t="shared" si="21"/>
        <v>8</v>
      </c>
      <c r="AH22" s="10">
        <f t="shared" si="22"/>
        <v>4</v>
      </c>
      <c r="AI22" s="27"/>
      <c r="AK22" s="7">
        <v>45192</v>
      </c>
      <c r="AL22" s="8"/>
      <c r="AM22" s="8"/>
      <c r="AN22" s="10">
        <f t="shared" si="0"/>
        <v>0</v>
      </c>
      <c r="AO22" s="10">
        <f>AM22*24</f>
        <v>0</v>
      </c>
      <c r="AP22" s="10">
        <f t="shared" si="2"/>
        <v>0</v>
      </c>
      <c r="AQ22" s="10">
        <f t="shared" si="3"/>
        <v>0</v>
      </c>
      <c r="AR22" s="27"/>
      <c r="AT22" s="7">
        <v>45195</v>
      </c>
      <c r="AU22" s="8">
        <v>0.33333333333333331</v>
      </c>
      <c r="AV22" s="8">
        <v>0.83333333333333337</v>
      </c>
      <c r="AW22" s="10">
        <f t="shared" si="4"/>
        <v>8</v>
      </c>
      <c r="AX22" s="10">
        <f t="shared" si="35"/>
        <v>20</v>
      </c>
      <c r="AY22" s="10">
        <f t="shared" si="6"/>
        <v>12</v>
      </c>
      <c r="AZ22" s="10">
        <f t="shared" si="7"/>
        <v>0</v>
      </c>
      <c r="BA22" s="27"/>
    </row>
    <row r="23" spans="1:53" x14ac:dyDescent="0.35">
      <c r="A23" s="7">
        <v>45190</v>
      </c>
      <c r="B23" s="8">
        <v>0.4236111111111111</v>
      </c>
      <c r="C23" s="8">
        <v>0.91666666666666663</v>
      </c>
      <c r="D23" s="10">
        <f t="shared" ref="D23:E32" si="36">B23*24</f>
        <v>10.166666666666666</v>
      </c>
      <c r="E23" s="10">
        <f t="shared" si="36"/>
        <v>22</v>
      </c>
      <c r="F23" s="10">
        <f t="shared" si="9"/>
        <v>11.833333333333334</v>
      </c>
      <c r="G23" s="10">
        <f t="shared" si="10"/>
        <v>0.16666666666666607</v>
      </c>
      <c r="H23" s="27">
        <v>100</v>
      </c>
      <c r="J23" s="7">
        <v>45190</v>
      </c>
      <c r="K23" s="8">
        <v>0.4236111111111111</v>
      </c>
      <c r="L23" s="8">
        <v>0.875</v>
      </c>
      <c r="M23" s="10">
        <f t="shared" si="11"/>
        <v>10.166666666666666</v>
      </c>
      <c r="N23" s="10">
        <f t="shared" si="12"/>
        <v>21</v>
      </c>
      <c r="O23" s="10">
        <f t="shared" si="13"/>
        <v>10.833333333333334</v>
      </c>
      <c r="P23" s="10">
        <f t="shared" si="14"/>
        <v>1.1666666666666661</v>
      </c>
      <c r="Q23" s="27">
        <v>400</v>
      </c>
      <c r="S23" s="7">
        <v>45190</v>
      </c>
      <c r="T23" s="8">
        <v>0.40625</v>
      </c>
      <c r="U23" s="8">
        <v>0.90625</v>
      </c>
      <c r="V23" s="10">
        <f t="shared" si="15"/>
        <v>9.75</v>
      </c>
      <c r="W23" s="10">
        <f t="shared" si="16"/>
        <v>21.75</v>
      </c>
      <c r="X23" s="10">
        <f t="shared" si="17"/>
        <v>12</v>
      </c>
      <c r="Y23" s="10">
        <f t="shared" si="18"/>
        <v>0</v>
      </c>
      <c r="Z23" s="27"/>
      <c r="AB23" s="7">
        <v>45190</v>
      </c>
      <c r="AC23" s="8">
        <v>0.58333333333333337</v>
      </c>
      <c r="AD23" s="8">
        <v>0.91666666666666663</v>
      </c>
      <c r="AE23" s="10">
        <f t="shared" si="19"/>
        <v>14</v>
      </c>
      <c r="AF23" s="10">
        <f t="shared" si="20"/>
        <v>22</v>
      </c>
      <c r="AG23" s="10">
        <f t="shared" si="21"/>
        <v>8</v>
      </c>
      <c r="AH23" s="10">
        <f t="shared" si="22"/>
        <v>4</v>
      </c>
      <c r="AI23" s="27">
        <v>200</v>
      </c>
      <c r="AK23" s="7">
        <v>45193</v>
      </c>
      <c r="AL23" s="8"/>
      <c r="AM23" s="8"/>
      <c r="AN23" s="10">
        <f t="shared" si="0"/>
        <v>0</v>
      </c>
      <c r="AO23" s="10">
        <f t="shared" ref="AO23:AO29" si="37">AM23*24</f>
        <v>0</v>
      </c>
      <c r="AP23" s="10">
        <f t="shared" si="2"/>
        <v>0</v>
      </c>
      <c r="AQ23" s="10">
        <f t="shared" si="3"/>
        <v>0</v>
      </c>
      <c r="AR23" s="27"/>
      <c r="AT23" s="37">
        <v>45196</v>
      </c>
      <c r="AU23" s="12">
        <v>0.375</v>
      </c>
      <c r="AV23" s="12">
        <v>0.875</v>
      </c>
      <c r="AW23" s="14">
        <f t="shared" ref="AW23" si="38">AU23*24</f>
        <v>9</v>
      </c>
      <c r="AX23" s="14">
        <f t="shared" si="35"/>
        <v>21</v>
      </c>
      <c r="AY23" s="14">
        <f t="shared" ref="AY23" si="39">AX23-AW23</f>
        <v>12</v>
      </c>
      <c r="AZ23" s="14">
        <f t="shared" ref="AZ23" si="40">IF(AU23="",0,12-AY23)</f>
        <v>0</v>
      </c>
      <c r="BA23" s="36"/>
    </row>
    <row r="24" spans="1:53" x14ac:dyDescent="0.35">
      <c r="A24" s="15">
        <v>45191</v>
      </c>
      <c r="B24" s="16">
        <v>9</v>
      </c>
      <c r="C24" s="16">
        <v>9</v>
      </c>
      <c r="D24" s="18">
        <f t="shared" si="36"/>
        <v>216</v>
      </c>
      <c r="E24" s="18">
        <f t="shared" si="36"/>
        <v>216</v>
      </c>
      <c r="F24" s="18">
        <f t="shared" ref="F24" si="41">E24-D24</f>
        <v>0</v>
      </c>
      <c r="G24" s="18">
        <f t="shared" ref="G24" si="42">IF(B24="",0,12-F24)</f>
        <v>12</v>
      </c>
      <c r="H24" s="26"/>
      <c r="J24" s="7">
        <v>45191</v>
      </c>
      <c r="K24" s="8">
        <v>0.41666666666666669</v>
      </c>
      <c r="L24" s="8">
        <v>0.91666666666666663</v>
      </c>
      <c r="M24" s="10">
        <f t="shared" si="11"/>
        <v>10</v>
      </c>
      <c r="N24" s="10">
        <f t="shared" si="12"/>
        <v>22</v>
      </c>
      <c r="O24" s="10">
        <f t="shared" si="13"/>
        <v>12</v>
      </c>
      <c r="P24" s="10">
        <f t="shared" si="14"/>
        <v>0</v>
      </c>
      <c r="Q24" s="27"/>
      <c r="S24" s="7">
        <v>45191</v>
      </c>
      <c r="T24" s="8">
        <v>0.40625</v>
      </c>
      <c r="U24" s="8">
        <v>0.90625</v>
      </c>
      <c r="V24" s="10">
        <f t="shared" si="15"/>
        <v>9.75</v>
      </c>
      <c r="W24" s="10">
        <f t="shared" si="16"/>
        <v>21.75</v>
      </c>
      <c r="X24" s="10">
        <f t="shared" si="17"/>
        <v>12</v>
      </c>
      <c r="Y24" s="10">
        <f t="shared" si="18"/>
        <v>0</v>
      </c>
      <c r="Z24" s="27">
        <v>200</v>
      </c>
      <c r="AB24" s="11">
        <v>45191</v>
      </c>
      <c r="AC24" s="12">
        <v>0.375</v>
      </c>
      <c r="AD24" s="12">
        <v>0.875</v>
      </c>
      <c r="AE24" s="14">
        <f t="shared" si="19"/>
        <v>9</v>
      </c>
      <c r="AF24" s="14">
        <f t="shared" si="20"/>
        <v>21</v>
      </c>
      <c r="AG24" s="14">
        <f t="shared" si="21"/>
        <v>12</v>
      </c>
      <c r="AH24" s="14">
        <f t="shared" si="22"/>
        <v>0</v>
      </c>
      <c r="AI24" s="36"/>
      <c r="AK24" s="7">
        <v>45194</v>
      </c>
      <c r="AL24" s="8"/>
      <c r="AM24" s="8"/>
      <c r="AN24" s="10">
        <f t="shared" si="0"/>
        <v>0</v>
      </c>
      <c r="AO24" s="10">
        <f t="shared" si="37"/>
        <v>0</v>
      </c>
      <c r="AP24" s="10">
        <f t="shared" si="2"/>
        <v>0</v>
      </c>
      <c r="AQ24" s="10">
        <f t="shared" si="3"/>
        <v>0</v>
      </c>
      <c r="AR24" s="27"/>
      <c r="AT24" s="7">
        <v>45197</v>
      </c>
      <c r="AU24" s="8">
        <v>0.33333333333333331</v>
      </c>
      <c r="AV24" s="8">
        <v>0.83333333333333337</v>
      </c>
      <c r="AW24" s="10">
        <f t="shared" si="4"/>
        <v>8</v>
      </c>
      <c r="AX24" s="10">
        <f t="shared" si="35"/>
        <v>20</v>
      </c>
      <c r="AY24" s="10">
        <f t="shared" si="6"/>
        <v>12</v>
      </c>
      <c r="AZ24" s="10">
        <f t="shared" si="7"/>
        <v>0</v>
      </c>
      <c r="BA24" s="27"/>
    </row>
    <row r="25" spans="1:53" x14ac:dyDescent="0.35">
      <c r="A25" s="7">
        <v>45192</v>
      </c>
      <c r="B25" s="8">
        <v>0.41666666666666669</v>
      </c>
      <c r="C25" s="8">
        <v>0.91666666666666663</v>
      </c>
      <c r="D25" s="10">
        <f t="shared" si="36"/>
        <v>10</v>
      </c>
      <c r="E25" s="10">
        <f>C25*24</f>
        <v>22</v>
      </c>
      <c r="F25" s="10">
        <f t="shared" si="9"/>
        <v>12</v>
      </c>
      <c r="G25" s="10">
        <f t="shared" si="10"/>
        <v>0</v>
      </c>
      <c r="H25" s="27"/>
      <c r="J25" s="15">
        <v>45192</v>
      </c>
      <c r="K25" s="16">
        <v>9</v>
      </c>
      <c r="L25" s="16">
        <v>9</v>
      </c>
      <c r="M25" s="18">
        <f t="shared" si="11"/>
        <v>216</v>
      </c>
      <c r="N25" s="18">
        <f t="shared" si="12"/>
        <v>216</v>
      </c>
      <c r="O25" s="18">
        <f t="shared" si="13"/>
        <v>0</v>
      </c>
      <c r="P25" s="18">
        <f t="shared" si="14"/>
        <v>12</v>
      </c>
      <c r="Q25" s="26"/>
      <c r="S25" s="7">
        <v>45192</v>
      </c>
      <c r="T25" s="8">
        <v>0.40625</v>
      </c>
      <c r="U25" s="8">
        <v>0.90625</v>
      </c>
      <c r="V25" s="10">
        <f t="shared" si="15"/>
        <v>9.75</v>
      </c>
      <c r="W25" s="10">
        <f>U25*24</f>
        <v>21.75</v>
      </c>
      <c r="X25" s="10">
        <f t="shared" si="17"/>
        <v>12</v>
      </c>
      <c r="Y25" s="10">
        <f t="shared" si="18"/>
        <v>0</v>
      </c>
      <c r="Z25" s="27"/>
      <c r="AB25" s="7">
        <v>45192</v>
      </c>
      <c r="AC25" s="8">
        <v>0.58333333333333337</v>
      </c>
      <c r="AD25" s="8">
        <v>0.91666666666666663</v>
      </c>
      <c r="AE25" s="10">
        <f t="shared" si="19"/>
        <v>14</v>
      </c>
      <c r="AF25" s="10">
        <f>AD25*24</f>
        <v>22</v>
      </c>
      <c r="AG25" s="10">
        <f t="shared" si="21"/>
        <v>8</v>
      </c>
      <c r="AH25" s="10">
        <f t="shared" si="22"/>
        <v>4</v>
      </c>
      <c r="AI25" s="27"/>
      <c r="AK25" s="7">
        <v>45195</v>
      </c>
      <c r="AL25" s="8"/>
      <c r="AM25" s="8"/>
      <c r="AN25" s="10">
        <f t="shared" si="0"/>
        <v>0</v>
      </c>
      <c r="AO25" s="10">
        <f t="shared" si="37"/>
        <v>0</v>
      </c>
      <c r="AP25" s="10">
        <f t="shared" si="2"/>
        <v>0</v>
      </c>
      <c r="AQ25" s="10">
        <f t="shared" si="3"/>
        <v>0</v>
      </c>
      <c r="AR25" s="27"/>
      <c r="AT25" s="7">
        <v>45198</v>
      </c>
      <c r="AU25" s="8">
        <v>0.33333333333333331</v>
      </c>
      <c r="AV25" s="8">
        <v>0.83333333333333337</v>
      </c>
      <c r="AW25" s="10">
        <f t="shared" si="4"/>
        <v>8</v>
      </c>
      <c r="AX25" s="10">
        <f t="shared" si="35"/>
        <v>20</v>
      </c>
      <c r="AY25" s="10">
        <f t="shared" si="6"/>
        <v>12</v>
      </c>
      <c r="AZ25" s="10">
        <f t="shared" si="7"/>
        <v>0</v>
      </c>
      <c r="BA25" s="27"/>
    </row>
    <row r="26" spans="1:53" x14ac:dyDescent="0.35">
      <c r="A26" s="7">
        <v>45193</v>
      </c>
      <c r="B26" s="8">
        <v>0.41666666666666669</v>
      </c>
      <c r="C26" s="8">
        <v>0.91666666666666663</v>
      </c>
      <c r="D26" s="10">
        <f t="shared" si="36"/>
        <v>10</v>
      </c>
      <c r="E26" s="10">
        <f t="shared" si="36"/>
        <v>22</v>
      </c>
      <c r="F26" s="10">
        <f t="shared" si="9"/>
        <v>12</v>
      </c>
      <c r="G26" s="10">
        <f t="shared" si="10"/>
        <v>0</v>
      </c>
      <c r="H26" s="27"/>
      <c r="J26" s="7">
        <v>45193</v>
      </c>
      <c r="K26" s="8">
        <v>0.41666666666666669</v>
      </c>
      <c r="L26" s="8">
        <v>0.91666666666666663</v>
      </c>
      <c r="M26" s="10">
        <f t="shared" si="11"/>
        <v>10</v>
      </c>
      <c r="N26" s="10">
        <f t="shared" ref="N26:N32" si="43">L26*24</f>
        <v>22</v>
      </c>
      <c r="O26" s="10">
        <f t="shared" si="13"/>
        <v>12</v>
      </c>
      <c r="P26" s="10">
        <f t="shared" si="14"/>
        <v>0</v>
      </c>
      <c r="Q26" s="27"/>
      <c r="S26" s="7">
        <v>45193</v>
      </c>
      <c r="T26" s="8">
        <v>0.40625</v>
      </c>
      <c r="U26" s="8">
        <v>0.90625</v>
      </c>
      <c r="V26" s="10">
        <f t="shared" si="15"/>
        <v>9.75</v>
      </c>
      <c r="W26" s="10">
        <f t="shared" ref="W26:W32" si="44">U26*24</f>
        <v>21.75</v>
      </c>
      <c r="X26" s="10">
        <f t="shared" si="17"/>
        <v>12</v>
      </c>
      <c r="Y26" s="10">
        <f t="shared" si="18"/>
        <v>0</v>
      </c>
      <c r="Z26" s="27"/>
      <c r="AB26" s="7">
        <v>45193</v>
      </c>
      <c r="AC26" s="8">
        <v>0.41666666666666669</v>
      </c>
      <c r="AD26" s="8">
        <v>0.91666666666666663</v>
      </c>
      <c r="AE26" s="10">
        <f t="shared" si="19"/>
        <v>10</v>
      </c>
      <c r="AF26" s="10">
        <f t="shared" ref="AF26:AF32" si="45">AD26*24</f>
        <v>22</v>
      </c>
      <c r="AG26" s="10">
        <f t="shared" si="21"/>
        <v>12</v>
      </c>
      <c r="AH26" s="10">
        <f t="shared" si="22"/>
        <v>0</v>
      </c>
      <c r="AI26" s="27"/>
      <c r="AK26" s="7">
        <v>45196</v>
      </c>
      <c r="AL26" s="8"/>
      <c r="AM26" s="8"/>
      <c r="AN26" s="10">
        <f t="shared" si="0"/>
        <v>0</v>
      </c>
      <c r="AO26" s="10">
        <f t="shared" si="37"/>
        <v>0</v>
      </c>
      <c r="AP26" s="10">
        <f t="shared" si="2"/>
        <v>0</v>
      </c>
      <c r="AQ26" s="10">
        <f t="shared" si="3"/>
        <v>0</v>
      </c>
      <c r="AR26" s="27"/>
      <c r="AT26" s="7">
        <v>45199</v>
      </c>
      <c r="AU26" s="8">
        <v>0.33333333333333331</v>
      </c>
      <c r="AV26" s="8">
        <v>0.83333333333333337</v>
      </c>
      <c r="AW26" s="10">
        <f t="shared" si="4"/>
        <v>8</v>
      </c>
      <c r="AX26" s="10">
        <f t="shared" si="35"/>
        <v>20</v>
      </c>
      <c r="AY26" s="10">
        <f t="shared" si="6"/>
        <v>12</v>
      </c>
      <c r="AZ26" s="10">
        <f t="shared" si="7"/>
        <v>0</v>
      </c>
      <c r="BA26" s="24"/>
    </row>
    <row r="27" spans="1:53" x14ac:dyDescent="0.35">
      <c r="A27" s="7">
        <v>45194</v>
      </c>
      <c r="B27" s="8">
        <v>0.41666666666666669</v>
      </c>
      <c r="C27" s="8">
        <v>0.91666666666666663</v>
      </c>
      <c r="D27" s="10">
        <f t="shared" si="36"/>
        <v>10</v>
      </c>
      <c r="E27" s="10">
        <f t="shared" si="36"/>
        <v>22</v>
      </c>
      <c r="F27" s="10">
        <f t="shared" si="9"/>
        <v>12</v>
      </c>
      <c r="G27" s="10">
        <f t="shared" si="10"/>
        <v>0</v>
      </c>
      <c r="H27" s="27"/>
      <c r="J27" s="11">
        <v>45194</v>
      </c>
      <c r="K27" s="12">
        <v>0.375</v>
      </c>
      <c r="L27" s="12">
        <v>0.875</v>
      </c>
      <c r="M27" s="14">
        <f t="shared" si="11"/>
        <v>9</v>
      </c>
      <c r="N27" s="14">
        <f t="shared" si="43"/>
        <v>21</v>
      </c>
      <c r="O27" s="14">
        <f t="shared" si="13"/>
        <v>12</v>
      </c>
      <c r="P27" s="14">
        <f t="shared" si="14"/>
        <v>0</v>
      </c>
      <c r="Q27" s="36"/>
      <c r="S27" s="11">
        <v>45194</v>
      </c>
      <c r="T27" s="38">
        <v>0.39583333333333331</v>
      </c>
      <c r="U27" s="38">
        <v>0.89583333333333337</v>
      </c>
      <c r="V27" s="14">
        <f t="shared" si="15"/>
        <v>9.5</v>
      </c>
      <c r="W27" s="14">
        <f t="shared" si="44"/>
        <v>21.5</v>
      </c>
      <c r="X27" s="14">
        <f t="shared" si="17"/>
        <v>12</v>
      </c>
      <c r="Y27" s="14">
        <f t="shared" si="18"/>
        <v>0</v>
      </c>
      <c r="Z27" s="36"/>
      <c r="AB27" s="7">
        <v>45194</v>
      </c>
      <c r="AC27" s="8">
        <v>0.58333333333333337</v>
      </c>
      <c r="AD27" s="8">
        <v>0.91666666666666663</v>
      </c>
      <c r="AE27" s="10">
        <f t="shared" si="19"/>
        <v>14</v>
      </c>
      <c r="AF27" s="10">
        <f t="shared" si="45"/>
        <v>22</v>
      </c>
      <c r="AG27" s="10">
        <f t="shared" si="21"/>
        <v>8</v>
      </c>
      <c r="AH27" s="10">
        <f t="shared" si="22"/>
        <v>4</v>
      </c>
      <c r="AI27" s="27"/>
      <c r="AK27" s="7">
        <v>45197</v>
      </c>
      <c r="AL27" s="8"/>
      <c r="AM27" s="8"/>
      <c r="AN27" s="10">
        <f t="shared" si="0"/>
        <v>0</v>
      </c>
      <c r="AO27" s="10">
        <f t="shared" si="37"/>
        <v>0</v>
      </c>
      <c r="AP27" s="10">
        <f t="shared" si="2"/>
        <v>0</v>
      </c>
      <c r="AQ27" s="10">
        <f t="shared" si="3"/>
        <v>0</v>
      </c>
      <c r="AR27" s="27"/>
      <c r="AT27" s="43" t="s">
        <v>7</v>
      </c>
      <c r="AU27" s="43"/>
      <c r="AV27" s="43"/>
      <c r="AW27" s="4"/>
      <c r="AX27" s="5"/>
      <c r="AY27" s="6">
        <f>SUM(AY3:AY26)</f>
        <v>278</v>
      </c>
      <c r="AZ27" s="6">
        <f>SUM(AZ3:AZ26)</f>
        <v>10</v>
      </c>
      <c r="BA27" s="27">
        <f>SUM(BA3:BA26)</f>
        <v>0</v>
      </c>
    </row>
    <row r="28" spans="1:53" x14ac:dyDescent="0.35">
      <c r="A28" s="7">
        <v>45195</v>
      </c>
      <c r="B28" s="8">
        <v>0.41666666666666669</v>
      </c>
      <c r="C28" s="8">
        <v>0.91666666666666663</v>
      </c>
      <c r="D28" s="10">
        <f t="shared" si="36"/>
        <v>10</v>
      </c>
      <c r="E28" s="10">
        <f t="shared" si="36"/>
        <v>22</v>
      </c>
      <c r="F28" s="10">
        <f t="shared" si="9"/>
        <v>12</v>
      </c>
      <c r="G28" s="10">
        <f t="shared" si="10"/>
        <v>0</v>
      </c>
      <c r="H28" s="27"/>
      <c r="J28" s="7">
        <v>45195</v>
      </c>
      <c r="K28" s="8">
        <v>0.41666666666666669</v>
      </c>
      <c r="L28" s="8">
        <v>0.91666666666666663</v>
      </c>
      <c r="M28" s="10">
        <f t="shared" si="11"/>
        <v>10</v>
      </c>
      <c r="N28" s="10">
        <f t="shared" si="43"/>
        <v>22</v>
      </c>
      <c r="O28" s="10">
        <f t="shared" si="13"/>
        <v>12</v>
      </c>
      <c r="P28" s="10">
        <f t="shared" si="14"/>
        <v>0</v>
      </c>
      <c r="Q28" s="27"/>
      <c r="S28" s="7">
        <v>45195</v>
      </c>
      <c r="T28" s="8">
        <v>0.40625</v>
      </c>
      <c r="U28" s="8">
        <v>0.90625</v>
      </c>
      <c r="V28" s="10">
        <f t="shared" si="15"/>
        <v>9.75</v>
      </c>
      <c r="W28" s="10">
        <f t="shared" si="44"/>
        <v>21.75</v>
      </c>
      <c r="X28" s="10">
        <f t="shared" si="17"/>
        <v>12</v>
      </c>
      <c r="Y28" s="10">
        <f t="shared" si="18"/>
        <v>0</v>
      </c>
      <c r="Z28" s="27"/>
      <c r="AB28" s="7">
        <v>45195</v>
      </c>
      <c r="AC28" s="8">
        <v>0.58333333333333337</v>
      </c>
      <c r="AD28" s="8">
        <v>0.91666666666666663</v>
      </c>
      <c r="AE28" s="10">
        <f t="shared" si="19"/>
        <v>14</v>
      </c>
      <c r="AF28" s="10">
        <f t="shared" si="45"/>
        <v>22</v>
      </c>
      <c r="AG28" s="10">
        <f t="shared" si="21"/>
        <v>8</v>
      </c>
      <c r="AH28" s="10">
        <f t="shared" si="22"/>
        <v>4</v>
      </c>
      <c r="AI28" s="27"/>
      <c r="AK28" s="7">
        <v>45198</v>
      </c>
      <c r="AL28" s="8"/>
      <c r="AM28" s="8"/>
      <c r="AN28" s="10">
        <f t="shared" si="0"/>
        <v>0</v>
      </c>
      <c r="AO28" s="10">
        <f t="shared" si="37"/>
        <v>0</v>
      </c>
      <c r="AP28" s="10">
        <f t="shared" si="2"/>
        <v>0</v>
      </c>
      <c r="AQ28" s="10">
        <f t="shared" si="3"/>
        <v>0</v>
      </c>
      <c r="AR28" s="27"/>
      <c r="AT28" s="43" t="s">
        <v>6</v>
      </c>
      <c r="AU28" s="43"/>
      <c r="AV28" s="43"/>
      <c r="AW28" s="4"/>
      <c r="AX28" s="5"/>
      <c r="AY28" s="27">
        <f>BA27</f>
        <v>0</v>
      </c>
      <c r="AZ28" s="10">
        <f>11000/(31*12)</f>
        <v>29.56989247311828</v>
      </c>
      <c r="BA28" s="27"/>
    </row>
    <row r="29" spans="1:53" x14ac:dyDescent="0.35">
      <c r="A29" s="7">
        <v>45196</v>
      </c>
      <c r="B29" s="8">
        <v>0.41666666666666669</v>
      </c>
      <c r="C29" s="8">
        <v>0.91666666666666663</v>
      </c>
      <c r="D29" s="10">
        <f t="shared" si="36"/>
        <v>10</v>
      </c>
      <c r="E29" s="10">
        <f t="shared" si="36"/>
        <v>22</v>
      </c>
      <c r="F29" s="10">
        <f t="shared" si="9"/>
        <v>12</v>
      </c>
      <c r="G29" s="10">
        <f t="shared" si="10"/>
        <v>0</v>
      </c>
      <c r="H29" s="27"/>
      <c r="J29" s="7">
        <v>45196</v>
      </c>
      <c r="K29" s="8">
        <v>0.41666666666666669</v>
      </c>
      <c r="L29" s="8">
        <v>0.91666666666666663</v>
      </c>
      <c r="M29" s="10">
        <f t="shared" si="11"/>
        <v>10</v>
      </c>
      <c r="N29" s="10">
        <f t="shared" si="43"/>
        <v>22</v>
      </c>
      <c r="O29" s="10">
        <f t="shared" si="13"/>
        <v>12</v>
      </c>
      <c r="P29" s="10">
        <f t="shared" si="14"/>
        <v>0</v>
      </c>
      <c r="Q29" s="27"/>
      <c r="S29" s="7">
        <v>45196</v>
      </c>
      <c r="T29" s="8">
        <v>0.40625</v>
      </c>
      <c r="U29" s="8">
        <v>0.90625</v>
      </c>
      <c r="V29" s="10">
        <f t="shared" si="15"/>
        <v>9.75</v>
      </c>
      <c r="W29" s="10">
        <f t="shared" si="44"/>
        <v>21.75</v>
      </c>
      <c r="X29" s="10">
        <f t="shared" si="17"/>
        <v>12</v>
      </c>
      <c r="Y29" s="10">
        <f t="shared" si="18"/>
        <v>0</v>
      </c>
      <c r="Z29" s="27"/>
      <c r="AB29" s="7">
        <v>45196</v>
      </c>
      <c r="AC29" s="8">
        <v>0.58333333333333337</v>
      </c>
      <c r="AD29" s="8">
        <v>0.91666666666666663</v>
      </c>
      <c r="AE29" s="10">
        <f t="shared" si="19"/>
        <v>14</v>
      </c>
      <c r="AF29" s="10">
        <f t="shared" si="45"/>
        <v>22</v>
      </c>
      <c r="AG29" s="10">
        <f t="shared" si="21"/>
        <v>8</v>
      </c>
      <c r="AH29" s="10">
        <f t="shared" si="22"/>
        <v>4</v>
      </c>
      <c r="AI29" s="27"/>
      <c r="AK29" s="7">
        <v>45199</v>
      </c>
      <c r="AL29" s="8"/>
      <c r="AM29" s="8"/>
      <c r="AN29" s="10">
        <f t="shared" si="0"/>
        <v>0</v>
      </c>
      <c r="AO29" s="10">
        <f t="shared" si="37"/>
        <v>0</v>
      </c>
      <c r="AP29" s="10">
        <f t="shared" si="2"/>
        <v>0</v>
      </c>
      <c r="AQ29" s="10">
        <f t="shared" si="3"/>
        <v>0</v>
      </c>
      <c r="AR29" s="24"/>
      <c r="AT29" s="43" t="s">
        <v>8</v>
      </c>
      <c r="AU29" s="43"/>
      <c r="AV29" s="43"/>
      <c r="AW29" s="4"/>
      <c r="AX29" s="5"/>
      <c r="AY29" s="27">
        <f>AY27*AZ28</f>
        <v>8220.4301075268813</v>
      </c>
      <c r="AZ29" s="5"/>
      <c r="BA29" s="27"/>
    </row>
    <row r="30" spans="1:53" x14ac:dyDescent="0.35">
      <c r="A30" s="7">
        <v>45197</v>
      </c>
      <c r="B30" s="8">
        <v>0.41666666666666669</v>
      </c>
      <c r="C30" s="8">
        <v>0.91666666666666663</v>
      </c>
      <c r="D30" s="10">
        <f t="shared" si="36"/>
        <v>10</v>
      </c>
      <c r="E30" s="10">
        <f t="shared" si="36"/>
        <v>22</v>
      </c>
      <c r="F30" s="10">
        <f t="shared" si="9"/>
        <v>12</v>
      </c>
      <c r="G30" s="10">
        <f t="shared" si="10"/>
        <v>0</v>
      </c>
      <c r="H30" s="27"/>
      <c r="J30" s="7">
        <v>45197</v>
      </c>
      <c r="K30" s="8">
        <v>0.41666666666666669</v>
      </c>
      <c r="L30" s="8">
        <v>0.91666666666666663</v>
      </c>
      <c r="M30" s="10">
        <f t="shared" si="11"/>
        <v>10</v>
      </c>
      <c r="N30" s="10">
        <f t="shared" si="43"/>
        <v>22</v>
      </c>
      <c r="O30" s="10">
        <f t="shared" si="13"/>
        <v>12</v>
      </c>
      <c r="P30" s="10">
        <f t="shared" si="14"/>
        <v>0</v>
      </c>
      <c r="Q30" s="27"/>
      <c r="S30" s="7">
        <v>45197</v>
      </c>
      <c r="T30" s="8">
        <v>0.40625</v>
      </c>
      <c r="U30" s="8">
        <v>0.90625</v>
      </c>
      <c r="V30" s="10">
        <f t="shared" si="15"/>
        <v>9.75</v>
      </c>
      <c r="W30" s="10">
        <f t="shared" si="44"/>
        <v>21.75</v>
      </c>
      <c r="X30" s="10">
        <f t="shared" si="17"/>
        <v>12</v>
      </c>
      <c r="Y30" s="10">
        <f t="shared" si="18"/>
        <v>0</v>
      </c>
      <c r="Z30" s="27"/>
      <c r="AB30" s="7">
        <v>45197</v>
      </c>
      <c r="AC30" s="8">
        <v>0.58333333333333337</v>
      </c>
      <c r="AD30" s="8">
        <v>0.91666666666666663</v>
      </c>
      <c r="AE30" s="10">
        <f t="shared" si="19"/>
        <v>14</v>
      </c>
      <c r="AF30" s="10">
        <f t="shared" si="45"/>
        <v>22</v>
      </c>
      <c r="AG30" s="10">
        <f t="shared" si="21"/>
        <v>8</v>
      </c>
      <c r="AH30" s="10">
        <f t="shared" si="22"/>
        <v>4</v>
      </c>
      <c r="AI30" s="27"/>
      <c r="AK30" s="43" t="s">
        <v>7</v>
      </c>
      <c r="AL30" s="43"/>
      <c r="AM30" s="43"/>
      <c r="AN30" s="4"/>
      <c r="AO30" s="5"/>
      <c r="AP30" s="6">
        <f>SUM(AP3:AP29)</f>
        <v>123</v>
      </c>
      <c r="AQ30" s="6">
        <f>SUM(AQ3:AQ29)</f>
        <v>81</v>
      </c>
      <c r="AR30" s="27">
        <f>SUM(AR3:AR29)</f>
        <v>0</v>
      </c>
      <c r="AT30" s="43" t="s">
        <v>9</v>
      </c>
      <c r="AU30" s="43"/>
      <c r="AV30" s="43"/>
      <c r="AW30" s="4"/>
      <c r="AX30" s="5"/>
      <c r="AY30" s="27">
        <f>ROUND(AY29-AY28-(AZ27*AZ28),0)</f>
        <v>7925</v>
      </c>
      <c r="AZ30" s="5"/>
      <c r="BA30" s="27"/>
    </row>
    <row r="31" spans="1:53" x14ac:dyDescent="0.35">
      <c r="A31" s="11">
        <v>45198</v>
      </c>
      <c r="B31" s="12">
        <v>0.375</v>
      </c>
      <c r="C31" s="12">
        <v>0.875</v>
      </c>
      <c r="D31" s="14">
        <f t="shared" si="36"/>
        <v>9</v>
      </c>
      <c r="E31" s="14">
        <f t="shared" si="36"/>
        <v>21</v>
      </c>
      <c r="F31" s="14">
        <f t="shared" si="9"/>
        <v>12</v>
      </c>
      <c r="G31" s="14">
        <f t="shared" si="10"/>
        <v>0</v>
      </c>
      <c r="H31" s="36">
        <v>1000</v>
      </c>
      <c r="J31" s="15">
        <v>45198</v>
      </c>
      <c r="K31" s="16">
        <v>9</v>
      </c>
      <c r="L31" s="16">
        <v>9</v>
      </c>
      <c r="M31" s="18">
        <f t="shared" ref="M31" si="46">K31*24</f>
        <v>216</v>
      </c>
      <c r="N31" s="18">
        <f t="shared" si="43"/>
        <v>216</v>
      </c>
      <c r="O31" s="18">
        <f t="shared" ref="O31" si="47">N31-M31</f>
        <v>0</v>
      </c>
      <c r="P31" s="18">
        <f t="shared" ref="P31" si="48">IF(K31="",0,12-O31)</f>
        <v>12</v>
      </c>
      <c r="Q31" s="26"/>
      <c r="S31" s="7">
        <v>45198</v>
      </c>
      <c r="T31" s="8">
        <v>0.40625</v>
      </c>
      <c r="U31" s="8">
        <v>0.90625</v>
      </c>
      <c r="V31" s="10">
        <f t="shared" si="15"/>
        <v>9.75</v>
      </c>
      <c r="W31" s="10">
        <f t="shared" si="44"/>
        <v>21.75</v>
      </c>
      <c r="X31" s="10">
        <f t="shared" si="17"/>
        <v>12</v>
      </c>
      <c r="Y31" s="10">
        <f t="shared" si="18"/>
        <v>0</v>
      </c>
      <c r="Z31" s="27"/>
      <c r="AB31" s="11">
        <v>45198</v>
      </c>
      <c r="AC31" s="12">
        <v>0.375</v>
      </c>
      <c r="AD31" s="12">
        <v>0.875</v>
      </c>
      <c r="AE31" s="14">
        <f t="shared" si="19"/>
        <v>9</v>
      </c>
      <c r="AF31" s="14">
        <f t="shared" si="45"/>
        <v>21</v>
      </c>
      <c r="AG31" s="14">
        <f t="shared" si="21"/>
        <v>12</v>
      </c>
      <c r="AH31" s="14">
        <f t="shared" si="22"/>
        <v>0</v>
      </c>
      <c r="AI31" s="36"/>
      <c r="AK31" s="43" t="s">
        <v>6</v>
      </c>
      <c r="AL31" s="43"/>
      <c r="AM31" s="43"/>
      <c r="AN31" s="4"/>
      <c r="AO31" s="5"/>
      <c r="AP31" s="27">
        <f>AR30</f>
        <v>0</v>
      </c>
      <c r="AQ31" s="10">
        <f>10000/(31*12)</f>
        <v>26.881720430107528</v>
      </c>
      <c r="AR31" s="27"/>
    </row>
    <row r="32" spans="1:53" x14ac:dyDescent="0.35">
      <c r="A32" s="7">
        <v>45199</v>
      </c>
      <c r="B32" s="8">
        <v>0.41666666666666669</v>
      </c>
      <c r="C32" s="8">
        <v>0.91666666666666663</v>
      </c>
      <c r="D32" s="10">
        <f t="shared" si="36"/>
        <v>10</v>
      </c>
      <c r="E32" s="10">
        <f t="shared" si="36"/>
        <v>22</v>
      </c>
      <c r="F32" s="10">
        <f t="shared" si="9"/>
        <v>12</v>
      </c>
      <c r="G32" s="10">
        <f t="shared" si="10"/>
        <v>0</v>
      </c>
      <c r="H32" s="24">
        <v>6000</v>
      </c>
      <c r="J32" s="7">
        <v>45199</v>
      </c>
      <c r="K32" s="8">
        <v>0.41666666666666669</v>
      </c>
      <c r="L32" s="8">
        <v>0.91666666666666663</v>
      </c>
      <c r="M32" s="10">
        <f t="shared" si="11"/>
        <v>10</v>
      </c>
      <c r="N32" s="10">
        <f t="shared" si="43"/>
        <v>22</v>
      </c>
      <c r="O32" s="10">
        <f t="shared" si="13"/>
        <v>12</v>
      </c>
      <c r="P32" s="10">
        <f t="shared" si="14"/>
        <v>0</v>
      </c>
      <c r="Q32" s="24"/>
      <c r="S32" s="7">
        <v>45199</v>
      </c>
      <c r="T32" s="8">
        <v>0.40625</v>
      </c>
      <c r="U32" s="8">
        <v>0.90625</v>
      </c>
      <c r="V32" s="10">
        <f t="shared" si="15"/>
        <v>9.75</v>
      </c>
      <c r="W32" s="10">
        <f t="shared" si="44"/>
        <v>21.75</v>
      </c>
      <c r="X32" s="10">
        <f t="shared" si="17"/>
        <v>12</v>
      </c>
      <c r="Y32" s="10">
        <f t="shared" si="18"/>
        <v>0</v>
      </c>
      <c r="Z32" s="24"/>
      <c r="AB32" s="7">
        <v>45199</v>
      </c>
      <c r="AC32" s="8">
        <v>0.58333333333333337</v>
      </c>
      <c r="AD32" s="8">
        <v>0.91666666666666663</v>
      </c>
      <c r="AE32" s="10">
        <f t="shared" si="19"/>
        <v>14</v>
      </c>
      <c r="AF32" s="10">
        <f t="shared" si="45"/>
        <v>22</v>
      </c>
      <c r="AG32" s="10">
        <f t="shared" si="21"/>
        <v>8</v>
      </c>
      <c r="AH32" s="10">
        <f t="shared" si="22"/>
        <v>4</v>
      </c>
      <c r="AI32" s="24">
        <v>6000</v>
      </c>
      <c r="AK32" s="43" t="s">
        <v>8</v>
      </c>
      <c r="AL32" s="43"/>
      <c r="AM32" s="43"/>
      <c r="AN32" s="4"/>
      <c r="AO32" s="5"/>
      <c r="AP32" s="27">
        <f>AP30*AQ31</f>
        <v>3306.4516129032259</v>
      </c>
      <c r="AQ32" s="5"/>
      <c r="AR32" s="27"/>
    </row>
    <row r="33" spans="1:44" x14ac:dyDescent="0.35">
      <c r="A33" s="43" t="s">
        <v>7</v>
      </c>
      <c r="B33" s="43"/>
      <c r="C33" s="43"/>
      <c r="D33" s="6"/>
      <c r="E33" s="6"/>
      <c r="F33" s="6">
        <f>SUM(F3:F32)</f>
        <v>324.83333333333337</v>
      </c>
      <c r="G33" s="6">
        <f>SUM(G3:G32)</f>
        <v>35.166666666666657</v>
      </c>
      <c r="H33" s="24">
        <f>SUM(H3:H32)</f>
        <v>10800</v>
      </c>
      <c r="J33" s="43" t="s">
        <v>7</v>
      </c>
      <c r="K33" s="43"/>
      <c r="L33" s="43"/>
      <c r="M33" s="6"/>
      <c r="N33" s="5"/>
      <c r="O33" s="6">
        <f>SUM(O3:O32)</f>
        <v>299.33333333333337</v>
      </c>
      <c r="P33" s="6">
        <f>SUM(P3:P32)</f>
        <v>60.666666666666664</v>
      </c>
      <c r="Q33" s="24">
        <f>SUM(Q3:Q32)</f>
        <v>7100</v>
      </c>
      <c r="S33" s="48" t="s">
        <v>20</v>
      </c>
      <c r="T33" s="49"/>
      <c r="U33" s="50"/>
      <c r="V33" s="6"/>
      <c r="W33" s="5"/>
      <c r="X33" s="6">
        <f>SUM(X3:X32)</f>
        <v>348</v>
      </c>
      <c r="Y33" s="6">
        <f>SUM(Y3:Y32)</f>
        <v>12</v>
      </c>
      <c r="Z33" s="24">
        <f>SUM(Z3:Z32)</f>
        <v>200</v>
      </c>
      <c r="AB33" s="43" t="s">
        <v>7</v>
      </c>
      <c r="AC33" s="43"/>
      <c r="AD33" s="43"/>
      <c r="AE33" s="4"/>
      <c r="AF33" s="5"/>
      <c r="AG33" s="6">
        <f>SUM(AG3:AG32)</f>
        <v>296</v>
      </c>
      <c r="AH33" s="6">
        <f>SUM(AH3:AH32)</f>
        <v>64</v>
      </c>
      <c r="AI33" s="27">
        <f>SUM(AI3:AI32)</f>
        <v>6200</v>
      </c>
      <c r="AK33" s="43" t="s">
        <v>9</v>
      </c>
      <c r="AL33" s="43"/>
      <c r="AM33" s="43"/>
      <c r="AN33" s="4"/>
      <c r="AO33" s="5"/>
      <c r="AP33" s="27">
        <f>ROUND(AP32-AP31-(AQ30*AQ31),0)</f>
        <v>1129</v>
      </c>
      <c r="AQ33" s="5"/>
      <c r="AR33" s="27"/>
    </row>
    <row r="34" spans="1:44" x14ac:dyDescent="0.35">
      <c r="A34" s="43" t="s">
        <v>6</v>
      </c>
      <c r="B34" s="43"/>
      <c r="C34" s="43"/>
      <c r="D34" s="6"/>
      <c r="E34" s="6"/>
      <c r="F34" s="24">
        <f>SUM(H3:H32)</f>
        <v>10800</v>
      </c>
      <c r="G34" s="10">
        <f>12000/(31*12)</f>
        <v>32.258064516129032</v>
      </c>
      <c r="H34" s="24"/>
      <c r="J34" s="43" t="s">
        <v>6</v>
      </c>
      <c r="K34" s="43"/>
      <c r="L34" s="43"/>
      <c r="M34" s="6"/>
      <c r="N34" s="5"/>
      <c r="O34" s="24">
        <f>Q33</f>
        <v>7100</v>
      </c>
      <c r="P34" s="10">
        <f>12000/(31*12)</f>
        <v>32.258064516129032</v>
      </c>
      <c r="Q34" s="24"/>
      <c r="S34" s="48" t="s">
        <v>6</v>
      </c>
      <c r="T34" s="49"/>
      <c r="U34" s="50"/>
      <c r="V34" s="6"/>
      <c r="W34" s="5"/>
      <c r="X34" s="24">
        <f>Z33</f>
        <v>200</v>
      </c>
      <c r="Y34" s="10">
        <f>11000/(31*12)</f>
        <v>29.56989247311828</v>
      </c>
      <c r="Z34" s="24"/>
      <c r="AB34" s="43" t="s">
        <v>6</v>
      </c>
      <c r="AC34" s="43"/>
      <c r="AD34" s="43"/>
      <c r="AE34" s="4"/>
      <c r="AF34" s="5"/>
      <c r="AG34" s="27">
        <f>AI33</f>
        <v>6200</v>
      </c>
      <c r="AH34" s="10">
        <f>11000/(31*12)</f>
        <v>29.56989247311828</v>
      </c>
      <c r="AI34" s="27"/>
    </row>
    <row r="35" spans="1:44" x14ac:dyDescent="0.35">
      <c r="A35" s="43" t="s">
        <v>8</v>
      </c>
      <c r="B35" s="43"/>
      <c r="C35" s="43"/>
      <c r="D35" s="6"/>
      <c r="E35" s="6"/>
      <c r="F35" s="24">
        <f>F33*G34</f>
        <v>10478.494623655915</v>
      </c>
      <c r="G35" s="5">
        <f>G33*G34</f>
        <v>1134.4086021505373</v>
      </c>
      <c r="H35" s="24"/>
      <c r="J35" s="43" t="s">
        <v>8</v>
      </c>
      <c r="K35" s="43"/>
      <c r="L35" s="43"/>
      <c r="M35" s="6"/>
      <c r="N35" s="5"/>
      <c r="O35" s="24">
        <f>O33*P34</f>
        <v>9655.9139784946256</v>
      </c>
      <c r="P35" s="5"/>
      <c r="Q35" s="24"/>
      <c r="S35" s="48" t="s">
        <v>8</v>
      </c>
      <c r="T35" s="49"/>
      <c r="U35" s="50"/>
      <c r="V35" s="6"/>
      <c r="W35" s="5"/>
      <c r="X35" s="24">
        <f>X33*Y34</f>
        <v>10290.322580645161</v>
      </c>
      <c r="Y35" s="5"/>
      <c r="Z35" s="24"/>
      <c r="AB35" s="43" t="s">
        <v>8</v>
      </c>
      <c r="AC35" s="43"/>
      <c r="AD35" s="43"/>
      <c r="AE35" s="4"/>
      <c r="AF35" s="5"/>
      <c r="AG35" s="27">
        <f>AG33*AH34</f>
        <v>8752.6881720430101</v>
      </c>
      <c r="AH35" s="5"/>
      <c r="AI35" s="27"/>
    </row>
    <row r="36" spans="1:44" x14ac:dyDescent="0.35">
      <c r="A36" s="43" t="s">
        <v>9</v>
      </c>
      <c r="B36" s="43"/>
      <c r="C36" s="43"/>
      <c r="D36" s="6"/>
      <c r="E36" s="6"/>
      <c r="F36" s="24">
        <f>F35-F34</f>
        <v>-321.50537634408465</v>
      </c>
      <c r="G36" s="5"/>
      <c r="H36" s="24"/>
      <c r="J36" s="43" t="s">
        <v>9</v>
      </c>
      <c r="K36" s="43"/>
      <c r="L36" s="43"/>
      <c r="M36" s="6"/>
      <c r="N36" s="5"/>
      <c r="O36" s="24">
        <f>O35-O34</f>
        <v>2555.9139784946256</v>
      </c>
      <c r="P36" s="5"/>
      <c r="Q36" s="24"/>
      <c r="S36" s="48" t="s">
        <v>9</v>
      </c>
      <c r="T36" s="49"/>
      <c r="U36" s="50"/>
      <c r="V36" s="6"/>
      <c r="W36" s="5"/>
      <c r="X36" s="24">
        <f>X35-X34</f>
        <v>10090.322580645161</v>
      </c>
      <c r="Y36" s="5"/>
      <c r="Z36" s="24"/>
      <c r="AB36" s="43" t="s">
        <v>9</v>
      </c>
      <c r="AC36" s="43"/>
      <c r="AD36" s="43"/>
      <c r="AE36" s="4"/>
      <c r="AF36" s="5"/>
      <c r="AG36" s="27">
        <f>ROUND(AG35-AG34-(AH33*AH34),0)</f>
        <v>660</v>
      </c>
      <c r="AH36" s="5"/>
      <c r="AI36" s="27"/>
    </row>
    <row r="37" spans="1:44" x14ac:dyDescent="0.35">
      <c r="A37" t="s">
        <v>20</v>
      </c>
      <c r="S37" s="44" t="s">
        <v>21</v>
      </c>
      <c r="T37" s="44"/>
      <c r="U37" s="44"/>
      <c r="X37" s="24">
        <v>4400</v>
      </c>
    </row>
    <row r="39" spans="1:44" x14ac:dyDescent="0.35">
      <c r="O39" s="35"/>
      <c r="S39" t="s">
        <v>17</v>
      </c>
      <c r="X39" s="35"/>
    </row>
  </sheetData>
  <mergeCells count="31">
    <mergeCell ref="AT1:BA1"/>
    <mergeCell ref="AT27:AV27"/>
    <mergeCell ref="AT28:AV28"/>
    <mergeCell ref="AT29:AV29"/>
    <mergeCell ref="AT30:AV30"/>
    <mergeCell ref="AK32:AM32"/>
    <mergeCell ref="AK33:AM33"/>
    <mergeCell ref="A1:H1"/>
    <mergeCell ref="J1:Q1"/>
    <mergeCell ref="S1:Z1"/>
    <mergeCell ref="AB1:AI1"/>
    <mergeCell ref="AK1:AR1"/>
    <mergeCell ref="A33:C33"/>
    <mergeCell ref="J33:L33"/>
    <mergeCell ref="S33:U33"/>
    <mergeCell ref="AB33:AD33"/>
    <mergeCell ref="AK30:AM30"/>
    <mergeCell ref="AK31:AM31"/>
    <mergeCell ref="S37:U37"/>
    <mergeCell ref="A34:C34"/>
    <mergeCell ref="J34:L34"/>
    <mergeCell ref="S34:U34"/>
    <mergeCell ref="AB34:AD34"/>
    <mergeCell ref="A36:C36"/>
    <mergeCell ref="J36:L36"/>
    <mergeCell ref="S36:U36"/>
    <mergeCell ref="AB36:AD36"/>
    <mergeCell ref="A35:C35"/>
    <mergeCell ref="J35:L35"/>
    <mergeCell ref="S35:U35"/>
    <mergeCell ref="AB35:AD3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7154-FDBD-4708-9777-804790829790}">
  <dimension ref="A1:AR38"/>
  <sheetViews>
    <sheetView topLeftCell="AB1" workbookViewId="0">
      <pane ySplit="1" topLeftCell="A2" activePane="bottomLeft" state="frozen"/>
      <selection activeCell="J1" sqref="J1"/>
      <selection pane="bottomLeft" activeCell="AR7" sqref="AR7"/>
    </sheetView>
  </sheetViews>
  <sheetFormatPr defaultRowHeight="14.5" x14ac:dyDescent="0.35"/>
  <cols>
    <col min="1" max="1" width="28.36328125" bestFit="1" customWidth="1"/>
    <col min="3" max="3" width="8.7265625" bestFit="1" customWidth="1"/>
    <col min="4" max="5" width="5.36328125" style="33" hidden="1" customWidth="1"/>
    <col min="6" max="6" width="9.36328125" bestFit="1" customWidth="1"/>
    <col min="7" max="7" width="9.453125" bestFit="1" customWidth="1"/>
    <col min="10" max="10" width="28.36328125" bestFit="1" customWidth="1"/>
    <col min="13" max="13" width="6.08984375" style="33" hidden="1" customWidth="1"/>
    <col min="14" max="14" width="5.36328125" hidden="1" customWidth="1"/>
    <col min="19" max="19" width="28.36328125" bestFit="1" customWidth="1"/>
    <col min="22" max="22" width="0" style="33" hidden="1" customWidth="1"/>
    <col min="23" max="23" width="0" hidden="1" customWidth="1"/>
    <col min="28" max="28" width="28.36328125" bestFit="1" customWidth="1"/>
    <col min="31" max="32" width="0" hidden="1" customWidth="1"/>
    <col min="33" max="33" width="9.36328125" bestFit="1" customWidth="1"/>
    <col min="34" max="34" width="9.453125" bestFit="1" customWidth="1"/>
    <col min="37" max="37" width="28.36328125" bestFit="1" customWidth="1"/>
    <col min="40" max="41" width="0" hidden="1" customWidth="1"/>
  </cols>
  <sheetData>
    <row r="1" spans="1:44" x14ac:dyDescent="0.35">
      <c r="A1" s="45" t="s">
        <v>5</v>
      </c>
      <c r="B1" s="46"/>
      <c r="C1" s="46"/>
      <c r="D1" s="46"/>
      <c r="E1" s="46"/>
      <c r="F1" s="46"/>
      <c r="G1" s="46"/>
      <c r="H1" s="47"/>
      <c r="J1" s="45" t="s">
        <v>12</v>
      </c>
      <c r="K1" s="46"/>
      <c r="L1" s="46"/>
      <c r="M1" s="46"/>
      <c r="N1" s="46"/>
      <c r="O1" s="46"/>
      <c r="P1" s="46"/>
      <c r="Q1" s="47"/>
      <c r="S1" s="45" t="s">
        <v>13</v>
      </c>
      <c r="T1" s="46"/>
      <c r="U1" s="46"/>
      <c r="V1" s="46"/>
      <c r="W1" s="46"/>
      <c r="X1" s="46"/>
      <c r="Y1" s="46"/>
      <c r="Z1" s="47"/>
      <c r="AB1" s="45" t="s">
        <v>14</v>
      </c>
      <c r="AC1" s="46"/>
      <c r="AD1" s="46"/>
      <c r="AE1" s="46"/>
      <c r="AF1" s="46"/>
      <c r="AG1" s="46"/>
      <c r="AH1" s="46"/>
      <c r="AI1" s="47"/>
      <c r="AK1" s="45" t="s">
        <v>19</v>
      </c>
      <c r="AL1" s="46"/>
      <c r="AM1" s="46"/>
      <c r="AN1" s="46"/>
      <c r="AO1" s="46"/>
      <c r="AP1" s="46"/>
      <c r="AQ1" s="46"/>
      <c r="AR1" s="47"/>
    </row>
    <row r="2" spans="1:44" x14ac:dyDescent="0.35">
      <c r="A2" s="19" t="s">
        <v>0</v>
      </c>
      <c r="B2" s="20" t="s">
        <v>1</v>
      </c>
      <c r="C2" s="20" t="s">
        <v>2</v>
      </c>
      <c r="D2" s="34"/>
      <c r="E2" s="34"/>
      <c r="F2" s="22" t="s">
        <v>4</v>
      </c>
      <c r="G2" s="22" t="s">
        <v>3</v>
      </c>
      <c r="H2" s="23" t="s">
        <v>6</v>
      </c>
      <c r="J2" s="19" t="s">
        <v>0</v>
      </c>
      <c r="K2" s="20" t="s">
        <v>1</v>
      </c>
      <c r="L2" s="20" t="s">
        <v>2</v>
      </c>
      <c r="M2" s="34"/>
      <c r="N2" s="22"/>
      <c r="O2" s="22" t="s">
        <v>4</v>
      </c>
      <c r="P2" s="22" t="s">
        <v>3</v>
      </c>
      <c r="Q2" s="23" t="s">
        <v>6</v>
      </c>
      <c r="S2" s="19" t="s">
        <v>0</v>
      </c>
      <c r="T2" s="20" t="s">
        <v>1</v>
      </c>
      <c r="U2" s="20" t="s">
        <v>2</v>
      </c>
      <c r="V2" s="34"/>
      <c r="W2" s="22"/>
      <c r="X2" s="22" t="s">
        <v>4</v>
      </c>
      <c r="Y2" s="22" t="s">
        <v>3</v>
      </c>
      <c r="Z2" s="23" t="s">
        <v>6</v>
      </c>
      <c r="AB2" s="19" t="s">
        <v>0</v>
      </c>
      <c r="AC2" s="20" t="s">
        <v>1</v>
      </c>
      <c r="AD2" s="20" t="s">
        <v>2</v>
      </c>
      <c r="AE2" s="21"/>
      <c r="AF2" s="22"/>
      <c r="AG2" s="22" t="s">
        <v>4</v>
      </c>
      <c r="AH2" s="22" t="s">
        <v>3</v>
      </c>
      <c r="AI2" s="23" t="s">
        <v>6</v>
      </c>
      <c r="AK2" s="19" t="s">
        <v>0</v>
      </c>
      <c r="AL2" s="20" t="s">
        <v>1</v>
      </c>
      <c r="AM2" s="20" t="s">
        <v>2</v>
      </c>
      <c r="AN2" s="21"/>
      <c r="AO2" s="22"/>
      <c r="AP2" s="22" t="s">
        <v>4</v>
      </c>
      <c r="AQ2" s="22" t="s">
        <v>3</v>
      </c>
      <c r="AR2" s="23" t="s">
        <v>6</v>
      </c>
    </row>
    <row r="3" spans="1:44" x14ac:dyDescent="0.35">
      <c r="A3" s="7">
        <v>45200</v>
      </c>
      <c r="B3" s="8">
        <v>0.41666666666666669</v>
      </c>
      <c r="C3" s="8">
        <v>0.91666666666666663</v>
      </c>
      <c r="D3" s="52">
        <f>B3*24</f>
        <v>10</v>
      </c>
      <c r="E3" s="52">
        <f>C3*24</f>
        <v>22</v>
      </c>
      <c r="F3" s="52">
        <f>E3-D3</f>
        <v>12</v>
      </c>
      <c r="G3" s="52">
        <f>IF(B3="",0,12-F3)</f>
        <v>0</v>
      </c>
      <c r="H3" s="27"/>
      <c r="J3" s="7">
        <v>45200</v>
      </c>
      <c r="K3" s="8">
        <v>0.41666666666666669</v>
      </c>
      <c r="L3" s="8">
        <v>0.91666666666666663</v>
      </c>
      <c r="M3" s="52">
        <f>K3*24</f>
        <v>10</v>
      </c>
      <c r="N3" s="52">
        <f>L3*24</f>
        <v>22</v>
      </c>
      <c r="O3" s="52">
        <f>N3-M3</f>
        <v>12</v>
      </c>
      <c r="P3" s="52">
        <f>IF(K3="",0,12-O3)</f>
        <v>0</v>
      </c>
      <c r="Q3" s="27"/>
      <c r="S3" s="7">
        <v>45200</v>
      </c>
      <c r="T3" s="8">
        <v>0.41666666666666669</v>
      </c>
      <c r="U3" s="8">
        <v>0.91666666666666663</v>
      </c>
      <c r="V3" s="52">
        <f>T3*24</f>
        <v>10</v>
      </c>
      <c r="W3" s="52">
        <f>U3*24</f>
        <v>22</v>
      </c>
      <c r="X3" s="52">
        <f>W3-V3</f>
        <v>12</v>
      </c>
      <c r="Y3" s="52">
        <f>IF(T3="",0,12-X3)</f>
        <v>0</v>
      </c>
      <c r="Z3" s="27"/>
      <c r="AB3" s="7">
        <v>45200</v>
      </c>
      <c r="AC3" s="8">
        <v>0.41666666666666669</v>
      </c>
      <c r="AD3" s="8">
        <v>0.91666666666666663</v>
      </c>
      <c r="AE3" s="52">
        <f>AC3*24</f>
        <v>10</v>
      </c>
      <c r="AF3" s="52">
        <f>AD3*24</f>
        <v>22</v>
      </c>
      <c r="AG3" s="52">
        <f>AF3-AE3</f>
        <v>12</v>
      </c>
      <c r="AH3" s="52">
        <f>IF(AC3="",0,12-AG3)</f>
        <v>0</v>
      </c>
      <c r="AI3" s="27"/>
      <c r="AK3" s="7">
        <v>45200</v>
      </c>
      <c r="AL3" s="8">
        <v>0.41666666666666669</v>
      </c>
      <c r="AM3" s="8">
        <v>0.91666666666666663</v>
      </c>
      <c r="AN3" s="52">
        <f>AL3*24</f>
        <v>10</v>
      </c>
      <c r="AO3" s="52">
        <f>AM3*24</f>
        <v>22</v>
      </c>
      <c r="AP3" s="52">
        <f>AO3-AN3</f>
        <v>12</v>
      </c>
      <c r="AQ3" s="52">
        <f>IF(AL3="",0,12-AP3)</f>
        <v>0</v>
      </c>
      <c r="AR3" s="27"/>
    </row>
    <row r="4" spans="1:44" x14ac:dyDescent="0.35">
      <c r="A4" s="7">
        <v>45201</v>
      </c>
      <c r="B4" s="8">
        <v>0.41666666666666669</v>
      </c>
      <c r="C4" s="8">
        <v>0.91666666666666663</v>
      </c>
      <c r="D4" s="52">
        <f t="shared" ref="D4:E22" si="0">B4*24</f>
        <v>10</v>
      </c>
      <c r="E4" s="52">
        <f t="shared" si="0"/>
        <v>22</v>
      </c>
      <c r="F4" s="52">
        <f t="shared" ref="F4:F33" si="1">E4-D4</f>
        <v>12</v>
      </c>
      <c r="G4" s="52">
        <f t="shared" ref="G4:G33" si="2">IF(B4="",0,12-F4)</f>
        <v>0</v>
      </c>
      <c r="H4" s="53"/>
      <c r="J4" s="7">
        <v>45201</v>
      </c>
      <c r="K4" s="8">
        <v>0.41666666666666669</v>
      </c>
      <c r="L4" s="8">
        <v>0.91666666666666663</v>
      </c>
      <c r="M4" s="52">
        <f t="shared" ref="M4:M33" si="3">K4*24</f>
        <v>10</v>
      </c>
      <c r="N4" s="52">
        <f t="shared" ref="N4:N24" si="4">L4*24</f>
        <v>22</v>
      </c>
      <c r="O4" s="52">
        <f t="shared" ref="O4:O33" si="5">N4-M4</f>
        <v>12</v>
      </c>
      <c r="P4" s="52">
        <f t="shared" ref="P4:P19" si="6">IF(K4="",0,12-O4)</f>
        <v>0</v>
      </c>
      <c r="Q4" s="53"/>
      <c r="S4" s="7">
        <v>45201</v>
      </c>
      <c r="T4" s="8">
        <v>0.41666666666666669</v>
      </c>
      <c r="U4" s="8">
        <v>0.91666666666666663</v>
      </c>
      <c r="V4" s="52">
        <f t="shared" ref="V4:V33" si="7">T4*24</f>
        <v>10</v>
      </c>
      <c r="W4" s="52">
        <f t="shared" ref="W4:W24" si="8">U4*24</f>
        <v>22</v>
      </c>
      <c r="X4" s="52">
        <f t="shared" ref="X4:X33" si="9">W4-V4</f>
        <v>12</v>
      </c>
      <c r="Y4" s="52">
        <f t="shared" ref="Y4:Y19" si="10">IF(T4="",0,12-X4)</f>
        <v>0</v>
      </c>
      <c r="Z4" s="53"/>
      <c r="AB4" s="7">
        <v>45201</v>
      </c>
      <c r="AC4" s="8">
        <v>0.41666666666666669</v>
      </c>
      <c r="AD4" s="8">
        <v>0.91666666666666663</v>
      </c>
      <c r="AE4" s="52">
        <f t="shared" ref="AE4:AE33" si="11">AC4*24</f>
        <v>10</v>
      </c>
      <c r="AF4" s="52">
        <f t="shared" ref="AF4:AF24" si="12">AD4*24</f>
        <v>22</v>
      </c>
      <c r="AG4" s="52">
        <f t="shared" ref="AG4:AG33" si="13">AF4-AE4</f>
        <v>12</v>
      </c>
      <c r="AH4" s="52">
        <f t="shared" ref="AH4:AH19" si="14">IF(AC4="",0,12-AG4)</f>
        <v>0</v>
      </c>
      <c r="AI4" s="53"/>
      <c r="AK4" s="7">
        <v>45201</v>
      </c>
      <c r="AL4" s="8">
        <v>0.41666666666666669</v>
      </c>
      <c r="AM4" s="8">
        <v>0.91666666666666663</v>
      </c>
      <c r="AN4" s="52">
        <f t="shared" ref="AN4:AN33" si="15">AL4*24</f>
        <v>10</v>
      </c>
      <c r="AO4" s="52">
        <f t="shared" ref="AO4:AO24" si="16">AM4*24</f>
        <v>22</v>
      </c>
      <c r="AP4" s="52">
        <f t="shared" ref="AP4:AP33" si="17">AO4-AN4</f>
        <v>12</v>
      </c>
      <c r="AQ4" s="52">
        <f t="shared" ref="AQ4:AQ33" si="18">IF(AL4="",0,12-AP4)</f>
        <v>0</v>
      </c>
      <c r="AR4" s="53"/>
    </row>
    <row r="5" spans="1:44" x14ac:dyDescent="0.35">
      <c r="A5" s="7">
        <v>45202</v>
      </c>
      <c r="B5" s="8">
        <v>0.41666666666666669</v>
      </c>
      <c r="C5" s="8">
        <v>0.91666666666666663</v>
      </c>
      <c r="D5" s="52">
        <f t="shared" si="0"/>
        <v>10</v>
      </c>
      <c r="E5" s="52">
        <f t="shared" si="0"/>
        <v>22</v>
      </c>
      <c r="F5" s="52">
        <f t="shared" si="1"/>
        <v>12</v>
      </c>
      <c r="G5" s="52">
        <f t="shared" si="2"/>
        <v>0</v>
      </c>
      <c r="H5" s="27"/>
      <c r="J5" s="15">
        <v>45202</v>
      </c>
      <c r="K5" s="16">
        <v>0.41666666666666669</v>
      </c>
      <c r="L5" s="16">
        <v>0.41666666666666669</v>
      </c>
      <c r="M5" s="18">
        <f t="shared" si="3"/>
        <v>10</v>
      </c>
      <c r="N5" s="18">
        <f t="shared" si="4"/>
        <v>10</v>
      </c>
      <c r="O5" s="18">
        <f t="shared" si="5"/>
        <v>0</v>
      </c>
      <c r="P5" s="18">
        <f t="shared" si="6"/>
        <v>12</v>
      </c>
      <c r="Q5" s="26"/>
      <c r="S5" s="7">
        <v>45202</v>
      </c>
      <c r="T5" s="8">
        <v>0.41666666666666669</v>
      </c>
      <c r="U5" s="8">
        <v>0.91666666666666663</v>
      </c>
      <c r="V5" s="52">
        <f t="shared" si="7"/>
        <v>10</v>
      </c>
      <c r="W5" s="52">
        <f t="shared" si="8"/>
        <v>22</v>
      </c>
      <c r="X5" s="52">
        <f t="shared" si="9"/>
        <v>12</v>
      </c>
      <c r="Y5" s="52">
        <f t="shared" si="10"/>
        <v>0</v>
      </c>
      <c r="Z5" s="27"/>
      <c r="AB5" s="7">
        <v>45202</v>
      </c>
      <c r="AC5" s="8">
        <v>0.41666666666666669</v>
      </c>
      <c r="AD5" s="8">
        <v>0.58333333333333337</v>
      </c>
      <c r="AE5" s="52">
        <f t="shared" si="11"/>
        <v>10</v>
      </c>
      <c r="AF5" s="52">
        <f t="shared" si="12"/>
        <v>14</v>
      </c>
      <c r="AG5" s="52">
        <f t="shared" si="13"/>
        <v>4</v>
      </c>
      <c r="AH5" s="52">
        <f t="shared" si="14"/>
        <v>8</v>
      </c>
      <c r="AI5" s="27"/>
      <c r="AK5" s="7">
        <v>45202</v>
      </c>
      <c r="AL5" s="8">
        <v>0.41666666666666669</v>
      </c>
      <c r="AM5" s="8">
        <v>0.91666666666666663</v>
      </c>
      <c r="AN5" s="52">
        <f t="shared" si="15"/>
        <v>10</v>
      </c>
      <c r="AO5" s="52">
        <f t="shared" si="16"/>
        <v>22</v>
      </c>
      <c r="AP5" s="52">
        <f t="shared" si="17"/>
        <v>12</v>
      </c>
      <c r="AQ5" s="52">
        <f t="shared" si="18"/>
        <v>0</v>
      </c>
      <c r="AR5" s="27"/>
    </row>
    <row r="6" spans="1:44" x14ac:dyDescent="0.35">
      <c r="A6" s="7">
        <v>45203</v>
      </c>
      <c r="B6" s="8">
        <v>0.41666666666666669</v>
      </c>
      <c r="C6" s="8">
        <v>0.91666666666666663</v>
      </c>
      <c r="D6" s="52">
        <f t="shared" si="0"/>
        <v>10</v>
      </c>
      <c r="E6" s="52">
        <f t="shared" si="0"/>
        <v>22</v>
      </c>
      <c r="F6" s="52">
        <f t="shared" si="1"/>
        <v>12</v>
      </c>
      <c r="G6" s="52">
        <f t="shared" si="2"/>
        <v>0</v>
      </c>
      <c r="H6" s="27"/>
      <c r="J6" s="7">
        <v>45203</v>
      </c>
      <c r="K6" s="8">
        <v>0.41666666666666669</v>
      </c>
      <c r="L6" s="8">
        <v>0.91666666666666663</v>
      </c>
      <c r="M6" s="52">
        <f t="shared" si="3"/>
        <v>10</v>
      </c>
      <c r="N6" s="52">
        <f t="shared" si="4"/>
        <v>22</v>
      </c>
      <c r="O6" s="52">
        <f t="shared" si="5"/>
        <v>12</v>
      </c>
      <c r="P6" s="52">
        <f t="shared" si="6"/>
        <v>0</v>
      </c>
      <c r="Q6" s="27"/>
      <c r="S6" s="7">
        <v>45203</v>
      </c>
      <c r="T6" s="8">
        <v>0.41666666666666669</v>
      </c>
      <c r="U6" s="8">
        <v>0.91666666666666663</v>
      </c>
      <c r="V6" s="52">
        <f t="shared" si="7"/>
        <v>10</v>
      </c>
      <c r="W6" s="52">
        <f t="shared" si="8"/>
        <v>22</v>
      </c>
      <c r="X6" s="52">
        <f t="shared" si="9"/>
        <v>12</v>
      </c>
      <c r="Y6" s="52">
        <f t="shared" si="10"/>
        <v>0</v>
      </c>
      <c r="Z6" s="27"/>
      <c r="AB6" s="7">
        <v>45203</v>
      </c>
      <c r="AC6" s="8">
        <v>0.41666666666666669</v>
      </c>
      <c r="AD6" s="8">
        <v>0.91666666666666663</v>
      </c>
      <c r="AE6" s="52">
        <f t="shared" si="11"/>
        <v>10</v>
      </c>
      <c r="AF6" s="52">
        <f t="shared" si="12"/>
        <v>22</v>
      </c>
      <c r="AG6" s="52">
        <f t="shared" si="13"/>
        <v>12</v>
      </c>
      <c r="AH6" s="52">
        <f t="shared" si="14"/>
        <v>0</v>
      </c>
      <c r="AI6" s="27"/>
      <c r="AK6" s="7">
        <v>45203</v>
      </c>
      <c r="AL6" s="8">
        <v>0.41666666666666669</v>
      </c>
      <c r="AM6" s="8">
        <v>0.91666666666666663</v>
      </c>
      <c r="AN6" s="52">
        <f t="shared" si="15"/>
        <v>10</v>
      </c>
      <c r="AO6" s="52">
        <f t="shared" si="16"/>
        <v>22</v>
      </c>
      <c r="AP6" s="52">
        <f t="shared" si="17"/>
        <v>12</v>
      </c>
      <c r="AQ6" s="52">
        <f t="shared" si="18"/>
        <v>0</v>
      </c>
      <c r="AR6" s="27">
        <v>1100</v>
      </c>
    </row>
    <row r="7" spans="1:44" x14ac:dyDescent="0.35">
      <c r="A7" s="7">
        <v>45204</v>
      </c>
      <c r="B7" s="51"/>
      <c r="C7" s="51"/>
      <c r="D7" s="52">
        <f t="shared" si="0"/>
        <v>0</v>
      </c>
      <c r="E7" s="52">
        <f t="shared" si="0"/>
        <v>0</v>
      </c>
      <c r="F7" s="52">
        <f t="shared" si="1"/>
        <v>0</v>
      </c>
      <c r="G7" s="52">
        <f t="shared" si="2"/>
        <v>0</v>
      </c>
      <c r="H7" s="27"/>
      <c r="J7" s="7">
        <v>45204</v>
      </c>
      <c r="K7" s="8">
        <v>0.41666666666666669</v>
      </c>
      <c r="L7" s="8">
        <v>0.91666666666666663</v>
      </c>
      <c r="M7" s="52">
        <f t="shared" si="3"/>
        <v>10</v>
      </c>
      <c r="N7" s="52">
        <f t="shared" si="4"/>
        <v>22</v>
      </c>
      <c r="O7" s="52">
        <f t="shared" si="5"/>
        <v>12</v>
      </c>
      <c r="P7" s="52">
        <f t="shared" si="6"/>
        <v>0</v>
      </c>
      <c r="Q7" s="27"/>
      <c r="S7" s="7">
        <v>45204</v>
      </c>
      <c r="T7" s="8">
        <v>0.41666666666666669</v>
      </c>
      <c r="U7" s="8">
        <v>0.91666666666666663</v>
      </c>
      <c r="V7" s="52">
        <f t="shared" si="7"/>
        <v>10</v>
      </c>
      <c r="W7" s="52">
        <f t="shared" si="8"/>
        <v>22</v>
      </c>
      <c r="X7" s="52">
        <f t="shared" si="9"/>
        <v>12</v>
      </c>
      <c r="Y7" s="52">
        <f t="shared" si="10"/>
        <v>0</v>
      </c>
      <c r="Z7" s="27"/>
      <c r="AB7" s="7">
        <v>45204</v>
      </c>
      <c r="AC7" s="8">
        <v>0.41666666666666669</v>
      </c>
      <c r="AD7" s="8">
        <v>0.58333333333333337</v>
      </c>
      <c r="AE7" s="52">
        <f t="shared" si="11"/>
        <v>10</v>
      </c>
      <c r="AF7" s="52">
        <f t="shared" si="12"/>
        <v>14</v>
      </c>
      <c r="AG7" s="52">
        <f t="shared" si="13"/>
        <v>4</v>
      </c>
      <c r="AH7" s="52">
        <f t="shared" si="14"/>
        <v>8</v>
      </c>
      <c r="AI7" s="27"/>
      <c r="AK7" s="7">
        <v>45204</v>
      </c>
      <c r="AL7" s="8">
        <v>0.41666666666666669</v>
      </c>
      <c r="AM7" s="8">
        <v>0.91666666666666663</v>
      </c>
      <c r="AN7" s="52">
        <f t="shared" si="15"/>
        <v>10</v>
      </c>
      <c r="AO7" s="52">
        <f t="shared" si="16"/>
        <v>22</v>
      </c>
      <c r="AP7" s="52">
        <f t="shared" si="17"/>
        <v>12</v>
      </c>
      <c r="AQ7" s="52">
        <f t="shared" si="18"/>
        <v>0</v>
      </c>
      <c r="AR7" s="27"/>
    </row>
    <row r="8" spans="1:44" x14ac:dyDescent="0.35">
      <c r="A8" s="7">
        <v>45205</v>
      </c>
      <c r="B8" s="51"/>
      <c r="C8" s="51"/>
      <c r="D8" s="52">
        <f t="shared" si="0"/>
        <v>0</v>
      </c>
      <c r="E8" s="52">
        <f t="shared" si="0"/>
        <v>0</v>
      </c>
      <c r="F8" s="52">
        <f t="shared" si="1"/>
        <v>0</v>
      </c>
      <c r="G8" s="52">
        <f t="shared" si="2"/>
        <v>0</v>
      </c>
      <c r="H8" s="27"/>
      <c r="J8" s="7">
        <v>45205</v>
      </c>
      <c r="K8" s="51"/>
      <c r="L8" s="51"/>
      <c r="M8" s="52">
        <f t="shared" si="3"/>
        <v>0</v>
      </c>
      <c r="N8" s="52">
        <f t="shared" si="4"/>
        <v>0</v>
      </c>
      <c r="O8" s="52">
        <f t="shared" si="5"/>
        <v>0</v>
      </c>
      <c r="P8" s="52">
        <f t="shared" si="6"/>
        <v>0</v>
      </c>
      <c r="Q8" s="27"/>
      <c r="S8" s="7">
        <v>45205</v>
      </c>
      <c r="T8" s="51"/>
      <c r="U8" s="51"/>
      <c r="V8" s="52">
        <f t="shared" si="7"/>
        <v>0</v>
      </c>
      <c r="W8" s="52">
        <f t="shared" si="8"/>
        <v>0</v>
      </c>
      <c r="X8" s="52">
        <f t="shared" si="9"/>
        <v>0</v>
      </c>
      <c r="Y8" s="52">
        <f t="shared" si="10"/>
        <v>0</v>
      </c>
      <c r="Z8" s="27"/>
      <c r="AB8" s="7">
        <v>45205</v>
      </c>
      <c r="AC8" s="51"/>
      <c r="AD8" s="51"/>
      <c r="AE8" s="52">
        <f t="shared" si="11"/>
        <v>0</v>
      </c>
      <c r="AF8" s="52">
        <f t="shared" si="12"/>
        <v>0</v>
      </c>
      <c r="AG8" s="52">
        <f t="shared" si="13"/>
        <v>0</v>
      </c>
      <c r="AH8" s="52">
        <f t="shared" si="14"/>
        <v>0</v>
      </c>
      <c r="AI8" s="27"/>
      <c r="AK8" s="7">
        <v>45205</v>
      </c>
      <c r="AL8" s="51"/>
      <c r="AM8" s="51"/>
      <c r="AN8" s="52">
        <f t="shared" si="15"/>
        <v>0</v>
      </c>
      <c r="AO8" s="52">
        <f t="shared" si="16"/>
        <v>0</v>
      </c>
      <c r="AP8" s="52">
        <f t="shared" si="17"/>
        <v>0</v>
      </c>
      <c r="AQ8" s="52">
        <f t="shared" si="18"/>
        <v>0</v>
      </c>
      <c r="AR8" s="27"/>
    </row>
    <row r="9" spans="1:44" x14ac:dyDescent="0.35">
      <c r="A9" s="7">
        <v>45206</v>
      </c>
      <c r="B9" s="51"/>
      <c r="C9" s="51"/>
      <c r="D9" s="52">
        <f t="shared" si="0"/>
        <v>0</v>
      </c>
      <c r="E9" s="52">
        <f t="shared" si="0"/>
        <v>0</v>
      </c>
      <c r="F9" s="52">
        <f t="shared" si="1"/>
        <v>0</v>
      </c>
      <c r="G9" s="52">
        <f t="shared" si="2"/>
        <v>0</v>
      </c>
      <c r="H9" s="27"/>
      <c r="J9" s="7">
        <v>45206</v>
      </c>
      <c r="K9" s="51"/>
      <c r="L9" s="51"/>
      <c r="M9" s="52">
        <f t="shared" si="3"/>
        <v>0</v>
      </c>
      <c r="N9" s="52">
        <f t="shared" si="4"/>
        <v>0</v>
      </c>
      <c r="O9" s="52">
        <f t="shared" si="5"/>
        <v>0</v>
      </c>
      <c r="P9" s="52">
        <f t="shared" si="6"/>
        <v>0</v>
      </c>
      <c r="Q9" s="27"/>
      <c r="S9" s="7">
        <v>45206</v>
      </c>
      <c r="T9" s="51"/>
      <c r="U9" s="51"/>
      <c r="V9" s="52">
        <f t="shared" si="7"/>
        <v>0</v>
      </c>
      <c r="W9" s="52">
        <f t="shared" si="8"/>
        <v>0</v>
      </c>
      <c r="X9" s="52">
        <f t="shared" si="9"/>
        <v>0</v>
      </c>
      <c r="Y9" s="52">
        <f t="shared" si="10"/>
        <v>0</v>
      </c>
      <c r="Z9" s="27"/>
      <c r="AB9" s="7">
        <v>45206</v>
      </c>
      <c r="AC9" s="51"/>
      <c r="AD9" s="51"/>
      <c r="AE9" s="52">
        <f t="shared" si="11"/>
        <v>0</v>
      </c>
      <c r="AF9" s="52">
        <f t="shared" si="12"/>
        <v>0</v>
      </c>
      <c r="AG9" s="52">
        <f t="shared" si="13"/>
        <v>0</v>
      </c>
      <c r="AH9" s="52">
        <f t="shared" si="14"/>
        <v>0</v>
      </c>
      <c r="AI9" s="27"/>
      <c r="AK9" s="7">
        <v>45206</v>
      </c>
      <c r="AL9" s="51"/>
      <c r="AM9" s="51"/>
      <c r="AN9" s="52">
        <f t="shared" si="15"/>
        <v>0</v>
      </c>
      <c r="AO9" s="52">
        <f t="shared" si="16"/>
        <v>0</v>
      </c>
      <c r="AP9" s="52">
        <f t="shared" si="17"/>
        <v>0</v>
      </c>
      <c r="AQ9" s="52">
        <f t="shared" si="18"/>
        <v>0</v>
      </c>
      <c r="AR9" s="27"/>
    </row>
    <row r="10" spans="1:44" x14ac:dyDescent="0.35">
      <c r="A10" s="7">
        <v>45207</v>
      </c>
      <c r="B10" s="51"/>
      <c r="C10" s="51"/>
      <c r="D10" s="52">
        <f t="shared" si="0"/>
        <v>0</v>
      </c>
      <c r="E10" s="52">
        <f t="shared" si="0"/>
        <v>0</v>
      </c>
      <c r="F10" s="52">
        <f t="shared" si="1"/>
        <v>0</v>
      </c>
      <c r="G10" s="52">
        <f t="shared" si="2"/>
        <v>0</v>
      </c>
      <c r="H10" s="27"/>
      <c r="J10" s="7">
        <v>45207</v>
      </c>
      <c r="K10" s="51"/>
      <c r="L10" s="51"/>
      <c r="M10" s="52">
        <f t="shared" si="3"/>
        <v>0</v>
      </c>
      <c r="N10" s="52">
        <f t="shared" si="4"/>
        <v>0</v>
      </c>
      <c r="O10" s="52">
        <f t="shared" si="5"/>
        <v>0</v>
      </c>
      <c r="P10" s="52">
        <f t="shared" si="6"/>
        <v>0</v>
      </c>
      <c r="Q10" s="27"/>
      <c r="S10" s="7">
        <v>45207</v>
      </c>
      <c r="T10" s="51"/>
      <c r="U10" s="51"/>
      <c r="V10" s="52">
        <f t="shared" si="7"/>
        <v>0</v>
      </c>
      <c r="W10" s="52">
        <f t="shared" si="8"/>
        <v>0</v>
      </c>
      <c r="X10" s="52">
        <f t="shared" si="9"/>
        <v>0</v>
      </c>
      <c r="Y10" s="52">
        <f t="shared" si="10"/>
        <v>0</v>
      </c>
      <c r="Z10" s="27"/>
      <c r="AB10" s="7">
        <v>45207</v>
      </c>
      <c r="AC10" s="51"/>
      <c r="AD10" s="51"/>
      <c r="AE10" s="52">
        <f t="shared" si="11"/>
        <v>0</v>
      </c>
      <c r="AF10" s="52">
        <f t="shared" si="12"/>
        <v>0</v>
      </c>
      <c r="AG10" s="52">
        <f t="shared" si="13"/>
        <v>0</v>
      </c>
      <c r="AH10" s="52">
        <f t="shared" si="14"/>
        <v>0</v>
      </c>
      <c r="AI10" s="27"/>
      <c r="AK10" s="7">
        <v>45207</v>
      </c>
      <c r="AL10" s="51"/>
      <c r="AM10" s="51"/>
      <c r="AN10" s="52">
        <f t="shared" si="15"/>
        <v>0</v>
      </c>
      <c r="AO10" s="52">
        <f t="shared" si="16"/>
        <v>0</v>
      </c>
      <c r="AP10" s="52">
        <f t="shared" si="17"/>
        <v>0</v>
      </c>
      <c r="AQ10" s="52">
        <f t="shared" si="18"/>
        <v>0</v>
      </c>
      <c r="AR10" s="27"/>
    </row>
    <row r="11" spans="1:44" x14ac:dyDescent="0.35">
      <c r="A11" s="7">
        <v>45208</v>
      </c>
      <c r="B11" s="51"/>
      <c r="C11" s="51"/>
      <c r="D11" s="52">
        <f t="shared" si="0"/>
        <v>0</v>
      </c>
      <c r="E11" s="52">
        <f t="shared" si="0"/>
        <v>0</v>
      </c>
      <c r="F11" s="52">
        <f t="shared" si="1"/>
        <v>0</v>
      </c>
      <c r="G11" s="52">
        <f t="shared" si="2"/>
        <v>0</v>
      </c>
      <c r="H11" s="27"/>
      <c r="J11" s="7">
        <v>45208</v>
      </c>
      <c r="K11" s="51"/>
      <c r="L11" s="51"/>
      <c r="M11" s="52">
        <f t="shared" si="3"/>
        <v>0</v>
      </c>
      <c r="N11" s="52">
        <f t="shared" si="4"/>
        <v>0</v>
      </c>
      <c r="O11" s="52">
        <f t="shared" si="5"/>
        <v>0</v>
      </c>
      <c r="P11" s="52">
        <f t="shared" si="6"/>
        <v>0</v>
      </c>
      <c r="Q11" s="27"/>
      <c r="S11" s="7">
        <v>45208</v>
      </c>
      <c r="T11" s="51"/>
      <c r="U11" s="51"/>
      <c r="V11" s="52">
        <f t="shared" si="7"/>
        <v>0</v>
      </c>
      <c r="W11" s="52">
        <f t="shared" si="8"/>
        <v>0</v>
      </c>
      <c r="X11" s="52">
        <f t="shared" si="9"/>
        <v>0</v>
      </c>
      <c r="Y11" s="52">
        <f t="shared" si="10"/>
        <v>0</v>
      </c>
      <c r="Z11" s="27"/>
      <c r="AB11" s="7">
        <v>45208</v>
      </c>
      <c r="AC11" s="51"/>
      <c r="AD11" s="51"/>
      <c r="AE11" s="52">
        <f t="shared" si="11"/>
        <v>0</v>
      </c>
      <c r="AF11" s="52">
        <f t="shared" si="12"/>
        <v>0</v>
      </c>
      <c r="AG11" s="52">
        <f t="shared" si="13"/>
        <v>0</v>
      </c>
      <c r="AH11" s="52">
        <f t="shared" si="14"/>
        <v>0</v>
      </c>
      <c r="AI11" s="27"/>
      <c r="AK11" s="7">
        <v>45208</v>
      </c>
      <c r="AL11" s="51"/>
      <c r="AM11" s="51"/>
      <c r="AN11" s="52">
        <f t="shared" si="15"/>
        <v>0</v>
      </c>
      <c r="AO11" s="52">
        <f t="shared" si="16"/>
        <v>0</v>
      </c>
      <c r="AP11" s="52">
        <f t="shared" si="17"/>
        <v>0</v>
      </c>
      <c r="AQ11" s="52">
        <f t="shared" si="18"/>
        <v>0</v>
      </c>
      <c r="AR11" s="27"/>
    </row>
    <row r="12" spans="1:44" x14ac:dyDescent="0.35">
      <c r="A12" s="7">
        <v>45209</v>
      </c>
      <c r="B12" s="51"/>
      <c r="C12" s="51"/>
      <c r="D12" s="52">
        <f t="shared" si="0"/>
        <v>0</v>
      </c>
      <c r="E12" s="52">
        <f t="shared" si="0"/>
        <v>0</v>
      </c>
      <c r="F12" s="52">
        <f t="shared" si="1"/>
        <v>0</v>
      </c>
      <c r="G12" s="52">
        <f t="shared" si="2"/>
        <v>0</v>
      </c>
      <c r="H12" s="27"/>
      <c r="J12" s="7">
        <v>45209</v>
      </c>
      <c r="K12" s="51"/>
      <c r="L12" s="51"/>
      <c r="M12" s="52">
        <f t="shared" si="3"/>
        <v>0</v>
      </c>
      <c r="N12" s="52">
        <f t="shared" si="4"/>
        <v>0</v>
      </c>
      <c r="O12" s="52">
        <f t="shared" si="5"/>
        <v>0</v>
      </c>
      <c r="P12" s="52">
        <f t="shared" si="6"/>
        <v>0</v>
      </c>
      <c r="Q12" s="27"/>
      <c r="S12" s="7">
        <v>45209</v>
      </c>
      <c r="T12" s="51"/>
      <c r="U12" s="51"/>
      <c r="V12" s="52">
        <f t="shared" si="7"/>
        <v>0</v>
      </c>
      <c r="W12" s="52">
        <f t="shared" si="8"/>
        <v>0</v>
      </c>
      <c r="X12" s="52">
        <f t="shared" si="9"/>
        <v>0</v>
      </c>
      <c r="Y12" s="52">
        <f t="shared" si="10"/>
        <v>0</v>
      </c>
      <c r="Z12" s="27"/>
      <c r="AB12" s="7">
        <v>45209</v>
      </c>
      <c r="AC12" s="51"/>
      <c r="AD12" s="51"/>
      <c r="AE12" s="52">
        <f t="shared" si="11"/>
        <v>0</v>
      </c>
      <c r="AF12" s="52">
        <f t="shared" si="12"/>
        <v>0</v>
      </c>
      <c r="AG12" s="52">
        <f t="shared" si="13"/>
        <v>0</v>
      </c>
      <c r="AH12" s="52">
        <f t="shared" si="14"/>
        <v>0</v>
      </c>
      <c r="AI12" s="27"/>
      <c r="AK12" s="7">
        <v>45209</v>
      </c>
      <c r="AL12" s="51"/>
      <c r="AM12" s="51"/>
      <c r="AN12" s="52">
        <f t="shared" si="15"/>
        <v>0</v>
      </c>
      <c r="AO12" s="52">
        <f t="shared" si="16"/>
        <v>0</v>
      </c>
      <c r="AP12" s="52">
        <f t="shared" si="17"/>
        <v>0</v>
      </c>
      <c r="AQ12" s="52">
        <f t="shared" si="18"/>
        <v>0</v>
      </c>
      <c r="AR12" s="27"/>
    </row>
    <row r="13" spans="1:44" x14ac:dyDescent="0.35">
      <c r="A13" s="7">
        <v>45210</v>
      </c>
      <c r="B13" s="51"/>
      <c r="C13" s="51"/>
      <c r="D13" s="52">
        <f t="shared" si="0"/>
        <v>0</v>
      </c>
      <c r="E13" s="52">
        <f t="shared" si="0"/>
        <v>0</v>
      </c>
      <c r="F13" s="52">
        <f t="shared" si="1"/>
        <v>0</v>
      </c>
      <c r="G13" s="52">
        <f t="shared" si="2"/>
        <v>0</v>
      </c>
      <c r="H13" s="27"/>
      <c r="J13" s="7">
        <v>45210</v>
      </c>
      <c r="K13" s="51"/>
      <c r="L13" s="51"/>
      <c r="M13" s="52">
        <f t="shared" si="3"/>
        <v>0</v>
      </c>
      <c r="N13" s="52">
        <f t="shared" si="4"/>
        <v>0</v>
      </c>
      <c r="O13" s="52">
        <f t="shared" si="5"/>
        <v>0</v>
      </c>
      <c r="P13" s="52">
        <f t="shared" si="6"/>
        <v>0</v>
      </c>
      <c r="Q13" s="27"/>
      <c r="S13" s="7">
        <v>45210</v>
      </c>
      <c r="T13" s="51"/>
      <c r="U13" s="51"/>
      <c r="V13" s="52">
        <f t="shared" si="7"/>
        <v>0</v>
      </c>
      <c r="W13" s="52">
        <f t="shared" si="8"/>
        <v>0</v>
      </c>
      <c r="X13" s="52">
        <f t="shared" si="9"/>
        <v>0</v>
      </c>
      <c r="Y13" s="52">
        <f t="shared" si="10"/>
        <v>0</v>
      </c>
      <c r="Z13" s="27"/>
      <c r="AB13" s="7">
        <v>45210</v>
      </c>
      <c r="AC13" s="51"/>
      <c r="AD13" s="51"/>
      <c r="AE13" s="52">
        <f t="shared" si="11"/>
        <v>0</v>
      </c>
      <c r="AF13" s="52">
        <f t="shared" si="12"/>
        <v>0</v>
      </c>
      <c r="AG13" s="52">
        <f t="shared" si="13"/>
        <v>0</v>
      </c>
      <c r="AH13" s="52">
        <f t="shared" si="14"/>
        <v>0</v>
      </c>
      <c r="AI13" s="27"/>
      <c r="AK13" s="7">
        <v>45210</v>
      </c>
      <c r="AL13" s="51"/>
      <c r="AM13" s="51"/>
      <c r="AN13" s="52">
        <f t="shared" si="15"/>
        <v>0</v>
      </c>
      <c r="AO13" s="52">
        <f t="shared" si="16"/>
        <v>0</v>
      </c>
      <c r="AP13" s="52">
        <f t="shared" si="17"/>
        <v>0</v>
      </c>
      <c r="AQ13" s="52">
        <f t="shared" si="18"/>
        <v>0</v>
      </c>
      <c r="AR13" s="27"/>
    </row>
    <row r="14" spans="1:44" x14ac:dyDescent="0.35">
      <c r="A14" s="7">
        <v>45211</v>
      </c>
      <c r="B14" s="51"/>
      <c r="C14" s="51"/>
      <c r="D14" s="52">
        <f t="shared" si="0"/>
        <v>0</v>
      </c>
      <c r="E14" s="52">
        <f t="shared" si="0"/>
        <v>0</v>
      </c>
      <c r="F14" s="52">
        <f t="shared" si="1"/>
        <v>0</v>
      </c>
      <c r="G14" s="52">
        <f t="shared" si="2"/>
        <v>0</v>
      </c>
      <c r="H14" s="27"/>
      <c r="J14" s="7">
        <v>45211</v>
      </c>
      <c r="K14" s="51"/>
      <c r="L14" s="51"/>
      <c r="M14" s="52">
        <f t="shared" si="3"/>
        <v>0</v>
      </c>
      <c r="N14" s="52">
        <f t="shared" si="4"/>
        <v>0</v>
      </c>
      <c r="O14" s="52">
        <f t="shared" si="5"/>
        <v>0</v>
      </c>
      <c r="P14" s="52">
        <f t="shared" si="6"/>
        <v>0</v>
      </c>
      <c r="Q14" s="27"/>
      <c r="S14" s="7">
        <v>45211</v>
      </c>
      <c r="T14" s="51"/>
      <c r="U14" s="51"/>
      <c r="V14" s="52">
        <f t="shared" si="7"/>
        <v>0</v>
      </c>
      <c r="W14" s="52">
        <f t="shared" si="8"/>
        <v>0</v>
      </c>
      <c r="X14" s="52">
        <f t="shared" si="9"/>
        <v>0</v>
      </c>
      <c r="Y14" s="52">
        <f t="shared" si="10"/>
        <v>0</v>
      </c>
      <c r="Z14" s="27"/>
      <c r="AB14" s="7">
        <v>45211</v>
      </c>
      <c r="AC14" s="51"/>
      <c r="AD14" s="51"/>
      <c r="AE14" s="52">
        <f t="shared" si="11"/>
        <v>0</v>
      </c>
      <c r="AF14" s="52">
        <f t="shared" si="12"/>
        <v>0</v>
      </c>
      <c r="AG14" s="52">
        <f t="shared" si="13"/>
        <v>0</v>
      </c>
      <c r="AH14" s="52">
        <f t="shared" si="14"/>
        <v>0</v>
      </c>
      <c r="AI14" s="27"/>
      <c r="AK14" s="7">
        <v>45211</v>
      </c>
      <c r="AL14" s="51"/>
      <c r="AM14" s="51"/>
      <c r="AN14" s="52">
        <f t="shared" si="15"/>
        <v>0</v>
      </c>
      <c r="AO14" s="52">
        <f t="shared" si="16"/>
        <v>0</v>
      </c>
      <c r="AP14" s="52">
        <f t="shared" si="17"/>
        <v>0</v>
      </c>
      <c r="AQ14" s="52">
        <f t="shared" si="18"/>
        <v>0</v>
      </c>
      <c r="AR14" s="27"/>
    </row>
    <row r="15" spans="1:44" x14ac:dyDescent="0.35">
      <c r="A15" s="7">
        <v>45212</v>
      </c>
      <c r="B15" s="51"/>
      <c r="C15" s="51"/>
      <c r="D15" s="52">
        <f t="shared" si="0"/>
        <v>0</v>
      </c>
      <c r="E15" s="52">
        <f t="shared" si="0"/>
        <v>0</v>
      </c>
      <c r="F15" s="52">
        <f t="shared" si="1"/>
        <v>0</v>
      </c>
      <c r="G15" s="52">
        <f t="shared" si="2"/>
        <v>0</v>
      </c>
      <c r="H15" s="27"/>
      <c r="J15" s="7">
        <v>45212</v>
      </c>
      <c r="K15" s="51"/>
      <c r="L15" s="51"/>
      <c r="M15" s="52">
        <f t="shared" si="3"/>
        <v>0</v>
      </c>
      <c r="N15" s="52">
        <f t="shared" si="4"/>
        <v>0</v>
      </c>
      <c r="O15" s="52">
        <f t="shared" si="5"/>
        <v>0</v>
      </c>
      <c r="P15" s="52">
        <f t="shared" si="6"/>
        <v>0</v>
      </c>
      <c r="Q15" s="27"/>
      <c r="S15" s="7">
        <v>45212</v>
      </c>
      <c r="T15" s="51"/>
      <c r="U15" s="51"/>
      <c r="V15" s="52">
        <f t="shared" si="7"/>
        <v>0</v>
      </c>
      <c r="W15" s="52">
        <f t="shared" si="8"/>
        <v>0</v>
      </c>
      <c r="X15" s="52">
        <f t="shared" si="9"/>
        <v>0</v>
      </c>
      <c r="Y15" s="52">
        <f t="shared" si="10"/>
        <v>0</v>
      </c>
      <c r="Z15" s="27"/>
      <c r="AB15" s="7">
        <v>45212</v>
      </c>
      <c r="AC15" s="51"/>
      <c r="AD15" s="51"/>
      <c r="AE15" s="52">
        <f t="shared" si="11"/>
        <v>0</v>
      </c>
      <c r="AF15" s="52">
        <f t="shared" si="12"/>
        <v>0</v>
      </c>
      <c r="AG15" s="52">
        <f t="shared" si="13"/>
        <v>0</v>
      </c>
      <c r="AH15" s="52">
        <f t="shared" si="14"/>
        <v>0</v>
      </c>
      <c r="AI15" s="27"/>
      <c r="AK15" s="7">
        <v>45212</v>
      </c>
      <c r="AL15" s="51"/>
      <c r="AM15" s="51"/>
      <c r="AN15" s="52">
        <f t="shared" si="15"/>
        <v>0</v>
      </c>
      <c r="AO15" s="52">
        <f t="shared" si="16"/>
        <v>0</v>
      </c>
      <c r="AP15" s="52">
        <f t="shared" si="17"/>
        <v>0</v>
      </c>
      <c r="AQ15" s="52">
        <f t="shared" si="18"/>
        <v>0</v>
      </c>
      <c r="AR15" s="27"/>
    </row>
    <row r="16" spans="1:44" x14ac:dyDescent="0.35">
      <c r="A16" s="7">
        <v>45213</v>
      </c>
      <c r="B16" s="51"/>
      <c r="C16" s="51"/>
      <c r="D16" s="52">
        <f t="shared" si="0"/>
        <v>0</v>
      </c>
      <c r="E16" s="52">
        <f t="shared" si="0"/>
        <v>0</v>
      </c>
      <c r="F16" s="52">
        <f t="shared" si="1"/>
        <v>0</v>
      </c>
      <c r="G16" s="52">
        <f t="shared" si="2"/>
        <v>0</v>
      </c>
      <c r="H16" s="27"/>
      <c r="J16" s="7">
        <v>45213</v>
      </c>
      <c r="K16" s="51"/>
      <c r="L16" s="51"/>
      <c r="M16" s="52">
        <f t="shared" si="3"/>
        <v>0</v>
      </c>
      <c r="N16" s="52">
        <f t="shared" si="4"/>
        <v>0</v>
      </c>
      <c r="O16" s="52">
        <f t="shared" si="5"/>
        <v>0</v>
      </c>
      <c r="P16" s="52">
        <f t="shared" si="6"/>
        <v>0</v>
      </c>
      <c r="Q16" s="27"/>
      <c r="S16" s="7">
        <v>45213</v>
      </c>
      <c r="T16" s="51"/>
      <c r="U16" s="51"/>
      <c r="V16" s="52">
        <f t="shared" si="7"/>
        <v>0</v>
      </c>
      <c r="W16" s="52">
        <f t="shared" si="8"/>
        <v>0</v>
      </c>
      <c r="X16" s="52">
        <f t="shared" si="9"/>
        <v>0</v>
      </c>
      <c r="Y16" s="52">
        <f t="shared" si="10"/>
        <v>0</v>
      </c>
      <c r="Z16" s="27"/>
      <c r="AB16" s="7">
        <v>45213</v>
      </c>
      <c r="AC16" s="51"/>
      <c r="AD16" s="51"/>
      <c r="AE16" s="52">
        <f t="shared" si="11"/>
        <v>0</v>
      </c>
      <c r="AF16" s="52">
        <f t="shared" si="12"/>
        <v>0</v>
      </c>
      <c r="AG16" s="52">
        <f t="shared" si="13"/>
        <v>0</v>
      </c>
      <c r="AH16" s="52">
        <f t="shared" si="14"/>
        <v>0</v>
      </c>
      <c r="AI16" s="27"/>
      <c r="AK16" s="7">
        <v>45213</v>
      </c>
      <c r="AL16" s="51"/>
      <c r="AM16" s="51"/>
      <c r="AN16" s="52">
        <f t="shared" si="15"/>
        <v>0</v>
      </c>
      <c r="AO16" s="52">
        <f t="shared" si="16"/>
        <v>0</v>
      </c>
      <c r="AP16" s="52">
        <f t="shared" si="17"/>
        <v>0</v>
      </c>
      <c r="AQ16" s="52">
        <f t="shared" si="18"/>
        <v>0</v>
      </c>
      <c r="AR16" s="27"/>
    </row>
    <row r="17" spans="1:44" x14ac:dyDescent="0.35">
      <c r="A17" s="7">
        <v>45214</v>
      </c>
      <c r="B17" s="51"/>
      <c r="C17" s="51"/>
      <c r="D17" s="52">
        <f t="shared" si="0"/>
        <v>0</v>
      </c>
      <c r="E17" s="52">
        <f t="shared" si="0"/>
        <v>0</v>
      </c>
      <c r="F17" s="52">
        <f t="shared" si="1"/>
        <v>0</v>
      </c>
      <c r="G17" s="52">
        <f t="shared" si="2"/>
        <v>0</v>
      </c>
      <c r="H17" s="27"/>
      <c r="J17" s="7">
        <v>45214</v>
      </c>
      <c r="K17" s="51"/>
      <c r="L17" s="51"/>
      <c r="M17" s="52">
        <f t="shared" si="3"/>
        <v>0</v>
      </c>
      <c r="N17" s="52">
        <f t="shared" si="4"/>
        <v>0</v>
      </c>
      <c r="O17" s="52">
        <f t="shared" si="5"/>
        <v>0</v>
      </c>
      <c r="P17" s="52">
        <f t="shared" si="6"/>
        <v>0</v>
      </c>
      <c r="Q17" s="27"/>
      <c r="S17" s="7">
        <v>45214</v>
      </c>
      <c r="T17" s="51"/>
      <c r="U17" s="51"/>
      <c r="V17" s="52">
        <f t="shared" si="7"/>
        <v>0</v>
      </c>
      <c r="W17" s="52">
        <f t="shared" si="8"/>
        <v>0</v>
      </c>
      <c r="X17" s="52">
        <f t="shared" si="9"/>
        <v>0</v>
      </c>
      <c r="Y17" s="52">
        <f t="shared" si="10"/>
        <v>0</v>
      </c>
      <c r="Z17" s="27"/>
      <c r="AB17" s="7">
        <v>45214</v>
      </c>
      <c r="AC17" s="51"/>
      <c r="AD17" s="51"/>
      <c r="AE17" s="52">
        <f t="shared" si="11"/>
        <v>0</v>
      </c>
      <c r="AF17" s="52">
        <f t="shared" si="12"/>
        <v>0</v>
      </c>
      <c r="AG17" s="52">
        <f t="shared" si="13"/>
        <v>0</v>
      </c>
      <c r="AH17" s="52">
        <f t="shared" si="14"/>
        <v>0</v>
      </c>
      <c r="AI17" s="27"/>
      <c r="AK17" s="7">
        <v>45214</v>
      </c>
      <c r="AL17" s="51"/>
      <c r="AM17" s="51"/>
      <c r="AN17" s="52">
        <f t="shared" si="15"/>
        <v>0</v>
      </c>
      <c r="AO17" s="52">
        <f t="shared" si="16"/>
        <v>0</v>
      </c>
      <c r="AP17" s="52">
        <f t="shared" si="17"/>
        <v>0</v>
      </c>
      <c r="AQ17" s="52">
        <f t="shared" si="18"/>
        <v>0</v>
      </c>
      <c r="AR17" s="27"/>
    </row>
    <row r="18" spans="1:44" x14ac:dyDescent="0.35">
      <c r="A18" s="7">
        <v>45215</v>
      </c>
      <c r="B18" s="51"/>
      <c r="C18" s="51"/>
      <c r="D18" s="52">
        <f t="shared" si="0"/>
        <v>0</v>
      </c>
      <c r="E18" s="52">
        <f t="shared" si="0"/>
        <v>0</v>
      </c>
      <c r="F18" s="52">
        <f t="shared" si="1"/>
        <v>0</v>
      </c>
      <c r="G18" s="52">
        <f t="shared" si="2"/>
        <v>0</v>
      </c>
      <c r="H18" s="27"/>
      <c r="J18" s="7">
        <v>45215</v>
      </c>
      <c r="K18" s="51"/>
      <c r="L18" s="51"/>
      <c r="M18" s="52">
        <f t="shared" si="3"/>
        <v>0</v>
      </c>
      <c r="N18" s="52">
        <f t="shared" si="4"/>
        <v>0</v>
      </c>
      <c r="O18" s="52">
        <f t="shared" si="5"/>
        <v>0</v>
      </c>
      <c r="P18" s="52">
        <f t="shared" si="6"/>
        <v>0</v>
      </c>
      <c r="Q18" s="27"/>
      <c r="S18" s="7">
        <v>45215</v>
      </c>
      <c r="T18" s="51"/>
      <c r="U18" s="51"/>
      <c r="V18" s="52">
        <f t="shared" si="7"/>
        <v>0</v>
      </c>
      <c r="W18" s="52">
        <f t="shared" si="8"/>
        <v>0</v>
      </c>
      <c r="X18" s="52">
        <f t="shared" si="9"/>
        <v>0</v>
      </c>
      <c r="Y18" s="52">
        <f t="shared" si="10"/>
        <v>0</v>
      </c>
      <c r="Z18" s="27"/>
      <c r="AB18" s="7">
        <v>45215</v>
      </c>
      <c r="AC18" s="51"/>
      <c r="AD18" s="51"/>
      <c r="AE18" s="52">
        <f t="shared" si="11"/>
        <v>0</v>
      </c>
      <c r="AF18" s="52">
        <f t="shared" si="12"/>
        <v>0</v>
      </c>
      <c r="AG18" s="52">
        <f t="shared" si="13"/>
        <v>0</v>
      </c>
      <c r="AH18" s="52">
        <f t="shared" si="14"/>
        <v>0</v>
      </c>
      <c r="AI18" s="27"/>
      <c r="AK18" s="7">
        <v>45215</v>
      </c>
      <c r="AL18" s="51"/>
      <c r="AM18" s="51"/>
      <c r="AN18" s="52">
        <f t="shared" si="15"/>
        <v>0</v>
      </c>
      <c r="AO18" s="52">
        <f t="shared" si="16"/>
        <v>0</v>
      </c>
      <c r="AP18" s="52">
        <f t="shared" si="17"/>
        <v>0</v>
      </c>
      <c r="AQ18" s="52">
        <f t="shared" si="18"/>
        <v>0</v>
      </c>
      <c r="AR18" s="27"/>
    </row>
    <row r="19" spans="1:44" x14ac:dyDescent="0.35">
      <c r="A19" s="7">
        <v>45216</v>
      </c>
      <c r="B19" s="51"/>
      <c r="C19" s="51"/>
      <c r="D19" s="52">
        <f t="shared" si="0"/>
        <v>0</v>
      </c>
      <c r="E19" s="52">
        <f t="shared" si="0"/>
        <v>0</v>
      </c>
      <c r="F19" s="52">
        <f t="shared" si="1"/>
        <v>0</v>
      </c>
      <c r="G19" s="52">
        <f t="shared" si="2"/>
        <v>0</v>
      </c>
      <c r="H19" s="27"/>
      <c r="J19" s="7">
        <v>45216</v>
      </c>
      <c r="K19" s="51"/>
      <c r="L19" s="51"/>
      <c r="M19" s="52">
        <f t="shared" si="3"/>
        <v>0</v>
      </c>
      <c r="N19" s="52">
        <f t="shared" si="4"/>
        <v>0</v>
      </c>
      <c r="O19" s="52">
        <f t="shared" si="5"/>
        <v>0</v>
      </c>
      <c r="P19" s="52">
        <f t="shared" si="6"/>
        <v>0</v>
      </c>
      <c r="Q19" s="27"/>
      <c r="S19" s="7">
        <v>45216</v>
      </c>
      <c r="T19" s="51"/>
      <c r="U19" s="51"/>
      <c r="V19" s="52">
        <f t="shared" si="7"/>
        <v>0</v>
      </c>
      <c r="W19" s="52">
        <f t="shared" si="8"/>
        <v>0</v>
      </c>
      <c r="X19" s="52">
        <f t="shared" si="9"/>
        <v>0</v>
      </c>
      <c r="Y19" s="52">
        <f t="shared" si="10"/>
        <v>0</v>
      </c>
      <c r="Z19" s="27"/>
      <c r="AB19" s="7">
        <v>45216</v>
      </c>
      <c r="AC19" s="51"/>
      <c r="AD19" s="51"/>
      <c r="AE19" s="52">
        <f t="shared" si="11"/>
        <v>0</v>
      </c>
      <c r="AF19" s="52">
        <f t="shared" si="12"/>
        <v>0</v>
      </c>
      <c r="AG19" s="52">
        <f t="shared" si="13"/>
        <v>0</v>
      </c>
      <c r="AH19" s="52">
        <f t="shared" si="14"/>
        <v>0</v>
      </c>
      <c r="AI19" s="27"/>
      <c r="AK19" s="7">
        <v>45216</v>
      </c>
      <c r="AL19" s="51"/>
      <c r="AM19" s="51"/>
      <c r="AN19" s="52">
        <f t="shared" si="15"/>
        <v>0</v>
      </c>
      <c r="AO19" s="52">
        <f t="shared" si="16"/>
        <v>0</v>
      </c>
      <c r="AP19" s="52">
        <f t="shared" si="17"/>
        <v>0</v>
      </c>
      <c r="AQ19" s="52">
        <f t="shared" si="18"/>
        <v>0</v>
      </c>
      <c r="AR19" s="27"/>
    </row>
    <row r="20" spans="1:44" x14ac:dyDescent="0.35">
      <c r="A20" s="7">
        <v>45217</v>
      </c>
      <c r="B20" s="51"/>
      <c r="C20" s="51"/>
      <c r="D20" s="52">
        <f t="shared" si="0"/>
        <v>0</v>
      </c>
      <c r="E20" s="52">
        <f t="shared" si="0"/>
        <v>0</v>
      </c>
      <c r="F20" s="52">
        <f t="shared" si="1"/>
        <v>0</v>
      </c>
      <c r="G20" s="52">
        <f>IF(B20="",0,12-F20)</f>
        <v>0</v>
      </c>
      <c r="H20" s="27"/>
      <c r="J20" s="7">
        <v>45217</v>
      </c>
      <c r="K20" s="51"/>
      <c r="L20" s="51"/>
      <c r="M20" s="52">
        <f t="shared" si="3"/>
        <v>0</v>
      </c>
      <c r="N20" s="52">
        <f t="shared" si="4"/>
        <v>0</v>
      </c>
      <c r="O20" s="52">
        <f t="shared" si="5"/>
        <v>0</v>
      </c>
      <c r="P20" s="52">
        <f>IF(K20="",0,12-O20)</f>
        <v>0</v>
      </c>
      <c r="Q20" s="27"/>
      <c r="S20" s="7">
        <v>45217</v>
      </c>
      <c r="T20" s="51"/>
      <c r="U20" s="51"/>
      <c r="V20" s="52">
        <f t="shared" si="7"/>
        <v>0</v>
      </c>
      <c r="W20" s="52">
        <f t="shared" si="8"/>
        <v>0</v>
      </c>
      <c r="X20" s="52">
        <f t="shared" si="9"/>
        <v>0</v>
      </c>
      <c r="Y20" s="52">
        <f>IF(T20="",0,12-X20)</f>
        <v>0</v>
      </c>
      <c r="Z20" s="27"/>
      <c r="AB20" s="7">
        <v>45217</v>
      </c>
      <c r="AC20" s="51"/>
      <c r="AD20" s="51"/>
      <c r="AE20" s="52">
        <f t="shared" si="11"/>
        <v>0</v>
      </c>
      <c r="AF20" s="52">
        <f t="shared" si="12"/>
        <v>0</v>
      </c>
      <c r="AG20" s="52">
        <f t="shared" si="13"/>
        <v>0</v>
      </c>
      <c r="AH20" s="52">
        <f>IF(AC20="",0,12-AG20)</f>
        <v>0</v>
      </c>
      <c r="AI20" s="27"/>
      <c r="AK20" s="7">
        <v>45217</v>
      </c>
      <c r="AL20" s="51"/>
      <c r="AM20" s="51"/>
      <c r="AN20" s="52">
        <f t="shared" si="15"/>
        <v>0</v>
      </c>
      <c r="AO20" s="52">
        <f t="shared" si="16"/>
        <v>0</v>
      </c>
      <c r="AP20" s="52">
        <f t="shared" si="17"/>
        <v>0</v>
      </c>
      <c r="AQ20" s="52">
        <f>IF(AL20="",0,12-AP20)</f>
        <v>0</v>
      </c>
      <c r="AR20" s="27"/>
    </row>
    <row r="21" spans="1:44" x14ac:dyDescent="0.35">
      <c r="A21" s="7">
        <v>45218</v>
      </c>
      <c r="B21" s="51"/>
      <c r="C21" s="51"/>
      <c r="D21" s="52">
        <f t="shared" si="0"/>
        <v>0</v>
      </c>
      <c r="E21" s="52">
        <f t="shared" si="0"/>
        <v>0</v>
      </c>
      <c r="F21" s="52">
        <f t="shared" si="1"/>
        <v>0</v>
      </c>
      <c r="G21" s="52">
        <f t="shared" si="2"/>
        <v>0</v>
      </c>
      <c r="H21" s="27"/>
      <c r="J21" s="7">
        <v>45218</v>
      </c>
      <c r="K21" s="51"/>
      <c r="L21" s="51"/>
      <c r="M21" s="52">
        <f t="shared" si="3"/>
        <v>0</v>
      </c>
      <c r="N21" s="52">
        <f t="shared" si="4"/>
        <v>0</v>
      </c>
      <c r="O21" s="52">
        <f t="shared" si="5"/>
        <v>0</v>
      </c>
      <c r="P21" s="52">
        <f t="shared" ref="P21:P33" si="19">IF(K21="",0,12-O21)</f>
        <v>0</v>
      </c>
      <c r="Q21" s="27"/>
      <c r="S21" s="7">
        <v>45218</v>
      </c>
      <c r="T21" s="51"/>
      <c r="U21" s="51"/>
      <c r="V21" s="52">
        <f t="shared" si="7"/>
        <v>0</v>
      </c>
      <c r="W21" s="52">
        <f t="shared" si="8"/>
        <v>0</v>
      </c>
      <c r="X21" s="52">
        <f t="shared" si="9"/>
        <v>0</v>
      </c>
      <c r="Y21" s="52">
        <f t="shared" ref="Y21:Y33" si="20">IF(T21="",0,12-X21)</f>
        <v>0</v>
      </c>
      <c r="Z21" s="27"/>
      <c r="AB21" s="7">
        <v>45218</v>
      </c>
      <c r="AC21" s="51"/>
      <c r="AD21" s="51"/>
      <c r="AE21" s="52">
        <f t="shared" si="11"/>
        <v>0</v>
      </c>
      <c r="AF21" s="52">
        <f t="shared" si="12"/>
        <v>0</v>
      </c>
      <c r="AG21" s="52">
        <f t="shared" si="13"/>
        <v>0</v>
      </c>
      <c r="AH21" s="52">
        <f t="shared" ref="AH21:AH33" si="21">IF(AC21="",0,12-AG21)</f>
        <v>0</v>
      </c>
      <c r="AI21" s="27"/>
      <c r="AK21" s="7">
        <v>45218</v>
      </c>
      <c r="AL21" s="51"/>
      <c r="AM21" s="51"/>
      <c r="AN21" s="52">
        <f t="shared" si="15"/>
        <v>0</v>
      </c>
      <c r="AO21" s="52">
        <f t="shared" si="16"/>
        <v>0</v>
      </c>
      <c r="AP21" s="52">
        <f t="shared" si="17"/>
        <v>0</v>
      </c>
      <c r="AQ21" s="52">
        <f t="shared" ref="AQ21:AQ38" si="22">IF(AL21="",0,12-AP21)</f>
        <v>0</v>
      </c>
      <c r="AR21" s="27"/>
    </row>
    <row r="22" spans="1:44" x14ac:dyDescent="0.35">
      <c r="A22" s="7">
        <v>45219</v>
      </c>
      <c r="B22" s="51"/>
      <c r="C22" s="51"/>
      <c r="D22" s="52">
        <f t="shared" si="0"/>
        <v>0</v>
      </c>
      <c r="E22" s="52">
        <f t="shared" si="0"/>
        <v>0</v>
      </c>
      <c r="F22" s="52">
        <f t="shared" si="1"/>
        <v>0</v>
      </c>
      <c r="G22" s="52">
        <f t="shared" si="2"/>
        <v>0</v>
      </c>
      <c r="H22" s="27"/>
      <c r="J22" s="7">
        <v>45219</v>
      </c>
      <c r="K22" s="51"/>
      <c r="L22" s="51"/>
      <c r="M22" s="52">
        <f t="shared" si="3"/>
        <v>0</v>
      </c>
      <c r="N22" s="52">
        <f t="shared" si="4"/>
        <v>0</v>
      </c>
      <c r="O22" s="52">
        <f t="shared" si="5"/>
        <v>0</v>
      </c>
      <c r="P22" s="52">
        <f t="shared" si="19"/>
        <v>0</v>
      </c>
      <c r="Q22" s="27"/>
      <c r="S22" s="7">
        <v>45219</v>
      </c>
      <c r="T22" s="51"/>
      <c r="U22" s="51"/>
      <c r="V22" s="52">
        <f t="shared" si="7"/>
        <v>0</v>
      </c>
      <c r="W22" s="52">
        <f t="shared" si="8"/>
        <v>0</v>
      </c>
      <c r="X22" s="52">
        <f t="shared" si="9"/>
        <v>0</v>
      </c>
      <c r="Y22" s="52">
        <f t="shared" si="20"/>
        <v>0</v>
      </c>
      <c r="Z22" s="27"/>
      <c r="AB22" s="7">
        <v>45219</v>
      </c>
      <c r="AC22" s="51"/>
      <c r="AD22" s="51"/>
      <c r="AE22" s="52">
        <f t="shared" si="11"/>
        <v>0</v>
      </c>
      <c r="AF22" s="52">
        <f t="shared" si="12"/>
        <v>0</v>
      </c>
      <c r="AG22" s="52">
        <f t="shared" si="13"/>
        <v>0</v>
      </c>
      <c r="AH22" s="52">
        <f t="shared" si="21"/>
        <v>0</v>
      </c>
      <c r="AI22" s="27"/>
      <c r="AK22" s="7">
        <v>45219</v>
      </c>
      <c r="AL22" s="51"/>
      <c r="AM22" s="51"/>
      <c r="AN22" s="52">
        <f t="shared" si="15"/>
        <v>0</v>
      </c>
      <c r="AO22" s="52">
        <f t="shared" si="16"/>
        <v>0</v>
      </c>
      <c r="AP22" s="52">
        <f t="shared" si="17"/>
        <v>0</v>
      </c>
      <c r="AQ22" s="52">
        <f t="shared" si="22"/>
        <v>0</v>
      </c>
      <c r="AR22" s="27"/>
    </row>
    <row r="23" spans="1:44" x14ac:dyDescent="0.35">
      <c r="A23" s="7">
        <v>45220</v>
      </c>
      <c r="B23" s="51"/>
      <c r="C23" s="51"/>
      <c r="D23" s="52">
        <f t="shared" ref="D23:E33" si="23">B23*24</f>
        <v>0</v>
      </c>
      <c r="E23" s="52">
        <f t="shared" si="23"/>
        <v>0</v>
      </c>
      <c r="F23" s="52">
        <f t="shared" si="1"/>
        <v>0</v>
      </c>
      <c r="G23" s="52">
        <f t="shared" si="2"/>
        <v>0</v>
      </c>
      <c r="H23" s="27"/>
      <c r="J23" s="7">
        <v>45220</v>
      </c>
      <c r="K23" s="51"/>
      <c r="L23" s="51"/>
      <c r="M23" s="52">
        <f t="shared" si="3"/>
        <v>0</v>
      </c>
      <c r="N23" s="52">
        <f t="shared" si="4"/>
        <v>0</v>
      </c>
      <c r="O23" s="52">
        <f t="shared" si="5"/>
        <v>0</v>
      </c>
      <c r="P23" s="52">
        <f t="shared" si="19"/>
        <v>0</v>
      </c>
      <c r="Q23" s="27"/>
      <c r="S23" s="7">
        <v>45220</v>
      </c>
      <c r="T23" s="51"/>
      <c r="U23" s="51"/>
      <c r="V23" s="52">
        <f t="shared" si="7"/>
        <v>0</v>
      </c>
      <c r="W23" s="52">
        <f t="shared" si="8"/>
        <v>0</v>
      </c>
      <c r="X23" s="52">
        <f t="shared" si="9"/>
        <v>0</v>
      </c>
      <c r="Y23" s="52">
        <f t="shared" si="20"/>
        <v>0</v>
      </c>
      <c r="Z23" s="27"/>
      <c r="AB23" s="7">
        <v>45220</v>
      </c>
      <c r="AC23" s="51"/>
      <c r="AD23" s="51"/>
      <c r="AE23" s="52">
        <f t="shared" si="11"/>
        <v>0</v>
      </c>
      <c r="AF23" s="52">
        <f t="shared" si="12"/>
        <v>0</v>
      </c>
      <c r="AG23" s="52">
        <f t="shared" si="13"/>
        <v>0</v>
      </c>
      <c r="AH23" s="52">
        <f t="shared" si="21"/>
        <v>0</v>
      </c>
      <c r="AI23" s="27"/>
      <c r="AK23" s="7">
        <v>45220</v>
      </c>
      <c r="AL23" s="51"/>
      <c r="AM23" s="51"/>
      <c r="AN23" s="52">
        <f t="shared" si="15"/>
        <v>0</v>
      </c>
      <c r="AO23" s="52">
        <f t="shared" si="16"/>
        <v>0</v>
      </c>
      <c r="AP23" s="52">
        <f t="shared" si="17"/>
        <v>0</v>
      </c>
      <c r="AQ23" s="52">
        <f t="shared" si="22"/>
        <v>0</v>
      </c>
      <c r="AR23" s="27"/>
    </row>
    <row r="24" spans="1:44" x14ac:dyDescent="0.35">
      <c r="A24" s="7">
        <v>45221</v>
      </c>
      <c r="B24" s="51"/>
      <c r="C24" s="51"/>
      <c r="D24" s="52">
        <f t="shared" si="23"/>
        <v>0</v>
      </c>
      <c r="E24" s="52">
        <f t="shared" si="23"/>
        <v>0</v>
      </c>
      <c r="F24" s="52">
        <f t="shared" si="1"/>
        <v>0</v>
      </c>
      <c r="G24" s="52">
        <f t="shared" si="2"/>
        <v>0</v>
      </c>
      <c r="H24" s="27"/>
      <c r="J24" s="7">
        <v>45221</v>
      </c>
      <c r="K24" s="51"/>
      <c r="L24" s="51"/>
      <c r="M24" s="52">
        <f t="shared" si="3"/>
        <v>0</v>
      </c>
      <c r="N24" s="52">
        <f t="shared" si="4"/>
        <v>0</v>
      </c>
      <c r="O24" s="52">
        <f t="shared" si="5"/>
        <v>0</v>
      </c>
      <c r="P24" s="52">
        <f t="shared" si="19"/>
        <v>0</v>
      </c>
      <c r="Q24" s="27"/>
      <c r="S24" s="7">
        <v>45221</v>
      </c>
      <c r="T24" s="51"/>
      <c r="U24" s="51"/>
      <c r="V24" s="52">
        <f t="shared" si="7"/>
        <v>0</v>
      </c>
      <c r="W24" s="52">
        <f t="shared" si="8"/>
        <v>0</v>
      </c>
      <c r="X24" s="52">
        <f t="shared" si="9"/>
        <v>0</v>
      </c>
      <c r="Y24" s="52">
        <f t="shared" si="20"/>
        <v>0</v>
      </c>
      <c r="Z24" s="27"/>
      <c r="AB24" s="7">
        <v>45221</v>
      </c>
      <c r="AC24" s="51"/>
      <c r="AD24" s="51"/>
      <c r="AE24" s="52">
        <f t="shared" si="11"/>
        <v>0</v>
      </c>
      <c r="AF24" s="52">
        <f t="shared" si="12"/>
        <v>0</v>
      </c>
      <c r="AG24" s="52">
        <f t="shared" si="13"/>
        <v>0</v>
      </c>
      <c r="AH24" s="52">
        <f t="shared" si="21"/>
        <v>0</v>
      </c>
      <c r="AI24" s="27"/>
      <c r="AK24" s="7">
        <v>45221</v>
      </c>
      <c r="AL24" s="51"/>
      <c r="AM24" s="51"/>
      <c r="AN24" s="52">
        <f t="shared" si="15"/>
        <v>0</v>
      </c>
      <c r="AO24" s="52">
        <f t="shared" si="16"/>
        <v>0</v>
      </c>
      <c r="AP24" s="52">
        <f t="shared" si="17"/>
        <v>0</v>
      </c>
      <c r="AQ24" s="52">
        <f t="shared" si="22"/>
        <v>0</v>
      </c>
      <c r="AR24" s="27"/>
    </row>
    <row r="25" spans="1:44" x14ac:dyDescent="0.35">
      <c r="A25" s="7">
        <v>45222</v>
      </c>
      <c r="B25" s="51"/>
      <c r="C25" s="51"/>
      <c r="D25" s="52">
        <f t="shared" si="23"/>
        <v>0</v>
      </c>
      <c r="E25" s="52">
        <f>C25*24</f>
        <v>0</v>
      </c>
      <c r="F25" s="52">
        <f t="shared" si="1"/>
        <v>0</v>
      </c>
      <c r="G25" s="52">
        <f t="shared" si="2"/>
        <v>0</v>
      </c>
      <c r="H25" s="27"/>
      <c r="J25" s="7">
        <v>45222</v>
      </c>
      <c r="K25" s="51"/>
      <c r="L25" s="51"/>
      <c r="M25" s="52">
        <f t="shared" si="3"/>
        <v>0</v>
      </c>
      <c r="N25" s="52">
        <f>L25*24</f>
        <v>0</v>
      </c>
      <c r="O25" s="52">
        <f t="shared" si="5"/>
        <v>0</v>
      </c>
      <c r="P25" s="52">
        <f t="shared" si="19"/>
        <v>0</v>
      </c>
      <c r="Q25" s="27"/>
      <c r="S25" s="7">
        <v>45222</v>
      </c>
      <c r="T25" s="51"/>
      <c r="U25" s="51"/>
      <c r="V25" s="52">
        <f t="shared" si="7"/>
        <v>0</v>
      </c>
      <c r="W25" s="52">
        <f>U25*24</f>
        <v>0</v>
      </c>
      <c r="X25" s="52">
        <f t="shared" si="9"/>
        <v>0</v>
      </c>
      <c r="Y25" s="52">
        <f t="shared" si="20"/>
        <v>0</v>
      </c>
      <c r="Z25" s="27"/>
      <c r="AB25" s="7">
        <v>45222</v>
      </c>
      <c r="AC25" s="51"/>
      <c r="AD25" s="51"/>
      <c r="AE25" s="52">
        <f t="shared" si="11"/>
        <v>0</v>
      </c>
      <c r="AF25" s="52">
        <f>AD25*24</f>
        <v>0</v>
      </c>
      <c r="AG25" s="52">
        <f t="shared" si="13"/>
        <v>0</v>
      </c>
      <c r="AH25" s="52">
        <f t="shared" si="21"/>
        <v>0</v>
      </c>
      <c r="AI25" s="27"/>
      <c r="AK25" s="7">
        <v>45222</v>
      </c>
      <c r="AL25" s="51"/>
      <c r="AM25" s="51"/>
      <c r="AN25" s="52">
        <f t="shared" si="15"/>
        <v>0</v>
      </c>
      <c r="AO25" s="52">
        <f>AM25*24</f>
        <v>0</v>
      </c>
      <c r="AP25" s="52">
        <f t="shared" si="17"/>
        <v>0</v>
      </c>
      <c r="AQ25" s="52">
        <f t="shared" si="22"/>
        <v>0</v>
      </c>
      <c r="AR25" s="27"/>
    </row>
    <row r="26" spans="1:44" x14ac:dyDescent="0.35">
      <c r="A26" s="7">
        <v>45223</v>
      </c>
      <c r="B26" s="51"/>
      <c r="C26" s="51"/>
      <c r="D26" s="52">
        <f t="shared" si="23"/>
        <v>0</v>
      </c>
      <c r="E26" s="52">
        <f t="shared" si="23"/>
        <v>0</v>
      </c>
      <c r="F26" s="52">
        <f t="shared" si="1"/>
        <v>0</v>
      </c>
      <c r="G26" s="52">
        <f t="shared" si="2"/>
        <v>0</v>
      </c>
      <c r="H26" s="27"/>
      <c r="J26" s="7">
        <v>45223</v>
      </c>
      <c r="K26" s="51"/>
      <c r="L26" s="51"/>
      <c r="M26" s="52">
        <f t="shared" si="3"/>
        <v>0</v>
      </c>
      <c r="N26" s="52">
        <f t="shared" ref="N26:N33" si="24">L26*24</f>
        <v>0</v>
      </c>
      <c r="O26" s="52">
        <f t="shared" si="5"/>
        <v>0</v>
      </c>
      <c r="P26" s="52">
        <f t="shared" si="19"/>
        <v>0</v>
      </c>
      <c r="Q26" s="27"/>
      <c r="S26" s="7">
        <v>45223</v>
      </c>
      <c r="T26" s="51"/>
      <c r="U26" s="51"/>
      <c r="V26" s="52">
        <f t="shared" si="7"/>
        <v>0</v>
      </c>
      <c r="W26" s="52">
        <f t="shared" ref="W26:W33" si="25">U26*24</f>
        <v>0</v>
      </c>
      <c r="X26" s="52">
        <f t="shared" si="9"/>
        <v>0</v>
      </c>
      <c r="Y26" s="52">
        <f t="shared" si="20"/>
        <v>0</v>
      </c>
      <c r="Z26" s="27"/>
      <c r="AB26" s="7">
        <v>45223</v>
      </c>
      <c r="AC26" s="51"/>
      <c r="AD26" s="51"/>
      <c r="AE26" s="52">
        <f t="shared" si="11"/>
        <v>0</v>
      </c>
      <c r="AF26" s="52">
        <f t="shared" ref="AF26:AF33" si="26">AD26*24</f>
        <v>0</v>
      </c>
      <c r="AG26" s="52">
        <f t="shared" si="13"/>
        <v>0</v>
      </c>
      <c r="AH26" s="52">
        <f t="shared" si="21"/>
        <v>0</v>
      </c>
      <c r="AI26" s="27"/>
      <c r="AK26" s="7">
        <v>45223</v>
      </c>
      <c r="AL26" s="51"/>
      <c r="AM26" s="51"/>
      <c r="AN26" s="52">
        <f t="shared" si="15"/>
        <v>0</v>
      </c>
      <c r="AO26" s="52">
        <f t="shared" ref="AO26:AO36" si="27">AM26*24</f>
        <v>0</v>
      </c>
      <c r="AP26" s="52">
        <f t="shared" si="17"/>
        <v>0</v>
      </c>
      <c r="AQ26" s="52">
        <f t="shared" si="22"/>
        <v>0</v>
      </c>
      <c r="AR26" s="27"/>
    </row>
    <row r="27" spans="1:44" x14ac:dyDescent="0.35">
      <c r="A27" s="7">
        <v>45224</v>
      </c>
      <c r="B27" s="51"/>
      <c r="C27" s="51"/>
      <c r="D27" s="52">
        <f t="shared" si="23"/>
        <v>0</v>
      </c>
      <c r="E27" s="52">
        <f t="shared" si="23"/>
        <v>0</v>
      </c>
      <c r="F27" s="52">
        <f t="shared" si="1"/>
        <v>0</v>
      </c>
      <c r="G27" s="52">
        <f t="shared" si="2"/>
        <v>0</v>
      </c>
      <c r="H27" s="27"/>
      <c r="J27" s="7">
        <v>45224</v>
      </c>
      <c r="K27" s="51"/>
      <c r="L27" s="51"/>
      <c r="M27" s="52">
        <f t="shared" si="3"/>
        <v>0</v>
      </c>
      <c r="N27" s="52">
        <f t="shared" si="24"/>
        <v>0</v>
      </c>
      <c r="O27" s="52">
        <f t="shared" si="5"/>
        <v>0</v>
      </c>
      <c r="P27" s="52">
        <f t="shared" si="19"/>
        <v>0</v>
      </c>
      <c r="Q27" s="27"/>
      <c r="S27" s="7">
        <v>45224</v>
      </c>
      <c r="T27" s="51"/>
      <c r="U27" s="51"/>
      <c r="V27" s="52">
        <f t="shared" si="7"/>
        <v>0</v>
      </c>
      <c r="W27" s="52">
        <f t="shared" si="25"/>
        <v>0</v>
      </c>
      <c r="X27" s="52">
        <f t="shared" si="9"/>
        <v>0</v>
      </c>
      <c r="Y27" s="52">
        <f t="shared" si="20"/>
        <v>0</v>
      </c>
      <c r="Z27" s="27"/>
      <c r="AB27" s="7">
        <v>45224</v>
      </c>
      <c r="AC27" s="51"/>
      <c r="AD27" s="51"/>
      <c r="AE27" s="52">
        <f t="shared" si="11"/>
        <v>0</v>
      </c>
      <c r="AF27" s="52">
        <f t="shared" si="26"/>
        <v>0</v>
      </c>
      <c r="AG27" s="52">
        <f t="shared" si="13"/>
        <v>0</v>
      </c>
      <c r="AH27" s="52">
        <f t="shared" si="21"/>
        <v>0</v>
      </c>
      <c r="AI27" s="27"/>
      <c r="AK27" s="7">
        <v>45224</v>
      </c>
      <c r="AL27" s="51"/>
      <c r="AM27" s="51"/>
      <c r="AN27" s="52">
        <f t="shared" si="15"/>
        <v>0</v>
      </c>
      <c r="AO27" s="52">
        <f t="shared" si="27"/>
        <v>0</v>
      </c>
      <c r="AP27" s="52">
        <f t="shared" si="17"/>
        <v>0</v>
      </c>
      <c r="AQ27" s="52">
        <f t="shared" si="22"/>
        <v>0</v>
      </c>
      <c r="AR27" s="27"/>
    </row>
    <row r="28" spans="1:44" x14ac:dyDescent="0.35">
      <c r="A28" s="7">
        <v>45225</v>
      </c>
      <c r="B28" s="51"/>
      <c r="C28" s="51"/>
      <c r="D28" s="52">
        <f t="shared" si="23"/>
        <v>0</v>
      </c>
      <c r="E28" s="52">
        <f t="shared" si="23"/>
        <v>0</v>
      </c>
      <c r="F28" s="52">
        <f t="shared" si="1"/>
        <v>0</v>
      </c>
      <c r="G28" s="52">
        <f t="shared" si="2"/>
        <v>0</v>
      </c>
      <c r="H28" s="27"/>
      <c r="J28" s="7">
        <v>45225</v>
      </c>
      <c r="K28" s="51"/>
      <c r="L28" s="51"/>
      <c r="M28" s="52">
        <f t="shared" si="3"/>
        <v>0</v>
      </c>
      <c r="N28" s="52">
        <f t="shared" si="24"/>
        <v>0</v>
      </c>
      <c r="O28" s="52">
        <f t="shared" si="5"/>
        <v>0</v>
      </c>
      <c r="P28" s="52">
        <f t="shared" si="19"/>
        <v>0</v>
      </c>
      <c r="Q28" s="27"/>
      <c r="S28" s="7">
        <v>45225</v>
      </c>
      <c r="T28" s="51"/>
      <c r="U28" s="51"/>
      <c r="V28" s="52">
        <f t="shared" si="7"/>
        <v>0</v>
      </c>
      <c r="W28" s="52">
        <f t="shared" si="25"/>
        <v>0</v>
      </c>
      <c r="X28" s="52">
        <f t="shared" si="9"/>
        <v>0</v>
      </c>
      <c r="Y28" s="52">
        <f t="shared" si="20"/>
        <v>0</v>
      </c>
      <c r="Z28" s="27"/>
      <c r="AB28" s="7">
        <v>45225</v>
      </c>
      <c r="AC28" s="51"/>
      <c r="AD28" s="51"/>
      <c r="AE28" s="52">
        <f t="shared" si="11"/>
        <v>0</v>
      </c>
      <c r="AF28" s="52">
        <f t="shared" si="26"/>
        <v>0</v>
      </c>
      <c r="AG28" s="52">
        <f t="shared" si="13"/>
        <v>0</v>
      </c>
      <c r="AH28" s="52">
        <f t="shared" si="21"/>
        <v>0</v>
      </c>
      <c r="AI28" s="27"/>
      <c r="AK28" s="7">
        <v>45225</v>
      </c>
      <c r="AL28" s="51"/>
      <c r="AM28" s="51"/>
      <c r="AN28" s="52">
        <f t="shared" si="15"/>
        <v>0</v>
      </c>
      <c r="AO28" s="52">
        <f t="shared" si="27"/>
        <v>0</v>
      </c>
      <c r="AP28" s="52">
        <f t="shared" si="17"/>
        <v>0</v>
      </c>
      <c r="AQ28" s="52">
        <f t="shared" si="22"/>
        <v>0</v>
      </c>
      <c r="AR28" s="27"/>
    </row>
    <row r="29" spans="1:44" x14ac:dyDescent="0.35">
      <c r="A29" s="7">
        <v>45226</v>
      </c>
      <c r="B29" s="51"/>
      <c r="C29" s="51"/>
      <c r="D29" s="52">
        <f t="shared" si="23"/>
        <v>0</v>
      </c>
      <c r="E29" s="52">
        <f t="shared" si="23"/>
        <v>0</v>
      </c>
      <c r="F29" s="52">
        <f t="shared" si="1"/>
        <v>0</v>
      </c>
      <c r="G29" s="52">
        <f t="shared" si="2"/>
        <v>0</v>
      </c>
      <c r="H29" s="27"/>
      <c r="J29" s="7">
        <v>45226</v>
      </c>
      <c r="K29" s="51"/>
      <c r="L29" s="51"/>
      <c r="M29" s="52">
        <f t="shared" si="3"/>
        <v>0</v>
      </c>
      <c r="N29" s="52">
        <f t="shared" si="24"/>
        <v>0</v>
      </c>
      <c r="O29" s="52">
        <f t="shared" si="5"/>
        <v>0</v>
      </c>
      <c r="P29" s="52">
        <f t="shared" si="19"/>
        <v>0</v>
      </c>
      <c r="Q29" s="27"/>
      <c r="S29" s="7">
        <v>45226</v>
      </c>
      <c r="T29" s="51"/>
      <c r="U29" s="51"/>
      <c r="V29" s="52">
        <f t="shared" si="7"/>
        <v>0</v>
      </c>
      <c r="W29" s="52">
        <f t="shared" si="25"/>
        <v>0</v>
      </c>
      <c r="X29" s="52">
        <f t="shared" si="9"/>
        <v>0</v>
      </c>
      <c r="Y29" s="52">
        <f t="shared" si="20"/>
        <v>0</v>
      </c>
      <c r="Z29" s="27"/>
      <c r="AB29" s="7">
        <v>45226</v>
      </c>
      <c r="AC29" s="51"/>
      <c r="AD29" s="51"/>
      <c r="AE29" s="52">
        <f t="shared" si="11"/>
        <v>0</v>
      </c>
      <c r="AF29" s="52">
        <f t="shared" si="26"/>
        <v>0</v>
      </c>
      <c r="AG29" s="52">
        <f t="shared" si="13"/>
        <v>0</v>
      </c>
      <c r="AH29" s="52">
        <f t="shared" si="21"/>
        <v>0</v>
      </c>
      <c r="AI29" s="27"/>
      <c r="AK29" s="7">
        <v>45226</v>
      </c>
      <c r="AL29" s="51"/>
      <c r="AM29" s="51"/>
      <c r="AN29" s="52">
        <f t="shared" si="15"/>
        <v>0</v>
      </c>
      <c r="AO29" s="52">
        <f t="shared" si="27"/>
        <v>0</v>
      </c>
      <c r="AP29" s="52">
        <f t="shared" si="17"/>
        <v>0</v>
      </c>
      <c r="AQ29" s="52">
        <f t="shared" si="22"/>
        <v>0</v>
      </c>
      <c r="AR29" s="27"/>
    </row>
    <row r="30" spans="1:44" x14ac:dyDescent="0.35">
      <c r="A30" s="7">
        <v>45227</v>
      </c>
      <c r="B30" s="51"/>
      <c r="C30" s="51"/>
      <c r="D30" s="52">
        <f t="shared" si="23"/>
        <v>0</v>
      </c>
      <c r="E30" s="52">
        <f t="shared" si="23"/>
        <v>0</v>
      </c>
      <c r="F30" s="52">
        <f t="shared" si="1"/>
        <v>0</v>
      </c>
      <c r="G30" s="52">
        <f t="shared" si="2"/>
        <v>0</v>
      </c>
      <c r="H30" s="27"/>
      <c r="J30" s="7">
        <v>45227</v>
      </c>
      <c r="K30" s="51"/>
      <c r="L30" s="51"/>
      <c r="M30" s="52">
        <f t="shared" si="3"/>
        <v>0</v>
      </c>
      <c r="N30" s="52">
        <f t="shared" si="24"/>
        <v>0</v>
      </c>
      <c r="O30" s="52">
        <f t="shared" si="5"/>
        <v>0</v>
      </c>
      <c r="P30" s="52">
        <f t="shared" si="19"/>
        <v>0</v>
      </c>
      <c r="Q30" s="27"/>
      <c r="S30" s="7">
        <v>45227</v>
      </c>
      <c r="T30" s="51"/>
      <c r="U30" s="51"/>
      <c r="V30" s="52">
        <f t="shared" si="7"/>
        <v>0</v>
      </c>
      <c r="W30" s="52">
        <f t="shared" si="25"/>
        <v>0</v>
      </c>
      <c r="X30" s="52">
        <f t="shared" si="9"/>
        <v>0</v>
      </c>
      <c r="Y30" s="52">
        <f t="shared" si="20"/>
        <v>0</v>
      </c>
      <c r="Z30" s="27"/>
      <c r="AB30" s="7">
        <v>45227</v>
      </c>
      <c r="AC30" s="51"/>
      <c r="AD30" s="51"/>
      <c r="AE30" s="52">
        <f t="shared" si="11"/>
        <v>0</v>
      </c>
      <c r="AF30" s="52">
        <f t="shared" si="26"/>
        <v>0</v>
      </c>
      <c r="AG30" s="52">
        <f t="shared" si="13"/>
        <v>0</v>
      </c>
      <c r="AH30" s="52">
        <f t="shared" si="21"/>
        <v>0</v>
      </c>
      <c r="AI30" s="27"/>
      <c r="AK30" s="7">
        <v>45227</v>
      </c>
      <c r="AL30" s="51"/>
      <c r="AM30" s="51"/>
      <c r="AN30" s="52">
        <f t="shared" si="15"/>
        <v>0</v>
      </c>
      <c r="AO30" s="52">
        <f t="shared" si="27"/>
        <v>0</v>
      </c>
      <c r="AP30" s="52">
        <f t="shared" si="17"/>
        <v>0</v>
      </c>
      <c r="AQ30" s="52">
        <f t="shared" si="22"/>
        <v>0</v>
      </c>
      <c r="AR30" s="27"/>
    </row>
    <row r="31" spans="1:44" x14ac:dyDescent="0.35">
      <c r="A31" s="7">
        <v>45228</v>
      </c>
      <c r="B31" s="51"/>
      <c r="C31" s="51"/>
      <c r="D31" s="52">
        <f t="shared" si="23"/>
        <v>0</v>
      </c>
      <c r="E31" s="52">
        <f t="shared" si="23"/>
        <v>0</v>
      </c>
      <c r="F31" s="52">
        <f t="shared" si="1"/>
        <v>0</v>
      </c>
      <c r="G31" s="52">
        <f t="shared" si="2"/>
        <v>0</v>
      </c>
      <c r="H31" s="27"/>
      <c r="J31" s="7">
        <v>45228</v>
      </c>
      <c r="K31" s="51"/>
      <c r="L31" s="51"/>
      <c r="M31" s="52">
        <f t="shared" si="3"/>
        <v>0</v>
      </c>
      <c r="N31" s="52">
        <f t="shared" si="24"/>
        <v>0</v>
      </c>
      <c r="O31" s="52">
        <f t="shared" si="5"/>
        <v>0</v>
      </c>
      <c r="P31" s="52">
        <f t="shared" si="19"/>
        <v>0</v>
      </c>
      <c r="Q31" s="27"/>
      <c r="S31" s="7">
        <v>45228</v>
      </c>
      <c r="T31" s="51"/>
      <c r="U31" s="51"/>
      <c r="V31" s="52">
        <f t="shared" si="7"/>
        <v>0</v>
      </c>
      <c r="W31" s="52">
        <f t="shared" si="25"/>
        <v>0</v>
      </c>
      <c r="X31" s="52">
        <f t="shared" si="9"/>
        <v>0</v>
      </c>
      <c r="Y31" s="52">
        <f t="shared" si="20"/>
        <v>0</v>
      </c>
      <c r="Z31" s="27"/>
      <c r="AB31" s="7">
        <v>45228</v>
      </c>
      <c r="AC31" s="51"/>
      <c r="AD31" s="51"/>
      <c r="AE31" s="52">
        <f t="shared" si="11"/>
        <v>0</v>
      </c>
      <c r="AF31" s="52">
        <f t="shared" si="26"/>
        <v>0</v>
      </c>
      <c r="AG31" s="52">
        <f t="shared" si="13"/>
        <v>0</v>
      </c>
      <c r="AH31" s="52">
        <f t="shared" si="21"/>
        <v>0</v>
      </c>
      <c r="AI31" s="27"/>
      <c r="AK31" s="7">
        <v>45228</v>
      </c>
      <c r="AL31" s="51"/>
      <c r="AM31" s="51"/>
      <c r="AN31" s="52">
        <f t="shared" si="15"/>
        <v>0</v>
      </c>
      <c r="AO31" s="52">
        <f t="shared" si="27"/>
        <v>0</v>
      </c>
      <c r="AP31" s="52">
        <f t="shared" si="17"/>
        <v>0</v>
      </c>
      <c r="AQ31" s="52">
        <f t="shared" si="22"/>
        <v>0</v>
      </c>
      <c r="AR31" s="27"/>
    </row>
    <row r="32" spans="1:44" x14ac:dyDescent="0.35">
      <c r="A32" s="7">
        <v>45229</v>
      </c>
      <c r="B32" s="51"/>
      <c r="C32" s="51"/>
      <c r="D32" s="52">
        <f t="shared" ref="D32" si="28">B32*24</f>
        <v>0</v>
      </c>
      <c r="E32" s="52">
        <f t="shared" ref="E32" si="29">C32*24</f>
        <v>0</v>
      </c>
      <c r="F32" s="52">
        <f t="shared" ref="F32" si="30">E32-D32</f>
        <v>0</v>
      </c>
      <c r="G32" s="52">
        <f t="shared" ref="G32" si="31">IF(B32="",0,12-F32)</f>
        <v>0</v>
      </c>
      <c r="H32" s="27"/>
      <c r="J32" s="7">
        <v>45229</v>
      </c>
      <c r="K32" s="51"/>
      <c r="L32" s="51"/>
      <c r="M32" s="52">
        <f t="shared" si="3"/>
        <v>0</v>
      </c>
      <c r="N32" s="52">
        <f t="shared" si="24"/>
        <v>0</v>
      </c>
      <c r="O32" s="52">
        <f t="shared" si="5"/>
        <v>0</v>
      </c>
      <c r="P32" s="52">
        <f t="shared" si="19"/>
        <v>0</v>
      </c>
      <c r="Q32" s="27"/>
      <c r="S32" s="7">
        <v>45229</v>
      </c>
      <c r="T32" s="51"/>
      <c r="U32" s="51"/>
      <c r="V32" s="52">
        <f t="shared" si="7"/>
        <v>0</v>
      </c>
      <c r="W32" s="52">
        <f t="shared" si="25"/>
        <v>0</v>
      </c>
      <c r="X32" s="52">
        <f t="shared" si="9"/>
        <v>0</v>
      </c>
      <c r="Y32" s="52">
        <f t="shared" si="20"/>
        <v>0</v>
      </c>
      <c r="Z32" s="27"/>
      <c r="AB32" s="7">
        <v>45229</v>
      </c>
      <c r="AC32" s="51"/>
      <c r="AD32" s="51"/>
      <c r="AE32" s="52">
        <f t="shared" si="11"/>
        <v>0</v>
      </c>
      <c r="AF32" s="52">
        <f t="shared" si="26"/>
        <v>0</v>
      </c>
      <c r="AG32" s="52">
        <f t="shared" si="13"/>
        <v>0</v>
      </c>
      <c r="AH32" s="52">
        <f t="shared" si="21"/>
        <v>0</v>
      </c>
      <c r="AI32" s="27"/>
      <c r="AK32" s="7">
        <v>45229</v>
      </c>
      <c r="AL32" s="51"/>
      <c r="AM32" s="51"/>
      <c r="AN32" s="52">
        <f t="shared" si="15"/>
        <v>0</v>
      </c>
      <c r="AO32" s="52">
        <f t="shared" si="27"/>
        <v>0</v>
      </c>
      <c r="AP32" s="52">
        <f t="shared" si="17"/>
        <v>0</v>
      </c>
      <c r="AQ32" s="52">
        <f t="shared" si="22"/>
        <v>0</v>
      </c>
      <c r="AR32" s="27"/>
    </row>
    <row r="33" spans="1:44" x14ac:dyDescent="0.35">
      <c r="A33" s="7">
        <v>45230</v>
      </c>
      <c r="B33" s="51"/>
      <c r="C33" s="51"/>
      <c r="D33" s="52">
        <f t="shared" si="23"/>
        <v>0</v>
      </c>
      <c r="E33" s="52">
        <f t="shared" si="23"/>
        <v>0</v>
      </c>
      <c r="F33" s="52">
        <f t="shared" si="1"/>
        <v>0</v>
      </c>
      <c r="G33" s="52">
        <f t="shared" si="2"/>
        <v>0</v>
      </c>
      <c r="H33" s="27"/>
      <c r="J33" s="7">
        <v>45230</v>
      </c>
      <c r="K33" s="51"/>
      <c r="L33" s="51"/>
      <c r="M33" s="52">
        <f t="shared" si="3"/>
        <v>0</v>
      </c>
      <c r="N33" s="52">
        <f t="shared" si="24"/>
        <v>0</v>
      </c>
      <c r="O33" s="52">
        <f t="shared" si="5"/>
        <v>0</v>
      </c>
      <c r="P33" s="52">
        <f t="shared" si="19"/>
        <v>0</v>
      </c>
      <c r="Q33" s="27"/>
      <c r="S33" s="7">
        <v>45230</v>
      </c>
      <c r="T33" s="51"/>
      <c r="U33" s="51"/>
      <c r="V33" s="52">
        <f t="shared" si="7"/>
        <v>0</v>
      </c>
      <c r="W33" s="52">
        <f t="shared" si="25"/>
        <v>0</v>
      </c>
      <c r="X33" s="52">
        <f t="shared" si="9"/>
        <v>0</v>
      </c>
      <c r="Y33" s="52">
        <f t="shared" si="20"/>
        <v>0</v>
      </c>
      <c r="Z33" s="27"/>
      <c r="AB33" s="7">
        <v>45230</v>
      </c>
      <c r="AC33" s="51"/>
      <c r="AD33" s="51"/>
      <c r="AE33" s="52">
        <f t="shared" si="11"/>
        <v>0</v>
      </c>
      <c r="AF33" s="52">
        <f t="shared" si="26"/>
        <v>0</v>
      </c>
      <c r="AG33" s="52">
        <f t="shared" si="13"/>
        <v>0</v>
      </c>
      <c r="AH33" s="52">
        <f t="shared" si="21"/>
        <v>0</v>
      </c>
      <c r="AI33" s="27"/>
      <c r="AK33" s="7">
        <v>45230</v>
      </c>
      <c r="AL33" s="51"/>
      <c r="AM33" s="51"/>
      <c r="AN33" s="52">
        <f t="shared" si="15"/>
        <v>0</v>
      </c>
      <c r="AO33" s="52">
        <f t="shared" si="27"/>
        <v>0</v>
      </c>
      <c r="AP33" s="52">
        <f t="shared" si="17"/>
        <v>0</v>
      </c>
      <c r="AQ33" s="52">
        <f t="shared" si="22"/>
        <v>0</v>
      </c>
      <c r="AR33" s="27"/>
    </row>
    <row r="34" spans="1:44" x14ac:dyDescent="0.35">
      <c r="A34" s="43" t="s">
        <v>7</v>
      </c>
      <c r="B34" s="43"/>
      <c r="C34" s="43"/>
      <c r="D34" s="6"/>
      <c r="E34" s="6"/>
      <c r="F34" s="6">
        <f>SUM(F3:F33)</f>
        <v>48</v>
      </c>
      <c r="G34" s="6">
        <f>SUM(G3:G33)</f>
        <v>0</v>
      </c>
      <c r="H34" s="24">
        <f>SUM(H3:H33)</f>
        <v>0</v>
      </c>
      <c r="J34" s="43" t="s">
        <v>7</v>
      </c>
      <c r="K34" s="43"/>
      <c r="L34" s="43"/>
      <c r="M34" s="6"/>
      <c r="N34" s="6"/>
      <c r="O34" s="6">
        <f>SUM(O3:O33)</f>
        <v>48</v>
      </c>
      <c r="P34" s="6">
        <f>SUM(P3:P33)</f>
        <v>12</v>
      </c>
      <c r="Q34" s="24">
        <f>SUM(Q3:Q33)</f>
        <v>0</v>
      </c>
      <c r="S34" s="43" t="s">
        <v>7</v>
      </c>
      <c r="T34" s="43"/>
      <c r="U34" s="43"/>
      <c r="V34" s="6"/>
      <c r="W34" s="6"/>
      <c r="X34" s="6">
        <f>SUM(X3:X33)</f>
        <v>60</v>
      </c>
      <c r="Y34" s="6">
        <f>SUM(Y3:Y33)</f>
        <v>0</v>
      </c>
      <c r="Z34" s="24">
        <f>SUM(Z3:Z33)</f>
        <v>0</v>
      </c>
      <c r="AB34" s="43" t="s">
        <v>7</v>
      </c>
      <c r="AC34" s="43"/>
      <c r="AD34" s="43"/>
      <c r="AE34" s="6"/>
      <c r="AF34" s="6"/>
      <c r="AG34" s="6">
        <f>SUM(AG3:AG33)</f>
        <v>44</v>
      </c>
      <c r="AH34" s="6">
        <f>SUM(AH3:AH33)</f>
        <v>16</v>
      </c>
      <c r="AI34" s="24">
        <f>SUM(AI3:AI33)</f>
        <v>0</v>
      </c>
      <c r="AK34" s="43" t="s">
        <v>7</v>
      </c>
      <c r="AL34" s="43"/>
      <c r="AM34" s="43"/>
      <c r="AN34" s="6"/>
      <c r="AO34" s="6"/>
      <c r="AP34" s="6">
        <f>SUM(AP3:AP33)</f>
        <v>60</v>
      </c>
      <c r="AQ34" s="6">
        <f>SUM(AQ3:AQ33)</f>
        <v>0</v>
      </c>
      <c r="AR34" s="24">
        <f>SUM(AR3:AR33)</f>
        <v>1100</v>
      </c>
    </row>
    <row r="35" spans="1:44" x14ac:dyDescent="0.35">
      <c r="A35" s="43" t="s">
        <v>6</v>
      </c>
      <c r="B35" s="43"/>
      <c r="C35" s="43"/>
      <c r="D35" s="6"/>
      <c r="E35" s="6"/>
      <c r="F35" s="24">
        <f>SUM(H3:H33)</f>
        <v>0</v>
      </c>
      <c r="G35" s="10">
        <f>12000/(31*12)</f>
        <v>32.258064516129032</v>
      </c>
      <c r="H35" s="24"/>
      <c r="J35" s="43" t="s">
        <v>6</v>
      </c>
      <c r="K35" s="43"/>
      <c r="L35" s="43"/>
      <c r="M35" s="6"/>
      <c r="N35" s="6"/>
      <c r="O35" s="24">
        <f>SUM(Q3:Q33)</f>
        <v>0</v>
      </c>
      <c r="P35" s="10">
        <f>12000/(31*12)</f>
        <v>32.258064516129032</v>
      </c>
      <c r="Q35" s="24"/>
      <c r="S35" s="43" t="s">
        <v>6</v>
      </c>
      <c r="T35" s="43"/>
      <c r="U35" s="43"/>
      <c r="V35" s="6"/>
      <c r="W35" s="6"/>
      <c r="X35" s="24">
        <f>SUM(Z3:Z33)</f>
        <v>0</v>
      </c>
      <c r="Y35" s="10">
        <f>12000/(31*12)</f>
        <v>32.258064516129032</v>
      </c>
      <c r="Z35" s="24"/>
      <c r="AB35" s="43" t="s">
        <v>6</v>
      </c>
      <c r="AC35" s="43"/>
      <c r="AD35" s="43"/>
      <c r="AE35" s="6"/>
      <c r="AF35" s="6"/>
      <c r="AG35" s="24">
        <f>SUM(AI3:AI33)</f>
        <v>0</v>
      </c>
      <c r="AH35" s="10">
        <f>12000/(31*12)</f>
        <v>32.258064516129032</v>
      </c>
      <c r="AI35" s="24"/>
      <c r="AK35" s="43" t="s">
        <v>6</v>
      </c>
      <c r="AL35" s="43"/>
      <c r="AM35" s="43"/>
      <c r="AN35" s="6"/>
      <c r="AO35" s="6"/>
      <c r="AP35" s="24">
        <f>SUM(AR3:AR33)</f>
        <v>1100</v>
      </c>
      <c r="AQ35" s="10">
        <f>12000/(31*12)</f>
        <v>32.258064516129032</v>
      </c>
      <c r="AR35" s="24"/>
    </row>
    <row r="36" spans="1:44" x14ac:dyDescent="0.35">
      <c r="A36" s="43" t="s">
        <v>8</v>
      </c>
      <c r="B36" s="43"/>
      <c r="C36" s="43"/>
      <c r="D36" s="6"/>
      <c r="E36" s="6"/>
      <c r="F36" s="24">
        <f>F34*G35</f>
        <v>1548.3870967741937</v>
      </c>
      <c r="G36" s="24">
        <f>G34*G35</f>
        <v>0</v>
      </c>
      <c r="H36" s="24"/>
      <c r="J36" s="43" t="s">
        <v>8</v>
      </c>
      <c r="K36" s="43"/>
      <c r="L36" s="43"/>
      <c r="M36" s="6"/>
      <c r="N36" s="6"/>
      <c r="O36" s="24">
        <f>O34*P35</f>
        <v>1548.3870967741937</v>
      </c>
      <c r="P36" s="24">
        <f>P34*P35</f>
        <v>387.09677419354841</v>
      </c>
      <c r="Q36" s="24"/>
      <c r="S36" s="43" t="s">
        <v>8</v>
      </c>
      <c r="T36" s="43"/>
      <c r="U36" s="43"/>
      <c r="V36" s="6"/>
      <c r="W36" s="6"/>
      <c r="X36" s="24">
        <f>X34*Y35</f>
        <v>1935.483870967742</v>
      </c>
      <c r="Y36" s="24">
        <f>Y34*Y35</f>
        <v>0</v>
      </c>
      <c r="Z36" s="24"/>
      <c r="AB36" s="43" t="s">
        <v>8</v>
      </c>
      <c r="AC36" s="43"/>
      <c r="AD36" s="43"/>
      <c r="AE36" s="6"/>
      <c r="AF36" s="6"/>
      <c r="AG36" s="24">
        <f>AG34*AH35</f>
        <v>1419.3548387096773</v>
      </c>
      <c r="AH36" s="24">
        <f>AH34*AH35</f>
        <v>516.12903225806451</v>
      </c>
      <c r="AI36" s="24"/>
      <c r="AK36" s="43" t="s">
        <v>8</v>
      </c>
      <c r="AL36" s="43"/>
      <c r="AM36" s="43"/>
      <c r="AN36" s="6"/>
      <c r="AO36" s="6"/>
      <c r="AP36" s="24">
        <f>AP34*AQ35</f>
        <v>1935.483870967742</v>
      </c>
      <c r="AQ36" s="24">
        <f>AQ34*AQ35</f>
        <v>0</v>
      </c>
      <c r="AR36" s="24"/>
    </row>
    <row r="37" spans="1:44" x14ac:dyDescent="0.35">
      <c r="A37" s="43" t="s">
        <v>9</v>
      </c>
      <c r="B37" s="43"/>
      <c r="C37" s="43"/>
      <c r="D37" s="6"/>
      <c r="E37" s="6"/>
      <c r="F37" s="24">
        <f>F36-F35</f>
        <v>1548.3870967741937</v>
      </c>
      <c r="G37" s="5"/>
      <c r="H37" s="24"/>
      <c r="J37" s="43" t="s">
        <v>9</v>
      </c>
      <c r="K37" s="43"/>
      <c r="L37" s="43"/>
      <c r="M37" s="6"/>
      <c r="N37" s="6"/>
      <c r="O37" s="24">
        <f>O36-O35</f>
        <v>1548.3870967741937</v>
      </c>
      <c r="P37" s="5"/>
      <c r="Q37" s="24"/>
      <c r="S37" s="43" t="s">
        <v>9</v>
      </c>
      <c r="T37" s="43"/>
      <c r="U37" s="43"/>
      <c r="V37" s="6"/>
      <c r="W37" s="6"/>
      <c r="X37" s="24">
        <f>X36-X35</f>
        <v>1935.483870967742</v>
      </c>
      <c r="Y37" s="5"/>
      <c r="Z37" s="24"/>
      <c r="AB37" s="43" t="s">
        <v>9</v>
      </c>
      <c r="AC37" s="43"/>
      <c r="AD37" s="43"/>
      <c r="AE37" s="6"/>
      <c r="AF37" s="6"/>
      <c r="AG37" s="24">
        <f>AG36-AG35</f>
        <v>1419.3548387096773</v>
      </c>
      <c r="AH37" s="5"/>
      <c r="AI37" s="24"/>
      <c r="AK37" s="43" t="s">
        <v>9</v>
      </c>
      <c r="AL37" s="43"/>
      <c r="AM37" s="43"/>
      <c r="AN37" s="6"/>
      <c r="AO37" s="6"/>
      <c r="AP37" s="24">
        <f>AP36-AP35</f>
        <v>835.48387096774195</v>
      </c>
      <c r="AQ37" s="5"/>
      <c r="AR37" s="24"/>
    </row>
    <row r="38" spans="1:44" x14ac:dyDescent="0.35">
      <c r="A38" t="s">
        <v>20</v>
      </c>
      <c r="J38" t="s">
        <v>20</v>
      </c>
      <c r="N38" s="33"/>
      <c r="S38" s="44" t="s">
        <v>21</v>
      </c>
      <c r="T38" s="44"/>
      <c r="U38" s="44"/>
      <c r="X38" s="24">
        <v>4400</v>
      </c>
      <c r="AB38" t="s">
        <v>20</v>
      </c>
      <c r="AE38" s="33"/>
      <c r="AF38" s="33"/>
      <c r="AK38" t="s">
        <v>20</v>
      </c>
      <c r="AN38" s="33"/>
      <c r="AO38" s="33"/>
    </row>
  </sheetData>
  <mergeCells count="26">
    <mergeCell ref="S38:U38"/>
    <mergeCell ref="AK34:AM34"/>
    <mergeCell ref="AK35:AM35"/>
    <mergeCell ref="AK36:AM36"/>
    <mergeCell ref="AK37:AM37"/>
    <mergeCell ref="S35:U35"/>
    <mergeCell ref="S36:U36"/>
    <mergeCell ref="S37:U37"/>
    <mergeCell ref="AB34:AD34"/>
    <mergeCell ref="AB35:AD35"/>
    <mergeCell ref="AB36:AD36"/>
    <mergeCell ref="AB37:AD37"/>
    <mergeCell ref="A37:C37"/>
    <mergeCell ref="J36:L36"/>
    <mergeCell ref="J34:L34"/>
    <mergeCell ref="J35:L35"/>
    <mergeCell ref="J37:L37"/>
    <mergeCell ref="A35:C35"/>
    <mergeCell ref="A36:C36"/>
    <mergeCell ref="A34:C34"/>
    <mergeCell ref="S34:U34"/>
    <mergeCell ref="A1:H1"/>
    <mergeCell ref="J1:Q1"/>
    <mergeCell ref="S1:Z1"/>
    <mergeCell ref="AB1:AI1"/>
    <mergeCell ref="AK1:AR1"/>
  </mergeCells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 2023</vt:lpstr>
      <vt:lpstr>August 2023</vt:lpstr>
      <vt:lpstr>September 2023</vt:lpstr>
      <vt:lpstr>October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2015-06-05T18:17:20Z</dcterms:created>
  <dcterms:modified xsi:type="dcterms:W3CDTF">2023-10-05T07:07:29Z</dcterms:modified>
</cp:coreProperties>
</file>