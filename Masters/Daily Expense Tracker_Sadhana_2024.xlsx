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dharmesh_maru_capgemini_com/Documents/Desktop/Dharmesh Personal Doc/Sadhana Dropbox/"/>
    </mc:Choice>
  </mc:AlternateContent>
  <xr:revisionPtr revIDLastSave="896" documentId="13_ncr:1_{BDB3B60C-9FF8-40A6-9990-E5F5EFF8E080}" xr6:coauthVersionLast="47" xr6:coauthVersionMax="47" xr10:uidLastSave="{3588B0B6-C90A-4853-B29E-011DE519DD1A}"/>
  <bookViews>
    <workbookView xWindow="-110" yWindow="-110" windowWidth="19420" windowHeight="11500" firstSheet="2" activeTab="4" xr2:uid="{00000000-000D-0000-FFFF-FFFF00000000}"/>
  </bookViews>
  <sheets>
    <sheet name="EMI" sheetId="1" state="hidden" r:id="rId1"/>
    <sheet name="Sadhan Santkrupa Account" sheetId="4" r:id="rId2"/>
    <sheet name="Daily Entry" sheetId="5" r:id="rId3"/>
    <sheet name="Vendor Payment" sheetId="2" r:id="rId4"/>
    <sheet name="Invoice" sheetId="3" r:id="rId5"/>
    <sheet name="MAy 2024" sheetId="6" r:id="rId6"/>
  </sheets>
  <definedNames>
    <definedName name="_xlnm._FilterDatabase" localSheetId="2" hidden="1">'Daily Entry'!$A$1:$E$2</definedName>
  </definedNames>
  <calcPr calcId="191029"/>
  <pivotCaches>
    <pivotCache cacheId="1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6" l="1"/>
  <c r="B18" i="6"/>
  <c r="F10" i="6"/>
  <c r="F18" i="6" s="1"/>
  <c r="B3" i="6"/>
  <c r="B11" i="6"/>
  <c r="F29" i="5" l="1"/>
  <c r="F30" i="5"/>
  <c r="F31" i="5"/>
  <c r="F32" i="5"/>
  <c r="F33" i="5"/>
  <c r="F34" i="5"/>
  <c r="F35" i="5"/>
  <c r="F36" i="5"/>
  <c r="F37" i="5"/>
  <c r="F38" i="5"/>
  <c r="F39" i="5"/>
  <c r="G39" i="5" s="1"/>
  <c r="F40" i="5"/>
  <c r="G40" i="5" s="1"/>
  <c r="F41" i="5"/>
  <c r="F42" i="5"/>
  <c r="F43" i="5"/>
  <c r="F44" i="5"/>
  <c r="F45" i="5"/>
  <c r="F46" i="5"/>
  <c r="F47" i="5"/>
  <c r="F48" i="5"/>
  <c r="F49" i="5"/>
  <c r="F50" i="5"/>
  <c r="F51" i="5"/>
  <c r="G51" i="5" s="1"/>
  <c r="F52" i="5"/>
  <c r="G52" i="5" s="1"/>
  <c r="F53" i="5"/>
  <c r="F54" i="5"/>
  <c r="F55" i="5"/>
  <c r="F56" i="5"/>
  <c r="F57" i="5"/>
  <c r="F58" i="5"/>
  <c r="F59" i="5"/>
  <c r="F60" i="5"/>
  <c r="G60" i="5" s="1"/>
  <c r="F61" i="5"/>
  <c r="G61" i="5" s="1"/>
  <c r="F62" i="5"/>
  <c r="G62" i="5" s="1"/>
  <c r="F63" i="5"/>
  <c r="G63" i="5" s="1"/>
  <c r="F64" i="5"/>
  <c r="G64" i="5" s="1"/>
  <c r="F65" i="5"/>
  <c r="F66" i="5"/>
  <c r="F67" i="5"/>
  <c r="F68" i="5"/>
  <c r="F69" i="5"/>
  <c r="F70" i="5"/>
  <c r="F71" i="5"/>
  <c r="F72" i="5"/>
  <c r="F73" i="5"/>
  <c r="F74" i="5"/>
  <c r="G74" i="5" s="1"/>
  <c r="F75" i="5"/>
  <c r="G75" i="5" s="1"/>
  <c r="F76" i="5"/>
  <c r="G76" i="5" s="1"/>
  <c r="F77" i="5"/>
  <c r="F78" i="5"/>
  <c r="F79" i="5"/>
  <c r="F80" i="5"/>
  <c r="F81" i="5"/>
  <c r="F82" i="5"/>
  <c r="F83" i="5"/>
  <c r="F84" i="5"/>
  <c r="F85" i="5"/>
  <c r="F86" i="5"/>
  <c r="F87" i="5"/>
  <c r="G87" i="5" s="1"/>
  <c r="F88" i="5"/>
  <c r="G88" i="5" s="1"/>
  <c r="F89" i="5"/>
  <c r="F90" i="5"/>
  <c r="F91" i="5"/>
  <c r="F92" i="5"/>
  <c r="F93" i="5"/>
  <c r="F94" i="5"/>
  <c r="F95" i="5"/>
  <c r="F96" i="5"/>
  <c r="F97" i="5"/>
  <c r="F98" i="5"/>
  <c r="F99" i="5"/>
  <c r="G99" i="5" s="1"/>
  <c r="F100" i="5"/>
  <c r="G100" i="5" s="1"/>
  <c r="F101" i="5"/>
  <c r="F102" i="5"/>
  <c r="F103" i="5"/>
  <c r="F104" i="5"/>
  <c r="F105" i="5"/>
  <c r="F106" i="5"/>
  <c r="F107" i="5"/>
  <c r="F108" i="5"/>
  <c r="F109" i="5"/>
  <c r="F110" i="5"/>
  <c r="F111" i="5"/>
  <c r="G111" i="5" s="1"/>
  <c r="F112" i="5"/>
  <c r="G112" i="5" s="1"/>
  <c r="F113" i="5"/>
  <c r="F114" i="5"/>
  <c r="F115" i="5"/>
  <c r="F28" i="5"/>
  <c r="G34" i="5"/>
  <c r="G35" i="5"/>
  <c r="G36" i="5"/>
  <c r="G37" i="5"/>
  <c r="G38" i="5"/>
  <c r="G46" i="5"/>
  <c r="G67" i="5"/>
  <c r="G68" i="5"/>
  <c r="G82" i="5"/>
  <c r="G94" i="5"/>
  <c r="F8" i="5"/>
  <c r="F9" i="5"/>
  <c r="G9" i="5" s="1"/>
  <c r="F20" i="5"/>
  <c r="N1" i="5"/>
  <c r="F13" i="5" s="1"/>
  <c r="O11" i="5"/>
  <c r="N11" i="5" s="1"/>
  <c r="F23" i="5" s="1"/>
  <c r="O10" i="5"/>
  <c r="N10" i="5" s="1"/>
  <c r="O9" i="5"/>
  <c r="N9" i="5" s="1"/>
  <c r="O7" i="5"/>
  <c r="N7" i="5" s="1"/>
  <c r="O8" i="5"/>
  <c r="N8" i="5" s="1"/>
  <c r="F19" i="5" s="1"/>
  <c r="O6" i="5"/>
  <c r="N6" i="5" s="1"/>
  <c r="O5" i="5"/>
  <c r="N5" i="5" s="1"/>
  <c r="F10" i="5" s="1"/>
  <c r="O4" i="5"/>
  <c r="N4" i="5" s="1"/>
  <c r="O3" i="5"/>
  <c r="N3" i="5" s="1"/>
  <c r="O2" i="5"/>
  <c r="N2" i="5" s="1"/>
  <c r="O1" i="5"/>
  <c r="O16" i="5"/>
  <c r="O15" i="5"/>
  <c r="O14" i="5"/>
  <c r="E3" i="5"/>
  <c r="E4" i="5"/>
  <c r="E5" i="5"/>
  <c r="E6" i="5"/>
  <c r="E7" i="5"/>
  <c r="E8" i="5"/>
  <c r="E9" i="5"/>
  <c r="E10" i="5"/>
  <c r="E11" i="5"/>
  <c r="E12" i="5"/>
  <c r="E13" i="5"/>
  <c r="G13" i="5" s="1"/>
  <c r="E14" i="5"/>
  <c r="E15" i="5"/>
  <c r="E17" i="5"/>
  <c r="E18" i="5"/>
  <c r="E19" i="5"/>
  <c r="E20" i="5"/>
  <c r="E21" i="5"/>
  <c r="E22" i="5"/>
  <c r="E23" i="5"/>
  <c r="E24" i="5"/>
  <c r="E25" i="5"/>
  <c r="E26" i="5"/>
  <c r="E27" i="5"/>
  <c r="E28" i="5"/>
  <c r="G28" i="5" s="1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G41" i="5" s="1"/>
  <c r="E42" i="5"/>
  <c r="G42" i="5" s="1"/>
  <c r="E43" i="5"/>
  <c r="E44" i="5"/>
  <c r="E45" i="5"/>
  <c r="E46" i="5"/>
  <c r="E47" i="5"/>
  <c r="G47" i="5" s="1"/>
  <c r="E48" i="5"/>
  <c r="G48" i="5" s="1"/>
  <c r="E49" i="5"/>
  <c r="G49" i="5" s="1"/>
  <c r="E50" i="5"/>
  <c r="G50" i="5" s="1"/>
  <c r="E51" i="5"/>
  <c r="E52" i="5"/>
  <c r="E53" i="5"/>
  <c r="G53" i="5" s="1"/>
  <c r="E54" i="5"/>
  <c r="G54" i="5" s="1"/>
  <c r="E55" i="5"/>
  <c r="E56" i="5"/>
  <c r="E57" i="5"/>
  <c r="E58" i="5"/>
  <c r="E59" i="5"/>
  <c r="E60" i="5"/>
  <c r="E61" i="5"/>
  <c r="E62" i="5"/>
  <c r="E63" i="5"/>
  <c r="E64" i="5"/>
  <c r="E65" i="5"/>
  <c r="G65" i="5" s="1"/>
  <c r="E66" i="5"/>
  <c r="G66" i="5" s="1"/>
  <c r="E67" i="5"/>
  <c r="E68" i="5"/>
  <c r="E69" i="5"/>
  <c r="E70" i="5"/>
  <c r="E71" i="5"/>
  <c r="E72" i="5"/>
  <c r="E73" i="5"/>
  <c r="E74" i="5"/>
  <c r="E75" i="5"/>
  <c r="E76" i="5"/>
  <c r="E77" i="5"/>
  <c r="G77" i="5" s="1"/>
  <c r="E78" i="5"/>
  <c r="G78" i="5" s="1"/>
  <c r="E79" i="5"/>
  <c r="E80" i="5"/>
  <c r="E81" i="5"/>
  <c r="E82" i="5"/>
  <c r="E83" i="5"/>
  <c r="E84" i="5"/>
  <c r="E85" i="5"/>
  <c r="E86" i="5"/>
  <c r="E87" i="5"/>
  <c r="E88" i="5"/>
  <c r="E89" i="5"/>
  <c r="G89" i="5" s="1"/>
  <c r="E90" i="5"/>
  <c r="G90" i="5" s="1"/>
  <c r="E91" i="5"/>
  <c r="E92" i="5"/>
  <c r="E93" i="5"/>
  <c r="E94" i="5"/>
  <c r="E95" i="5"/>
  <c r="G95" i="5" s="1"/>
  <c r="E96" i="5"/>
  <c r="G96" i="5" s="1"/>
  <c r="E97" i="5"/>
  <c r="E98" i="5"/>
  <c r="E99" i="5"/>
  <c r="E100" i="5"/>
  <c r="E101" i="5"/>
  <c r="G101" i="5" s="1"/>
  <c r="E102" i="5"/>
  <c r="G102" i="5" s="1"/>
  <c r="E103" i="5"/>
  <c r="E104" i="5"/>
  <c r="E105" i="5"/>
  <c r="E106" i="5"/>
  <c r="G106" i="5" s="1"/>
  <c r="E107" i="5"/>
  <c r="G107" i="5" s="1"/>
  <c r="E108" i="5"/>
  <c r="G108" i="5" s="1"/>
  <c r="E109" i="5"/>
  <c r="G109" i="5" s="1"/>
  <c r="E110" i="5"/>
  <c r="G110" i="5" s="1"/>
  <c r="E111" i="5"/>
  <c r="E112" i="5"/>
  <c r="E113" i="5"/>
  <c r="G113" i="5" s="1"/>
  <c r="E114" i="5"/>
  <c r="G114" i="5" s="1"/>
  <c r="E115" i="5"/>
  <c r="E2" i="5"/>
  <c r="N33" i="4"/>
  <c r="L33" i="4"/>
  <c r="N32" i="4"/>
  <c r="M32" i="4" s="1"/>
  <c r="L32" i="4"/>
  <c r="R32" i="4" s="1"/>
  <c r="N31" i="4"/>
  <c r="M31" i="4" s="1"/>
  <c r="R31" i="4" s="1"/>
  <c r="L31" i="4"/>
  <c r="N30" i="4"/>
  <c r="L30" i="4"/>
  <c r="N29" i="4"/>
  <c r="L29" i="4" s="1"/>
  <c r="N28" i="4"/>
  <c r="L28" i="4"/>
  <c r="N27" i="4"/>
  <c r="M27" i="4"/>
  <c r="L27" i="4"/>
  <c r="R27" i="4" s="1"/>
  <c r="N26" i="4"/>
  <c r="L26" i="4"/>
  <c r="N25" i="4"/>
  <c r="M25" i="4"/>
  <c r="L25" i="4"/>
  <c r="R25" i="4" s="1"/>
  <c r="N24" i="4"/>
  <c r="N23" i="4"/>
  <c r="L23" i="4"/>
  <c r="N22" i="4"/>
  <c r="M22" i="4" s="1"/>
  <c r="L22" i="4"/>
  <c r="R22" i="4" s="1"/>
  <c r="N21" i="4"/>
  <c r="L21" i="4"/>
  <c r="N20" i="4"/>
  <c r="M20" i="4" s="1"/>
  <c r="L20" i="4"/>
  <c r="R20" i="4" s="1"/>
  <c r="N19" i="4"/>
  <c r="L19" i="4"/>
  <c r="M19" i="4" s="1"/>
  <c r="R19" i="4" s="1"/>
  <c r="N18" i="4"/>
  <c r="L18" i="4"/>
  <c r="N17" i="4"/>
  <c r="L17" i="4" s="1"/>
  <c r="N16" i="4"/>
  <c r="L16" i="4"/>
  <c r="N15" i="4"/>
  <c r="M15" i="4"/>
  <c r="L15" i="4"/>
  <c r="R15" i="4" s="1"/>
  <c r="N14" i="4"/>
  <c r="L14" i="4"/>
  <c r="N13" i="4"/>
  <c r="M13" i="4"/>
  <c r="L13" i="4"/>
  <c r="R13" i="4" s="1"/>
  <c r="N12" i="4"/>
  <c r="N11" i="4"/>
  <c r="L11" i="4"/>
  <c r="N10" i="4"/>
  <c r="M10" i="4" s="1"/>
  <c r="L10" i="4"/>
  <c r="R10" i="4" s="1"/>
  <c r="N9" i="4"/>
  <c r="M9" i="4" s="1"/>
  <c r="L9" i="4"/>
  <c r="R9" i="4" s="1"/>
  <c r="N8" i="4"/>
  <c r="M8" i="4" s="1"/>
  <c r="L8" i="4"/>
  <c r="R8" i="4" s="1"/>
  <c r="N7" i="4"/>
  <c r="L7" i="4"/>
  <c r="M7" i="4" s="1"/>
  <c r="R7" i="4" s="1"/>
  <c r="N6" i="4"/>
  <c r="L6" i="4"/>
  <c r="M6" i="4" s="1"/>
  <c r="N5" i="4"/>
  <c r="L5" i="4" s="1"/>
  <c r="N4" i="4"/>
  <c r="L4" i="4"/>
  <c r="N3" i="4"/>
  <c r="L3" i="4"/>
  <c r="F34" i="4"/>
  <c r="E34" i="4"/>
  <c r="D33" i="4"/>
  <c r="B33" i="4" s="1"/>
  <c r="C33" i="4" s="1"/>
  <c r="H33" i="4" s="1"/>
  <c r="D32" i="4"/>
  <c r="B32" i="4" s="1"/>
  <c r="D31" i="4"/>
  <c r="D30" i="4"/>
  <c r="B30" i="4"/>
  <c r="D29" i="4"/>
  <c r="B29" i="4"/>
  <c r="C29" i="4" s="1"/>
  <c r="D28" i="4"/>
  <c r="B28" i="4"/>
  <c r="D27" i="4"/>
  <c r="B27" i="4" s="1"/>
  <c r="D26" i="4"/>
  <c r="D25" i="4"/>
  <c r="B25" i="4" s="1"/>
  <c r="D24" i="4"/>
  <c r="B24" i="4" s="1"/>
  <c r="D23" i="4"/>
  <c r="B23" i="4" s="1"/>
  <c r="D22" i="4"/>
  <c r="B22" i="4"/>
  <c r="D21" i="4"/>
  <c r="B21" i="4"/>
  <c r="C21" i="4" s="1"/>
  <c r="H21" i="4" s="1"/>
  <c r="G34" i="4"/>
  <c r="D20" i="4"/>
  <c r="B20" i="4" s="1"/>
  <c r="D19" i="4"/>
  <c r="D18" i="4"/>
  <c r="B18" i="4"/>
  <c r="D17" i="4"/>
  <c r="B17" i="4" s="1"/>
  <c r="D16" i="4"/>
  <c r="B16" i="4" s="1"/>
  <c r="D15" i="4"/>
  <c r="B15" i="4" s="1"/>
  <c r="D14" i="4"/>
  <c r="B14" i="4" s="1"/>
  <c r="C14" i="4" s="1"/>
  <c r="H14" i="4" s="1"/>
  <c r="D13" i="4"/>
  <c r="B13" i="4" s="1"/>
  <c r="D12" i="4"/>
  <c r="D11" i="4"/>
  <c r="B11" i="4" s="1"/>
  <c r="D10" i="4"/>
  <c r="D9" i="4"/>
  <c r="B9" i="4" s="1"/>
  <c r="D8" i="4"/>
  <c r="B8" i="4" s="1"/>
  <c r="C8" i="4" s="1"/>
  <c r="D7" i="4"/>
  <c r="B7" i="4" s="1"/>
  <c r="D6" i="4"/>
  <c r="B6" i="4" s="1"/>
  <c r="D5" i="4"/>
  <c r="D4" i="4"/>
  <c r="B4" i="4"/>
  <c r="D3" i="4"/>
  <c r="G30" i="5" l="1"/>
  <c r="G29" i="5"/>
  <c r="F12" i="5"/>
  <c r="F21" i="5"/>
  <c r="G21" i="5" s="1"/>
  <c r="F22" i="5"/>
  <c r="G22" i="5" s="1"/>
  <c r="F7" i="5"/>
  <c r="F11" i="5"/>
  <c r="G11" i="5" s="1"/>
  <c r="G98" i="5"/>
  <c r="G86" i="5"/>
  <c r="G97" i="5"/>
  <c r="G85" i="5"/>
  <c r="G73" i="5"/>
  <c r="G12" i="5"/>
  <c r="G84" i="5"/>
  <c r="G72" i="5"/>
  <c r="G83" i="5"/>
  <c r="G71" i="5"/>
  <c r="G59" i="5"/>
  <c r="G70" i="5"/>
  <c r="G58" i="5"/>
  <c r="G105" i="5"/>
  <c r="G93" i="5"/>
  <c r="G81" i="5"/>
  <c r="G69" i="5"/>
  <c r="G57" i="5"/>
  <c r="G45" i="5"/>
  <c r="G33" i="5"/>
  <c r="G8" i="5"/>
  <c r="G104" i="5"/>
  <c r="G92" i="5"/>
  <c r="G80" i="5"/>
  <c r="G56" i="5"/>
  <c r="G44" i="5"/>
  <c r="G32" i="5"/>
  <c r="G20" i="5"/>
  <c r="G7" i="5"/>
  <c r="G10" i="5"/>
  <c r="G115" i="5"/>
  <c r="G103" i="5"/>
  <c r="G91" i="5"/>
  <c r="G79" i="5"/>
  <c r="G55" i="5"/>
  <c r="G43" i="5"/>
  <c r="G31" i="5"/>
  <c r="G23" i="5"/>
  <c r="G17" i="5"/>
  <c r="G19" i="5"/>
  <c r="G6" i="5"/>
  <c r="F2" i="5"/>
  <c r="G2" i="5" s="1"/>
  <c r="F16" i="5"/>
  <c r="G16" i="5" s="1"/>
  <c r="F4" i="5"/>
  <c r="G4" i="5" s="1"/>
  <c r="F17" i="5"/>
  <c r="F27" i="5"/>
  <c r="F15" i="5"/>
  <c r="G15" i="5" s="1"/>
  <c r="F3" i="5"/>
  <c r="G3" i="5" s="1"/>
  <c r="F18" i="5"/>
  <c r="G18" i="5" s="1"/>
  <c r="G24" i="5"/>
  <c r="F26" i="5"/>
  <c r="G26" i="5" s="1"/>
  <c r="F14" i="5"/>
  <c r="G14" i="5" s="1"/>
  <c r="G27" i="5"/>
  <c r="F25" i="5"/>
  <c r="G25" i="5" s="1"/>
  <c r="F6" i="5"/>
  <c r="F5" i="5"/>
  <c r="G5" i="5" s="1"/>
  <c r="F24" i="5"/>
  <c r="M5" i="4"/>
  <c r="R5" i="4" s="1"/>
  <c r="R23" i="4"/>
  <c r="M29" i="4"/>
  <c r="R29" i="4" s="1"/>
  <c r="R26" i="4"/>
  <c r="R30" i="4"/>
  <c r="R4" i="4"/>
  <c r="M17" i="4"/>
  <c r="R17" i="4" s="1"/>
  <c r="R21" i="4"/>
  <c r="R33" i="4"/>
  <c r="S7" i="4"/>
  <c r="S5" i="4"/>
  <c r="M3" i="4"/>
  <c r="R3" i="4" s="1"/>
  <c r="M18" i="4"/>
  <c r="R18" i="4" s="1"/>
  <c r="M30" i="4"/>
  <c r="S8" i="4"/>
  <c r="M11" i="4"/>
  <c r="S11" i="4" s="1"/>
  <c r="M23" i="4"/>
  <c r="M4" i="4"/>
  <c r="R6" i="4"/>
  <c r="M16" i="4"/>
  <c r="R16" i="4" s="1"/>
  <c r="M28" i="4"/>
  <c r="R28" i="4" s="1"/>
  <c r="S6" i="4"/>
  <c r="M21" i="4"/>
  <c r="M33" i="4"/>
  <c r="M14" i="4"/>
  <c r="R14" i="4" s="1"/>
  <c r="M26" i="4"/>
  <c r="S4" i="4"/>
  <c r="L12" i="4"/>
  <c r="M12" i="4" s="1"/>
  <c r="L24" i="4"/>
  <c r="M24" i="4" s="1"/>
  <c r="C17" i="4"/>
  <c r="C24" i="4"/>
  <c r="I5" i="4"/>
  <c r="I33" i="4"/>
  <c r="I19" i="4"/>
  <c r="H17" i="4"/>
  <c r="D34" i="4"/>
  <c r="H29" i="4"/>
  <c r="I10" i="4"/>
  <c r="H24" i="4"/>
  <c r="I14" i="4"/>
  <c r="C20" i="4"/>
  <c r="H20" i="4" s="1"/>
  <c r="B31" i="4"/>
  <c r="B10" i="4"/>
  <c r="I28" i="4"/>
  <c r="I7" i="4"/>
  <c r="B3" i="4"/>
  <c r="I23" i="4"/>
  <c r="I16" i="4"/>
  <c r="I30" i="4"/>
  <c r="I9" i="4"/>
  <c r="I25" i="4"/>
  <c r="I18" i="4"/>
  <c r="I11" i="4"/>
  <c r="I4" i="4"/>
  <c r="I32" i="4"/>
  <c r="I20" i="4"/>
  <c r="I13" i="4"/>
  <c r="I27" i="4"/>
  <c r="I6" i="4"/>
  <c r="I22" i="4"/>
  <c r="I15" i="4"/>
  <c r="I29" i="4"/>
  <c r="I8" i="4"/>
  <c r="I24" i="4"/>
  <c r="I17" i="4"/>
  <c r="I3" i="4"/>
  <c r="I31" i="4"/>
  <c r="C6" i="4"/>
  <c r="H6" i="4" s="1"/>
  <c r="C15" i="4"/>
  <c r="H15" i="4" s="1"/>
  <c r="I12" i="4"/>
  <c r="H8" i="4"/>
  <c r="I26" i="4"/>
  <c r="C13" i="4"/>
  <c r="H13" i="4" s="1"/>
  <c r="I21" i="4"/>
  <c r="H27" i="4"/>
  <c r="H4" i="4"/>
  <c r="C22" i="4"/>
  <c r="H22" i="4" s="1"/>
  <c r="C27" i="4"/>
  <c r="C11" i="4"/>
  <c r="H11" i="4" s="1"/>
  <c r="C32" i="4"/>
  <c r="H32" i="4" s="1"/>
  <c r="C4" i="4"/>
  <c r="C18" i="4"/>
  <c r="H18" i="4" s="1"/>
  <c r="C25" i="4"/>
  <c r="H25" i="4" s="1"/>
  <c r="C9" i="4"/>
  <c r="H9" i="4" s="1"/>
  <c r="C30" i="4"/>
  <c r="H30" i="4" s="1"/>
  <c r="C16" i="4"/>
  <c r="H16" i="4" s="1"/>
  <c r="C23" i="4"/>
  <c r="H23" i="4" s="1"/>
  <c r="C7" i="4"/>
  <c r="H7" i="4" s="1"/>
  <c r="C28" i="4"/>
  <c r="H28" i="4" s="1"/>
  <c r="B5" i="4"/>
  <c r="B12" i="4"/>
  <c r="B19" i="4"/>
  <c r="B26" i="4"/>
  <c r="C26" i="4" s="1"/>
  <c r="R11" i="4" l="1"/>
  <c r="S12" i="4"/>
  <c r="S27" i="4"/>
  <c r="S15" i="4"/>
  <c r="S16" i="4"/>
  <c r="S25" i="4"/>
  <c r="S19" i="4"/>
  <c r="S33" i="4"/>
  <c r="S21" i="4"/>
  <c r="S22" i="4"/>
  <c r="S31" i="4"/>
  <c r="S30" i="4"/>
  <c r="R24" i="4"/>
  <c r="S24" i="4"/>
  <c r="R12" i="4"/>
  <c r="S23" i="4"/>
  <c r="S32" i="4"/>
  <c r="S13" i="4"/>
  <c r="S14" i="4"/>
  <c r="S26" i="4"/>
  <c r="S3" i="4"/>
  <c r="S9" i="4"/>
  <c r="S10" i="4"/>
  <c r="S29" i="4"/>
  <c r="S28" i="4"/>
  <c r="S18" i="4"/>
  <c r="S20" i="4"/>
  <c r="S17" i="4"/>
  <c r="I34" i="4"/>
  <c r="C10" i="4"/>
  <c r="H10" i="4" s="1"/>
  <c r="H26" i="4"/>
  <c r="B34" i="4"/>
  <c r="C5" i="4"/>
  <c r="C31" i="4"/>
  <c r="H31" i="4" s="1"/>
  <c r="C3" i="4"/>
  <c r="H3" i="4" s="1"/>
  <c r="C12" i="4"/>
  <c r="H12" i="4" s="1"/>
  <c r="C19" i="4"/>
  <c r="H19" i="4" s="1"/>
  <c r="C34" i="4" l="1"/>
  <c r="H5" i="4"/>
  <c r="H34" i="4" s="1"/>
  <c r="S14" i="3" l="1"/>
  <c r="S15" i="3"/>
  <c r="S16" i="3"/>
  <c r="S17" i="3"/>
  <c r="S13" i="3"/>
  <c r="P9" i="3"/>
  <c r="L9" i="3"/>
  <c r="H19" i="3"/>
  <c r="K21" i="2"/>
  <c r="H4" i="2" s="1"/>
  <c r="H21" i="2" s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" i="2"/>
  <c r="H9" i="3"/>
  <c r="B21" i="2"/>
  <c r="C9" i="3"/>
  <c r="K14" i="1"/>
  <c r="F7" i="2"/>
  <c r="P19" i="3" l="1"/>
  <c r="E21" i="2"/>
  <c r="E23" i="2" s="1"/>
  <c r="F6" i="1"/>
  <c r="G15" i="1"/>
  <c r="F5" i="1"/>
  <c r="F7" i="1"/>
  <c r="F8" i="1"/>
  <c r="F9" i="1"/>
  <c r="F10" i="1"/>
  <c r="F12" i="1"/>
  <c r="F11" i="1"/>
  <c r="F13" i="1"/>
  <c r="F14" i="1"/>
  <c r="F3" i="1"/>
  <c r="F4" i="1"/>
  <c r="C15" i="1"/>
  <c r="F15" i="1" l="1"/>
  <c r="F18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82B0A04-74DB-46B5-B2B8-7DCB95298F6D}" keepAlive="1" name="Query - Table3" description="Connection to the 'Table3' query in the workbook." type="5" refreshedVersion="0" background="1" saveData="1">
    <dbPr connection="Provider=Microsoft.Mashup.OleDb.1;Data Source=$Workbook$;Location=Table3;Extended Properties=&quot;&quot;" command="SELECT * FROM [Table3]"/>
  </connection>
</connections>
</file>

<file path=xl/sharedStrings.xml><?xml version="1.0" encoding="utf-8"?>
<sst xmlns="http://schemas.openxmlformats.org/spreadsheetml/2006/main" count="222" uniqueCount="134">
  <si>
    <t>CREDIT CARD CHART</t>
  </si>
  <si>
    <t>Account</t>
  </si>
  <si>
    <t>Bank</t>
  </si>
  <si>
    <t>Card Limit</t>
  </si>
  <si>
    <t>Yagneshbhai</t>
  </si>
  <si>
    <t>HDFC</t>
  </si>
  <si>
    <t>Citi</t>
  </si>
  <si>
    <t>HSBC</t>
  </si>
  <si>
    <t>RBL</t>
  </si>
  <si>
    <t>VINOD</t>
  </si>
  <si>
    <t>SBI</t>
  </si>
  <si>
    <t xml:space="preserve">Dharmesh </t>
  </si>
  <si>
    <t>Axis mm</t>
  </si>
  <si>
    <t>Axis Priviledge</t>
  </si>
  <si>
    <t>CITI</t>
  </si>
  <si>
    <t>TOTAL</t>
  </si>
  <si>
    <t>Payment</t>
  </si>
  <si>
    <t>Due Date</t>
  </si>
  <si>
    <t>Paid</t>
  </si>
  <si>
    <t>Status</t>
  </si>
  <si>
    <t>Decution</t>
  </si>
  <si>
    <t>MIN Amount</t>
  </si>
  <si>
    <t>Particular</t>
  </si>
  <si>
    <t>Amount</t>
  </si>
  <si>
    <t>Dharmesh EMI</t>
  </si>
  <si>
    <t>Yagnesh bhai</t>
  </si>
  <si>
    <t>Arun Home Loan</t>
  </si>
  <si>
    <t>Rajubhai Loan</t>
  </si>
  <si>
    <t>Naru HL</t>
  </si>
  <si>
    <t>Vinod CC PL</t>
  </si>
  <si>
    <t>CC Interest</t>
  </si>
  <si>
    <t>Paresh Sony</t>
  </si>
  <si>
    <t>Maraj Int</t>
  </si>
  <si>
    <t>Total</t>
  </si>
  <si>
    <t>Jameel bhai Madina Potterie</t>
  </si>
  <si>
    <t>Owais Altaf bhai</t>
  </si>
  <si>
    <t>Rajubhai Maru Matalawada</t>
  </si>
  <si>
    <t>Jayabtibhai Matalwada</t>
  </si>
  <si>
    <t>Ambala Matala than</t>
  </si>
  <si>
    <t>Pradeep Virar</t>
  </si>
  <si>
    <t>Hareshbhai Than</t>
  </si>
  <si>
    <t>Manojbhai Chitroda</t>
  </si>
  <si>
    <t>Harshal Ganji</t>
  </si>
  <si>
    <t>Website</t>
  </si>
  <si>
    <t>Dasrath transport</t>
  </si>
  <si>
    <t>Hukampal Transport</t>
  </si>
  <si>
    <t>Vendor Name</t>
  </si>
  <si>
    <t>Amount Due</t>
  </si>
  <si>
    <t>Amount Paid</t>
  </si>
  <si>
    <t>Amount Balance</t>
  </si>
  <si>
    <t>Payment Date</t>
  </si>
  <si>
    <t>Bjarang Jilla</t>
  </si>
  <si>
    <t>Sajidbhai</t>
  </si>
  <si>
    <t>Salimbhai Khurja</t>
  </si>
  <si>
    <t>Dilip</t>
  </si>
  <si>
    <t>Dnyaneshwar Khadvalli</t>
  </si>
  <si>
    <t>Deepak bhai Dadar</t>
  </si>
  <si>
    <t>Bill No</t>
  </si>
  <si>
    <t>Bill Date</t>
  </si>
  <si>
    <t>Bill Amount</t>
  </si>
  <si>
    <t>Hukampal</t>
  </si>
  <si>
    <t>MittiCool</t>
  </si>
  <si>
    <t>Arun cash</t>
  </si>
  <si>
    <t>HDFC Balance</t>
  </si>
  <si>
    <t>Udhar</t>
  </si>
  <si>
    <t>Counter Sale</t>
  </si>
  <si>
    <t>Jameel bhai Madina Potteries</t>
  </si>
  <si>
    <t>Owais</t>
  </si>
  <si>
    <t>Prev Bill</t>
  </si>
  <si>
    <t>SHAHBHAI</t>
  </si>
  <si>
    <t>Quanttiy</t>
  </si>
  <si>
    <t>Box</t>
  </si>
  <si>
    <t>Ramiya</t>
  </si>
  <si>
    <t>Date</t>
  </si>
  <si>
    <t>Profit</t>
  </si>
  <si>
    <t>Actual</t>
  </si>
  <si>
    <t>Cash</t>
  </si>
  <si>
    <t>Account Transfer</t>
  </si>
  <si>
    <t>Expense</t>
  </si>
  <si>
    <t>Percentage</t>
  </si>
  <si>
    <t>Cash In Hand</t>
  </si>
  <si>
    <t>SADHANA</t>
  </si>
  <si>
    <t>SANTKRUPA</t>
  </si>
  <si>
    <t>Item</t>
  </si>
  <si>
    <t>Quantity</t>
  </si>
  <si>
    <t>Rate</t>
  </si>
  <si>
    <t>Firni Vati</t>
  </si>
  <si>
    <t>T0</t>
  </si>
  <si>
    <t>T00</t>
  </si>
  <si>
    <t>T1</t>
  </si>
  <si>
    <t>T3</t>
  </si>
  <si>
    <t>T5</t>
  </si>
  <si>
    <t>T9</t>
  </si>
  <si>
    <t>Chai Kulhad Small</t>
  </si>
  <si>
    <t>Chai Kulhad Big</t>
  </si>
  <si>
    <t>Rabdi Kulhad</t>
  </si>
  <si>
    <t>CATERING VATI</t>
  </si>
  <si>
    <t>Purchase price</t>
  </si>
  <si>
    <t>Grand Total</t>
  </si>
  <si>
    <t>Sale Date</t>
  </si>
  <si>
    <t>Total Sale</t>
  </si>
  <si>
    <t>Total Profit</t>
  </si>
  <si>
    <t>Type</t>
  </si>
  <si>
    <t>Sale</t>
  </si>
  <si>
    <t>Payment type</t>
  </si>
  <si>
    <t>CICAgLDG1ZzQHA</t>
  </si>
  <si>
    <t>As Of 06-04-2024</t>
  </si>
  <si>
    <t>Dasrath</t>
  </si>
  <si>
    <t>Deepak bhai</t>
  </si>
  <si>
    <t>Rajubhai</t>
  </si>
  <si>
    <t xml:space="preserve">Sajidbhai </t>
  </si>
  <si>
    <t>Chetan</t>
  </si>
  <si>
    <t>Vakeel Saab</t>
  </si>
  <si>
    <t>Haresh bhai</t>
  </si>
  <si>
    <t>Virar</t>
  </si>
  <si>
    <t>Salary</t>
  </si>
  <si>
    <t>Rent</t>
  </si>
  <si>
    <t>Out going</t>
  </si>
  <si>
    <t>Balance</t>
  </si>
  <si>
    <t>Income As of 16-May-2024</t>
  </si>
  <si>
    <t>Jitubhai</t>
  </si>
  <si>
    <t>Syed Aleem</t>
  </si>
  <si>
    <t>Hemant Parmar</t>
  </si>
  <si>
    <t>Malaysia</t>
  </si>
  <si>
    <t>Cocktail</t>
  </si>
  <si>
    <t>Canda Advance</t>
  </si>
  <si>
    <t>Last 4 day business</t>
  </si>
  <si>
    <t>Black Matala</t>
  </si>
  <si>
    <t>Fitoor</t>
  </si>
  <si>
    <t>Subhash Yadav</t>
  </si>
  <si>
    <t>Darshan</t>
  </si>
  <si>
    <t>Manshankar</t>
  </si>
  <si>
    <t xml:space="preserve">Dharavana 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</si>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</sst>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5" formatCode="dd/mmm/yyyy"/>
    <numFmt numFmtId="166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3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164" fontId="2" fillId="3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164" fontId="2" fillId="0" borderId="2" xfId="1" applyNumberFormat="1" applyFont="1" applyBorder="1"/>
    <xf numFmtId="165" fontId="0" fillId="0" borderId="1" xfId="0" applyNumberFormat="1" applyBorder="1" applyAlignment="1">
      <alignment horizontal="center" vertical="center"/>
    </xf>
    <xf numFmtId="164" fontId="2" fillId="3" borderId="3" xfId="1" applyNumberFormat="1" applyFont="1" applyFill="1" applyBorder="1" applyAlignment="1">
      <alignment horizontal="center" vertical="center"/>
    </xf>
    <xf numFmtId="43" fontId="0" fillId="0" borderId="0" xfId="0" applyNumberFormat="1"/>
    <xf numFmtId="164" fontId="0" fillId="0" borderId="0" xfId="1" applyNumberFormat="1" applyFont="1"/>
    <xf numFmtId="0" fontId="2" fillId="3" borderId="1" xfId="0" applyFont="1" applyFill="1" applyBorder="1" applyAlignment="1">
      <alignment horizontal="center"/>
    </xf>
    <xf numFmtId="164" fontId="2" fillId="3" borderId="1" xfId="1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164" fontId="0" fillId="0" borderId="1" xfId="1" applyNumberFormat="1" applyFont="1" applyFill="1" applyBorder="1" applyAlignment="1">
      <alignment horizontal="center"/>
    </xf>
    <xf numFmtId="164" fontId="0" fillId="0" borderId="1" xfId="1" applyNumberFormat="1" applyFont="1" applyBorder="1" applyAlignment="1"/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/>
    <xf numFmtId="14" fontId="0" fillId="0" borderId="0" xfId="1" applyNumberFormat="1" applyFont="1"/>
    <xf numFmtId="164" fontId="0" fillId="0" borderId="0" xfId="0" applyNumberFormat="1"/>
    <xf numFmtId="15" fontId="0" fillId="0" borderId="0" xfId="0" applyNumberFormat="1"/>
    <xf numFmtId="15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/>
    </xf>
    <xf numFmtId="1" fontId="0" fillId="5" borderId="6" xfId="0" applyNumberFormat="1" applyFill="1" applyBorder="1" applyAlignment="1" applyProtection="1">
      <alignment horizontal="center" vertical="center" wrapText="1"/>
      <protection locked="0"/>
    </xf>
    <xf numFmtId="164" fontId="0" fillId="5" borderId="3" xfId="1" applyNumberFormat="1" applyFont="1" applyFill="1" applyBorder="1" applyAlignment="1" applyProtection="1">
      <alignment horizontal="center" vertical="center" wrapText="1"/>
      <protection locked="0"/>
    </xf>
    <xf numFmtId="164" fontId="0" fillId="5" borderId="7" xfId="1" applyNumberFormat="1" applyFont="1" applyFill="1" applyBorder="1" applyAlignment="1" applyProtection="1">
      <alignment horizontal="center" vertical="center" wrapText="1"/>
      <protection locked="0"/>
    </xf>
    <xf numFmtId="1" fontId="0" fillId="5" borderId="7" xfId="0" applyNumberFormat="1" applyFill="1" applyBorder="1" applyAlignment="1" applyProtection="1">
      <alignment horizontal="center" vertical="center" wrapText="1"/>
      <protection locked="0"/>
    </xf>
    <xf numFmtId="1" fontId="0" fillId="5" borderId="2" xfId="0" applyNumberFormat="1" applyFill="1" applyBorder="1" applyAlignment="1" applyProtection="1">
      <alignment horizontal="center" vertical="center" wrapText="1"/>
      <protection locked="0"/>
    </xf>
    <xf numFmtId="166" fontId="0" fillId="0" borderId="1" xfId="0" applyNumberFormat="1" applyBorder="1" applyAlignment="1" applyProtection="1">
      <alignment horizontal="center" vertical="center"/>
      <protection locked="0"/>
    </xf>
    <xf numFmtId="164" fontId="0" fillId="0" borderId="1" xfId="1" applyNumberFormat="1" applyFont="1" applyBorder="1" applyAlignment="1" applyProtection="1">
      <alignment horizontal="center" vertical="center"/>
      <protection locked="0"/>
    </xf>
    <xf numFmtId="10" fontId="0" fillId="0" borderId="1" xfId="0" applyNumberFormat="1" applyBorder="1" applyAlignment="1" applyProtection="1">
      <alignment horizontal="center" vertical="center"/>
      <protection locked="0"/>
    </xf>
    <xf numFmtId="1" fontId="0" fillId="0" borderId="1" xfId="0" applyNumberFormat="1" applyBorder="1" applyAlignment="1" applyProtection="1">
      <alignment horizontal="center" vertical="center"/>
      <protection locked="0"/>
    </xf>
    <xf numFmtId="164" fontId="0" fillId="0" borderId="1" xfId="1" quotePrefix="1" applyNumberFormat="1" applyFont="1" applyBorder="1" applyAlignment="1" applyProtection="1">
      <alignment horizontal="center" vertical="center"/>
      <protection locked="0"/>
    </xf>
    <xf numFmtId="166" fontId="2" fillId="6" borderId="8" xfId="0" applyNumberFormat="1" applyFont="1" applyFill="1" applyBorder="1" applyAlignment="1">
      <alignment horizontal="center" vertical="center"/>
    </xf>
    <xf numFmtId="164" fontId="0" fillId="6" borderId="9" xfId="1" applyNumberFormat="1" applyFont="1" applyFill="1" applyBorder="1" applyAlignment="1">
      <alignment horizontal="center" vertical="center"/>
    </xf>
    <xf numFmtId="0" fontId="0" fillId="0" borderId="1" xfId="0" applyBorder="1"/>
    <xf numFmtId="0" fontId="2" fillId="7" borderId="1" xfId="0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1" xfId="0" pivotButton="1" applyBorder="1"/>
    <xf numFmtId="164" fontId="0" fillId="0" borderId="1" xfId="0" applyNumberFormat="1" applyBorder="1"/>
    <xf numFmtId="0" fontId="0" fillId="0" borderId="1" xfId="0" applyBorder="1" applyAlignment="1">
      <alignment horizontal="left"/>
    </xf>
    <xf numFmtId="164" fontId="2" fillId="0" borderId="0" xfId="1" applyNumberFormat="1" applyFont="1"/>
    <xf numFmtId="0" fontId="2" fillId="0" borderId="2" xfId="0" applyFont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2" fillId="4" borderId="0" xfId="0" applyFont="1" applyFill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37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6" formatCode="[$-F800]dddd\,\ mmmm\ dd\,\ yyyy"/>
      <alignment horizontal="center" vertical="center"/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6" formatCode="[$-F800]dddd\,\ mmmm\ dd\,\ 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" formatCode="0"/>
      <alignment horizontal="center" vertical="center" textRotation="0" wrapText="0" indent="0" justifyLastLine="0" shrinkToFit="0" readingOrder="0"/>
      <protection locked="0" hidden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solid">
          <fgColor indexed="64"/>
          <bgColor theme="3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6" formatCode="[$-F800]dddd\,\ mmmm\ dd\,\ 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" formatCode="0"/>
      <alignment horizontal="center" vertical="center" textRotation="0" wrapText="0" indent="0" justifyLastLine="0" shrinkToFit="0" readingOrder="0"/>
      <protection locked="0" hidden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solid">
          <fgColor indexed="64"/>
          <bgColor theme="3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u, Dharmesh" refreshedDate="45299.515506944444" createdVersion="8" refreshedVersion="8" minRefreshableVersion="3" recordCount="114" xr:uid="{AA9E7B5D-4E93-4FD0-81E0-3C0D343CDA4C}">
  <cacheSource type="worksheet">
    <worksheetSource ref="A1:G115" sheet="Daily Entry"/>
  </cacheSource>
  <cacheFields count="7">
    <cacheField name="Date" numFmtId="0">
      <sharedItems containsNonDate="0" containsDate="1" containsString="0" containsBlank="1" minDate="2024-01-01T00:00:00" maxDate="2024-01-09T00:00:00" count="9"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m/>
      </sharedItems>
    </cacheField>
    <cacheField name="Item" numFmtId="0">
      <sharedItems containsBlank="1"/>
    </cacheField>
    <cacheField name="Quantity" numFmtId="0">
      <sharedItems containsString="0" containsBlank="1" containsNumber="1" containsInteger="1" minValue="64" maxValue="13333"/>
    </cacheField>
    <cacheField name="Rate" numFmtId="0">
      <sharedItems containsString="0" containsBlank="1" containsNumber="1" minValue="1.8" maxValue="7"/>
    </cacheField>
    <cacheField name="Total" numFmtId="0">
      <sharedItems containsSemiMixedTypes="0" containsString="0" containsNumber="1" minValue="0" maxValue="23999.4"/>
    </cacheField>
    <cacheField name="Purchase price" numFmtId="0">
      <sharedItems containsSemiMixedTypes="0" containsString="0" containsNumber="1" minValue="0" maxValue="5.27"/>
    </cacheField>
    <cacheField name="Profit" numFmtId="0">
      <sharedItems containsSemiMixedTypes="0" containsString="0" containsNumber="1" minValue="0" maxValue="4666.550000000002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4">
  <r>
    <x v="0"/>
    <s v="Rabdi Kulhad"/>
    <n v="120"/>
    <n v="6"/>
    <n v="720"/>
    <n v="5.27"/>
    <n v="87.600000000000023"/>
  </r>
  <r>
    <x v="0"/>
    <s v="T0"/>
    <n v="800"/>
    <n v="2"/>
    <n v="1600"/>
    <n v="1.45"/>
    <n v="440"/>
  </r>
  <r>
    <x v="1"/>
    <s v="T0"/>
    <n v="200"/>
    <n v="2"/>
    <n v="400"/>
    <n v="1.45"/>
    <n v="110"/>
  </r>
  <r>
    <x v="1"/>
    <s v="T0"/>
    <n v="1000"/>
    <n v="1.9"/>
    <n v="1900"/>
    <n v="1.45"/>
    <n v="450"/>
  </r>
  <r>
    <x v="1"/>
    <s v="T0"/>
    <n v="3000"/>
    <n v="2"/>
    <n v="6000"/>
    <n v="1.45"/>
    <n v="1650"/>
  </r>
  <r>
    <x v="1"/>
    <s v="T0"/>
    <n v="2611"/>
    <n v="2"/>
    <n v="5222"/>
    <n v="1.45"/>
    <n v="1436.0500000000002"/>
  </r>
  <r>
    <x v="1"/>
    <s v="Rabdi Kulhad"/>
    <n v="255"/>
    <n v="6"/>
    <n v="1530"/>
    <n v="5.27"/>
    <n v="186.15000000000009"/>
  </r>
  <r>
    <x v="1"/>
    <s v="Rabdi Kulhad"/>
    <n v="192"/>
    <n v="6"/>
    <n v="1152"/>
    <n v="5.27"/>
    <n v="140.16000000000008"/>
  </r>
  <r>
    <x v="2"/>
    <s v="T1"/>
    <n v="160"/>
    <n v="2.5"/>
    <n v="400"/>
    <n v="1.56"/>
    <n v="150.39999999999998"/>
  </r>
  <r>
    <x v="2"/>
    <s v="T0"/>
    <n v="570"/>
    <n v="2"/>
    <n v="1140"/>
    <n v="1.45"/>
    <n v="313.5"/>
  </r>
  <r>
    <x v="2"/>
    <s v="T0"/>
    <n v="200"/>
    <n v="2"/>
    <n v="400"/>
    <n v="1.45"/>
    <n v="110"/>
  </r>
  <r>
    <x v="3"/>
    <s v="Rabdi Kulhad"/>
    <n v="64"/>
    <n v="6"/>
    <n v="384"/>
    <n v="5.27"/>
    <n v="46.720000000000027"/>
  </r>
  <r>
    <x v="3"/>
    <s v="Rabdi Kulhad"/>
    <n v="192"/>
    <n v="6"/>
    <n v="1152"/>
    <n v="5.27"/>
    <n v="140.16000000000008"/>
  </r>
  <r>
    <x v="3"/>
    <s v="T0"/>
    <n v="13333"/>
    <n v="1.8"/>
    <n v="23999.4"/>
    <n v="1.45"/>
    <n v="4666.5500000000029"/>
  </r>
  <r>
    <x v="4"/>
    <s v="Rabdi Kulhad"/>
    <m/>
    <m/>
    <n v="430"/>
    <n v="5.27"/>
    <n v="430"/>
  </r>
  <r>
    <x v="4"/>
    <s v="T0"/>
    <n v="8334"/>
    <n v="1.8"/>
    <n v="15001.2"/>
    <n v="1.45"/>
    <n v="2916.9000000000015"/>
  </r>
  <r>
    <x v="5"/>
    <s v="T0"/>
    <n v="4000"/>
    <n v="2"/>
    <n v="8000"/>
    <n v="1.45"/>
    <n v="2200"/>
  </r>
  <r>
    <x v="5"/>
    <s v="T9"/>
    <n v="630"/>
    <n v="7"/>
    <n v="4410"/>
    <n v="3.42"/>
    <n v="2255.4"/>
  </r>
  <r>
    <x v="5"/>
    <s v="Rabdi Kulhad"/>
    <n v="910"/>
    <n v="6"/>
    <n v="5460"/>
    <n v="5.27"/>
    <n v="664.30000000000018"/>
  </r>
  <r>
    <x v="6"/>
    <s v="T0"/>
    <n v="4000"/>
    <n v="1.9"/>
    <n v="7600"/>
    <n v="1.45"/>
    <n v="1800"/>
  </r>
  <r>
    <x v="6"/>
    <s v="T0"/>
    <n v="1800"/>
    <n v="1.9"/>
    <n v="3420"/>
    <n v="1.45"/>
    <n v="810"/>
  </r>
  <r>
    <x v="6"/>
    <s v="CATERING VATI"/>
    <n v="70"/>
    <n v="4"/>
    <n v="280"/>
    <n v="2.77"/>
    <n v="86.1"/>
  </r>
  <r>
    <x v="6"/>
    <s v="T0"/>
    <n v="400"/>
    <n v="2"/>
    <n v="800"/>
    <n v="1.45"/>
    <n v="220"/>
  </r>
  <r>
    <x v="6"/>
    <s v="T0"/>
    <n v="400"/>
    <n v="2"/>
    <n v="800"/>
    <n v="1.45"/>
    <n v="220"/>
  </r>
  <r>
    <x v="6"/>
    <s v="T0"/>
    <n v="800"/>
    <n v="2"/>
    <n v="1600"/>
    <n v="1.45"/>
    <n v="440"/>
  </r>
  <r>
    <x v="7"/>
    <s v="T0"/>
    <n v="1000"/>
    <n v="1.9"/>
    <n v="1900"/>
    <n v="1.45"/>
    <n v="450"/>
  </r>
  <r>
    <x v="8"/>
    <m/>
    <m/>
    <m/>
    <n v="0"/>
    <n v="0"/>
    <n v="0"/>
  </r>
  <r>
    <x v="8"/>
    <m/>
    <m/>
    <m/>
    <n v="0"/>
    <n v="0"/>
    <n v="0"/>
  </r>
  <r>
    <x v="8"/>
    <m/>
    <m/>
    <m/>
    <n v="0"/>
    <n v="0"/>
    <n v="0"/>
  </r>
  <r>
    <x v="8"/>
    <m/>
    <m/>
    <m/>
    <n v="0"/>
    <n v="0"/>
    <n v="0"/>
  </r>
  <r>
    <x v="8"/>
    <m/>
    <m/>
    <m/>
    <n v="0"/>
    <n v="0"/>
    <n v="0"/>
  </r>
  <r>
    <x v="8"/>
    <m/>
    <m/>
    <m/>
    <n v="0"/>
    <n v="0"/>
    <n v="0"/>
  </r>
  <r>
    <x v="8"/>
    <m/>
    <m/>
    <m/>
    <n v="0"/>
    <n v="0"/>
    <n v="0"/>
  </r>
  <r>
    <x v="8"/>
    <m/>
    <m/>
    <m/>
    <n v="0"/>
    <n v="0"/>
    <n v="0"/>
  </r>
  <r>
    <x v="8"/>
    <m/>
    <m/>
    <m/>
    <n v="0"/>
    <n v="0"/>
    <n v="0"/>
  </r>
  <r>
    <x v="8"/>
    <m/>
    <m/>
    <m/>
    <n v="0"/>
    <n v="0"/>
    <n v="0"/>
  </r>
  <r>
    <x v="8"/>
    <m/>
    <m/>
    <m/>
    <n v="0"/>
    <n v="0"/>
    <n v="0"/>
  </r>
  <r>
    <x v="8"/>
    <m/>
    <m/>
    <m/>
    <n v="0"/>
    <n v="0"/>
    <n v="0"/>
  </r>
  <r>
    <x v="8"/>
    <m/>
    <m/>
    <m/>
    <n v="0"/>
    <n v="0"/>
    <n v="0"/>
  </r>
  <r>
    <x v="8"/>
    <m/>
    <m/>
    <m/>
    <n v="0"/>
    <n v="0"/>
    <n v="0"/>
  </r>
  <r>
    <x v="8"/>
    <m/>
    <m/>
    <m/>
    <n v="0"/>
    <n v="0"/>
    <n v="0"/>
  </r>
  <r>
    <x v="8"/>
    <m/>
    <m/>
    <m/>
    <n v="0"/>
    <n v="0"/>
    <n v="0"/>
  </r>
  <r>
    <x v="8"/>
    <m/>
    <m/>
    <m/>
    <n v="0"/>
    <n v="0"/>
    <n v="0"/>
  </r>
  <r>
    <x v="8"/>
    <m/>
    <m/>
    <m/>
    <n v="0"/>
    <n v="0"/>
    <n v="0"/>
  </r>
  <r>
    <x v="8"/>
    <m/>
    <m/>
    <m/>
    <n v="0"/>
    <n v="0"/>
    <n v="0"/>
  </r>
  <r>
    <x v="8"/>
    <m/>
    <m/>
    <m/>
    <n v="0"/>
    <n v="0"/>
    <n v="0"/>
  </r>
  <r>
    <x v="8"/>
    <m/>
    <m/>
    <m/>
    <n v="0"/>
    <n v="0"/>
    <n v="0"/>
  </r>
  <r>
    <x v="8"/>
    <m/>
    <m/>
    <m/>
    <n v="0"/>
    <n v="0"/>
    <n v="0"/>
  </r>
  <r>
    <x v="8"/>
    <m/>
    <m/>
    <m/>
    <n v="0"/>
    <n v="0"/>
    <n v="0"/>
  </r>
  <r>
    <x v="8"/>
    <m/>
    <m/>
    <m/>
    <n v="0"/>
    <n v="0"/>
    <n v="0"/>
  </r>
  <r>
    <x v="8"/>
    <m/>
    <m/>
    <m/>
    <n v="0"/>
    <n v="0"/>
    <n v="0"/>
  </r>
  <r>
    <x v="8"/>
    <m/>
    <m/>
    <m/>
    <n v="0"/>
    <n v="0"/>
    <n v="0"/>
  </r>
  <r>
    <x v="8"/>
    <m/>
    <m/>
    <m/>
    <n v="0"/>
    <n v="0"/>
    <n v="0"/>
  </r>
  <r>
    <x v="8"/>
    <m/>
    <m/>
    <m/>
    <n v="0"/>
    <n v="0"/>
    <n v="0"/>
  </r>
  <r>
    <x v="8"/>
    <m/>
    <m/>
    <m/>
    <n v="0"/>
    <n v="0"/>
    <n v="0"/>
  </r>
  <r>
    <x v="8"/>
    <m/>
    <m/>
    <m/>
    <n v="0"/>
    <n v="0"/>
    <n v="0"/>
  </r>
  <r>
    <x v="8"/>
    <m/>
    <m/>
    <m/>
    <n v="0"/>
    <n v="0"/>
    <n v="0"/>
  </r>
  <r>
    <x v="8"/>
    <m/>
    <m/>
    <m/>
    <n v="0"/>
    <n v="0"/>
    <n v="0"/>
  </r>
  <r>
    <x v="8"/>
    <m/>
    <m/>
    <m/>
    <n v="0"/>
    <n v="0"/>
    <n v="0"/>
  </r>
  <r>
    <x v="8"/>
    <m/>
    <m/>
    <m/>
    <n v="0"/>
    <n v="0"/>
    <n v="0"/>
  </r>
  <r>
    <x v="8"/>
    <m/>
    <m/>
    <m/>
    <n v="0"/>
    <n v="0"/>
    <n v="0"/>
  </r>
  <r>
    <x v="8"/>
    <m/>
    <m/>
    <m/>
    <n v="0"/>
    <n v="0"/>
    <n v="0"/>
  </r>
  <r>
    <x v="8"/>
    <m/>
    <m/>
    <m/>
    <n v="0"/>
    <n v="0"/>
    <n v="0"/>
  </r>
  <r>
    <x v="8"/>
    <m/>
    <m/>
    <m/>
    <n v="0"/>
    <n v="0"/>
    <n v="0"/>
  </r>
  <r>
    <x v="8"/>
    <m/>
    <m/>
    <m/>
    <n v="0"/>
    <n v="0"/>
    <n v="0"/>
  </r>
  <r>
    <x v="8"/>
    <m/>
    <m/>
    <m/>
    <n v="0"/>
    <n v="0"/>
    <n v="0"/>
  </r>
  <r>
    <x v="8"/>
    <m/>
    <m/>
    <m/>
    <n v="0"/>
    <n v="0"/>
    <n v="0"/>
  </r>
  <r>
    <x v="8"/>
    <m/>
    <m/>
    <m/>
    <n v="0"/>
    <n v="0"/>
    <n v="0"/>
  </r>
  <r>
    <x v="8"/>
    <m/>
    <m/>
    <m/>
    <n v="0"/>
    <n v="0"/>
    <n v="0"/>
  </r>
  <r>
    <x v="8"/>
    <m/>
    <m/>
    <m/>
    <n v="0"/>
    <n v="0"/>
    <n v="0"/>
  </r>
  <r>
    <x v="8"/>
    <m/>
    <m/>
    <m/>
    <n v="0"/>
    <n v="0"/>
    <n v="0"/>
  </r>
  <r>
    <x v="8"/>
    <m/>
    <m/>
    <m/>
    <n v="0"/>
    <n v="0"/>
    <n v="0"/>
  </r>
  <r>
    <x v="8"/>
    <m/>
    <m/>
    <m/>
    <n v="0"/>
    <n v="0"/>
    <n v="0"/>
  </r>
  <r>
    <x v="8"/>
    <m/>
    <m/>
    <m/>
    <n v="0"/>
    <n v="0"/>
    <n v="0"/>
  </r>
  <r>
    <x v="8"/>
    <m/>
    <m/>
    <m/>
    <n v="0"/>
    <n v="0"/>
    <n v="0"/>
  </r>
  <r>
    <x v="8"/>
    <m/>
    <m/>
    <m/>
    <n v="0"/>
    <n v="0"/>
    <n v="0"/>
  </r>
  <r>
    <x v="8"/>
    <m/>
    <m/>
    <m/>
    <n v="0"/>
    <n v="0"/>
    <n v="0"/>
  </r>
  <r>
    <x v="8"/>
    <m/>
    <m/>
    <m/>
    <n v="0"/>
    <n v="0"/>
    <n v="0"/>
  </r>
  <r>
    <x v="8"/>
    <m/>
    <m/>
    <m/>
    <n v="0"/>
    <n v="0"/>
    <n v="0"/>
  </r>
  <r>
    <x v="8"/>
    <m/>
    <m/>
    <m/>
    <n v="0"/>
    <n v="0"/>
    <n v="0"/>
  </r>
  <r>
    <x v="8"/>
    <m/>
    <m/>
    <m/>
    <n v="0"/>
    <n v="0"/>
    <n v="0"/>
  </r>
  <r>
    <x v="8"/>
    <m/>
    <m/>
    <m/>
    <n v="0"/>
    <n v="0"/>
    <n v="0"/>
  </r>
  <r>
    <x v="8"/>
    <m/>
    <m/>
    <m/>
    <n v="0"/>
    <n v="0"/>
    <n v="0"/>
  </r>
  <r>
    <x v="8"/>
    <m/>
    <m/>
    <m/>
    <n v="0"/>
    <n v="0"/>
    <n v="0"/>
  </r>
  <r>
    <x v="8"/>
    <m/>
    <m/>
    <m/>
    <n v="0"/>
    <n v="0"/>
    <n v="0"/>
  </r>
  <r>
    <x v="8"/>
    <m/>
    <m/>
    <m/>
    <n v="0"/>
    <n v="0"/>
    <n v="0"/>
  </r>
  <r>
    <x v="8"/>
    <m/>
    <m/>
    <m/>
    <n v="0"/>
    <n v="0"/>
    <n v="0"/>
  </r>
  <r>
    <x v="8"/>
    <m/>
    <m/>
    <m/>
    <n v="0"/>
    <n v="0"/>
    <n v="0"/>
  </r>
  <r>
    <x v="8"/>
    <m/>
    <m/>
    <m/>
    <n v="0"/>
    <n v="0"/>
    <n v="0"/>
  </r>
  <r>
    <x v="8"/>
    <m/>
    <m/>
    <m/>
    <n v="0"/>
    <n v="0"/>
    <n v="0"/>
  </r>
  <r>
    <x v="8"/>
    <m/>
    <m/>
    <m/>
    <n v="0"/>
    <n v="0"/>
    <n v="0"/>
  </r>
  <r>
    <x v="8"/>
    <m/>
    <m/>
    <m/>
    <n v="0"/>
    <n v="0"/>
    <n v="0"/>
  </r>
  <r>
    <x v="8"/>
    <m/>
    <m/>
    <m/>
    <n v="0"/>
    <n v="0"/>
    <n v="0"/>
  </r>
  <r>
    <x v="8"/>
    <m/>
    <m/>
    <m/>
    <n v="0"/>
    <n v="0"/>
    <n v="0"/>
  </r>
  <r>
    <x v="8"/>
    <m/>
    <m/>
    <m/>
    <n v="0"/>
    <n v="0"/>
    <n v="0"/>
  </r>
  <r>
    <x v="8"/>
    <m/>
    <m/>
    <m/>
    <n v="0"/>
    <n v="0"/>
    <n v="0"/>
  </r>
  <r>
    <x v="8"/>
    <m/>
    <m/>
    <m/>
    <n v="0"/>
    <n v="0"/>
    <n v="0"/>
  </r>
  <r>
    <x v="8"/>
    <m/>
    <m/>
    <m/>
    <n v="0"/>
    <n v="0"/>
    <n v="0"/>
  </r>
  <r>
    <x v="8"/>
    <m/>
    <m/>
    <m/>
    <n v="0"/>
    <n v="0"/>
    <n v="0"/>
  </r>
  <r>
    <x v="8"/>
    <m/>
    <m/>
    <m/>
    <n v="0"/>
    <n v="0"/>
    <n v="0"/>
  </r>
  <r>
    <x v="8"/>
    <m/>
    <m/>
    <m/>
    <n v="0"/>
    <n v="0"/>
    <n v="0"/>
  </r>
  <r>
    <x v="8"/>
    <m/>
    <m/>
    <m/>
    <n v="0"/>
    <n v="0"/>
    <n v="0"/>
  </r>
  <r>
    <x v="8"/>
    <m/>
    <m/>
    <m/>
    <n v="0"/>
    <n v="0"/>
    <n v="0"/>
  </r>
  <r>
    <x v="8"/>
    <m/>
    <m/>
    <m/>
    <n v="0"/>
    <n v="0"/>
    <n v="0"/>
  </r>
  <r>
    <x v="8"/>
    <m/>
    <m/>
    <m/>
    <n v="0"/>
    <n v="0"/>
    <n v="0"/>
  </r>
  <r>
    <x v="8"/>
    <m/>
    <m/>
    <m/>
    <n v="0"/>
    <n v="0"/>
    <n v="0"/>
  </r>
  <r>
    <x v="8"/>
    <m/>
    <m/>
    <m/>
    <n v="0"/>
    <n v="0"/>
    <n v="0"/>
  </r>
  <r>
    <x v="8"/>
    <m/>
    <m/>
    <m/>
    <n v="0"/>
    <n v="0"/>
    <n v="0"/>
  </r>
  <r>
    <x v="8"/>
    <m/>
    <m/>
    <m/>
    <n v="0"/>
    <n v="0"/>
    <n v="0"/>
  </r>
  <r>
    <x v="8"/>
    <m/>
    <m/>
    <m/>
    <n v="0"/>
    <n v="0"/>
    <n v="0"/>
  </r>
  <r>
    <x v="8"/>
    <m/>
    <m/>
    <m/>
    <n v="0"/>
    <n v="0"/>
    <n v="0"/>
  </r>
  <r>
    <x v="8"/>
    <m/>
    <m/>
    <m/>
    <n v="0"/>
    <n v="0"/>
    <n v="0"/>
  </r>
  <r>
    <x v="8"/>
    <m/>
    <m/>
    <m/>
    <n v="0"/>
    <n v="0"/>
    <n v="0"/>
  </r>
  <r>
    <x v="8"/>
    <m/>
    <m/>
    <m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676993-80EC-4E0F-810F-2FE5D39C0B08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ale Date">
  <location ref="I2:K11" firstHeaderRow="0" firstDataRow="1" firstDataCol="1"/>
  <pivotFields count="7">
    <pivotField axis="axisRow" showAll="0">
      <items count="10">
        <item x="0"/>
        <item x="1"/>
        <item x="2"/>
        <item x="3"/>
        <item x="4"/>
        <item x="5"/>
        <item x="6"/>
        <item x="7"/>
        <item h="1" x="8"/>
        <item t="default"/>
      </items>
    </pivotField>
    <pivotField showAll="0"/>
    <pivotField showAll="0"/>
    <pivotField showAll="0"/>
    <pivotField dataField="1" showAll="0"/>
    <pivotField showAll="0"/>
    <pivotField dataField="1"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Sale" fld="4" baseField="0" baseItem="0"/>
    <dataField name="Total Profit" fld="6" baseField="0" baseItem="2"/>
  </dataFields>
  <formats count="9">
    <format dxfId="8">
      <pivotArea dataOnly="0" labelOnly="1" fieldPosition="0">
        <references count="1">
          <reference field="0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7">
      <pivotArea collapsedLevelsAreSubtotals="1" fieldPosition="0">
        <references count="2">
          <reference field="4294967294" count="1" selected="0">
            <x v="0"/>
          </reference>
          <reference field="0" count="1">
            <x v="0"/>
          </reference>
        </references>
      </pivotArea>
    </format>
    <format dxfId="6">
      <pivotArea grandRow="1" outline="0" collapsedLevelsAreSubtotals="1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0" type="button" dataOnly="0" labelOnly="1" outline="0" axis="axisRow" fieldPosition="0"/>
    </format>
    <format dxfId="2">
      <pivotArea dataOnly="0" labelOnly="1" fieldPosition="0">
        <references count="1">
          <reference field="0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78913A-6301-4E57-A46E-DDEE5B0BD0C6}" name="Table23453456879111215141617181920212223242526272834567891011" displayName="Table23453456879111215141617181920212223242526272834567891011" ref="A2:I33" totalsRowShown="0" headerRowDxfId="36" dataDxfId="34" headerRowBorderDxfId="35" tableBorderDxfId="33" totalsRowBorderDxfId="32">
  <tableColumns count="9">
    <tableColumn id="1" xr3:uid="{A37FD606-4923-4A27-A11E-D39BCE1A9775}" name="Date" dataDxfId="31"/>
    <tableColumn id="2" xr3:uid="{17B94C33-FC8E-4949-B1A0-8DA39FB86F21}" name="Profit" dataDxfId="30" dataCellStyle="Comma">
      <calculatedColumnFormula>D3*0.39</calculatedColumnFormula>
    </tableColumn>
    <tableColumn id="3" xr3:uid="{9BBA5523-5E29-4DF1-97DC-8B552C9807FD}" name="Actual" dataDxfId="29" dataCellStyle="Comma">
      <calculatedColumnFormula>D3-B3</calculatedColumnFormula>
    </tableColumn>
    <tableColumn id="5" xr3:uid="{CD5D07BF-DF84-4569-9775-76B7A139DF42}" name="Total" dataDxfId="28" dataCellStyle="Comma">
      <calculatedColumnFormula>E3+F3</calculatedColumnFormula>
    </tableColumn>
    <tableColumn id="11" xr3:uid="{C984CBFB-B5B6-45DA-905B-394DBD2DC98B}" name="Cash" dataDxfId="27" dataCellStyle="Comma"/>
    <tableColumn id="10" xr3:uid="{2D3F9BF7-C8A7-424D-B809-F5DC2C5E73D7}" name="Account Transfer" dataDxfId="26" dataCellStyle="Comma"/>
    <tableColumn id="4" xr3:uid="{BFB00F0B-47A5-4C34-87E1-0C005D56BDCF}" name="Expense" dataDxfId="25" dataCellStyle="Comma"/>
    <tableColumn id="6" xr3:uid="{34C60950-95BB-4525-A23B-76B41D10BCBF}" name="Percentage" dataDxfId="24">
      <calculatedColumnFormula>IFERROR(B3/C3,0)</calculatedColumnFormula>
    </tableColumn>
    <tableColumn id="7" xr3:uid="{3C196B7E-C701-467C-A756-1E5C94F86551}" name="Cash In Hand" dataDxfId="23">
      <calculatedColumnFormula>SUM($D$3:D3)-SUM($G$3:G3)</calculatedColumnFormula>
    </tableColumn>
  </tableColumns>
  <tableStyleInfo name="TableStyleDark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F38CA0-7D90-4CF3-855E-D4A66FD7290B}" name="Table234534568791112151416171819202122232425262728345678910113" displayName="Table234534568791112151416171819202122232425262728345678910113" ref="K2:S33" totalsRowShown="0" headerRowDxfId="22" dataDxfId="20" headerRowBorderDxfId="21" tableBorderDxfId="19" totalsRowBorderDxfId="18">
  <tableColumns count="9">
    <tableColumn id="1" xr3:uid="{DFA7CF10-93C7-4115-9D4C-4D524A770C34}" name="Date" dataDxfId="17"/>
    <tableColumn id="2" xr3:uid="{E24F13A9-1E2C-43CA-A5A0-CF9C1E949841}" name="Profit" dataDxfId="16" dataCellStyle="Comma">
      <calculatedColumnFormula>N3*0.39</calculatedColumnFormula>
    </tableColumn>
    <tableColumn id="3" xr3:uid="{858C1757-4F68-486D-99C7-2B38C776B904}" name="Actual" dataDxfId="15" dataCellStyle="Comma">
      <calculatedColumnFormula>N3-L3</calculatedColumnFormula>
    </tableColumn>
    <tableColumn id="5" xr3:uid="{E9541C56-2693-4333-A4CA-C7BF15D070CC}" name="Total" dataDxfId="14" dataCellStyle="Comma">
      <calculatedColumnFormula>O3+P3</calculatedColumnFormula>
    </tableColumn>
    <tableColumn id="11" xr3:uid="{E1885CA0-256B-461F-93CA-007A14D4246A}" name="Cash" dataDxfId="13" dataCellStyle="Comma"/>
    <tableColumn id="10" xr3:uid="{DCCE39FD-86AF-4DD9-A0CA-E38EDD437941}" name="Account Transfer" dataDxfId="12" dataCellStyle="Comma"/>
    <tableColumn id="4" xr3:uid="{8234FA5A-1213-4874-8F9A-176EAE110C8E}" name="Expense" dataDxfId="11" dataCellStyle="Comma"/>
    <tableColumn id="6" xr3:uid="{B727115A-F579-4903-8DE0-0D4A9D69FF6F}" name="Percentage" dataDxfId="10">
      <calculatedColumnFormula>IFERROR(L3/M3,0)</calculatedColumnFormula>
    </tableColumn>
    <tableColumn id="7" xr3:uid="{0BE38B33-053F-4190-8EB3-173898F0B505}" name="Cash In Hand" dataDxfId="9">
      <calculatedColumnFormula>SUM($D$3:N3)-SUM($G$3:Q3)</calculatedColumnFormula>
    </tableColumn>
  </tableColumns>
  <tableStyleInfo name="TableStyleDark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workbookViewId="0">
      <selection activeCell="I21" sqref="I21"/>
    </sheetView>
  </sheetViews>
  <sheetFormatPr defaultRowHeight="14.5" x14ac:dyDescent="0.35"/>
  <cols>
    <col min="1" max="1" width="11.36328125" bestFit="1" customWidth="1"/>
    <col min="2" max="2" width="12.6328125" bestFit="1" customWidth="1"/>
    <col min="3" max="3" width="10.1796875" bestFit="1" customWidth="1"/>
    <col min="4" max="4" width="9.1796875" bestFit="1" customWidth="1"/>
    <col min="5" max="5" width="11.54296875" bestFit="1" customWidth="1"/>
    <col min="6" max="6" width="9.7265625" bestFit="1" customWidth="1"/>
    <col min="7" max="7" width="12.54296875" bestFit="1" customWidth="1"/>
    <col min="8" max="8" width="7" bestFit="1" customWidth="1"/>
    <col min="10" max="10" width="14.90625" bestFit="1" customWidth="1"/>
    <col min="11" max="11" width="9.7265625" bestFit="1" customWidth="1"/>
  </cols>
  <sheetData>
    <row r="1" spans="1:11" x14ac:dyDescent="0.35">
      <c r="A1" s="43" t="s">
        <v>0</v>
      </c>
      <c r="B1" s="43"/>
      <c r="C1" s="43"/>
      <c r="D1" s="43"/>
      <c r="E1" s="43"/>
      <c r="F1" s="43"/>
      <c r="G1" s="43"/>
      <c r="H1" s="43"/>
    </row>
    <row r="2" spans="1:11" x14ac:dyDescent="0.35">
      <c r="A2" s="1" t="s">
        <v>1</v>
      </c>
      <c r="B2" s="1" t="s">
        <v>2</v>
      </c>
      <c r="C2" s="2" t="s">
        <v>3</v>
      </c>
      <c r="D2" s="2" t="s">
        <v>16</v>
      </c>
      <c r="E2" s="2" t="s">
        <v>17</v>
      </c>
      <c r="F2" s="7" t="s">
        <v>20</v>
      </c>
      <c r="G2" s="7" t="s">
        <v>21</v>
      </c>
      <c r="H2" s="2" t="s">
        <v>19</v>
      </c>
    </row>
    <row r="3" spans="1:11" x14ac:dyDescent="0.35">
      <c r="A3" s="3" t="s">
        <v>11</v>
      </c>
      <c r="B3" s="3" t="s">
        <v>5</v>
      </c>
      <c r="C3" s="4">
        <v>273000</v>
      </c>
      <c r="D3" s="4">
        <v>60000</v>
      </c>
      <c r="E3" s="6">
        <v>45011</v>
      </c>
      <c r="F3" s="4">
        <f t="shared" ref="F3:F14" si="0">D3*2.17%</f>
        <v>1302</v>
      </c>
      <c r="G3" s="4">
        <v>5000</v>
      </c>
      <c r="H3" s="3" t="s">
        <v>18</v>
      </c>
      <c r="J3" s="10" t="s">
        <v>22</v>
      </c>
      <c r="K3" s="11" t="s">
        <v>23</v>
      </c>
    </row>
    <row r="4" spans="1:11" x14ac:dyDescent="0.35">
      <c r="A4" s="3" t="s">
        <v>9</v>
      </c>
      <c r="B4" s="3" t="s">
        <v>10</v>
      </c>
      <c r="C4" s="4">
        <v>375000</v>
      </c>
      <c r="D4" s="4">
        <v>364528</v>
      </c>
      <c r="E4" s="6">
        <v>45016</v>
      </c>
      <c r="F4" s="4">
        <f t="shared" si="0"/>
        <v>7910.2575999999999</v>
      </c>
      <c r="G4" s="4">
        <v>0</v>
      </c>
      <c r="H4" s="3" t="s">
        <v>18</v>
      </c>
      <c r="J4" s="12" t="s">
        <v>24</v>
      </c>
      <c r="K4" s="13">
        <v>293000</v>
      </c>
    </row>
    <row r="5" spans="1:11" x14ac:dyDescent="0.35">
      <c r="A5" s="3" t="s">
        <v>4</v>
      </c>
      <c r="B5" s="3" t="s">
        <v>8</v>
      </c>
      <c r="C5" s="4">
        <v>200000</v>
      </c>
      <c r="D5" s="4">
        <v>46000</v>
      </c>
      <c r="E5" s="6">
        <v>45017</v>
      </c>
      <c r="F5" s="4">
        <f t="shared" si="0"/>
        <v>998.2</v>
      </c>
      <c r="G5" s="4">
        <v>2300</v>
      </c>
      <c r="H5" s="3" t="s">
        <v>18</v>
      </c>
      <c r="J5" s="12" t="s">
        <v>25</v>
      </c>
      <c r="K5" s="13">
        <v>140000</v>
      </c>
    </row>
    <row r="6" spans="1:11" x14ac:dyDescent="0.35">
      <c r="A6" s="3" t="s">
        <v>11</v>
      </c>
      <c r="B6" s="3" t="s">
        <v>10</v>
      </c>
      <c r="C6" s="4">
        <v>69000</v>
      </c>
      <c r="D6" s="4">
        <v>69000</v>
      </c>
      <c r="E6" s="6">
        <v>45020</v>
      </c>
      <c r="F6" s="4">
        <f t="shared" si="0"/>
        <v>1497.3</v>
      </c>
      <c r="G6" s="4"/>
      <c r="H6" s="3"/>
      <c r="J6" s="12" t="s">
        <v>26</v>
      </c>
      <c r="K6" s="13">
        <v>75000</v>
      </c>
    </row>
    <row r="7" spans="1:11" x14ac:dyDescent="0.35">
      <c r="A7" s="3" t="s">
        <v>9</v>
      </c>
      <c r="B7" s="3" t="s">
        <v>5</v>
      </c>
      <c r="C7" s="4">
        <v>682000</v>
      </c>
      <c r="D7" s="4">
        <v>197449</v>
      </c>
      <c r="E7" s="6">
        <v>45021</v>
      </c>
      <c r="F7" s="4">
        <f t="shared" si="0"/>
        <v>4284.6432999999997</v>
      </c>
      <c r="G7" s="4"/>
      <c r="H7" s="3"/>
      <c r="J7" s="12" t="s">
        <v>27</v>
      </c>
      <c r="K7" s="13">
        <v>35000</v>
      </c>
    </row>
    <row r="8" spans="1:11" x14ac:dyDescent="0.35">
      <c r="A8" s="3" t="s">
        <v>4</v>
      </c>
      <c r="B8" s="3" t="s">
        <v>6</v>
      </c>
      <c r="C8" s="4">
        <v>128000</v>
      </c>
      <c r="D8" s="4">
        <v>36704</v>
      </c>
      <c r="E8" s="6">
        <v>45022</v>
      </c>
      <c r="F8" s="4">
        <f t="shared" si="0"/>
        <v>796.47680000000003</v>
      </c>
      <c r="G8" s="4">
        <v>1020</v>
      </c>
      <c r="H8" s="3"/>
      <c r="J8" s="12" t="s">
        <v>28</v>
      </c>
      <c r="K8" s="13">
        <v>37000</v>
      </c>
    </row>
    <row r="9" spans="1:11" x14ac:dyDescent="0.35">
      <c r="A9" s="3" t="s">
        <v>4</v>
      </c>
      <c r="B9" s="3" t="s">
        <v>7</v>
      </c>
      <c r="C9" s="4">
        <v>278000</v>
      </c>
      <c r="D9" s="4">
        <v>142155</v>
      </c>
      <c r="E9" s="6">
        <v>45022</v>
      </c>
      <c r="F9" s="4">
        <f t="shared" si="0"/>
        <v>3084.7635</v>
      </c>
      <c r="G9" s="4"/>
      <c r="H9" s="3"/>
      <c r="J9" s="12" t="s">
        <v>29</v>
      </c>
      <c r="K9" s="13">
        <v>24000</v>
      </c>
    </row>
    <row r="10" spans="1:11" x14ac:dyDescent="0.35">
      <c r="A10" s="3" t="s">
        <v>11</v>
      </c>
      <c r="B10" s="3" t="s">
        <v>13</v>
      </c>
      <c r="C10" s="4">
        <v>121000</v>
      </c>
      <c r="D10" s="4">
        <v>42655</v>
      </c>
      <c r="E10" s="6">
        <v>45023</v>
      </c>
      <c r="F10" s="4">
        <f t="shared" si="0"/>
        <v>925.61350000000004</v>
      </c>
      <c r="G10" s="4"/>
      <c r="H10" s="3"/>
      <c r="J10" s="12" t="s">
        <v>30</v>
      </c>
      <c r="K10" s="14">
        <v>45406</v>
      </c>
    </row>
    <row r="11" spans="1:11" x14ac:dyDescent="0.35">
      <c r="A11" s="3" t="s">
        <v>4</v>
      </c>
      <c r="B11" s="3" t="s">
        <v>5</v>
      </c>
      <c r="C11" s="4">
        <v>389000</v>
      </c>
      <c r="D11" s="4">
        <v>119858</v>
      </c>
      <c r="E11" s="6">
        <v>45024</v>
      </c>
      <c r="F11" s="4">
        <f t="shared" si="0"/>
        <v>2600.9186</v>
      </c>
      <c r="G11" s="4">
        <v>8000</v>
      </c>
      <c r="H11" s="3"/>
      <c r="J11" s="12" t="s">
        <v>31</v>
      </c>
      <c r="K11" s="15">
        <v>12500</v>
      </c>
    </row>
    <row r="12" spans="1:11" x14ac:dyDescent="0.35">
      <c r="A12" s="3" t="s">
        <v>11</v>
      </c>
      <c r="B12" s="3" t="s">
        <v>10</v>
      </c>
      <c r="C12" s="4">
        <v>200000</v>
      </c>
      <c r="D12" s="4">
        <v>54442</v>
      </c>
      <c r="E12" s="6">
        <v>45026</v>
      </c>
      <c r="F12" s="4">
        <f t="shared" si="0"/>
        <v>1181.3914</v>
      </c>
      <c r="G12" s="4"/>
      <c r="H12" s="3"/>
      <c r="J12" s="12" t="s">
        <v>32</v>
      </c>
      <c r="K12" s="14">
        <v>25000</v>
      </c>
    </row>
    <row r="13" spans="1:11" x14ac:dyDescent="0.35">
      <c r="A13" s="3" t="s">
        <v>11</v>
      </c>
      <c r="B13" s="3" t="s">
        <v>14</v>
      </c>
      <c r="C13" s="4">
        <v>78000</v>
      </c>
      <c r="D13" s="4">
        <v>27305</v>
      </c>
      <c r="E13" s="6">
        <v>45026</v>
      </c>
      <c r="F13" s="4">
        <f t="shared" si="0"/>
        <v>592.51850000000002</v>
      </c>
      <c r="G13" s="4">
        <v>2000</v>
      </c>
      <c r="H13" s="3"/>
      <c r="J13" s="12" t="s">
        <v>54</v>
      </c>
      <c r="K13" s="14">
        <v>20000</v>
      </c>
    </row>
    <row r="14" spans="1:11" x14ac:dyDescent="0.35">
      <c r="A14" s="3" t="s">
        <v>11</v>
      </c>
      <c r="B14" s="3" t="s">
        <v>12</v>
      </c>
      <c r="C14" s="4">
        <v>154000</v>
      </c>
      <c r="D14" s="4">
        <v>88137</v>
      </c>
      <c r="E14" s="6">
        <v>45030</v>
      </c>
      <c r="F14" s="4">
        <f t="shared" si="0"/>
        <v>1912.5729000000001</v>
      </c>
      <c r="G14" s="4"/>
      <c r="H14" s="3"/>
      <c r="J14" s="16" t="s">
        <v>33</v>
      </c>
      <c r="K14" s="17">
        <f>SUM(K4:K13)</f>
        <v>706906</v>
      </c>
    </row>
    <row r="15" spans="1:11" x14ac:dyDescent="0.35">
      <c r="A15" s="42" t="s">
        <v>15</v>
      </c>
      <c r="B15" s="42"/>
      <c r="C15" s="5">
        <f>SUM(C3:C14)</f>
        <v>2947000</v>
      </c>
      <c r="F15" s="4">
        <f>SUM(F3:F14)</f>
        <v>27086.6561</v>
      </c>
      <c r="G15" s="4">
        <f>SUM(G3:G14)</f>
        <v>18320</v>
      </c>
    </row>
    <row r="18" spans="2:6" x14ac:dyDescent="0.35">
      <c r="F18" s="8">
        <f>F15+G15</f>
        <v>45406.6561</v>
      </c>
    </row>
    <row r="20" spans="2:6" x14ac:dyDescent="0.35">
      <c r="B20" s="6"/>
    </row>
  </sheetData>
  <sortState xmlns:xlrd2="http://schemas.microsoft.com/office/spreadsheetml/2017/richdata2" ref="A3:H14">
    <sortCondition ref="E3:E14"/>
  </sortState>
  <mergeCells count="2">
    <mergeCell ref="A15:B15"/>
    <mergeCell ref="A1:H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8F741-17B0-4A36-9EF9-A98F2B0B2EDF}">
  <dimension ref="A1:S34"/>
  <sheetViews>
    <sheetView workbookViewId="0">
      <selection activeCell="D23" sqref="D23"/>
    </sheetView>
  </sheetViews>
  <sheetFormatPr defaultRowHeight="14.5" x14ac:dyDescent="0.35"/>
  <cols>
    <col min="1" max="1" width="16.54296875" bestFit="1" customWidth="1"/>
    <col min="11" max="11" width="14.26953125" bestFit="1" customWidth="1"/>
  </cols>
  <sheetData>
    <row r="1" spans="1:19" ht="23.5" x14ac:dyDescent="0.55000000000000004">
      <c r="A1" s="44" t="s">
        <v>81</v>
      </c>
      <c r="B1" s="44"/>
      <c r="C1" s="44"/>
      <c r="D1" s="44"/>
      <c r="E1" s="44"/>
      <c r="F1" s="44"/>
      <c r="G1" s="44"/>
      <c r="H1" s="44"/>
      <c r="I1" s="44"/>
      <c r="K1" s="44" t="s">
        <v>82</v>
      </c>
      <c r="L1" s="44"/>
      <c r="M1" s="44"/>
      <c r="N1" s="44"/>
      <c r="O1" s="44"/>
      <c r="P1" s="44"/>
      <c r="Q1" s="44"/>
      <c r="R1" s="44"/>
      <c r="S1" s="44"/>
    </row>
    <row r="2" spans="1:19" ht="29" x14ac:dyDescent="0.35">
      <c r="A2" s="23" t="s">
        <v>73</v>
      </c>
      <c r="B2" s="24" t="s">
        <v>74</v>
      </c>
      <c r="C2" s="24" t="s">
        <v>75</v>
      </c>
      <c r="D2" s="24" t="s">
        <v>33</v>
      </c>
      <c r="E2" s="25" t="s">
        <v>76</v>
      </c>
      <c r="F2" s="25" t="s">
        <v>77</v>
      </c>
      <c r="G2" s="24" t="s">
        <v>78</v>
      </c>
      <c r="H2" s="26" t="s">
        <v>79</v>
      </c>
      <c r="I2" s="27" t="s">
        <v>80</v>
      </c>
      <c r="K2" s="23" t="s">
        <v>73</v>
      </c>
      <c r="L2" s="24" t="s">
        <v>74</v>
      </c>
      <c r="M2" s="24" t="s">
        <v>75</v>
      </c>
      <c r="N2" s="24" t="s">
        <v>33</v>
      </c>
      <c r="O2" s="25" t="s">
        <v>76</v>
      </c>
      <c r="P2" s="25" t="s">
        <v>77</v>
      </c>
      <c r="Q2" s="24" t="s">
        <v>78</v>
      </c>
      <c r="R2" s="26" t="s">
        <v>79</v>
      </c>
      <c r="S2" s="27" t="s">
        <v>80</v>
      </c>
    </row>
    <row r="3" spans="1:19" x14ac:dyDescent="0.35">
      <c r="A3" s="28">
        <v>45292</v>
      </c>
      <c r="B3" s="29">
        <f t="shared" ref="B3:B33" si="0">D3*0.39</f>
        <v>0</v>
      </c>
      <c r="C3" s="29">
        <f t="shared" ref="C3:C33" si="1">D3-B3</f>
        <v>0</v>
      </c>
      <c r="D3" s="29">
        <f t="shared" ref="D3:D33" si="2">E3+F3</f>
        <v>0</v>
      </c>
      <c r="E3" s="29"/>
      <c r="F3" s="29"/>
      <c r="G3" s="29"/>
      <c r="H3" s="30">
        <f t="shared" ref="H3:H33" si="3">IFERROR(B3/C3,0)</f>
        <v>0</v>
      </c>
      <c r="I3" s="31">
        <f>SUM($D$3:D3)-SUM($G$3:G3)</f>
        <v>0</v>
      </c>
      <c r="K3" s="28">
        <v>45292</v>
      </c>
      <c r="L3" s="29">
        <f t="shared" ref="L3:L33" si="4">N3*0.39</f>
        <v>0</v>
      </c>
      <c r="M3" s="29">
        <f t="shared" ref="M3:M33" si="5">N3-L3</f>
        <v>0</v>
      </c>
      <c r="N3" s="29">
        <f t="shared" ref="N3:N33" si="6">O3+P3</f>
        <v>0</v>
      </c>
      <c r="O3" s="29"/>
      <c r="P3" s="29"/>
      <c r="Q3" s="29"/>
      <c r="R3" s="30">
        <f t="shared" ref="R3:R33" si="7">IFERROR(L3/M3,0)</f>
        <v>0</v>
      </c>
      <c r="S3" s="31">
        <f>SUM($D$3:N3)-SUM($G$3:Q3)</f>
        <v>0</v>
      </c>
    </row>
    <row r="4" spans="1:19" x14ac:dyDescent="0.35">
      <c r="A4" s="28">
        <v>45293</v>
      </c>
      <c r="B4" s="29">
        <f t="shared" si="0"/>
        <v>0</v>
      </c>
      <c r="C4" s="29">
        <f t="shared" si="1"/>
        <v>0</v>
      </c>
      <c r="D4" s="29">
        <f t="shared" si="2"/>
        <v>0</v>
      </c>
      <c r="E4" s="29"/>
      <c r="F4" s="29"/>
      <c r="G4" s="29"/>
      <c r="H4" s="30">
        <f t="shared" si="3"/>
        <v>0</v>
      </c>
      <c r="I4" s="31">
        <f>SUM($D$3:D4)-SUM($G$3:G4)</f>
        <v>0</v>
      </c>
      <c r="K4" s="28">
        <v>45293</v>
      </c>
      <c r="L4" s="29">
        <f t="shared" si="4"/>
        <v>0</v>
      </c>
      <c r="M4" s="29">
        <f t="shared" si="5"/>
        <v>0</v>
      </c>
      <c r="N4" s="29">
        <f t="shared" si="6"/>
        <v>0</v>
      </c>
      <c r="O4" s="29"/>
      <c r="P4" s="29"/>
      <c r="Q4" s="29"/>
      <c r="R4" s="30">
        <f t="shared" si="7"/>
        <v>0</v>
      </c>
      <c r="S4" s="31">
        <f>SUM($D$3:N4)-SUM($G$3:Q4)</f>
        <v>0</v>
      </c>
    </row>
    <row r="5" spans="1:19" x14ac:dyDescent="0.35">
      <c r="A5" s="28">
        <v>45294</v>
      </c>
      <c r="B5" s="29">
        <f t="shared" si="0"/>
        <v>0</v>
      </c>
      <c r="C5" s="29">
        <f t="shared" si="1"/>
        <v>0</v>
      </c>
      <c r="D5" s="29">
        <f t="shared" si="2"/>
        <v>0</v>
      </c>
      <c r="E5" s="32"/>
      <c r="F5" s="32"/>
      <c r="G5" s="32"/>
      <c r="H5" s="30">
        <f t="shared" si="3"/>
        <v>0</v>
      </c>
      <c r="I5" s="31">
        <f>SUM($D$3:D5)-SUM($G$3:G5)</f>
        <v>0</v>
      </c>
      <c r="K5" s="28">
        <v>45294</v>
      </c>
      <c r="L5" s="29">
        <f t="shared" si="4"/>
        <v>0</v>
      </c>
      <c r="M5" s="29">
        <f t="shared" si="5"/>
        <v>0</v>
      </c>
      <c r="N5" s="29">
        <f t="shared" si="6"/>
        <v>0</v>
      </c>
      <c r="O5" s="32"/>
      <c r="P5" s="32"/>
      <c r="Q5" s="32"/>
      <c r="R5" s="30">
        <f t="shared" si="7"/>
        <v>0</v>
      </c>
      <c r="S5" s="31">
        <f>SUM($D$3:N5)-SUM($G$3:Q5)</f>
        <v>0</v>
      </c>
    </row>
    <row r="6" spans="1:19" x14ac:dyDescent="0.35">
      <c r="A6" s="28">
        <v>45295</v>
      </c>
      <c r="B6" s="29">
        <f t="shared" si="0"/>
        <v>0</v>
      </c>
      <c r="C6" s="29">
        <f t="shared" si="1"/>
        <v>0</v>
      </c>
      <c r="D6" s="29">
        <f t="shared" si="2"/>
        <v>0</v>
      </c>
      <c r="E6" s="29"/>
      <c r="F6" s="29"/>
      <c r="G6" s="29"/>
      <c r="H6" s="30">
        <f t="shared" si="3"/>
        <v>0</v>
      </c>
      <c r="I6" s="31">
        <f>SUM($D$3:D6)-SUM($G$3:G6)</f>
        <v>0</v>
      </c>
      <c r="K6" s="28">
        <v>45295</v>
      </c>
      <c r="L6" s="29">
        <f t="shared" si="4"/>
        <v>0</v>
      </c>
      <c r="M6" s="29">
        <f t="shared" si="5"/>
        <v>0</v>
      </c>
      <c r="N6" s="29">
        <f t="shared" si="6"/>
        <v>0</v>
      </c>
      <c r="O6" s="29"/>
      <c r="P6" s="29"/>
      <c r="Q6" s="29"/>
      <c r="R6" s="30">
        <f t="shared" si="7"/>
        <v>0</v>
      </c>
      <c r="S6" s="31">
        <f>SUM($D$3:N6)-SUM($G$3:Q6)</f>
        <v>0</v>
      </c>
    </row>
    <row r="7" spans="1:19" x14ac:dyDescent="0.35">
      <c r="A7" s="28">
        <v>45296</v>
      </c>
      <c r="B7" s="29">
        <f t="shared" si="0"/>
        <v>0</v>
      </c>
      <c r="C7" s="29">
        <f t="shared" si="1"/>
        <v>0</v>
      </c>
      <c r="D7" s="29">
        <f t="shared" si="2"/>
        <v>0</v>
      </c>
      <c r="E7" s="29"/>
      <c r="F7" s="29"/>
      <c r="G7" s="29"/>
      <c r="H7" s="30">
        <f t="shared" si="3"/>
        <v>0</v>
      </c>
      <c r="I7" s="31">
        <f>SUM($D$3:D7)-SUM($G$3:G7)</f>
        <v>0</v>
      </c>
      <c r="K7" s="28">
        <v>45296</v>
      </c>
      <c r="L7" s="29">
        <f t="shared" si="4"/>
        <v>0</v>
      </c>
      <c r="M7" s="29">
        <f t="shared" si="5"/>
        <v>0</v>
      </c>
      <c r="N7" s="29">
        <f t="shared" si="6"/>
        <v>0</v>
      </c>
      <c r="O7" s="29"/>
      <c r="P7" s="29"/>
      <c r="Q7" s="29"/>
      <c r="R7" s="30">
        <f t="shared" si="7"/>
        <v>0</v>
      </c>
      <c r="S7" s="31">
        <f>SUM($D$3:N7)-SUM($G$3:Q7)</f>
        <v>0</v>
      </c>
    </row>
    <row r="8" spans="1:19" x14ac:dyDescent="0.35">
      <c r="A8" s="28">
        <v>45297</v>
      </c>
      <c r="B8" s="29">
        <f t="shared" si="0"/>
        <v>0</v>
      </c>
      <c r="C8" s="29">
        <f t="shared" si="1"/>
        <v>0</v>
      </c>
      <c r="D8" s="29">
        <f t="shared" si="2"/>
        <v>0</v>
      </c>
      <c r="E8" s="32"/>
      <c r="F8" s="32"/>
      <c r="G8" s="32"/>
      <c r="H8" s="30">
        <f t="shared" si="3"/>
        <v>0</v>
      </c>
      <c r="I8" s="31">
        <f>SUM($D$3:D8)-SUM($G$3:G8)</f>
        <v>0</v>
      </c>
      <c r="K8" s="28">
        <v>45297</v>
      </c>
      <c r="L8" s="29">
        <f t="shared" si="4"/>
        <v>0</v>
      </c>
      <c r="M8" s="29">
        <f t="shared" si="5"/>
        <v>0</v>
      </c>
      <c r="N8" s="29">
        <f t="shared" si="6"/>
        <v>0</v>
      </c>
      <c r="O8" s="32"/>
      <c r="P8" s="32"/>
      <c r="Q8" s="32"/>
      <c r="R8" s="30">
        <f t="shared" si="7"/>
        <v>0</v>
      </c>
      <c r="S8" s="31">
        <f>SUM($D$3:N8)-SUM($G$3:Q8)</f>
        <v>0</v>
      </c>
    </row>
    <row r="9" spans="1:19" x14ac:dyDescent="0.35">
      <c r="A9" s="28">
        <v>45298</v>
      </c>
      <c r="B9" s="29">
        <f t="shared" si="0"/>
        <v>0</v>
      </c>
      <c r="C9" s="29">
        <f t="shared" si="1"/>
        <v>0</v>
      </c>
      <c r="D9" s="29">
        <f t="shared" si="2"/>
        <v>0</v>
      </c>
      <c r="E9" s="32"/>
      <c r="F9" s="32"/>
      <c r="G9" s="32"/>
      <c r="H9" s="30">
        <f t="shared" si="3"/>
        <v>0</v>
      </c>
      <c r="I9" s="31">
        <f>SUM($D$3:D9)-SUM($G$3:G9)</f>
        <v>0</v>
      </c>
      <c r="K9" s="28">
        <v>45298</v>
      </c>
      <c r="L9" s="29">
        <f t="shared" si="4"/>
        <v>0</v>
      </c>
      <c r="M9" s="29">
        <f t="shared" si="5"/>
        <v>0</v>
      </c>
      <c r="N9" s="29">
        <f t="shared" si="6"/>
        <v>0</v>
      </c>
      <c r="O9" s="32"/>
      <c r="P9" s="32"/>
      <c r="Q9" s="32"/>
      <c r="R9" s="30">
        <f t="shared" si="7"/>
        <v>0</v>
      </c>
      <c r="S9" s="31">
        <f>SUM($D$3:N9)-SUM($G$3:Q9)</f>
        <v>0</v>
      </c>
    </row>
    <row r="10" spans="1:19" x14ac:dyDescent="0.35">
      <c r="A10" s="28">
        <v>45299</v>
      </c>
      <c r="B10" s="29">
        <f t="shared" si="0"/>
        <v>0</v>
      </c>
      <c r="C10" s="29">
        <f t="shared" si="1"/>
        <v>0</v>
      </c>
      <c r="D10" s="29">
        <f t="shared" si="2"/>
        <v>0</v>
      </c>
      <c r="E10" s="29"/>
      <c r="F10" s="29"/>
      <c r="G10" s="29"/>
      <c r="H10" s="30">
        <f t="shared" si="3"/>
        <v>0</v>
      </c>
      <c r="I10" s="31">
        <f>SUM($D$3:D10)-SUM($G$3:G10)</f>
        <v>0</v>
      </c>
      <c r="K10" s="28">
        <v>45299</v>
      </c>
      <c r="L10" s="29">
        <f t="shared" si="4"/>
        <v>0</v>
      </c>
      <c r="M10" s="29">
        <f t="shared" si="5"/>
        <v>0</v>
      </c>
      <c r="N10" s="29">
        <f t="shared" si="6"/>
        <v>0</v>
      </c>
      <c r="O10" s="29"/>
      <c r="P10" s="29"/>
      <c r="Q10" s="29"/>
      <c r="R10" s="30">
        <f t="shared" si="7"/>
        <v>0</v>
      </c>
      <c r="S10" s="31">
        <f>SUM($D$3:N10)-SUM($G$3:Q10)</f>
        <v>0</v>
      </c>
    </row>
    <row r="11" spans="1:19" x14ac:dyDescent="0.35">
      <c r="A11" s="28">
        <v>45300</v>
      </c>
      <c r="B11" s="29">
        <f t="shared" si="0"/>
        <v>0</v>
      </c>
      <c r="C11" s="29">
        <f t="shared" si="1"/>
        <v>0</v>
      </c>
      <c r="D11" s="29">
        <f t="shared" si="2"/>
        <v>0</v>
      </c>
      <c r="E11" s="29"/>
      <c r="F11" s="29"/>
      <c r="G11" s="29"/>
      <c r="H11" s="30">
        <f t="shared" si="3"/>
        <v>0</v>
      </c>
      <c r="I11" s="31">
        <f>SUM($D$3:D11)-SUM($G$3:G11)</f>
        <v>0</v>
      </c>
      <c r="K11" s="28">
        <v>45300</v>
      </c>
      <c r="L11" s="29">
        <f t="shared" si="4"/>
        <v>0</v>
      </c>
      <c r="M11" s="29">
        <f t="shared" si="5"/>
        <v>0</v>
      </c>
      <c r="N11" s="29">
        <f t="shared" si="6"/>
        <v>0</v>
      </c>
      <c r="O11" s="29"/>
      <c r="P11" s="29"/>
      <c r="Q11" s="29"/>
      <c r="R11" s="30">
        <f t="shared" si="7"/>
        <v>0</v>
      </c>
      <c r="S11" s="31">
        <f>SUM($D$3:N11)-SUM($G$3:Q11)</f>
        <v>0</v>
      </c>
    </row>
    <row r="12" spans="1:19" x14ac:dyDescent="0.35">
      <c r="A12" s="28">
        <v>45301</v>
      </c>
      <c r="B12" s="29">
        <f t="shared" si="0"/>
        <v>0</v>
      </c>
      <c r="C12" s="29">
        <f t="shared" si="1"/>
        <v>0</v>
      </c>
      <c r="D12" s="29">
        <f t="shared" si="2"/>
        <v>0</v>
      </c>
      <c r="E12" s="29"/>
      <c r="F12" s="29"/>
      <c r="G12" s="29"/>
      <c r="H12" s="30">
        <f t="shared" si="3"/>
        <v>0</v>
      </c>
      <c r="I12" s="31">
        <f>SUM($D$3:D12)-SUM($G$3:G12)</f>
        <v>0</v>
      </c>
      <c r="K12" s="28">
        <v>45301</v>
      </c>
      <c r="L12" s="29">
        <f t="shared" si="4"/>
        <v>0</v>
      </c>
      <c r="M12" s="29">
        <f t="shared" si="5"/>
        <v>0</v>
      </c>
      <c r="N12" s="29">
        <f t="shared" si="6"/>
        <v>0</v>
      </c>
      <c r="O12" s="29"/>
      <c r="P12" s="29"/>
      <c r="Q12" s="29"/>
      <c r="R12" s="30">
        <f t="shared" si="7"/>
        <v>0</v>
      </c>
      <c r="S12" s="31">
        <f>SUM($D$3:N12)-SUM($G$3:Q12)</f>
        <v>0</v>
      </c>
    </row>
    <row r="13" spans="1:19" x14ac:dyDescent="0.35">
      <c r="A13" s="28">
        <v>45302</v>
      </c>
      <c r="B13" s="29">
        <f t="shared" si="0"/>
        <v>0</v>
      </c>
      <c r="C13" s="29">
        <f t="shared" si="1"/>
        <v>0</v>
      </c>
      <c r="D13" s="29">
        <f t="shared" si="2"/>
        <v>0</v>
      </c>
      <c r="E13" s="29"/>
      <c r="F13" s="29"/>
      <c r="G13" s="29"/>
      <c r="H13" s="30">
        <f t="shared" si="3"/>
        <v>0</v>
      </c>
      <c r="I13" s="31">
        <f>SUM($D$3:D13)-SUM($G$3:G13)</f>
        <v>0</v>
      </c>
      <c r="K13" s="28">
        <v>45302</v>
      </c>
      <c r="L13" s="29">
        <f t="shared" si="4"/>
        <v>0</v>
      </c>
      <c r="M13" s="29">
        <f t="shared" si="5"/>
        <v>0</v>
      </c>
      <c r="N13" s="29">
        <f t="shared" si="6"/>
        <v>0</v>
      </c>
      <c r="O13" s="29"/>
      <c r="P13" s="29"/>
      <c r="Q13" s="29"/>
      <c r="R13" s="30">
        <f t="shared" si="7"/>
        <v>0</v>
      </c>
      <c r="S13" s="31">
        <f>SUM($D$3:N13)-SUM($G$3:Q13)</f>
        <v>0</v>
      </c>
    </row>
    <row r="14" spans="1:19" x14ac:dyDescent="0.35">
      <c r="A14" s="28">
        <v>45303</v>
      </c>
      <c r="B14" s="29">
        <f t="shared" si="0"/>
        <v>0</v>
      </c>
      <c r="C14" s="29">
        <f t="shared" si="1"/>
        <v>0</v>
      </c>
      <c r="D14" s="29">
        <f t="shared" si="2"/>
        <v>0</v>
      </c>
      <c r="E14" s="29"/>
      <c r="F14" s="29"/>
      <c r="G14" s="29"/>
      <c r="H14" s="30">
        <f t="shared" si="3"/>
        <v>0</v>
      </c>
      <c r="I14" s="31">
        <f>SUM($D$3:D14)-SUM($G$3:G14)</f>
        <v>0</v>
      </c>
      <c r="K14" s="28">
        <v>45303</v>
      </c>
      <c r="L14" s="29">
        <f t="shared" si="4"/>
        <v>0</v>
      </c>
      <c r="M14" s="29">
        <f t="shared" si="5"/>
        <v>0</v>
      </c>
      <c r="N14" s="29">
        <f t="shared" si="6"/>
        <v>0</v>
      </c>
      <c r="O14" s="29"/>
      <c r="P14" s="29"/>
      <c r="Q14" s="29"/>
      <c r="R14" s="30">
        <f t="shared" si="7"/>
        <v>0</v>
      </c>
      <c r="S14" s="31">
        <f>SUM($D$3:N14)-SUM($G$3:Q14)</f>
        <v>0</v>
      </c>
    </row>
    <row r="15" spans="1:19" x14ac:dyDescent="0.35">
      <c r="A15" s="28">
        <v>45304</v>
      </c>
      <c r="B15" s="29">
        <f t="shared" si="0"/>
        <v>0</v>
      </c>
      <c r="C15" s="29">
        <f t="shared" si="1"/>
        <v>0</v>
      </c>
      <c r="D15" s="29">
        <f t="shared" si="2"/>
        <v>0</v>
      </c>
      <c r="E15" s="29"/>
      <c r="F15" s="29"/>
      <c r="G15" s="29"/>
      <c r="H15" s="30">
        <f t="shared" si="3"/>
        <v>0</v>
      </c>
      <c r="I15" s="31">
        <f>SUM($D$3:D15)-SUM($G$3:G15)</f>
        <v>0</v>
      </c>
      <c r="K15" s="28">
        <v>45304</v>
      </c>
      <c r="L15" s="29">
        <f t="shared" si="4"/>
        <v>0</v>
      </c>
      <c r="M15" s="29">
        <f t="shared" si="5"/>
        <v>0</v>
      </c>
      <c r="N15" s="29">
        <f t="shared" si="6"/>
        <v>0</v>
      </c>
      <c r="O15" s="29"/>
      <c r="P15" s="29"/>
      <c r="Q15" s="29"/>
      <c r="R15" s="30">
        <f t="shared" si="7"/>
        <v>0</v>
      </c>
      <c r="S15" s="31">
        <f>SUM($D$3:N15)-SUM($G$3:Q15)</f>
        <v>0</v>
      </c>
    </row>
    <row r="16" spans="1:19" x14ac:dyDescent="0.35">
      <c r="A16" s="28">
        <v>45305</v>
      </c>
      <c r="B16" s="29">
        <f t="shared" si="0"/>
        <v>0</v>
      </c>
      <c r="C16" s="29">
        <f t="shared" si="1"/>
        <v>0</v>
      </c>
      <c r="D16" s="29">
        <f t="shared" si="2"/>
        <v>0</v>
      </c>
      <c r="E16" s="29"/>
      <c r="F16" s="29"/>
      <c r="G16" s="29"/>
      <c r="H16" s="30">
        <f t="shared" si="3"/>
        <v>0</v>
      </c>
      <c r="I16" s="31">
        <f>SUM($D$3:D16)-SUM($G$3:G16)</f>
        <v>0</v>
      </c>
      <c r="K16" s="28">
        <v>45305</v>
      </c>
      <c r="L16" s="29">
        <f t="shared" si="4"/>
        <v>0</v>
      </c>
      <c r="M16" s="29">
        <f t="shared" si="5"/>
        <v>0</v>
      </c>
      <c r="N16" s="29">
        <f t="shared" si="6"/>
        <v>0</v>
      </c>
      <c r="O16" s="29"/>
      <c r="P16" s="29"/>
      <c r="Q16" s="29"/>
      <c r="R16" s="30">
        <f t="shared" si="7"/>
        <v>0</v>
      </c>
      <c r="S16" s="31">
        <f>SUM($D$3:N16)-SUM($G$3:Q16)</f>
        <v>0</v>
      </c>
    </row>
    <row r="17" spans="1:19" x14ac:dyDescent="0.35">
      <c r="A17" s="28">
        <v>45306</v>
      </c>
      <c r="B17" s="29">
        <f t="shared" si="0"/>
        <v>0</v>
      </c>
      <c r="C17" s="29">
        <f t="shared" si="1"/>
        <v>0</v>
      </c>
      <c r="D17" s="29">
        <f t="shared" si="2"/>
        <v>0</v>
      </c>
      <c r="E17" s="29"/>
      <c r="F17" s="29"/>
      <c r="G17" s="29"/>
      <c r="H17" s="30">
        <f t="shared" si="3"/>
        <v>0</v>
      </c>
      <c r="I17" s="31">
        <f>SUM($D$3:D17)-SUM($G$3:G17)</f>
        <v>0</v>
      </c>
      <c r="K17" s="28">
        <v>45306</v>
      </c>
      <c r="L17" s="29">
        <f t="shared" si="4"/>
        <v>0</v>
      </c>
      <c r="M17" s="29">
        <f t="shared" si="5"/>
        <v>0</v>
      </c>
      <c r="N17" s="29">
        <f t="shared" si="6"/>
        <v>0</v>
      </c>
      <c r="O17" s="29"/>
      <c r="P17" s="29"/>
      <c r="Q17" s="29"/>
      <c r="R17" s="30">
        <f t="shared" si="7"/>
        <v>0</v>
      </c>
      <c r="S17" s="31">
        <f>SUM($D$3:N17)-SUM($G$3:Q17)</f>
        <v>0</v>
      </c>
    </row>
    <row r="18" spans="1:19" x14ac:dyDescent="0.35">
      <c r="A18" s="28">
        <v>45307</v>
      </c>
      <c r="B18" s="29">
        <f t="shared" si="0"/>
        <v>0</v>
      </c>
      <c r="C18" s="29">
        <f t="shared" si="1"/>
        <v>0</v>
      </c>
      <c r="D18" s="29">
        <f t="shared" si="2"/>
        <v>0</v>
      </c>
      <c r="E18" s="29"/>
      <c r="F18" s="29"/>
      <c r="G18" s="29"/>
      <c r="H18" s="30">
        <f t="shared" si="3"/>
        <v>0</v>
      </c>
      <c r="I18" s="31">
        <f>SUM($D$3:D18)-SUM($G$3:G18)</f>
        <v>0</v>
      </c>
      <c r="K18" s="28">
        <v>45307</v>
      </c>
      <c r="L18" s="29">
        <f t="shared" si="4"/>
        <v>0</v>
      </c>
      <c r="M18" s="29">
        <f t="shared" si="5"/>
        <v>0</v>
      </c>
      <c r="N18" s="29">
        <f t="shared" si="6"/>
        <v>0</v>
      </c>
      <c r="O18" s="29"/>
      <c r="P18" s="29"/>
      <c r="Q18" s="29"/>
      <c r="R18" s="30">
        <f t="shared" si="7"/>
        <v>0</v>
      </c>
      <c r="S18" s="31">
        <f>SUM($D$3:N18)-SUM($G$3:Q18)</f>
        <v>0</v>
      </c>
    </row>
    <row r="19" spans="1:19" x14ac:dyDescent="0.35">
      <c r="A19" s="28">
        <v>45308</v>
      </c>
      <c r="B19" s="29">
        <f t="shared" si="0"/>
        <v>0</v>
      </c>
      <c r="C19" s="29">
        <f t="shared" si="1"/>
        <v>0</v>
      </c>
      <c r="D19" s="29">
        <f t="shared" si="2"/>
        <v>0</v>
      </c>
      <c r="E19" s="29"/>
      <c r="F19" s="29"/>
      <c r="G19" s="29"/>
      <c r="H19" s="30">
        <f t="shared" si="3"/>
        <v>0</v>
      </c>
      <c r="I19" s="31">
        <f>SUM($D$3:D19)-SUM($G$3:G19)</f>
        <v>0</v>
      </c>
      <c r="K19" s="28">
        <v>45308</v>
      </c>
      <c r="L19" s="29">
        <f t="shared" si="4"/>
        <v>0</v>
      </c>
      <c r="M19" s="29">
        <f t="shared" si="5"/>
        <v>0</v>
      </c>
      <c r="N19" s="29">
        <f t="shared" si="6"/>
        <v>0</v>
      </c>
      <c r="O19" s="29"/>
      <c r="P19" s="29"/>
      <c r="Q19" s="29"/>
      <c r="R19" s="30">
        <f t="shared" si="7"/>
        <v>0</v>
      </c>
      <c r="S19" s="31">
        <f>SUM($D$3:N19)-SUM($G$3:Q19)</f>
        <v>0</v>
      </c>
    </row>
    <row r="20" spans="1:19" x14ac:dyDescent="0.35">
      <c r="A20" s="28">
        <v>45309</v>
      </c>
      <c r="B20" s="29">
        <f t="shared" si="0"/>
        <v>0</v>
      </c>
      <c r="C20" s="29">
        <f t="shared" si="1"/>
        <v>0</v>
      </c>
      <c r="D20" s="29">
        <f t="shared" si="2"/>
        <v>0</v>
      </c>
      <c r="E20" s="29"/>
      <c r="F20" s="29"/>
      <c r="G20" s="29"/>
      <c r="H20" s="30">
        <f t="shared" si="3"/>
        <v>0</v>
      </c>
      <c r="I20" s="31">
        <f>SUM($D$3:D20)-SUM($G$3:G20)</f>
        <v>0</v>
      </c>
      <c r="K20" s="28">
        <v>45309</v>
      </c>
      <c r="L20" s="29">
        <f t="shared" si="4"/>
        <v>0</v>
      </c>
      <c r="M20" s="29">
        <f t="shared" si="5"/>
        <v>0</v>
      </c>
      <c r="N20" s="29">
        <f t="shared" si="6"/>
        <v>0</v>
      </c>
      <c r="O20" s="29"/>
      <c r="P20" s="29"/>
      <c r="Q20" s="29"/>
      <c r="R20" s="30">
        <f t="shared" si="7"/>
        <v>0</v>
      </c>
      <c r="S20" s="31">
        <f>SUM($D$3:N20)-SUM($G$3:Q20)</f>
        <v>0</v>
      </c>
    </row>
    <row r="21" spans="1:19" x14ac:dyDescent="0.35">
      <c r="A21" s="28">
        <v>45310</v>
      </c>
      <c r="B21" s="29">
        <f t="shared" si="0"/>
        <v>0</v>
      </c>
      <c r="C21" s="29">
        <f t="shared" si="1"/>
        <v>0</v>
      </c>
      <c r="D21" s="29">
        <f t="shared" si="2"/>
        <v>0</v>
      </c>
      <c r="E21" s="29"/>
      <c r="F21" s="29"/>
      <c r="G21" s="29"/>
      <c r="H21" s="30">
        <f t="shared" si="3"/>
        <v>0</v>
      </c>
      <c r="I21" s="31">
        <f>SUM($D$3:D21)-SUM($G$3:G21)</f>
        <v>0</v>
      </c>
      <c r="K21" s="28">
        <v>45310</v>
      </c>
      <c r="L21" s="29">
        <f t="shared" si="4"/>
        <v>0</v>
      </c>
      <c r="M21" s="29">
        <f t="shared" si="5"/>
        <v>0</v>
      </c>
      <c r="N21" s="29">
        <f t="shared" si="6"/>
        <v>0</v>
      </c>
      <c r="O21" s="29"/>
      <c r="P21" s="29"/>
      <c r="Q21" s="29"/>
      <c r="R21" s="30">
        <f t="shared" si="7"/>
        <v>0</v>
      </c>
      <c r="S21" s="31">
        <f>SUM($D$3:N21)-SUM($G$3:Q21)</f>
        <v>0</v>
      </c>
    </row>
    <row r="22" spans="1:19" x14ac:dyDescent="0.35">
      <c r="A22" s="28">
        <v>45311</v>
      </c>
      <c r="B22" s="29">
        <f t="shared" si="0"/>
        <v>0</v>
      </c>
      <c r="C22" s="29">
        <f t="shared" si="1"/>
        <v>0</v>
      </c>
      <c r="D22" s="29">
        <f t="shared" si="2"/>
        <v>0</v>
      </c>
      <c r="E22" s="29"/>
      <c r="F22" s="29"/>
      <c r="G22" s="29"/>
      <c r="H22" s="30">
        <f t="shared" si="3"/>
        <v>0</v>
      </c>
      <c r="I22" s="31">
        <f>SUM($D$3:D22)-SUM($G$3:G22)</f>
        <v>0</v>
      </c>
      <c r="K22" s="28">
        <v>45311</v>
      </c>
      <c r="L22" s="29">
        <f t="shared" si="4"/>
        <v>0</v>
      </c>
      <c r="M22" s="29">
        <f t="shared" si="5"/>
        <v>0</v>
      </c>
      <c r="N22" s="29">
        <f t="shared" si="6"/>
        <v>0</v>
      </c>
      <c r="O22" s="29"/>
      <c r="P22" s="29"/>
      <c r="Q22" s="29"/>
      <c r="R22" s="30">
        <f t="shared" si="7"/>
        <v>0</v>
      </c>
      <c r="S22" s="31">
        <f>SUM($D$3:N22)-SUM($G$3:Q22)</f>
        <v>0</v>
      </c>
    </row>
    <row r="23" spans="1:19" x14ac:dyDescent="0.35">
      <c r="A23" s="28">
        <v>45312</v>
      </c>
      <c r="B23" s="29">
        <f t="shared" si="0"/>
        <v>0</v>
      </c>
      <c r="C23" s="29">
        <f t="shared" si="1"/>
        <v>0</v>
      </c>
      <c r="D23" s="29">
        <f t="shared" si="2"/>
        <v>0</v>
      </c>
      <c r="E23" s="29"/>
      <c r="F23" s="29"/>
      <c r="G23" s="29"/>
      <c r="H23" s="30">
        <f t="shared" si="3"/>
        <v>0</v>
      </c>
      <c r="I23" s="31">
        <f>SUM($D$3:D23)-SUM($G$3:G23)</f>
        <v>0</v>
      </c>
      <c r="K23" s="28">
        <v>45312</v>
      </c>
      <c r="L23" s="29">
        <f t="shared" si="4"/>
        <v>0</v>
      </c>
      <c r="M23" s="29">
        <f t="shared" si="5"/>
        <v>0</v>
      </c>
      <c r="N23" s="29">
        <f t="shared" si="6"/>
        <v>0</v>
      </c>
      <c r="O23" s="29"/>
      <c r="P23" s="29"/>
      <c r="Q23" s="29"/>
      <c r="R23" s="30">
        <f t="shared" si="7"/>
        <v>0</v>
      </c>
      <c r="S23" s="31">
        <f>SUM($D$3:N23)-SUM($G$3:Q23)</f>
        <v>0</v>
      </c>
    </row>
    <row r="24" spans="1:19" x14ac:dyDescent="0.35">
      <c r="A24" s="28">
        <v>45313</v>
      </c>
      <c r="B24" s="29">
        <f t="shared" si="0"/>
        <v>0</v>
      </c>
      <c r="C24" s="29">
        <f t="shared" si="1"/>
        <v>0</v>
      </c>
      <c r="D24" s="29">
        <f t="shared" si="2"/>
        <v>0</v>
      </c>
      <c r="E24" s="29"/>
      <c r="F24" s="29"/>
      <c r="G24" s="29"/>
      <c r="H24" s="30">
        <f t="shared" si="3"/>
        <v>0</v>
      </c>
      <c r="I24" s="31">
        <f>SUM($D$3:D24)-SUM($G$3:G24)</f>
        <v>0</v>
      </c>
      <c r="K24" s="28">
        <v>45313</v>
      </c>
      <c r="L24" s="29">
        <f t="shared" si="4"/>
        <v>0</v>
      </c>
      <c r="M24" s="29">
        <f t="shared" si="5"/>
        <v>0</v>
      </c>
      <c r="N24" s="29">
        <f t="shared" si="6"/>
        <v>0</v>
      </c>
      <c r="O24" s="29"/>
      <c r="P24" s="29"/>
      <c r="Q24" s="29"/>
      <c r="R24" s="30">
        <f t="shared" si="7"/>
        <v>0</v>
      </c>
      <c r="S24" s="31">
        <f>SUM($D$3:N24)-SUM($G$3:Q24)</f>
        <v>0</v>
      </c>
    </row>
    <row r="25" spans="1:19" x14ac:dyDescent="0.35">
      <c r="A25" s="28">
        <v>45314</v>
      </c>
      <c r="B25" s="29">
        <f t="shared" si="0"/>
        <v>0</v>
      </c>
      <c r="C25" s="29">
        <f t="shared" si="1"/>
        <v>0</v>
      </c>
      <c r="D25" s="29">
        <f t="shared" si="2"/>
        <v>0</v>
      </c>
      <c r="E25" s="29"/>
      <c r="F25" s="29"/>
      <c r="G25" s="29"/>
      <c r="H25" s="30">
        <f t="shared" si="3"/>
        <v>0</v>
      </c>
      <c r="I25" s="31">
        <f>SUM($D$3:D25)-SUM($G$3:G25)</f>
        <v>0</v>
      </c>
      <c r="K25" s="28">
        <v>45314</v>
      </c>
      <c r="L25" s="29">
        <f t="shared" si="4"/>
        <v>0</v>
      </c>
      <c r="M25" s="29">
        <f t="shared" si="5"/>
        <v>0</v>
      </c>
      <c r="N25" s="29">
        <f t="shared" si="6"/>
        <v>0</v>
      </c>
      <c r="O25" s="29"/>
      <c r="P25" s="29"/>
      <c r="Q25" s="29"/>
      <c r="R25" s="30">
        <f t="shared" si="7"/>
        <v>0</v>
      </c>
      <c r="S25" s="31">
        <f>SUM($D$3:N25)-SUM($G$3:Q25)</f>
        <v>0</v>
      </c>
    </row>
    <row r="26" spans="1:19" x14ac:dyDescent="0.35">
      <c r="A26" s="28">
        <v>45315</v>
      </c>
      <c r="B26" s="29">
        <f t="shared" si="0"/>
        <v>0</v>
      </c>
      <c r="C26" s="29">
        <f t="shared" si="1"/>
        <v>0</v>
      </c>
      <c r="D26" s="29">
        <f t="shared" si="2"/>
        <v>0</v>
      </c>
      <c r="E26" s="29"/>
      <c r="F26" s="29"/>
      <c r="G26" s="29"/>
      <c r="H26" s="30">
        <f t="shared" si="3"/>
        <v>0</v>
      </c>
      <c r="I26" s="31">
        <f>SUM($D$3:D26)-SUM($G$3:G26)</f>
        <v>0</v>
      </c>
      <c r="K26" s="28">
        <v>45315</v>
      </c>
      <c r="L26" s="29">
        <f t="shared" si="4"/>
        <v>0</v>
      </c>
      <c r="M26" s="29">
        <f t="shared" si="5"/>
        <v>0</v>
      </c>
      <c r="N26" s="29">
        <f t="shared" si="6"/>
        <v>0</v>
      </c>
      <c r="O26" s="29"/>
      <c r="P26" s="29"/>
      <c r="Q26" s="29"/>
      <c r="R26" s="30">
        <f t="shared" si="7"/>
        <v>0</v>
      </c>
      <c r="S26" s="31">
        <f>SUM($D$3:N26)-SUM($G$3:Q26)</f>
        <v>0</v>
      </c>
    </row>
    <row r="27" spans="1:19" x14ac:dyDescent="0.35">
      <c r="A27" s="28">
        <v>45316</v>
      </c>
      <c r="B27" s="29">
        <f t="shared" si="0"/>
        <v>0</v>
      </c>
      <c r="C27" s="29">
        <f t="shared" si="1"/>
        <v>0</v>
      </c>
      <c r="D27" s="29">
        <f t="shared" si="2"/>
        <v>0</v>
      </c>
      <c r="E27" s="29"/>
      <c r="F27" s="29"/>
      <c r="G27" s="29"/>
      <c r="H27" s="30">
        <f t="shared" si="3"/>
        <v>0</v>
      </c>
      <c r="I27" s="31">
        <f>SUM($D$3:D27)-SUM($G$3:G27)</f>
        <v>0</v>
      </c>
      <c r="K27" s="28">
        <v>45316</v>
      </c>
      <c r="L27" s="29">
        <f t="shared" si="4"/>
        <v>0</v>
      </c>
      <c r="M27" s="29">
        <f t="shared" si="5"/>
        <v>0</v>
      </c>
      <c r="N27" s="29">
        <f t="shared" si="6"/>
        <v>0</v>
      </c>
      <c r="O27" s="29"/>
      <c r="P27" s="29"/>
      <c r="Q27" s="29"/>
      <c r="R27" s="30">
        <f t="shared" si="7"/>
        <v>0</v>
      </c>
      <c r="S27" s="31">
        <f>SUM($D$3:N27)-SUM($G$3:Q27)</f>
        <v>0</v>
      </c>
    </row>
    <row r="28" spans="1:19" x14ac:dyDescent="0.35">
      <c r="A28" s="28">
        <v>45317</v>
      </c>
      <c r="B28" s="29">
        <f t="shared" si="0"/>
        <v>0</v>
      </c>
      <c r="C28" s="29">
        <f t="shared" si="1"/>
        <v>0</v>
      </c>
      <c r="D28" s="29">
        <f t="shared" si="2"/>
        <v>0</v>
      </c>
      <c r="E28" s="29"/>
      <c r="F28" s="29"/>
      <c r="G28" s="29"/>
      <c r="H28" s="30">
        <f t="shared" si="3"/>
        <v>0</v>
      </c>
      <c r="I28" s="31">
        <f>SUM($D$3:D28)-SUM($G$3:G28)</f>
        <v>0</v>
      </c>
      <c r="K28" s="28">
        <v>45317</v>
      </c>
      <c r="L28" s="29">
        <f t="shared" si="4"/>
        <v>0</v>
      </c>
      <c r="M28" s="29">
        <f t="shared" si="5"/>
        <v>0</v>
      </c>
      <c r="N28" s="29">
        <f t="shared" si="6"/>
        <v>0</v>
      </c>
      <c r="O28" s="29"/>
      <c r="P28" s="29"/>
      <c r="Q28" s="29"/>
      <c r="R28" s="30">
        <f t="shared" si="7"/>
        <v>0</v>
      </c>
      <c r="S28" s="31">
        <f>SUM($D$3:N28)-SUM($G$3:Q28)</f>
        <v>0</v>
      </c>
    </row>
    <row r="29" spans="1:19" x14ac:dyDescent="0.35">
      <c r="A29" s="28">
        <v>45318</v>
      </c>
      <c r="B29" s="29">
        <f t="shared" si="0"/>
        <v>0</v>
      </c>
      <c r="C29" s="29">
        <f t="shared" si="1"/>
        <v>0</v>
      </c>
      <c r="D29" s="29">
        <f t="shared" si="2"/>
        <v>0</v>
      </c>
      <c r="E29" s="29"/>
      <c r="F29" s="29"/>
      <c r="G29" s="29"/>
      <c r="H29" s="30">
        <f t="shared" si="3"/>
        <v>0</v>
      </c>
      <c r="I29" s="31">
        <f>SUM($D$3:D29)-SUM($G$3:G29)</f>
        <v>0</v>
      </c>
      <c r="K29" s="28">
        <v>45318</v>
      </c>
      <c r="L29" s="29">
        <f t="shared" si="4"/>
        <v>0</v>
      </c>
      <c r="M29" s="29">
        <f t="shared" si="5"/>
        <v>0</v>
      </c>
      <c r="N29" s="29">
        <f t="shared" si="6"/>
        <v>0</v>
      </c>
      <c r="O29" s="29"/>
      <c r="P29" s="29"/>
      <c r="Q29" s="29"/>
      <c r="R29" s="30">
        <f t="shared" si="7"/>
        <v>0</v>
      </c>
      <c r="S29" s="31">
        <f>SUM($D$3:N29)-SUM($G$3:Q29)</f>
        <v>0</v>
      </c>
    </row>
    <row r="30" spans="1:19" x14ac:dyDescent="0.35">
      <c r="A30" s="28">
        <v>45319</v>
      </c>
      <c r="B30" s="29">
        <f t="shared" si="0"/>
        <v>0</v>
      </c>
      <c r="C30" s="29">
        <f t="shared" si="1"/>
        <v>0</v>
      </c>
      <c r="D30" s="29">
        <f t="shared" si="2"/>
        <v>0</v>
      </c>
      <c r="E30" s="29"/>
      <c r="F30" s="29"/>
      <c r="G30" s="29"/>
      <c r="H30" s="30">
        <f t="shared" si="3"/>
        <v>0</v>
      </c>
      <c r="I30" s="31">
        <f>SUM($D$3:D30)-SUM($G$3:G30)</f>
        <v>0</v>
      </c>
      <c r="K30" s="28">
        <v>45319</v>
      </c>
      <c r="L30" s="29">
        <f t="shared" si="4"/>
        <v>0</v>
      </c>
      <c r="M30" s="29">
        <f t="shared" si="5"/>
        <v>0</v>
      </c>
      <c r="N30" s="29">
        <f t="shared" si="6"/>
        <v>0</v>
      </c>
      <c r="O30" s="29"/>
      <c r="P30" s="29"/>
      <c r="Q30" s="29"/>
      <c r="R30" s="30">
        <f t="shared" si="7"/>
        <v>0</v>
      </c>
      <c r="S30" s="31">
        <f>SUM($D$3:N30)-SUM($G$3:Q30)</f>
        <v>0</v>
      </c>
    </row>
    <row r="31" spans="1:19" x14ac:dyDescent="0.35">
      <c r="A31" s="28">
        <v>45320</v>
      </c>
      <c r="B31" s="29">
        <f t="shared" si="0"/>
        <v>0</v>
      </c>
      <c r="C31" s="29">
        <f t="shared" si="1"/>
        <v>0</v>
      </c>
      <c r="D31" s="29">
        <f t="shared" si="2"/>
        <v>0</v>
      </c>
      <c r="E31" s="29"/>
      <c r="F31" s="29"/>
      <c r="G31" s="29"/>
      <c r="H31" s="30">
        <f t="shared" si="3"/>
        <v>0</v>
      </c>
      <c r="I31" s="31">
        <f>SUM($D$3:D31)-SUM($G$3:G31)</f>
        <v>0</v>
      </c>
      <c r="K31" s="28">
        <v>45320</v>
      </c>
      <c r="L31" s="29">
        <f t="shared" si="4"/>
        <v>0</v>
      </c>
      <c r="M31" s="29">
        <f t="shared" si="5"/>
        <v>0</v>
      </c>
      <c r="N31" s="29">
        <f t="shared" si="6"/>
        <v>0</v>
      </c>
      <c r="O31" s="29"/>
      <c r="P31" s="29"/>
      <c r="Q31" s="29"/>
      <c r="R31" s="30">
        <f t="shared" si="7"/>
        <v>0</v>
      </c>
      <c r="S31" s="31">
        <f>SUM($D$3:N31)-SUM($G$3:Q31)</f>
        <v>0</v>
      </c>
    </row>
    <row r="32" spans="1:19" x14ac:dyDescent="0.35">
      <c r="A32" s="28">
        <v>45321</v>
      </c>
      <c r="B32" s="29">
        <f t="shared" si="0"/>
        <v>0</v>
      </c>
      <c r="C32" s="29">
        <f t="shared" si="1"/>
        <v>0</v>
      </c>
      <c r="D32" s="29">
        <f t="shared" si="2"/>
        <v>0</v>
      </c>
      <c r="E32" s="29"/>
      <c r="F32" s="29"/>
      <c r="G32" s="29"/>
      <c r="H32" s="30">
        <f t="shared" si="3"/>
        <v>0</v>
      </c>
      <c r="I32" s="31">
        <f>SUM($D$3:D32)-SUM($G$3:G32)</f>
        <v>0</v>
      </c>
      <c r="K32" s="28">
        <v>45321</v>
      </c>
      <c r="L32" s="29">
        <f t="shared" si="4"/>
        <v>0</v>
      </c>
      <c r="M32" s="29">
        <f t="shared" si="5"/>
        <v>0</v>
      </c>
      <c r="N32" s="29">
        <f t="shared" si="6"/>
        <v>0</v>
      </c>
      <c r="O32" s="29"/>
      <c r="P32" s="29"/>
      <c r="Q32" s="29"/>
      <c r="R32" s="30">
        <f t="shared" si="7"/>
        <v>0</v>
      </c>
      <c r="S32" s="31">
        <f>SUM($D$3:N32)-SUM($G$3:Q32)</f>
        <v>0</v>
      </c>
    </row>
    <row r="33" spans="1:19" x14ac:dyDescent="0.35">
      <c r="A33" s="28">
        <v>45322</v>
      </c>
      <c r="B33" s="29">
        <f t="shared" si="0"/>
        <v>0</v>
      </c>
      <c r="C33" s="29">
        <f t="shared" si="1"/>
        <v>0</v>
      </c>
      <c r="D33" s="29">
        <f t="shared" si="2"/>
        <v>0</v>
      </c>
      <c r="E33" s="32"/>
      <c r="F33" s="32"/>
      <c r="G33" s="32"/>
      <c r="H33" s="30">
        <f t="shared" si="3"/>
        <v>0</v>
      </c>
      <c r="I33" s="31">
        <f>SUM($D$3:D33)-SUM($G$3:G33)</f>
        <v>0</v>
      </c>
      <c r="K33" s="28">
        <v>45322</v>
      </c>
      <c r="L33" s="29">
        <f t="shared" si="4"/>
        <v>0</v>
      </c>
      <c r="M33" s="29">
        <f t="shared" si="5"/>
        <v>0</v>
      </c>
      <c r="N33" s="29">
        <f t="shared" si="6"/>
        <v>0</v>
      </c>
      <c r="O33" s="32"/>
      <c r="P33" s="32"/>
      <c r="Q33" s="32"/>
      <c r="R33" s="30">
        <f t="shared" si="7"/>
        <v>0</v>
      </c>
      <c r="S33" s="31">
        <f>SUM($D$3:N33)-SUM($G$3:Q33)</f>
        <v>0</v>
      </c>
    </row>
    <row r="34" spans="1:19" ht="15" thickBot="1" x14ac:dyDescent="0.4">
      <c r="A34" s="33" t="s">
        <v>33</v>
      </c>
      <c r="B34" s="34">
        <f t="shared" ref="B34:I34" si="8">SUM(B5:B33)</f>
        <v>0</v>
      </c>
      <c r="C34" s="34">
        <f t="shared" si="8"/>
        <v>0</v>
      </c>
      <c r="D34" s="34">
        <f t="shared" si="8"/>
        <v>0</v>
      </c>
      <c r="E34" s="34">
        <f t="shared" si="8"/>
        <v>0</v>
      </c>
      <c r="F34" s="34">
        <f t="shared" si="8"/>
        <v>0</v>
      </c>
      <c r="G34" s="34">
        <f t="shared" si="8"/>
        <v>0</v>
      </c>
      <c r="H34" s="34">
        <f t="shared" si="8"/>
        <v>0</v>
      </c>
      <c r="I34" s="34">
        <f t="shared" si="8"/>
        <v>0</v>
      </c>
    </row>
  </sheetData>
  <mergeCells count="2">
    <mergeCell ref="A1:I1"/>
    <mergeCell ref="K1:S1"/>
  </mergeCells>
  <conditionalFormatting sqref="A2:H2">
    <cfRule type="dataBar" priority="4">
      <dataBar>
        <cfvo type="min"/>
        <cfvo type="max"/>
        <color rgb="FF638EC6"/>
      </dataBar>
    </cfRule>
  </conditionalFormatting>
  <conditionalFormatting sqref="H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R2">
    <cfRule type="dataBar" priority="2">
      <dataBar>
        <cfvo type="min"/>
        <cfvo type="max"/>
        <color rgb="FF638EC6"/>
      </dataBar>
    </cfRule>
  </conditionalFormatting>
  <conditionalFormatting sqref="R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79D7B-BD5E-4D8C-94D0-D83AF0790278}">
  <dimension ref="A1:P115"/>
  <sheetViews>
    <sheetView workbookViewId="0"/>
  </sheetViews>
  <sheetFormatPr defaultRowHeight="14.5" x14ac:dyDescent="0.35"/>
  <cols>
    <col min="1" max="1" width="14.26953125" bestFit="1" customWidth="1"/>
    <col min="2" max="2" width="15.6328125" bestFit="1" customWidth="1"/>
    <col min="6" max="6" width="13" bestFit="1" customWidth="1"/>
    <col min="9" max="9" width="14.26953125" bestFit="1" customWidth="1"/>
    <col min="10" max="10" width="8.90625" bestFit="1" customWidth="1"/>
    <col min="11" max="11" width="10.26953125" bestFit="1" customWidth="1"/>
    <col min="12" max="12" width="10.08984375" bestFit="1" customWidth="1"/>
    <col min="13" max="13" width="15.6328125" bestFit="1" customWidth="1"/>
    <col min="14" max="14" width="3.81640625" bestFit="1" customWidth="1"/>
    <col min="15" max="15" width="8.81640625" bestFit="1" customWidth="1"/>
    <col min="17" max="17" width="10.08984375" bestFit="1" customWidth="1"/>
    <col min="18" max="18" width="6.7265625" bestFit="1" customWidth="1"/>
    <col min="19" max="19" width="10.7265625" bestFit="1" customWidth="1"/>
  </cols>
  <sheetData>
    <row r="1" spans="1:16" x14ac:dyDescent="0.35">
      <c r="A1" s="36" t="s">
        <v>73</v>
      </c>
      <c r="B1" s="36" t="s">
        <v>83</v>
      </c>
      <c r="C1" s="36" t="s">
        <v>84</v>
      </c>
      <c r="D1" s="36" t="s">
        <v>85</v>
      </c>
      <c r="E1" s="36" t="s">
        <v>33</v>
      </c>
      <c r="F1" s="36" t="s">
        <v>97</v>
      </c>
      <c r="G1" s="36" t="s">
        <v>74</v>
      </c>
      <c r="M1" t="s">
        <v>95</v>
      </c>
      <c r="N1">
        <f>ROUND(O1+P1,2)</f>
        <v>5.27</v>
      </c>
      <c r="O1">
        <f>81/64</f>
        <v>1.265625</v>
      </c>
      <c r="P1">
        <v>4</v>
      </c>
    </row>
    <row r="2" spans="1:16" x14ac:dyDescent="0.35">
      <c r="A2" s="37">
        <v>45292</v>
      </c>
      <c r="B2" s="3" t="s">
        <v>95</v>
      </c>
      <c r="C2" s="3">
        <v>120</v>
      </c>
      <c r="D2" s="3">
        <v>6</v>
      </c>
      <c r="E2" s="3">
        <f>D2*C2</f>
        <v>720</v>
      </c>
      <c r="F2" s="3">
        <f t="shared" ref="F2:F27" si="0">VLOOKUP(B2,$M$1:$N$11,2,0)</f>
        <v>5.27</v>
      </c>
      <c r="G2" s="3">
        <f>E2-(C2*F2)</f>
        <v>87.600000000000023</v>
      </c>
      <c r="I2" s="38" t="s">
        <v>99</v>
      </c>
      <c r="J2" s="35" t="s">
        <v>100</v>
      </c>
      <c r="K2" s="35" t="s">
        <v>101</v>
      </c>
      <c r="M2" t="s">
        <v>86</v>
      </c>
      <c r="N2">
        <f t="shared" ref="N2:N11" si="1">ROUND(O2+P2,2)</f>
        <v>2.68</v>
      </c>
      <c r="O2">
        <f>81/120</f>
        <v>0.67500000000000004</v>
      </c>
      <c r="P2">
        <v>2</v>
      </c>
    </row>
    <row r="3" spans="1:16" x14ac:dyDescent="0.35">
      <c r="A3" s="37">
        <v>45292</v>
      </c>
      <c r="B3" s="3" t="s">
        <v>87</v>
      </c>
      <c r="C3" s="3">
        <v>800</v>
      </c>
      <c r="D3" s="3">
        <v>2</v>
      </c>
      <c r="E3" s="3">
        <f t="shared" ref="E3:E66" si="2">D3*C3</f>
        <v>1600</v>
      </c>
      <c r="F3" s="3">
        <f t="shared" si="0"/>
        <v>1.45</v>
      </c>
      <c r="G3" s="3">
        <f t="shared" ref="G3:G66" si="3">E3-(C3*F3)</f>
        <v>440</v>
      </c>
      <c r="I3" s="37">
        <v>45292</v>
      </c>
      <c r="J3" s="39">
        <v>2320</v>
      </c>
      <c r="K3" s="35">
        <v>527.6</v>
      </c>
      <c r="M3" t="s">
        <v>87</v>
      </c>
      <c r="N3">
        <f t="shared" si="1"/>
        <v>1.45</v>
      </c>
      <c r="O3">
        <f>(58+12)/200</f>
        <v>0.35</v>
      </c>
      <c r="P3">
        <v>1.1000000000000001</v>
      </c>
    </row>
    <row r="4" spans="1:16" x14ac:dyDescent="0.35">
      <c r="A4" s="37">
        <v>45293</v>
      </c>
      <c r="B4" s="3" t="s">
        <v>87</v>
      </c>
      <c r="C4" s="3">
        <v>200</v>
      </c>
      <c r="D4" s="3">
        <v>2</v>
      </c>
      <c r="E4" s="3">
        <f t="shared" si="2"/>
        <v>400</v>
      </c>
      <c r="F4" s="3">
        <f t="shared" si="0"/>
        <v>1.45</v>
      </c>
      <c r="G4" s="3">
        <f t="shared" si="3"/>
        <v>110</v>
      </c>
      <c r="I4" s="37">
        <v>45293</v>
      </c>
      <c r="J4" s="35">
        <v>16204</v>
      </c>
      <c r="K4" s="35">
        <v>3972.3600000000006</v>
      </c>
      <c r="M4" t="s">
        <v>88</v>
      </c>
      <c r="N4">
        <f t="shared" si="1"/>
        <v>1.45</v>
      </c>
      <c r="O4">
        <f>(58+12)/200</f>
        <v>0.35</v>
      </c>
      <c r="P4">
        <v>1.1000000000000001</v>
      </c>
    </row>
    <row r="5" spans="1:16" x14ac:dyDescent="0.35">
      <c r="A5" s="37">
        <v>45293</v>
      </c>
      <c r="B5" s="3" t="s">
        <v>87</v>
      </c>
      <c r="C5" s="3">
        <v>1000</v>
      </c>
      <c r="D5" s="3">
        <v>1.9</v>
      </c>
      <c r="E5" s="3">
        <f t="shared" si="2"/>
        <v>1900</v>
      </c>
      <c r="F5" s="3">
        <f t="shared" si="0"/>
        <v>1.45</v>
      </c>
      <c r="G5" s="3">
        <f t="shared" si="3"/>
        <v>450</v>
      </c>
      <c r="I5" s="37">
        <v>45294</v>
      </c>
      <c r="J5" s="35">
        <v>1940</v>
      </c>
      <c r="K5" s="35">
        <v>573.9</v>
      </c>
      <c r="M5" t="s">
        <v>89</v>
      </c>
      <c r="N5">
        <f t="shared" si="1"/>
        <v>1.56</v>
      </c>
      <c r="O5">
        <f>58/160</f>
        <v>0.36249999999999999</v>
      </c>
      <c r="P5">
        <v>1.2</v>
      </c>
    </row>
    <row r="6" spans="1:16" x14ac:dyDescent="0.35">
      <c r="A6" s="37">
        <v>45293</v>
      </c>
      <c r="B6" s="3" t="s">
        <v>87</v>
      </c>
      <c r="C6" s="3">
        <v>3000</v>
      </c>
      <c r="D6" s="3">
        <v>2</v>
      </c>
      <c r="E6" s="3">
        <f t="shared" si="2"/>
        <v>6000</v>
      </c>
      <c r="F6" s="3">
        <f t="shared" si="0"/>
        <v>1.45</v>
      </c>
      <c r="G6" s="3">
        <f t="shared" si="3"/>
        <v>1650</v>
      </c>
      <c r="I6" s="37">
        <v>45295</v>
      </c>
      <c r="J6" s="35">
        <v>25535.4</v>
      </c>
      <c r="K6" s="35">
        <v>4853.430000000003</v>
      </c>
      <c r="M6" t="s">
        <v>90</v>
      </c>
      <c r="N6">
        <f t="shared" si="1"/>
        <v>1.88</v>
      </c>
      <c r="O6">
        <f>58/100</f>
        <v>0.57999999999999996</v>
      </c>
      <c r="P6">
        <v>1.3</v>
      </c>
    </row>
    <row r="7" spans="1:16" x14ac:dyDescent="0.35">
      <c r="A7" s="37">
        <v>45293</v>
      </c>
      <c r="B7" s="3" t="s">
        <v>87</v>
      </c>
      <c r="C7" s="3">
        <v>2611</v>
      </c>
      <c r="D7" s="3">
        <v>2</v>
      </c>
      <c r="E7" s="3">
        <f t="shared" si="2"/>
        <v>5222</v>
      </c>
      <c r="F7" s="3">
        <f t="shared" si="0"/>
        <v>1.45</v>
      </c>
      <c r="G7" s="3">
        <f t="shared" si="3"/>
        <v>1436.0500000000002</v>
      </c>
      <c r="I7" s="37">
        <v>45296</v>
      </c>
      <c r="J7" s="35">
        <v>15431.2</v>
      </c>
      <c r="K7" s="35">
        <v>3346.9000000000015</v>
      </c>
      <c r="M7" t="s">
        <v>91</v>
      </c>
      <c r="N7">
        <f t="shared" si="1"/>
        <v>2.54</v>
      </c>
      <c r="O7">
        <f>58/90</f>
        <v>0.64444444444444449</v>
      </c>
      <c r="P7">
        <v>1.9</v>
      </c>
    </row>
    <row r="8" spans="1:16" x14ac:dyDescent="0.35">
      <c r="A8" s="37">
        <v>45293</v>
      </c>
      <c r="B8" s="3" t="s">
        <v>95</v>
      </c>
      <c r="C8" s="3">
        <v>255</v>
      </c>
      <c r="D8" s="3">
        <v>6</v>
      </c>
      <c r="E8" s="3">
        <f t="shared" si="2"/>
        <v>1530</v>
      </c>
      <c r="F8" s="3">
        <f t="shared" si="0"/>
        <v>5.27</v>
      </c>
      <c r="G8" s="3">
        <f t="shared" si="3"/>
        <v>186.15000000000009</v>
      </c>
      <c r="I8" s="37">
        <v>45297</v>
      </c>
      <c r="J8" s="35">
        <v>17870</v>
      </c>
      <c r="K8" s="35">
        <v>5119.7</v>
      </c>
      <c r="M8" t="s">
        <v>92</v>
      </c>
      <c r="N8">
        <f t="shared" si="1"/>
        <v>3.42</v>
      </c>
      <c r="O8">
        <f>58/63</f>
        <v>0.92063492063492058</v>
      </c>
      <c r="P8">
        <v>2.5</v>
      </c>
    </row>
    <row r="9" spans="1:16" x14ac:dyDescent="0.35">
      <c r="A9" s="37">
        <v>45293</v>
      </c>
      <c r="B9" s="3" t="s">
        <v>95</v>
      </c>
      <c r="C9" s="3">
        <v>192</v>
      </c>
      <c r="D9" s="3">
        <v>6</v>
      </c>
      <c r="E9" s="3">
        <f t="shared" si="2"/>
        <v>1152</v>
      </c>
      <c r="F9" s="3">
        <f t="shared" si="0"/>
        <v>5.27</v>
      </c>
      <c r="G9" s="3">
        <f t="shared" si="3"/>
        <v>140.16000000000008</v>
      </c>
      <c r="I9" s="37">
        <v>45298</v>
      </c>
      <c r="J9" s="35">
        <v>14500</v>
      </c>
      <c r="K9" s="35">
        <v>3576.1</v>
      </c>
      <c r="M9" t="s">
        <v>93</v>
      </c>
      <c r="N9">
        <f t="shared" si="1"/>
        <v>1.52</v>
      </c>
      <c r="O9">
        <f>58/180</f>
        <v>0.32222222222222224</v>
      </c>
      <c r="P9">
        <v>1.2</v>
      </c>
    </row>
    <row r="10" spans="1:16" x14ac:dyDescent="0.35">
      <c r="A10" s="37">
        <v>45294</v>
      </c>
      <c r="B10" s="3" t="s">
        <v>89</v>
      </c>
      <c r="C10" s="3">
        <v>160</v>
      </c>
      <c r="D10" s="3">
        <v>2.5</v>
      </c>
      <c r="E10" s="3">
        <f t="shared" si="2"/>
        <v>400</v>
      </c>
      <c r="F10" s="3">
        <f t="shared" si="0"/>
        <v>1.56</v>
      </c>
      <c r="G10" s="3">
        <f t="shared" si="3"/>
        <v>150.39999999999998</v>
      </c>
      <c r="I10" s="37">
        <v>45299</v>
      </c>
      <c r="J10" s="35">
        <v>1900</v>
      </c>
      <c r="K10" s="35">
        <v>450</v>
      </c>
      <c r="M10" t="s">
        <v>94</v>
      </c>
      <c r="N10">
        <f t="shared" si="1"/>
        <v>2.64</v>
      </c>
      <c r="O10">
        <f>58/90</f>
        <v>0.64444444444444449</v>
      </c>
      <c r="P10">
        <v>2</v>
      </c>
    </row>
    <row r="11" spans="1:16" x14ac:dyDescent="0.35">
      <c r="A11" s="37">
        <v>45294</v>
      </c>
      <c r="B11" s="3" t="s">
        <v>87</v>
      </c>
      <c r="C11" s="3">
        <v>570</v>
      </c>
      <c r="D11" s="3">
        <v>2</v>
      </c>
      <c r="E11" s="3">
        <f t="shared" si="2"/>
        <v>1140</v>
      </c>
      <c r="F11" s="3">
        <f t="shared" si="0"/>
        <v>1.45</v>
      </c>
      <c r="G11" s="3">
        <f t="shared" si="3"/>
        <v>313.5</v>
      </c>
      <c r="I11" s="40" t="s">
        <v>98</v>
      </c>
      <c r="J11" s="39">
        <v>95700.6</v>
      </c>
      <c r="K11" s="39">
        <v>22419.990000000005</v>
      </c>
      <c r="M11" t="s">
        <v>96</v>
      </c>
      <c r="N11">
        <f t="shared" si="1"/>
        <v>2.77</v>
      </c>
      <c r="O11">
        <f>58/75</f>
        <v>0.77333333333333332</v>
      </c>
      <c r="P11">
        <v>2</v>
      </c>
    </row>
    <row r="12" spans="1:16" x14ac:dyDescent="0.35">
      <c r="A12" s="37">
        <v>45294</v>
      </c>
      <c r="B12" s="3" t="s">
        <v>87</v>
      </c>
      <c r="C12" s="3">
        <v>200</v>
      </c>
      <c r="D12" s="3">
        <v>2</v>
      </c>
      <c r="E12" s="3">
        <f t="shared" si="2"/>
        <v>400</v>
      </c>
      <c r="F12" s="3">
        <f t="shared" si="0"/>
        <v>1.45</v>
      </c>
      <c r="G12" s="3">
        <f t="shared" si="3"/>
        <v>110</v>
      </c>
    </row>
    <row r="13" spans="1:16" x14ac:dyDescent="0.35">
      <c r="A13" s="37">
        <v>45295</v>
      </c>
      <c r="B13" s="3" t="s">
        <v>95</v>
      </c>
      <c r="C13" s="3">
        <v>64</v>
      </c>
      <c r="D13" s="3">
        <v>6</v>
      </c>
      <c r="E13" s="3">
        <f t="shared" si="2"/>
        <v>384</v>
      </c>
      <c r="F13" s="3">
        <f t="shared" si="0"/>
        <v>5.27</v>
      </c>
      <c r="G13" s="3">
        <f t="shared" si="3"/>
        <v>46.720000000000027</v>
      </c>
    </row>
    <row r="14" spans="1:16" x14ac:dyDescent="0.35">
      <c r="A14" s="37">
        <v>45295</v>
      </c>
      <c r="B14" s="3" t="s">
        <v>95</v>
      </c>
      <c r="C14" s="3">
        <v>192</v>
      </c>
      <c r="D14" s="3">
        <v>6</v>
      </c>
      <c r="E14" s="3">
        <f t="shared" si="2"/>
        <v>1152</v>
      </c>
      <c r="F14" s="3">
        <f t="shared" si="0"/>
        <v>5.27</v>
      </c>
      <c r="G14" s="3">
        <f t="shared" si="3"/>
        <v>140.16000000000008</v>
      </c>
      <c r="M14">
        <v>5460</v>
      </c>
      <c r="N14">
        <v>6</v>
      </c>
      <c r="O14">
        <f>M14/N14</f>
        <v>910</v>
      </c>
    </row>
    <row r="15" spans="1:16" x14ac:dyDescent="0.35">
      <c r="A15" s="37">
        <v>45295</v>
      </c>
      <c r="B15" s="3" t="s">
        <v>87</v>
      </c>
      <c r="C15" s="3">
        <v>13333</v>
      </c>
      <c r="D15" s="3">
        <v>1.8</v>
      </c>
      <c r="E15" s="3">
        <f t="shared" si="2"/>
        <v>23999.4</v>
      </c>
      <c r="F15" s="3">
        <f t="shared" si="0"/>
        <v>1.45</v>
      </c>
      <c r="G15" s="3">
        <f t="shared" si="3"/>
        <v>4666.5500000000029</v>
      </c>
      <c r="M15">
        <v>1900</v>
      </c>
      <c r="N15">
        <v>2</v>
      </c>
      <c r="O15">
        <f>M15/N15</f>
        <v>950</v>
      </c>
    </row>
    <row r="16" spans="1:16" x14ac:dyDescent="0.35">
      <c r="A16" s="37">
        <v>45296</v>
      </c>
      <c r="B16" s="3" t="s">
        <v>95</v>
      </c>
      <c r="C16" s="3"/>
      <c r="D16" s="3"/>
      <c r="E16" s="3">
        <v>430</v>
      </c>
      <c r="F16" s="3">
        <f t="shared" si="0"/>
        <v>5.27</v>
      </c>
      <c r="G16" s="3">
        <f t="shared" si="3"/>
        <v>430</v>
      </c>
      <c r="M16">
        <v>5040</v>
      </c>
      <c r="N16">
        <v>8</v>
      </c>
      <c r="O16">
        <f>M16/N16</f>
        <v>630</v>
      </c>
    </row>
    <row r="17" spans="1:7" x14ac:dyDescent="0.35">
      <c r="A17" s="37">
        <v>45296</v>
      </c>
      <c r="B17" s="3" t="s">
        <v>87</v>
      </c>
      <c r="C17" s="3">
        <v>8334</v>
      </c>
      <c r="D17" s="3">
        <v>1.8</v>
      </c>
      <c r="E17" s="3">
        <f t="shared" si="2"/>
        <v>15001.2</v>
      </c>
      <c r="F17" s="3">
        <f t="shared" si="0"/>
        <v>1.45</v>
      </c>
      <c r="G17" s="3">
        <f t="shared" si="3"/>
        <v>2916.9000000000015</v>
      </c>
    </row>
    <row r="18" spans="1:7" x14ac:dyDescent="0.35">
      <c r="A18" s="37">
        <v>45297</v>
      </c>
      <c r="B18" s="3" t="s">
        <v>87</v>
      </c>
      <c r="C18" s="3">
        <v>4000</v>
      </c>
      <c r="D18" s="3">
        <v>2</v>
      </c>
      <c r="E18" s="3">
        <f t="shared" si="2"/>
        <v>8000</v>
      </c>
      <c r="F18" s="3">
        <f t="shared" si="0"/>
        <v>1.45</v>
      </c>
      <c r="G18" s="3">
        <f t="shared" si="3"/>
        <v>2200</v>
      </c>
    </row>
    <row r="19" spans="1:7" x14ac:dyDescent="0.35">
      <c r="A19" s="37">
        <v>45297</v>
      </c>
      <c r="B19" s="3" t="s">
        <v>92</v>
      </c>
      <c r="C19" s="3">
        <v>630</v>
      </c>
      <c r="D19" s="3">
        <v>7</v>
      </c>
      <c r="E19" s="3">
        <f t="shared" si="2"/>
        <v>4410</v>
      </c>
      <c r="F19" s="3">
        <f t="shared" si="0"/>
        <v>3.42</v>
      </c>
      <c r="G19" s="3">
        <f t="shared" si="3"/>
        <v>2255.4</v>
      </c>
    </row>
    <row r="20" spans="1:7" x14ac:dyDescent="0.35">
      <c r="A20" s="37">
        <v>45297</v>
      </c>
      <c r="B20" s="3" t="s">
        <v>95</v>
      </c>
      <c r="C20" s="3">
        <v>910</v>
      </c>
      <c r="D20" s="3">
        <v>6</v>
      </c>
      <c r="E20" s="3">
        <f t="shared" si="2"/>
        <v>5460</v>
      </c>
      <c r="F20" s="3">
        <f t="shared" si="0"/>
        <v>5.27</v>
      </c>
      <c r="G20" s="3">
        <f t="shared" si="3"/>
        <v>664.30000000000018</v>
      </c>
    </row>
    <row r="21" spans="1:7" x14ac:dyDescent="0.35">
      <c r="A21" s="37">
        <v>45298</v>
      </c>
      <c r="B21" s="3" t="s">
        <v>87</v>
      </c>
      <c r="C21" s="3">
        <v>4000</v>
      </c>
      <c r="D21" s="3">
        <v>1.9</v>
      </c>
      <c r="E21" s="3">
        <f t="shared" si="2"/>
        <v>7600</v>
      </c>
      <c r="F21" s="3">
        <f t="shared" si="0"/>
        <v>1.45</v>
      </c>
      <c r="G21" s="3">
        <f t="shared" si="3"/>
        <v>1800</v>
      </c>
    </row>
    <row r="22" spans="1:7" x14ac:dyDescent="0.35">
      <c r="A22" s="37">
        <v>45298</v>
      </c>
      <c r="B22" s="3" t="s">
        <v>87</v>
      </c>
      <c r="C22" s="3">
        <v>1800</v>
      </c>
      <c r="D22" s="3">
        <v>1.9</v>
      </c>
      <c r="E22" s="3">
        <f t="shared" si="2"/>
        <v>3420</v>
      </c>
      <c r="F22" s="3">
        <f t="shared" si="0"/>
        <v>1.45</v>
      </c>
      <c r="G22" s="3">
        <f t="shared" si="3"/>
        <v>810</v>
      </c>
    </row>
    <row r="23" spans="1:7" x14ac:dyDescent="0.35">
      <c r="A23" s="37">
        <v>45298</v>
      </c>
      <c r="B23" s="3" t="s">
        <v>96</v>
      </c>
      <c r="C23" s="3">
        <v>70</v>
      </c>
      <c r="D23" s="3">
        <v>4</v>
      </c>
      <c r="E23" s="3">
        <f t="shared" si="2"/>
        <v>280</v>
      </c>
      <c r="F23" s="3">
        <f t="shared" si="0"/>
        <v>2.77</v>
      </c>
      <c r="G23" s="3">
        <f t="shared" si="3"/>
        <v>86.1</v>
      </c>
    </row>
    <row r="24" spans="1:7" x14ac:dyDescent="0.35">
      <c r="A24" s="37">
        <v>45298</v>
      </c>
      <c r="B24" s="3" t="s">
        <v>87</v>
      </c>
      <c r="C24" s="3">
        <v>400</v>
      </c>
      <c r="D24" s="3">
        <v>2</v>
      </c>
      <c r="E24" s="3">
        <f t="shared" si="2"/>
        <v>800</v>
      </c>
      <c r="F24" s="3">
        <f t="shared" si="0"/>
        <v>1.45</v>
      </c>
      <c r="G24" s="3">
        <f t="shared" si="3"/>
        <v>220</v>
      </c>
    </row>
    <row r="25" spans="1:7" x14ac:dyDescent="0.35">
      <c r="A25" s="37">
        <v>45298</v>
      </c>
      <c r="B25" s="3" t="s">
        <v>87</v>
      </c>
      <c r="C25" s="3">
        <v>400</v>
      </c>
      <c r="D25" s="3">
        <v>2</v>
      </c>
      <c r="E25" s="3">
        <f t="shared" si="2"/>
        <v>800</v>
      </c>
      <c r="F25" s="3">
        <f t="shared" si="0"/>
        <v>1.45</v>
      </c>
      <c r="G25" s="3">
        <f t="shared" si="3"/>
        <v>220</v>
      </c>
    </row>
    <row r="26" spans="1:7" x14ac:dyDescent="0.35">
      <c r="A26" s="37">
        <v>45298</v>
      </c>
      <c r="B26" s="3" t="s">
        <v>87</v>
      </c>
      <c r="C26" s="3">
        <v>800</v>
      </c>
      <c r="D26" s="3">
        <v>2</v>
      </c>
      <c r="E26" s="3">
        <f t="shared" si="2"/>
        <v>1600</v>
      </c>
      <c r="F26" s="3">
        <f t="shared" si="0"/>
        <v>1.45</v>
      </c>
      <c r="G26" s="3">
        <f t="shared" si="3"/>
        <v>440</v>
      </c>
    </row>
    <row r="27" spans="1:7" x14ac:dyDescent="0.35">
      <c r="A27" s="37">
        <v>45299</v>
      </c>
      <c r="B27" s="3" t="s">
        <v>87</v>
      </c>
      <c r="C27" s="3">
        <v>1000</v>
      </c>
      <c r="D27" s="3">
        <v>1.9</v>
      </c>
      <c r="E27" s="3">
        <f t="shared" si="2"/>
        <v>1900</v>
      </c>
      <c r="F27" s="3">
        <f t="shared" si="0"/>
        <v>1.45</v>
      </c>
      <c r="G27" s="3">
        <f t="shared" si="3"/>
        <v>450</v>
      </c>
    </row>
    <row r="28" spans="1:7" x14ac:dyDescent="0.35">
      <c r="A28" s="3"/>
      <c r="B28" s="3"/>
      <c r="C28" s="3"/>
      <c r="D28" s="3"/>
      <c r="E28" s="3">
        <f t="shared" si="2"/>
        <v>0</v>
      </c>
      <c r="F28" s="3">
        <f t="shared" ref="F28:F59" si="4">IFERROR(VLOOKUP(B28,$M$1:$N$11,2,0),0)</f>
        <v>0</v>
      </c>
      <c r="G28" s="3">
        <f t="shared" si="3"/>
        <v>0</v>
      </c>
    </row>
    <row r="29" spans="1:7" x14ac:dyDescent="0.35">
      <c r="A29" s="3"/>
      <c r="B29" s="3" t="s">
        <v>93</v>
      </c>
      <c r="C29" s="3">
        <v>18000</v>
      </c>
      <c r="D29" s="3"/>
      <c r="E29" s="3">
        <f t="shared" si="2"/>
        <v>0</v>
      </c>
      <c r="F29" s="3">
        <f t="shared" si="4"/>
        <v>1.52</v>
      </c>
      <c r="G29" s="3">
        <f t="shared" si="3"/>
        <v>-27360</v>
      </c>
    </row>
    <row r="30" spans="1:7" x14ac:dyDescent="0.35">
      <c r="A30" s="3"/>
      <c r="B30" s="3" t="s">
        <v>94</v>
      </c>
      <c r="C30" s="3">
        <v>4500</v>
      </c>
      <c r="D30" s="3"/>
      <c r="E30" s="3">
        <f t="shared" si="2"/>
        <v>0</v>
      </c>
      <c r="F30" s="3">
        <f t="shared" si="4"/>
        <v>2.64</v>
      </c>
      <c r="G30" s="3">
        <f t="shared" si="3"/>
        <v>-11880</v>
      </c>
    </row>
    <row r="31" spans="1:7" x14ac:dyDescent="0.35">
      <c r="A31" s="3"/>
      <c r="B31" s="3" t="s">
        <v>88</v>
      </c>
      <c r="C31" s="3">
        <v>20000</v>
      </c>
      <c r="D31" s="3"/>
      <c r="E31" s="3">
        <f t="shared" si="2"/>
        <v>0</v>
      </c>
      <c r="F31" s="3">
        <f t="shared" si="4"/>
        <v>1.45</v>
      </c>
      <c r="G31" s="3">
        <f t="shared" si="3"/>
        <v>-29000</v>
      </c>
    </row>
    <row r="32" spans="1:7" x14ac:dyDescent="0.35">
      <c r="A32" s="3"/>
      <c r="B32" s="3" t="s">
        <v>90</v>
      </c>
      <c r="C32" s="3">
        <v>5000</v>
      </c>
      <c r="D32" s="3"/>
      <c r="E32" s="3">
        <f t="shared" si="2"/>
        <v>0</v>
      </c>
      <c r="F32" s="3">
        <f t="shared" si="4"/>
        <v>1.88</v>
      </c>
      <c r="G32" s="3">
        <f t="shared" si="3"/>
        <v>-9400</v>
      </c>
    </row>
    <row r="33" spans="1:7" x14ac:dyDescent="0.35">
      <c r="A33" s="3"/>
      <c r="B33" s="3"/>
      <c r="C33" s="3"/>
      <c r="D33" s="3"/>
      <c r="E33" s="3">
        <f t="shared" si="2"/>
        <v>0</v>
      </c>
      <c r="F33" s="3">
        <f t="shared" si="4"/>
        <v>0</v>
      </c>
      <c r="G33" s="3">
        <f t="shared" si="3"/>
        <v>0</v>
      </c>
    </row>
    <row r="34" spans="1:7" x14ac:dyDescent="0.35">
      <c r="A34" s="3"/>
      <c r="B34" s="3"/>
      <c r="C34" s="3"/>
      <c r="D34" s="3"/>
      <c r="E34" s="3">
        <f t="shared" si="2"/>
        <v>0</v>
      </c>
      <c r="F34" s="3">
        <f t="shared" si="4"/>
        <v>0</v>
      </c>
      <c r="G34" s="3">
        <f t="shared" si="3"/>
        <v>0</v>
      </c>
    </row>
    <row r="35" spans="1:7" x14ac:dyDescent="0.35">
      <c r="A35" s="3"/>
      <c r="B35" s="3"/>
      <c r="C35" s="3"/>
      <c r="D35" s="3"/>
      <c r="E35" s="3">
        <f t="shared" si="2"/>
        <v>0</v>
      </c>
      <c r="F35" s="3">
        <f t="shared" si="4"/>
        <v>0</v>
      </c>
      <c r="G35" s="3">
        <f t="shared" si="3"/>
        <v>0</v>
      </c>
    </row>
    <row r="36" spans="1:7" x14ac:dyDescent="0.35">
      <c r="A36" s="3"/>
      <c r="B36" s="3"/>
      <c r="C36" s="3"/>
      <c r="D36" s="3"/>
      <c r="E36" s="3">
        <f t="shared" si="2"/>
        <v>0</v>
      </c>
      <c r="F36" s="3">
        <f t="shared" si="4"/>
        <v>0</v>
      </c>
      <c r="G36" s="3">
        <f t="shared" si="3"/>
        <v>0</v>
      </c>
    </row>
    <row r="37" spans="1:7" x14ac:dyDescent="0.35">
      <c r="A37" s="3"/>
      <c r="B37" s="3"/>
      <c r="C37" s="3"/>
      <c r="D37" s="3"/>
      <c r="E37" s="3">
        <f t="shared" si="2"/>
        <v>0</v>
      </c>
      <c r="F37" s="3">
        <f t="shared" si="4"/>
        <v>0</v>
      </c>
      <c r="G37" s="3">
        <f t="shared" si="3"/>
        <v>0</v>
      </c>
    </row>
    <row r="38" spans="1:7" x14ac:dyDescent="0.35">
      <c r="A38" s="3"/>
      <c r="B38" s="3"/>
      <c r="C38" s="3"/>
      <c r="D38" s="3"/>
      <c r="E38" s="3">
        <f t="shared" si="2"/>
        <v>0</v>
      </c>
      <c r="F38" s="3">
        <f t="shared" si="4"/>
        <v>0</v>
      </c>
      <c r="G38" s="3">
        <f t="shared" si="3"/>
        <v>0</v>
      </c>
    </row>
    <row r="39" spans="1:7" x14ac:dyDescent="0.35">
      <c r="A39" s="3"/>
      <c r="B39" s="3"/>
      <c r="C39" s="3"/>
      <c r="D39" s="3"/>
      <c r="E39" s="3">
        <f t="shared" si="2"/>
        <v>0</v>
      </c>
      <c r="F39" s="3">
        <f t="shared" si="4"/>
        <v>0</v>
      </c>
      <c r="G39" s="3">
        <f t="shared" si="3"/>
        <v>0</v>
      </c>
    </row>
    <row r="40" spans="1:7" x14ac:dyDescent="0.35">
      <c r="A40" s="3"/>
      <c r="B40" s="3"/>
      <c r="C40" s="3"/>
      <c r="D40" s="3"/>
      <c r="E40" s="3">
        <f t="shared" si="2"/>
        <v>0</v>
      </c>
      <c r="F40" s="3">
        <f t="shared" si="4"/>
        <v>0</v>
      </c>
      <c r="G40" s="3">
        <f t="shared" si="3"/>
        <v>0</v>
      </c>
    </row>
    <row r="41" spans="1:7" x14ac:dyDescent="0.35">
      <c r="A41" s="3"/>
      <c r="B41" s="3"/>
      <c r="C41" s="3"/>
      <c r="D41" s="3"/>
      <c r="E41" s="3">
        <f t="shared" si="2"/>
        <v>0</v>
      </c>
      <c r="F41" s="3">
        <f t="shared" si="4"/>
        <v>0</v>
      </c>
      <c r="G41" s="3">
        <f t="shared" si="3"/>
        <v>0</v>
      </c>
    </row>
    <row r="42" spans="1:7" x14ac:dyDescent="0.35">
      <c r="A42" s="3"/>
      <c r="B42" s="3"/>
      <c r="C42" s="3"/>
      <c r="D42" s="3"/>
      <c r="E42" s="3">
        <f t="shared" si="2"/>
        <v>0</v>
      </c>
      <c r="F42" s="3">
        <f t="shared" si="4"/>
        <v>0</v>
      </c>
      <c r="G42" s="3">
        <f t="shared" si="3"/>
        <v>0</v>
      </c>
    </row>
    <row r="43" spans="1:7" x14ac:dyDescent="0.35">
      <c r="A43" s="3"/>
      <c r="B43" s="3"/>
      <c r="C43" s="3"/>
      <c r="D43" s="3"/>
      <c r="E43" s="3">
        <f t="shared" si="2"/>
        <v>0</v>
      </c>
      <c r="F43" s="3">
        <f t="shared" si="4"/>
        <v>0</v>
      </c>
      <c r="G43" s="3">
        <f t="shared" si="3"/>
        <v>0</v>
      </c>
    </row>
    <row r="44" spans="1:7" x14ac:dyDescent="0.35">
      <c r="A44" s="3"/>
      <c r="B44" s="3"/>
      <c r="C44" s="3"/>
      <c r="D44" s="3"/>
      <c r="E44" s="3">
        <f t="shared" si="2"/>
        <v>0</v>
      </c>
      <c r="F44" s="3">
        <f t="shared" si="4"/>
        <v>0</v>
      </c>
      <c r="G44" s="3">
        <f t="shared" si="3"/>
        <v>0</v>
      </c>
    </row>
    <row r="45" spans="1:7" x14ac:dyDescent="0.35">
      <c r="A45" s="3"/>
      <c r="B45" s="3"/>
      <c r="C45" s="3"/>
      <c r="D45" s="3"/>
      <c r="E45" s="3">
        <f t="shared" si="2"/>
        <v>0</v>
      </c>
      <c r="F45" s="3">
        <f t="shared" si="4"/>
        <v>0</v>
      </c>
      <c r="G45" s="3">
        <f t="shared" si="3"/>
        <v>0</v>
      </c>
    </row>
    <row r="46" spans="1:7" x14ac:dyDescent="0.35">
      <c r="A46" s="3"/>
      <c r="B46" s="3"/>
      <c r="C46" s="3"/>
      <c r="D46" s="3"/>
      <c r="E46" s="3">
        <f t="shared" si="2"/>
        <v>0</v>
      </c>
      <c r="F46" s="3">
        <f t="shared" si="4"/>
        <v>0</v>
      </c>
      <c r="G46" s="3">
        <f t="shared" si="3"/>
        <v>0</v>
      </c>
    </row>
    <row r="47" spans="1:7" x14ac:dyDescent="0.35">
      <c r="A47" s="3"/>
      <c r="B47" s="3"/>
      <c r="C47" s="3"/>
      <c r="D47" s="3"/>
      <c r="E47" s="3">
        <f t="shared" si="2"/>
        <v>0</v>
      </c>
      <c r="F47" s="3">
        <f t="shared" si="4"/>
        <v>0</v>
      </c>
      <c r="G47" s="3">
        <f t="shared" si="3"/>
        <v>0</v>
      </c>
    </row>
    <row r="48" spans="1:7" x14ac:dyDescent="0.35">
      <c r="A48" s="3"/>
      <c r="B48" s="3"/>
      <c r="C48" s="3"/>
      <c r="D48" s="3"/>
      <c r="E48" s="3">
        <f t="shared" si="2"/>
        <v>0</v>
      </c>
      <c r="F48" s="3">
        <f t="shared" si="4"/>
        <v>0</v>
      </c>
      <c r="G48" s="3">
        <f t="shared" si="3"/>
        <v>0</v>
      </c>
    </row>
    <row r="49" spans="1:7" x14ac:dyDescent="0.35">
      <c r="A49" s="3"/>
      <c r="B49" s="3"/>
      <c r="C49" s="3"/>
      <c r="D49" s="3"/>
      <c r="E49" s="3">
        <f t="shared" si="2"/>
        <v>0</v>
      </c>
      <c r="F49" s="3">
        <f t="shared" si="4"/>
        <v>0</v>
      </c>
      <c r="G49" s="3">
        <f t="shared" si="3"/>
        <v>0</v>
      </c>
    </row>
    <row r="50" spans="1:7" x14ac:dyDescent="0.35">
      <c r="A50" s="3"/>
      <c r="B50" s="3"/>
      <c r="C50" s="3"/>
      <c r="D50" s="3"/>
      <c r="E50" s="3">
        <f t="shared" si="2"/>
        <v>0</v>
      </c>
      <c r="F50" s="3">
        <f t="shared" si="4"/>
        <v>0</v>
      </c>
      <c r="G50" s="3">
        <f t="shared" si="3"/>
        <v>0</v>
      </c>
    </row>
    <row r="51" spans="1:7" x14ac:dyDescent="0.35">
      <c r="A51" s="3"/>
      <c r="B51" s="3"/>
      <c r="C51" s="3"/>
      <c r="D51" s="3"/>
      <c r="E51" s="3">
        <f t="shared" si="2"/>
        <v>0</v>
      </c>
      <c r="F51" s="3">
        <f t="shared" si="4"/>
        <v>0</v>
      </c>
      <c r="G51" s="3">
        <f t="shared" si="3"/>
        <v>0</v>
      </c>
    </row>
    <row r="52" spans="1:7" x14ac:dyDescent="0.35">
      <c r="A52" s="3"/>
      <c r="B52" s="3"/>
      <c r="C52" s="3"/>
      <c r="D52" s="3"/>
      <c r="E52" s="3">
        <f t="shared" si="2"/>
        <v>0</v>
      </c>
      <c r="F52" s="3">
        <f t="shared" si="4"/>
        <v>0</v>
      </c>
      <c r="G52" s="3">
        <f t="shared" si="3"/>
        <v>0</v>
      </c>
    </row>
    <row r="53" spans="1:7" x14ac:dyDescent="0.35">
      <c r="A53" s="3"/>
      <c r="B53" s="3"/>
      <c r="C53" s="3"/>
      <c r="D53" s="3"/>
      <c r="E53" s="3">
        <f t="shared" si="2"/>
        <v>0</v>
      </c>
      <c r="F53" s="3">
        <f t="shared" si="4"/>
        <v>0</v>
      </c>
      <c r="G53" s="3">
        <f t="shared" si="3"/>
        <v>0</v>
      </c>
    </row>
    <row r="54" spans="1:7" x14ac:dyDescent="0.35">
      <c r="A54" s="3"/>
      <c r="B54" s="3"/>
      <c r="C54" s="3"/>
      <c r="D54" s="3"/>
      <c r="E54" s="3">
        <f t="shared" si="2"/>
        <v>0</v>
      </c>
      <c r="F54" s="3">
        <f t="shared" si="4"/>
        <v>0</v>
      </c>
      <c r="G54" s="3">
        <f t="shared" si="3"/>
        <v>0</v>
      </c>
    </row>
    <row r="55" spans="1:7" x14ac:dyDescent="0.35">
      <c r="A55" s="3"/>
      <c r="B55" s="3"/>
      <c r="C55" s="3"/>
      <c r="D55" s="3"/>
      <c r="E55" s="3">
        <f t="shared" si="2"/>
        <v>0</v>
      </c>
      <c r="F55" s="3">
        <f t="shared" si="4"/>
        <v>0</v>
      </c>
      <c r="G55" s="3">
        <f t="shared" si="3"/>
        <v>0</v>
      </c>
    </row>
    <row r="56" spans="1:7" x14ac:dyDescent="0.35">
      <c r="A56" s="3"/>
      <c r="B56" s="3"/>
      <c r="C56" s="3"/>
      <c r="D56" s="3"/>
      <c r="E56" s="3">
        <f t="shared" si="2"/>
        <v>0</v>
      </c>
      <c r="F56" s="3">
        <f t="shared" si="4"/>
        <v>0</v>
      </c>
      <c r="G56" s="3">
        <f t="shared" si="3"/>
        <v>0</v>
      </c>
    </row>
    <row r="57" spans="1:7" x14ac:dyDescent="0.35">
      <c r="A57" s="3"/>
      <c r="B57" s="3"/>
      <c r="C57" s="3"/>
      <c r="D57" s="3"/>
      <c r="E57" s="3">
        <f t="shared" si="2"/>
        <v>0</v>
      </c>
      <c r="F57" s="3">
        <f t="shared" si="4"/>
        <v>0</v>
      </c>
      <c r="G57" s="3">
        <f t="shared" si="3"/>
        <v>0</v>
      </c>
    </row>
    <row r="58" spans="1:7" x14ac:dyDescent="0.35">
      <c r="A58" s="3"/>
      <c r="B58" s="3"/>
      <c r="C58" s="3"/>
      <c r="D58" s="3"/>
      <c r="E58" s="3">
        <f t="shared" si="2"/>
        <v>0</v>
      </c>
      <c r="F58" s="3">
        <f t="shared" si="4"/>
        <v>0</v>
      </c>
      <c r="G58" s="3">
        <f t="shared" si="3"/>
        <v>0</v>
      </c>
    </row>
    <row r="59" spans="1:7" x14ac:dyDescent="0.35">
      <c r="A59" s="3"/>
      <c r="B59" s="3"/>
      <c r="C59" s="3"/>
      <c r="D59" s="3"/>
      <c r="E59" s="3">
        <f t="shared" si="2"/>
        <v>0</v>
      </c>
      <c r="F59" s="3">
        <f t="shared" si="4"/>
        <v>0</v>
      </c>
      <c r="G59" s="3">
        <f t="shared" si="3"/>
        <v>0</v>
      </c>
    </row>
    <row r="60" spans="1:7" x14ac:dyDescent="0.35">
      <c r="A60" s="3"/>
      <c r="B60" s="3"/>
      <c r="C60" s="3"/>
      <c r="D60" s="3"/>
      <c r="E60" s="3">
        <f t="shared" si="2"/>
        <v>0</v>
      </c>
      <c r="F60" s="3">
        <f t="shared" ref="F60:F91" si="5">IFERROR(VLOOKUP(B60,$M$1:$N$11,2,0),0)</f>
        <v>0</v>
      </c>
      <c r="G60" s="3">
        <f t="shared" si="3"/>
        <v>0</v>
      </c>
    </row>
    <row r="61" spans="1:7" x14ac:dyDescent="0.35">
      <c r="A61" s="3"/>
      <c r="B61" s="3"/>
      <c r="C61" s="3"/>
      <c r="D61" s="3"/>
      <c r="E61" s="3">
        <f t="shared" si="2"/>
        <v>0</v>
      </c>
      <c r="F61" s="3">
        <f t="shared" si="5"/>
        <v>0</v>
      </c>
      <c r="G61" s="3">
        <f t="shared" si="3"/>
        <v>0</v>
      </c>
    </row>
    <row r="62" spans="1:7" x14ac:dyDescent="0.35">
      <c r="A62" s="3"/>
      <c r="B62" s="3"/>
      <c r="C62" s="3"/>
      <c r="D62" s="3"/>
      <c r="E62" s="3">
        <f t="shared" si="2"/>
        <v>0</v>
      </c>
      <c r="F62" s="3">
        <f t="shared" si="5"/>
        <v>0</v>
      </c>
      <c r="G62" s="3">
        <f t="shared" si="3"/>
        <v>0</v>
      </c>
    </row>
    <row r="63" spans="1:7" x14ac:dyDescent="0.35">
      <c r="A63" s="3"/>
      <c r="B63" s="3"/>
      <c r="C63" s="3"/>
      <c r="D63" s="3"/>
      <c r="E63" s="3">
        <f t="shared" si="2"/>
        <v>0</v>
      </c>
      <c r="F63" s="3">
        <f t="shared" si="5"/>
        <v>0</v>
      </c>
      <c r="G63" s="3">
        <f t="shared" si="3"/>
        <v>0</v>
      </c>
    </row>
    <row r="64" spans="1:7" x14ac:dyDescent="0.35">
      <c r="A64" s="3"/>
      <c r="B64" s="3"/>
      <c r="C64" s="3"/>
      <c r="D64" s="3"/>
      <c r="E64" s="3">
        <f t="shared" si="2"/>
        <v>0</v>
      </c>
      <c r="F64" s="3">
        <f t="shared" si="5"/>
        <v>0</v>
      </c>
      <c r="G64" s="3">
        <f t="shared" si="3"/>
        <v>0</v>
      </c>
    </row>
    <row r="65" spans="1:7" x14ac:dyDescent="0.35">
      <c r="A65" s="3"/>
      <c r="B65" s="3"/>
      <c r="C65" s="3"/>
      <c r="D65" s="3"/>
      <c r="E65" s="3">
        <f t="shared" si="2"/>
        <v>0</v>
      </c>
      <c r="F65" s="3">
        <f t="shared" si="5"/>
        <v>0</v>
      </c>
      <c r="G65" s="3">
        <f t="shared" si="3"/>
        <v>0</v>
      </c>
    </row>
    <row r="66" spans="1:7" x14ac:dyDescent="0.35">
      <c r="A66" s="3"/>
      <c r="B66" s="3"/>
      <c r="C66" s="3"/>
      <c r="D66" s="3"/>
      <c r="E66" s="3">
        <f t="shared" si="2"/>
        <v>0</v>
      </c>
      <c r="F66" s="3">
        <f t="shared" si="5"/>
        <v>0</v>
      </c>
      <c r="G66" s="3">
        <f t="shared" si="3"/>
        <v>0</v>
      </c>
    </row>
    <row r="67" spans="1:7" x14ac:dyDescent="0.35">
      <c r="A67" s="3"/>
      <c r="B67" s="3"/>
      <c r="C67" s="3"/>
      <c r="D67" s="3"/>
      <c r="E67" s="3">
        <f t="shared" ref="E67:E115" si="6">D67*C67</f>
        <v>0</v>
      </c>
      <c r="F67" s="3">
        <f t="shared" si="5"/>
        <v>0</v>
      </c>
      <c r="G67" s="3">
        <f t="shared" ref="G67:G115" si="7">E67-(C67*F67)</f>
        <v>0</v>
      </c>
    </row>
    <row r="68" spans="1:7" x14ac:dyDescent="0.35">
      <c r="A68" s="3"/>
      <c r="B68" s="3"/>
      <c r="C68" s="3"/>
      <c r="D68" s="3"/>
      <c r="E68" s="3">
        <f t="shared" si="6"/>
        <v>0</v>
      </c>
      <c r="F68" s="3">
        <f t="shared" si="5"/>
        <v>0</v>
      </c>
      <c r="G68" s="3">
        <f t="shared" si="7"/>
        <v>0</v>
      </c>
    </row>
    <row r="69" spans="1:7" x14ac:dyDescent="0.35">
      <c r="A69" s="3"/>
      <c r="B69" s="3"/>
      <c r="C69" s="3"/>
      <c r="D69" s="3"/>
      <c r="E69" s="3">
        <f t="shared" si="6"/>
        <v>0</v>
      </c>
      <c r="F69" s="3">
        <f t="shared" si="5"/>
        <v>0</v>
      </c>
      <c r="G69" s="3">
        <f t="shared" si="7"/>
        <v>0</v>
      </c>
    </row>
    <row r="70" spans="1:7" x14ac:dyDescent="0.35">
      <c r="A70" s="3"/>
      <c r="B70" s="3"/>
      <c r="C70" s="3"/>
      <c r="D70" s="3"/>
      <c r="E70" s="3">
        <f t="shared" si="6"/>
        <v>0</v>
      </c>
      <c r="F70" s="3">
        <f t="shared" si="5"/>
        <v>0</v>
      </c>
      <c r="G70" s="3">
        <f t="shared" si="7"/>
        <v>0</v>
      </c>
    </row>
    <row r="71" spans="1:7" x14ac:dyDescent="0.35">
      <c r="A71" s="3"/>
      <c r="B71" s="3"/>
      <c r="C71" s="3"/>
      <c r="D71" s="3"/>
      <c r="E71" s="3">
        <f t="shared" si="6"/>
        <v>0</v>
      </c>
      <c r="F71" s="3">
        <f t="shared" si="5"/>
        <v>0</v>
      </c>
      <c r="G71" s="3">
        <f t="shared" si="7"/>
        <v>0</v>
      </c>
    </row>
    <row r="72" spans="1:7" x14ac:dyDescent="0.35">
      <c r="A72" s="3"/>
      <c r="B72" s="3"/>
      <c r="C72" s="3"/>
      <c r="D72" s="3"/>
      <c r="E72" s="3">
        <f t="shared" si="6"/>
        <v>0</v>
      </c>
      <c r="F72" s="3">
        <f t="shared" si="5"/>
        <v>0</v>
      </c>
      <c r="G72" s="3">
        <f t="shared" si="7"/>
        <v>0</v>
      </c>
    </row>
    <row r="73" spans="1:7" x14ac:dyDescent="0.35">
      <c r="A73" s="3"/>
      <c r="B73" s="3"/>
      <c r="C73" s="3"/>
      <c r="D73" s="3"/>
      <c r="E73" s="3">
        <f t="shared" si="6"/>
        <v>0</v>
      </c>
      <c r="F73" s="3">
        <f t="shared" si="5"/>
        <v>0</v>
      </c>
      <c r="G73" s="3">
        <f t="shared" si="7"/>
        <v>0</v>
      </c>
    </row>
    <row r="74" spans="1:7" x14ac:dyDescent="0.35">
      <c r="A74" s="3"/>
      <c r="B74" s="3"/>
      <c r="C74" s="3"/>
      <c r="D74" s="3"/>
      <c r="E74" s="3">
        <f t="shared" si="6"/>
        <v>0</v>
      </c>
      <c r="F74" s="3">
        <f t="shared" si="5"/>
        <v>0</v>
      </c>
      <c r="G74" s="3">
        <f t="shared" si="7"/>
        <v>0</v>
      </c>
    </row>
    <row r="75" spans="1:7" x14ac:dyDescent="0.35">
      <c r="A75" s="3"/>
      <c r="B75" s="3"/>
      <c r="C75" s="3"/>
      <c r="D75" s="3"/>
      <c r="E75" s="3">
        <f t="shared" si="6"/>
        <v>0</v>
      </c>
      <c r="F75" s="3">
        <f t="shared" si="5"/>
        <v>0</v>
      </c>
      <c r="G75" s="3">
        <f t="shared" si="7"/>
        <v>0</v>
      </c>
    </row>
    <row r="76" spans="1:7" x14ac:dyDescent="0.35">
      <c r="A76" s="3"/>
      <c r="B76" s="3"/>
      <c r="C76" s="3"/>
      <c r="D76" s="3"/>
      <c r="E76" s="3">
        <f t="shared" si="6"/>
        <v>0</v>
      </c>
      <c r="F76" s="3">
        <f t="shared" si="5"/>
        <v>0</v>
      </c>
      <c r="G76" s="3">
        <f t="shared" si="7"/>
        <v>0</v>
      </c>
    </row>
    <row r="77" spans="1:7" x14ac:dyDescent="0.35">
      <c r="A77" s="3"/>
      <c r="B77" s="3"/>
      <c r="C77" s="3"/>
      <c r="D77" s="3"/>
      <c r="E77" s="3">
        <f t="shared" si="6"/>
        <v>0</v>
      </c>
      <c r="F77" s="3">
        <f t="shared" si="5"/>
        <v>0</v>
      </c>
      <c r="G77" s="3">
        <f t="shared" si="7"/>
        <v>0</v>
      </c>
    </row>
    <row r="78" spans="1:7" x14ac:dyDescent="0.35">
      <c r="A78" s="3"/>
      <c r="B78" s="3"/>
      <c r="C78" s="3"/>
      <c r="D78" s="3"/>
      <c r="E78" s="3">
        <f t="shared" si="6"/>
        <v>0</v>
      </c>
      <c r="F78" s="3">
        <f t="shared" si="5"/>
        <v>0</v>
      </c>
      <c r="G78" s="3">
        <f t="shared" si="7"/>
        <v>0</v>
      </c>
    </row>
    <row r="79" spans="1:7" x14ac:dyDescent="0.35">
      <c r="A79" s="3"/>
      <c r="B79" s="3"/>
      <c r="C79" s="3"/>
      <c r="D79" s="3"/>
      <c r="E79" s="3">
        <f t="shared" si="6"/>
        <v>0</v>
      </c>
      <c r="F79" s="3">
        <f t="shared" si="5"/>
        <v>0</v>
      </c>
      <c r="G79" s="3">
        <f t="shared" si="7"/>
        <v>0</v>
      </c>
    </row>
    <row r="80" spans="1:7" x14ac:dyDescent="0.35">
      <c r="A80" s="3"/>
      <c r="B80" s="3"/>
      <c r="C80" s="3"/>
      <c r="D80" s="3"/>
      <c r="E80" s="3">
        <f t="shared" si="6"/>
        <v>0</v>
      </c>
      <c r="F80" s="3">
        <f t="shared" si="5"/>
        <v>0</v>
      </c>
      <c r="G80" s="3">
        <f t="shared" si="7"/>
        <v>0</v>
      </c>
    </row>
    <row r="81" spans="1:7" x14ac:dyDescent="0.35">
      <c r="A81" s="3"/>
      <c r="B81" s="3"/>
      <c r="C81" s="3"/>
      <c r="D81" s="3"/>
      <c r="E81" s="3">
        <f t="shared" si="6"/>
        <v>0</v>
      </c>
      <c r="F81" s="3">
        <f t="shared" si="5"/>
        <v>0</v>
      </c>
      <c r="G81" s="3">
        <f t="shared" si="7"/>
        <v>0</v>
      </c>
    </row>
    <row r="82" spans="1:7" x14ac:dyDescent="0.35">
      <c r="A82" s="3"/>
      <c r="B82" s="3"/>
      <c r="C82" s="3"/>
      <c r="D82" s="3"/>
      <c r="E82" s="3">
        <f t="shared" si="6"/>
        <v>0</v>
      </c>
      <c r="F82" s="3">
        <f t="shared" si="5"/>
        <v>0</v>
      </c>
      <c r="G82" s="3">
        <f t="shared" si="7"/>
        <v>0</v>
      </c>
    </row>
    <row r="83" spans="1:7" x14ac:dyDescent="0.35">
      <c r="A83" s="3"/>
      <c r="B83" s="3"/>
      <c r="C83" s="3"/>
      <c r="D83" s="3"/>
      <c r="E83" s="3">
        <f t="shared" si="6"/>
        <v>0</v>
      </c>
      <c r="F83" s="3">
        <f t="shared" si="5"/>
        <v>0</v>
      </c>
      <c r="G83" s="3">
        <f t="shared" si="7"/>
        <v>0</v>
      </c>
    </row>
    <row r="84" spans="1:7" x14ac:dyDescent="0.35">
      <c r="A84" s="3"/>
      <c r="B84" s="3"/>
      <c r="C84" s="3"/>
      <c r="D84" s="3"/>
      <c r="E84" s="3">
        <f t="shared" si="6"/>
        <v>0</v>
      </c>
      <c r="F84" s="3">
        <f t="shared" si="5"/>
        <v>0</v>
      </c>
      <c r="G84" s="3">
        <f t="shared" si="7"/>
        <v>0</v>
      </c>
    </row>
    <row r="85" spans="1:7" x14ac:dyDescent="0.35">
      <c r="A85" s="3"/>
      <c r="B85" s="3"/>
      <c r="C85" s="3"/>
      <c r="D85" s="3"/>
      <c r="E85" s="3">
        <f t="shared" si="6"/>
        <v>0</v>
      </c>
      <c r="F85" s="3">
        <f t="shared" si="5"/>
        <v>0</v>
      </c>
      <c r="G85" s="3">
        <f t="shared" si="7"/>
        <v>0</v>
      </c>
    </row>
    <row r="86" spans="1:7" x14ac:dyDescent="0.35">
      <c r="A86" s="3"/>
      <c r="B86" s="3"/>
      <c r="C86" s="3"/>
      <c r="D86" s="3"/>
      <c r="E86" s="3">
        <f t="shared" si="6"/>
        <v>0</v>
      </c>
      <c r="F86" s="3">
        <f t="shared" si="5"/>
        <v>0</v>
      </c>
      <c r="G86" s="3">
        <f t="shared" si="7"/>
        <v>0</v>
      </c>
    </row>
    <row r="87" spans="1:7" x14ac:dyDescent="0.35">
      <c r="A87" s="3"/>
      <c r="B87" s="3"/>
      <c r="C87" s="3"/>
      <c r="D87" s="3"/>
      <c r="E87" s="3">
        <f t="shared" si="6"/>
        <v>0</v>
      </c>
      <c r="F87" s="3">
        <f t="shared" si="5"/>
        <v>0</v>
      </c>
      <c r="G87" s="3">
        <f t="shared" si="7"/>
        <v>0</v>
      </c>
    </row>
    <row r="88" spans="1:7" x14ac:dyDescent="0.35">
      <c r="A88" s="3"/>
      <c r="B88" s="3"/>
      <c r="C88" s="3"/>
      <c r="D88" s="3"/>
      <c r="E88" s="3">
        <f t="shared" si="6"/>
        <v>0</v>
      </c>
      <c r="F88" s="3">
        <f t="shared" si="5"/>
        <v>0</v>
      </c>
      <c r="G88" s="3">
        <f t="shared" si="7"/>
        <v>0</v>
      </c>
    </row>
    <row r="89" spans="1:7" x14ac:dyDescent="0.35">
      <c r="A89" s="3"/>
      <c r="B89" s="3"/>
      <c r="C89" s="3"/>
      <c r="D89" s="3"/>
      <c r="E89" s="3">
        <f t="shared" si="6"/>
        <v>0</v>
      </c>
      <c r="F89" s="3">
        <f t="shared" si="5"/>
        <v>0</v>
      </c>
      <c r="G89" s="3">
        <f t="shared" si="7"/>
        <v>0</v>
      </c>
    </row>
    <row r="90" spans="1:7" x14ac:dyDescent="0.35">
      <c r="A90" s="3"/>
      <c r="B90" s="3"/>
      <c r="C90" s="3"/>
      <c r="D90" s="3"/>
      <c r="E90" s="3">
        <f t="shared" si="6"/>
        <v>0</v>
      </c>
      <c r="F90" s="3">
        <f t="shared" si="5"/>
        <v>0</v>
      </c>
      <c r="G90" s="3">
        <f t="shared" si="7"/>
        <v>0</v>
      </c>
    </row>
    <row r="91" spans="1:7" x14ac:dyDescent="0.35">
      <c r="A91" s="3"/>
      <c r="B91" s="3"/>
      <c r="C91" s="3"/>
      <c r="D91" s="3"/>
      <c r="E91" s="3">
        <f t="shared" si="6"/>
        <v>0</v>
      </c>
      <c r="F91" s="3">
        <f t="shared" si="5"/>
        <v>0</v>
      </c>
      <c r="G91" s="3">
        <f t="shared" si="7"/>
        <v>0</v>
      </c>
    </row>
    <row r="92" spans="1:7" x14ac:dyDescent="0.35">
      <c r="A92" s="3"/>
      <c r="B92" s="3"/>
      <c r="C92" s="3"/>
      <c r="D92" s="3"/>
      <c r="E92" s="3">
        <f t="shared" si="6"/>
        <v>0</v>
      </c>
      <c r="F92" s="3">
        <f t="shared" ref="F92:F115" si="8">IFERROR(VLOOKUP(B92,$M$1:$N$11,2,0),0)</f>
        <v>0</v>
      </c>
      <c r="G92" s="3">
        <f t="shared" si="7"/>
        <v>0</v>
      </c>
    </row>
    <row r="93" spans="1:7" x14ac:dyDescent="0.35">
      <c r="A93" s="3"/>
      <c r="B93" s="3"/>
      <c r="C93" s="3"/>
      <c r="D93" s="3"/>
      <c r="E93" s="3">
        <f t="shared" si="6"/>
        <v>0</v>
      </c>
      <c r="F93" s="3">
        <f t="shared" si="8"/>
        <v>0</v>
      </c>
      <c r="G93" s="3">
        <f t="shared" si="7"/>
        <v>0</v>
      </c>
    </row>
    <row r="94" spans="1:7" x14ac:dyDescent="0.35">
      <c r="A94" s="3"/>
      <c r="B94" s="3"/>
      <c r="C94" s="3"/>
      <c r="D94" s="3"/>
      <c r="E94" s="3">
        <f t="shared" si="6"/>
        <v>0</v>
      </c>
      <c r="F94" s="3">
        <f t="shared" si="8"/>
        <v>0</v>
      </c>
      <c r="G94" s="3">
        <f t="shared" si="7"/>
        <v>0</v>
      </c>
    </row>
    <row r="95" spans="1:7" x14ac:dyDescent="0.35">
      <c r="A95" s="3"/>
      <c r="B95" s="3"/>
      <c r="C95" s="3"/>
      <c r="D95" s="3"/>
      <c r="E95" s="3">
        <f t="shared" si="6"/>
        <v>0</v>
      </c>
      <c r="F95" s="3">
        <f t="shared" si="8"/>
        <v>0</v>
      </c>
      <c r="G95" s="3">
        <f t="shared" si="7"/>
        <v>0</v>
      </c>
    </row>
    <row r="96" spans="1:7" x14ac:dyDescent="0.35">
      <c r="A96" s="3"/>
      <c r="B96" s="3"/>
      <c r="C96" s="3"/>
      <c r="D96" s="3"/>
      <c r="E96" s="3">
        <f t="shared" si="6"/>
        <v>0</v>
      </c>
      <c r="F96" s="3">
        <f t="shared" si="8"/>
        <v>0</v>
      </c>
      <c r="G96" s="3">
        <f t="shared" si="7"/>
        <v>0</v>
      </c>
    </row>
    <row r="97" spans="1:7" x14ac:dyDescent="0.35">
      <c r="A97" s="3"/>
      <c r="B97" s="3"/>
      <c r="C97" s="3"/>
      <c r="D97" s="3"/>
      <c r="E97" s="3">
        <f t="shared" si="6"/>
        <v>0</v>
      </c>
      <c r="F97" s="3">
        <f t="shared" si="8"/>
        <v>0</v>
      </c>
      <c r="G97" s="3">
        <f t="shared" si="7"/>
        <v>0</v>
      </c>
    </row>
    <row r="98" spans="1:7" x14ac:dyDescent="0.35">
      <c r="A98" s="3"/>
      <c r="B98" s="3"/>
      <c r="C98" s="3"/>
      <c r="D98" s="3"/>
      <c r="E98" s="3">
        <f t="shared" si="6"/>
        <v>0</v>
      </c>
      <c r="F98" s="3">
        <f t="shared" si="8"/>
        <v>0</v>
      </c>
      <c r="G98" s="3">
        <f t="shared" si="7"/>
        <v>0</v>
      </c>
    </row>
    <row r="99" spans="1:7" x14ac:dyDescent="0.35">
      <c r="A99" s="3"/>
      <c r="B99" s="3"/>
      <c r="C99" s="3"/>
      <c r="D99" s="3"/>
      <c r="E99" s="3">
        <f t="shared" si="6"/>
        <v>0</v>
      </c>
      <c r="F99" s="3">
        <f t="shared" si="8"/>
        <v>0</v>
      </c>
      <c r="G99" s="3">
        <f t="shared" si="7"/>
        <v>0</v>
      </c>
    </row>
    <row r="100" spans="1:7" x14ac:dyDescent="0.35">
      <c r="A100" s="3"/>
      <c r="B100" s="3"/>
      <c r="C100" s="3"/>
      <c r="D100" s="3"/>
      <c r="E100" s="3">
        <f t="shared" si="6"/>
        <v>0</v>
      </c>
      <c r="F100" s="3">
        <f t="shared" si="8"/>
        <v>0</v>
      </c>
      <c r="G100" s="3">
        <f t="shared" si="7"/>
        <v>0</v>
      </c>
    </row>
    <row r="101" spans="1:7" x14ac:dyDescent="0.35">
      <c r="A101" s="3"/>
      <c r="B101" s="3"/>
      <c r="C101" s="3"/>
      <c r="D101" s="3"/>
      <c r="E101" s="3">
        <f t="shared" si="6"/>
        <v>0</v>
      </c>
      <c r="F101" s="3">
        <f t="shared" si="8"/>
        <v>0</v>
      </c>
      <c r="G101" s="3">
        <f t="shared" si="7"/>
        <v>0</v>
      </c>
    </row>
    <row r="102" spans="1:7" x14ac:dyDescent="0.35">
      <c r="A102" s="3"/>
      <c r="B102" s="3"/>
      <c r="C102" s="3"/>
      <c r="D102" s="3"/>
      <c r="E102" s="3">
        <f t="shared" si="6"/>
        <v>0</v>
      </c>
      <c r="F102" s="3">
        <f t="shared" si="8"/>
        <v>0</v>
      </c>
      <c r="G102" s="3">
        <f t="shared" si="7"/>
        <v>0</v>
      </c>
    </row>
    <row r="103" spans="1:7" x14ac:dyDescent="0.35">
      <c r="A103" s="3"/>
      <c r="B103" s="3"/>
      <c r="C103" s="3"/>
      <c r="D103" s="3"/>
      <c r="E103" s="3">
        <f t="shared" si="6"/>
        <v>0</v>
      </c>
      <c r="F103" s="3">
        <f t="shared" si="8"/>
        <v>0</v>
      </c>
      <c r="G103" s="3">
        <f t="shared" si="7"/>
        <v>0</v>
      </c>
    </row>
    <row r="104" spans="1:7" x14ac:dyDescent="0.35">
      <c r="A104" s="3"/>
      <c r="B104" s="3"/>
      <c r="C104" s="3"/>
      <c r="D104" s="3"/>
      <c r="E104" s="3">
        <f t="shared" si="6"/>
        <v>0</v>
      </c>
      <c r="F104" s="3">
        <f t="shared" si="8"/>
        <v>0</v>
      </c>
      <c r="G104" s="3">
        <f t="shared" si="7"/>
        <v>0</v>
      </c>
    </row>
    <row r="105" spans="1:7" x14ac:dyDescent="0.35">
      <c r="A105" s="3"/>
      <c r="B105" s="3"/>
      <c r="C105" s="3"/>
      <c r="D105" s="3"/>
      <c r="E105" s="3">
        <f t="shared" si="6"/>
        <v>0</v>
      </c>
      <c r="F105" s="3">
        <f t="shared" si="8"/>
        <v>0</v>
      </c>
      <c r="G105" s="3">
        <f t="shared" si="7"/>
        <v>0</v>
      </c>
    </row>
    <row r="106" spans="1:7" x14ac:dyDescent="0.35">
      <c r="A106" s="3"/>
      <c r="B106" s="3"/>
      <c r="C106" s="3"/>
      <c r="D106" s="3"/>
      <c r="E106" s="3">
        <f t="shared" si="6"/>
        <v>0</v>
      </c>
      <c r="F106" s="3">
        <f t="shared" si="8"/>
        <v>0</v>
      </c>
      <c r="G106" s="3">
        <f t="shared" si="7"/>
        <v>0</v>
      </c>
    </row>
    <row r="107" spans="1:7" x14ac:dyDescent="0.35">
      <c r="A107" s="3"/>
      <c r="B107" s="3"/>
      <c r="C107" s="3"/>
      <c r="D107" s="3"/>
      <c r="E107" s="3">
        <f t="shared" si="6"/>
        <v>0</v>
      </c>
      <c r="F107" s="3">
        <f t="shared" si="8"/>
        <v>0</v>
      </c>
      <c r="G107" s="3">
        <f t="shared" si="7"/>
        <v>0</v>
      </c>
    </row>
    <row r="108" spans="1:7" x14ac:dyDescent="0.35">
      <c r="A108" s="3"/>
      <c r="B108" s="3"/>
      <c r="C108" s="3"/>
      <c r="D108" s="3"/>
      <c r="E108" s="3">
        <f t="shared" si="6"/>
        <v>0</v>
      </c>
      <c r="F108" s="3">
        <f t="shared" si="8"/>
        <v>0</v>
      </c>
      <c r="G108" s="3">
        <f t="shared" si="7"/>
        <v>0</v>
      </c>
    </row>
    <row r="109" spans="1:7" x14ac:dyDescent="0.35">
      <c r="A109" s="3"/>
      <c r="B109" s="3"/>
      <c r="C109" s="3"/>
      <c r="D109" s="3"/>
      <c r="E109" s="3">
        <f t="shared" si="6"/>
        <v>0</v>
      </c>
      <c r="F109" s="3">
        <f t="shared" si="8"/>
        <v>0</v>
      </c>
      <c r="G109" s="3">
        <f t="shared" si="7"/>
        <v>0</v>
      </c>
    </row>
    <row r="110" spans="1:7" x14ac:dyDescent="0.35">
      <c r="A110" s="3"/>
      <c r="B110" s="3"/>
      <c r="C110" s="3"/>
      <c r="D110" s="3"/>
      <c r="E110" s="3">
        <f t="shared" si="6"/>
        <v>0</v>
      </c>
      <c r="F110" s="3">
        <f t="shared" si="8"/>
        <v>0</v>
      </c>
      <c r="G110" s="3">
        <f t="shared" si="7"/>
        <v>0</v>
      </c>
    </row>
    <row r="111" spans="1:7" x14ac:dyDescent="0.35">
      <c r="A111" s="3"/>
      <c r="B111" s="3"/>
      <c r="C111" s="3"/>
      <c r="D111" s="3"/>
      <c r="E111" s="3">
        <f t="shared" si="6"/>
        <v>0</v>
      </c>
      <c r="F111" s="3">
        <f t="shared" si="8"/>
        <v>0</v>
      </c>
      <c r="G111" s="3">
        <f t="shared" si="7"/>
        <v>0</v>
      </c>
    </row>
    <row r="112" spans="1:7" x14ac:dyDescent="0.35">
      <c r="A112" s="3"/>
      <c r="B112" s="3"/>
      <c r="C112" s="3"/>
      <c r="D112" s="3"/>
      <c r="E112" s="3">
        <f t="shared" si="6"/>
        <v>0</v>
      </c>
      <c r="F112" s="3">
        <f t="shared" si="8"/>
        <v>0</v>
      </c>
      <c r="G112" s="3">
        <f t="shared" si="7"/>
        <v>0</v>
      </c>
    </row>
    <row r="113" spans="1:7" x14ac:dyDescent="0.35">
      <c r="A113" s="3"/>
      <c r="B113" s="3"/>
      <c r="C113" s="3"/>
      <c r="D113" s="3"/>
      <c r="E113" s="3">
        <f t="shared" si="6"/>
        <v>0</v>
      </c>
      <c r="F113" s="3">
        <f t="shared" si="8"/>
        <v>0</v>
      </c>
      <c r="G113" s="3">
        <f t="shared" si="7"/>
        <v>0</v>
      </c>
    </row>
    <row r="114" spans="1:7" x14ac:dyDescent="0.35">
      <c r="A114" s="3"/>
      <c r="B114" s="3"/>
      <c r="C114" s="3"/>
      <c r="D114" s="3"/>
      <c r="E114" s="3">
        <f t="shared" si="6"/>
        <v>0</v>
      </c>
      <c r="F114" s="3">
        <f t="shared" si="8"/>
        <v>0</v>
      </c>
      <c r="G114" s="3">
        <f t="shared" si="7"/>
        <v>0</v>
      </c>
    </row>
    <row r="115" spans="1:7" x14ac:dyDescent="0.35">
      <c r="A115" s="3"/>
      <c r="B115" s="3"/>
      <c r="C115" s="3"/>
      <c r="D115" s="3"/>
      <c r="E115" s="3">
        <f t="shared" si="6"/>
        <v>0</v>
      </c>
      <c r="F115" s="3">
        <f t="shared" si="8"/>
        <v>0</v>
      </c>
      <c r="G115" s="3">
        <f t="shared" si="7"/>
        <v>0</v>
      </c>
    </row>
  </sheetData>
  <dataValidations count="1">
    <dataValidation type="list" allowBlank="1" showInputMessage="1" showErrorMessage="1" sqref="B1:B22 B24:B1048576" xr:uid="{EEFFC165-ECFB-4EDB-8EE6-11656FFB8BF8}">
      <formula1>$M$1:$M$10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93216-00F2-4B61-BD70-875BCB9ADE0F}">
  <dimension ref="A1:K23"/>
  <sheetViews>
    <sheetView workbookViewId="0">
      <selection activeCell="G2" sqref="G2"/>
    </sheetView>
  </sheetViews>
  <sheetFormatPr defaultRowHeight="14.5" x14ac:dyDescent="0.35"/>
  <cols>
    <col min="1" max="1" width="24.7265625" bestFit="1" customWidth="1"/>
    <col min="2" max="2" width="12.26953125" style="9" bestFit="1" customWidth="1"/>
    <col min="3" max="3" width="12.453125" style="18" bestFit="1" customWidth="1"/>
    <col min="4" max="4" width="11.54296875" style="9" bestFit="1" customWidth="1"/>
    <col min="5" max="5" width="15.453125" style="9" bestFit="1" customWidth="1"/>
    <col min="7" max="7" width="12.1796875" bestFit="1" customWidth="1"/>
    <col min="8" max="8" width="8.6328125" style="9" bestFit="1" customWidth="1"/>
    <col min="10" max="10" width="16.81640625" bestFit="1" customWidth="1"/>
  </cols>
  <sheetData>
    <row r="1" spans="1:8" x14ac:dyDescent="0.35">
      <c r="A1" t="s">
        <v>46</v>
      </c>
      <c r="B1" s="9" t="s">
        <v>47</v>
      </c>
      <c r="C1" s="18" t="s">
        <v>50</v>
      </c>
      <c r="D1" s="9" t="s">
        <v>48</v>
      </c>
      <c r="E1" s="9" t="s">
        <v>49</v>
      </c>
      <c r="G1" s="45" t="s">
        <v>106</v>
      </c>
      <c r="H1" s="45"/>
    </row>
    <row r="2" spans="1:8" x14ac:dyDescent="0.35">
      <c r="A2" t="s">
        <v>34</v>
      </c>
      <c r="C2" s="6">
        <v>45351</v>
      </c>
      <c r="E2" s="9">
        <f>B2-D2</f>
        <v>0</v>
      </c>
      <c r="F2" s="9"/>
      <c r="G2" t="s">
        <v>62</v>
      </c>
    </row>
    <row r="3" spans="1:8" x14ac:dyDescent="0.35">
      <c r="A3" t="s">
        <v>39</v>
      </c>
      <c r="C3" s="6"/>
      <c r="E3" s="9">
        <f t="shared" ref="E3:E19" si="0">B3-D3</f>
        <v>0</v>
      </c>
      <c r="F3" s="9"/>
      <c r="G3" t="s">
        <v>63</v>
      </c>
    </row>
    <row r="4" spans="1:8" x14ac:dyDescent="0.35">
      <c r="A4" t="s">
        <v>35</v>
      </c>
      <c r="B4" s="9">
        <v>0</v>
      </c>
      <c r="C4" s="6"/>
      <c r="E4" s="9">
        <f t="shared" si="0"/>
        <v>0</v>
      </c>
      <c r="F4" s="9"/>
      <c r="G4" t="s">
        <v>64</v>
      </c>
      <c r="H4" s="9">
        <f>K21</f>
        <v>0</v>
      </c>
    </row>
    <row r="5" spans="1:8" x14ac:dyDescent="0.35">
      <c r="A5" t="s">
        <v>36</v>
      </c>
      <c r="C5" s="6"/>
      <c r="E5" s="9">
        <f t="shared" si="0"/>
        <v>0</v>
      </c>
      <c r="F5" s="9"/>
      <c r="G5" t="s">
        <v>65</v>
      </c>
    </row>
    <row r="6" spans="1:8" x14ac:dyDescent="0.35">
      <c r="A6" t="s">
        <v>37</v>
      </c>
      <c r="C6" s="6"/>
      <c r="E6" s="9">
        <f t="shared" si="0"/>
        <v>0</v>
      </c>
    </row>
    <row r="7" spans="1:8" x14ac:dyDescent="0.35">
      <c r="A7" t="s">
        <v>38</v>
      </c>
      <c r="B7" s="9">
        <v>50000</v>
      </c>
      <c r="C7" s="6"/>
      <c r="E7" s="9">
        <f t="shared" si="0"/>
        <v>50000</v>
      </c>
      <c r="F7" s="19">
        <f>SUM(F2:F6)</f>
        <v>0</v>
      </c>
    </row>
    <row r="8" spans="1:8" x14ac:dyDescent="0.35">
      <c r="A8" t="s">
        <v>56</v>
      </c>
      <c r="C8" s="6"/>
      <c r="E8" s="9">
        <f t="shared" si="0"/>
        <v>0</v>
      </c>
    </row>
    <row r="9" spans="1:8" x14ac:dyDescent="0.35">
      <c r="A9" t="s">
        <v>40</v>
      </c>
      <c r="C9" s="6"/>
      <c r="E9" s="9">
        <f t="shared" si="0"/>
        <v>0</v>
      </c>
    </row>
    <row r="10" spans="1:8" x14ac:dyDescent="0.35">
      <c r="A10" t="s">
        <v>41</v>
      </c>
      <c r="B10" s="9">
        <v>0</v>
      </c>
      <c r="C10" s="6"/>
      <c r="E10" s="9">
        <f t="shared" si="0"/>
        <v>0</v>
      </c>
    </row>
    <row r="11" spans="1:8" x14ac:dyDescent="0.35">
      <c r="A11" t="s">
        <v>53</v>
      </c>
      <c r="B11" s="9">
        <v>0</v>
      </c>
      <c r="C11" s="6"/>
      <c r="E11" s="9">
        <f t="shared" si="0"/>
        <v>0</v>
      </c>
    </row>
    <row r="12" spans="1:8" x14ac:dyDescent="0.35">
      <c r="A12" t="s">
        <v>52</v>
      </c>
      <c r="C12" s="6"/>
      <c r="E12" s="9">
        <f t="shared" si="0"/>
        <v>0</v>
      </c>
    </row>
    <row r="13" spans="1:8" x14ac:dyDescent="0.35">
      <c r="A13" t="s">
        <v>55</v>
      </c>
      <c r="B13" s="9">
        <v>125000</v>
      </c>
      <c r="C13" s="6"/>
      <c r="E13" s="9">
        <f t="shared" si="0"/>
        <v>125000</v>
      </c>
    </row>
    <row r="14" spans="1:8" x14ac:dyDescent="0.35">
      <c r="A14" t="s">
        <v>51</v>
      </c>
      <c r="B14" s="9">
        <v>0</v>
      </c>
      <c r="C14" s="6"/>
      <c r="E14" s="9">
        <f t="shared" si="0"/>
        <v>0</v>
      </c>
    </row>
    <row r="15" spans="1:8" x14ac:dyDescent="0.35">
      <c r="A15" t="s">
        <v>42</v>
      </c>
      <c r="B15" s="9">
        <v>0</v>
      </c>
      <c r="C15" s="6"/>
      <c r="E15" s="9">
        <f t="shared" si="0"/>
        <v>0</v>
      </c>
    </row>
    <row r="16" spans="1:8" x14ac:dyDescent="0.35">
      <c r="A16" t="s">
        <v>61</v>
      </c>
      <c r="C16" s="6"/>
      <c r="E16" s="9">
        <f t="shared" si="0"/>
        <v>0</v>
      </c>
    </row>
    <row r="17" spans="1:11" x14ac:dyDescent="0.35">
      <c r="A17" t="s">
        <v>43</v>
      </c>
      <c r="B17" s="9">
        <v>15000</v>
      </c>
      <c r="C17" s="6"/>
      <c r="E17" s="9">
        <f t="shared" si="0"/>
        <v>15000</v>
      </c>
    </row>
    <row r="18" spans="1:11" x14ac:dyDescent="0.35">
      <c r="A18" t="s">
        <v>44</v>
      </c>
      <c r="C18" s="6"/>
      <c r="E18" s="9">
        <f t="shared" si="0"/>
        <v>0</v>
      </c>
    </row>
    <row r="19" spans="1:11" x14ac:dyDescent="0.35">
      <c r="A19" t="s">
        <v>45</v>
      </c>
      <c r="E19" s="9">
        <f t="shared" si="0"/>
        <v>0</v>
      </c>
    </row>
    <row r="21" spans="1:11" x14ac:dyDescent="0.35">
      <c r="B21" s="9">
        <f>SUM(B1:B20)</f>
        <v>190000</v>
      </c>
      <c r="E21" s="9">
        <f>SUM(E2:E20)</f>
        <v>190000</v>
      </c>
      <c r="H21" s="9">
        <f>SUM(H2:H20)</f>
        <v>0</v>
      </c>
      <c r="K21">
        <f>SUM(K2:K20)</f>
        <v>0</v>
      </c>
    </row>
    <row r="23" spans="1:11" x14ac:dyDescent="0.35">
      <c r="E23" s="9">
        <f>E21-H21</f>
        <v>190000</v>
      </c>
    </row>
  </sheetData>
  <mergeCells count="1">
    <mergeCell ref="G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9D673-C189-478A-847A-3BA57FD8DC70}">
  <dimension ref="A1:S19"/>
  <sheetViews>
    <sheetView tabSelected="1" workbookViewId="0">
      <selection activeCell="J13" sqref="J13"/>
    </sheetView>
  </sheetViews>
  <sheetFormatPr defaultRowHeight="14.5" x14ac:dyDescent="0.35"/>
  <cols>
    <col min="1" max="1" width="8.08984375" bestFit="1" customWidth="1"/>
    <col min="2" max="2" width="9.36328125" style="20" bestFit="1" customWidth="1"/>
    <col min="3" max="3" width="11.36328125" style="9" bestFit="1" customWidth="1"/>
    <col min="4" max="4" width="16.54296875" style="9" bestFit="1" customWidth="1"/>
    <col min="6" max="6" width="6.08984375" bestFit="1" customWidth="1"/>
    <col min="7" max="7" width="9.1796875" style="20" bestFit="1" customWidth="1"/>
    <col min="8" max="8" width="11.36328125" style="9" bestFit="1" customWidth="1"/>
    <col min="10" max="10" width="10.6328125" bestFit="1" customWidth="1"/>
    <col min="11" max="11" width="9.36328125" bestFit="1" customWidth="1"/>
    <col min="12" max="12" width="11.36328125" bestFit="1" customWidth="1"/>
    <col min="15" max="15" width="9.36328125" bestFit="1" customWidth="1"/>
    <col min="16" max="16" width="11.36328125" bestFit="1" customWidth="1"/>
  </cols>
  <sheetData>
    <row r="1" spans="1:19" x14ac:dyDescent="0.35">
      <c r="A1" s="50" t="s">
        <v>39</v>
      </c>
      <c r="B1" s="51"/>
      <c r="C1" s="51"/>
      <c r="D1" s="51"/>
      <c r="F1" s="47" t="s">
        <v>60</v>
      </c>
      <c r="G1" s="47"/>
      <c r="H1" s="47"/>
      <c r="J1" s="47" t="s">
        <v>67</v>
      </c>
      <c r="K1" s="47"/>
      <c r="L1" s="47"/>
      <c r="N1" s="47" t="s">
        <v>69</v>
      </c>
      <c r="O1" s="47"/>
      <c r="P1" s="47"/>
    </row>
    <row r="2" spans="1:19" x14ac:dyDescent="0.35">
      <c r="A2" s="3" t="s">
        <v>102</v>
      </c>
      <c r="B2" s="21" t="s">
        <v>58</v>
      </c>
      <c r="C2" s="4" t="s">
        <v>59</v>
      </c>
      <c r="D2" s="4" t="s">
        <v>104</v>
      </c>
      <c r="F2" s="3" t="s">
        <v>57</v>
      </c>
      <c r="G2" s="21" t="s">
        <v>58</v>
      </c>
      <c r="H2" s="4" t="s">
        <v>59</v>
      </c>
      <c r="J2" s="3" t="s">
        <v>57</v>
      </c>
      <c r="K2" s="21" t="s">
        <v>58</v>
      </c>
      <c r="L2" s="4" t="s">
        <v>59</v>
      </c>
      <c r="N2" s="3" t="s">
        <v>57</v>
      </c>
      <c r="O2" s="21" t="s">
        <v>58</v>
      </c>
      <c r="P2" s="4" t="s">
        <v>59</v>
      </c>
    </row>
    <row r="3" spans="1:19" x14ac:dyDescent="0.35">
      <c r="A3" s="3" t="s">
        <v>103</v>
      </c>
      <c r="B3" s="21">
        <v>45244</v>
      </c>
      <c r="C3" s="4">
        <v>27735</v>
      </c>
      <c r="D3" s="4"/>
      <c r="F3" s="3">
        <v>1</v>
      </c>
      <c r="G3" s="21">
        <v>45211</v>
      </c>
      <c r="H3" s="4">
        <v>26495</v>
      </c>
      <c r="J3" s="3"/>
      <c r="K3" s="21"/>
      <c r="L3" s="4"/>
      <c r="N3" s="3">
        <v>1</v>
      </c>
      <c r="O3" s="21">
        <v>45230</v>
      </c>
      <c r="P3" s="22">
        <v>6130</v>
      </c>
    </row>
    <row r="4" spans="1:19" x14ac:dyDescent="0.35">
      <c r="A4" s="3" t="s">
        <v>103</v>
      </c>
      <c r="B4" s="21">
        <v>45272</v>
      </c>
      <c r="C4" s="4">
        <v>20233</v>
      </c>
      <c r="D4" s="4"/>
      <c r="F4" s="3">
        <v>2</v>
      </c>
      <c r="G4" s="21">
        <v>45280</v>
      </c>
      <c r="H4" s="4">
        <v>19500</v>
      </c>
      <c r="J4" s="3"/>
      <c r="K4" s="21"/>
      <c r="L4" s="4"/>
      <c r="N4" s="3">
        <v>2</v>
      </c>
      <c r="O4" s="21">
        <v>45260</v>
      </c>
      <c r="P4" s="22">
        <v>5000</v>
      </c>
    </row>
    <row r="5" spans="1:19" x14ac:dyDescent="0.35">
      <c r="A5" s="3" t="s">
        <v>16</v>
      </c>
      <c r="B5" s="21">
        <v>45317</v>
      </c>
      <c r="C5" s="4">
        <v>-20233</v>
      </c>
      <c r="D5" s="4" t="s">
        <v>105</v>
      </c>
      <c r="F5" s="3">
        <v>3</v>
      </c>
      <c r="G5" s="21">
        <v>45281</v>
      </c>
      <c r="H5" s="4">
        <v>2960</v>
      </c>
      <c r="J5" s="3"/>
      <c r="K5" s="21"/>
      <c r="L5" s="4"/>
      <c r="N5" s="3"/>
      <c r="O5" s="21"/>
      <c r="P5" s="22"/>
    </row>
    <row r="6" spans="1:19" x14ac:dyDescent="0.35">
      <c r="A6" s="3"/>
      <c r="B6" s="21"/>
      <c r="C6" s="4"/>
      <c r="D6" s="4"/>
      <c r="F6" s="3">
        <v>4</v>
      </c>
      <c r="G6" s="21">
        <v>45292</v>
      </c>
      <c r="H6" s="4">
        <v>16000</v>
      </c>
      <c r="J6" s="3"/>
      <c r="K6" s="21"/>
      <c r="L6" s="4"/>
      <c r="N6" s="3"/>
      <c r="O6" s="21"/>
      <c r="P6" s="22"/>
    </row>
    <row r="7" spans="1:19" x14ac:dyDescent="0.35">
      <c r="A7" s="3"/>
      <c r="B7" s="21"/>
      <c r="C7" s="4"/>
      <c r="D7" s="4"/>
      <c r="F7" s="3"/>
      <c r="G7" s="21"/>
      <c r="H7" s="4"/>
      <c r="J7" s="3"/>
      <c r="K7" s="21"/>
      <c r="L7" s="4"/>
      <c r="N7" s="3"/>
      <c r="O7" s="21"/>
      <c r="P7" s="22"/>
    </row>
    <row r="8" spans="1:19" x14ac:dyDescent="0.35">
      <c r="A8" s="3"/>
      <c r="B8" s="21"/>
      <c r="C8" s="4"/>
      <c r="D8" s="4"/>
      <c r="F8" s="3"/>
      <c r="G8" s="21"/>
      <c r="H8" s="4"/>
      <c r="J8" s="3"/>
      <c r="K8" s="21"/>
      <c r="L8" s="4"/>
      <c r="N8" s="3"/>
      <c r="O8" s="21"/>
      <c r="P8" s="22"/>
    </row>
    <row r="9" spans="1:19" x14ac:dyDescent="0.35">
      <c r="A9" s="46" t="s">
        <v>33</v>
      </c>
      <c r="B9" s="46"/>
      <c r="C9" s="4">
        <f>SUM(C3:C8)</f>
        <v>27735</v>
      </c>
      <c r="D9" s="4"/>
      <c r="F9" s="48" t="s">
        <v>33</v>
      </c>
      <c r="G9" s="49"/>
      <c r="H9" s="4">
        <f>SUM(H3:H8)</f>
        <v>64955</v>
      </c>
      <c r="J9" s="48" t="s">
        <v>33</v>
      </c>
      <c r="K9" s="49"/>
      <c r="L9" s="4">
        <f>SUM(L3:L8)</f>
        <v>0</v>
      </c>
      <c r="N9" s="48" t="s">
        <v>33</v>
      </c>
      <c r="O9" s="49"/>
      <c r="P9" s="22">
        <f>SUM(P3:P8)</f>
        <v>11130</v>
      </c>
    </row>
    <row r="11" spans="1:19" x14ac:dyDescent="0.35">
      <c r="F11" s="47" t="s">
        <v>66</v>
      </c>
      <c r="G11" s="47"/>
      <c r="H11" s="47"/>
      <c r="N11" s="47" t="s">
        <v>40</v>
      </c>
      <c r="O11" s="47"/>
      <c r="P11" s="47"/>
    </row>
    <row r="12" spans="1:19" x14ac:dyDescent="0.35">
      <c r="F12" s="3" t="s">
        <v>57</v>
      </c>
      <c r="G12" s="21" t="s">
        <v>58</v>
      </c>
      <c r="H12" s="4" t="s">
        <v>59</v>
      </c>
      <c r="N12" s="3" t="s">
        <v>57</v>
      </c>
      <c r="O12" s="21" t="s">
        <v>58</v>
      </c>
      <c r="P12" s="4" t="s">
        <v>59</v>
      </c>
      <c r="Q12" t="s">
        <v>70</v>
      </c>
      <c r="R12" t="s">
        <v>71</v>
      </c>
      <c r="S12" t="s">
        <v>33</v>
      </c>
    </row>
    <row r="13" spans="1:19" x14ac:dyDescent="0.35">
      <c r="F13" s="3" t="s">
        <v>68</v>
      </c>
      <c r="G13" s="21">
        <v>45226</v>
      </c>
      <c r="H13" s="4"/>
      <c r="J13" t="s">
        <v>133</v>
      </c>
      <c r="N13" s="3">
        <v>1</v>
      </c>
      <c r="O13" s="21"/>
      <c r="P13" s="4"/>
      <c r="Q13">
        <v>75</v>
      </c>
      <c r="R13">
        <v>64</v>
      </c>
      <c r="S13">
        <f>R13*Q13</f>
        <v>4800</v>
      </c>
    </row>
    <row r="14" spans="1:19" x14ac:dyDescent="0.35">
      <c r="F14" s="3"/>
      <c r="G14" s="21"/>
      <c r="H14" s="4"/>
      <c r="N14" s="3">
        <v>2</v>
      </c>
      <c r="O14" s="21"/>
      <c r="P14" s="4"/>
      <c r="Q14">
        <v>101</v>
      </c>
      <c r="R14">
        <v>64</v>
      </c>
      <c r="S14">
        <f t="shared" ref="S14:S17" si="0">R14*Q14</f>
        <v>6464</v>
      </c>
    </row>
    <row r="15" spans="1:19" x14ac:dyDescent="0.35">
      <c r="F15" s="3"/>
      <c r="G15" s="21"/>
      <c r="H15" s="4"/>
      <c r="N15" s="3">
        <v>3</v>
      </c>
      <c r="O15" s="21"/>
      <c r="P15" s="4"/>
      <c r="Q15">
        <v>36</v>
      </c>
      <c r="R15">
        <v>120</v>
      </c>
      <c r="S15">
        <f t="shared" si="0"/>
        <v>4320</v>
      </c>
    </row>
    <row r="16" spans="1:19" x14ac:dyDescent="0.35">
      <c r="F16" s="3"/>
      <c r="G16" s="21"/>
      <c r="H16" s="4"/>
      <c r="N16" s="3">
        <v>3</v>
      </c>
      <c r="O16" s="21"/>
      <c r="P16" s="4"/>
      <c r="Q16">
        <v>93</v>
      </c>
      <c r="R16">
        <v>64</v>
      </c>
      <c r="S16">
        <f t="shared" si="0"/>
        <v>5952</v>
      </c>
    </row>
    <row r="17" spans="6:19" x14ac:dyDescent="0.35">
      <c r="F17" s="3"/>
      <c r="G17" s="21"/>
      <c r="H17" s="4"/>
      <c r="N17" s="3" t="s">
        <v>72</v>
      </c>
      <c r="O17" s="21"/>
      <c r="P17" s="4"/>
      <c r="Q17">
        <v>30</v>
      </c>
      <c r="R17">
        <v>120</v>
      </c>
      <c r="S17">
        <f t="shared" si="0"/>
        <v>3600</v>
      </c>
    </row>
    <row r="18" spans="6:19" x14ac:dyDescent="0.35">
      <c r="F18" s="3"/>
      <c r="G18" s="21"/>
      <c r="H18" s="4"/>
      <c r="N18" s="48" t="s">
        <v>68</v>
      </c>
      <c r="O18" s="49"/>
      <c r="P18" s="4">
        <v>115000</v>
      </c>
    </row>
    <row r="19" spans="6:19" x14ac:dyDescent="0.35">
      <c r="F19" s="48" t="s">
        <v>33</v>
      </c>
      <c r="G19" s="49"/>
      <c r="H19" s="4">
        <f>SUM(H13:H18)</f>
        <v>0</v>
      </c>
      <c r="N19" s="48" t="s">
        <v>33</v>
      </c>
      <c r="O19" s="49"/>
      <c r="P19" s="4">
        <f>SUM(P13:P18)</f>
        <v>115000</v>
      </c>
    </row>
  </sheetData>
  <mergeCells count="13">
    <mergeCell ref="N19:O19"/>
    <mergeCell ref="F11:H11"/>
    <mergeCell ref="F19:G19"/>
    <mergeCell ref="J1:L1"/>
    <mergeCell ref="J9:K9"/>
    <mergeCell ref="N18:O18"/>
    <mergeCell ref="N11:P11"/>
    <mergeCell ref="A9:B9"/>
    <mergeCell ref="F1:H1"/>
    <mergeCell ref="F9:G9"/>
    <mergeCell ref="N1:P1"/>
    <mergeCell ref="N9:O9"/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488FE-E32E-4903-AB9D-F83BA911FAAF}">
  <dimension ref="A1:G18"/>
  <sheetViews>
    <sheetView workbookViewId="0">
      <selection activeCell="I13" sqref="I13"/>
    </sheetView>
  </sheetViews>
  <sheetFormatPr defaultRowHeight="14.5" x14ac:dyDescent="0.35"/>
  <cols>
    <col min="1" max="1" width="14.90625" bestFit="1" customWidth="1"/>
    <col min="2" max="2" width="9.7265625" style="9" bestFit="1" customWidth="1"/>
    <col min="3" max="3" width="11.36328125" bestFit="1" customWidth="1"/>
    <col min="4" max="4" width="11.36328125" customWidth="1"/>
    <col min="5" max="5" width="16.7265625" bestFit="1" customWidth="1"/>
    <col min="6" max="6" width="8.6328125" style="9" bestFit="1" customWidth="1"/>
    <col min="7" max="7" width="9.7265625" style="9" bestFit="1" customWidth="1"/>
  </cols>
  <sheetData>
    <row r="1" spans="1:7" x14ac:dyDescent="0.35">
      <c r="A1" s="52" t="s">
        <v>117</v>
      </c>
      <c r="B1" s="52"/>
      <c r="E1" s="52" t="s">
        <v>119</v>
      </c>
      <c r="F1" s="52"/>
      <c r="G1" s="52"/>
    </row>
    <row r="2" spans="1:7" x14ac:dyDescent="0.35">
      <c r="A2" t="s">
        <v>67</v>
      </c>
    </row>
    <row r="3" spans="1:7" x14ac:dyDescent="0.35">
      <c r="A3" s="20" t="s">
        <v>60</v>
      </c>
      <c r="B3" s="9">
        <f>8600+14400</f>
        <v>23000</v>
      </c>
      <c r="C3">
        <v>23000</v>
      </c>
      <c r="E3" t="s">
        <v>118</v>
      </c>
      <c r="F3" s="9">
        <v>17000</v>
      </c>
    </row>
    <row r="4" spans="1:7" x14ac:dyDescent="0.35">
      <c r="A4" s="20" t="s">
        <v>107</v>
      </c>
      <c r="E4" t="s">
        <v>120</v>
      </c>
      <c r="F4" s="9">
        <v>14000</v>
      </c>
    </row>
    <row r="5" spans="1:7" x14ac:dyDescent="0.35">
      <c r="A5" s="20" t="s">
        <v>108</v>
      </c>
      <c r="B5" s="9">
        <v>14000</v>
      </c>
      <c r="C5">
        <v>14000</v>
      </c>
      <c r="E5" t="s">
        <v>121</v>
      </c>
      <c r="F5" s="9">
        <v>11000</v>
      </c>
    </row>
    <row r="6" spans="1:7" x14ac:dyDescent="0.35">
      <c r="A6" s="20" t="s">
        <v>109</v>
      </c>
      <c r="B6" s="9">
        <v>13000</v>
      </c>
      <c r="C6">
        <v>5000</v>
      </c>
      <c r="E6" t="s">
        <v>122</v>
      </c>
      <c r="F6" s="9">
        <v>5000</v>
      </c>
    </row>
    <row r="7" spans="1:7" x14ac:dyDescent="0.35">
      <c r="A7" s="20" t="s">
        <v>110</v>
      </c>
      <c r="B7" s="9">
        <v>14000</v>
      </c>
      <c r="E7" t="s">
        <v>123</v>
      </c>
      <c r="F7" s="9">
        <v>40000</v>
      </c>
    </row>
    <row r="8" spans="1:7" x14ac:dyDescent="0.35">
      <c r="A8" s="20" t="s">
        <v>111</v>
      </c>
      <c r="B8" s="9">
        <v>20000</v>
      </c>
      <c r="E8" t="s">
        <v>124</v>
      </c>
      <c r="F8" s="9">
        <v>40000</v>
      </c>
    </row>
    <row r="9" spans="1:7" x14ac:dyDescent="0.35">
      <c r="A9" s="20" t="s">
        <v>127</v>
      </c>
      <c r="B9" s="9">
        <v>8500</v>
      </c>
      <c r="C9" s="9">
        <v>8500</v>
      </c>
      <c r="D9" s="9"/>
      <c r="E9" t="s">
        <v>125</v>
      </c>
      <c r="F9" s="9">
        <v>60000</v>
      </c>
    </row>
    <row r="10" spans="1:7" x14ac:dyDescent="0.35">
      <c r="A10" s="20"/>
      <c r="E10" t="s">
        <v>126</v>
      </c>
      <c r="F10" s="9">
        <f>15000*4</f>
        <v>60000</v>
      </c>
    </row>
    <row r="11" spans="1:7" x14ac:dyDescent="0.35">
      <c r="A11" s="20" t="s">
        <v>33</v>
      </c>
      <c r="B11" s="41">
        <f>SUM(B2:B9)</f>
        <v>92500</v>
      </c>
      <c r="E11" t="s">
        <v>128</v>
      </c>
      <c r="F11" s="9">
        <v>4800</v>
      </c>
    </row>
    <row r="12" spans="1:7" x14ac:dyDescent="0.35">
      <c r="A12" s="20" t="s">
        <v>112</v>
      </c>
      <c r="B12" s="9">
        <v>100000</v>
      </c>
      <c r="C12" s="9">
        <v>100000</v>
      </c>
      <c r="E12" t="s">
        <v>129</v>
      </c>
      <c r="F12" s="9">
        <v>29000</v>
      </c>
    </row>
    <row r="13" spans="1:7" x14ac:dyDescent="0.35">
      <c r="A13" s="20" t="s">
        <v>113</v>
      </c>
      <c r="B13" s="9">
        <v>200000</v>
      </c>
      <c r="E13" t="s">
        <v>130</v>
      </c>
      <c r="F13" s="9">
        <v>10000</v>
      </c>
    </row>
    <row r="14" spans="1:7" x14ac:dyDescent="0.35">
      <c r="A14" s="20" t="s">
        <v>114</v>
      </c>
      <c r="B14" s="9">
        <v>100000</v>
      </c>
      <c r="C14">
        <v>50000</v>
      </c>
      <c r="E14" t="s">
        <v>131</v>
      </c>
      <c r="F14" s="9">
        <v>2350</v>
      </c>
    </row>
    <row r="15" spans="1:7" x14ac:dyDescent="0.35">
      <c r="A15" s="20" t="s">
        <v>115</v>
      </c>
      <c r="B15" s="9">
        <v>40000</v>
      </c>
    </row>
    <row r="16" spans="1:7" x14ac:dyDescent="0.35">
      <c r="A16" s="20" t="s">
        <v>116</v>
      </c>
      <c r="B16" s="9">
        <v>106000</v>
      </c>
      <c r="C16" s="9">
        <v>106000</v>
      </c>
      <c r="D16" s="9"/>
    </row>
    <row r="17" spans="1:6" x14ac:dyDescent="0.35">
      <c r="A17" s="20" t="s">
        <v>132</v>
      </c>
      <c r="B17" s="9">
        <v>20000</v>
      </c>
      <c r="C17" s="9">
        <v>20000</v>
      </c>
    </row>
    <row r="18" spans="1:6" x14ac:dyDescent="0.35">
      <c r="B18" s="9">
        <f>SUM(B11:B17)</f>
        <v>658500</v>
      </c>
      <c r="C18" s="19">
        <f>SUM(C3:C17)</f>
        <v>326500</v>
      </c>
      <c r="D18" s="19"/>
      <c r="F18" s="9">
        <f>SUM(F3:F17)</f>
        <v>293150</v>
      </c>
    </row>
  </sheetData>
  <mergeCells count="2">
    <mergeCell ref="A1:B1"/>
    <mergeCell ref="E1:G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EC266CE-5614-4265-B504-1D044EEFDA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EMI</vt:lpstr>
      <vt:lpstr>Sadhan Santkrupa Account</vt:lpstr>
      <vt:lpstr>Daily Entry</vt:lpstr>
      <vt:lpstr>Vendor Payment</vt:lpstr>
      <vt:lpstr>Invoice</vt:lpstr>
      <vt:lpstr>MAy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Santkrupa</dc:creator>
  <cp:lastModifiedBy>Maru, Dharmesh</cp:lastModifiedBy>
  <dcterms:created xsi:type="dcterms:W3CDTF">2015-06-05T18:17:20Z</dcterms:created>
  <dcterms:modified xsi:type="dcterms:W3CDTF">2025-04-04T08:49:41Z</dcterms:modified>
</cp:coreProperties>
</file>