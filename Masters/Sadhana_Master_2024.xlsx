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Masters/"/>
    </mc:Choice>
  </mc:AlternateContent>
  <xr:revisionPtr revIDLastSave="1198" documentId="13_ncr:1_{3FD3B1B2-F581-4948-BB8E-B766E6522F78}" xr6:coauthVersionLast="47" xr6:coauthVersionMax="47" xr10:uidLastSave="{C6D8B11F-D2B8-4EBF-958D-B825658F0733}"/>
  <bookViews>
    <workbookView xWindow="-110" yWindow="-110" windowWidth="19420" windowHeight="11500" tabRatio="920" firstSheet="8" activeTab="12" xr2:uid="{8865B083-1582-4CA2-AAA3-7EF19B786078}"/>
  </bookViews>
  <sheets>
    <sheet name="January 2024" sheetId="1" r:id="rId1"/>
    <sheet name="Febuary 2024" sheetId="2" r:id="rId2"/>
    <sheet name="March 2024" sheetId="3" r:id="rId3"/>
    <sheet name="April 2024" sheetId="4" r:id="rId4"/>
    <sheet name="May 2024" sheetId="5" r:id="rId5"/>
    <sheet name="June 2024" sheetId="6" r:id="rId6"/>
    <sheet name="July 2024" sheetId="7" r:id="rId7"/>
    <sheet name="August 2024" sheetId="8" r:id="rId8"/>
    <sheet name="September 2024" sheetId="9" r:id="rId9"/>
    <sheet name="September Expense" sheetId="10" r:id="rId10"/>
    <sheet name="October Exepenses" sheetId="14" r:id="rId11"/>
    <sheet name="Octomber 2024" sheetId="11" r:id="rId12"/>
    <sheet name="Diwali P&amp;L 2024" sheetId="13" r:id="rId13"/>
    <sheet name="November 2024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4" l="1"/>
  <c r="E40" i="14"/>
  <c r="B21" i="13"/>
  <c r="B4" i="13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I23" i="13"/>
  <c r="I6" i="13"/>
  <c r="E20" i="13"/>
  <c r="I13" i="13"/>
  <c r="I11" i="13"/>
  <c r="I10" i="13"/>
  <c r="I9" i="13"/>
  <c r="E11" i="13"/>
  <c r="E13" i="13" s="1"/>
  <c r="I14" i="13" l="1"/>
  <c r="B20" i="13"/>
  <c r="E30" i="14"/>
  <c r="E23" i="14"/>
  <c r="G37" i="11"/>
  <c r="B13" i="13"/>
  <c r="D44" i="10"/>
  <c r="R59" i="12"/>
  <c r="Q59" i="12"/>
  <c r="P59" i="12"/>
  <c r="K59" i="12"/>
  <c r="A38" i="12" s="1"/>
  <c r="K53" i="12"/>
  <c r="R53" i="12" s="1"/>
  <c r="K52" i="12"/>
  <c r="R52" i="12" s="1"/>
  <c r="K51" i="12"/>
  <c r="R51" i="12" s="1"/>
  <c r="K50" i="12"/>
  <c r="R50" i="12" s="1"/>
  <c r="K49" i="12"/>
  <c r="R49" i="12" s="1"/>
  <c r="K48" i="12"/>
  <c r="R48" i="12" s="1"/>
  <c r="K47" i="12"/>
  <c r="K42" i="12"/>
  <c r="R42" i="12" s="1"/>
  <c r="K41" i="12"/>
  <c r="Q41" i="12" s="1"/>
  <c r="K40" i="12"/>
  <c r="R40" i="12" s="1"/>
  <c r="K39" i="12"/>
  <c r="R39" i="12" s="1"/>
  <c r="K38" i="12"/>
  <c r="R38" i="12" s="1"/>
  <c r="K37" i="12"/>
  <c r="R37" i="12" s="1"/>
  <c r="G30" i="12"/>
  <c r="K36" i="12"/>
  <c r="A37" i="12" s="1"/>
  <c r="K31" i="12"/>
  <c r="R31" i="12" s="1"/>
  <c r="K30" i="12"/>
  <c r="R30" i="12" s="1"/>
  <c r="K29" i="12"/>
  <c r="R29" i="12" s="1"/>
  <c r="B29" i="12"/>
  <c r="K28" i="12"/>
  <c r="R28" i="12" s="1"/>
  <c r="B28" i="12"/>
  <c r="K27" i="12"/>
  <c r="R27" i="12" s="1"/>
  <c r="B27" i="12"/>
  <c r="K26" i="12"/>
  <c r="Q26" i="12" s="1"/>
  <c r="B26" i="12"/>
  <c r="K25" i="12"/>
  <c r="A36" i="12" s="1"/>
  <c r="B25" i="12"/>
  <c r="B24" i="12"/>
  <c r="B23" i="12"/>
  <c r="B22" i="12"/>
  <c r="B21" i="12"/>
  <c r="K20" i="12"/>
  <c r="R20" i="12" s="1"/>
  <c r="K19" i="12"/>
  <c r="R19" i="12" s="1"/>
  <c r="B19" i="12"/>
  <c r="C19" i="12" s="1"/>
  <c r="H19" i="12" s="1"/>
  <c r="K18" i="12"/>
  <c r="R18" i="12" s="1"/>
  <c r="B18" i="12"/>
  <c r="K17" i="12"/>
  <c r="R17" i="12" s="1"/>
  <c r="B17" i="12"/>
  <c r="K16" i="12"/>
  <c r="Q16" i="12" s="1"/>
  <c r="B16" i="12"/>
  <c r="K15" i="12"/>
  <c r="R15" i="12" s="1"/>
  <c r="B15" i="12"/>
  <c r="K14" i="12"/>
  <c r="Q14" i="12" s="1"/>
  <c r="B14" i="12"/>
  <c r="C14" i="12" s="1"/>
  <c r="B13" i="12"/>
  <c r="B12" i="12"/>
  <c r="K9" i="12"/>
  <c r="R9" i="12" s="1"/>
  <c r="B9" i="12"/>
  <c r="K8" i="12"/>
  <c r="R8" i="12" s="1"/>
  <c r="K7" i="12"/>
  <c r="R7" i="12" s="1"/>
  <c r="K6" i="12"/>
  <c r="P6" i="12" s="1"/>
  <c r="B6" i="12"/>
  <c r="K5" i="12"/>
  <c r="Q5" i="12" s="1"/>
  <c r="B5" i="12"/>
  <c r="K4" i="12"/>
  <c r="R4" i="12" s="1"/>
  <c r="B4" i="12"/>
  <c r="K3" i="12"/>
  <c r="Q3" i="12" s="1"/>
  <c r="B3" i="12"/>
  <c r="C3" i="12" s="1"/>
  <c r="I2" i="12"/>
  <c r="I3" i="12" s="1"/>
  <c r="I4" i="12" s="1"/>
  <c r="D2" i="11"/>
  <c r="D3" i="11"/>
  <c r="D4" i="11"/>
  <c r="B4" i="11" s="1"/>
  <c r="D5" i="11"/>
  <c r="B5" i="11" s="1"/>
  <c r="D6" i="11"/>
  <c r="D7" i="11"/>
  <c r="D8" i="11"/>
  <c r="D9" i="11"/>
  <c r="B9" i="11" s="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B22" i="11" s="1"/>
  <c r="D23" i="11"/>
  <c r="D24" i="11"/>
  <c r="D25" i="11"/>
  <c r="B25" i="11" s="1"/>
  <c r="D26" i="11"/>
  <c r="D27" i="11"/>
  <c r="D28" i="11"/>
  <c r="D29" i="11"/>
  <c r="D30" i="11"/>
  <c r="D31" i="11"/>
  <c r="D32" i="11"/>
  <c r="D33" i="11"/>
  <c r="B33" i="11" s="1"/>
  <c r="D34" i="11"/>
  <c r="B34" i="11" s="1"/>
  <c r="D35" i="11"/>
  <c r="B35" i="11" s="1"/>
  <c r="D36" i="11"/>
  <c r="B36" i="11" s="1"/>
  <c r="I2" i="11"/>
  <c r="I3" i="11" s="1"/>
  <c r="I4" i="11" s="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Q59" i="11"/>
  <c r="P59" i="11"/>
  <c r="K59" i="11"/>
  <c r="A46" i="11" s="1"/>
  <c r="K53" i="11"/>
  <c r="R53" i="11" s="1"/>
  <c r="K52" i="11"/>
  <c r="P52" i="11" s="1"/>
  <c r="K51" i="11"/>
  <c r="R51" i="11" s="1"/>
  <c r="K50" i="11"/>
  <c r="R50" i="11" s="1"/>
  <c r="K49" i="11"/>
  <c r="R49" i="11" s="1"/>
  <c r="P48" i="11"/>
  <c r="K48" i="11"/>
  <c r="R48" i="11" s="1"/>
  <c r="K47" i="11"/>
  <c r="Q47" i="11" s="1"/>
  <c r="K42" i="11"/>
  <c r="R42" i="11" s="1"/>
  <c r="K41" i="11"/>
  <c r="P41" i="11" s="1"/>
  <c r="K40" i="11"/>
  <c r="Q40" i="11" s="1"/>
  <c r="Q39" i="11"/>
  <c r="K39" i="11"/>
  <c r="P39" i="11" s="1"/>
  <c r="K38" i="11"/>
  <c r="R38" i="11" s="1"/>
  <c r="K37" i="11"/>
  <c r="R37" i="11" s="1"/>
  <c r="K36" i="11"/>
  <c r="A44" i="11" s="1"/>
  <c r="K31" i="11"/>
  <c r="R31" i="11" s="1"/>
  <c r="K30" i="11"/>
  <c r="R30" i="11" s="1"/>
  <c r="K29" i="11"/>
  <c r="R29" i="11" s="1"/>
  <c r="K28" i="11"/>
  <c r="R28" i="11" s="1"/>
  <c r="Q27" i="11"/>
  <c r="K27" i="11"/>
  <c r="R27" i="11" s="1"/>
  <c r="K26" i="11"/>
  <c r="R26" i="11" s="1"/>
  <c r="R39" i="11"/>
  <c r="B26" i="11"/>
  <c r="R25" i="11"/>
  <c r="P25" i="11"/>
  <c r="K25" i="11"/>
  <c r="A43" i="11" s="1"/>
  <c r="R20" i="11"/>
  <c r="Q20" i="11"/>
  <c r="P20" i="11"/>
  <c r="K20" i="11"/>
  <c r="K19" i="11"/>
  <c r="R19" i="11" s="1"/>
  <c r="R18" i="11"/>
  <c r="Q18" i="11"/>
  <c r="P18" i="11"/>
  <c r="K18" i="11"/>
  <c r="Q17" i="11"/>
  <c r="P17" i="11"/>
  <c r="K17" i="11"/>
  <c r="R17" i="11" s="1"/>
  <c r="K16" i="11"/>
  <c r="R16" i="11" s="1"/>
  <c r="K15" i="11"/>
  <c r="R15" i="11" s="1"/>
  <c r="K14" i="11"/>
  <c r="A42" i="11" s="1"/>
  <c r="B12" i="11"/>
  <c r="B11" i="11"/>
  <c r="K9" i="11"/>
  <c r="R9" i="11" s="1"/>
  <c r="K8" i="11"/>
  <c r="R8" i="11" s="1"/>
  <c r="B8" i="11"/>
  <c r="K7" i="11"/>
  <c r="R7" i="11" s="1"/>
  <c r="K6" i="11"/>
  <c r="R6" i="11" s="1"/>
  <c r="B6" i="11"/>
  <c r="K5" i="11"/>
  <c r="R5" i="11" s="1"/>
  <c r="K4" i="11"/>
  <c r="R4" i="11" s="1"/>
  <c r="K3" i="11"/>
  <c r="A41" i="11" s="1"/>
  <c r="B3" i="11"/>
  <c r="B2" i="11"/>
  <c r="C36" i="11" l="1"/>
  <c r="R26" i="12"/>
  <c r="P25" i="12"/>
  <c r="P27" i="12"/>
  <c r="Q36" i="12"/>
  <c r="Q25" i="12"/>
  <c r="Q27" i="12"/>
  <c r="R36" i="12"/>
  <c r="R25" i="12"/>
  <c r="R32" i="12" s="1"/>
  <c r="G36" i="12" s="1"/>
  <c r="P26" i="12"/>
  <c r="O26" i="12" s="1"/>
  <c r="M26" i="12" s="1"/>
  <c r="L26" i="12" s="1"/>
  <c r="D30" i="12"/>
  <c r="E31" i="12" s="1"/>
  <c r="E32" i="12" s="1"/>
  <c r="C6" i="12"/>
  <c r="H6" i="12" s="1"/>
  <c r="C29" i="12"/>
  <c r="H29" i="12" s="1"/>
  <c r="P41" i="12"/>
  <c r="P51" i="12"/>
  <c r="P16" i="12"/>
  <c r="R41" i="12"/>
  <c r="R14" i="12"/>
  <c r="R16" i="12"/>
  <c r="P38" i="12"/>
  <c r="A35" i="12"/>
  <c r="Q51" i="12"/>
  <c r="O51" i="12" s="1"/>
  <c r="M51" i="12" s="1"/>
  <c r="L51" i="12" s="1"/>
  <c r="P14" i="12"/>
  <c r="Q38" i="12"/>
  <c r="Q39" i="12"/>
  <c r="P48" i="12"/>
  <c r="P15" i="12"/>
  <c r="P39" i="12"/>
  <c r="Q15" i="12"/>
  <c r="P36" i="12"/>
  <c r="Q48" i="12"/>
  <c r="R3" i="12"/>
  <c r="O15" i="12"/>
  <c r="M15" i="12" s="1"/>
  <c r="L15" i="12" s="1"/>
  <c r="Q4" i="12"/>
  <c r="P4" i="12"/>
  <c r="P3" i="12"/>
  <c r="I5" i="12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B2" i="12"/>
  <c r="C9" i="12"/>
  <c r="H9" i="12" s="1"/>
  <c r="B10" i="12"/>
  <c r="C10" i="12" s="1"/>
  <c r="B11" i="12"/>
  <c r="C11" i="12" s="1"/>
  <c r="C13" i="12"/>
  <c r="H13" i="12" s="1"/>
  <c r="C21" i="12"/>
  <c r="H21" i="12" s="1"/>
  <c r="C22" i="12"/>
  <c r="H22" i="12" s="1"/>
  <c r="C24" i="12"/>
  <c r="H24" i="12" s="1"/>
  <c r="A34" i="12"/>
  <c r="P17" i="12"/>
  <c r="C25" i="12"/>
  <c r="H25" i="12" s="1"/>
  <c r="P28" i="12"/>
  <c r="P37" i="12"/>
  <c r="P42" i="12"/>
  <c r="P47" i="12"/>
  <c r="P50" i="12"/>
  <c r="P53" i="12"/>
  <c r="C15" i="12"/>
  <c r="H15" i="12" s="1"/>
  <c r="Q17" i="12"/>
  <c r="P18" i="12"/>
  <c r="C26" i="12"/>
  <c r="H26" i="12" s="1"/>
  <c r="Q28" i="12"/>
  <c r="P29" i="12"/>
  <c r="Q37" i="12"/>
  <c r="Q42" i="12"/>
  <c r="Q47" i="12"/>
  <c r="Q50" i="12"/>
  <c r="Q53" i="12"/>
  <c r="C4" i="12"/>
  <c r="H4" i="12" s="1"/>
  <c r="R5" i="12"/>
  <c r="Q6" i="12"/>
  <c r="P7" i="12"/>
  <c r="C12" i="12"/>
  <c r="H12" i="12" s="1"/>
  <c r="H14" i="12"/>
  <c r="C16" i="12"/>
  <c r="H16" i="12" s="1"/>
  <c r="Q18" i="12"/>
  <c r="P19" i="12"/>
  <c r="C23" i="12"/>
  <c r="H23" i="12" s="1"/>
  <c r="C27" i="12"/>
  <c r="H27" i="12" s="1"/>
  <c r="Q29" i="12"/>
  <c r="P30" i="12"/>
  <c r="R47" i="12"/>
  <c r="R54" i="12" s="1"/>
  <c r="O59" i="12"/>
  <c r="P5" i="12"/>
  <c r="H3" i="12"/>
  <c r="C5" i="12"/>
  <c r="H5" i="12" s="1"/>
  <c r="R6" i="12"/>
  <c r="Q7" i="12"/>
  <c r="P8" i="12"/>
  <c r="C17" i="12"/>
  <c r="H17" i="12" s="1"/>
  <c r="Q19" i="12"/>
  <c r="P20" i="12"/>
  <c r="C28" i="12"/>
  <c r="H28" i="12" s="1"/>
  <c r="Q30" i="12"/>
  <c r="P31" i="12"/>
  <c r="B7" i="12"/>
  <c r="C7" i="12" s="1"/>
  <c r="Q8" i="12"/>
  <c r="P9" i="12"/>
  <c r="C18" i="12"/>
  <c r="H18" i="12" s="1"/>
  <c r="Q20" i="12"/>
  <c r="Q31" i="12"/>
  <c r="P40" i="12"/>
  <c r="P49" i="12"/>
  <c r="P52" i="12"/>
  <c r="B8" i="12"/>
  <c r="C8" i="12" s="1"/>
  <c r="Q9" i="12"/>
  <c r="B20" i="12"/>
  <c r="Q40" i="12"/>
  <c r="Q49" i="12"/>
  <c r="Q52" i="12"/>
  <c r="O18" i="11"/>
  <c r="M18" i="11" s="1"/>
  <c r="O17" i="11"/>
  <c r="M17" i="11" s="1"/>
  <c r="O39" i="11"/>
  <c r="M39" i="11" s="1"/>
  <c r="O20" i="11"/>
  <c r="M20" i="11" s="1"/>
  <c r="R14" i="11"/>
  <c r="R21" i="11" s="1"/>
  <c r="G42" i="11" s="1"/>
  <c r="Q15" i="11"/>
  <c r="P19" i="11"/>
  <c r="P16" i="11"/>
  <c r="Q19" i="11"/>
  <c r="P49" i="11"/>
  <c r="P15" i="11"/>
  <c r="Q16" i="11"/>
  <c r="P14" i="11"/>
  <c r="Q14" i="11"/>
  <c r="Q30" i="11"/>
  <c r="H36" i="11"/>
  <c r="R40" i="11"/>
  <c r="Q41" i="11"/>
  <c r="Q28" i="11"/>
  <c r="Q31" i="11"/>
  <c r="Q50" i="11"/>
  <c r="P42" i="11"/>
  <c r="Q52" i="11"/>
  <c r="Q29" i="11"/>
  <c r="P37" i="11"/>
  <c r="Q26" i="11"/>
  <c r="P47" i="11"/>
  <c r="R47" i="11"/>
  <c r="D37" i="11"/>
  <c r="C12" i="11"/>
  <c r="H12" i="11" s="1"/>
  <c r="C26" i="11"/>
  <c r="H26" i="11" s="1"/>
  <c r="C5" i="11"/>
  <c r="H5" i="11" s="1"/>
  <c r="C8" i="11"/>
  <c r="H8" i="11" s="1"/>
  <c r="C3" i="11"/>
  <c r="H3" i="11" s="1"/>
  <c r="C9" i="11"/>
  <c r="H9" i="11" s="1"/>
  <c r="C4" i="11"/>
  <c r="C6" i="11"/>
  <c r="H6" i="11" s="1"/>
  <c r="B7" i="11"/>
  <c r="C7" i="11" s="1"/>
  <c r="H7" i="11" s="1"/>
  <c r="B10" i="11"/>
  <c r="C10" i="11" s="1"/>
  <c r="C25" i="11"/>
  <c r="H25" i="11" s="1"/>
  <c r="C11" i="11"/>
  <c r="H11" i="11" s="1"/>
  <c r="C22" i="11"/>
  <c r="H22" i="11" s="1"/>
  <c r="C34" i="11"/>
  <c r="H34" i="11"/>
  <c r="R32" i="11"/>
  <c r="G43" i="11" s="1"/>
  <c r="H4" i="11"/>
  <c r="Q25" i="11"/>
  <c r="O25" i="11" s="1"/>
  <c r="P26" i="11"/>
  <c r="P27" i="11"/>
  <c r="O27" i="11" s="1"/>
  <c r="P28" i="11"/>
  <c r="P29" i="11"/>
  <c r="P30" i="11"/>
  <c r="P31" i="11"/>
  <c r="R41" i="11"/>
  <c r="R52" i="11"/>
  <c r="C35" i="11"/>
  <c r="H35" i="11" s="1"/>
  <c r="Q42" i="11"/>
  <c r="Q49" i="11"/>
  <c r="P3" i="11"/>
  <c r="P4" i="11"/>
  <c r="P5" i="11"/>
  <c r="P6" i="11"/>
  <c r="P7" i="11"/>
  <c r="P8" i="11"/>
  <c r="P9" i="11"/>
  <c r="B27" i="11"/>
  <c r="C27" i="11" s="1"/>
  <c r="B28" i="11"/>
  <c r="C28" i="11" s="1"/>
  <c r="B29" i="11"/>
  <c r="B30" i="11"/>
  <c r="C30" i="11" s="1"/>
  <c r="B31" i="11"/>
  <c r="C31" i="11" s="1"/>
  <c r="B32" i="11"/>
  <c r="C32" i="11" s="1"/>
  <c r="C33" i="11"/>
  <c r="H33" i="11" s="1"/>
  <c r="P36" i="11"/>
  <c r="P38" i="11"/>
  <c r="A45" i="11"/>
  <c r="P51" i="11"/>
  <c r="C2" i="11"/>
  <c r="H2" i="11" s="1"/>
  <c r="Q3" i="11"/>
  <c r="Q4" i="11"/>
  <c r="Q5" i="11"/>
  <c r="Q6" i="11"/>
  <c r="Q7" i="11"/>
  <c r="Q8" i="11"/>
  <c r="Q9" i="11"/>
  <c r="B13" i="11"/>
  <c r="B23" i="11"/>
  <c r="Q36" i="11"/>
  <c r="Q38" i="11"/>
  <c r="Q51" i="11"/>
  <c r="I37" i="11"/>
  <c r="R3" i="11"/>
  <c r="R10" i="11" s="1"/>
  <c r="G41" i="11" s="1"/>
  <c r="R36" i="11"/>
  <c r="P53" i="11"/>
  <c r="Q53" i="11"/>
  <c r="O59" i="11"/>
  <c r="Q37" i="11"/>
  <c r="P40" i="11"/>
  <c r="Q48" i="11"/>
  <c r="O48" i="11" s="1"/>
  <c r="P50" i="11"/>
  <c r="B14" i="11"/>
  <c r="C14" i="11" s="1"/>
  <c r="B15" i="11"/>
  <c r="B16" i="11"/>
  <c r="B17" i="11"/>
  <c r="B18" i="11"/>
  <c r="B19" i="11"/>
  <c r="B20" i="11"/>
  <c r="B21" i="11"/>
  <c r="B24" i="11"/>
  <c r="C24" i="11" s="1"/>
  <c r="R59" i="11"/>
  <c r="G26" i="9"/>
  <c r="I11" i="10"/>
  <c r="G22" i="9"/>
  <c r="D27" i="10"/>
  <c r="I9" i="10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14" i="10"/>
  <c r="I8" i="10"/>
  <c r="K36" i="8"/>
  <c r="Q36" i="8" s="1"/>
  <c r="P36" i="8"/>
  <c r="K37" i="8"/>
  <c r="P37" i="8" s="1"/>
  <c r="K38" i="8"/>
  <c r="P38" i="8" s="1"/>
  <c r="K39" i="8"/>
  <c r="O39" i="8" s="1"/>
  <c r="K40" i="8"/>
  <c r="O40" i="8" s="1"/>
  <c r="P40" i="8"/>
  <c r="Q40" i="8"/>
  <c r="K41" i="8"/>
  <c r="O41" i="8" s="1"/>
  <c r="K42" i="8"/>
  <c r="Q42" i="8" s="1"/>
  <c r="P49" i="9"/>
  <c r="O49" i="9"/>
  <c r="K49" i="9"/>
  <c r="A38" i="9"/>
  <c r="K42" i="9"/>
  <c r="O42" i="9" s="1"/>
  <c r="K41" i="9"/>
  <c r="O41" i="9" s="1"/>
  <c r="K40" i="9"/>
  <c r="Q40" i="9" s="1"/>
  <c r="K39" i="9"/>
  <c r="Q39" i="9" s="1"/>
  <c r="K38" i="9"/>
  <c r="K37" i="9"/>
  <c r="O37" i="9" s="1"/>
  <c r="G30" i="9"/>
  <c r="K36" i="9"/>
  <c r="K31" i="9"/>
  <c r="O31" i="9" s="1"/>
  <c r="K30" i="9"/>
  <c r="Q30" i="9" s="1"/>
  <c r="K29" i="9"/>
  <c r="P29" i="9" s="1"/>
  <c r="D29" i="9"/>
  <c r="K28" i="9"/>
  <c r="P28" i="9" s="1"/>
  <c r="D28" i="9"/>
  <c r="K27" i="9"/>
  <c r="O27" i="9" s="1"/>
  <c r="D27" i="9"/>
  <c r="K26" i="9"/>
  <c r="P26" i="9" s="1"/>
  <c r="D26" i="9"/>
  <c r="K25" i="9"/>
  <c r="D25" i="9"/>
  <c r="D24" i="9"/>
  <c r="B24" i="9" s="1"/>
  <c r="D23" i="9"/>
  <c r="B23" i="9" s="1"/>
  <c r="D22" i="9"/>
  <c r="B22" i="9" s="1"/>
  <c r="D21" i="9"/>
  <c r="B21" i="9" s="1"/>
  <c r="K20" i="9"/>
  <c r="Q20" i="9" s="1"/>
  <c r="D20" i="9"/>
  <c r="B20" i="9" s="1"/>
  <c r="K19" i="9"/>
  <c r="Q19" i="9" s="1"/>
  <c r="D19" i="9"/>
  <c r="B19" i="9" s="1"/>
  <c r="K18" i="9"/>
  <c r="Q18" i="9" s="1"/>
  <c r="D18" i="9"/>
  <c r="B18" i="9" s="1"/>
  <c r="K17" i="9"/>
  <c r="Q17" i="9" s="1"/>
  <c r="Q49" i="9"/>
  <c r="D17" i="9"/>
  <c r="B17" i="9" s="1"/>
  <c r="K16" i="9"/>
  <c r="Q16" i="9" s="1"/>
  <c r="D16" i="9"/>
  <c r="B16" i="9" s="1"/>
  <c r="K15" i="9"/>
  <c r="Q15" i="9" s="1"/>
  <c r="D15" i="9"/>
  <c r="B15" i="9" s="1"/>
  <c r="K14" i="9"/>
  <c r="Q14" i="9" s="1"/>
  <c r="D14" i="9"/>
  <c r="B14" i="9" s="1"/>
  <c r="D13" i="9"/>
  <c r="B13" i="9" s="1"/>
  <c r="C13" i="9" s="1"/>
  <c r="D12" i="9"/>
  <c r="B12" i="9" s="1"/>
  <c r="C12" i="9" s="1"/>
  <c r="D11" i="9"/>
  <c r="B11" i="9" s="1"/>
  <c r="D10" i="9"/>
  <c r="K9" i="9"/>
  <c r="Q9" i="9" s="1"/>
  <c r="D9" i="9"/>
  <c r="K8" i="9"/>
  <c r="Q8" i="9" s="1"/>
  <c r="D8" i="9"/>
  <c r="K7" i="9"/>
  <c r="P7" i="9" s="1"/>
  <c r="D7" i="9"/>
  <c r="K6" i="9"/>
  <c r="Q6" i="9" s="1"/>
  <c r="D6" i="9"/>
  <c r="K5" i="9"/>
  <c r="O5" i="9" s="1"/>
  <c r="D5" i="9"/>
  <c r="K4" i="9"/>
  <c r="O4" i="9" s="1"/>
  <c r="D4" i="9"/>
  <c r="K3" i="9"/>
  <c r="A34" i="9" s="1"/>
  <c r="D3" i="9"/>
  <c r="D2" i="9"/>
  <c r="G17" i="8"/>
  <c r="G30" i="8" s="1"/>
  <c r="P59" i="8"/>
  <c r="K59" i="8"/>
  <c r="A39" i="8" s="1"/>
  <c r="K53" i="8"/>
  <c r="Q53" i="8" s="1"/>
  <c r="K52" i="8"/>
  <c r="Q52" i="8" s="1"/>
  <c r="K51" i="8"/>
  <c r="Q51" i="8" s="1"/>
  <c r="K50" i="8"/>
  <c r="Q50" i="8" s="1"/>
  <c r="K49" i="8"/>
  <c r="Q49" i="8" s="1"/>
  <c r="K48" i="8"/>
  <c r="P48" i="8" s="1"/>
  <c r="K47" i="8"/>
  <c r="Q47" i="8" s="1"/>
  <c r="K31" i="8"/>
  <c r="P31" i="8" s="1"/>
  <c r="K30" i="8"/>
  <c r="P30" i="8" s="1"/>
  <c r="K29" i="8"/>
  <c r="P29" i="8" s="1"/>
  <c r="D29" i="8"/>
  <c r="B29" i="8" s="1"/>
  <c r="K28" i="8"/>
  <c r="P28" i="8" s="1"/>
  <c r="D28" i="8"/>
  <c r="B28" i="8" s="1"/>
  <c r="K27" i="8"/>
  <c r="P27" i="8" s="1"/>
  <c r="D27" i="8"/>
  <c r="B27" i="8" s="1"/>
  <c r="K26" i="8"/>
  <c r="P26" i="8" s="1"/>
  <c r="D26" i="8"/>
  <c r="B26" i="8" s="1"/>
  <c r="Q25" i="8"/>
  <c r="K25" i="8"/>
  <c r="O25" i="8" s="1"/>
  <c r="D25" i="8"/>
  <c r="B25" i="8" s="1"/>
  <c r="D24" i="8"/>
  <c r="D23" i="8"/>
  <c r="D22" i="8"/>
  <c r="D21" i="8"/>
  <c r="B21" i="8" s="1"/>
  <c r="C21" i="8" s="1"/>
  <c r="H21" i="8" s="1"/>
  <c r="K20" i="8"/>
  <c r="Q20" i="8" s="1"/>
  <c r="D20" i="8"/>
  <c r="B20" i="8" s="1"/>
  <c r="P19" i="8"/>
  <c r="K19" i="8"/>
  <c r="Q19" i="8" s="1"/>
  <c r="D19" i="8"/>
  <c r="B19" i="8" s="1"/>
  <c r="C19" i="8" s="1"/>
  <c r="H19" i="8" s="1"/>
  <c r="K18" i="8"/>
  <c r="Q18" i="8" s="1"/>
  <c r="D18" i="8"/>
  <c r="P17" i="8"/>
  <c r="O17" i="8"/>
  <c r="K17" i="8"/>
  <c r="Q17" i="8" s="1"/>
  <c r="D17" i="8"/>
  <c r="K16" i="8"/>
  <c r="Q16" i="8" s="1"/>
  <c r="D16" i="8"/>
  <c r="K15" i="8"/>
  <c r="Q15" i="8" s="1"/>
  <c r="D15" i="8"/>
  <c r="K14" i="8"/>
  <c r="D14" i="8"/>
  <c r="D13" i="8"/>
  <c r="D12" i="8"/>
  <c r="B12" i="8" s="1"/>
  <c r="D11" i="8"/>
  <c r="D10" i="8"/>
  <c r="K9" i="8"/>
  <c r="Q9" i="8" s="1"/>
  <c r="D9" i="8"/>
  <c r="K8" i="8"/>
  <c r="Q8" i="8" s="1"/>
  <c r="D8" i="8"/>
  <c r="K7" i="8"/>
  <c r="Q7" i="8" s="1"/>
  <c r="D7" i="8"/>
  <c r="K6" i="8"/>
  <c r="Q6" i="8" s="1"/>
  <c r="D6" i="8"/>
  <c r="K5" i="8"/>
  <c r="Q5" i="8" s="1"/>
  <c r="D5" i="8"/>
  <c r="K4" i="8"/>
  <c r="Q4" i="8" s="1"/>
  <c r="D4" i="8"/>
  <c r="K3" i="8"/>
  <c r="A34" i="8" s="1"/>
  <c r="D3" i="8"/>
  <c r="D2" i="8"/>
  <c r="L53" i="7"/>
  <c r="L52" i="7"/>
  <c r="L51" i="7"/>
  <c r="L50" i="7"/>
  <c r="L49" i="7"/>
  <c r="L48" i="7"/>
  <c r="G34" i="7"/>
  <c r="E18" i="7"/>
  <c r="E14" i="7"/>
  <c r="D14" i="7" s="1"/>
  <c r="G7" i="7"/>
  <c r="D2" i="7"/>
  <c r="D3" i="7"/>
  <c r="D4" i="7"/>
  <c r="D5" i="7"/>
  <c r="B5" i="7" s="1"/>
  <c r="D6" i="7"/>
  <c r="B6" i="7" s="1"/>
  <c r="D7" i="7"/>
  <c r="B7" i="7" s="1"/>
  <c r="D8" i="7"/>
  <c r="B8" i="7" s="1"/>
  <c r="D9" i="7"/>
  <c r="D10" i="7"/>
  <c r="B10" i="7" s="1"/>
  <c r="D11" i="7"/>
  <c r="B11" i="7" s="1"/>
  <c r="C11" i="7" s="1"/>
  <c r="D12" i="7"/>
  <c r="D13" i="7"/>
  <c r="B13" i="7" s="1"/>
  <c r="C13" i="7" s="1"/>
  <c r="D15" i="7"/>
  <c r="D16" i="7"/>
  <c r="D17" i="7"/>
  <c r="D18" i="7"/>
  <c r="D19" i="7"/>
  <c r="D20" i="7"/>
  <c r="D21" i="7"/>
  <c r="D22" i="7"/>
  <c r="B22" i="7" s="1"/>
  <c r="C22" i="7" s="1"/>
  <c r="H22" i="7" s="1"/>
  <c r="D23" i="7"/>
  <c r="D24" i="7"/>
  <c r="B24" i="7" s="1"/>
  <c r="C24" i="7" s="1"/>
  <c r="H24" i="7" s="1"/>
  <c r="D25" i="7"/>
  <c r="B25" i="7" s="1"/>
  <c r="D26" i="7"/>
  <c r="B26" i="7" s="1"/>
  <c r="D27" i="7"/>
  <c r="D28" i="7"/>
  <c r="B28" i="7" s="1"/>
  <c r="D29" i="7"/>
  <c r="B29" i="7" s="1"/>
  <c r="C29" i="7" s="1"/>
  <c r="D30" i="7"/>
  <c r="D31" i="7"/>
  <c r="B31" i="7" s="1"/>
  <c r="D32" i="7"/>
  <c r="B32" i="7" s="1"/>
  <c r="D33" i="7"/>
  <c r="B33" i="7" s="1"/>
  <c r="D34" i="7"/>
  <c r="B34" i="7" s="1"/>
  <c r="D35" i="7"/>
  <c r="O59" i="7"/>
  <c r="K59" i="7"/>
  <c r="O53" i="7"/>
  <c r="K53" i="7"/>
  <c r="K52" i="7"/>
  <c r="O52" i="7" s="1"/>
  <c r="K51" i="7"/>
  <c r="K50" i="7"/>
  <c r="K49" i="7"/>
  <c r="Q49" i="7" s="1"/>
  <c r="K48" i="7"/>
  <c r="K47" i="7"/>
  <c r="Q47" i="7" s="1"/>
  <c r="A46" i="7"/>
  <c r="A45" i="7"/>
  <c r="O42" i="7"/>
  <c r="K42" i="7"/>
  <c r="Q42" i="7" s="1"/>
  <c r="K41" i="7"/>
  <c r="O41" i="7" s="1"/>
  <c r="K40" i="7"/>
  <c r="K39" i="7"/>
  <c r="P39" i="7" s="1"/>
  <c r="K38" i="7"/>
  <c r="Q38" i="7" s="1"/>
  <c r="K37" i="7"/>
  <c r="G37" i="7"/>
  <c r="K36" i="7"/>
  <c r="A44" i="7" s="1"/>
  <c r="D36" i="7"/>
  <c r="B36" i="7"/>
  <c r="B35" i="7"/>
  <c r="Q31" i="7"/>
  <c r="P31" i="7"/>
  <c r="O31" i="7"/>
  <c r="K31" i="7"/>
  <c r="K30" i="7"/>
  <c r="O30" i="7" s="1"/>
  <c r="K29" i="7"/>
  <c r="P29" i="7" s="1"/>
  <c r="K28" i="7"/>
  <c r="Q28" i="7" s="1"/>
  <c r="K27" i="7"/>
  <c r="O27" i="7" s="1"/>
  <c r="Q26" i="7"/>
  <c r="P26" i="7"/>
  <c r="K26" i="7"/>
  <c r="O26" i="7" s="1"/>
  <c r="K25" i="7"/>
  <c r="O25" i="7" s="1"/>
  <c r="K20" i="7"/>
  <c r="K19" i="7"/>
  <c r="K18" i="7"/>
  <c r="K17" i="7"/>
  <c r="K16" i="7"/>
  <c r="K15" i="7"/>
  <c r="K14" i="7"/>
  <c r="O14" i="7" s="1"/>
  <c r="K9" i="7"/>
  <c r="B9" i="7"/>
  <c r="K8" i="7"/>
  <c r="O8" i="7" s="1"/>
  <c r="Q7" i="7"/>
  <c r="O7" i="7"/>
  <c r="K7" i="7"/>
  <c r="P7" i="7" s="1"/>
  <c r="K6" i="7"/>
  <c r="Q6" i="7" s="1"/>
  <c r="K5" i="7"/>
  <c r="Q5" i="7" s="1"/>
  <c r="K4" i="7"/>
  <c r="K3" i="7"/>
  <c r="B3" i="7"/>
  <c r="G35" i="6"/>
  <c r="F27" i="6"/>
  <c r="Q59" i="6"/>
  <c r="P59" i="6"/>
  <c r="O59" i="6"/>
  <c r="K59" i="6"/>
  <c r="K53" i="6"/>
  <c r="Q53" i="6" s="1"/>
  <c r="K52" i="6"/>
  <c r="O52" i="6" s="1"/>
  <c r="K51" i="6"/>
  <c r="Q51" i="6" s="1"/>
  <c r="K50" i="6"/>
  <c r="Q50" i="6" s="1"/>
  <c r="P49" i="6"/>
  <c r="O49" i="6"/>
  <c r="K49" i="6"/>
  <c r="Q49" i="6" s="1"/>
  <c r="K48" i="6"/>
  <c r="Q48" i="6" s="1"/>
  <c r="K47" i="6"/>
  <c r="Q47" i="6" s="1"/>
  <c r="A46" i="6"/>
  <c r="P42" i="6"/>
  <c r="O42" i="6"/>
  <c r="K42" i="6"/>
  <c r="Q42" i="6" s="1"/>
  <c r="Q41" i="6"/>
  <c r="P41" i="6"/>
  <c r="K41" i="6"/>
  <c r="O41" i="6" s="1"/>
  <c r="K40" i="6"/>
  <c r="Q40" i="6" s="1"/>
  <c r="O39" i="6"/>
  <c r="K39" i="6"/>
  <c r="Q39" i="6" s="1"/>
  <c r="K38" i="6"/>
  <c r="Q38" i="6" s="1"/>
  <c r="K37" i="6"/>
  <c r="Q37" i="6" s="1"/>
  <c r="G37" i="6"/>
  <c r="K36" i="6"/>
  <c r="A44" i="6" s="1"/>
  <c r="D36" i="6"/>
  <c r="D35" i="6"/>
  <c r="B35" i="6"/>
  <c r="D34" i="6"/>
  <c r="B34" i="6"/>
  <c r="C34" i="6" s="1"/>
  <c r="H34" i="6" s="1"/>
  <c r="D33" i="6"/>
  <c r="B33" i="6"/>
  <c r="D32" i="6"/>
  <c r="B32" i="6" s="1"/>
  <c r="Q31" i="6"/>
  <c r="P31" i="6"/>
  <c r="O31" i="6"/>
  <c r="K31" i="6"/>
  <c r="D31" i="6"/>
  <c r="B31" i="6"/>
  <c r="K30" i="6"/>
  <c r="Q30" i="6" s="1"/>
  <c r="D30" i="6"/>
  <c r="B30" i="6" s="1"/>
  <c r="Q29" i="6"/>
  <c r="P29" i="6"/>
  <c r="O29" i="6"/>
  <c r="K29" i="6"/>
  <c r="D29" i="6"/>
  <c r="B29" i="6" s="1"/>
  <c r="K28" i="6"/>
  <c r="Q28" i="6" s="1"/>
  <c r="D28" i="6"/>
  <c r="B28" i="6"/>
  <c r="Q27" i="6"/>
  <c r="P27" i="6"/>
  <c r="O27" i="6"/>
  <c r="K27" i="6"/>
  <c r="D27" i="6"/>
  <c r="B27" i="6"/>
  <c r="K26" i="6"/>
  <c r="Q26" i="6" s="1"/>
  <c r="D26" i="6"/>
  <c r="B26" i="6" s="1"/>
  <c r="Q25" i="6"/>
  <c r="P25" i="6"/>
  <c r="O25" i="6"/>
  <c r="K25" i="6"/>
  <c r="A43" i="6" s="1"/>
  <c r="D25" i="6"/>
  <c r="B25" i="6" s="1"/>
  <c r="D24" i="6"/>
  <c r="B24" i="6" s="1"/>
  <c r="D23" i="6"/>
  <c r="D22" i="6"/>
  <c r="B22" i="6" s="1"/>
  <c r="D21" i="6"/>
  <c r="B21" i="6" s="1"/>
  <c r="C21" i="6" s="1"/>
  <c r="K20" i="6"/>
  <c r="Q20" i="6" s="1"/>
  <c r="D20" i="6"/>
  <c r="B20" i="6" s="1"/>
  <c r="C20" i="6" s="1"/>
  <c r="O19" i="6"/>
  <c r="K19" i="6"/>
  <c r="Q19" i="6" s="1"/>
  <c r="D19" i="6"/>
  <c r="B19" i="6" s="1"/>
  <c r="C19" i="6" s="1"/>
  <c r="K18" i="6"/>
  <c r="Q18" i="6" s="1"/>
  <c r="D18" i="6"/>
  <c r="B18" i="6"/>
  <c r="C18" i="6" s="1"/>
  <c r="O17" i="6"/>
  <c r="K17" i="6"/>
  <c r="Q17" i="6" s="1"/>
  <c r="D17" i="6"/>
  <c r="B17" i="6" s="1"/>
  <c r="K16" i="6"/>
  <c r="Q16" i="6" s="1"/>
  <c r="D16" i="6"/>
  <c r="B16" i="6" s="1"/>
  <c r="C16" i="6" s="1"/>
  <c r="O15" i="6"/>
  <c r="K15" i="6"/>
  <c r="Q15" i="6" s="1"/>
  <c r="D15" i="6"/>
  <c r="B15" i="6" s="1"/>
  <c r="C15" i="6" s="1"/>
  <c r="K14" i="6"/>
  <c r="A42" i="6" s="1"/>
  <c r="D14" i="6"/>
  <c r="B14" i="6" s="1"/>
  <c r="C14" i="6" s="1"/>
  <c r="D13" i="6"/>
  <c r="D12" i="6"/>
  <c r="B12" i="6"/>
  <c r="D11" i="6"/>
  <c r="B11" i="6" s="1"/>
  <c r="D10" i="6"/>
  <c r="B10" i="6"/>
  <c r="C10" i="6" s="1"/>
  <c r="H10" i="6" s="1"/>
  <c r="K9" i="6"/>
  <c r="Q9" i="6" s="1"/>
  <c r="D9" i="6"/>
  <c r="B9" i="6"/>
  <c r="C9" i="6" s="1"/>
  <c r="H9" i="6" s="1"/>
  <c r="K8" i="6"/>
  <c r="Q8" i="6" s="1"/>
  <c r="D8" i="6"/>
  <c r="B8" i="6"/>
  <c r="C8" i="6" s="1"/>
  <c r="H8" i="6" s="1"/>
  <c r="K7" i="6"/>
  <c r="Q7" i="6" s="1"/>
  <c r="D7" i="6"/>
  <c r="B7" i="6"/>
  <c r="C7" i="6" s="1"/>
  <c r="K6" i="6"/>
  <c r="Q6" i="6" s="1"/>
  <c r="D6" i="6"/>
  <c r="B6" i="6"/>
  <c r="C6" i="6" s="1"/>
  <c r="H6" i="6" s="1"/>
  <c r="K5" i="6"/>
  <c r="Q5" i="6" s="1"/>
  <c r="D5" i="6"/>
  <c r="B5" i="6"/>
  <c r="C5" i="6" s="1"/>
  <c r="H5" i="6" s="1"/>
  <c r="K4" i="6"/>
  <c r="Q4" i="6" s="1"/>
  <c r="D4" i="6"/>
  <c r="B4" i="6"/>
  <c r="C4" i="6" s="1"/>
  <c r="H4" i="6" s="1"/>
  <c r="K3" i="6"/>
  <c r="A41" i="6" s="1"/>
  <c r="D3" i="6"/>
  <c r="D2" i="6"/>
  <c r="B2" i="6" s="1"/>
  <c r="K25" i="5"/>
  <c r="O25" i="5"/>
  <c r="P25" i="5"/>
  <c r="Q25" i="5"/>
  <c r="K26" i="5"/>
  <c r="P26" i="5" s="1"/>
  <c r="O26" i="5"/>
  <c r="K27" i="5"/>
  <c r="O27" i="5"/>
  <c r="P27" i="5"/>
  <c r="Q27" i="5"/>
  <c r="K28" i="5"/>
  <c r="O28" i="5" s="1"/>
  <c r="K29" i="5"/>
  <c r="O29" i="5"/>
  <c r="P29" i="5"/>
  <c r="Q29" i="5"/>
  <c r="K30" i="5"/>
  <c r="O30" i="5" s="1"/>
  <c r="K31" i="5"/>
  <c r="Q31" i="5" s="1"/>
  <c r="O31" i="5"/>
  <c r="P31" i="5"/>
  <c r="G3" i="5"/>
  <c r="L55" i="4"/>
  <c r="I3" i="4"/>
  <c r="Q59" i="5"/>
  <c r="P59" i="5"/>
  <c r="O59" i="5"/>
  <c r="K59" i="5"/>
  <c r="K53" i="5"/>
  <c r="P53" i="5" s="1"/>
  <c r="K52" i="5"/>
  <c r="O52" i="5" s="1"/>
  <c r="K51" i="5"/>
  <c r="P51" i="5" s="1"/>
  <c r="Q50" i="5"/>
  <c r="O50" i="5"/>
  <c r="K50" i="5"/>
  <c r="P50" i="5" s="1"/>
  <c r="K49" i="5"/>
  <c r="K48" i="5"/>
  <c r="O48" i="5" s="1"/>
  <c r="K47" i="5"/>
  <c r="A46" i="5"/>
  <c r="A44" i="5"/>
  <c r="K42" i="5"/>
  <c r="K41" i="5"/>
  <c r="Q41" i="5" s="1"/>
  <c r="K40" i="5"/>
  <c r="Q40" i="5" s="1"/>
  <c r="K39" i="5"/>
  <c r="K38" i="5"/>
  <c r="Q38" i="5" s="1"/>
  <c r="Q37" i="5"/>
  <c r="O37" i="5"/>
  <c r="K37" i="5"/>
  <c r="P37" i="5" s="1"/>
  <c r="G37" i="5"/>
  <c r="K36" i="5"/>
  <c r="D36" i="5"/>
  <c r="B36" i="5"/>
  <c r="D35" i="5"/>
  <c r="B35" i="5" s="1"/>
  <c r="C35" i="5"/>
  <c r="D34" i="5"/>
  <c r="B34" i="5" s="1"/>
  <c r="D33" i="5"/>
  <c r="B33" i="5" s="1"/>
  <c r="C33" i="5" s="1"/>
  <c r="D32" i="5"/>
  <c r="D31" i="5"/>
  <c r="D30" i="5"/>
  <c r="D29" i="5"/>
  <c r="D28" i="5"/>
  <c r="D27" i="5"/>
  <c r="D26" i="5"/>
  <c r="D25" i="5"/>
  <c r="D24" i="5"/>
  <c r="B24" i="5" s="1"/>
  <c r="D23" i="5"/>
  <c r="B23" i="5" s="1"/>
  <c r="D22" i="5"/>
  <c r="B22" i="5"/>
  <c r="C22" i="5" s="1"/>
  <c r="D21" i="5"/>
  <c r="B21" i="5" s="1"/>
  <c r="C21" i="5" s="1"/>
  <c r="K20" i="5"/>
  <c r="Q20" i="5" s="1"/>
  <c r="D20" i="5"/>
  <c r="B20" i="5"/>
  <c r="C20" i="5" s="1"/>
  <c r="Q19" i="5"/>
  <c r="P19" i="5"/>
  <c r="K19" i="5"/>
  <c r="O19" i="5" s="1"/>
  <c r="D19" i="5"/>
  <c r="B19" i="5"/>
  <c r="C19" i="5" s="1"/>
  <c r="K18" i="5"/>
  <c r="P18" i="5" s="1"/>
  <c r="D18" i="5"/>
  <c r="B18" i="5"/>
  <c r="C18" i="5" s="1"/>
  <c r="K17" i="5"/>
  <c r="Q17" i="5" s="1"/>
  <c r="D17" i="5"/>
  <c r="B17" i="5"/>
  <c r="C17" i="5" s="1"/>
  <c r="K16" i="5"/>
  <c r="Q16" i="5" s="1"/>
  <c r="D16" i="5"/>
  <c r="B16" i="5" s="1"/>
  <c r="C16" i="5" s="1"/>
  <c r="K15" i="5"/>
  <c r="Q15" i="5" s="1"/>
  <c r="D15" i="5"/>
  <c r="B15" i="5"/>
  <c r="C15" i="5" s="1"/>
  <c r="K14" i="5"/>
  <c r="A42" i="5" s="1"/>
  <c r="D14" i="5"/>
  <c r="B14" i="5" s="1"/>
  <c r="D13" i="5"/>
  <c r="B13" i="5" s="1"/>
  <c r="C13" i="5" s="1"/>
  <c r="D12" i="5"/>
  <c r="B12" i="5" s="1"/>
  <c r="C12" i="5" s="1"/>
  <c r="D11" i="5"/>
  <c r="B11" i="5"/>
  <c r="D10" i="5"/>
  <c r="Q9" i="5"/>
  <c r="P9" i="5"/>
  <c r="O9" i="5"/>
  <c r="K9" i="5"/>
  <c r="D9" i="5"/>
  <c r="B9" i="5" s="1"/>
  <c r="C9" i="5" s="1"/>
  <c r="K8" i="5"/>
  <c r="Q8" i="5" s="1"/>
  <c r="D8" i="5"/>
  <c r="B8" i="5" s="1"/>
  <c r="Q7" i="5"/>
  <c r="P7" i="5"/>
  <c r="O7" i="5"/>
  <c r="K7" i="5"/>
  <c r="D7" i="5"/>
  <c r="B7" i="5" s="1"/>
  <c r="K6" i="5"/>
  <c r="Q6" i="5" s="1"/>
  <c r="D6" i="5"/>
  <c r="K5" i="5"/>
  <c r="Q5" i="5" s="1"/>
  <c r="P6" i="5"/>
  <c r="D5" i="5"/>
  <c r="B5" i="5" s="1"/>
  <c r="Q4" i="5"/>
  <c r="K4" i="5"/>
  <c r="O4" i="5" s="1"/>
  <c r="D4" i="5"/>
  <c r="B4" i="5"/>
  <c r="C4" i="5" s="1"/>
  <c r="K3" i="5"/>
  <c r="O3" i="5" s="1"/>
  <c r="P4" i="5"/>
  <c r="D2" i="5"/>
  <c r="I2" i="5" s="1"/>
  <c r="F5" i="4"/>
  <c r="F3" i="4"/>
  <c r="Q59" i="4"/>
  <c r="P59" i="4"/>
  <c r="O59" i="4"/>
  <c r="K59" i="4"/>
  <c r="A46" i="4" s="1"/>
  <c r="K53" i="4"/>
  <c r="O53" i="4" s="1"/>
  <c r="K52" i="4"/>
  <c r="O52" i="4" s="1"/>
  <c r="K51" i="4"/>
  <c r="P51" i="4" s="1"/>
  <c r="K50" i="4"/>
  <c r="Q50" i="4" s="1"/>
  <c r="Q49" i="4"/>
  <c r="P49" i="4"/>
  <c r="K49" i="4"/>
  <c r="O49" i="4" s="1"/>
  <c r="K48" i="4"/>
  <c r="O48" i="4" s="1"/>
  <c r="Q47" i="4"/>
  <c r="K47" i="4"/>
  <c r="P47" i="4" s="1"/>
  <c r="Q42" i="4"/>
  <c r="P42" i="4"/>
  <c r="O42" i="4"/>
  <c r="K42" i="4"/>
  <c r="Q41" i="4"/>
  <c r="P41" i="4"/>
  <c r="K41" i="4"/>
  <c r="O41" i="4" s="1"/>
  <c r="K40" i="4"/>
  <c r="Q40" i="4" s="1"/>
  <c r="K39" i="4"/>
  <c r="P39" i="4" s="1"/>
  <c r="K38" i="4"/>
  <c r="P38" i="4" s="1"/>
  <c r="K37" i="4"/>
  <c r="O37" i="4" s="1"/>
  <c r="G37" i="4"/>
  <c r="K36" i="4"/>
  <c r="P36" i="4" s="1"/>
  <c r="D36" i="4"/>
  <c r="B36" i="4"/>
  <c r="D35" i="4"/>
  <c r="B35" i="4" s="1"/>
  <c r="D34" i="4"/>
  <c r="B34" i="4" s="1"/>
  <c r="D33" i="4"/>
  <c r="D32" i="4"/>
  <c r="B32" i="4" s="1"/>
  <c r="Q31" i="4"/>
  <c r="K31" i="4"/>
  <c r="P31" i="4" s="1"/>
  <c r="D31" i="4"/>
  <c r="B31" i="4" s="1"/>
  <c r="K30" i="4"/>
  <c r="Q30" i="4" s="1"/>
  <c r="D30" i="4"/>
  <c r="B30" i="4" s="1"/>
  <c r="Q29" i="4"/>
  <c r="P29" i="4"/>
  <c r="O29" i="4"/>
  <c r="K29" i="4"/>
  <c r="D29" i="4"/>
  <c r="B29" i="4" s="1"/>
  <c r="Q28" i="4"/>
  <c r="P28" i="4"/>
  <c r="O28" i="4"/>
  <c r="K28" i="4"/>
  <c r="D28" i="4"/>
  <c r="B28" i="4" s="1"/>
  <c r="K27" i="4"/>
  <c r="O27" i="4" s="1"/>
  <c r="D27" i="4"/>
  <c r="B27" i="4" s="1"/>
  <c r="K26" i="4"/>
  <c r="Q26" i="4" s="1"/>
  <c r="D26" i="4"/>
  <c r="B26" i="4" s="1"/>
  <c r="K25" i="4"/>
  <c r="O25" i="4" s="1"/>
  <c r="D25" i="4"/>
  <c r="B25" i="4" s="1"/>
  <c r="D24" i="4"/>
  <c r="B24" i="4" s="1"/>
  <c r="D23" i="4"/>
  <c r="B23" i="4" s="1"/>
  <c r="C23" i="4" s="1"/>
  <c r="D22" i="4"/>
  <c r="B22" i="4" s="1"/>
  <c r="D21" i="4"/>
  <c r="B21" i="4" s="1"/>
  <c r="C21" i="4" s="1"/>
  <c r="K20" i="4"/>
  <c r="Q20" i="4" s="1"/>
  <c r="D20" i="4"/>
  <c r="B20" i="4"/>
  <c r="K19" i="4"/>
  <c r="Q19" i="4" s="1"/>
  <c r="D19" i="4"/>
  <c r="B19" i="4"/>
  <c r="C19" i="4" s="1"/>
  <c r="K18" i="4"/>
  <c r="Q18" i="4" s="1"/>
  <c r="D18" i="4"/>
  <c r="B18" i="4"/>
  <c r="K17" i="4"/>
  <c r="Q17" i="4" s="1"/>
  <c r="D17" i="4"/>
  <c r="B17" i="4" s="1"/>
  <c r="K16" i="4"/>
  <c r="Q16" i="4" s="1"/>
  <c r="D16" i="4"/>
  <c r="B16" i="4"/>
  <c r="C16" i="4" s="1"/>
  <c r="K15" i="4"/>
  <c r="Q15" i="4" s="1"/>
  <c r="D15" i="4"/>
  <c r="B15" i="4"/>
  <c r="K14" i="4"/>
  <c r="Q14" i="4" s="1"/>
  <c r="D14" i="4"/>
  <c r="B14" i="4"/>
  <c r="D13" i="4"/>
  <c r="B13" i="4" s="1"/>
  <c r="D12" i="4"/>
  <c r="B12" i="4"/>
  <c r="C12" i="4" s="1"/>
  <c r="D11" i="4"/>
  <c r="B11" i="4" s="1"/>
  <c r="D10" i="4"/>
  <c r="B10" i="4"/>
  <c r="K9" i="4"/>
  <c r="P9" i="4" s="1"/>
  <c r="D9" i="4"/>
  <c r="K8" i="4"/>
  <c r="O8" i="4" s="1"/>
  <c r="D8" i="4"/>
  <c r="K7" i="4"/>
  <c r="O7" i="4" s="1"/>
  <c r="D7" i="4"/>
  <c r="K6" i="4"/>
  <c r="P6" i="4" s="1"/>
  <c r="D6" i="4"/>
  <c r="B6" i="4" s="1"/>
  <c r="K5" i="4"/>
  <c r="P5" i="4" s="1"/>
  <c r="D5" i="4"/>
  <c r="K4" i="4"/>
  <c r="O4" i="4" s="1"/>
  <c r="D4" i="4"/>
  <c r="K3" i="4"/>
  <c r="A41" i="4" s="1"/>
  <c r="D3" i="4"/>
  <c r="D2" i="4"/>
  <c r="Q59" i="3"/>
  <c r="P59" i="3"/>
  <c r="O59" i="3"/>
  <c r="K59" i="3"/>
  <c r="A46" i="3" s="1"/>
  <c r="K53" i="3"/>
  <c r="Q53" i="3" s="1"/>
  <c r="K52" i="3"/>
  <c r="K51" i="3"/>
  <c r="Q51" i="3" s="1"/>
  <c r="O50" i="3"/>
  <c r="K50" i="3"/>
  <c r="P49" i="3"/>
  <c r="K49" i="3"/>
  <c r="Q49" i="3" s="1"/>
  <c r="K48" i="3"/>
  <c r="K47" i="3"/>
  <c r="Q47" i="3" s="1"/>
  <c r="K42" i="3"/>
  <c r="Q42" i="3" s="1"/>
  <c r="K41" i="3"/>
  <c r="O41" i="3" s="1"/>
  <c r="K40" i="3"/>
  <c r="Q40" i="3" s="1"/>
  <c r="K39" i="3"/>
  <c r="P38" i="3"/>
  <c r="K38" i="3"/>
  <c r="Q38" i="3" s="1"/>
  <c r="K37" i="3"/>
  <c r="G37" i="3"/>
  <c r="P36" i="3"/>
  <c r="K36" i="3"/>
  <c r="Q36" i="3" s="1"/>
  <c r="D36" i="3"/>
  <c r="B36" i="3" s="1"/>
  <c r="D35" i="3"/>
  <c r="D34" i="3"/>
  <c r="D33" i="3"/>
  <c r="B33" i="3" s="1"/>
  <c r="D32" i="3"/>
  <c r="B32" i="3" s="1"/>
  <c r="K31" i="3"/>
  <c r="Q31" i="3" s="1"/>
  <c r="D31" i="3"/>
  <c r="K30" i="3"/>
  <c r="Q30" i="3" s="1"/>
  <c r="D30" i="3"/>
  <c r="B30" i="3"/>
  <c r="K29" i="3"/>
  <c r="Q29" i="3" s="1"/>
  <c r="D29" i="3"/>
  <c r="K28" i="3"/>
  <c r="Q28" i="3" s="1"/>
  <c r="D28" i="3"/>
  <c r="B28" i="3" s="1"/>
  <c r="K27" i="3"/>
  <c r="Q27" i="3" s="1"/>
  <c r="D27" i="3"/>
  <c r="K26" i="3"/>
  <c r="Q26" i="3" s="1"/>
  <c r="D26" i="3"/>
  <c r="B26" i="3" s="1"/>
  <c r="K25" i="3"/>
  <c r="Q25" i="3" s="1"/>
  <c r="D25" i="3"/>
  <c r="D24" i="3"/>
  <c r="D23" i="3"/>
  <c r="B23" i="3"/>
  <c r="D22" i="3"/>
  <c r="B22" i="3"/>
  <c r="C22" i="3" s="1"/>
  <c r="H22" i="3" s="1"/>
  <c r="D21" i="3"/>
  <c r="B21" i="3" s="1"/>
  <c r="P20" i="3"/>
  <c r="K20" i="3"/>
  <c r="Q20" i="3" s="1"/>
  <c r="D20" i="3"/>
  <c r="K19" i="3"/>
  <c r="Q19" i="3" s="1"/>
  <c r="D19" i="3"/>
  <c r="B19" i="3" s="1"/>
  <c r="K18" i="3"/>
  <c r="Q18" i="3" s="1"/>
  <c r="D18" i="3"/>
  <c r="K17" i="3"/>
  <c r="Q17" i="3" s="1"/>
  <c r="D17" i="3"/>
  <c r="B17" i="3" s="1"/>
  <c r="K16" i="3"/>
  <c r="Q16" i="3" s="1"/>
  <c r="D16" i="3"/>
  <c r="K15" i="3"/>
  <c r="Q15" i="3" s="1"/>
  <c r="D15" i="3"/>
  <c r="B15" i="3" s="1"/>
  <c r="K14" i="3"/>
  <c r="D14" i="3"/>
  <c r="D13" i="3"/>
  <c r="D12" i="3"/>
  <c r="B12" i="3"/>
  <c r="D11" i="3"/>
  <c r="D10" i="3"/>
  <c r="B10" i="3"/>
  <c r="K9" i="3"/>
  <c r="P9" i="3" s="1"/>
  <c r="D9" i="3"/>
  <c r="B9" i="3"/>
  <c r="K8" i="3"/>
  <c r="P8" i="3" s="1"/>
  <c r="D8" i="3"/>
  <c r="B8" i="3"/>
  <c r="K7" i="3"/>
  <c r="P7" i="3" s="1"/>
  <c r="D7" i="3"/>
  <c r="B7" i="3"/>
  <c r="K6" i="3"/>
  <c r="P6" i="3" s="1"/>
  <c r="D6" i="3"/>
  <c r="B6" i="3"/>
  <c r="K5" i="3"/>
  <c r="P5" i="3" s="1"/>
  <c r="D5" i="3"/>
  <c r="B5" i="3"/>
  <c r="K4" i="3"/>
  <c r="P4" i="3" s="1"/>
  <c r="D4" i="3"/>
  <c r="B4" i="3"/>
  <c r="K3" i="3"/>
  <c r="D3" i="3"/>
  <c r="B3" i="3"/>
  <c r="D2" i="3"/>
  <c r="R43" i="12" l="1"/>
  <c r="G37" i="12" s="1"/>
  <c r="O25" i="12"/>
  <c r="M25" i="12" s="1"/>
  <c r="N25" i="12" s="1"/>
  <c r="O16" i="12"/>
  <c r="M16" i="12" s="1"/>
  <c r="L16" i="12" s="1"/>
  <c r="E38" i="11"/>
  <c r="E39" i="11" s="1"/>
  <c r="B5" i="13"/>
  <c r="A36" i="9"/>
  <c r="C16" i="9"/>
  <c r="Q29" i="9"/>
  <c r="P31" i="9"/>
  <c r="Q31" i="9"/>
  <c r="C17" i="9"/>
  <c r="O29" i="9"/>
  <c r="N29" i="9" s="1"/>
  <c r="L29" i="9" s="1"/>
  <c r="M29" i="9" s="1"/>
  <c r="O36" i="8"/>
  <c r="O38" i="8"/>
  <c r="O31" i="8"/>
  <c r="N36" i="8"/>
  <c r="L36" i="8" s="1"/>
  <c r="M36" i="8" s="1"/>
  <c r="O20" i="8"/>
  <c r="O26" i="8"/>
  <c r="A37" i="8"/>
  <c r="N40" i="8"/>
  <c r="L40" i="8" s="1"/>
  <c r="M40" i="8" s="1"/>
  <c r="A35" i="8"/>
  <c r="P20" i="8"/>
  <c r="N20" i="8" s="1"/>
  <c r="L20" i="8" s="1"/>
  <c r="M20" i="8" s="1"/>
  <c r="Q26" i="8"/>
  <c r="O18" i="8"/>
  <c r="N18" i="8" s="1"/>
  <c r="L18" i="8" s="1"/>
  <c r="M18" i="8" s="1"/>
  <c r="Q38" i="8"/>
  <c r="P18" i="8"/>
  <c r="O47" i="8"/>
  <c r="I5" i="8"/>
  <c r="N38" i="8"/>
  <c r="O16" i="8"/>
  <c r="O28" i="8"/>
  <c r="P42" i="8"/>
  <c r="P16" i="8"/>
  <c r="O42" i="8"/>
  <c r="O37" i="8"/>
  <c r="N37" i="8" s="1"/>
  <c r="O14" i="12"/>
  <c r="M14" i="12" s="1"/>
  <c r="N14" i="12" s="1"/>
  <c r="R21" i="12"/>
  <c r="G35" i="12" s="1"/>
  <c r="O27" i="12"/>
  <c r="M27" i="12" s="1"/>
  <c r="L27" i="12" s="1"/>
  <c r="O36" i="12"/>
  <c r="M36" i="12" s="1"/>
  <c r="N36" i="12" s="1"/>
  <c r="O48" i="12"/>
  <c r="M48" i="12" s="1"/>
  <c r="L48" i="12" s="1"/>
  <c r="O41" i="12"/>
  <c r="M41" i="12" s="1"/>
  <c r="L41" i="12" s="1"/>
  <c r="O39" i="12"/>
  <c r="M39" i="12" s="1"/>
  <c r="L39" i="12" s="1"/>
  <c r="O38" i="12"/>
  <c r="O3" i="12"/>
  <c r="M3" i="12" s="1"/>
  <c r="N3" i="12" s="1"/>
  <c r="R10" i="12"/>
  <c r="G34" i="12" s="1"/>
  <c r="O4" i="12"/>
  <c r="M4" i="12" s="1"/>
  <c r="L4" i="12" s="1"/>
  <c r="Q10" i="12"/>
  <c r="F34" i="12" s="1"/>
  <c r="O28" i="12"/>
  <c r="M28" i="12" s="1"/>
  <c r="L28" i="12" s="1"/>
  <c r="Q43" i="12"/>
  <c r="F37" i="12" s="1"/>
  <c r="O29" i="12"/>
  <c r="M29" i="12" s="1"/>
  <c r="L29" i="12" s="1"/>
  <c r="O31" i="12"/>
  <c r="M31" i="12" s="1"/>
  <c r="L31" i="12" s="1"/>
  <c r="O52" i="12"/>
  <c r="M52" i="12" s="1"/>
  <c r="L52" i="12" s="1"/>
  <c r="O53" i="12"/>
  <c r="Q32" i="12"/>
  <c r="F36" i="12" s="1"/>
  <c r="O6" i="12"/>
  <c r="M6" i="12" s="1"/>
  <c r="L6" i="12" s="1"/>
  <c r="Q21" i="12"/>
  <c r="F35" i="12" s="1"/>
  <c r="N51" i="12"/>
  <c r="O30" i="12"/>
  <c r="M30" i="12" s="1"/>
  <c r="L30" i="12" s="1"/>
  <c r="N15" i="12"/>
  <c r="O8" i="12"/>
  <c r="M8" i="12" s="1"/>
  <c r="L8" i="12" s="1"/>
  <c r="O19" i="12"/>
  <c r="M19" i="12" s="1"/>
  <c r="Q54" i="12"/>
  <c r="O42" i="12"/>
  <c r="B30" i="12"/>
  <c r="B31" i="12" s="1"/>
  <c r="B32" i="12" s="1"/>
  <c r="F30" i="12"/>
  <c r="E30" i="12"/>
  <c r="C30" i="12"/>
  <c r="O37" i="12"/>
  <c r="O9" i="12"/>
  <c r="O17" i="12"/>
  <c r="P10" i="12"/>
  <c r="E34" i="12" s="1"/>
  <c r="P21" i="12"/>
  <c r="E35" i="12" s="1"/>
  <c r="N26" i="12"/>
  <c r="M59" i="12"/>
  <c r="M60" i="12" s="1"/>
  <c r="H7" i="12"/>
  <c r="O5" i="12"/>
  <c r="O7" i="12"/>
  <c r="O18" i="12"/>
  <c r="H8" i="12"/>
  <c r="C2" i="12"/>
  <c r="H2" i="12" s="1"/>
  <c r="H11" i="12"/>
  <c r="C20" i="12"/>
  <c r="H20" i="12" s="1"/>
  <c r="I30" i="12"/>
  <c r="H10" i="12"/>
  <c r="P32" i="12"/>
  <c r="E36" i="12" s="1"/>
  <c r="O49" i="12"/>
  <c r="O20" i="12"/>
  <c r="O50" i="12"/>
  <c r="O40" i="12"/>
  <c r="O47" i="12"/>
  <c r="P54" i="12"/>
  <c r="P43" i="12"/>
  <c r="E37" i="12" s="1"/>
  <c r="N16" i="12"/>
  <c r="Q21" i="11"/>
  <c r="F42" i="11" s="1"/>
  <c r="O15" i="11"/>
  <c r="M15" i="11" s="1"/>
  <c r="L15" i="11" s="1"/>
  <c r="O51" i="11"/>
  <c r="M51" i="11" s="1"/>
  <c r="O30" i="11"/>
  <c r="M30" i="11" s="1"/>
  <c r="O29" i="11"/>
  <c r="M29" i="11" s="1"/>
  <c r="O40" i="11"/>
  <c r="M40" i="11" s="1"/>
  <c r="P21" i="11"/>
  <c r="E42" i="11" s="1"/>
  <c r="O31" i="11"/>
  <c r="M31" i="11" s="1"/>
  <c r="O49" i="11"/>
  <c r="M49" i="11" s="1"/>
  <c r="N20" i="11"/>
  <c r="L20" i="11"/>
  <c r="O41" i="11"/>
  <c r="M41" i="11" s="1"/>
  <c r="O50" i="11"/>
  <c r="M50" i="11" s="1"/>
  <c r="N39" i="11"/>
  <c r="L39" i="11"/>
  <c r="O5" i="11"/>
  <c r="N17" i="11"/>
  <c r="L17" i="11"/>
  <c r="O4" i="11"/>
  <c r="N18" i="11"/>
  <c r="L18" i="11"/>
  <c r="O3" i="11"/>
  <c r="O36" i="11"/>
  <c r="O26" i="11"/>
  <c r="M26" i="11" s="1"/>
  <c r="O47" i="11"/>
  <c r="M47" i="11" s="1"/>
  <c r="O37" i="11"/>
  <c r="M37" i="11" s="1"/>
  <c r="O53" i="11"/>
  <c r="O16" i="11"/>
  <c r="M16" i="11" s="1"/>
  <c r="O19" i="11"/>
  <c r="M19" i="11" s="1"/>
  <c r="O42" i="11"/>
  <c r="M42" i="11" s="1"/>
  <c r="O9" i="11"/>
  <c r="M9" i="11" s="1"/>
  <c r="O8" i="11"/>
  <c r="O52" i="11"/>
  <c r="M52" i="11" s="1"/>
  <c r="O7" i="11"/>
  <c r="O38" i="11"/>
  <c r="O6" i="11"/>
  <c r="M6" i="11" s="1"/>
  <c r="O28" i="11"/>
  <c r="M28" i="11" s="1"/>
  <c r="O14" i="11"/>
  <c r="M14" i="11" s="1"/>
  <c r="R54" i="11"/>
  <c r="G45" i="11" s="1"/>
  <c r="Q32" i="11"/>
  <c r="F43" i="11" s="1"/>
  <c r="H10" i="11"/>
  <c r="F37" i="11"/>
  <c r="M48" i="11"/>
  <c r="C37" i="11"/>
  <c r="Q43" i="11"/>
  <c r="F44" i="11" s="1"/>
  <c r="Q54" i="11"/>
  <c r="F45" i="11" s="1"/>
  <c r="B37" i="11"/>
  <c r="B38" i="11" s="1"/>
  <c r="B39" i="11" s="1"/>
  <c r="P43" i="11"/>
  <c r="E44" i="11" s="1"/>
  <c r="C21" i="11"/>
  <c r="H21" i="11" s="1"/>
  <c r="M27" i="11"/>
  <c r="C19" i="11"/>
  <c r="H19" i="11" s="1"/>
  <c r="R43" i="11"/>
  <c r="G44" i="11" s="1"/>
  <c r="H32" i="11"/>
  <c r="P10" i="11"/>
  <c r="E41" i="11" s="1"/>
  <c r="C20" i="11"/>
  <c r="H20" i="11" s="1"/>
  <c r="C17" i="11"/>
  <c r="H17" i="11" s="1"/>
  <c r="H31" i="11"/>
  <c r="C18" i="11"/>
  <c r="H18" i="11" s="1"/>
  <c r="C15" i="11"/>
  <c r="H15" i="11" s="1"/>
  <c r="H14" i="11"/>
  <c r="H30" i="11"/>
  <c r="P54" i="11"/>
  <c r="E45" i="11" s="1"/>
  <c r="C16" i="11"/>
  <c r="H16" i="11" s="1"/>
  <c r="H24" i="11"/>
  <c r="C29" i="11"/>
  <c r="H29" i="11" s="1"/>
  <c r="M59" i="11"/>
  <c r="M60" i="11" s="1"/>
  <c r="Q10" i="11"/>
  <c r="F41" i="11" s="1"/>
  <c r="H28" i="11"/>
  <c r="P32" i="11"/>
  <c r="E43" i="11" s="1"/>
  <c r="C23" i="11"/>
  <c r="H23" i="11" s="1"/>
  <c r="E37" i="11"/>
  <c r="H27" i="11"/>
  <c r="C13" i="11"/>
  <c r="C24" i="9"/>
  <c r="H24" i="9" s="1"/>
  <c r="C15" i="9"/>
  <c r="H15" i="9" s="1"/>
  <c r="N31" i="9"/>
  <c r="L31" i="9" s="1"/>
  <c r="M31" i="9" s="1"/>
  <c r="L38" i="8"/>
  <c r="M38" i="8" s="1"/>
  <c r="Q41" i="8"/>
  <c r="P41" i="8"/>
  <c r="N41" i="8" s="1"/>
  <c r="Q39" i="8"/>
  <c r="P39" i="8"/>
  <c r="N39" i="8" s="1"/>
  <c r="Q37" i="8"/>
  <c r="C11" i="9"/>
  <c r="H11" i="9" s="1"/>
  <c r="C14" i="9"/>
  <c r="H14" i="9" s="1"/>
  <c r="C22" i="9"/>
  <c r="H22" i="9" s="1"/>
  <c r="O18" i="9"/>
  <c r="O20" i="9"/>
  <c r="P27" i="9"/>
  <c r="N27" i="9" s="1"/>
  <c r="L27" i="9" s="1"/>
  <c r="M27" i="9" s="1"/>
  <c r="P42" i="9"/>
  <c r="N42" i="9" s="1"/>
  <c r="L42" i="9" s="1"/>
  <c r="M42" i="9" s="1"/>
  <c r="P18" i="9"/>
  <c r="P20" i="9"/>
  <c r="O25" i="9"/>
  <c r="Q27" i="9"/>
  <c r="Q42" i="9"/>
  <c r="P25" i="9"/>
  <c r="O39" i="9"/>
  <c r="O30" i="9"/>
  <c r="O28" i="9"/>
  <c r="N28" i="9" s="1"/>
  <c r="L28" i="9" s="1"/>
  <c r="M28" i="9" s="1"/>
  <c r="P30" i="9"/>
  <c r="P17" i="9"/>
  <c r="P19" i="9"/>
  <c r="O26" i="9"/>
  <c r="N26" i="9" s="1"/>
  <c r="L26" i="9" s="1"/>
  <c r="M26" i="9" s="1"/>
  <c r="Q28" i="9"/>
  <c r="P41" i="9"/>
  <c r="N41" i="9" s="1"/>
  <c r="L41" i="9" s="1"/>
  <c r="M41" i="9" s="1"/>
  <c r="Q25" i="9"/>
  <c r="P39" i="9"/>
  <c r="O17" i="9"/>
  <c r="O19" i="9"/>
  <c r="Q41" i="9"/>
  <c r="A35" i="9"/>
  <c r="C20" i="9"/>
  <c r="H20" i="9" s="1"/>
  <c r="H17" i="9"/>
  <c r="C19" i="9"/>
  <c r="H19" i="9" s="1"/>
  <c r="C21" i="9"/>
  <c r="H21" i="9" s="1"/>
  <c r="A37" i="9"/>
  <c r="Q36" i="9"/>
  <c r="P36" i="9"/>
  <c r="O36" i="9"/>
  <c r="H16" i="9"/>
  <c r="Q38" i="9"/>
  <c r="P38" i="9"/>
  <c r="O38" i="9"/>
  <c r="C18" i="9"/>
  <c r="H18" i="9" s="1"/>
  <c r="Q21" i="9"/>
  <c r="G35" i="9" s="1"/>
  <c r="B2" i="9"/>
  <c r="C2" i="9" s="1"/>
  <c r="H12" i="9"/>
  <c r="B25" i="9"/>
  <c r="C25" i="9" s="1"/>
  <c r="B26" i="9"/>
  <c r="C26" i="9" s="1"/>
  <c r="B27" i="9"/>
  <c r="C27" i="9" s="1"/>
  <c r="B28" i="9"/>
  <c r="C28" i="9" s="1"/>
  <c r="B29" i="9"/>
  <c r="C29" i="9" s="1"/>
  <c r="O8" i="9"/>
  <c r="O9" i="9"/>
  <c r="O6" i="9"/>
  <c r="P9" i="9"/>
  <c r="P6" i="9"/>
  <c r="C23" i="9"/>
  <c r="H23" i="9" s="1"/>
  <c r="N49" i="9"/>
  <c r="Q3" i="9"/>
  <c r="Q4" i="9"/>
  <c r="Q5" i="9"/>
  <c r="Q7" i="9"/>
  <c r="B9" i="9"/>
  <c r="C9" i="9" s="1"/>
  <c r="B10" i="9"/>
  <c r="C10" i="9" s="1"/>
  <c r="O14" i="9"/>
  <c r="O15" i="9"/>
  <c r="O16" i="9"/>
  <c r="P37" i="9"/>
  <c r="N37" i="9" s="1"/>
  <c r="O40" i="9"/>
  <c r="O3" i="9"/>
  <c r="P8" i="9"/>
  <c r="P5" i="9"/>
  <c r="N5" i="9" s="1"/>
  <c r="B3" i="9"/>
  <c r="B4" i="9"/>
  <c r="B5" i="9"/>
  <c r="B6" i="9"/>
  <c r="C6" i="9" s="1"/>
  <c r="B7" i="9"/>
  <c r="B8" i="9"/>
  <c r="C8" i="9" s="1"/>
  <c r="H13" i="9"/>
  <c r="P14" i="9"/>
  <c r="P15" i="9"/>
  <c r="P16" i="9"/>
  <c r="D30" i="9"/>
  <c r="E31" i="9" s="1"/>
  <c r="E32" i="9" s="1"/>
  <c r="Q37" i="9"/>
  <c r="P40" i="9"/>
  <c r="Q26" i="9"/>
  <c r="O7" i="9"/>
  <c r="N7" i="9" s="1"/>
  <c r="P4" i="9"/>
  <c r="N4" i="9" s="1"/>
  <c r="P3" i="9"/>
  <c r="C20" i="8"/>
  <c r="H20" i="8" s="1"/>
  <c r="I6" i="8"/>
  <c r="C12" i="8"/>
  <c r="H12" i="8" s="1"/>
  <c r="N59" i="8"/>
  <c r="C27" i="8"/>
  <c r="H27" i="8" s="1"/>
  <c r="I3" i="8"/>
  <c r="I7" i="8"/>
  <c r="C25" i="8"/>
  <c r="H25" i="8" s="1"/>
  <c r="C28" i="8"/>
  <c r="H28" i="8" s="1"/>
  <c r="I8" i="8"/>
  <c r="I4" i="8"/>
  <c r="C26" i="8"/>
  <c r="H26" i="8" s="1"/>
  <c r="C29" i="8"/>
  <c r="H29" i="8" s="1"/>
  <c r="O30" i="8"/>
  <c r="N30" i="8" s="1"/>
  <c r="O14" i="8"/>
  <c r="Q30" i="8"/>
  <c r="O50" i="8"/>
  <c r="P14" i="8"/>
  <c r="P50" i="8"/>
  <c r="Q14" i="8"/>
  <c r="Q21" i="8" s="1"/>
  <c r="G35" i="8" s="1"/>
  <c r="Q28" i="8"/>
  <c r="O15" i="8"/>
  <c r="Q31" i="8"/>
  <c r="O52" i="8"/>
  <c r="P15" i="8"/>
  <c r="O29" i="8"/>
  <c r="N29" i="8" s="1"/>
  <c r="P52" i="8"/>
  <c r="Q29" i="8"/>
  <c r="O27" i="8"/>
  <c r="N27" i="8" s="1"/>
  <c r="A36" i="8"/>
  <c r="Q27" i="8"/>
  <c r="Q48" i="8"/>
  <c r="Q54" i="8" s="1"/>
  <c r="N17" i="8"/>
  <c r="L17" i="8" s="1"/>
  <c r="M17" i="8" s="1"/>
  <c r="N26" i="8"/>
  <c r="L26" i="8" s="1"/>
  <c r="M26" i="8" s="1"/>
  <c r="N28" i="8"/>
  <c r="N31" i="8"/>
  <c r="B14" i="8"/>
  <c r="B2" i="8"/>
  <c r="P25" i="8"/>
  <c r="P32" i="8" s="1"/>
  <c r="F36" i="8" s="1"/>
  <c r="P47" i="8"/>
  <c r="N47" i="8" s="1"/>
  <c r="I14" i="8"/>
  <c r="I15" i="8"/>
  <c r="I16" i="8"/>
  <c r="I17" i="8"/>
  <c r="I22" i="8"/>
  <c r="I24" i="8"/>
  <c r="O49" i="8"/>
  <c r="O3" i="8"/>
  <c r="O4" i="8"/>
  <c r="O5" i="8"/>
  <c r="O6" i="8"/>
  <c r="O8" i="8"/>
  <c r="O9" i="8"/>
  <c r="I12" i="8"/>
  <c r="I18" i="8"/>
  <c r="I19" i="8"/>
  <c r="I20" i="8"/>
  <c r="I21" i="8"/>
  <c r="P49" i="8"/>
  <c r="P3" i="8"/>
  <c r="P4" i="8"/>
  <c r="P5" i="8"/>
  <c r="P6" i="8"/>
  <c r="O7" i="8"/>
  <c r="P8" i="8"/>
  <c r="P9" i="8"/>
  <c r="B13" i="8"/>
  <c r="O51" i="8"/>
  <c r="I2" i="8"/>
  <c r="Q3" i="8"/>
  <c r="Q10" i="8" s="1"/>
  <c r="G34" i="8" s="1"/>
  <c r="P7" i="8"/>
  <c r="B11" i="8"/>
  <c r="C11" i="8" s="1"/>
  <c r="B23" i="8"/>
  <c r="C23" i="8" s="1"/>
  <c r="P51" i="8"/>
  <c r="B3" i="8"/>
  <c r="C3" i="8" s="1"/>
  <c r="B4" i="8"/>
  <c r="B5" i="8"/>
  <c r="B6" i="8"/>
  <c r="B7" i="8"/>
  <c r="B9" i="8"/>
  <c r="B10" i="8"/>
  <c r="O53" i="8"/>
  <c r="B8" i="8"/>
  <c r="C8" i="8" s="1"/>
  <c r="I25" i="8"/>
  <c r="I26" i="8"/>
  <c r="I27" i="8"/>
  <c r="I28" i="8"/>
  <c r="I29" i="8"/>
  <c r="O48" i="8"/>
  <c r="N48" i="8" s="1"/>
  <c r="P53" i="8"/>
  <c r="I13" i="8"/>
  <c r="O19" i="8"/>
  <c r="N19" i="8" s="1"/>
  <c r="O59" i="8"/>
  <c r="I11" i="8"/>
  <c r="I23" i="8"/>
  <c r="D30" i="8"/>
  <c r="E31" i="8" s="1"/>
  <c r="E32" i="8" s="1"/>
  <c r="I9" i="8"/>
  <c r="I10" i="8"/>
  <c r="B15" i="8"/>
  <c r="C15" i="8" s="1"/>
  <c r="B16" i="8"/>
  <c r="C16" i="8" s="1"/>
  <c r="B17" i="8"/>
  <c r="C17" i="8" s="1"/>
  <c r="B18" i="8"/>
  <c r="B22" i="8"/>
  <c r="B24" i="8"/>
  <c r="Q59" i="8"/>
  <c r="I4" i="7"/>
  <c r="N7" i="7"/>
  <c r="L7" i="7" s="1"/>
  <c r="I12" i="7"/>
  <c r="I15" i="7"/>
  <c r="B4" i="7"/>
  <c r="I8" i="7"/>
  <c r="O29" i="7"/>
  <c r="N29" i="7" s="1"/>
  <c r="L29" i="7" s="1"/>
  <c r="M29" i="7" s="1"/>
  <c r="O49" i="7"/>
  <c r="P49" i="7"/>
  <c r="O6" i="7"/>
  <c r="Q29" i="7"/>
  <c r="P25" i="7"/>
  <c r="N25" i="7" s="1"/>
  <c r="O28" i="7"/>
  <c r="P30" i="7"/>
  <c r="N30" i="7" s="1"/>
  <c r="L30" i="7" s="1"/>
  <c r="M30" i="7" s="1"/>
  <c r="Q39" i="7"/>
  <c r="P52" i="7"/>
  <c r="N52" i="7" s="1"/>
  <c r="P27" i="7"/>
  <c r="N27" i="7" s="1"/>
  <c r="P42" i="7"/>
  <c r="N42" i="7" s="1"/>
  <c r="L42" i="7" s="1"/>
  <c r="Q27" i="7"/>
  <c r="P6" i="7"/>
  <c r="A43" i="7"/>
  <c r="O39" i="7"/>
  <c r="N39" i="7" s="1"/>
  <c r="L39" i="7" s="1"/>
  <c r="M39" i="7" s="1"/>
  <c r="P28" i="7"/>
  <c r="Q30" i="7"/>
  <c r="O47" i="7"/>
  <c r="O5" i="7"/>
  <c r="P47" i="7"/>
  <c r="P5" i="7"/>
  <c r="P41" i="7"/>
  <c r="N41" i="7" s="1"/>
  <c r="L41" i="7" s="1"/>
  <c r="Q25" i="7"/>
  <c r="Q41" i="7"/>
  <c r="N26" i="7"/>
  <c r="L26" i="7" s="1"/>
  <c r="M26" i="7" s="1"/>
  <c r="C32" i="7"/>
  <c r="H32" i="7" s="1"/>
  <c r="C35" i="7"/>
  <c r="H35" i="7" s="1"/>
  <c r="C25" i="7"/>
  <c r="H25" i="7" s="1"/>
  <c r="I10" i="7"/>
  <c r="I9" i="7"/>
  <c r="I13" i="7"/>
  <c r="I23" i="7"/>
  <c r="I30" i="7"/>
  <c r="I27" i="7"/>
  <c r="I11" i="7"/>
  <c r="D37" i="7"/>
  <c r="E38" i="7" s="1"/>
  <c r="E39" i="7" s="1"/>
  <c r="I32" i="7"/>
  <c r="I31" i="7"/>
  <c r="I21" i="7"/>
  <c r="I6" i="7"/>
  <c r="B2" i="7"/>
  <c r="C2" i="7" s="1"/>
  <c r="I35" i="7"/>
  <c r="I25" i="7"/>
  <c r="I19" i="7"/>
  <c r="I7" i="7"/>
  <c r="Q15" i="7"/>
  <c r="P15" i="7"/>
  <c r="O15" i="7"/>
  <c r="Q4" i="7"/>
  <c r="P4" i="7"/>
  <c r="P8" i="7"/>
  <c r="N8" i="7" s="1"/>
  <c r="L8" i="7" s="1"/>
  <c r="B20" i="7"/>
  <c r="C20" i="7" s="1"/>
  <c r="I2" i="7"/>
  <c r="N59" i="7"/>
  <c r="Q8" i="7"/>
  <c r="B18" i="7"/>
  <c r="C9" i="7"/>
  <c r="H9" i="7" s="1"/>
  <c r="B14" i="7"/>
  <c r="I20" i="7"/>
  <c r="I22" i="7"/>
  <c r="H29" i="7"/>
  <c r="C31" i="7"/>
  <c r="H31" i="7" s="1"/>
  <c r="P20" i="7"/>
  <c r="O20" i="7"/>
  <c r="Q20" i="7"/>
  <c r="B23" i="7"/>
  <c r="C26" i="7"/>
  <c r="H26" i="7" s="1"/>
  <c r="I3" i="7"/>
  <c r="O4" i="7"/>
  <c r="I16" i="7"/>
  <c r="I33" i="7"/>
  <c r="P16" i="7"/>
  <c r="Q16" i="7"/>
  <c r="O16" i="7"/>
  <c r="I26" i="7"/>
  <c r="O36" i="7"/>
  <c r="P38" i="7"/>
  <c r="P59" i="7"/>
  <c r="I17" i="7"/>
  <c r="Q59" i="7"/>
  <c r="Q52" i="7"/>
  <c r="O40" i="7"/>
  <c r="Q40" i="7"/>
  <c r="P40" i="7"/>
  <c r="Q48" i="7"/>
  <c r="P48" i="7"/>
  <c r="O48" i="7"/>
  <c r="A41" i="7"/>
  <c r="P3" i="7"/>
  <c r="O3" i="7"/>
  <c r="O38" i="7"/>
  <c r="I5" i="7"/>
  <c r="I24" i="7"/>
  <c r="B30" i="7"/>
  <c r="I34" i="7"/>
  <c r="P36" i="7"/>
  <c r="B17" i="7"/>
  <c r="H13" i="7"/>
  <c r="I18" i="7"/>
  <c r="Q9" i="7"/>
  <c r="P9" i="7"/>
  <c r="I14" i="7"/>
  <c r="P18" i="7"/>
  <c r="O18" i="7"/>
  <c r="Q18" i="7"/>
  <c r="H11" i="7"/>
  <c r="C28" i="7"/>
  <c r="H28" i="7" s="1"/>
  <c r="Q3" i="7"/>
  <c r="O9" i="7"/>
  <c r="B12" i="7"/>
  <c r="B15" i="7"/>
  <c r="B19" i="7"/>
  <c r="Q36" i="7"/>
  <c r="A42" i="7"/>
  <c r="Q51" i="7"/>
  <c r="P51" i="7"/>
  <c r="O51" i="7"/>
  <c r="Q17" i="7"/>
  <c r="P17" i="7"/>
  <c r="O17" i="7"/>
  <c r="Q14" i="7"/>
  <c r="P14" i="7"/>
  <c r="B21" i="7"/>
  <c r="C21" i="7" s="1"/>
  <c r="C33" i="7"/>
  <c r="H33" i="7" s="1"/>
  <c r="B16" i="7"/>
  <c r="Q19" i="7"/>
  <c r="P19" i="7"/>
  <c r="O19" i="7"/>
  <c r="Q37" i="7"/>
  <c r="P37" i="7"/>
  <c r="O37" i="7"/>
  <c r="C10" i="7"/>
  <c r="H10" i="7" s="1"/>
  <c r="N31" i="7"/>
  <c r="Q50" i="7"/>
  <c r="O50" i="7"/>
  <c r="P50" i="7"/>
  <c r="Q53" i="7"/>
  <c r="P53" i="7"/>
  <c r="N53" i="7" s="1"/>
  <c r="C36" i="7"/>
  <c r="H36" i="7" s="1"/>
  <c r="C3" i="7"/>
  <c r="H3" i="7" s="1"/>
  <c r="C5" i="7"/>
  <c r="H5" i="7" s="1"/>
  <c r="C7" i="7"/>
  <c r="C4" i="7"/>
  <c r="H4" i="7" s="1"/>
  <c r="C6" i="7"/>
  <c r="H6" i="7" s="1"/>
  <c r="C8" i="7"/>
  <c r="H8" i="7" s="1"/>
  <c r="C34" i="7"/>
  <c r="H34" i="7" s="1"/>
  <c r="N29" i="6"/>
  <c r="N41" i="6"/>
  <c r="L41" i="6" s="1"/>
  <c r="M41" i="6" s="1"/>
  <c r="I10" i="6"/>
  <c r="I7" i="6"/>
  <c r="I4" i="6"/>
  <c r="I11" i="6"/>
  <c r="N31" i="6"/>
  <c r="L31" i="6" s="1"/>
  <c r="M31" i="6" s="1"/>
  <c r="I6" i="6"/>
  <c r="I9" i="6"/>
  <c r="I3" i="6"/>
  <c r="N59" i="6"/>
  <c r="N27" i="6"/>
  <c r="L27" i="6" s="1"/>
  <c r="M27" i="6" s="1"/>
  <c r="I5" i="6"/>
  <c r="I8" i="6"/>
  <c r="I17" i="6"/>
  <c r="I36" i="6"/>
  <c r="I13" i="6"/>
  <c r="I24" i="6"/>
  <c r="O14" i="6"/>
  <c r="O16" i="6"/>
  <c r="O18" i="6"/>
  <c r="O20" i="6"/>
  <c r="N25" i="6"/>
  <c r="L25" i="6" s="1"/>
  <c r="P14" i="6"/>
  <c r="P16" i="6"/>
  <c r="P18" i="6"/>
  <c r="P20" i="6"/>
  <c r="Q32" i="6"/>
  <c r="G43" i="6" s="1"/>
  <c r="Q14" i="6"/>
  <c r="Q21" i="6" s="1"/>
  <c r="G42" i="6" s="1"/>
  <c r="P52" i="6"/>
  <c r="N52" i="6" s="1"/>
  <c r="L52" i="6" s="1"/>
  <c r="M52" i="6" s="1"/>
  <c r="O26" i="6"/>
  <c r="O28" i="6"/>
  <c r="O30" i="6"/>
  <c r="P39" i="6"/>
  <c r="N39" i="6" s="1"/>
  <c r="L39" i="6" s="1"/>
  <c r="M39" i="6" s="1"/>
  <c r="Q52" i="6"/>
  <c r="Q54" i="6" s="1"/>
  <c r="G45" i="6" s="1"/>
  <c r="P26" i="6"/>
  <c r="P28" i="6"/>
  <c r="P30" i="6"/>
  <c r="O47" i="6"/>
  <c r="P15" i="6"/>
  <c r="N15" i="6" s="1"/>
  <c r="L15" i="6" s="1"/>
  <c r="M15" i="6" s="1"/>
  <c r="P17" i="6"/>
  <c r="N17" i="6" s="1"/>
  <c r="L17" i="6" s="1"/>
  <c r="M17" i="6" s="1"/>
  <c r="P19" i="6"/>
  <c r="N19" i="6" s="1"/>
  <c r="L19" i="6" s="1"/>
  <c r="M19" i="6" s="1"/>
  <c r="P47" i="6"/>
  <c r="N42" i="6"/>
  <c r="L42" i="6" s="1"/>
  <c r="M42" i="6" s="1"/>
  <c r="N49" i="6"/>
  <c r="L49" i="6" s="1"/>
  <c r="M49" i="6" s="1"/>
  <c r="H7" i="6"/>
  <c r="C11" i="6"/>
  <c r="C22" i="6"/>
  <c r="H22" i="6" s="1"/>
  <c r="C24" i="6"/>
  <c r="H24" i="6"/>
  <c r="C17" i="6"/>
  <c r="H17" i="6" s="1"/>
  <c r="I34" i="6"/>
  <c r="C12" i="6"/>
  <c r="H12" i="6" s="1"/>
  <c r="H14" i="6"/>
  <c r="H15" i="6"/>
  <c r="H16" i="6"/>
  <c r="H18" i="6"/>
  <c r="H19" i="6"/>
  <c r="H20" i="6"/>
  <c r="H21" i="6"/>
  <c r="I22" i="6"/>
  <c r="C35" i="6"/>
  <c r="H35" i="6" s="1"/>
  <c r="C2" i="6"/>
  <c r="H2" i="6" s="1"/>
  <c r="I14" i="6"/>
  <c r="I15" i="6"/>
  <c r="I16" i="6"/>
  <c r="I18" i="6"/>
  <c r="I19" i="6"/>
  <c r="I20" i="6"/>
  <c r="I21" i="6"/>
  <c r="C33" i="6"/>
  <c r="H33" i="6" s="1"/>
  <c r="O36" i="6"/>
  <c r="O38" i="6"/>
  <c r="A45" i="6"/>
  <c r="O51" i="6"/>
  <c r="C25" i="6"/>
  <c r="H25" i="6" s="1"/>
  <c r="C26" i="6"/>
  <c r="H26" i="6" s="1"/>
  <c r="C27" i="6"/>
  <c r="H27" i="6" s="1"/>
  <c r="C28" i="6"/>
  <c r="H28" i="6" s="1"/>
  <c r="C29" i="6"/>
  <c r="H29" i="6" s="1"/>
  <c r="C30" i="6"/>
  <c r="H30" i="6" s="1"/>
  <c r="C31" i="6"/>
  <c r="H31" i="6" s="1"/>
  <c r="C32" i="6"/>
  <c r="H32" i="6" s="1"/>
  <c r="P36" i="6"/>
  <c r="P38" i="6"/>
  <c r="P51" i="6"/>
  <c r="L59" i="6"/>
  <c r="L60" i="6" s="1"/>
  <c r="O3" i="6"/>
  <c r="O4" i="6"/>
  <c r="O5" i="6"/>
  <c r="O6" i="6"/>
  <c r="O7" i="6"/>
  <c r="O8" i="6"/>
  <c r="O9" i="6"/>
  <c r="I12" i="6"/>
  <c r="B23" i="6"/>
  <c r="C23" i="6" s="1"/>
  <c r="I35" i="6"/>
  <c r="Q36" i="6"/>
  <c r="Q43" i="6" s="1"/>
  <c r="G44" i="6" s="1"/>
  <c r="O53" i="6"/>
  <c r="I2" i="6"/>
  <c r="P3" i="6"/>
  <c r="P4" i="6"/>
  <c r="P5" i="6"/>
  <c r="P6" i="6"/>
  <c r="P7" i="6"/>
  <c r="P8" i="6"/>
  <c r="P9" i="6"/>
  <c r="B13" i="6"/>
  <c r="C13" i="6" s="1"/>
  <c r="I33" i="6"/>
  <c r="B36" i="6"/>
  <c r="O37" i="6"/>
  <c r="O48" i="6"/>
  <c r="P53" i="6"/>
  <c r="B3" i="6"/>
  <c r="C37" i="6" s="1"/>
  <c r="Q3" i="6"/>
  <c r="Q10" i="6" s="1"/>
  <c r="G41" i="6" s="1"/>
  <c r="I25" i="6"/>
  <c r="I26" i="6"/>
  <c r="I27" i="6"/>
  <c r="I28" i="6"/>
  <c r="I29" i="6"/>
  <c r="I30" i="6"/>
  <c r="I31" i="6"/>
  <c r="I32" i="6"/>
  <c r="P37" i="6"/>
  <c r="O40" i="6"/>
  <c r="P48" i="6"/>
  <c r="D37" i="6"/>
  <c r="E38" i="6" s="1"/>
  <c r="E39" i="6" s="1"/>
  <c r="P40" i="6"/>
  <c r="O50" i="6"/>
  <c r="I23" i="6"/>
  <c r="L29" i="6"/>
  <c r="M29" i="6" s="1"/>
  <c r="P50" i="6"/>
  <c r="C34" i="5"/>
  <c r="H34" i="5" s="1"/>
  <c r="N31" i="5"/>
  <c r="L31" i="5" s="1"/>
  <c r="M31" i="5" s="1"/>
  <c r="N27" i="5"/>
  <c r="L27" i="5" s="1"/>
  <c r="M27" i="5" s="1"/>
  <c r="N25" i="5"/>
  <c r="L25" i="5" s="1"/>
  <c r="M25" i="5" s="1"/>
  <c r="N29" i="5"/>
  <c r="L29" i="5" s="1"/>
  <c r="M29" i="5" s="1"/>
  <c r="O32" i="5"/>
  <c r="N26" i="5"/>
  <c r="Q30" i="5"/>
  <c r="P30" i="5"/>
  <c r="N30" i="5" s="1"/>
  <c r="Q28" i="5"/>
  <c r="P28" i="5"/>
  <c r="N28" i="5" s="1"/>
  <c r="Q26" i="5"/>
  <c r="H20" i="5"/>
  <c r="C14" i="5"/>
  <c r="H14" i="5" s="1"/>
  <c r="H18" i="5"/>
  <c r="C11" i="5"/>
  <c r="H11" i="5" s="1"/>
  <c r="H17" i="5"/>
  <c r="N19" i="5"/>
  <c r="L19" i="5" s="1"/>
  <c r="M19" i="5" s="1"/>
  <c r="O14" i="5"/>
  <c r="O16" i="5"/>
  <c r="P16" i="5"/>
  <c r="Q51" i="5"/>
  <c r="O18" i="5"/>
  <c r="N18" i="5" s="1"/>
  <c r="L18" i="5" s="1"/>
  <c r="M18" i="5" s="1"/>
  <c r="O53" i="5"/>
  <c r="N53" i="5" s="1"/>
  <c r="L53" i="5" s="1"/>
  <c r="M53" i="5" s="1"/>
  <c r="O8" i="5"/>
  <c r="O20" i="5"/>
  <c r="P48" i="5"/>
  <c r="N48" i="5" s="1"/>
  <c r="L48" i="5" s="1"/>
  <c r="M48" i="5" s="1"/>
  <c r="P8" i="5"/>
  <c r="O15" i="5"/>
  <c r="Q18" i="5"/>
  <c r="P20" i="5"/>
  <c r="O40" i="5"/>
  <c r="Q48" i="5"/>
  <c r="Q53" i="5"/>
  <c r="O6" i="5"/>
  <c r="N6" i="5" s="1"/>
  <c r="P15" i="5"/>
  <c r="O17" i="5"/>
  <c r="P40" i="5"/>
  <c r="P17" i="5"/>
  <c r="P14" i="5"/>
  <c r="O5" i="5"/>
  <c r="Q14" i="5"/>
  <c r="P5" i="5"/>
  <c r="N37" i="5"/>
  <c r="L37" i="5" s="1"/>
  <c r="M37" i="5" s="1"/>
  <c r="N50" i="5"/>
  <c r="L50" i="5" s="1"/>
  <c r="M50" i="5" s="1"/>
  <c r="N7" i="5"/>
  <c r="L7" i="5" s="1"/>
  <c r="M7" i="5" s="1"/>
  <c r="P3" i="5"/>
  <c r="N3" i="5" s="1"/>
  <c r="Q3" i="5"/>
  <c r="Q10" i="5" s="1"/>
  <c r="G41" i="5" s="1"/>
  <c r="A41" i="5"/>
  <c r="C7" i="5"/>
  <c r="H7" i="5" s="1"/>
  <c r="C5" i="5"/>
  <c r="H5" i="5" s="1"/>
  <c r="Q49" i="5"/>
  <c r="P49" i="5"/>
  <c r="O49" i="5"/>
  <c r="H16" i="5"/>
  <c r="B30" i="5"/>
  <c r="A45" i="5"/>
  <c r="Q47" i="5"/>
  <c r="P47" i="5"/>
  <c r="O47" i="5"/>
  <c r="H4" i="5"/>
  <c r="H15" i="5"/>
  <c r="H21" i="5"/>
  <c r="H33" i="5"/>
  <c r="Q42" i="5"/>
  <c r="P42" i="5"/>
  <c r="O42" i="5"/>
  <c r="H13" i="5"/>
  <c r="C8" i="5"/>
  <c r="H8" i="5" s="1"/>
  <c r="C23" i="5"/>
  <c r="H23" i="5" s="1"/>
  <c r="B27" i="5"/>
  <c r="C36" i="5"/>
  <c r="H36" i="5" s="1"/>
  <c r="D3" i="5"/>
  <c r="N9" i="5"/>
  <c r="B26" i="5"/>
  <c r="C26" i="5" s="1"/>
  <c r="B29" i="5"/>
  <c r="B32" i="5"/>
  <c r="C32" i="5" s="1"/>
  <c r="P36" i="5"/>
  <c r="O36" i="5"/>
  <c r="O41" i="5"/>
  <c r="B6" i="5"/>
  <c r="C6" i="5" s="1"/>
  <c r="B10" i="5"/>
  <c r="C10" i="5" s="1"/>
  <c r="H19" i="5"/>
  <c r="C24" i="5"/>
  <c r="H24" i="5" s="1"/>
  <c r="Q36" i="5"/>
  <c r="P41" i="5"/>
  <c r="H9" i="5"/>
  <c r="N4" i="5"/>
  <c r="N59" i="5"/>
  <c r="H12" i="5"/>
  <c r="B25" i="5"/>
  <c r="C25" i="5" s="1"/>
  <c r="B28" i="5"/>
  <c r="B31" i="5"/>
  <c r="C31" i="5" s="1"/>
  <c r="Q52" i="5"/>
  <c r="P52" i="5"/>
  <c r="N52" i="5" s="1"/>
  <c r="H35" i="5"/>
  <c r="A43" i="5"/>
  <c r="Q39" i="5"/>
  <c r="P39" i="5"/>
  <c r="O39" i="5"/>
  <c r="H22" i="5"/>
  <c r="P38" i="5"/>
  <c r="O38" i="5"/>
  <c r="B2" i="5"/>
  <c r="I15" i="5"/>
  <c r="I16" i="5"/>
  <c r="O51" i="5"/>
  <c r="N51" i="5" s="1"/>
  <c r="N29" i="4"/>
  <c r="L29" i="4" s="1"/>
  <c r="M29" i="4" s="1"/>
  <c r="I8" i="4"/>
  <c r="N42" i="4"/>
  <c r="L42" i="4" s="1"/>
  <c r="M42" i="4" s="1"/>
  <c r="I24" i="4"/>
  <c r="C34" i="4"/>
  <c r="H34" i="4" s="1"/>
  <c r="I10" i="4"/>
  <c r="I9" i="4"/>
  <c r="I36" i="4"/>
  <c r="I6" i="4"/>
  <c r="C10" i="4"/>
  <c r="H10" i="4" s="1"/>
  <c r="I7" i="4"/>
  <c r="I4" i="4"/>
  <c r="I11" i="4"/>
  <c r="C36" i="4"/>
  <c r="H36" i="4" s="1"/>
  <c r="N59" i="4"/>
  <c r="C6" i="4"/>
  <c r="H6" i="4" s="1"/>
  <c r="I5" i="4"/>
  <c r="B9" i="4"/>
  <c r="C9" i="4" s="1"/>
  <c r="H9" i="4" s="1"/>
  <c r="P27" i="4"/>
  <c r="N27" i="4" s="1"/>
  <c r="L27" i="4" s="1"/>
  <c r="M27" i="4" s="1"/>
  <c r="O39" i="4"/>
  <c r="N39" i="4" s="1"/>
  <c r="L39" i="4" s="1"/>
  <c r="M39" i="4" s="1"/>
  <c r="A43" i="4"/>
  <c r="P25" i="4"/>
  <c r="N25" i="4" s="1"/>
  <c r="O30" i="4"/>
  <c r="Q39" i="4"/>
  <c r="Q25" i="4"/>
  <c r="P30" i="4"/>
  <c r="O47" i="4"/>
  <c r="N47" i="4" s="1"/>
  <c r="L47" i="4" s="1"/>
  <c r="M47" i="4" s="1"/>
  <c r="Q52" i="4"/>
  <c r="Q27" i="4"/>
  <c r="P52" i="4"/>
  <c r="N52" i="4" s="1"/>
  <c r="L52" i="4" s="1"/>
  <c r="M52" i="4" s="1"/>
  <c r="N28" i="4"/>
  <c r="L28" i="4" s="1"/>
  <c r="M28" i="4" s="1"/>
  <c r="P26" i="4"/>
  <c r="O31" i="4"/>
  <c r="N31" i="4" s="1"/>
  <c r="L31" i="4" s="1"/>
  <c r="M31" i="4" s="1"/>
  <c r="A42" i="4"/>
  <c r="O26" i="4"/>
  <c r="N41" i="4"/>
  <c r="L41" i="4" s="1"/>
  <c r="M41" i="4" s="1"/>
  <c r="Q21" i="4"/>
  <c r="G42" i="4" s="1"/>
  <c r="N49" i="4"/>
  <c r="L49" i="4" s="1"/>
  <c r="M49" i="4" s="1"/>
  <c r="C25" i="4"/>
  <c r="H25" i="4"/>
  <c r="C30" i="4"/>
  <c r="H30" i="4" s="1"/>
  <c r="C26" i="4"/>
  <c r="H26" i="4" s="1"/>
  <c r="C28" i="4"/>
  <c r="H28" i="4" s="1"/>
  <c r="C32" i="4"/>
  <c r="H32" i="4" s="1"/>
  <c r="C24" i="4"/>
  <c r="H24" i="4" s="1"/>
  <c r="C27" i="4"/>
  <c r="H27" i="4"/>
  <c r="C29" i="4"/>
  <c r="H29" i="4" s="1"/>
  <c r="C31" i="4"/>
  <c r="H31" i="4" s="1"/>
  <c r="C22" i="4"/>
  <c r="H22" i="4" s="1"/>
  <c r="C14" i="4"/>
  <c r="H14" i="4" s="1"/>
  <c r="C17" i="4"/>
  <c r="H17" i="4" s="1"/>
  <c r="C20" i="4"/>
  <c r="H20" i="4" s="1"/>
  <c r="H16" i="4"/>
  <c r="H19" i="4"/>
  <c r="H21" i="4"/>
  <c r="I22" i="4"/>
  <c r="B33" i="4"/>
  <c r="C33" i="4" s="1"/>
  <c r="C35" i="4"/>
  <c r="H35" i="4" s="1"/>
  <c r="B2" i="4"/>
  <c r="I14" i="4"/>
  <c r="I15" i="4"/>
  <c r="I16" i="4"/>
  <c r="I17" i="4"/>
  <c r="I18" i="4"/>
  <c r="I19" i="4"/>
  <c r="I20" i="4"/>
  <c r="I21" i="4"/>
  <c r="O36" i="4"/>
  <c r="O38" i="4"/>
  <c r="N38" i="4" s="1"/>
  <c r="A45" i="4"/>
  <c r="O51" i="4"/>
  <c r="N51" i="4" s="1"/>
  <c r="C15" i="4"/>
  <c r="H15" i="4" s="1"/>
  <c r="C18" i="4"/>
  <c r="H18" i="4" s="1"/>
  <c r="I34" i="4"/>
  <c r="H12" i="4"/>
  <c r="O5" i="4"/>
  <c r="N5" i="4" s="1"/>
  <c r="I12" i="4"/>
  <c r="Q51" i="4"/>
  <c r="P4" i="4"/>
  <c r="N4" i="4" s="1"/>
  <c r="A44" i="4"/>
  <c r="I2" i="4"/>
  <c r="Q3" i="4"/>
  <c r="Q4" i="4"/>
  <c r="Q5" i="4"/>
  <c r="Q6" i="4"/>
  <c r="Q7" i="4"/>
  <c r="Q8" i="4"/>
  <c r="Q9" i="4"/>
  <c r="C13" i="4"/>
  <c r="H13" i="4" s="1"/>
  <c r="I25" i="4"/>
  <c r="I26" i="4"/>
  <c r="I27" i="4"/>
  <c r="I28" i="4"/>
  <c r="I29" i="4"/>
  <c r="I30" i="4"/>
  <c r="I31" i="4"/>
  <c r="I32" i="4"/>
  <c r="P37" i="4"/>
  <c r="N37" i="4" s="1"/>
  <c r="O40" i="4"/>
  <c r="P48" i="4"/>
  <c r="N48" i="4" s="1"/>
  <c r="Q53" i="4"/>
  <c r="O9" i="4"/>
  <c r="N9" i="4" s="1"/>
  <c r="P8" i="4"/>
  <c r="N8" i="4" s="1"/>
  <c r="P53" i="4"/>
  <c r="N53" i="4" s="1"/>
  <c r="B3" i="4"/>
  <c r="B4" i="4"/>
  <c r="C4" i="4" s="1"/>
  <c r="B5" i="4"/>
  <c r="B7" i="4"/>
  <c r="B8" i="4"/>
  <c r="C11" i="4"/>
  <c r="H11" i="4" s="1"/>
  <c r="O14" i="4"/>
  <c r="O15" i="4"/>
  <c r="O16" i="4"/>
  <c r="O17" i="4"/>
  <c r="O18" i="4"/>
  <c r="O19" i="4"/>
  <c r="O20" i="4"/>
  <c r="H23" i="4"/>
  <c r="D37" i="4"/>
  <c r="E38" i="4" s="1"/>
  <c r="E39" i="4" s="1"/>
  <c r="Q37" i="4"/>
  <c r="P40" i="4"/>
  <c r="Q48" i="4"/>
  <c r="O50" i="4"/>
  <c r="O3" i="4"/>
  <c r="O6" i="4"/>
  <c r="N6" i="4" s="1"/>
  <c r="Q36" i="4"/>
  <c r="Q38" i="4"/>
  <c r="P7" i="4"/>
  <c r="N7" i="4" s="1"/>
  <c r="I33" i="4"/>
  <c r="P14" i="4"/>
  <c r="P15" i="4"/>
  <c r="P16" i="4"/>
  <c r="P17" i="4"/>
  <c r="P18" i="4"/>
  <c r="P19" i="4"/>
  <c r="P20" i="4"/>
  <c r="I23" i="4"/>
  <c r="P50" i="4"/>
  <c r="I35" i="4"/>
  <c r="P3" i="4"/>
  <c r="I13" i="4"/>
  <c r="C6" i="3"/>
  <c r="H6" i="3" s="1"/>
  <c r="P16" i="3"/>
  <c r="C4" i="3"/>
  <c r="H4" i="3" s="1"/>
  <c r="C8" i="3"/>
  <c r="H8" i="3" s="1"/>
  <c r="A42" i="3"/>
  <c r="P31" i="3"/>
  <c r="P51" i="3"/>
  <c r="C10" i="3"/>
  <c r="H10" i="3" s="1"/>
  <c r="P27" i="3"/>
  <c r="C5" i="3"/>
  <c r="H5" i="3" s="1"/>
  <c r="C9" i="3"/>
  <c r="H9" i="3" s="1"/>
  <c r="C3" i="3"/>
  <c r="H3" i="3" s="1"/>
  <c r="C7" i="3"/>
  <c r="P17" i="3"/>
  <c r="P28" i="3"/>
  <c r="A45" i="3"/>
  <c r="B13" i="3"/>
  <c r="C13" i="3" s="1"/>
  <c r="H13" i="3" s="1"/>
  <c r="B35" i="3"/>
  <c r="C35" i="3" s="1"/>
  <c r="H35" i="3" s="1"/>
  <c r="Q32" i="3"/>
  <c r="G43" i="3" s="1"/>
  <c r="B24" i="3"/>
  <c r="C24" i="3" s="1"/>
  <c r="H24" i="3" s="1"/>
  <c r="C23" i="3"/>
  <c r="H23" i="3" s="1"/>
  <c r="A43" i="3"/>
  <c r="P14" i="3"/>
  <c r="P15" i="3"/>
  <c r="P18" i="3"/>
  <c r="P19" i="3"/>
  <c r="P25" i="3"/>
  <c r="P26" i="3"/>
  <c r="P29" i="3"/>
  <c r="P30" i="3"/>
  <c r="P40" i="3"/>
  <c r="P42" i="3"/>
  <c r="A44" i="3"/>
  <c r="P47" i="3"/>
  <c r="P53" i="3"/>
  <c r="I35" i="3"/>
  <c r="I34" i="3"/>
  <c r="I24" i="3"/>
  <c r="I33" i="3"/>
  <c r="I31" i="3"/>
  <c r="I29" i="3"/>
  <c r="I27" i="3"/>
  <c r="I25" i="3"/>
  <c r="I22" i="3"/>
  <c r="I13" i="3"/>
  <c r="I10" i="3"/>
  <c r="I9" i="3"/>
  <c r="I8" i="3"/>
  <c r="I7" i="3"/>
  <c r="I6" i="3"/>
  <c r="I5" i="3"/>
  <c r="I4" i="3"/>
  <c r="I3" i="3"/>
  <c r="D37" i="3"/>
  <c r="E38" i="3" s="1"/>
  <c r="E39" i="3" s="1"/>
  <c r="I36" i="3"/>
  <c r="I32" i="3"/>
  <c r="I30" i="3"/>
  <c r="I28" i="3"/>
  <c r="I26" i="3"/>
  <c r="I23" i="3"/>
  <c r="A41" i="3"/>
  <c r="P3" i="3"/>
  <c r="P10" i="3" s="1"/>
  <c r="F41" i="3" s="1"/>
  <c r="O3" i="3"/>
  <c r="O4" i="3"/>
  <c r="N4" i="3" s="1"/>
  <c r="O5" i="3"/>
  <c r="N5" i="3" s="1"/>
  <c r="O6" i="3"/>
  <c r="N6" i="3" s="1"/>
  <c r="O7" i="3"/>
  <c r="N7" i="3" s="1"/>
  <c r="O8" i="3"/>
  <c r="N8" i="3" s="1"/>
  <c r="O9" i="3"/>
  <c r="N9" i="3" s="1"/>
  <c r="I12" i="3"/>
  <c r="I15" i="3"/>
  <c r="I17" i="3"/>
  <c r="I19" i="3"/>
  <c r="I21" i="3"/>
  <c r="B2" i="3"/>
  <c r="C2" i="3" s="1"/>
  <c r="I2" i="3"/>
  <c r="Q3" i="3"/>
  <c r="Q4" i="3"/>
  <c r="Q5" i="3"/>
  <c r="Q6" i="3"/>
  <c r="H7" i="3"/>
  <c r="Q7" i="3"/>
  <c r="Q8" i="3"/>
  <c r="Q9" i="3"/>
  <c r="B11" i="3"/>
  <c r="C11" i="3" s="1"/>
  <c r="I11" i="3"/>
  <c r="C12" i="3"/>
  <c r="H12" i="3" s="1"/>
  <c r="B14" i="3"/>
  <c r="C14" i="3" s="1"/>
  <c r="I14" i="3"/>
  <c r="C15" i="3"/>
  <c r="H15" i="3" s="1"/>
  <c r="B16" i="3"/>
  <c r="I16" i="3"/>
  <c r="C17" i="3"/>
  <c r="H17" i="3" s="1"/>
  <c r="B18" i="3"/>
  <c r="I18" i="3"/>
  <c r="C19" i="3"/>
  <c r="H19" i="3" s="1"/>
  <c r="B20" i="3"/>
  <c r="I20" i="3"/>
  <c r="C21" i="3"/>
  <c r="H21" i="3" s="1"/>
  <c r="B34" i="3"/>
  <c r="C34" i="3" s="1"/>
  <c r="P37" i="3"/>
  <c r="Q37" i="3"/>
  <c r="P39" i="3"/>
  <c r="Q39" i="3"/>
  <c r="P48" i="3"/>
  <c r="Q48" i="3"/>
  <c r="P52" i="3"/>
  <c r="Q52" i="3"/>
  <c r="N59" i="3"/>
  <c r="O14" i="3"/>
  <c r="Q14" i="3"/>
  <c r="Q21" i="3" s="1"/>
  <c r="G42" i="3" s="1"/>
  <c r="O15" i="3"/>
  <c r="O16" i="3"/>
  <c r="N16" i="3" s="1"/>
  <c r="O17" i="3"/>
  <c r="N17" i="3" s="1"/>
  <c r="O18" i="3"/>
  <c r="O19" i="3"/>
  <c r="O20" i="3"/>
  <c r="N20" i="3" s="1"/>
  <c r="B25" i="3"/>
  <c r="C25" i="3" s="1"/>
  <c r="C26" i="3"/>
  <c r="H26" i="3" s="1"/>
  <c r="B27" i="3"/>
  <c r="C28" i="3"/>
  <c r="H28" i="3" s="1"/>
  <c r="B29" i="3"/>
  <c r="C30" i="3"/>
  <c r="H30" i="3" s="1"/>
  <c r="B31" i="3"/>
  <c r="C32" i="3"/>
  <c r="H32" i="3" s="1"/>
  <c r="O37" i="3"/>
  <c r="O39" i="3"/>
  <c r="P41" i="3"/>
  <c r="N41" i="3" s="1"/>
  <c r="Q41" i="3"/>
  <c r="O48" i="3"/>
  <c r="P50" i="3"/>
  <c r="N50" i="3" s="1"/>
  <c r="Q50" i="3"/>
  <c r="O52" i="3"/>
  <c r="N52" i="3" s="1"/>
  <c r="O25" i="3"/>
  <c r="O26" i="3"/>
  <c r="N26" i="3" s="1"/>
  <c r="O27" i="3"/>
  <c r="N27" i="3" s="1"/>
  <c r="O28" i="3"/>
  <c r="N28" i="3" s="1"/>
  <c r="O29" i="3"/>
  <c r="O30" i="3"/>
  <c r="O31" i="3"/>
  <c r="N31" i="3" s="1"/>
  <c r="C33" i="3"/>
  <c r="H33" i="3" s="1"/>
  <c r="C36" i="3"/>
  <c r="H36" i="3" s="1"/>
  <c r="O36" i="3"/>
  <c r="O38" i="3"/>
  <c r="N38" i="3" s="1"/>
  <c r="O40" i="3"/>
  <c r="O42" i="3"/>
  <c r="O47" i="3"/>
  <c r="O49" i="3"/>
  <c r="N49" i="3" s="1"/>
  <c r="O51" i="3"/>
  <c r="O53" i="3"/>
  <c r="B6" i="13" l="1"/>
  <c r="B18" i="13"/>
  <c r="N48" i="12"/>
  <c r="N41" i="12"/>
  <c r="N27" i="12"/>
  <c r="G38" i="12"/>
  <c r="N4" i="12"/>
  <c r="N16" i="8"/>
  <c r="L16" i="8" s="1"/>
  <c r="M16" i="8" s="1"/>
  <c r="N42" i="8"/>
  <c r="O43" i="8"/>
  <c r="P43" i="8"/>
  <c r="N39" i="12"/>
  <c r="L3" i="12"/>
  <c r="N59" i="12"/>
  <c r="H30" i="12"/>
  <c r="M38" i="12"/>
  <c r="L38" i="12" s="1"/>
  <c r="M53" i="12"/>
  <c r="L53" i="12" s="1"/>
  <c r="O43" i="12"/>
  <c r="D37" i="12" s="1"/>
  <c r="O32" i="12"/>
  <c r="D36" i="12" s="1"/>
  <c r="F38" i="12"/>
  <c r="L19" i="12"/>
  <c r="N19" i="12"/>
  <c r="N8" i="12"/>
  <c r="N30" i="12"/>
  <c r="M49" i="12"/>
  <c r="L49" i="12" s="1"/>
  <c r="M7" i="12"/>
  <c r="L7" i="12" s="1"/>
  <c r="E38" i="12"/>
  <c r="M9" i="12"/>
  <c r="L9" i="12" s="1"/>
  <c r="L36" i="12"/>
  <c r="M5" i="12"/>
  <c r="N5" i="12" s="1"/>
  <c r="O10" i="12"/>
  <c r="D34" i="12" s="1"/>
  <c r="M17" i="12"/>
  <c r="L17" i="12" s="1"/>
  <c r="O54" i="12"/>
  <c r="M47" i="12"/>
  <c r="N47" i="12" s="1"/>
  <c r="M40" i="12"/>
  <c r="L40" i="12" s="1"/>
  <c r="M37" i="12"/>
  <c r="L37" i="12" s="1"/>
  <c r="N31" i="12"/>
  <c r="M42" i="12"/>
  <c r="L42" i="12" s="1"/>
  <c r="N29" i="12"/>
  <c r="N52" i="12"/>
  <c r="O21" i="12"/>
  <c r="D35" i="12" s="1"/>
  <c r="L25" i="12"/>
  <c r="L32" i="12" s="1"/>
  <c r="M32" i="12"/>
  <c r="N6" i="12"/>
  <c r="M50" i="12"/>
  <c r="L50" i="12" s="1"/>
  <c r="L14" i="12"/>
  <c r="M20" i="12"/>
  <c r="L20" i="12" s="1"/>
  <c r="M18" i="12"/>
  <c r="L18" i="12" s="1"/>
  <c r="N28" i="12"/>
  <c r="N15" i="11"/>
  <c r="N9" i="11"/>
  <c r="L9" i="11"/>
  <c r="N31" i="11"/>
  <c r="L31" i="11"/>
  <c r="N42" i="11"/>
  <c r="L42" i="11"/>
  <c r="M21" i="11"/>
  <c r="M22" i="11" s="1"/>
  <c r="O22" i="11" s="1"/>
  <c r="L14" i="11"/>
  <c r="N6" i="11"/>
  <c r="L6" i="11"/>
  <c r="N37" i="11"/>
  <c r="L37" i="11"/>
  <c r="N52" i="11"/>
  <c r="L52" i="11"/>
  <c r="N27" i="11"/>
  <c r="L27" i="11"/>
  <c r="N47" i="11"/>
  <c r="L47" i="11"/>
  <c r="N40" i="11"/>
  <c r="L40" i="11"/>
  <c r="N41" i="11"/>
  <c r="L41" i="11"/>
  <c r="N26" i="11"/>
  <c r="L26" i="11"/>
  <c r="N48" i="11"/>
  <c r="L48" i="11"/>
  <c r="N49" i="11"/>
  <c r="L49" i="11"/>
  <c r="N16" i="11"/>
  <c r="L16" i="11"/>
  <c r="N28" i="11"/>
  <c r="L28" i="11"/>
  <c r="N29" i="11"/>
  <c r="L29" i="11"/>
  <c r="N30" i="11"/>
  <c r="L30" i="11"/>
  <c r="N51" i="11"/>
  <c r="L51" i="11"/>
  <c r="N50" i="11"/>
  <c r="L50" i="11"/>
  <c r="N19" i="11"/>
  <c r="L19" i="11"/>
  <c r="O21" i="11"/>
  <c r="D42" i="11" s="1"/>
  <c r="G46" i="11"/>
  <c r="O32" i="11"/>
  <c r="D43" i="11" s="1"/>
  <c r="M25" i="11"/>
  <c r="N59" i="11"/>
  <c r="M5" i="11"/>
  <c r="F46" i="11"/>
  <c r="M8" i="11"/>
  <c r="O43" i="11"/>
  <c r="D44" i="11" s="1"/>
  <c r="M36" i="11"/>
  <c r="L36" i="11" s="1"/>
  <c r="H13" i="11"/>
  <c r="H37" i="11" s="1"/>
  <c r="M38" i="11"/>
  <c r="M4" i="11"/>
  <c r="M53" i="11"/>
  <c r="O54" i="11"/>
  <c r="D45" i="11" s="1"/>
  <c r="O10" i="11"/>
  <c r="D41" i="11" s="1"/>
  <c r="M3" i="11"/>
  <c r="L3" i="11" s="1"/>
  <c r="M7" i="11"/>
  <c r="E46" i="11"/>
  <c r="N14" i="11"/>
  <c r="N25" i="9"/>
  <c r="L25" i="9" s="1"/>
  <c r="M25" i="9" s="1"/>
  <c r="L41" i="8"/>
  <c r="M41" i="8"/>
  <c r="L39" i="8"/>
  <c r="M39" i="8" s="1"/>
  <c r="N43" i="8"/>
  <c r="Q43" i="8"/>
  <c r="G37" i="8" s="1"/>
  <c r="L37" i="8"/>
  <c r="M37" i="8"/>
  <c r="I30" i="9"/>
  <c r="P10" i="9"/>
  <c r="F34" i="9" s="1"/>
  <c r="N9" i="9"/>
  <c r="L9" i="9" s="1"/>
  <c r="M9" i="9" s="1"/>
  <c r="N30" i="9"/>
  <c r="L30" i="9" s="1"/>
  <c r="M30" i="9" s="1"/>
  <c r="P32" i="9"/>
  <c r="F36" i="9" s="1"/>
  <c r="Q32" i="9"/>
  <c r="G36" i="9" s="1"/>
  <c r="O32" i="9"/>
  <c r="E36" i="9" s="1"/>
  <c r="N19" i="9"/>
  <c r="N17" i="9"/>
  <c r="L17" i="9" s="1"/>
  <c r="M17" i="9" s="1"/>
  <c r="N20" i="9"/>
  <c r="L20" i="9" s="1"/>
  <c r="M20" i="9" s="1"/>
  <c r="N18" i="9"/>
  <c r="L18" i="9" s="1"/>
  <c r="M18" i="9" s="1"/>
  <c r="N39" i="9"/>
  <c r="L39" i="9" s="1"/>
  <c r="M39" i="9" s="1"/>
  <c r="N38" i="9"/>
  <c r="L38" i="9" s="1"/>
  <c r="M38" i="9" s="1"/>
  <c r="L5" i="9"/>
  <c r="M5" i="9" s="1"/>
  <c r="H26" i="9"/>
  <c r="N8" i="9"/>
  <c r="P21" i="9"/>
  <c r="F35" i="9" s="1"/>
  <c r="N16" i="9"/>
  <c r="H9" i="9"/>
  <c r="P43" i="9"/>
  <c r="F37" i="9" s="1"/>
  <c r="L4" i="9"/>
  <c r="M4" i="9" s="1"/>
  <c r="H25" i="9"/>
  <c r="C4" i="9"/>
  <c r="H4" i="9" s="1"/>
  <c r="L7" i="9"/>
  <c r="M7" i="9" s="1"/>
  <c r="N15" i="9"/>
  <c r="H6" i="9"/>
  <c r="N36" i="9"/>
  <c r="O43" i="9"/>
  <c r="E37" i="9" s="1"/>
  <c r="H28" i="9"/>
  <c r="Q10" i="9"/>
  <c r="G34" i="9" s="1"/>
  <c r="H27" i="9"/>
  <c r="N3" i="9"/>
  <c r="O10" i="9"/>
  <c r="E34" i="9" s="1"/>
  <c r="H8" i="9"/>
  <c r="N40" i="9"/>
  <c r="N14" i="9"/>
  <c r="O21" i="9"/>
  <c r="E35" i="9" s="1"/>
  <c r="C3" i="9"/>
  <c r="H3" i="9" s="1"/>
  <c r="C5" i="9"/>
  <c r="H5" i="9" s="1"/>
  <c r="F30" i="9"/>
  <c r="E30" i="9"/>
  <c r="B30" i="9"/>
  <c r="B31" i="9" s="1"/>
  <c r="B32" i="9" s="1"/>
  <c r="C30" i="9"/>
  <c r="H2" i="9"/>
  <c r="H29" i="9"/>
  <c r="Q43" i="9"/>
  <c r="G37" i="9" s="1"/>
  <c r="L37" i="9"/>
  <c r="M37" i="9" s="1"/>
  <c r="L49" i="9"/>
  <c r="L50" i="9" s="1"/>
  <c r="H10" i="9"/>
  <c r="N6" i="9"/>
  <c r="C7" i="9"/>
  <c r="N14" i="8"/>
  <c r="L14" i="8" s="1"/>
  <c r="M14" i="8" s="1"/>
  <c r="N15" i="8"/>
  <c r="L15" i="8" s="1"/>
  <c r="M15" i="8" s="1"/>
  <c r="N50" i="8"/>
  <c r="L50" i="8" s="1"/>
  <c r="P21" i="8"/>
  <c r="F35" i="8" s="1"/>
  <c r="N52" i="8"/>
  <c r="L52" i="8" s="1"/>
  <c r="M52" i="8" s="1"/>
  <c r="N25" i="8"/>
  <c r="L25" i="8" s="1"/>
  <c r="M25" i="8" s="1"/>
  <c r="O32" i="8"/>
  <c r="E36" i="8" s="1"/>
  <c r="I30" i="8"/>
  <c r="Q32" i="8"/>
  <c r="G36" i="8" s="1"/>
  <c r="N8" i="8"/>
  <c r="L8" i="8" s="1"/>
  <c r="N6" i="8"/>
  <c r="L6" i="8" s="1"/>
  <c r="M6" i="8" s="1"/>
  <c r="F37" i="8"/>
  <c r="N9" i="8"/>
  <c r="L9" i="8" s="1"/>
  <c r="M9" i="8" s="1"/>
  <c r="N5" i="8"/>
  <c r="L5" i="8" s="1"/>
  <c r="M5" i="8" s="1"/>
  <c r="N51" i="8"/>
  <c r="L51" i="8" s="1"/>
  <c r="M51" i="8" s="1"/>
  <c r="P10" i="8"/>
  <c r="F34" i="8" s="1"/>
  <c r="L19" i="8"/>
  <c r="M19" i="8" s="1"/>
  <c r="L59" i="8"/>
  <c r="L60" i="8" s="1"/>
  <c r="P54" i="8"/>
  <c r="L28" i="8"/>
  <c r="M28" i="8" s="1"/>
  <c r="L47" i="8"/>
  <c r="H8" i="8"/>
  <c r="O10" i="8"/>
  <c r="E34" i="8" s="1"/>
  <c r="N3" i="8"/>
  <c r="N4" i="8"/>
  <c r="H17" i="8"/>
  <c r="C7" i="8"/>
  <c r="E37" i="8"/>
  <c r="N49" i="8"/>
  <c r="L29" i="8"/>
  <c r="M29" i="8" s="1"/>
  <c r="C9" i="8"/>
  <c r="H9" i="8" s="1"/>
  <c r="H16" i="8"/>
  <c r="L48" i="8"/>
  <c r="M48" i="8" s="1"/>
  <c r="H3" i="8"/>
  <c r="F30" i="8"/>
  <c r="E30" i="8"/>
  <c r="C30" i="8"/>
  <c r="B30" i="8"/>
  <c r="B31" i="8" s="1"/>
  <c r="B32" i="8" s="1"/>
  <c r="C2" i="8"/>
  <c r="H2" i="8" s="1"/>
  <c r="C24" i="8"/>
  <c r="H24" i="8" s="1"/>
  <c r="C4" i="8"/>
  <c r="H4" i="8" s="1"/>
  <c r="H15" i="8"/>
  <c r="N53" i="8"/>
  <c r="O54" i="8"/>
  <c r="C18" i="8"/>
  <c r="H18" i="8" s="1"/>
  <c r="C14" i="8"/>
  <c r="H14" i="8" s="1"/>
  <c r="C6" i="8"/>
  <c r="H6" i="8" s="1"/>
  <c r="L31" i="8"/>
  <c r="M31" i="8" s="1"/>
  <c r="O21" i="8"/>
  <c r="E35" i="8" s="1"/>
  <c r="N7" i="8"/>
  <c r="C22" i="8"/>
  <c r="H22" i="8" s="1"/>
  <c r="H23" i="8"/>
  <c r="C10" i="8"/>
  <c r="H10" i="8" s="1"/>
  <c r="H11" i="8"/>
  <c r="L27" i="8"/>
  <c r="M27" i="8" s="1"/>
  <c r="C5" i="8"/>
  <c r="H5" i="8" s="1"/>
  <c r="C13" i="8"/>
  <c r="H13" i="8" s="1"/>
  <c r="L30" i="8"/>
  <c r="M30" i="8" s="1"/>
  <c r="M52" i="7"/>
  <c r="N51" i="7"/>
  <c r="Q32" i="7"/>
  <c r="G43" i="7" s="1"/>
  <c r="N6" i="7"/>
  <c r="L6" i="7" s="1"/>
  <c r="M6" i="7" s="1"/>
  <c r="N37" i="7"/>
  <c r="L37" i="7" s="1"/>
  <c r="M37" i="7" s="1"/>
  <c r="N18" i="7"/>
  <c r="L18" i="7" s="1"/>
  <c r="M18" i="7" s="1"/>
  <c r="O32" i="7"/>
  <c r="E43" i="7" s="1"/>
  <c r="M7" i="7"/>
  <c r="N17" i="7"/>
  <c r="L17" i="7" s="1"/>
  <c r="M17" i="7" s="1"/>
  <c r="P32" i="7"/>
  <c r="F43" i="7" s="1"/>
  <c r="N9" i="7"/>
  <c r="L9" i="7" s="1"/>
  <c r="M9" i="7" s="1"/>
  <c r="N49" i="7"/>
  <c r="N5" i="7"/>
  <c r="L5" i="7" s="1"/>
  <c r="M5" i="7" s="1"/>
  <c r="N47" i="7"/>
  <c r="N28" i="7"/>
  <c r="L28" i="7" s="1"/>
  <c r="M28" i="7" s="1"/>
  <c r="N20" i="7"/>
  <c r="L20" i="7" s="1"/>
  <c r="M20" i="7" s="1"/>
  <c r="L27" i="7"/>
  <c r="M27" i="7" s="1"/>
  <c r="M41" i="7"/>
  <c r="M42" i="7"/>
  <c r="P54" i="7"/>
  <c r="F45" i="7" s="1"/>
  <c r="Q54" i="7"/>
  <c r="G45" i="7" s="1"/>
  <c r="N16" i="7"/>
  <c r="L16" i="7" s="1"/>
  <c r="M16" i="7" s="1"/>
  <c r="Q10" i="7"/>
  <c r="G41" i="7" s="1"/>
  <c r="C30" i="7"/>
  <c r="H30" i="7" s="1"/>
  <c r="O43" i="7"/>
  <c r="E44" i="7" s="1"/>
  <c r="N36" i="7"/>
  <c r="C14" i="7"/>
  <c r="H14" i="7" s="1"/>
  <c r="N40" i="7"/>
  <c r="Q43" i="7"/>
  <c r="G44" i="7" s="1"/>
  <c r="C23" i="7"/>
  <c r="H23" i="7" s="1"/>
  <c r="H7" i="7"/>
  <c r="P21" i="7"/>
  <c r="F42" i="7" s="1"/>
  <c r="N14" i="7"/>
  <c r="N38" i="7"/>
  <c r="Q21" i="7"/>
  <c r="G42" i="7" s="1"/>
  <c r="N3" i="7"/>
  <c r="O10" i="7"/>
  <c r="E41" i="7" s="1"/>
  <c r="L25" i="7"/>
  <c r="M25" i="7" s="1"/>
  <c r="C15" i="7"/>
  <c r="H15" i="7" s="1"/>
  <c r="C17" i="7"/>
  <c r="H17" i="7" s="1"/>
  <c r="P10" i="7"/>
  <c r="F41" i="7" s="1"/>
  <c r="L31" i="7"/>
  <c r="M31" i="7" s="1"/>
  <c r="C16" i="7"/>
  <c r="H16" i="7" s="1"/>
  <c r="H20" i="7"/>
  <c r="M53" i="7"/>
  <c r="H21" i="7"/>
  <c r="N50" i="7"/>
  <c r="B27" i="7"/>
  <c r="F37" i="7" s="1"/>
  <c r="I28" i="7"/>
  <c r="I36" i="7"/>
  <c r="H2" i="7"/>
  <c r="C19" i="7"/>
  <c r="H19" i="7" s="1"/>
  <c r="N19" i="7"/>
  <c r="C12" i="7"/>
  <c r="H12" i="7" s="1"/>
  <c r="P43" i="7"/>
  <c r="F44" i="7" s="1"/>
  <c r="O54" i="7"/>
  <c r="E45" i="7" s="1"/>
  <c r="N48" i="7"/>
  <c r="N4" i="7"/>
  <c r="C18" i="7"/>
  <c r="H18" i="7" s="1"/>
  <c r="O21" i="7"/>
  <c r="E42" i="7" s="1"/>
  <c r="N15" i="7"/>
  <c r="I29" i="7"/>
  <c r="N14" i="6"/>
  <c r="L14" i="6" s="1"/>
  <c r="O32" i="6"/>
  <c r="E43" i="6" s="1"/>
  <c r="N20" i="6"/>
  <c r="L20" i="6" s="1"/>
  <c r="M20" i="6" s="1"/>
  <c r="O21" i="6"/>
  <c r="E42" i="6" s="1"/>
  <c r="N18" i="6"/>
  <c r="L18" i="6" s="1"/>
  <c r="M18" i="6" s="1"/>
  <c r="P32" i="6"/>
  <c r="F43" i="6" s="1"/>
  <c r="N16" i="6"/>
  <c r="L16" i="6" s="1"/>
  <c r="M16" i="6" s="1"/>
  <c r="I37" i="6"/>
  <c r="N47" i="6"/>
  <c r="L47" i="6" s="1"/>
  <c r="M47" i="6" s="1"/>
  <c r="N30" i="6"/>
  <c r="L30" i="6" s="1"/>
  <c r="M30" i="6" s="1"/>
  <c r="N28" i="6"/>
  <c r="L28" i="6" s="1"/>
  <c r="M28" i="6" s="1"/>
  <c r="P21" i="6"/>
  <c r="F42" i="6" s="1"/>
  <c r="N50" i="6"/>
  <c r="L50" i="6" s="1"/>
  <c r="M50" i="6" s="1"/>
  <c r="N26" i="6"/>
  <c r="L26" i="6" s="1"/>
  <c r="M26" i="6" s="1"/>
  <c r="P54" i="6"/>
  <c r="F45" i="6" s="1"/>
  <c r="N6" i="6"/>
  <c r="L6" i="6" s="1"/>
  <c r="M6" i="6" s="1"/>
  <c r="N51" i="6"/>
  <c r="L51" i="6" s="1"/>
  <c r="M51" i="6" s="1"/>
  <c r="O54" i="6"/>
  <c r="E45" i="6" s="1"/>
  <c r="H11" i="6"/>
  <c r="P43" i="6"/>
  <c r="F44" i="6" s="1"/>
  <c r="O43" i="6"/>
  <c r="E44" i="6" s="1"/>
  <c r="N36" i="6"/>
  <c r="H36" i="6"/>
  <c r="M25" i="6"/>
  <c r="N38" i="6"/>
  <c r="N9" i="6"/>
  <c r="H23" i="6"/>
  <c r="E37" i="6"/>
  <c r="N8" i="6"/>
  <c r="N40" i="6"/>
  <c r="G46" i="6"/>
  <c r="N7" i="6"/>
  <c r="F37" i="6"/>
  <c r="N5" i="6"/>
  <c r="H13" i="6"/>
  <c r="C3" i="6"/>
  <c r="H3" i="6" s="1"/>
  <c r="N48" i="6"/>
  <c r="P10" i="6"/>
  <c r="F41" i="6" s="1"/>
  <c r="N4" i="6"/>
  <c r="C36" i="6"/>
  <c r="M59" i="6" s="1"/>
  <c r="N37" i="6"/>
  <c r="O10" i="6"/>
  <c r="E41" i="6" s="1"/>
  <c r="N3" i="6"/>
  <c r="B37" i="6"/>
  <c r="B38" i="6" s="1"/>
  <c r="B39" i="6" s="1"/>
  <c r="N53" i="6"/>
  <c r="Q32" i="5"/>
  <c r="G43" i="5" s="1"/>
  <c r="L28" i="5"/>
  <c r="M28" i="5" s="1"/>
  <c r="N32" i="5"/>
  <c r="L30" i="5"/>
  <c r="M30" i="5" s="1"/>
  <c r="P32" i="5"/>
  <c r="F43" i="5" s="1"/>
  <c r="L26" i="5"/>
  <c r="N49" i="5"/>
  <c r="L49" i="5" s="1"/>
  <c r="M49" i="5" s="1"/>
  <c r="N15" i="5"/>
  <c r="L15" i="5" s="1"/>
  <c r="M15" i="5" s="1"/>
  <c r="P10" i="5"/>
  <c r="F41" i="5" s="1"/>
  <c r="Q21" i="5"/>
  <c r="G42" i="5" s="1"/>
  <c r="P21" i="5"/>
  <c r="F42" i="5" s="1"/>
  <c r="N8" i="5"/>
  <c r="L8" i="5" s="1"/>
  <c r="M8" i="5" s="1"/>
  <c r="N5" i="5"/>
  <c r="L5" i="5" s="1"/>
  <c r="M5" i="5" s="1"/>
  <c r="N20" i="5"/>
  <c r="L20" i="5" s="1"/>
  <c r="M20" i="5" s="1"/>
  <c r="N17" i="5"/>
  <c r="O10" i="5"/>
  <c r="E41" i="5" s="1"/>
  <c r="O21" i="5"/>
  <c r="E42" i="5" s="1"/>
  <c r="N40" i="5"/>
  <c r="N16" i="5"/>
  <c r="L16" i="5" s="1"/>
  <c r="M16" i="5" s="1"/>
  <c r="N14" i="5"/>
  <c r="N41" i="5"/>
  <c r="L41" i="5" s="1"/>
  <c r="M41" i="5" s="1"/>
  <c r="L52" i="5"/>
  <c r="M52" i="5" s="1"/>
  <c r="I24" i="5"/>
  <c r="I12" i="5"/>
  <c r="I23" i="5"/>
  <c r="I35" i="5"/>
  <c r="I25" i="5"/>
  <c r="I32" i="5"/>
  <c r="I29" i="5"/>
  <c r="I26" i="5"/>
  <c r="I36" i="5"/>
  <c r="I22" i="5"/>
  <c r="I3" i="5"/>
  <c r="I11" i="5"/>
  <c r="I33" i="5"/>
  <c r="I30" i="5"/>
  <c r="I27" i="5"/>
  <c r="I4" i="5"/>
  <c r="I13" i="5"/>
  <c r="B3" i="5"/>
  <c r="F37" i="5" s="1"/>
  <c r="I28" i="5"/>
  <c r="D37" i="5"/>
  <c r="E38" i="5" s="1"/>
  <c r="E39" i="5" s="1"/>
  <c r="C3" i="5"/>
  <c r="I31" i="5"/>
  <c r="I34" i="5"/>
  <c r="L3" i="5"/>
  <c r="M3" i="5" s="1"/>
  <c r="I10" i="5"/>
  <c r="C27" i="5"/>
  <c r="M59" i="5" s="1"/>
  <c r="I21" i="5"/>
  <c r="I9" i="5"/>
  <c r="Q43" i="5"/>
  <c r="G44" i="5" s="1"/>
  <c r="C29" i="5"/>
  <c r="H29" i="5" s="1"/>
  <c r="P43" i="5"/>
  <c r="F44" i="5" s="1"/>
  <c r="C30" i="5"/>
  <c r="H30" i="5" s="1"/>
  <c r="C2" i="5"/>
  <c r="H2" i="5" s="1"/>
  <c r="H32" i="5"/>
  <c r="I20" i="5"/>
  <c r="I7" i="5"/>
  <c r="H31" i="5"/>
  <c r="I14" i="5"/>
  <c r="L51" i="5"/>
  <c r="M51" i="5" s="1"/>
  <c r="H26" i="5"/>
  <c r="I19" i="5"/>
  <c r="I6" i="5"/>
  <c r="H10" i="5"/>
  <c r="O54" i="5"/>
  <c r="E45" i="5" s="1"/>
  <c r="N47" i="5"/>
  <c r="L59" i="5"/>
  <c r="L60" i="5" s="1"/>
  <c r="O43" i="5"/>
  <c r="E44" i="5" s="1"/>
  <c r="N36" i="5"/>
  <c r="I8" i="5"/>
  <c r="I18" i="5"/>
  <c r="I5" i="5"/>
  <c r="L6" i="5"/>
  <c r="M6" i="5" s="1"/>
  <c r="P54" i="5"/>
  <c r="F45" i="5" s="1"/>
  <c r="H25" i="5"/>
  <c r="E43" i="5"/>
  <c r="I17" i="5"/>
  <c r="N38" i="5"/>
  <c r="N39" i="5"/>
  <c r="C28" i="5"/>
  <c r="H28" i="5" s="1"/>
  <c r="L4" i="5"/>
  <c r="M4" i="5" s="1"/>
  <c r="H6" i="5"/>
  <c r="L9" i="5"/>
  <c r="M9" i="5" s="1"/>
  <c r="N42" i="5"/>
  <c r="Q54" i="5"/>
  <c r="G45" i="5" s="1"/>
  <c r="N26" i="4"/>
  <c r="L26" i="4" s="1"/>
  <c r="M26" i="4" s="1"/>
  <c r="I37" i="4"/>
  <c r="Q32" i="4"/>
  <c r="G43" i="4" s="1"/>
  <c r="N19" i="4"/>
  <c r="O32" i="4"/>
  <c r="E43" i="4" s="1"/>
  <c r="L25" i="4"/>
  <c r="M25" i="4" s="1"/>
  <c r="N30" i="4"/>
  <c r="L30" i="4" s="1"/>
  <c r="M30" i="4" s="1"/>
  <c r="O54" i="4"/>
  <c r="E45" i="4" s="1"/>
  <c r="P32" i="4"/>
  <c r="F43" i="4" s="1"/>
  <c r="N20" i="4"/>
  <c r="L20" i="4" s="1"/>
  <c r="P54" i="4"/>
  <c r="F45" i="4" s="1"/>
  <c r="Q54" i="4"/>
  <c r="G45" i="4" s="1"/>
  <c r="N40" i="4"/>
  <c r="L40" i="4" s="1"/>
  <c r="M40" i="4" s="1"/>
  <c r="L7" i="4"/>
  <c r="M7" i="4" s="1"/>
  <c r="L53" i="4"/>
  <c r="M53" i="4" s="1"/>
  <c r="L37" i="4"/>
  <c r="M37" i="4" s="1"/>
  <c r="L4" i="4"/>
  <c r="M4" i="4" s="1"/>
  <c r="L48" i="4"/>
  <c r="P21" i="4"/>
  <c r="F42" i="4" s="1"/>
  <c r="H4" i="4"/>
  <c r="L51" i="4"/>
  <c r="M51" i="4" s="1"/>
  <c r="F37" i="4"/>
  <c r="C2" i="4"/>
  <c r="H2" i="4" s="1"/>
  <c r="E37" i="4"/>
  <c r="C37" i="4"/>
  <c r="B37" i="4"/>
  <c r="B38" i="4" s="1"/>
  <c r="B39" i="4" s="1"/>
  <c r="O43" i="4"/>
  <c r="E44" i="4" s="1"/>
  <c r="N36" i="4"/>
  <c r="P43" i="4"/>
  <c r="F44" i="4" s="1"/>
  <c r="L8" i="4"/>
  <c r="M8" i="4" s="1"/>
  <c r="Q43" i="4"/>
  <c r="G44" i="4" s="1"/>
  <c r="N17" i="4"/>
  <c r="L9" i="4"/>
  <c r="M9" i="4" s="1"/>
  <c r="L59" i="4"/>
  <c r="L60" i="4" s="1"/>
  <c r="L19" i="4"/>
  <c r="M19" i="4" s="1"/>
  <c r="L6" i="4"/>
  <c r="M6" i="4" s="1"/>
  <c r="N16" i="4"/>
  <c r="C5" i="4"/>
  <c r="H5" i="4" s="1"/>
  <c r="H33" i="4"/>
  <c r="N18" i="4"/>
  <c r="P10" i="4"/>
  <c r="F41" i="4" s="1"/>
  <c r="O10" i="4"/>
  <c r="E41" i="4" s="1"/>
  <c r="N3" i="4"/>
  <c r="N15" i="4"/>
  <c r="C3" i="4"/>
  <c r="H3" i="4" s="1"/>
  <c r="Q10" i="4"/>
  <c r="G41" i="4" s="1"/>
  <c r="L38" i="4"/>
  <c r="M38" i="4" s="1"/>
  <c r="N50" i="4"/>
  <c r="O21" i="4"/>
  <c r="E42" i="4" s="1"/>
  <c r="N14" i="4"/>
  <c r="L5" i="4"/>
  <c r="M5" i="4" s="1"/>
  <c r="C8" i="4"/>
  <c r="H8" i="4" s="1"/>
  <c r="C7" i="4"/>
  <c r="M59" i="4" s="1"/>
  <c r="N30" i="3"/>
  <c r="N53" i="3"/>
  <c r="N51" i="3"/>
  <c r="N42" i="3"/>
  <c r="N19" i="3"/>
  <c r="L19" i="3" s="1"/>
  <c r="M19" i="3" s="1"/>
  <c r="N15" i="3"/>
  <c r="L15" i="3" s="1"/>
  <c r="M15" i="3" s="1"/>
  <c r="Q43" i="3"/>
  <c r="G44" i="3" s="1"/>
  <c r="N18" i="3"/>
  <c r="L18" i="3" s="1"/>
  <c r="M18" i="3" s="1"/>
  <c r="P32" i="3"/>
  <c r="F43" i="3" s="1"/>
  <c r="P21" i="3"/>
  <c r="F42" i="3" s="1"/>
  <c r="N37" i="3"/>
  <c r="L37" i="3" s="1"/>
  <c r="M37" i="3" s="1"/>
  <c r="Q54" i="3"/>
  <c r="G45" i="3" s="1"/>
  <c r="N40" i="3"/>
  <c r="L40" i="3" s="1"/>
  <c r="M40" i="3" s="1"/>
  <c r="N29" i="3"/>
  <c r="L29" i="3" s="1"/>
  <c r="M29" i="3" s="1"/>
  <c r="P43" i="3"/>
  <c r="F44" i="3" s="1"/>
  <c r="N48" i="3"/>
  <c r="L48" i="3" s="1"/>
  <c r="M48" i="3" s="1"/>
  <c r="L50" i="3"/>
  <c r="M50" i="3" s="1"/>
  <c r="L41" i="3"/>
  <c r="M41" i="3" s="1"/>
  <c r="O54" i="3"/>
  <c r="E45" i="3" s="1"/>
  <c r="N47" i="3"/>
  <c r="O43" i="3"/>
  <c r="E44" i="3" s="1"/>
  <c r="N36" i="3"/>
  <c r="L28" i="3"/>
  <c r="M28" i="3" s="1"/>
  <c r="L26" i="3"/>
  <c r="M26" i="3" s="1"/>
  <c r="L53" i="3"/>
  <c r="M53" i="3" s="1"/>
  <c r="L49" i="3"/>
  <c r="M49" i="3" s="1"/>
  <c r="L42" i="3"/>
  <c r="M42" i="3" s="1"/>
  <c r="L38" i="3"/>
  <c r="M38" i="3" s="1"/>
  <c r="P54" i="3"/>
  <c r="F45" i="3" s="1"/>
  <c r="L31" i="3"/>
  <c r="M31" i="3" s="1"/>
  <c r="L27" i="3"/>
  <c r="M27" i="3" s="1"/>
  <c r="O32" i="3"/>
  <c r="E43" i="3" s="1"/>
  <c r="N25" i="3"/>
  <c r="N39" i="3"/>
  <c r="L20" i="3"/>
  <c r="M20" i="3" s="1"/>
  <c r="L16" i="3"/>
  <c r="M16" i="3" s="1"/>
  <c r="C31" i="3"/>
  <c r="H31" i="3" s="1"/>
  <c r="C29" i="3"/>
  <c r="H29" i="3" s="1"/>
  <c r="C27" i="3"/>
  <c r="H27" i="3" s="1"/>
  <c r="H11" i="3"/>
  <c r="C18" i="3"/>
  <c r="H18" i="3" s="1"/>
  <c r="L9" i="3"/>
  <c r="M9" i="3" s="1"/>
  <c r="L7" i="3"/>
  <c r="M7" i="3" s="1"/>
  <c r="L5" i="3"/>
  <c r="M5" i="3" s="1"/>
  <c r="O10" i="3"/>
  <c r="E41" i="3" s="1"/>
  <c r="N3" i="3"/>
  <c r="I37" i="3"/>
  <c r="L51" i="3"/>
  <c r="M51" i="3" s="1"/>
  <c r="L30" i="3"/>
  <c r="M30" i="3" s="1"/>
  <c r="L52" i="3"/>
  <c r="M52" i="3" s="1"/>
  <c r="H25" i="3"/>
  <c r="L17" i="3"/>
  <c r="M17" i="3" s="1"/>
  <c r="O21" i="3"/>
  <c r="E42" i="3" s="1"/>
  <c r="N14" i="3"/>
  <c r="L59" i="3"/>
  <c r="L60" i="3" s="1"/>
  <c r="H34" i="3"/>
  <c r="H14" i="3"/>
  <c r="Q10" i="3"/>
  <c r="G41" i="3" s="1"/>
  <c r="E37" i="3"/>
  <c r="C37" i="3"/>
  <c r="F37" i="3"/>
  <c r="B37" i="3"/>
  <c r="B38" i="3" s="1"/>
  <c r="B39" i="3" s="1"/>
  <c r="H2" i="3"/>
  <c r="C20" i="3"/>
  <c r="H20" i="3" s="1"/>
  <c r="C16" i="3"/>
  <c r="L8" i="3"/>
  <c r="M8" i="3" s="1"/>
  <c r="L6" i="3"/>
  <c r="M6" i="3" s="1"/>
  <c r="L4" i="3"/>
  <c r="M4" i="3" s="1"/>
  <c r="Q59" i="2"/>
  <c r="O59" i="2"/>
  <c r="K59" i="2"/>
  <c r="K53" i="2"/>
  <c r="O53" i="2" s="1"/>
  <c r="K52" i="2"/>
  <c r="O52" i="2" s="1"/>
  <c r="K51" i="2"/>
  <c r="Q51" i="2" s="1"/>
  <c r="K50" i="2"/>
  <c r="Q50" i="2" s="1"/>
  <c r="K49" i="2"/>
  <c r="Q49" i="2" s="1"/>
  <c r="K48" i="2"/>
  <c r="Q48" i="2" s="1"/>
  <c r="K47" i="2"/>
  <c r="A46" i="2"/>
  <c r="K42" i="2"/>
  <c r="Q42" i="2" s="1"/>
  <c r="K41" i="2"/>
  <c r="Q41" i="2" s="1"/>
  <c r="K40" i="2"/>
  <c r="P40" i="2" s="1"/>
  <c r="K39" i="2"/>
  <c r="Q39" i="2" s="1"/>
  <c r="K38" i="2"/>
  <c r="Q38" i="2" s="1"/>
  <c r="K37" i="2"/>
  <c r="P37" i="2" s="1"/>
  <c r="G37" i="2"/>
  <c r="K36" i="2"/>
  <c r="O36" i="2" s="1"/>
  <c r="D36" i="2"/>
  <c r="B36" i="2" s="1"/>
  <c r="C36" i="2" s="1"/>
  <c r="D35" i="2"/>
  <c r="B35" i="2" s="1"/>
  <c r="D34" i="2"/>
  <c r="B34" i="2" s="1"/>
  <c r="C34" i="2" s="1"/>
  <c r="D33" i="2"/>
  <c r="B33" i="2" s="1"/>
  <c r="C33" i="2" s="1"/>
  <c r="D32" i="2"/>
  <c r="K31" i="2"/>
  <c r="Q31" i="2" s="1"/>
  <c r="D31" i="2"/>
  <c r="B31" i="2" s="1"/>
  <c r="K30" i="2"/>
  <c r="Q30" i="2" s="1"/>
  <c r="D30" i="2"/>
  <c r="K29" i="2"/>
  <c r="Q29" i="2" s="1"/>
  <c r="D29" i="2"/>
  <c r="B29" i="2" s="1"/>
  <c r="K28" i="2"/>
  <c r="Q28" i="2" s="1"/>
  <c r="D28" i="2"/>
  <c r="K27" i="2"/>
  <c r="Q27" i="2" s="1"/>
  <c r="D27" i="2"/>
  <c r="B27" i="2" s="1"/>
  <c r="K26" i="2"/>
  <c r="Q26" i="2" s="1"/>
  <c r="D26" i="2"/>
  <c r="K25" i="2"/>
  <c r="D25" i="2"/>
  <c r="B25" i="2"/>
  <c r="D24" i="2"/>
  <c r="D23" i="2"/>
  <c r="B23" i="2" s="1"/>
  <c r="D22" i="2"/>
  <c r="B22" i="2" s="1"/>
  <c r="D21" i="2"/>
  <c r="B21" i="2" s="1"/>
  <c r="C21" i="2" s="1"/>
  <c r="K20" i="2"/>
  <c r="Q20" i="2" s="1"/>
  <c r="D20" i="2"/>
  <c r="B20" i="2" s="1"/>
  <c r="C20" i="2" s="1"/>
  <c r="K19" i="2"/>
  <c r="P19" i="2" s="1"/>
  <c r="D19" i="2"/>
  <c r="B19" i="2" s="1"/>
  <c r="C19" i="2" s="1"/>
  <c r="K18" i="2"/>
  <c r="Q18" i="2" s="1"/>
  <c r="D18" i="2"/>
  <c r="B18" i="2" s="1"/>
  <c r="K17" i="2"/>
  <c r="P17" i="2" s="1"/>
  <c r="D17" i="2"/>
  <c r="B17" i="2" s="1"/>
  <c r="C17" i="2" s="1"/>
  <c r="K16" i="2"/>
  <c r="Q16" i="2" s="1"/>
  <c r="D16" i="2"/>
  <c r="B16" i="2" s="1"/>
  <c r="K15" i="2"/>
  <c r="P15" i="2" s="1"/>
  <c r="D15" i="2"/>
  <c r="B15" i="2" s="1"/>
  <c r="C15" i="2" s="1"/>
  <c r="K14" i="2"/>
  <c r="A42" i="2" s="1"/>
  <c r="D14" i="2"/>
  <c r="B14" i="2" s="1"/>
  <c r="C14" i="2" s="1"/>
  <c r="D13" i="2"/>
  <c r="D12" i="2"/>
  <c r="B12" i="2" s="1"/>
  <c r="D11" i="2"/>
  <c r="B11" i="2" s="1"/>
  <c r="D10" i="2"/>
  <c r="K9" i="2"/>
  <c r="Q9" i="2" s="1"/>
  <c r="D9" i="2"/>
  <c r="B9" i="2" s="1"/>
  <c r="K8" i="2"/>
  <c r="Q8" i="2" s="1"/>
  <c r="D8" i="2"/>
  <c r="K7" i="2"/>
  <c r="Q7" i="2" s="1"/>
  <c r="P59" i="2"/>
  <c r="D7" i="2"/>
  <c r="B7" i="2"/>
  <c r="K6" i="2"/>
  <c r="P6" i="2" s="1"/>
  <c r="D6" i="2"/>
  <c r="B6" i="2" s="1"/>
  <c r="K5" i="2"/>
  <c r="D5" i="2"/>
  <c r="B5" i="2" s="1"/>
  <c r="K4" i="2"/>
  <c r="P4" i="2" s="1"/>
  <c r="D4" i="2"/>
  <c r="P3" i="2"/>
  <c r="K3" i="2"/>
  <c r="A41" i="2" s="1"/>
  <c r="D3" i="2"/>
  <c r="B3" i="2" s="1"/>
  <c r="D2" i="2"/>
  <c r="F7" i="1"/>
  <c r="P59" i="1" s="1"/>
  <c r="D4" i="1"/>
  <c r="B4" i="1" s="1"/>
  <c r="D3" i="1"/>
  <c r="B3" i="1" s="1"/>
  <c r="E4" i="1"/>
  <c r="G2" i="1"/>
  <c r="G37" i="1"/>
  <c r="O59" i="1"/>
  <c r="K59" i="1"/>
  <c r="A46" i="1" s="1"/>
  <c r="K53" i="1"/>
  <c r="P53" i="1" s="1"/>
  <c r="K52" i="1"/>
  <c r="O52" i="1" s="1"/>
  <c r="K51" i="1"/>
  <c r="Q51" i="1" s="1"/>
  <c r="K50" i="1"/>
  <c r="Q50" i="1" s="1"/>
  <c r="K49" i="1"/>
  <c r="Q49" i="1" s="1"/>
  <c r="K48" i="1"/>
  <c r="Q48" i="1" s="1"/>
  <c r="K47" i="1"/>
  <c r="Q47" i="1" s="1"/>
  <c r="K42" i="1"/>
  <c r="P42" i="1" s="1"/>
  <c r="K41" i="1"/>
  <c r="O41" i="1" s="1"/>
  <c r="K40" i="1"/>
  <c r="K39" i="1"/>
  <c r="O39" i="1" s="1"/>
  <c r="K38" i="1"/>
  <c r="Q38" i="1" s="1"/>
  <c r="K37" i="1"/>
  <c r="O37" i="1" s="1"/>
  <c r="O36" i="1"/>
  <c r="K36" i="1"/>
  <c r="D36" i="1"/>
  <c r="B36" i="1" s="1"/>
  <c r="D35" i="1"/>
  <c r="B35" i="1" s="1"/>
  <c r="D34" i="1"/>
  <c r="B34" i="1" s="1"/>
  <c r="D33" i="1"/>
  <c r="B33" i="1" s="1"/>
  <c r="D32" i="1"/>
  <c r="B32" i="1" s="1"/>
  <c r="K31" i="1"/>
  <c r="O31" i="1" s="1"/>
  <c r="D31" i="1"/>
  <c r="K30" i="1"/>
  <c r="D30" i="1"/>
  <c r="K29" i="1"/>
  <c r="O29" i="1" s="1"/>
  <c r="D29" i="1"/>
  <c r="B29" i="1" s="1"/>
  <c r="K28" i="1"/>
  <c r="D28" i="1"/>
  <c r="K27" i="1"/>
  <c r="D27" i="1"/>
  <c r="B27" i="1" s="1"/>
  <c r="C27" i="1" s="1"/>
  <c r="H27" i="1" s="1"/>
  <c r="K26" i="1"/>
  <c r="D26" i="1"/>
  <c r="Q25" i="1"/>
  <c r="K25" i="1"/>
  <c r="D25" i="1"/>
  <c r="B25" i="1" s="1"/>
  <c r="D24" i="1"/>
  <c r="B24" i="1" s="1"/>
  <c r="D23" i="1"/>
  <c r="B23" i="1" s="1"/>
  <c r="D22" i="1"/>
  <c r="B22" i="1" s="1"/>
  <c r="D21" i="1"/>
  <c r="B21" i="1" s="1"/>
  <c r="K20" i="1"/>
  <c r="O20" i="1" s="1"/>
  <c r="D20" i="1"/>
  <c r="B20" i="1" s="1"/>
  <c r="K19" i="1"/>
  <c r="Q19" i="1" s="1"/>
  <c r="D19" i="1"/>
  <c r="B19" i="1" s="1"/>
  <c r="K18" i="1"/>
  <c r="D18" i="1"/>
  <c r="B18" i="1" s="1"/>
  <c r="C18" i="1" s="1"/>
  <c r="K17" i="1"/>
  <c r="O17" i="1" s="1"/>
  <c r="D17" i="1"/>
  <c r="B17" i="1" s="1"/>
  <c r="O16" i="1"/>
  <c r="K16" i="1"/>
  <c r="D16" i="1"/>
  <c r="B16" i="1" s="1"/>
  <c r="K15" i="1"/>
  <c r="D15" i="1"/>
  <c r="B15" i="1" s="1"/>
  <c r="C15" i="1" s="1"/>
  <c r="K14" i="1"/>
  <c r="D14" i="1"/>
  <c r="D13" i="1"/>
  <c r="B13" i="1" s="1"/>
  <c r="D12" i="1"/>
  <c r="B12" i="1" s="1"/>
  <c r="D11" i="1"/>
  <c r="B11" i="1" s="1"/>
  <c r="Q59" i="1"/>
  <c r="D10" i="1"/>
  <c r="B10" i="1" s="1"/>
  <c r="P9" i="1"/>
  <c r="K9" i="1"/>
  <c r="O9" i="1" s="1"/>
  <c r="D9" i="1"/>
  <c r="B9" i="1" s="1"/>
  <c r="K8" i="1"/>
  <c r="O8" i="1" s="1"/>
  <c r="D8" i="1"/>
  <c r="B8" i="1" s="1"/>
  <c r="K7" i="1"/>
  <c r="O7" i="1" s="1"/>
  <c r="D7" i="1"/>
  <c r="B7" i="1" s="1"/>
  <c r="K6" i="1"/>
  <c r="P6" i="1" s="1"/>
  <c r="D6" i="1"/>
  <c r="B6" i="1" s="1"/>
  <c r="P5" i="1"/>
  <c r="K5" i="1"/>
  <c r="O5" i="1" s="1"/>
  <c r="D5" i="1"/>
  <c r="B5" i="1" s="1"/>
  <c r="K4" i="1"/>
  <c r="Q4" i="1" s="1"/>
  <c r="K3" i="1"/>
  <c r="D2" i="1"/>
  <c r="B2" i="1" s="1"/>
  <c r="L42" i="8" l="1"/>
  <c r="L43" i="8" s="1"/>
  <c r="L44" i="8" s="1"/>
  <c r="N37" i="12"/>
  <c r="N53" i="12"/>
  <c r="N38" i="12"/>
  <c r="M43" i="12"/>
  <c r="M44" i="12" s="1"/>
  <c r="N32" i="12"/>
  <c r="C36" i="12" s="1"/>
  <c r="L43" i="12"/>
  <c r="L21" i="12"/>
  <c r="N50" i="12"/>
  <c r="L5" i="12"/>
  <c r="L10" i="12" s="1"/>
  <c r="M10" i="12"/>
  <c r="B36" i="12"/>
  <c r="H36" i="12" s="1"/>
  <c r="M33" i="12"/>
  <c r="N40" i="12"/>
  <c r="N9" i="12"/>
  <c r="N18" i="12"/>
  <c r="M54" i="12"/>
  <c r="L47" i="12"/>
  <c r="L54" i="12" s="1"/>
  <c r="N20" i="12"/>
  <c r="N7" i="12"/>
  <c r="N17" i="12"/>
  <c r="M21" i="12"/>
  <c r="N42" i="12"/>
  <c r="D38" i="12"/>
  <c r="N49" i="12"/>
  <c r="L21" i="11"/>
  <c r="N7" i="11"/>
  <c r="L7" i="11"/>
  <c r="N25" i="11"/>
  <c r="N32" i="11" s="1"/>
  <c r="C43" i="11" s="1"/>
  <c r="L25" i="11"/>
  <c r="L32" i="11" s="1"/>
  <c r="N53" i="11"/>
  <c r="N54" i="11" s="1"/>
  <c r="C45" i="11" s="1"/>
  <c r="L53" i="11"/>
  <c r="L54" i="11" s="1"/>
  <c r="N5" i="11"/>
  <c r="L5" i="11"/>
  <c r="N4" i="11"/>
  <c r="L4" i="11"/>
  <c r="N38" i="11"/>
  <c r="L38" i="11"/>
  <c r="L43" i="11" s="1"/>
  <c r="N21" i="11"/>
  <c r="C42" i="11" s="1"/>
  <c r="B42" i="11"/>
  <c r="H42" i="11" s="1"/>
  <c r="N8" i="11"/>
  <c r="L8" i="11"/>
  <c r="M32" i="11"/>
  <c r="M33" i="11" s="1"/>
  <c r="M54" i="11"/>
  <c r="B45" i="11" s="1"/>
  <c r="H45" i="11" s="1"/>
  <c r="D46" i="11"/>
  <c r="M10" i="11"/>
  <c r="N3" i="11"/>
  <c r="M43" i="11"/>
  <c r="N36" i="11"/>
  <c r="L8" i="9"/>
  <c r="M8" i="9" s="1"/>
  <c r="M32" i="9"/>
  <c r="C36" i="9" s="1"/>
  <c r="F38" i="9"/>
  <c r="L32" i="9"/>
  <c r="B36" i="9" s="1"/>
  <c r="H36" i="9" s="1"/>
  <c r="L19" i="9"/>
  <c r="M19" i="9" s="1"/>
  <c r="N32" i="9"/>
  <c r="D36" i="9" s="1"/>
  <c r="N43" i="9"/>
  <c r="D37" i="9" s="1"/>
  <c r="L36" i="9"/>
  <c r="N21" i="9"/>
  <c r="D35" i="9" s="1"/>
  <c r="L14" i="9"/>
  <c r="M49" i="9"/>
  <c r="H7" i="9"/>
  <c r="H30" i="9" s="1"/>
  <c r="E38" i="9"/>
  <c r="L15" i="9"/>
  <c r="M15" i="9" s="1"/>
  <c r="N10" i="9"/>
  <c r="D34" i="9" s="1"/>
  <c r="L3" i="9"/>
  <c r="L40" i="9"/>
  <c r="M40" i="9" s="1"/>
  <c r="L16" i="9"/>
  <c r="M16" i="9" s="1"/>
  <c r="L6" i="9"/>
  <c r="M6" i="9" s="1"/>
  <c r="G38" i="9"/>
  <c r="N21" i="8"/>
  <c r="D35" i="8" s="1"/>
  <c r="N32" i="8"/>
  <c r="D36" i="8" s="1"/>
  <c r="M50" i="8"/>
  <c r="G38" i="8"/>
  <c r="N54" i="8"/>
  <c r="D37" i="8"/>
  <c r="M59" i="8"/>
  <c r="H7" i="8"/>
  <c r="H30" i="8" s="1"/>
  <c r="L53" i="8"/>
  <c r="L21" i="8"/>
  <c r="L32" i="8"/>
  <c r="L4" i="8"/>
  <c r="M4" i="8" s="1"/>
  <c r="M21" i="8"/>
  <c r="C35" i="8" s="1"/>
  <c r="M32" i="8"/>
  <c r="C36" i="8" s="1"/>
  <c r="L3" i="8"/>
  <c r="M3" i="8" s="1"/>
  <c r="N10" i="8"/>
  <c r="D34" i="8" s="1"/>
  <c r="E38" i="8"/>
  <c r="M47" i="8"/>
  <c r="L7" i="8"/>
  <c r="M7" i="8" s="1"/>
  <c r="L49" i="8"/>
  <c r="M49" i="8" s="1"/>
  <c r="F38" i="8"/>
  <c r="L47" i="7"/>
  <c r="M47" i="7" s="1"/>
  <c r="M51" i="7"/>
  <c r="I37" i="7"/>
  <c r="N32" i="7"/>
  <c r="D43" i="7" s="1"/>
  <c r="B37" i="7"/>
  <c r="B38" i="7" s="1"/>
  <c r="B39" i="7" s="1"/>
  <c r="M49" i="7"/>
  <c r="C37" i="7"/>
  <c r="M32" i="7"/>
  <c r="C43" i="7" s="1"/>
  <c r="F46" i="7"/>
  <c r="L19" i="7"/>
  <c r="M19" i="7" s="1"/>
  <c r="L36" i="7"/>
  <c r="N43" i="7"/>
  <c r="D44" i="7" s="1"/>
  <c r="C27" i="7"/>
  <c r="M59" i="7" s="1"/>
  <c r="L14" i="7"/>
  <c r="N21" i="7"/>
  <c r="D42" i="7" s="1"/>
  <c r="L4" i="7"/>
  <c r="M4" i="7" s="1"/>
  <c r="N54" i="7"/>
  <c r="D45" i="7" s="1"/>
  <c r="L3" i="7"/>
  <c r="N10" i="7"/>
  <c r="D41" i="7" s="1"/>
  <c r="L38" i="7"/>
  <c r="M38" i="7" s="1"/>
  <c r="G46" i="7"/>
  <c r="L15" i="7"/>
  <c r="M15" i="7" s="1"/>
  <c r="L40" i="7"/>
  <c r="M40" i="7" s="1"/>
  <c r="L59" i="7"/>
  <c r="L60" i="7" s="1"/>
  <c r="M50" i="7"/>
  <c r="L32" i="7"/>
  <c r="E46" i="7"/>
  <c r="E37" i="7"/>
  <c r="L21" i="6"/>
  <c r="B42" i="6" s="1"/>
  <c r="H42" i="6" s="1"/>
  <c r="N21" i="6"/>
  <c r="D42" i="6" s="1"/>
  <c r="L32" i="6"/>
  <c r="B43" i="6" s="1"/>
  <c r="H43" i="6" s="1"/>
  <c r="M32" i="6"/>
  <c r="C43" i="6" s="1"/>
  <c r="N32" i="6"/>
  <c r="D43" i="6" s="1"/>
  <c r="F46" i="6"/>
  <c r="L7" i="6"/>
  <c r="M7" i="6" s="1"/>
  <c r="L40" i="6"/>
  <c r="M40" i="6" s="1"/>
  <c r="L53" i="6"/>
  <c r="M53" i="6" s="1"/>
  <c r="L48" i="6"/>
  <c r="N54" i="6"/>
  <c r="D45" i="6" s="1"/>
  <c r="L38" i="6"/>
  <c r="M38" i="6" s="1"/>
  <c r="L8" i="6"/>
  <c r="M14" i="6"/>
  <c r="M21" i="6" s="1"/>
  <c r="C42" i="6" s="1"/>
  <c r="N43" i="6"/>
  <c r="D44" i="6" s="1"/>
  <c r="L36" i="6"/>
  <c r="L9" i="6"/>
  <c r="M9" i="6" s="1"/>
  <c r="N10" i="6"/>
  <c r="D41" i="6" s="1"/>
  <c r="L3" i="6"/>
  <c r="M3" i="6" s="1"/>
  <c r="L4" i="6"/>
  <c r="M4" i="6" s="1"/>
  <c r="E46" i="6"/>
  <c r="L5" i="6"/>
  <c r="M5" i="6" s="1"/>
  <c r="H37" i="6"/>
  <c r="L37" i="6"/>
  <c r="M37" i="6" s="1"/>
  <c r="L32" i="5"/>
  <c r="L33" i="5" s="1"/>
  <c r="M26" i="5"/>
  <c r="M32" i="5" s="1"/>
  <c r="N10" i="5"/>
  <c r="D41" i="5" s="1"/>
  <c r="H27" i="5"/>
  <c r="N21" i="5"/>
  <c r="D42" i="5" s="1"/>
  <c r="L14" i="5"/>
  <c r="L40" i="5"/>
  <c r="M40" i="5" s="1"/>
  <c r="F46" i="5"/>
  <c r="E46" i="5"/>
  <c r="L17" i="5"/>
  <c r="M17" i="5" s="1"/>
  <c r="G46" i="5"/>
  <c r="H37" i="5"/>
  <c r="N43" i="5"/>
  <c r="D44" i="5" s="1"/>
  <c r="L36" i="5"/>
  <c r="L10" i="5"/>
  <c r="E37" i="5"/>
  <c r="I37" i="5"/>
  <c r="L39" i="5"/>
  <c r="M39" i="5" s="1"/>
  <c r="H3" i="5"/>
  <c r="L38" i="5"/>
  <c r="M38" i="5" s="1"/>
  <c r="C37" i="5"/>
  <c r="M10" i="5"/>
  <c r="C41" i="5" s="1"/>
  <c r="N54" i="5"/>
  <c r="D45" i="5" s="1"/>
  <c r="L47" i="5"/>
  <c r="L54" i="5" s="1"/>
  <c r="B37" i="5"/>
  <c r="B38" i="5" s="1"/>
  <c r="B39" i="5" s="1"/>
  <c r="D43" i="5"/>
  <c r="L42" i="5"/>
  <c r="M42" i="5" s="1"/>
  <c r="L32" i="4"/>
  <c r="B43" i="4" s="1"/>
  <c r="H43" i="4" s="1"/>
  <c r="M32" i="4"/>
  <c r="C43" i="4" s="1"/>
  <c r="M20" i="4"/>
  <c r="N32" i="4"/>
  <c r="D43" i="4" s="1"/>
  <c r="G46" i="4"/>
  <c r="F46" i="4"/>
  <c r="M48" i="4"/>
  <c r="L3" i="4"/>
  <c r="L10" i="4" s="1"/>
  <c r="N10" i="4"/>
  <c r="D41" i="4" s="1"/>
  <c r="L50" i="4"/>
  <c r="L54" i="4" s="1"/>
  <c r="E46" i="4"/>
  <c r="L16" i="4"/>
  <c r="M16" i="4" s="1"/>
  <c r="N54" i="4"/>
  <c r="D45" i="4" s="1"/>
  <c r="L15" i="4"/>
  <c r="M15" i="4" s="1"/>
  <c r="N21" i="4"/>
  <c r="D42" i="4" s="1"/>
  <c r="L14" i="4"/>
  <c r="M14" i="4" s="1"/>
  <c r="L18" i="4"/>
  <c r="M18" i="4" s="1"/>
  <c r="L17" i="4"/>
  <c r="M17" i="4" s="1"/>
  <c r="H7" i="4"/>
  <c r="H37" i="4" s="1"/>
  <c r="N43" i="4"/>
  <c r="D44" i="4" s="1"/>
  <c r="L36" i="4"/>
  <c r="L43" i="4" s="1"/>
  <c r="P41" i="1"/>
  <c r="P7" i="1"/>
  <c r="M59" i="3"/>
  <c r="P52" i="2"/>
  <c r="P50" i="2"/>
  <c r="P4" i="1"/>
  <c r="C29" i="1"/>
  <c r="H29" i="1" s="1"/>
  <c r="A44" i="1"/>
  <c r="O48" i="1"/>
  <c r="O3" i="2"/>
  <c r="Q52" i="2"/>
  <c r="Q37" i="2"/>
  <c r="D37" i="1"/>
  <c r="O31" i="2"/>
  <c r="O49" i="1"/>
  <c r="O29" i="2"/>
  <c r="Q53" i="2"/>
  <c r="P51" i="2"/>
  <c r="P49" i="1"/>
  <c r="N49" i="1" s="1"/>
  <c r="L49" i="1" s="1"/>
  <c r="P29" i="2"/>
  <c r="P25" i="2"/>
  <c r="O25" i="2"/>
  <c r="N25" i="2" s="1"/>
  <c r="O50" i="2"/>
  <c r="N50" i="2" s="1"/>
  <c r="L50" i="2" s="1"/>
  <c r="M50" i="2" s="1"/>
  <c r="Q42" i="1"/>
  <c r="P31" i="2"/>
  <c r="A43" i="1"/>
  <c r="F46" i="3"/>
  <c r="G46" i="3"/>
  <c r="E46" i="3"/>
  <c r="L39" i="3"/>
  <c r="M39" i="3" s="1"/>
  <c r="N43" i="3"/>
  <c r="D44" i="3" s="1"/>
  <c r="L36" i="3"/>
  <c r="L43" i="3" s="1"/>
  <c r="N54" i="3"/>
  <c r="D45" i="3" s="1"/>
  <c r="L47" i="3"/>
  <c r="L54" i="3" s="1"/>
  <c r="H16" i="3"/>
  <c r="H37" i="3" s="1"/>
  <c r="N21" i="3"/>
  <c r="D42" i="3" s="1"/>
  <c r="L14" i="3"/>
  <c r="L21" i="3" s="1"/>
  <c r="L3" i="3"/>
  <c r="L10" i="3" s="1"/>
  <c r="N10" i="3"/>
  <c r="D41" i="3" s="1"/>
  <c r="N32" i="3"/>
  <c r="D43" i="3" s="1"/>
  <c r="L25" i="3"/>
  <c r="L32" i="3" s="1"/>
  <c r="H21" i="2"/>
  <c r="C12" i="2"/>
  <c r="H12" i="2" s="1"/>
  <c r="D37" i="2"/>
  <c r="E38" i="2" s="1"/>
  <c r="E39" i="2" s="1"/>
  <c r="C6" i="2"/>
  <c r="H6" i="2" s="1"/>
  <c r="N3" i="2"/>
  <c r="L3" i="2" s="1"/>
  <c r="I4" i="2"/>
  <c r="N59" i="2"/>
  <c r="I2" i="2"/>
  <c r="C35" i="2"/>
  <c r="H35" i="2" s="1"/>
  <c r="H19" i="2"/>
  <c r="B2" i="2"/>
  <c r="I6" i="2"/>
  <c r="C23" i="2"/>
  <c r="N29" i="2"/>
  <c r="L29" i="2" s="1"/>
  <c r="M29" i="2" s="1"/>
  <c r="Q36" i="2"/>
  <c r="P38" i="2"/>
  <c r="Q40" i="2"/>
  <c r="O51" i="2"/>
  <c r="N51" i="2" s="1"/>
  <c r="L51" i="2" s="1"/>
  <c r="M51" i="2" s="1"/>
  <c r="P53" i="2"/>
  <c r="N53" i="2" s="1"/>
  <c r="L53" i="2" s="1"/>
  <c r="M53" i="2" s="1"/>
  <c r="P36" i="2"/>
  <c r="N36" i="2" s="1"/>
  <c r="O38" i="2"/>
  <c r="O6" i="2"/>
  <c r="N6" i="2" s="1"/>
  <c r="O8" i="2"/>
  <c r="O17" i="2"/>
  <c r="N17" i="2" s="1"/>
  <c r="L17" i="2" s="1"/>
  <c r="M17" i="2" s="1"/>
  <c r="O19" i="2"/>
  <c r="N19" i="2" s="1"/>
  <c r="O41" i="2"/>
  <c r="A44" i="2"/>
  <c r="O27" i="2"/>
  <c r="O40" i="2"/>
  <c r="N40" i="2" s="1"/>
  <c r="L40" i="2" s="1"/>
  <c r="M40" i="2" s="1"/>
  <c r="P27" i="2"/>
  <c r="Q6" i="2"/>
  <c r="P8" i="2"/>
  <c r="O15" i="2"/>
  <c r="N15" i="2" s="1"/>
  <c r="L15" i="2" s="1"/>
  <c r="M15" i="2" s="1"/>
  <c r="Q17" i="2"/>
  <c r="Q19" i="2"/>
  <c r="O37" i="2"/>
  <c r="N37" i="2" s="1"/>
  <c r="O39" i="2"/>
  <c r="P41" i="2"/>
  <c r="O49" i="2"/>
  <c r="Q15" i="2"/>
  <c r="N31" i="2"/>
  <c r="L31" i="2" s="1"/>
  <c r="M31" i="2" s="1"/>
  <c r="P39" i="2"/>
  <c r="O4" i="2"/>
  <c r="N4" i="2" s="1"/>
  <c r="Q4" i="2"/>
  <c r="C31" i="2"/>
  <c r="H31" i="2" s="1"/>
  <c r="C22" i="2"/>
  <c r="H22" i="2" s="1"/>
  <c r="H33" i="2"/>
  <c r="C11" i="2"/>
  <c r="H11" i="2" s="1"/>
  <c r="C5" i="2"/>
  <c r="H5" i="2" s="1"/>
  <c r="I35" i="2"/>
  <c r="I9" i="2"/>
  <c r="I7" i="2"/>
  <c r="I19" i="2"/>
  <c r="B4" i="2"/>
  <c r="I34" i="2"/>
  <c r="I15" i="2"/>
  <c r="I21" i="2"/>
  <c r="I17" i="2"/>
  <c r="H23" i="2"/>
  <c r="C3" i="2"/>
  <c r="H3" i="2" s="1"/>
  <c r="O5" i="2"/>
  <c r="Q5" i="2"/>
  <c r="P5" i="2"/>
  <c r="H15" i="2"/>
  <c r="I28" i="2"/>
  <c r="B10" i="2"/>
  <c r="C10" i="2" s="1"/>
  <c r="Q47" i="2"/>
  <c r="P47" i="2"/>
  <c r="O47" i="2"/>
  <c r="H34" i="2"/>
  <c r="I26" i="2"/>
  <c r="B8" i="2"/>
  <c r="I5" i="2"/>
  <c r="H17" i="2"/>
  <c r="I24" i="2"/>
  <c r="C27" i="2"/>
  <c r="H27" i="2" s="1"/>
  <c r="I30" i="2"/>
  <c r="C7" i="2"/>
  <c r="I13" i="2"/>
  <c r="C29" i="2"/>
  <c r="H29" i="2" s="1"/>
  <c r="I32" i="2"/>
  <c r="H36" i="2"/>
  <c r="A45" i="2"/>
  <c r="N52" i="2"/>
  <c r="A43" i="2"/>
  <c r="I8" i="2"/>
  <c r="O14" i="2"/>
  <c r="C16" i="2"/>
  <c r="H16" i="2" s="1"/>
  <c r="O16" i="2"/>
  <c r="O18" i="2"/>
  <c r="O20" i="2"/>
  <c r="C25" i="2"/>
  <c r="H25" i="2" s="1"/>
  <c r="C2" i="2"/>
  <c r="H2" i="2" s="1"/>
  <c r="Q3" i="2"/>
  <c r="O7" i="2"/>
  <c r="C9" i="2"/>
  <c r="H9" i="2" s="1"/>
  <c r="O9" i="2"/>
  <c r="I12" i="2"/>
  <c r="P14" i="2"/>
  <c r="P16" i="2"/>
  <c r="P18" i="2"/>
  <c r="P20" i="2"/>
  <c r="I23" i="2"/>
  <c r="Q25" i="2"/>
  <c r="Q32" i="2" s="1"/>
  <c r="G43" i="2" s="1"/>
  <c r="I33" i="2"/>
  <c r="I36" i="2"/>
  <c r="O48" i="2"/>
  <c r="P49" i="2"/>
  <c r="I10" i="2"/>
  <c r="C18" i="2"/>
  <c r="H18" i="2" s="1"/>
  <c r="I3" i="2"/>
  <c r="P7" i="2"/>
  <c r="P9" i="2"/>
  <c r="B13" i="2"/>
  <c r="C13" i="2" s="1"/>
  <c r="H14" i="2"/>
  <c r="Q14" i="2"/>
  <c r="H20" i="2"/>
  <c r="I22" i="2"/>
  <c r="B24" i="2"/>
  <c r="B26" i="2"/>
  <c r="C26" i="2" s="1"/>
  <c r="I27" i="2"/>
  <c r="B28" i="2"/>
  <c r="C28" i="2" s="1"/>
  <c r="I29" i="2"/>
  <c r="B30" i="2"/>
  <c r="C30" i="2" s="1"/>
  <c r="I31" i="2"/>
  <c r="B32" i="2"/>
  <c r="C32" i="2" s="1"/>
  <c r="P48" i="2"/>
  <c r="I11" i="2"/>
  <c r="I14" i="2"/>
  <c r="I16" i="2"/>
  <c r="I18" i="2"/>
  <c r="I20" i="2"/>
  <c r="I25" i="2"/>
  <c r="O26" i="2"/>
  <c r="O28" i="2"/>
  <c r="O30" i="2"/>
  <c r="O42" i="2"/>
  <c r="P26" i="2"/>
  <c r="P28" i="2"/>
  <c r="P30" i="2"/>
  <c r="P42" i="2"/>
  <c r="C31" i="1"/>
  <c r="H31" i="1" s="1"/>
  <c r="B31" i="1"/>
  <c r="B30" i="1"/>
  <c r="C30" i="1" s="1"/>
  <c r="H30" i="1" s="1"/>
  <c r="B28" i="1"/>
  <c r="C28" i="1" s="1"/>
  <c r="H28" i="1" s="1"/>
  <c r="C26" i="1"/>
  <c r="H26" i="1" s="1"/>
  <c r="B26" i="1"/>
  <c r="B14" i="1"/>
  <c r="C14" i="1" s="1"/>
  <c r="H14" i="1" s="1"/>
  <c r="C12" i="1"/>
  <c r="C32" i="1"/>
  <c r="C36" i="1"/>
  <c r="H36" i="1" s="1"/>
  <c r="I2" i="1"/>
  <c r="Q40" i="1"/>
  <c r="C22" i="1"/>
  <c r="H22" i="1" s="1"/>
  <c r="C24" i="1"/>
  <c r="H24" i="1" s="1"/>
  <c r="C17" i="1"/>
  <c r="H17" i="1" s="1"/>
  <c r="C33" i="1"/>
  <c r="H33" i="1" s="1"/>
  <c r="I21" i="1"/>
  <c r="H15" i="1"/>
  <c r="C25" i="1"/>
  <c r="I25" i="1"/>
  <c r="I19" i="1"/>
  <c r="C34" i="1"/>
  <c r="O38" i="1"/>
  <c r="P48" i="1"/>
  <c r="N48" i="1" s="1"/>
  <c r="L48" i="1" s="1"/>
  <c r="O51" i="1"/>
  <c r="P8" i="1"/>
  <c r="N8" i="1" s="1"/>
  <c r="L8" i="1" s="1"/>
  <c r="Q8" i="1"/>
  <c r="O6" i="1"/>
  <c r="N6" i="1" s="1"/>
  <c r="L6" i="1" s="1"/>
  <c r="Q6" i="1"/>
  <c r="P20" i="1"/>
  <c r="N20" i="1" s="1"/>
  <c r="L20" i="1" s="1"/>
  <c r="M20" i="1" s="1"/>
  <c r="Q20" i="1"/>
  <c r="P39" i="1"/>
  <c r="N39" i="1" s="1"/>
  <c r="L39" i="1" s="1"/>
  <c r="M39" i="1" s="1"/>
  <c r="A45" i="1"/>
  <c r="P52" i="1"/>
  <c r="N52" i="1" s="1"/>
  <c r="L52" i="1" s="1"/>
  <c r="M52" i="1" s="1"/>
  <c r="Q39" i="1"/>
  <c r="O19" i="1"/>
  <c r="O40" i="1"/>
  <c r="O47" i="1"/>
  <c r="P37" i="1"/>
  <c r="N37" i="1" s="1"/>
  <c r="O4" i="1"/>
  <c r="N4" i="1" s="1"/>
  <c r="L4" i="1" s="1"/>
  <c r="M4" i="1" s="1"/>
  <c r="N5" i="1"/>
  <c r="L5" i="1" s="1"/>
  <c r="N9" i="1"/>
  <c r="L9" i="1" s="1"/>
  <c r="A42" i="1"/>
  <c r="Q14" i="1"/>
  <c r="P14" i="1"/>
  <c r="P26" i="1"/>
  <c r="Q26" i="1"/>
  <c r="O14" i="1"/>
  <c r="Q16" i="1"/>
  <c r="P16" i="1"/>
  <c r="N16" i="1" s="1"/>
  <c r="H18" i="1"/>
  <c r="O26" i="1"/>
  <c r="Q31" i="1"/>
  <c r="P31" i="1"/>
  <c r="N31" i="1" s="1"/>
  <c r="P28" i="1"/>
  <c r="Q28" i="1"/>
  <c r="O3" i="1"/>
  <c r="A41" i="1"/>
  <c r="Q3" i="1"/>
  <c r="Q18" i="1"/>
  <c r="P18" i="1"/>
  <c r="C5" i="1"/>
  <c r="C10" i="1"/>
  <c r="H12" i="1"/>
  <c r="O18" i="1"/>
  <c r="C21" i="1"/>
  <c r="H21" i="1" s="1"/>
  <c r="O28" i="1"/>
  <c r="H32" i="1"/>
  <c r="N41" i="1"/>
  <c r="P3" i="1"/>
  <c r="P30" i="1"/>
  <c r="Q30" i="1"/>
  <c r="Q15" i="1"/>
  <c r="P15" i="1"/>
  <c r="C20" i="1"/>
  <c r="H20" i="1" s="1"/>
  <c r="Q27" i="1"/>
  <c r="P27" i="1"/>
  <c r="O30" i="1"/>
  <c r="C7" i="1"/>
  <c r="N59" i="1"/>
  <c r="I30" i="1"/>
  <c r="I28" i="1"/>
  <c r="I26" i="1"/>
  <c r="I24" i="1"/>
  <c r="I17" i="1"/>
  <c r="I15" i="1"/>
  <c r="I10" i="1"/>
  <c r="I35" i="1"/>
  <c r="I13" i="1"/>
  <c r="I8" i="1"/>
  <c r="I6" i="1"/>
  <c r="I4" i="1"/>
  <c r="I36" i="1"/>
  <c r="I33" i="1"/>
  <c r="I31" i="1"/>
  <c r="I29" i="1"/>
  <c r="I27" i="1"/>
  <c r="I22" i="1"/>
  <c r="I18" i="1"/>
  <c r="I16" i="1"/>
  <c r="I14" i="1"/>
  <c r="I23" i="1"/>
  <c r="I11" i="1"/>
  <c r="I9" i="1"/>
  <c r="I7" i="1"/>
  <c r="I5" i="1"/>
  <c r="I3" i="1"/>
  <c r="I34" i="1"/>
  <c r="I12" i="1"/>
  <c r="N7" i="1"/>
  <c r="O15" i="1"/>
  <c r="Q17" i="1"/>
  <c r="P17" i="1"/>
  <c r="N17" i="1" s="1"/>
  <c r="I20" i="1"/>
  <c r="O27" i="1"/>
  <c r="C6" i="1"/>
  <c r="C9" i="1"/>
  <c r="C11" i="1"/>
  <c r="C16" i="1"/>
  <c r="H16" i="1" s="1"/>
  <c r="H25" i="1"/>
  <c r="Q29" i="1"/>
  <c r="P29" i="1"/>
  <c r="N29" i="1" s="1"/>
  <c r="I32" i="1"/>
  <c r="Q53" i="1"/>
  <c r="Q5" i="1"/>
  <c r="Q7" i="1"/>
  <c r="Q9" i="1"/>
  <c r="P25" i="1"/>
  <c r="P36" i="1"/>
  <c r="Q37" i="1"/>
  <c r="P38" i="1"/>
  <c r="P40" i="1"/>
  <c r="Q41" i="1"/>
  <c r="O50" i="1"/>
  <c r="P51" i="1"/>
  <c r="Q52" i="1"/>
  <c r="Q36" i="1"/>
  <c r="P50" i="1"/>
  <c r="P47" i="1"/>
  <c r="P19" i="1"/>
  <c r="O42" i="1"/>
  <c r="N42" i="1" s="1"/>
  <c r="O53" i="1"/>
  <c r="N53" i="1" s="1"/>
  <c r="N21" i="12" l="1"/>
  <c r="C35" i="12" s="1"/>
  <c r="M42" i="8"/>
  <c r="M43" i="8" s="1"/>
  <c r="B37" i="12"/>
  <c r="H37" i="12" s="1"/>
  <c r="N54" i="12"/>
  <c r="N43" i="12"/>
  <c r="C37" i="12" s="1"/>
  <c r="N10" i="12"/>
  <c r="C34" i="12" s="1"/>
  <c r="M22" i="12"/>
  <c r="O22" i="12" s="1"/>
  <c r="B35" i="12"/>
  <c r="H35" i="12" s="1"/>
  <c r="M11" i="12"/>
  <c r="B34" i="12"/>
  <c r="M55" i="12"/>
  <c r="L10" i="11"/>
  <c r="N10" i="11"/>
  <c r="C41" i="11" s="1"/>
  <c r="N43" i="11"/>
  <c r="C44" i="11" s="1"/>
  <c r="B43" i="11"/>
  <c r="H43" i="11" s="1"/>
  <c r="M55" i="11"/>
  <c r="B44" i="11"/>
  <c r="H44" i="11" s="1"/>
  <c r="M44" i="11"/>
  <c r="M11" i="11"/>
  <c r="B41" i="11"/>
  <c r="L33" i="9"/>
  <c r="L10" i="9"/>
  <c r="L11" i="9" s="1"/>
  <c r="L21" i="9"/>
  <c r="M14" i="9"/>
  <c r="M21" i="9" s="1"/>
  <c r="C35" i="9" s="1"/>
  <c r="D38" i="9"/>
  <c r="L43" i="9"/>
  <c r="M3" i="9"/>
  <c r="M10" i="9" s="1"/>
  <c r="C34" i="9" s="1"/>
  <c r="M36" i="9"/>
  <c r="M43" i="9" s="1"/>
  <c r="C37" i="9" s="1"/>
  <c r="D38" i="8"/>
  <c r="L54" i="8"/>
  <c r="L33" i="8"/>
  <c r="B36" i="8"/>
  <c r="H36" i="8" s="1"/>
  <c r="B35" i="8"/>
  <c r="H35" i="8" s="1"/>
  <c r="L22" i="8"/>
  <c r="N22" i="8" s="1"/>
  <c r="M53" i="8"/>
  <c r="M54" i="8" s="1"/>
  <c r="M10" i="8"/>
  <c r="C34" i="8" s="1"/>
  <c r="L10" i="8"/>
  <c r="C37" i="8"/>
  <c r="M36" i="7"/>
  <c r="M43" i="7" s="1"/>
  <c r="C44" i="7" s="1"/>
  <c r="L43" i="7"/>
  <c r="L21" i="7"/>
  <c r="D46" i="7"/>
  <c r="L10" i="7"/>
  <c r="H27" i="7"/>
  <c r="H37" i="7" s="1"/>
  <c r="L54" i="7"/>
  <c r="M14" i="7"/>
  <c r="M21" i="7" s="1"/>
  <c r="C42" i="7" s="1"/>
  <c r="L33" i="7"/>
  <c r="B43" i="7"/>
  <c r="H43" i="7" s="1"/>
  <c r="M3" i="7"/>
  <c r="M10" i="7" s="1"/>
  <c r="C41" i="7" s="1"/>
  <c r="M48" i="7"/>
  <c r="M54" i="7" s="1"/>
  <c r="C45" i="7" s="1"/>
  <c r="L22" i="6"/>
  <c r="N22" i="6" s="1"/>
  <c r="L33" i="6"/>
  <c r="L54" i="6"/>
  <c r="B45" i="6" s="1"/>
  <c r="H45" i="6" s="1"/>
  <c r="D46" i="6"/>
  <c r="M10" i="6"/>
  <c r="C41" i="6" s="1"/>
  <c r="L43" i="6"/>
  <c r="M48" i="6"/>
  <c r="M54" i="6" s="1"/>
  <c r="C45" i="6" s="1"/>
  <c r="M36" i="6"/>
  <c r="M43" i="6" s="1"/>
  <c r="C44" i="6" s="1"/>
  <c r="L10" i="6"/>
  <c r="D46" i="5"/>
  <c r="L21" i="5"/>
  <c r="M14" i="5"/>
  <c r="M21" i="5" s="1"/>
  <c r="C42" i="5" s="1"/>
  <c r="M47" i="5"/>
  <c r="M54" i="5" s="1"/>
  <c r="C45" i="5" s="1"/>
  <c r="B45" i="5"/>
  <c r="H45" i="5" s="1"/>
  <c r="L55" i="5"/>
  <c r="L11" i="5"/>
  <c r="B41" i="5"/>
  <c r="L43" i="5"/>
  <c r="M36" i="5"/>
  <c r="M43" i="5" s="1"/>
  <c r="C44" i="5" s="1"/>
  <c r="C43" i="5"/>
  <c r="L33" i="4"/>
  <c r="M3" i="4"/>
  <c r="M10" i="4" s="1"/>
  <c r="C41" i="4" s="1"/>
  <c r="B45" i="4"/>
  <c r="H45" i="4" s="1"/>
  <c r="M21" i="4"/>
  <c r="C42" i="4" s="1"/>
  <c r="M50" i="4"/>
  <c r="M54" i="4" s="1"/>
  <c r="C45" i="4" s="1"/>
  <c r="D46" i="4"/>
  <c r="L21" i="4"/>
  <c r="B44" i="4"/>
  <c r="H44" i="4" s="1"/>
  <c r="L44" i="4"/>
  <c r="L11" i="4"/>
  <c r="B41" i="4"/>
  <c r="M36" i="4"/>
  <c r="M43" i="4" s="1"/>
  <c r="C44" i="4" s="1"/>
  <c r="N49" i="2"/>
  <c r="Q54" i="2"/>
  <c r="G45" i="2" s="1"/>
  <c r="M3" i="3"/>
  <c r="M10" i="3" s="1"/>
  <c r="C41" i="3" s="1"/>
  <c r="M25" i="3"/>
  <c r="M32" i="3" s="1"/>
  <c r="C43" i="3" s="1"/>
  <c r="M14" i="3"/>
  <c r="M21" i="3" s="1"/>
  <c r="C42" i="3" s="1"/>
  <c r="M47" i="3"/>
  <c r="M54" i="3" s="1"/>
  <c r="C45" i="3" s="1"/>
  <c r="B43" i="3"/>
  <c r="H43" i="3" s="1"/>
  <c r="L33" i="3"/>
  <c r="D46" i="3"/>
  <c r="B42" i="3"/>
  <c r="H42" i="3" s="1"/>
  <c r="L22" i="3"/>
  <c r="N22" i="3" s="1"/>
  <c r="L55" i="3"/>
  <c r="B45" i="3"/>
  <c r="H45" i="3" s="1"/>
  <c r="B41" i="3"/>
  <c r="L11" i="3"/>
  <c r="B44" i="3"/>
  <c r="H44" i="3" s="1"/>
  <c r="L44" i="3"/>
  <c r="M36" i="3"/>
  <c r="M43" i="3" s="1"/>
  <c r="C44" i="3" s="1"/>
  <c r="N8" i="2"/>
  <c r="L8" i="2" s="1"/>
  <c r="M8" i="2" s="1"/>
  <c r="N41" i="2"/>
  <c r="L41" i="2" s="1"/>
  <c r="M41" i="2" s="1"/>
  <c r="N27" i="2"/>
  <c r="L27" i="2" s="1"/>
  <c r="M27" i="2" s="1"/>
  <c r="Q21" i="2"/>
  <c r="G42" i="2" s="1"/>
  <c r="M3" i="2"/>
  <c r="B37" i="2"/>
  <c r="B38" i="2" s="1"/>
  <c r="B39" i="2" s="1"/>
  <c r="Q43" i="2"/>
  <c r="G44" i="2" s="1"/>
  <c r="C37" i="2"/>
  <c r="I37" i="2"/>
  <c r="P43" i="2"/>
  <c r="F44" i="2" s="1"/>
  <c r="N39" i="2"/>
  <c r="L39" i="2" s="1"/>
  <c r="M39" i="2" s="1"/>
  <c r="N38" i="2"/>
  <c r="L38" i="2" s="1"/>
  <c r="M38" i="2" s="1"/>
  <c r="P54" i="2"/>
  <c r="F45" i="2" s="1"/>
  <c r="N18" i="2"/>
  <c r="L18" i="2" s="1"/>
  <c r="M18" i="2" s="1"/>
  <c r="N30" i="2"/>
  <c r="L30" i="2" s="1"/>
  <c r="M30" i="2" s="1"/>
  <c r="N42" i="2"/>
  <c r="P10" i="2"/>
  <c r="F41" i="2" s="1"/>
  <c r="N20" i="2"/>
  <c r="L20" i="2" s="1"/>
  <c r="P32" i="2"/>
  <c r="F43" i="2" s="1"/>
  <c r="P21" i="2"/>
  <c r="F42" i="2" s="1"/>
  <c r="N16" i="2"/>
  <c r="L16" i="2" s="1"/>
  <c r="M16" i="2" s="1"/>
  <c r="N5" i="2"/>
  <c r="L5" i="2" s="1"/>
  <c r="M5" i="2" s="1"/>
  <c r="L37" i="2"/>
  <c r="M37" i="2" s="1"/>
  <c r="C4" i="2"/>
  <c r="H4" i="2" s="1"/>
  <c r="O43" i="2"/>
  <c r="E44" i="2" s="1"/>
  <c r="L19" i="2"/>
  <c r="M19" i="2" s="1"/>
  <c r="H26" i="2"/>
  <c r="N9" i="2"/>
  <c r="O32" i="2"/>
  <c r="E43" i="2" s="1"/>
  <c r="N26" i="2"/>
  <c r="H32" i="2"/>
  <c r="N7" i="2"/>
  <c r="O21" i="2"/>
  <c r="E42" i="2" s="1"/>
  <c r="N14" i="2"/>
  <c r="L59" i="2"/>
  <c r="L60" i="2" s="1"/>
  <c r="C8" i="2"/>
  <c r="H8" i="2" s="1"/>
  <c r="L36" i="2"/>
  <c r="M36" i="2" s="1"/>
  <c r="C24" i="2"/>
  <c r="O54" i="2"/>
  <c r="E45" i="2" s="1"/>
  <c r="N47" i="2"/>
  <c r="L4" i="2"/>
  <c r="N28" i="2"/>
  <c r="Q10" i="2"/>
  <c r="G41" i="2" s="1"/>
  <c r="L6" i="2"/>
  <c r="M6" i="2" s="1"/>
  <c r="L25" i="2"/>
  <c r="M25" i="2" s="1"/>
  <c r="H7" i="2"/>
  <c r="F37" i="2"/>
  <c r="H28" i="2"/>
  <c r="H13" i="2"/>
  <c r="H30" i="2"/>
  <c r="L49" i="2"/>
  <c r="M49" i="2" s="1"/>
  <c r="N48" i="2"/>
  <c r="L52" i="2"/>
  <c r="M52" i="2" s="1"/>
  <c r="O10" i="2"/>
  <c r="E41" i="2" s="1"/>
  <c r="H10" i="2"/>
  <c r="E37" i="2"/>
  <c r="B37" i="1"/>
  <c r="B38" i="1" s="1"/>
  <c r="C37" i="1"/>
  <c r="F37" i="1"/>
  <c r="E37" i="1"/>
  <c r="E38" i="1"/>
  <c r="E39" i="1" s="1"/>
  <c r="N40" i="1"/>
  <c r="L40" i="1" s="1"/>
  <c r="M40" i="1" s="1"/>
  <c r="N47" i="1"/>
  <c r="L47" i="1" s="1"/>
  <c r="Q54" i="1"/>
  <c r="G45" i="1" s="1"/>
  <c r="N38" i="1"/>
  <c r="L38" i="1" s="1"/>
  <c r="M38" i="1" s="1"/>
  <c r="P10" i="1"/>
  <c r="F41" i="1" s="1"/>
  <c r="N51" i="1"/>
  <c r="L51" i="1" s="1"/>
  <c r="M51" i="1" s="1"/>
  <c r="M49" i="1"/>
  <c r="M5" i="1"/>
  <c r="C19" i="1"/>
  <c r="H19" i="1" s="1"/>
  <c r="N19" i="1"/>
  <c r="L19" i="1" s="1"/>
  <c r="M19" i="1" s="1"/>
  <c r="M9" i="1"/>
  <c r="H34" i="1"/>
  <c r="M48" i="1"/>
  <c r="N15" i="1"/>
  <c r="L15" i="1" s="1"/>
  <c r="M15" i="1" s="1"/>
  <c r="N18" i="1"/>
  <c r="L18" i="1" s="1"/>
  <c r="M18" i="1" s="1"/>
  <c r="P43" i="1"/>
  <c r="F44" i="1" s="1"/>
  <c r="M6" i="1"/>
  <c r="N30" i="1"/>
  <c r="L30" i="1" s="1"/>
  <c r="M30" i="1" s="1"/>
  <c r="Q32" i="1"/>
  <c r="G43" i="1" s="1"/>
  <c r="N50" i="1"/>
  <c r="M8" i="1"/>
  <c r="N28" i="1"/>
  <c r="L28" i="1" s="1"/>
  <c r="M28" i="1" s="1"/>
  <c r="L31" i="1"/>
  <c r="M31" i="1" s="1"/>
  <c r="L16" i="1"/>
  <c r="M16" i="1" s="1"/>
  <c r="N27" i="1"/>
  <c r="I37" i="1"/>
  <c r="C4" i="1"/>
  <c r="H4" i="1" s="1"/>
  <c r="N36" i="1"/>
  <c r="N26" i="1"/>
  <c r="O32" i="1"/>
  <c r="E43" i="1" s="1"/>
  <c r="C3" i="1"/>
  <c r="H3" i="1" s="1"/>
  <c r="L42" i="1"/>
  <c r="M42" i="1" s="1"/>
  <c r="L29" i="1"/>
  <c r="M29" i="1" s="1"/>
  <c r="H11" i="1"/>
  <c r="O54" i="1"/>
  <c r="E45" i="1" s="1"/>
  <c r="O43" i="1"/>
  <c r="E44" i="1" s="1"/>
  <c r="Q43" i="1"/>
  <c r="G44" i="1" s="1"/>
  <c r="H9" i="1"/>
  <c r="H10" i="1"/>
  <c r="Q10" i="1"/>
  <c r="G41" i="1" s="1"/>
  <c r="P21" i="1"/>
  <c r="F42" i="1" s="1"/>
  <c r="L53" i="1"/>
  <c r="M53" i="1" s="1"/>
  <c r="P32" i="1"/>
  <c r="F43" i="1" s="1"/>
  <c r="N25" i="1"/>
  <c r="H6" i="1"/>
  <c r="C13" i="1"/>
  <c r="H13" i="1" s="1"/>
  <c r="C23" i="1"/>
  <c r="H23" i="1" s="1"/>
  <c r="H5" i="1"/>
  <c r="N3" i="1"/>
  <c r="O10" i="1"/>
  <c r="E41" i="1" s="1"/>
  <c r="C35" i="1"/>
  <c r="H35" i="1" s="1"/>
  <c r="Q21" i="1"/>
  <c r="G42" i="1" s="1"/>
  <c r="N14" i="1"/>
  <c r="O21" i="1"/>
  <c r="E42" i="1" s="1"/>
  <c r="L17" i="1"/>
  <c r="M17" i="1" s="1"/>
  <c r="L7" i="1"/>
  <c r="M7" i="1" s="1"/>
  <c r="L59" i="1"/>
  <c r="L60" i="1" s="1"/>
  <c r="H7" i="1"/>
  <c r="L37" i="1"/>
  <c r="M37" i="1" s="1"/>
  <c r="P54" i="1"/>
  <c r="F45" i="1" s="1"/>
  <c r="C2" i="1"/>
  <c r="H2" i="1" s="1"/>
  <c r="L41" i="1"/>
  <c r="M41" i="1" s="1"/>
  <c r="C8" i="1"/>
  <c r="H8" i="1" s="1"/>
  <c r="C38" i="12" l="1"/>
  <c r="H34" i="12"/>
  <c r="H38" i="12" s="1"/>
  <c r="B38" i="12"/>
  <c r="C46" i="11"/>
  <c r="H41" i="11"/>
  <c r="H46" i="11" s="1"/>
  <c r="B46" i="11"/>
  <c r="B34" i="9"/>
  <c r="H34" i="9" s="1"/>
  <c r="L44" i="9"/>
  <c r="B37" i="9"/>
  <c r="H37" i="9" s="1"/>
  <c r="B35" i="9"/>
  <c r="H35" i="9" s="1"/>
  <c r="L22" i="9"/>
  <c r="N22" i="9" s="1"/>
  <c r="C38" i="9"/>
  <c r="L55" i="8"/>
  <c r="L11" i="8"/>
  <c r="B34" i="8"/>
  <c r="B37" i="8"/>
  <c r="H37" i="8" s="1"/>
  <c r="C38" i="8"/>
  <c r="B44" i="7"/>
  <c r="H44" i="7" s="1"/>
  <c r="L44" i="7"/>
  <c r="L11" i="7"/>
  <c r="B41" i="7"/>
  <c r="L55" i="7"/>
  <c r="B45" i="7"/>
  <c r="H45" i="7" s="1"/>
  <c r="C46" i="7"/>
  <c r="L22" i="7"/>
  <c r="N22" i="7" s="1"/>
  <c r="B42" i="7"/>
  <c r="H42" i="7" s="1"/>
  <c r="L55" i="6"/>
  <c r="L11" i="6"/>
  <c r="B41" i="6"/>
  <c r="B44" i="6"/>
  <c r="H44" i="6" s="1"/>
  <c r="L44" i="6"/>
  <c r="C46" i="6"/>
  <c r="B43" i="5"/>
  <c r="H43" i="5" s="1"/>
  <c r="C46" i="5"/>
  <c r="B42" i="5"/>
  <c r="H42" i="5" s="1"/>
  <c r="L22" i="5"/>
  <c r="N22" i="5" s="1"/>
  <c r="H41" i="5"/>
  <c r="L44" i="5"/>
  <c r="B44" i="5"/>
  <c r="H44" i="5" s="1"/>
  <c r="C46" i="4"/>
  <c r="H41" i="4"/>
  <c r="L22" i="4"/>
  <c r="N22" i="4" s="1"/>
  <c r="B42" i="4"/>
  <c r="H42" i="4" s="1"/>
  <c r="C46" i="3"/>
  <c r="H41" i="3"/>
  <c r="H46" i="3" s="1"/>
  <c r="B46" i="3"/>
  <c r="G46" i="2"/>
  <c r="N43" i="2"/>
  <c r="D44" i="2" s="1"/>
  <c r="L42" i="2"/>
  <c r="M42" i="2" s="1"/>
  <c r="M43" i="2" s="1"/>
  <c r="C44" i="2" s="1"/>
  <c r="M59" i="2"/>
  <c r="N32" i="2"/>
  <c r="D43" i="2" s="1"/>
  <c r="F46" i="2"/>
  <c r="M20" i="2"/>
  <c r="L28" i="2"/>
  <c r="M28" i="2" s="1"/>
  <c r="L26" i="2"/>
  <c r="M26" i="2" s="1"/>
  <c r="H24" i="2"/>
  <c r="H37" i="2" s="1"/>
  <c r="L7" i="2"/>
  <c r="M7" i="2" s="1"/>
  <c r="E46" i="2"/>
  <c r="L48" i="2"/>
  <c r="M48" i="2" s="1"/>
  <c r="L9" i="2"/>
  <c r="M9" i="2" s="1"/>
  <c r="M4" i="2"/>
  <c r="N10" i="2"/>
  <c r="D41" i="2" s="1"/>
  <c r="L47" i="2"/>
  <c r="N54" i="2"/>
  <c r="D45" i="2" s="1"/>
  <c r="L14" i="2"/>
  <c r="L21" i="2" s="1"/>
  <c r="N21" i="2"/>
  <c r="D42" i="2" s="1"/>
  <c r="B39" i="1"/>
  <c r="N54" i="1"/>
  <c r="D45" i="1" s="1"/>
  <c r="L50" i="1"/>
  <c r="M50" i="1" s="1"/>
  <c r="F46" i="1"/>
  <c r="L27" i="1"/>
  <c r="M27" i="1" s="1"/>
  <c r="L25" i="1"/>
  <c r="N32" i="1"/>
  <c r="D43" i="1" s="1"/>
  <c r="G46" i="1"/>
  <c r="E46" i="1"/>
  <c r="N10" i="1"/>
  <c r="D41" i="1" s="1"/>
  <c r="L3" i="1"/>
  <c r="L10" i="1" s="1"/>
  <c r="L26" i="1"/>
  <c r="M26" i="1" s="1"/>
  <c r="M59" i="1"/>
  <c r="L36" i="1"/>
  <c r="L43" i="1" s="1"/>
  <c r="N43" i="1"/>
  <c r="D44" i="1" s="1"/>
  <c r="H37" i="1"/>
  <c r="M47" i="1"/>
  <c r="L14" i="1"/>
  <c r="L21" i="1" s="1"/>
  <c r="N21" i="1"/>
  <c r="D42" i="1" s="1"/>
  <c r="H38" i="9" l="1"/>
  <c r="B38" i="9"/>
  <c r="H34" i="8"/>
  <c r="H38" i="8" s="1"/>
  <c r="B38" i="8"/>
  <c r="H41" i="7"/>
  <c r="H46" i="7" s="1"/>
  <c r="B46" i="7"/>
  <c r="H41" i="6"/>
  <c r="H46" i="6" s="1"/>
  <c r="B46" i="6"/>
  <c r="H46" i="5"/>
  <c r="B46" i="5"/>
  <c r="B46" i="4"/>
  <c r="H46" i="4"/>
  <c r="L43" i="2"/>
  <c r="L44" i="2" s="1"/>
  <c r="M32" i="2"/>
  <c r="C43" i="2" s="1"/>
  <c r="L54" i="2"/>
  <c r="L55" i="2" s="1"/>
  <c r="L32" i="2"/>
  <c r="D46" i="2"/>
  <c r="L10" i="2"/>
  <c r="L22" i="2"/>
  <c r="N22" i="2" s="1"/>
  <c r="B42" i="2"/>
  <c r="H42" i="2" s="1"/>
  <c r="M47" i="2"/>
  <c r="M54" i="2" s="1"/>
  <c r="C45" i="2" s="1"/>
  <c r="M14" i="2"/>
  <c r="M21" i="2" s="1"/>
  <c r="C42" i="2" s="1"/>
  <c r="M10" i="2"/>
  <c r="C41" i="2" s="1"/>
  <c r="M54" i="1"/>
  <c r="C45" i="1" s="1"/>
  <c r="L54" i="1"/>
  <c r="L55" i="1" s="1"/>
  <c r="D46" i="1"/>
  <c r="B41" i="1"/>
  <c r="L11" i="1"/>
  <c r="L44" i="1"/>
  <c r="B44" i="1"/>
  <c r="H44" i="1" s="1"/>
  <c r="M3" i="1"/>
  <c r="M10" i="1" s="1"/>
  <c r="C41" i="1" s="1"/>
  <c r="M36" i="1"/>
  <c r="M43" i="1" s="1"/>
  <c r="C44" i="1" s="1"/>
  <c r="B42" i="1"/>
  <c r="H42" i="1" s="1"/>
  <c r="L22" i="1"/>
  <c r="N22" i="1" s="1"/>
  <c r="M14" i="1"/>
  <c r="M21" i="1" s="1"/>
  <c r="C42" i="1" s="1"/>
  <c r="L32" i="1"/>
  <c r="M25" i="1"/>
  <c r="M32" i="1" s="1"/>
  <c r="C43" i="1" s="1"/>
  <c r="B44" i="2" l="1"/>
  <c r="H44" i="2" s="1"/>
  <c r="B45" i="2"/>
  <c r="H45" i="2" s="1"/>
  <c r="L11" i="2"/>
  <c r="B41" i="2"/>
  <c r="C46" i="2"/>
  <c r="B43" i="2"/>
  <c r="H43" i="2" s="1"/>
  <c r="L33" i="2"/>
  <c r="B45" i="1"/>
  <c r="H45" i="1" s="1"/>
  <c r="C46" i="1"/>
  <c r="B43" i="1"/>
  <c r="H43" i="1" s="1"/>
  <c r="L33" i="1"/>
  <c r="H41" i="1"/>
  <c r="H41" i="2" l="1"/>
  <c r="H46" i="2" s="1"/>
  <c r="B46" i="2"/>
  <c r="B46" i="1"/>
  <c r="H46" i="1"/>
  <c r="B24" i="13"/>
</calcChain>
</file>

<file path=xl/sharedStrings.xml><?xml version="1.0" encoding="utf-8"?>
<sst xmlns="http://schemas.openxmlformats.org/spreadsheetml/2006/main" count="1034" uniqueCount="172">
  <si>
    <t>Date</t>
  </si>
  <si>
    <t>Profit</t>
  </si>
  <si>
    <t>Actual</t>
  </si>
  <si>
    <t>Total</t>
  </si>
  <si>
    <t>Cash</t>
  </si>
  <si>
    <t>Account Transfer</t>
  </si>
  <si>
    <t>Expense</t>
  </si>
  <si>
    <t>Percentage</t>
  </si>
  <si>
    <t>Cash In Hand</t>
  </si>
  <si>
    <t>Export</t>
  </si>
  <si>
    <t>Mul Bhag</t>
  </si>
  <si>
    <t>ser</t>
  </si>
  <si>
    <t>.</t>
  </si>
  <si>
    <t xml:space="preserve">Akshey Arora </t>
  </si>
  <si>
    <t>Hukumpal</t>
  </si>
  <si>
    <t>Nitin</t>
  </si>
  <si>
    <t>Garba</t>
  </si>
  <si>
    <t>Rajubhai Chauhan</t>
  </si>
  <si>
    <t>Owais</t>
  </si>
  <si>
    <t>Handi</t>
  </si>
  <si>
    <t>Salary</t>
  </si>
  <si>
    <t>Mansoor</t>
  </si>
  <si>
    <t>Vishjwajit tambe</t>
  </si>
  <si>
    <t>Customer return</t>
  </si>
  <si>
    <t>Ramilaben</t>
  </si>
  <si>
    <t>Vinod Jogeshwari</t>
  </si>
  <si>
    <t>Sajid bhai</t>
  </si>
  <si>
    <t>Ceramic pot</t>
  </si>
  <si>
    <t>Dhyaneswhara</t>
  </si>
  <si>
    <t>ibrahim</t>
  </si>
  <si>
    <t>Iqbal bhai Website</t>
  </si>
  <si>
    <t>Garba Ads</t>
  </si>
  <si>
    <t xml:space="preserve">Vicky </t>
  </si>
  <si>
    <t>T9 glass</t>
  </si>
  <si>
    <t>Salim bhai</t>
  </si>
  <si>
    <t>Vendor name</t>
  </si>
  <si>
    <t>Item</t>
  </si>
  <si>
    <t>Amount</t>
  </si>
  <si>
    <t>Rizwan</t>
  </si>
  <si>
    <t>China world</t>
  </si>
  <si>
    <t>Mukka</t>
  </si>
  <si>
    <t>Rehan</t>
  </si>
  <si>
    <t>Rehman</t>
  </si>
  <si>
    <t>Income</t>
  </si>
  <si>
    <t>Daily Sales</t>
  </si>
  <si>
    <t>Malaysia Payment</t>
  </si>
  <si>
    <t>online</t>
  </si>
  <si>
    <t>Vapi Payment</t>
  </si>
  <si>
    <t>Balance</t>
  </si>
  <si>
    <t>Cash/Online</t>
  </si>
  <si>
    <t xml:space="preserve">Rajukaka </t>
  </si>
  <si>
    <t>Bhikha aata</t>
  </si>
  <si>
    <t>KULHAD</t>
  </si>
  <si>
    <t>TRANSPORT</t>
  </si>
  <si>
    <t>till 08 -sept-2024</t>
  </si>
  <si>
    <t>Matala</t>
  </si>
  <si>
    <t>DIYA</t>
  </si>
  <si>
    <t>Last year bill</t>
  </si>
  <si>
    <t>Planter Advance</t>
  </si>
  <si>
    <t>Matala nu bill</t>
  </si>
  <si>
    <t>shakti pot and agarbatti stand</t>
  </si>
  <si>
    <t>Remarks</t>
  </si>
  <si>
    <t>salary</t>
  </si>
  <si>
    <t>Diya</t>
  </si>
  <si>
    <t>Kolkata diya Advance</t>
  </si>
  <si>
    <t>Khurja Transport</t>
  </si>
  <si>
    <t>return for additnal amount</t>
  </si>
  <si>
    <t>Taxi fare</t>
  </si>
  <si>
    <t>Owais biryani pot advance</t>
  </si>
  <si>
    <t xml:space="preserve">small kundi </t>
  </si>
  <si>
    <t>garba adavance</t>
  </si>
  <si>
    <t>T0 glass new vendor</t>
  </si>
  <si>
    <t>Thailand candle</t>
  </si>
  <si>
    <t>18-09-2024 to 23-09-2024</t>
  </si>
  <si>
    <t>till 15 -sept-2024</t>
  </si>
  <si>
    <t>Mukesh Dabbang</t>
  </si>
  <si>
    <t>Kamal and Hath diya</t>
  </si>
  <si>
    <t>Water</t>
  </si>
  <si>
    <t>Daan</t>
  </si>
  <si>
    <t>Water distribution</t>
  </si>
  <si>
    <t>Haresh Wagadiya</t>
  </si>
  <si>
    <t>Rent</t>
  </si>
  <si>
    <t>Sept 2024 Rent</t>
  </si>
  <si>
    <t xml:space="preserve">Rehan </t>
  </si>
  <si>
    <t>Rehan salary</t>
  </si>
  <si>
    <t>Customer</t>
  </si>
  <si>
    <t>Return</t>
  </si>
  <si>
    <t>Australiya</t>
  </si>
  <si>
    <t>y</t>
  </si>
  <si>
    <t>5000</t>
  </si>
  <si>
    <t>Diwali 2024(02-Sept-2024 to 01-Nov-2024)</t>
  </si>
  <si>
    <t>Oct 2024 Sale</t>
  </si>
  <si>
    <t>Total Sale</t>
  </si>
  <si>
    <t>Octomber EMI</t>
  </si>
  <si>
    <t xml:space="preserve">November EMI </t>
  </si>
  <si>
    <t>BOB balance</t>
  </si>
  <si>
    <t>Akshey Arora T0 Vendor</t>
  </si>
  <si>
    <t>ambalal bhai</t>
  </si>
  <si>
    <t>atul bhai sun</t>
  </si>
  <si>
    <t>Bank Charge</t>
  </si>
  <si>
    <t>bike repair</t>
  </si>
  <si>
    <t>Bill book payment</t>
  </si>
  <si>
    <t>ceramic diya payment</t>
  </si>
  <si>
    <t>chair</t>
  </si>
  <si>
    <t>Chhuta paisa</t>
  </si>
  <si>
    <t>china world</t>
  </si>
  <si>
    <t>dasrath transport</t>
  </si>
  <si>
    <t>DNYANESHWAR BHAI</t>
  </si>
  <si>
    <t>Garba Payment</t>
  </si>
  <si>
    <t>Iqbal bhai websiste</t>
  </si>
  <si>
    <t>Jameel bhai Vakeel saab</t>
  </si>
  <si>
    <t>kapoor dani and bh</t>
  </si>
  <si>
    <t>Khalbatta payment</t>
  </si>
  <si>
    <t>Light bill</t>
  </si>
  <si>
    <t>Mahesh tank Mitii</t>
  </si>
  <si>
    <t>manoj tank</t>
  </si>
  <si>
    <t>Manojbhai mataka</t>
  </si>
  <si>
    <t>Metal diva</t>
  </si>
  <si>
    <t>Nall Payment</t>
  </si>
  <si>
    <t>owais bhai khurja</t>
  </si>
  <si>
    <t>owais khurja advance</t>
  </si>
  <si>
    <t>porter</t>
  </si>
  <si>
    <t>Rajubhai Box</t>
  </si>
  <si>
    <t>Rajukaka bill</t>
  </si>
  <si>
    <t>Sadhana Rent</t>
  </si>
  <si>
    <t>Sajidbhai Metro</t>
  </si>
  <si>
    <t>Salim Bhai Khurja</t>
  </si>
  <si>
    <t>Saluja Ceramic</t>
  </si>
  <si>
    <t>sanjay bhai chotil</t>
  </si>
  <si>
    <t>Sharmaji</t>
  </si>
  <si>
    <t>sunita chohan</t>
  </si>
  <si>
    <t>Talpatri</t>
  </si>
  <si>
    <t>Tranport- Taxi</t>
  </si>
  <si>
    <t>Vendor payment</t>
  </si>
  <si>
    <t>Vicky Chouhan</t>
  </si>
  <si>
    <t>Water bottle payment</t>
  </si>
  <si>
    <t>Grand Total</t>
  </si>
  <si>
    <t>Tax</t>
  </si>
  <si>
    <t>Narottam bhai</t>
  </si>
  <si>
    <t>BOB hold</t>
  </si>
  <si>
    <t>Cash on Hand</t>
  </si>
  <si>
    <t>Credit card</t>
  </si>
  <si>
    <t>Pending Payment</t>
  </si>
  <si>
    <t>Jameel bhai</t>
  </si>
  <si>
    <t>Akshey Arora</t>
  </si>
  <si>
    <t>Dhyaneshwar</t>
  </si>
  <si>
    <t>Manoj bhai</t>
  </si>
  <si>
    <t>Haresh Bhai</t>
  </si>
  <si>
    <t>Atul bhai</t>
  </si>
  <si>
    <t>Future Payment Expected</t>
  </si>
  <si>
    <t>Kulhad payment</t>
  </si>
  <si>
    <t>Ramnik bhai</t>
  </si>
  <si>
    <t>Vasram Vashi</t>
  </si>
  <si>
    <t>Jitubhai Bhayander</t>
  </si>
  <si>
    <t>Panvel</t>
  </si>
  <si>
    <t>November forcast</t>
  </si>
  <si>
    <t>Sale</t>
  </si>
  <si>
    <t>Current working stock</t>
  </si>
  <si>
    <t>China Planter</t>
  </si>
  <si>
    <t>Chai kulhad</t>
  </si>
  <si>
    <t>Desi mitti</t>
  </si>
  <si>
    <t>diffuser</t>
  </si>
  <si>
    <t>Owais handi</t>
  </si>
  <si>
    <t>Saluja</t>
  </si>
  <si>
    <t>02-Sept-24 to 23-Sept-24</t>
  </si>
  <si>
    <t>24-Sept-24 to 30-sept- 24</t>
  </si>
  <si>
    <t>September Expense online</t>
  </si>
  <si>
    <t>Octomber Expense online</t>
  </si>
  <si>
    <t>September Mool bhaag</t>
  </si>
  <si>
    <t>October Mool bhaag</t>
  </si>
  <si>
    <t>BOB bank Charges</t>
  </si>
  <si>
    <t>Other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</si>
</sst>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[$-F800]dddd\,\ mmmm\ dd\,\ yyyy"/>
    <numFmt numFmtId="166" formatCode="mmmm/yyyy"/>
    <numFmt numFmtId="167" formatCode="[$-14009]dddd\,\ d\ mmmm\,\ yyyy;@"/>
    <numFmt numFmtId="168" formatCode="_ &quot;₹&quot;\ * #,##0_ ;_ &quot;₹&quot;\ * \-#,##0_ ;_ &quot;₹&quot;\ * &quot;-&quot;??_ ;_ @_ "/>
    <numFmt numFmtId="169" formatCode="_ [$₹-4009]\ * #,##0_ ;_ [$₹-4009]\ * \-#,##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1">
    <xf numFmtId="0" fontId="0" fillId="0" borderId="0" xfId="0"/>
    <xf numFmtId="1" fontId="0" fillId="2" borderId="1" xfId="0" applyNumberFormat="1" applyFill="1" applyBorder="1" applyAlignment="1" applyProtection="1">
      <alignment horizontal="center" vertical="center" wrapText="1"/>
      <protection locked="0"/>
    </xf>
    <xf numFmtId="164" fontId="0" fillId="2" borderId="2" xfId="1" applyNumberFormat="1" applyFont="1" applyFill="1" applyBorder="1" applyAlignment="1" applyProtection="1">
      <alignment horizontal="center" vertical="center" wrapText="1"/>
      <protection locked="0"/>
    </xf>
    <xf numFmtId="164" fontId="0" fillId="2" borderId="3" xfId="1" applyNumberFormat="1" applyFont="1" applyFill="1" applyBorder="1" applyAlignment="1" applyProtection="1">
      <alignment horizontal="center" vertical="center" wrapText="1"/>
      <protection locked="0"/>
    </xf>
    <xf numFmtId="1" fontId="0" fillId="2" borderId="3" xfId="0" applyNumberFormat="1" applyFill="1" applyBorder="1" applyAlignment="1" applyProtection="1">
      <alignment horizontal="center" vertical="center" wrapText="1"/>
      <protection locked="0"/>
    </xf>
    <xf numFmtId="1" fontId="0" fillId="2" borderId="4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" fontId="3" fillId="2" borderId="5" xfId="0" applyNumberFormat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 wrapText="1"/>
    </xf>
    <xf numFmtId="165" fontId="0" fillId="0" borderId="5" xfId="0" applyNumberFormat="1" applyBorder="1" applyAlignment="1" applyProtection="1">
      <alignment horizontal="center" vertical="center"/>
      <protection locked="0"/>
    </xf>
    <xf numFmtId="164" fontId="0" fillId="0" borderId="5" xfId="1" applyNumberFormat="1" applyFont="1" applyBorder="1" applyAlignment="1" applyProtection="1">
      <alignment horizontal="center" vertical="center"/>
      <protection locked="0"/>
    </xf>
    <xf numFmtId="10" fontId="0" fillId="0" borderId="5" xfId="0" applyNumberFormat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65" fontId="0" fillId="3" borderId="6" xfId="0" applyNumberFormat="1" applyFill="1" applyBorder="1" applyAlignment="1">
      <alignment horizontal="center" vertical="center"/>
    </xf>
    <xf numFmtId="164" fontId="0" fillId="3" borderId="5" xfId="1" applyNumberFormat="1" applyFon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4" fontId="0" fillId="4" borderId="5" xfId="1" applyNumberFormat="1" applyFont="1" applyFill="1" applyBorder="1" applyAlignment="1">
      <alignment horizontal="center" vertical="center"/>
    </xf>
    <xf numFmtId="164" fontId="0" fillId="0" borderId="5" xfId="1" quotePrefix="1" applyNumberFormat="1" applyFont="1" applyBorder="1" applyAlignment="1" applyProtection="1">
      <alignment horizontal="center" vertical="center"/>
      <protection locked="0"/>
    </xf>
    <xf numFmtId="164" fontId="2" fillId="4" borderId="5" xfId="1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5" fontId="2" fillId="5" borderId="7" xfId="0" applyNumberFormat="1" applyFont="1" applyFill="1" applyBorder="1" applyAlignment="1">
      <alignment horizontal="center" vertical="center"/>
    </xf>
    <xf numFmtId="164" fontId="0" fillId="5" borderId="8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166" fontId="0" fillId="4" borderId="6" xfId="0" applyNumberFormat="1" applyFill="1" applyBorder="1" applyAlignment="1">
      <alignment horizontal="center" vertical="center"/>
    </xf>
    <xf numFmtId="167" fontId="0" fillId="0" borderId="5" xfId="0" applyNumberFormat="1" applyBorder="1" applyAlignment="1" applyProtection="1">
      <alignment horizontal="center" vertical="center"/>
      <protection locked="0"/>
    </xf>
    <xf numFmtId="168" fontId="0" fillId="0" borderId="0" xfId="2" applyNumberFormat="1" applyFont="1"/>
    <xf numFmtId="0" fontId="2" fillId="6" borderId="5" xfId="0" applyFont="1" applyFill="1" applyBorder="1" applyAlignment="1">
      <alignment horizontal="center" vertical="center"/>
    </xf>
    <xf numFmtId="168" fontId="2" fillId="6" borderId="5" xfId="2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8" fontId="0" fillId="0" borderId="5" xfId="2" applyNumberFormat="1" applyFont="1" applyBorder="1" applyAlignment="1">
      <alignment horizontal="center" vertical="center"/>
    </xf>
    <xf numFmtId="165" fontId="2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0" xfId="0" applyNumberFormat="1"/>
    <xf numFmtId="168" fontId="0" fillId="0" borderId="0" xfId="0" applyNumberFormat="1"/>
    <xf numFmtId="168" fontId="0" fillId="0" borderId="0" xfId="2" applyNumberFormat="1" applyFont="1" applyBorder="1" applyAlignment="1">
      <alignment horizontal="center"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2" xfId="0" applyBorder="1"/>
    <xf numFmtId="0" fontId="0" fillId="0" borderId="5" xfId="0" applyBorder="1"/>
    <xf numFmtId="0" fontId="2" fillId="9" borderId="5" xfId="0" applyFont="1" applyFill="1" applyBorder="1" applyAlignment="1">
      <alignment horizontal="center" vertical="center"/>
    </xf>
    <xf numFmtId="168" fontId="2" fillId="9" borderId="5" xfId="2" applyNumberFormat="1" applyFont="1" applyFill="1" applyBorder="1" applyAlignment="1">
      <alignment horizontal="center" vertical="center"/>
    </xf>
    <xf numFmtId="168" fontId="0" fillId="0" borderId="13" xfId="2" applyNumberFormat="1" applyFont="1" applyBorder="1"/>
    <xf numFmtId="169" fontId="0" fillId="0" borderId="0" xfId="1" applyNumberFormat="1" applyFont="1"/>
    <xf numFmtId="168" fontId="0" fillId="0" borderId="5" xfId="2" applyNumberFormat="1" applyFont="1" applyBorder="1"/>
    <xf numFmtId="0" fontId="0" fillId="0" borderId="5" xfId="0" applyBorder="1" applyAlignment="1">
      <alignment vertical="center"/>
    </xf>
    <xf numFmtId="168" fontId="0" fillId="0" borderId="5" xfId="2" applyNumberFormat="1" applyFont="1" applyBorder="1" applyAlignment="1">
      <alignment vertical="center"/>
    </xf>
    <xf numFmtId="0" fontId="0" fillId="0" borderId="5" xfId="0" applyBorder="1" applyAlignment="1">
      <alignment vertical="center" wrapText="1"/>
    </xf>
    <xf numFmtId="169" fontId="0" fillId="0" borderId="5" xfId="1" applyNumberFormat="1" applyFont="1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0" borderId="5" xfId="0" applyFont="1" applyBorder="1"/>
    <xf numFmtId="168" fontId="2" fillId="0" borderId="5" xfId="0" applyNumberFormat="1" applyFont="1" applyBorder="1"/>
    <xf numFmtId="0" fontId="2" fillId="0" borderId="5" xfId="0" applyFont="1" applyBorder="1" applyAlignment="1">
      <alignment vertical="center"/>
    </xf>
    <xf numFmtId="168" fontId="2" fillId="0" borderId="5" xfId="2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9" fontId="2" fillId="0" borderId="5" xfId="1" applyNumberFormat="1" applyFon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168" fontId="0" fillId="0" borderId="2" xfId="2" applyNumberFormat="1" applyFont="1" applyFill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5" fontId="2" fillId="7" borderId="11" xfId="0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54"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7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7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7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7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7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7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7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7" formatCode="[$-14009]dddd\,\ d\ mmmm\,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4E639-3D94-455F-A1E3-2EC9C3C9000C}" name="Table23453456879111215141617181920212223242526272834567891011" displayName="Table23453456879111215141617181920212223242526272834567891011" ref="A1:I36" totalsRowShown="0" headerRowDxfId="153" dataDxfId="151" headerRowBorderDxfId="152" tableBorderDxfId="150" totalsRowBorderDxfId="149">
  <tableColumns count="9">
    <tableColumn id="1" xr3:uid="{0711BC60-ECC0-49FC-9414-C9FB1964F202}" name="Date" dataDxfId="148"/>
    <tableColumn id="2" xr3:uid="{2EFEC4C3-C65D-4269-9344-8CEECF4617A7}" name="Profit" dataDxfId="147" dataCellStyle="Comma">
      <calculatedColumnFormula>D2*0.3</calculatedColumnFormula>
    </tableColumn>
    <tableColumn id="3" xr3:uid="{84B03DB5-B853-4A69-A315-616D56637EA0}" name="Actual" dataDxfId="146" dataCellStyle="Comma">
      <calculatedColumnFormula>D2-B2</calculatedColumnFormula>
    </tableColumn>
    <tableColumn id="5" xr3:uid="{62DAE3C5-9645-4C16-9B46-6AAC2255950F}" name="Total" dataDxfId="145" dataCellStyle="Comma">
      <calculatedColumnFormula>E2+F2</calculatedColumnFormula>
    </tableColumn>
    <tableColumn id="11" xr3:uid="{9438430B-E90D-47F3-967E-A1B8ED443565}" name="Cash" dataDxfId="144" dataCellStyle="Comma"/>
    <tableColumn id="10" xr3:uid="{ADB29A88-BE80-4E68-868A-A1764BD05785}" name="Account Transfer" dataDxfId="143" dataCellStyle="Comma"/>
    <tableColumn id="4" xr3:uid="{A3F192E8-EE30-4213-AB57-B0FD9E200D1F}" name="Expense" dataDxfId="142" dataCellStyle="Comma">
      <calculatedColumnFormula>1972+1000</calculatedColumnFormula>
    </tableColumn>
    <tableColumn id="6" xr3:uid="{E83C62A1-EC86-4271-9D2F-D8D2D65B3ECA}" name="Percentage" dataDxfId="141">
      <calculatedColumnFormula>IFERROR(B2/C2,0)</calculatedColumnFormula>
    </tableColumn>
    <tableColumn id="7" xr3:uid="{394CBDD0-D695-4282-A594-255E58DF0AD7}" name="Cash In Hand" dataDxfId="140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F9F268-5545-4499-AFE4-A73B5C5DBCDA}" name="Table234534568791112151416171819202122232425262728345678910113" displayName="Table234534568791112151416171819202122232425262728345678910113" ref="A1:I36" totalsRowShown="0" headerRowDxfId="139" dataDxfId="137" headerRowBorderDxfId="138" tableBorderDxfId="136" totalsRowBorderDxfId="135">
  <tableColumns count="9">
    <tableColumn id="1" xr3:uid="{FA042771-3627-4971-9512-156EC90A21BB}" name="Date" dataDxfId="134"/>
    <tableColumn id="2" xr3:uid="{F1B57E94-82F7-4106-B271-2ED01CC454CB}" name="Profit" dataDxfId="133" dataCellStyle="Comma">
      <calculatedColumnFormula>D2*0.3</calculatedColumnFormula>
    </tableColumn>
    <tableColumn id="3" xr3:uid="{40DF3256-B2FF-4EB3-B78E-77D084ED7B4B}" name="Actual" dataDxfId="132" dataCellStyle="Comma">
      <calculatedColumnFormula>D2-B2</calculatedColumnFormula>
    </tableColumn>
    <tableColumn id="5" xr3:uid="{9E12B05A-0492-4D92-B01C-084A9959CF99}" name="Total" dataDxfId="131" dataCellStyle="Comma">
      <calculatedColumnFormula>E2+F2</calculatedColumnFormula>
    </tableColumn>
    <tableColumn id="11" xr3:uid="{8AD7BDAA-AD80-4915-A389-E94EF610F37E}" name="Cash" dataDxfId="130" dataCellStyle="Comma"/>
    <tableColumn id="10" xr3:uid="{E8904B92-9501-4980-AD88-2FDBACD7A584}" name="Account Transfer" dataDxfId="129" dataCellStyle="Comma"/>
    <tableColumn id="4" xr3:uid="{465ECA20-E0CE-4F35-95A1-E7A3FE35FFFE}" name="Expense" dataDxfId="128" dataCellStyle="Comma"/>
    <tableColumn id="6" xr3:uid="{6C4C9804-DDC1-42F7-9BB7-DC2D83D538E7}" name="Percentage" dataDxfId="127">
      <calculatedColumnFormula>IFERROR(B2/C2,0)</calculatedColumnFormula>
    </tableColumn>
    <tableColumn id="7" xr3:uid="{586F4930-DAFA-4F2C-A9DC-A7B6D7ADF4AC}" name="Cash In Hand" dataDxfId="126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2F4AC6-15EF-4C33-A1ED-F29511205482}" name="Table2345345687911121514161718192021222324252627283456789101134" displayName="Table2345345687911121514161718192021222324252627283456789101134" ref="A1:I36" totalsRowShown="0" headerRowDxfId="125" dataDxfId="123" headerRowBorderDxfId="124" tableBorderDxfId="122" totalsRowBorderDxfId="121">
  <tableColumns count="9">
    <tableColumn id="1" xr3:uid="{09E54F17-8175-4401-AF5B-02AA77138B1E}" name="Date" dataDxfId="120"/>
    <tableColumn id="2" xr3:uid="{BB26ECC9-FFFB-49C4-95B5-ADB56D995B65}" name="Profit" dataDxfId="119" dataCellStyle="Comma">
      <calculatedColumnFormula>D2*0.3</calculatedColumnFormula>
    </tableColumn>
    <tableColumn id="3" xr3:uid="{95CA9302-1C87-4080-9E8B-1D4B3CF15663}" name="Actual" dataDxfId="118" dataCellStyle="Comma">
      <calculatedColumnFormula>D2-B2</calculatedColumnFormula>
    </tableColumn>
    <tableColumn id="5" xr3:uid="{65F32F13-8043-4B88-AA70-0F9411FB01FF}" name="Total" dataDxfId="117" dataCellStyle="Comma">
      <calculatedColumnFormula>E2+F2</calculatedColumnFormula>
    </tableColumn>
    <tableColumn id="11" xr3:uid="{CC4849F3-935D-42B2-95F4-96BD12504977}" name="Cash" dataDxfId="116" dataCellStyle="Comma"/>
    <tableColumn id="10" xr3:uid="{C0E5B79E-12D0-40E9-A7FB-B65DF089E394}" name="Account Transfer" dataDxfId="115" dataCellStyle="Comma"/>
    <tableColumn id="4" xr3:uid="{F5DAB00F-E4E2-449F-B1B2-4F84CBE09A37}" name="Expense" dataDxfId="114" dataCellStyle="Comma"/>
    <tableColumn id="6" xr3:uid="{C527CDBA-A1AA-421B-BFA0-7B24C12CD0A8}" name="Percentage" dataDxfId="113">
      <calculatedColumnFormula>IFERROR(B2/C2,0)</calculatedColumnFormula>
    </tableColumn>
    <tableColumn id="7" xr3:uid="{18FE2054-5038-4F81-ACBD-273A329F5793}" name="Cash In Hand" dataDxfId="112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724110-3AE0-47D6-BAEC-C916CB9669EB}" name="Table23453456879111215141617181920212223242526272834567891011345" displayName="Table23453456879111215141617181920212223242526272834567891011345" ref="A1:I36" totalsRowShown="0" headerRowDxfId="111" dataDxfId="109" headerRowBorderDxfId="110" tableBorderDxfId="108" totalsRowBorderDxfId="107">
  <tableColumns count="9">
    <tableColumn id="1" xr3:uid="{2D45BA7B-9326-4DC8-93FA-F492E82F3E2B}" name="Date" dataDxfId="106"/>
    <tableColumn id="2" xr3:uid="{9E1D8004-8006-4AE5-8C7A-FF6C3EA8C31B}" name="Profit" dataDxfId="105" dataCellStyle="Comma">
      <calculatedColumnFormula>D2*0.3</calculatedColumnFormula>
    </tableColumn>
    <tableColumn id="3" xr3:uid="{B656029F-1572-4BA3-93A0-D113B1A25D10}" name="Actual" dataDxfId="104" dataCellStyle="Comma">
      <calculatedColumnFormula>D2-B2</calculatedColumnFormula>
    </tableColumn>
    <tableColumn id="5" xr3:uid="{7E6C6D7B-6FFE-42EF-AB59-032EA9F06B72}" name="Total" dataDxfId="103" dataCellStyle="Comma">
      <calculatedColumnFormula>E2+F2</calculatedColumnFormula>
    </tableColumn>
    <tableColumn id="11" xr3:uid="{DE2469C7-D136-4B01-A498-95403714A603}" name="Cash" dataDxfId="102" dataCellStyle="Comma"/>
    <tableColumn id="10" xr3:uid="{9CA12C5C-3ACC-46AA-B878-C1B79BEE1AAF}" name="Account Transfer" dataDxfId="101" dataCellStyle="Comma"/>
    <tableColumn id="4" xr3:uid="{02703022-A992-48BD-A572-756139C8F009}" name="Expense" dataDxfId="100" dataCellStyle="Comma"/>
    <tableColumn id="6" xr3:uid="{78022C42-7464-41B0-AC3B-C7BE1A2528EE}" name="Percentage" dataDxfId="99">
      <calculatedColumnFormula>IFERROR(B2/C2,0)</calculatedColumnFormula>
    </tableColumn>
    <tableColumn id="7" xr3:uid="{9AFF44FF-CE6D-4015-B17A-47BAEC4A271E}" name="Cash In Hand" dataDxfId="98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749E25-ECA0-4FD0-83ED-5B53D82A6D4D}" name="Table234534568791112151416171819202122232425262728345678910113456" displayName="Table234534568791112151416171819202122232425262728345678910113456" ref="A1:I36" totalsRowShown="0" headerRowDxfId="97" dataDxfId="95" headerRowBorderDxfId="96" tableBorderDxfId="94" totalsRowBorderDxfId="93">
  <tableColumns count="9">
    <tableColumn id="1" xr3:uid="{A355DB8E-F63E-4281-A668-00AF63AFA8AA}" name="Date" dataDxfId="92"/>
    <tableColumn id="2" xr3:uid="{4B5CDBA8-5769-4048-82A3-0DE641B9551A}" name="Profit" dataDxfId="91" dataCellStyle="Comma">
      <calculatedColumnFormula>D2*0.3</calculatedColumnFormula>
    </tableColumn>
    <tableColumn id="3" xr3:uid="{FE35EE80-A9D2-410D-800D-52453F711A86}" name="Actual" dataDxfId="90" dataCellStyle="Comma">
      <calculatedColumnFormula>D2-B2</calculatedColumnFormula>
    </tableColumn>
    <tableColumn id="5" xr3:uid="{1F995F9F-676A-46F2-90EA-6E7E2E0C1102}" name="Total" dataDxfId="89" dataCellStyle="Comma">
      <calculatedColumnFormula>E2+F2</calculatedColumnFormula>
    </tableColumn>
    <tableColumn id="11" xr3:uid="{4F6543EA-D102-44E4-90F2-B9EA2D30EC48}" name="Cash" dataDxfId="88" dataCellStyle="Comma"/>
    <tableColumn id="10" xr3:uid="{E857624E-BF01-4E83-BB7C-C963DD9BAA32}" name="Account Transfer" dataDxfId="87" dataCellStyle="Comma"/>
    <tableColumn id="4" xr3:uid="{63EBFA6A-7BBB-43BD-BB8A-04C27D12952D}" name="Expense" dataDxfId="86" dataCellStyle="Comma"/>
    <tableColumn id="6" xr3:uid="{6791AC49-3F80-4A84-8FE7-C019E2C771AC}" name="Percentage" dataDxfId="85">
      <calculatedColumnFormula>IFERROR(B2/C2,0)</calculatedColumnFormula>
    </tableColumn>
    <tableColumn id="7" xr3:uid="{4402871D-B578-472E-9A06-F990C0774474}" name="Cash In Hand" dataDxfId="84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DEC606-E327-47C6-BF18-7F919623B0E4}" name="Table2345345687911121514161718192021222324252627283456789101134567" displayName="Table2345345687911121514161718192021222324252627283456789101134567" ref="A1:I36" totalsRowShown="0" headerRowDxfId="83" dataDxfId="81" headerRowBorderDxfId="82" tableBorderDxfId="80" totalsRowBorderDxfId="79">
  <tableColumns count="9">
    <tableColumn id="1" xr3:uid="{8ABA7441-9784-4E43-8085-2F46DC81FFDC}" name="Date" dataDxfId="78"/>
    <tableColumn id="2" xr3:uid="{58554656-4818-4D4F-B118-CD86BD51837E}" name="Profit" dataDxfId="77" dataCellStyle="Comma">
      <calculatedColumnFormula>D2*0.3</calculatedColumnFormula>
    </tableColumn>
    <tableColumn id="3" xr3:uid="{95278BE5-378C-4A28-AC56-F5F7A76ACBE4}" name="Actual" dataDxfId="76" dataCellStyle="Comma">
      <calculatedColumnFormula>D2-B2</calculatedColumnFormula>
    </tableColumn>
    <tableColumn id="5" xr3:uid="{5B4F190E-5AE4-4142-8DF0-A2E0A6389709}" name="Total" dataDxfId="75" dataCellStyle="Comma">
      <calculatedColumnFormula>E2+F2</calculatedColumnFormula>
    </tableColumn>
    <tableColumn id="11" xr3:uid="{9C6C8AF8-0996-4960-A012-7D5798BA4907}" name="Cash" dataDxfId="74" dataCellStyle="Comma"/>
    <tableColumn id="10" xr3:uid="{81A49123-0DD9-4295-88B9-32F4E5682A50}" name="Account Transfer" dataDxfId="73" dataCellStyle="Comma"/>
    <tableColumn id="4" xr3:uid="{FC8E5DAC-6ECE-4987-99DF-715A13F1190A}" name="Expense" dataDxfId="72" dataCellStyle="Comma"/>
    <tableColumn id="6" xr3:uid="{5778FE52-3011-4266-9AC6-82066143CC30}" name="Percentage" dataDxfId="71">
      <calculatedColumnFormula>IFERROR(B2/C2,0)</calculatedColumnFormula>
    </tableColumn>
    <tableColumn id="7" xr3:uid="{53674702-860E-4481-843F-F78CDD7316B3}" name="Cash In Hand" dataDxfId="70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A218DD-7C6E-4000-B681-49DFEDE36737}" name="Table23453456879111215141617181920212223242526272834567891011345678" displayName="Table23453456879111215141617181920212223242526272834567891011345678" ref="A1:I36" totalsRowShown="0" headerRowDxfId="69" dataDxfId="67" headerRowBorderDxfId="68" tableBorderDxfId="66" totalsRowBorderDxfId="65">
  <tableColumns count="9">
    <tableColumn id="1" xr3:uid="{7C80E029-4B44-4335-AA89-87BFD90A0A42}" name="Date" dataDxfId="64"/>
    <tableColumn id="2" xr3:uid="{BE0FF635-6B86-4B5C-A0E3-6CFC1D49B734}" name="Profit" dataDxfId="63" dataCellStyle="Comma">
      <calculatedColumnFormula>D2*0.3</calculatedColumnFormula>
    </tableColumn>
    <tableColumn id="3" xr3:uid="{B04EEB45-065F-4C3B-A782-B30A21AD1EB7}" name="Actual" dataDxfId="62" dataCellStyle="Comma">
      <calculatedColumnFormula>D2-B2</calculatedColumnFormula>
    </tableColumn>
    <tableColumn id="5" xr3:uid="{66E7951F-653C-42BE-BC8E-5CAEB72FE003}" name="Total" dataDxfId="61" dataCellStyle="Comma">
      <calculatedColumnFormula>E2+F2</calculatedColumnFormula>
    </tableColumn>
    <tableColumn id="11" xr3:uid="{9BF47EAB-A10B-409F-8707-DD0AE8CA23F7}" name="Cash" dataDxfId="60" dataCellStyle="Comma"/>
    <tableColumn id="10" xr3:uid="{B5C71BC3-9683-4CE2-9E04-BBF0D3845DA9}" name="Account Transfer" dataDxfId="59" dataCellStyle="Comma"/>
    <tableColumn id="4" xr3:uid="{D0255530-BC36-4817-B695-0FCAA8C3A69E}" name="Expense" dataDxfId="58" dataCellStyle="Comma"/>
    <tableColumn id="6" xr3:uid="{92248C55-E232-4D80-8570-F4D24BAE1431}" name="Percentage" dataDxfId="57">
      <calculatedColumnFormula>IFERROR(B2/C2,0)</calculatedColumnFormula>
    </tableColumn>
    <tableColumn id="7" xr3:uid="{A51884D0-936F-4E99-991D-F6640EF58663}" name="Cash In Hand" dataDxfId="56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0CC4F3-DDA7-465C-A338-32A452E4F6A7}" name="Table234534568791112151416171819202122232425262728345678910113456789" displayName="Table234534568791112151416171819202122232425262728345678910113456789" ref="A1:I29" totalsRowShown="0" headerRowDxfId="55" dataDxfId="53" headerRowBorderDxfId="54" tableBorderDxfId="52" totalsRowBorderDxfId="51">
  <tableColumns count="9">
    <tableColumn id="1" xr3:uid="{6E1F408E-CCE7-4FC4-9404-1F9450F5F3E4}" name="Date" dataDxfId="50"/>
    <tableColumn id="2" xr3:uid="{2F953E35-484A-49DF-B516-2DB75D7BD257}" name="Profit" dataDxfId="49" dataCellStyle="Comma">
      <calculatedColumnFormula>D2*0.3</calculatedColumnFormula>
    </tableColumn>
    <tableColumn id="3" xr3:uid="{551712B2-77D9-4A48-A5B7-5C52646D4FF8}" name="Actual" dataDxfId="48" dataCellStyle="Comma">
      <calculatedColumnFormula>D2-B2</calculatedColumnFormula>
    </tableColumn>
    <tableColumn id="5" xr3:uid="{F9491165-1C35-4473-A13A-320E68CA35EE}" name="Total" dataDxfId="47" dataCellStyle="Comma">
      <calculatedColumnFormula>E2+F2</calculatedColumnFormula>
    </tableColumn>
    <tableColumn id="11" xr3:uid="{2AADFBE9-601C-41CA-8908-49E61C0212D2}" name="Cash" dataDxfId="46" dataCellStyle="Comma"/>
    <tableColumn id="10" xr3:uid="{2A10A8F9-A176-47F6-9BD9-ACDFBDBADE28}" name="Account Transfer" dataDxfId="45" dataCellStyle="Comma"/>
    <tableColumn id="4" xr3:uid="{9901A923-9100-47CE-A753-97186F36F16E}" name="Expense" dataDxfId="44" dataCellStyle="Comma"/>
    <tableColumn id="6" xr3:uid="{FFA209BC-ABEF-485F-BF63-A63BBADA3469}" name="Percentage" dataDxfId="43">
      <calculatedColumnFormula>IFERROR(B2/C2,0)</calculatedColumnFormula>
    </tableColumn>
    <tableColumn id="7" xr3:uid="{77F3B8A8-B96F-404D-B079-F10E0153E535}" name="Cash In Hand" dataDxfId="42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7BDCCD-BD97-4BFE-AE63-9B14CD9A5019}" name="Table23453456879111215141617181920212223242526272834567891011345678910" displayName="Table23453456879111215141617181920212223242526272834567891011345678910" ref="A1:I29" totalsRowShown="0" headerRowDxfId="41" dataDxfId="39" headerRowBorderDxfId="40" tableBorderDxfId="38" totalsRowBorderDxfId="37">
  <tableColumns count="9">
    <tableColumn id="1" xr3:uid="{C99E35F0-66C6-4580-A583-5F655C02BDB5}" name="Date" dataDxfId="36"/>
    <tableColumn id="2" xr3:uid="{CB62B210-22DF-4C9E-B4C0-4B292FAFD6D4}" name="Profit" dataDxfId="35" dataCellStyle="Comma">
      <calculatedColumnFormula>D2*0.3</calculatedColumnFormula>
    </tableColumn>
    <tableColumn id="3" xr3:uid="{3E8DDC6A-3166-4EA1-8D9A-3F46BC7690B1}" name="Actual" dataDxfId="34" dataCellStyle="Comma">
      <calculatedColumnFormula>D2-B2</calculatedColumnFormula>
    </tableColumn>
    <tableColumn id="5" xr3:uid="{1D60AD6D-7D12-4A01-9FB3-50998B1E40E9}" name="Total" dataDxfId="33" dataCellStyle="Comma">
      <calculatedColumnFormula>E2+F2</calculatedColumnFormula>
    </tableColumn>
    <tableColumn id="11" xr3:uid="{D76CDF70-6184-455F-ABB4-BFE22B5CD929}" name="Cash" dataDxfId="32" dataCellStyle="Comma"/>
    <tableColumn id="10" xr3:uid="{15D8EA88-625B-4973-8863-403985414D10}" name="Account Transfer" dataDxfId="31" dataCellStyle="Comma"/>
    <tableColumn id="4" xr3:uid="{F395167E-CD6F-4F28-9DB5-ABC43D27399D}" name="Expense" dataDxfId="30" dataCellStyle="Comma"/>
    <tableColumn id="6" xr3:uid="{F170D0C8-426E-409E-9940-EEAE55E0F49E}" name="Percentage" dataDxfId="29">
      <calculatedColumnFormula>IFERROR(B2/C2,0)</calculatedColumnFormula>
    </tableColumn>
    <tableColumn id="7" xr3:uid="{C89E305C-FFCD-4608-81F7-8FFB0B8E78E9}" name="Cash In Hand" dataDxfId="28">
      <calculatedColumnFormula>Table23453456879111215141617181920212223242526272834567891011345678910[[#This Row],[Cash]]-Table23453456879111215141617181920212223242526272834567891011345678910[[#This Row],[Expense]]</calculatedColumnFormula>
    </tableColumn>
  </tableColumns>
  <tableStyleInfo name="TableStyleDark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E664E0-F91E-4D96-A8E3-3F1257A2802F}" name="Table2345345687911121514161718192021222324252627283456789101134567891011" displayName="Table2345345687911121514161718192021222324252627283456789101134567891011" ref="A1:I36" totalsRowShown="0" headerRowDxfId="27" dataDxfId="25" headerRowBorderDxfId="26" tableBorderDxfId="24" totalsRowBorderDxfId="23">
  <tableColumns count="9">
    <tableColumn id="1" xr3:uid="{E7864EEA-5EC0-498E-AA00-33A2AD01E3BE}" name="Date" dataDxfId="22"/>
    <tableColumn id="2" xr3:uid="{A2F5D665-42D2-4888-AB45-3868307054FE}" name="Profit" dataDxfId="21" dataCellStyle="Comma">
      <calculatedColumnFormula>D2*0.3</calculatedColumnFormula>
    </tableColumn>
    <tableColumn id="3" xr3:uid="{0FAC196D-D096-4A44-9D31-09729E56E0C8}" name="Actual" dataDxfId="20" dataCellStyle="Comma">
      <calculatedColumnFormula>D2-B2</calculatedColumnFormula>
    </tableColumn>
    <tableColumn id="5" xr3:uid="{71CC168F-6523-4D92-BC72-5FA471ECB23E}" name="Total" dataDxfId="19" dataCellStyle="Comma">
      <calculatedColumnFormula>E2+F2+Table2345345687911121514161718192021222324252627283456789101134567891011[[#This Row],[Expense]]</calculatedColumnFormula>
    </tableColumn>
    <tableColumn id="11" xr3:uid="{F84AE5C5-5C8E-4608-8606-5548196769A5}" name="Cash" dataDxfId="18" dataCellStyle="Comma"/>
    <tableColumn id="10" xr3:uid="{0F88B453-98B9-4709-BE7C-136D5E51ED91}" name="Account Transfer" dataDxfId="17" dataCellStyle="Comma"/>
    <tableColumn id="4" xr3:uid="{C3E1AFBE-E6DF-4D68-90B0-B69A91F96FFE}" name="Expense" dataDxfId="16" dataCellStyle="Comma"/>
    <tableColumn id="6" xr3:uid="{CA2BA718-8B54-467F-832A-58CFD6F0A68E}" name="Percentage" dataDxfId="15">
      <calculatedColumnFormula>IFERROR(B2/C2,0)</calculatedColumnFormula>
    </tableColumn>
    <tableColumn id="7" xr3:uid="{1CF18A0D-B48D-4345-8A8C-07B46E5B1EA3}" name="5000" dataDxfId="14">
      <calculatedColumnFormula>I1+Table2345345687911121514161718192021222324252627283456789101134567891011[[#This Row],[Cash]]-Table2345345687911121514161718192021222324252627283456789101134567891011[[#This Row],[Expense]]</calculatedColumnFormula>
    </tableColumn>
  </tableColumns>
  <tableStyleInfo name="TableStyleDark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3DD362-38FC-437F-B134-FB8857A91B68}" name="Table234534568791112151416171819202122232425262728345678910113456789101112" displayName="Table234534568791112151416171819202122232425262728345678910113456789101112" ref="A1:I29" totalsRowShown="0" headerRowDxfId="13" dataDxfId="11" headerRowBorderDxfId="12" tableBorderDxfId="10" totalsRowBorderDxfId="9">
  <tableColumns count="9">
    <tableColumn id="1" xr3:uid="{85E51C8D-A12F-432E-87AE-73FC390C69F1}" name="Date" dataDxfId="8"/>
    <tableColumn id="2" xr3:uid="{EEBAFD6D-1B61-4186-B63B-1862EFAE6E3E}" name="Profit" dataDxfId="7" dataCellStyle="Comma">
      <calculatedColumnFormula>D2*0.3</calculatedColumnFormula>
    </tableColumn>
    <tableColumn id="3" xr3:uid="{A96C218A-F376-44B3-81D1-CAC1FCAD9EED}" name="Actual" dataDxfId="6" dataCellStyle="Comma">
      <calculatedColumnFormula>D2-B2</calculatedColumnFormula>
    </tableColumn>
    <tableColumn id="5" xr3:uid="{E4489FEF-88D1-42C3-AC3F-EEA9B1C8AA26}" name="Total" dataDxfId="5" dataCellStyle="Comma">
      <calculatedColumnFormula>E2+F2</calculatedColumnFormula>
    </tableColumn>
    <tableColumn id="11" xr3:uid="{5E8C4F78-48E7-488B-89F5-BD850F285904}" name="Cash" dataDxfId="4" dataCellStyle="Comma"/>
    <tableColumn id="10" xr3:uid="{D7B2E36A-3683-42D9-8959-EF571846D2D9}" name="Account Transfer" dataDxfId="3" dataCellStyle="Comma"/>
    <tableColumn id="4" xr3:uid="{8A26AF9B-1361-46EE-A405-D10646C4CA77}" name="Expense" dataDxfId="2" dataCellStyle="Comma"/>
    <tableColumn id="6" xr3:uid="{B9DCE033-3267-45D7-B38B-195748C5BB33}" name="Percentage" dataDxfId="1">
      <calculatedColumnFormula>IFERROR(B2/C2,0)</calculatedColumnFormula>
    </tableColumn>
    <tableColumn id="7" xr3:uid="{2BFC4380-E490-47D6-AD1B-43DFCEFEEE3B}" name="5000" dataDxfId="0">
      <calculatedColumnFormula>I1+Table234534568791112151416171819202122232425262728345678910113456789101112[[#This Row],[Cash]]-Table234534568791112151416171819202122232425262728345678910113456789101112[[#This Row],[Expense]]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109C-7B35-42A1-B3F3-1467FC45E33D}">
  <dimension ref="A1:Q60"/>
  <sheetViews>
    <sheetView zoomScale="90" zoomScaleNormal="90" workbookViewId="0">
      <pane ySplit="1" topLeftCell="A32" activePane="bottomLeft" state="frozen"/>
      <selection pane="bottomLeft" activeCell="D45" sqref="D45"/>
    </sheetView>
  </sheetViews>
  <sheetFormatPr defaultColWidth="26" defaultRowHeight="14.5" x14ac:dyDescent="0.35"/>
  <cols>
    <col min="1" max="1" width="29.54296875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7.54296875" bestFit="1" customWidth="1"/>
    <col min="12" max="15" width="10" bestFit="1" customWidth="1"/>
    <col min="16" max="16" width="16.453125" bestFit="1" customWidth="1"/>
    <col min="17" max="17" width="9" bestFit="1" customWidth="1"/>
  </cols>
  <sheetData>
    <row r="1" spans="1:17" s="6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K1" s="7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5">
      <c r="A2" s="9">
        <v>45292</v>
      </c>
      <c r="B2" s="10">
        <f t="shared" ref="B2:B36" si="0">D2*0.3</f>
        <v>1873.5</v>
      </c>
      <c r="C2" s="10">
        <f t="shared" ref="C2:C36" si="1">D2-B2</f>
        <v>4371.5</v>
      </c>
      <c r="D2" s="10">
        <f t="shared" ref="D2:D36" si="2">E2+F2</f>
        <v>6245</v>
      </c>
      <c r="E2" s="10">
        <v>2070</v>
      </c>
      <c r="F2" s="10">
        <v>4175</v>
      </c>
      <c r="G2" s="10">
        <f t="shared" ref="G2" si="3">1972+1000</f>
        <v>2972</v>
      </c>
      <c r="H2" s="11">
        <f t="shared" ref="H2:H36" si="4">IFERROR(B2/C2,0)</f>
        <v>0.42857142857142855</v>
      </c>
      <c r="I2" s="12">
        <f>SUM($D$2:D2)-SUM($G$2:G2)</f>
        <v>3273</v>
      </c>
      <c r="K2" s="13" t="s">
        <v>9</v>
      </c>
      <c r="L2" s="14"/>
      <c r="M2" s="14"/>
      <c r="N2" s="14"/>
      <c r="O2" s="14"/>
      <c r="P2" s="14"/>
      <c r="Q2" s="14">
        <v>0</v>
      </c>
    </row>
    <row r="3" spans="1:17" x14ac:dyDescent="0.35">
      <c r="A3" s="9">
        <v>45293</v>
      </c>
      <c r="B3" s="10">
        <f t="shared" si="0"/>
        <v>7371.5999999999995</v>
      </c>
      <c r="C3" s="10">
        <f t="shared" si="1"/>
        <v>17200.400000000001</v>
      </c>
      <c r="D3" s="10">
        <f t="shared" si="2"/>
        <v>24572</v>
      </c>
      <c r="E3" s="10">
        <v>9010</v>
      </c>
      <c r="F3" s="10">
        <v>15562</v>
      </c>
      <c r="G3" s="10">
        <v>490</v>
      </c>
      <c r="H3" s="11">
        <f t="shared" si="4"/>
        <v>0.42857142857142849</v>
      </c>
      <c r="I3" s="12">
        <f>SUM($D$2:D3)-SUM($G$2:G3)</f>
        <v>27355</v>
      </c>
      <c r="K3" s="15">
        <f t="shared" ref="K3:K9" si="5">A2</f>
        <v>45292</v>
      </c>
      <c r="L3" s="16">
        <f>N3*0.3</f>
        <v>1873.5</v>
      </c>
      <c r="M3" s="16">
        <f t="shared" ref="M3:M9" si="6">N3-L3</f>
        <v>4371.5</v>
      </c>
      <c r="N3" s="16">
        <f t="shared" ref="N3:N9" si="7">O3+P3</f>
        <v>6245</v>
      </c>
      <c r="O3" s="16">
        <f t="shared" ref="O3:O9" si="8">VLOOKUP(K3,$A$1:$H$37,5,0)</f>
        <v>2070</v>
      </c>
      <c r="P3" s="16">
        <f t="shared" ref="P3:P9" si="9">VLOOKUP(K3,$A$1:$H$37,6,0)</f>
        <v>4175</v>
      </c>
      <c r="Q3" s="16">
        <f t="shared" ref="Q3:Q9" si="10">VLOOKUP(K3,$A$1:$H$37,7,0)</f>
        <v>2972</v>
      </c>
    </row>
    <row r="4" spans="1:17" x14ac:dyDescent="0.35">
      <c r="A4" s="9">
        <v>45294</v>
      </c>
      <c r="B4" s="10">
        <f t="shared" si="0"/>
        <v>9216</v>
      </c>
      <c r="C4" s="10">
        <f t="shared" si="1"/>
        <v>21504</v>
      </c>
      <c r="D4" s="10">
        <f t="shared" si="2"/>
        <v>30720</v>
      </c>
      <c r="E4" s="17">
        <f>3700+900</f>
        <v>4600</v>
      </c>
      <c r="F4" s="17">
        <v>26120</v>
      </c>
      <c r="G4" s="17">
        <v>800</v>
      </c>
      <c r="H4" s="11">
        <f t="shared" si="4"/>
        <v>0.42857142857142855</v>
      </c>
      <c r="I4" s="12">
        <f>SUM($D$2:D4)-SUM($G$2:G4)</f>
        <v>57275</v>
      </c>
      <c r="K4" s="13">
        <f t="shared" si="5"/>
        <v>45293</v>
      </c>
      <c r="L4" s="14">
        <f>N4*0.3</f>
        <v>7371.5999999999995</v>
      </c>
      <c r="M4" s="14">
        <f t="shared" si="6"/>
        <v>17200.400000000001</v>
      </c>
      <c r="N4" s="14">
        <f t="shared" si="7"/>
        <v>24572</v>
      </c>
      <c r="O4" s="14">
        <f t="shared" si="8"/>
        <v>9010</v>
      </c>
      <c r="P4" s="14">
        <f t="shared" si="9"/>
        <v>15562</v>
      </c>
      <c r="Q4" s="14">
        <f t="shared" si="10"/>
        <v>490</v>
      </c>
    </row>
    <row r="5" spans="1:17" x14ac:dyDescent="0.35">
      <c r="A5" s="9">
        <v>45295</v>
      </c>
      <c r="B5" s="10">
        <f t="shared" si="0"/>
        <v>8559</v>
      </c>
      <c r="C5" s="10">
        <f t="shared" si="1"/>
        <v>19971</v>
      </c>
      <c r="D5" s="10">
        <f t="shared" si="2"/>
        <v>28530</v>
      </c>
      <c r="E5" s="10">
        <v>3486</v>
      </c>
      <c r="F5" s="10">
        <v>25044</v>
      </c>
      <c r="G5" s="10">
        <v>870</v>
      </c>
      <c r="H5" s="11">
        <f t="shared" si="4"/>
        <v>0.42857142857142855</v>
      </c>
      <c r="I5" s="12">
        <f>SUM($D$2:D5)-SUM($G$2:G5)</f>
        <v>84935</v>
      </c>
      <c r="K5" s="15">
        <f t="shared" si="5"/>
        <v>45294</v>
      </c>
      <c r="L5" s="16">
        <f t="shared" ref="L5:L9" si="11">N5*0.3</f>
        <v>9216</v>
      </c>
      <c r="M5" s="16">
        <f t="shared" si="6"/>
        <v>21504</v>
      </c>
      <c r="N5" s="16">
        <f t="shared" si="7"/>
        <v>30720</v>
      </c>
      <c r="O5" s="16">
        <f t="shared" si="8"/>
        <v>4600</v>
      </c>
      <c r="P5" s="16">
        <f t="shared" si="9"/>
        <v>26120</v>
      </c>
      <c r="Q5" s="16">
        <f t="shared" si="10"/>
        <v>800</v>
      </c>
    </row>
    <row r="6" spans="1:17" x14ac:dyDescent="0.35">
      <c r="A6" s="9">
        <v>45296</v>
      </c>
      <c r="B6" s="10">
        <f t="shared" si="0"/>
        <v>9162</v>
      </c>
      <c r="C6" s="10">
        <f t="shared" si="1"/>
        <v>21378</v>
      </c>
      <c r="D6" s="10">
        <f t="shared" si="2"/>
        <v>30540</v>
      </c>
      <c r="E6" s="10">
        <v>3450</v>
      </c>
      <c r="F6" s="10">
        <v>27090</v>
      </c>
      <c r="G6" s="10">
        <v>7270</v>
      </c>
      <c r="H6" s="11">
        <f t="shared" si="4"/>
        <v>0.42857142857142855</v>
      </c>
      <c r="I6" s="12">
        <f>SUM($D$2:D6)-SUM($G$2:G6)</f>
        <v>108205</v>
      </c>
      <c r="K6" s="13">
        <f t="shared" si="5"/>
        <v>45295</v>
      </c>
      <c r="L6" s="14">
        <f t="shared" si="11"/>
        <v>8559</v>
      </c>
      <c r="M6" s="14">
        <f t="shared" si="6"/>
        <v>19971</v>
      </c>
      <c r="N6" s="14">
        <f t="shared" si="7"/>
        <v>28530</v>
      </c>
      <c r="O6" s="14">
        <f t="shared" si="8"/>
        <v>3486</v>
      </c>
      <c r="P6" s="14">
        <f t="shared" si="9"/>
        <v>25044</v>
      </c>
      <c r="Q6" s="14">
        <f t="shared" si="10"/>
        <v>870</v>
      </c>
    </row>
    <row r="7" spans="1:17" x14ac:dyDescent="0.35">
      <c r="A7" s="9">
        <v>45297</v>
      </c>
      <c r="B7" s="10">
        <f t="shared" si="0"/>
        <v>8489.1</v>
      </c>
      <c r="C7" s="10">
        <f t="shared" si="1"/>
        <v>19807.900000000001</v>
      </c>
      <c r="D7" s="10">
        <f t="shared" si="2"/>
        <v>28297</v>
      </c>
      <c r="E7" s="17">
        <v>9430</v>
      </c>
      <c r="F7" s="17">
        <f>4910+13957</f>
        <v>18867</v>
      </c>
      <c r="G7" s="17">
        <v>2591</v>
      </c>
      <c r="H7" s="11">
        <f t="shared" si="4"/>
        <v>0.42857142857142855</v>
      </c>
      <c r="I7" s="12">
        <f>SUM($D$2:D7)-SUM($G$2:G7)</f>
        <v>133911</v>
      </c>
      <c r="K7" s="15">
        <f t="shared" si="5"/>
        <v>45296</v>
      </c>
      <c r="L7" s="16">
        <f t="shared" si="11"/>
        <v>9162</v>
      </c>
      <c r="M7" s="16">
        <f t="shared" si="6"/>
        <v>21378</v>
      </c>
      <c r="N7" s="16">
        <f t="shared" si="7"/>
        <v>30540</v>
      </c>
      <c r="O7" s="16">
        <f t="shared" si="8"/>
        <v>3450</v>
      </c>
      <c r="P7" s="16">
        <f t="shared" si="9"/>
        <v>27090</v>
      </c>
      <c r="Q7" s="16">
        <f t="shared" si="10"/>
        <v>7270</v>
      </c>
    </row>
    <row r="8" spans="1:17" x14ac:dyDescent="0.35">
      <c r="A8" s="9">
        <v>45298</v>
      </c>
      <c r="B8" s="10">
        <f t="shared" si="0"/>
        <v>7779</v>
      </c>
      <c r="C8" s="10">
        <f t="shared" si="1"/>
        <v>18151</v>
      </c>
      <c r="D8" s="10">
        <f t="shared" si="2"/>
        <v>25930</v>
      </c>
      <c r="E8" s="17">
        <v>10730</v>
      </c>
      <c r="F8" s="17">
        <v>15200</v>
      </c>
      <c r="G8" s="17">
        <v>6190</v>
      </c>
      <c r="H8" s="11">
        <f t="shared" si="4"/>
        <v>0.42857142857142855</v>
      </c>
      <c r="I8" s="12">
        <f>SUM($D$2:D8)-SUM($G$2:G8)</f>
        <v>153651</v>
      </c>
      <c r="K8" s="13">
        <f t="shared" si="5"/>
        <v>45297</v>
      </c>
      <c r="L8" s="14">
        <f t="shared" si="11"/>
        <v>8489.1</v>
      </c>
      <c r="M8" s="14">
        <f t="shared" si="6"/>
        <v>19807.900000000001</v>
      </c>
      <c r="N8" s="14">
        <f t="shared" si="7"/>
        <v>28297</v>
      </c>
      <c r="O8" s="14">
        <f t="shared" si="8"/>
        <v>9430</v>
      </c>
      <c r="P8" s="14">
        <f t="shared" si="9"/>
        <v>18867</v>
      </c>
      <c r="Q8" s="14">
        <f t="shared" si="10"/>
        <v>2591</v>
      </c>
    </row>
    <row r="9" spans="1:17" x14ac:dyDescent="0.35">
      <c r="A9" s="9">
        <v>45299</v>
      </c>
      <c r="B9" s="10">
        <f t="shared" si="0"/>
        <v>5139</v>
      </c>
      <c r="C9" s="10">
        <f t="shared" si="1"/>
        <v>11991</v>
      </c>
      <c r="D9" s="10">
        <f t="shared" si="2"/>
        <v>17130</v>
      </c>
      <c r="E9" s="10">
        <v>5180</v>
      </c>
      <c r="F9" s="10">
        <v>11950</v>
      </c>
      <c r="G9" s="10">
        <v>1280</v>
      </c>
      <c r="H9" s="11">
        <f t="shared" si="4"/>
        <v>0.42857142857142855</v>
      </c>
      <c r="I9" s="12">
        <f>SUM($D$2:D9)-SUM($G$2:G9)</f>
        <v>169501</v>
      </c>
      <c r="K9" s="15">
        <f t="shared" si="5"/>
        <v>45298</v>
      </c>
      <c r="L9" s="16">
        <f t="shared" si="11"/>
        <v>7779</v>
      </c>
      <c r="M9" s="16">
        <f t="shared" si="6"/>
        <v>18151</v>
      </c>
      <c r="N9" s="16">
        <f t="shared" si="7"/>
        <v>25930</v>
      </c>
      <c r="O9" s="16">
        <f t="shared" si="8"/>
        <v>10730</v>
      </c>
      <c r="P9" s="16">
        <f t="shared" si="9"/>
        <v>15200</v>
      </c>
      <c r="Q9" s="16">
        <f t="shared" si="10"/>
        <v>6190</v>
      </c>
    </row>
    <row r="10" spans="1:17" x14ac:dyDescent="0.35">
      <c r="A10" s="9">
        <v>45300</v>
      </c>
      <c r="B10" s="10">
        <f t="shared" si="0"/>
        <v>2841</v>
      </c>
      <c r="C10" s="10">
        <f t="shared" si="1"/>
        <v>6629</v>
      </c>
      <c r="D10" s="10">
        <f t="shared" si="2"/>
        <v>9470</v>
      </c>
      <c r="E10" s="10">
        <v>6250</v>
      </c>
      <c r="F10" s="10">
        <v>3220</v>
      </c>
      <c r="G10" s="10">
        <v>2950</v>
      </c>
      <c r="H10" s="11">
        <f t="shared" si="4"/>
        <v>0.42857142857142855</v>
      </c>
      <c r="I10" s="12">
        <f>SUM($D$2:D10)-SUM($G$2:G10)</f>
        <v>176021</v>
      </c>
      <c r="K10" s="18" t="s">
        <v>3</v>
      </c>
      <c r="L10" s="18">
        <f>SUM(L3:L9)</f>
        <v>52450.2</v>
      </c>
      <c r="M10" s="18">
        <f>SUM(M2:M9)</f>
        <v>122383.79999999999</v>
      </c>
      <c r="N10" s="18">
        <f>SUM(N2:N9)</f>
        <v>174834</v>
      </c>
      <c r="O10" s="18">
        <f>SUM(O2:O9)</f>
        <v>42776</v>
      </c>
      <c r="P10" s="18">
        <f>SUM(P2:P9)</f>
        <v>132058</v>
      </c>
      <c r="Q10" s="18">
        <f>SUM(Q2:Q9)</f>
        <v>21183</v>
      </c>
    </row>
    <row r="11" spans="1:17" x14ac:dyDescent="0.35">
      <c r="A11" s="9">
        <v>45301</v>
      </c>
      <c r="B11" s="10">
        <f t="shared" si="0"/>
        <v>6060</v>
      </c>
      <c r="C11" s="10">
        <f t="shared" si="1"/>
        <v>14140</v>
      </c>
      <c r="D11" s="10">
        <f t="shared" si="2"/>
        <v>20200</v>
      </c>
      <c r="E11" s="10">
        <v>3900</v>
      </c>
      <c r="F11" s="10">
        <v>16300</v>
      </c>
      <c r="G11" s="10">
        <v>840</v>
      </c>
      <c r="H11" s="11">
        <f t="shared" si="4"/>
        <v>0.42857142857142855</v>
      </c>
      <c r="I11" s="12">
        <f>SUM($D$2:D11)-SUM($G$2:G11)</f>
        <v>195381</v>
      </c>
      <c r="K11" s="18" t="s">
        <v>10</v>
      </c>
      <c r="L11" s="18">
        <f>L10/3</f>
        <v>17483.399999999998</v>
      </c>
      <c r="M11" s="18"/>
      <c r="N11" s="18"/>
      <c r="O11" s="16"/>
      <c r="P11" s="16"/>
      <c r="Q11" s="16"/>
    </row>
    <row r="12" spans="1:17" x14ac:dyDescent="0.35">
      <c r="A12" s="9">
        <v>45302</v>
      </c>
      <c r="B12" s="10">
        <f t="shared" si="0"/>
        <v>8586</v>
      </c>
      <c r="C12" s="10">
        <f t="shared" si="1"/>
        <v>20034</v>
      </c>
      <c r="D12" s="10">
        <f t="shared" si="2"/>
        <v>28620</v>
      </c>
      <c r="E12" s="10">
        <v>2500</v>
      </c>
      <c r="F12" s="10">
        <v>26120</v>
      </c>
      <c r="G12" s="10">
        <v>600</v>
      </c>
      <c r="H12" s="11">
        <f t="shared" si="4"/>
        <v>0.42857142857142855</v>
      </c>
      <c r="I12" s="12">
        <f>SUM($D$2:D12)-SUM($G$2:G12)</f>
        <v>223401</v>
      </c>
    </row>
    <row r="13" spans="1:17" x14ac:dyDescent="0.35">
      <c r="A13" s="9">
        <v>45303</v>
      </c>
      <c r="B13" s="10">
        <f t="shared" si="0"/>
        <v>5574.9</v>
      </c>
      <c r="C13" s="10">
        <f t="shared" si="1"/>
        <v>13008.1</v>
      </c>
      <c r="D13" s="10">
        <f t="shared" si="2"/>
        <v>18583</v>
      </c>
      <c r="E13" s="10">
        <v>4860</v>
      </c>
      <c r="F13" s="10">
        <v>13723</v>
      </c>
      <c r="G13" s="10">
        <v>500</v>
      </c>
      <c r="H13" s="11">
        <f t="shared" si="4"/>
        <v>0.42857142857142855</v>
      </c>
      <c r="I13" s="12">
        <f>SUM($D$2:D13)-SUM($G$2:G13)</f>
        <v>241484</v>
      </c>
      <c r="K13" s="19" t="s">
        <v>0</v>
      </c>
      <c r="L13" s="20" t="s">
        <v>1</v>
      </c>
      <c r="M13" s="20" t="s">
        <v>2</v>
      </c>
      <c r="N13" s="20" t="s">
        <v>3</v>
      </c>
      <c r="O13" s="20" t="s">
        <v>4</v>
      </c>
      <c r="P13" s="20" t="s">
        <v>5</v>
      </c>
      <c r="Q13" s="20" t="s">
        <v>6</v>
      </c>
    </row>
    <row r="14" spans="1:17" x14ac:dyDescent="0.35">
      <c r="A14" s="9">
        <v>45304</v>
      </c>
      <c r="B14" s="10">
        <f t="shared" si="0"/>
        <v>5491.5</v>
      </c>
      <c r="C14" s="10">
        <f t="shared" si="1"/>
        <v>12813.5</v>
      </c>
      <c r="D14" s="10">
        <f t="shared" si="2"/>
        <v>18305</v>
      </c>
      <c r="E14" s="10">
        <v>5485</v>
      </c>
      <c r="F14" s="10">
        <v>12820</v>
      </c>
      <c r="G14" s="10">
        <v>400</v>
      </c>
      <c r="H14" s="11">
        <f t="shared" si="4"/>
        <v>0.42857142857142855</v>
      </c>
      <c r="I14" s="12">
        <f>SUM($D$2:D14)-SUM($G$2:G14)</f>
        <v>259389</v>
      </c>
      <c r="K14" s="15">
        <f t="shared" ref="K14:K20" si="12">A9</f>
        <v>45299</v>
      </c>
      <c r="L14" s="16">
        <f>N14*0.3</f>
        <v>5139</v>
      </c>
      <c r="M14" s="16">
        <f t="shared" ref="M14:M20" si="13">N14-L14</f>
        <v>11991</v>
      </c>
      <c r="N14" s="16">
        <f t="shared" ref="N14:N20" si="14">O14+P14</f>
        <v>17130</v>
      </c>
      <c r="O14" s="16">
        <f t="shared" ref="O14:O20" si="15">VLOOKUP(K14,$A$1:$H$37,5,0)</f>
        <v>5180</v>
      </c>
      <c r="P14" s="16">
        <f t="shared" ref="P14:P20" si="16">VLOOKUP(K14,$A$1:$H$37,6,0)</f>
        <v>11950</v>
      </c>
      <c r="Q14" s="16">
        <f t="shared" ref="Q14:Q20" si="17">VLOOKUP(K14,$A$1:$H$37,7,0)</f>
        <v>1280</v>
      </c>
    </row>
    <row r="15" spans="1:17" x14ac:dyDescent="0.35">
      <c r="A15" s="9">
        <v>45305</v>
      </c>
      <c r="B15" s="10">
        <f t="shared" si="0"/>
        <v>2557.5</v>
      </c>
      <c r="C15" s="10">
        <f t="shared" si="1"/>
        <v>5967.5</v>
      </c>
      <c r="D15" s="10">
        <f t="shared" si="2"/>
        <v>8525</v>
      </c>
      <c r="E15" s="10">
        <v>6675</v>
      </c>
      <c r="F15" s="10">
        <v>1850</v>
      </c>
      <c r="G15" s="10">
        <v>940</v>
      </c>
      <c r="H15" s="11">
        <f t="shared" si="4"/>
        <v>0.42857142857142855</v>
      </c>
      <c r="I15" s="12">
        <f>SUM($D$2:D15)-SUM($G$2:G15)</f>
        <v>266974</v>
      </c>
      <c r="K15" s="13">
        <f t="shared" si="12"/>
        <v>45300</v>
      </c>
      <c r="L15" s="14">
        <f>N15*0.3</f>
        <v>2841</v>
      </c>
      <c r="M15" s="14">
        <f t="shared" si="13"/>
        <v>6629</v>
      </c>
      <c r="N15" s="14">
        <f t="shared" si="14"/>
        <v>9470</v>
      </c>
      <c r="O15" s="14">
        <f t="shared" si="15"/>
        <v>6250</v>
      </c>
      <c r="P15" s="14">
        <f t="shared" si="16"/>
        <v>3220</v>
      </c>
      <c r="Q15" s="14">
        <f t="shared" si="17"/>
        <v>2950</v>
      </c>
    </row>
    <row r="16" spans="1:17" x14ac:dyDescent="0.35">
      <c r="A16" s="9">
        <v>45306</v>
      </c>
      <c r="B16" s="10">
        <f t="shared" si="0"/>
        <v>3825</v>
      </c>
      <c r="C16" s="10">
        <f t="shared" si="1"/>
        <v>8925</v>
      </c>
      <c r="D16" s="10">
        <f t="shared" si="2"/>
        <v>12750</v>
      </c>
      <c r="E16" s="10">
        <v>7070</v>
      </c>
      <c r="F16" s="10">
        <v>5680</v>
      </c>
      <c r="G16" s="10">
        <v>3500</v>
      </c>
      <c r="H16" s="11">
        <f t="shared" si="4"/>
        <v>0.42857142857142855</v>
      </c>
      <c r="I16" s="12">
        <f>SUM($D$2:D16)-SUM($G$2:G16)</f>
        <v>276224</v>
      </c>
      <c r="K16" s="15">
        <f t="shared" si="12"/>
        <v>45301</v>
      </c>
      <c r="L16" s="16">
        <f t="shared" ref="L16:L20" si="18">N16*0.3</f>
        <v>6060</v>
      </c>
      <c r="M16" s="16">
        <f t="shared" si="13"/>
        <v>14140</v>
      </c>
      <c r="N16" s="16">
        <f t="shared" si="14"/>
        <v>20200</v>
      </c>
      <c r="O16" s="16">
        <f t="shared" si="15"/>
        <v>3900</v>
      </c>
      <c r="P16" s="16">
        <f t="shared" si="16"/>
        <v>16300</v>
      </c>
      <c r="Q16" s="16">
        <f t="shared" si="17"/>
        <v>840</v>
      </c>
    </row>
    <row r="17" spans="1:17" x14ac:dyDescent="0.35">
      <c r="A17" s="9">
        <v>45307</v>
      </c>
      <c r="B17" s="10">
        <f t="shared" si="0"/>
        <v>7917.5999999999995</v>
      </c>
      <c r="C17" s="10">
        <f t="shared" si="1"/>
        <v>18474.400000000001</v>
      </c>
      <c r="D17" s="10">
        <f t="shared" si="2"/>
        <v>26392</v>
      </c>
      <c r="E17" s="10">
        <v>2420</v>
      </c>
      <c r="F17" s="10">
        <v>23972</v>
      </c>
      <c r="G17" s="10">
        <v>600</v>
      </c>
      <c r="H17" s="11">
        <f t="shared" si="4"/>
        <v>0.42857142857142849</v>
      </c>
      <c r="I17" s="12">
        <f>SUM($D$2:D17)-SUM($G$2:G17)</f>
        <v>302016</v>
      </c>
      <c r="K17" s="13">
        <f t="shared" si="12"/>
        <v>45302</v>
      </c>
      <c r="L17" s="14">
        <f t="shared" si="18"/>
        <v>8586</v>
      </c>
      <c r="M17" s="14">
        <f t="shared" si="13"/>
        <v>20034</v>
      </c>
      <c r="N17" s="14">
        <f t="shared" si="14"/>
        <v>28620</v>
      </c>
      <c r="O17" s="14">
        <f t="shared" si="15"/>
        <v>2500</v>
      </c>
      <c r="P17" s="14">
        <f t="shared" si="16"/>
        <v>26120</v>
      </c>
      <c r="Q17" s="14">
        <f t="shared" si="17"/>
        <v>600</v>
      </c>
    </row>
    <row r="18" spans="1:17" x14ac:dyDescent="0.35">
      <c r="A18" s="9">
        <v>45308</v>
      </c>
      <c r="B18" s="10">
        <f t="shared" si="0"/>
        <v>4152</v>
      </c>
      <c r="C18" s="10">
        <f t="shared" si="1"/>
        <v>9688</v>
      </c>
      <c r="D18" s="10">
        <f t="shared" si="2"/>
        <v>13840</v>
      </c>
      <c r="E18" s="10">
        <v>5970</v>
      </c>
      <c r="F18" s="10">
        <v>7870</v>
      </c>
      <c r="G18" s="10">
        <v>3080</v>
      </c>
      <c r="H18" s="11">
        <f t="shared" si="4"/>
        <v>0.42857142857142855</v>
      </c>
      <c r="I18" s="12">
        <f>SUM($D$2:D18)-SUM($G$2:G18)</f>
        <v>312776</v>
      </c>
      <c r="K18" s="15">
        <f t="shared" si="12"/>
        <v>45303</v>
      </c>
      <c r="L18" s="16">
        <f t="shared" si="18"/>
        <v>5574.9</v>
      </c>
      <c r="M18" s="16">
        <f t="shared" si="13"/>
        <v>13008.1</v>
      </c>
      <c r="N18" s="16">
        <f t="shared" si="14"/>
        <v>18583</v>
      </c>
      <c r="O18" s="16">
        <f t="shared" si="15"/>
        <v>4860</v>
      </c>
      <c r="P18" s="16">
        <f t="shared" si="16"/>
        <v>13723</v>
      </c>
      <c r="Q18" s="16">
        <f t="shared" si="17"/>
        <v>500</v>
      </c>
    </row>
    <row r="19" spans="1:17" x14ac:dyDescent="0.35">
      <c r="A19" s="9">
        <v>45309</v>
      </c>
      <c r="B19" s="10">
        <f t="shared" si="0"/>
        <v>6330</v>
      </c>
      <c r="C19" s="10">
        <f t="shared" si="1"/>
        <v>14770</v>
      </c>
      <c r="D19" s="10">
        <f t="shared" si="2"/>
        <v>21100</v>
      </c>
      <c r="E19" s="10">
        <v>7280</v>
      </c>
      <c r="F19" s="10">
        <v>13820</v>
      </c>
      <c r="G19" s="10">
        <v>1400</v>
      </c>
      <c r="H19" s="11">
        <f t="shared" si="4"/>
        <v>0.42857142857142855</v>
      </c>
      <c r="I19" s="12">
        <f>SUM($D$2:D19)-SUM($G$2:G19)</f>
        <v>332476</v>
      </c>
      <c r="K19" s="13">
        <f t="shared" si="12"/>
        <v>45304</v>
      </c>
      <c r="L19" s="14">
        <f t="shared" si="18"/>
        <v>5491.5</v>
      </c>
      <c r="M19" s="14">
        <f t="shared" si="13"/>
        <v>12813.5</v>
      </c>
      <c r="N19" s="14">
        <f t="shared" si="14"/>
        <v>18305</v>
      </c>
      <c r="O19" s="14">
        <f t="shared" si="15"/>
        <v>5485</v>
      </c>
      <c r="P19" s="14">
        <f t="shared" si="16"/>
        <v>12820</v>
      </c>
      <c r="Q19" s="14">
        <f t="shared" si="17"/>
        <v>400</v>
      </c>
    </row>
    <row r="20" spans="1:17" x14ac:dyDescent="0.35">
      <c r="A20" s="9">
        <v>45310</v>
      </c>
      <c r="B20" s="10">
        <f t="shared" si="0"/>
        <v>7875</v>
      </c>
      <c r="C20" s="10">
        <f t="shared" si="1"/>
        <v>18375</v>
      </c>
      <c r="D20" s="10">
        <f t="shared" si="2"/>
        <v>26250</v>
      </c>
      <c r="E20" s="10">
        <v>6740</v>
      </c>
      <c r="F20" s="10">
        <v>19510</v>
      </c>
      <c r="G20" s="10">
        <v>910</v>
      </c>
      <c r="H20" s="11">
        <f t="shared" si="4"/>
        <v>0.42857142857142855</v>
      </c>
      <c r="I20" s="12">
        <f>SUM($D$2:D20)-SUM($G$2:G20)</f>
        <v>357816</v>
      </c>
      <c r="K20" s="15">
        <f t="shared" si="12"/>
        <v>45305</v>
      </c>
      <c r="L20" s="16">
        <f t="shared" si="18"/>
        <v>2557.5</v>
      </c>
      <c r="M20" s="16">
        <f t="shared" si="13"/>
        <v>5967.5</v>
      </c>
      <c r="N20" s="16">
        <f t="shared" si="14"/>
        <v>8525</v>
      </c>
      <c r="O20" s="16">
        <f t="shared" si="15"/>
        <v>6675</v>
      </c>
      <c r="P20" s="16">
        <f t="shared" si="16"/>
        <v>1850</v>
      </c>
      <c r="Q20" s="16">
        <f t="shared" si="17"/>
        <v>940</v>
      </c>
    </row>
    <row r="21" spans="1:17" x14ac:dyDescent="0.35">
      <c r="A21" s="9">
        <v>45311</v>
      </c>
      <c r="B21" s="10">
        <f t="shared" si="0"/>
        <v>18451.5</v>
      </c>
      <c r="C21" s="10">
        <f t="shared" si="1"/>
        <v>43053.5</v>
      </c>
      <c r="D21" s="10">
        <f t="shared" si="2"/>
        <v>61505</v>
      </c>
      <c r="E21" s="10">
        <v>19045</v>
      </c>
      <c r="F21" s="10">
        <v>42460</v>
      </c>
      <c r="G21" s="10">
        <v>1430</v>
      </c>
      <c r="H21" s="11">
        <f t="shared" si="4"/>
        <v>0.42857142857142855</v>
      </c>
      <c r="I21" s="12">
        <f>SUM($D$2:D21)-SUM($G$2:G21)</f>
        <v>417891</v>
      </c>
      <c r="K21" s="18" t="s">
        <v>3</v>
      </c>
      <c r="L21" s="18">
        <f t="shared" ref="L21:Q21" si="19">SUM(L14:L20)</f>
        <v>36249.9</v>
      </c>
      <c r="M21" s="18">
        <f t="shared" si="19"/>
        <v>84583.1</v>
      </c>
      <c r="N21" s="18">
        <f t="shared" si="19"/>
        <v>120833</v>
      </c>
      <c r="O21" s="18">
        <f t="shared" si="19"/>
        <v>34850</v>
      </c>
      <c r="P21" s="18">
        <f t="shared" si="19"/>
        <v>85983</v>
      </c>
      <c r="Q21" s="18">
        <f t="shared" si="19"/>
        <v>7510</v>
      </c>
    </row>
    <row r="22" spans="1:17" x14ac:dyDescent="0.35">
      <c r="A22" s="9">
        <v>45312</v>
      </c>
      <c r="B22" s="10">
        <f t="shared" si="0"/>
        <v>13860</v>
      </c>
      <c r="C22" s="10">
        <f t="shared" si="1"/>
        <v>32340</v>
      </c>
      <c r="D22" s="10">
        <f t="shared" si="2"/>
        <v>46200</v>
      </c>
      <c r="E22" s="10">
        <v>33200</v>
      </c>
      <c r="F22" s="10">
        <v>13000</v>
      </c>
      <c r="G22" s="10">
        <v>2450</v>
      </c>
      <c r="H22" s="11">
        <f t="shared" si="4"/>
        <v>0.42857142857142855</v>
      </c>
      <c r="I22" s="12">
        <f>SUM($D$2:D22)-SUM($G$2:G22)</f>
        <v>461641</v>
      </c>
      <c r="K22" s="18" t="s">
        <v>10</v>
      </c>
      <c r="L22" s="18">
        <f>L21/3</f>
        <v>12083.300000000001</v>
      </c>
      <c r="M22" s="18"/>
      <c r="N22" s="18">
        <f>M22+L22</f>
        <v>12083.300000000001</v>
      </c>
      <c r="O22" s="16"/>
      <c r="P22" s="16"/>
      <c r="Q22" s="16"/>
    </row>
    <row r="23" spans="1:17" x14ac:dyDescent="0.35">
      <c r="A23" s="9">
        <v>45313</v>
      </c>
      <c r="B23" s="10">
        <f t="shared" si="0"/>
        <v>4020</v>
      </c>
      <c r="C23" s="10">
        <f t="shared" si="1"/>
        <v>9380</v>
      </c>
      <c r="D23" s="10">
        <f t="shared" si="2"/>
        <v>13400</v>
      </c>
      <c r="E23" s="10">
        <v>8550</v>
      </c>
      <c r="F23" s="10">
        <v>4850</v>
      </c>
      <c r="G23" s="10">
        <v>1350</v>
      </c>
      <c r="H23" s="11">
        <f t="shared" si="4"/>
        <v>0.42857142857142855</v>
      </c>
      <c r="I23" s="12">
        <f>SUM($D$2:D23)-SUM($G$2:G23)</f>
        <v>473691</v>
      </c>
      <c r="M23" t="s">
        <v>11</v>
      </c>
    </row>
    <row r="24" spans="1:17" x14ac:dyDescent="0.35">
      <c r="A24" s="9">
        <v>45314</v>
      </c>
      <c r="B24" s="10">
        <f t="shared" si="0"/>
        <v>6978</v>
      </c>
      <c r="C24" s="10">
        <f t="shared" si="1"/>
        <v>16282</v>
      </c>
      <c r="D24" s="10">
        <f t="shared" si="2"/>
        <v>23260</v>
      </c>
      <c r="E24" s="10">
        <v>4000</v>
      </c>
      <c r="F24" s="10">
        <v>19260</v>
      </c>
      <c r="G24" s="10">
        <v>700</v>
      </c>
      <c r="H24" s="11">
        <f t="shared" si="4"/>
        <v>0.42857142857142855</v>
      </c>
      <c r="I24" s="12">
        <f>SUM($D$2:D24)-SUM($G$2:G24)</f>
        <v>496251</v>
      </c>
      <c r="K24" s="19" t="s">
        <v>0</v>
      </c>
      <c r="L24" s="20" t="s">
        <v>1</v>
      </c>
      <c r="M24" s="20" t="s">
        <v>2</v>
      </c>
      <c r="N24" s="20" t="s">
        <v>3</v>
      </c>
      <c r="O24" s="20" t="s">
        <v>4</v>
      </c>
      <c r="P24" s="20" t="s">
        <v>5</v>
      </c>
      <c r="Q24" s="20" t="s">
        <v>6</v>
      </c>
    </row>
    <row r="25" spans="1:17" x14ac:dyDescent="0.35">
      <c r="A25" s="9">
        <v>45315</v>
      </c>
      <c r="B25" s="10">
        <f t="shared" si="0"/>
        <v>3537</v>
      </c>
      <c r="C25" s="10">
        <f t="shared" si="1"/>
        <v>8253</v>
      </c>
      <c r="D25" s="10">
        <f t="shared" si="2"/>
        <v>11790</v>
      </c>
      <c r="E25" s="10">
        <v>4870</v>
      </c>
      <c r="F25" s="10">
        <v>6920</v>
      </c>
      <c r="G25" s="10">
        <v>3277</v>
      </c>
      <c r="H25" s="11">
        <f t="shared" si="4"/>
        <v>0.42857142857142855</v>
      </c>
      <c r="I25" s="12">
        <f>SUM($D$2:D25)-SUM($G$2:G25)</f>
        <v>504764</v>
      </c>
      <c r="K25" s="15">
        <f t="shared" ref="K25:K31" si="20">A16</f>
        <v>45306</v>
      </c>
      <c r="L25" s="16">
        <f>N25*0.3</f>
        <v>1704</v>
      </c>
      <c r="M25" s="16">
        <f t="shared" ref="M25:M31" si="21">N25-L25</f>
        <v>3976</v>
      </c>
      <c r="N25" s="16">
        <f t="shared" ref="N25:N31" si="22">O25+P25</f>
        <v>5680</v>
      </c>
      <c r="O25" s="16">
        <v>0</v>
      </c>
      <c r="P25" s="16">
        <f t="shared" ref="P25:P31" si="23">VLOOKUP(K25,$A$1:$H$37,6,0)</f>
        <v>5680</v>
      </c>
      <c r="Q25" s="16">
        <f t="shared" ref="Q25:Q31" si="24">VLOOKUP(K25,$A$1:$H$37,7,0)</f>
        <v>3500</v>
      </c>
    </row>
    <row r="26" spans="1:17" x14ac:dyDescent="0.35">
      <c r="A26" s="9">
        <v>45316</v>
      </c>
      <c r="B26" s="10">
        <f t="shared" si="0"/>
        <v>10767</v>
      </c>
      <c r="C26" s="10">
        <f t="shared" si="1"/>
        <v>25123</v>
      </c>
      <c r="D26" s="10">
        <f t="shared" si="2"/>
        <v>35890</v>
      </c>
      <c r="E26" s="10">
        <v>11650</v>
      </c>
      <c r="F26" s="10">
        <v>24240</v>
      </c>
      <c r="G26" s="10">
        <v>1300</v>
      </c>
      <c r="H26" s="11">
        <f t="shared" si="4"/>
        <v>0.42857142857142855</v>
      </c>
      <c r="I26" s="12">
        <f>SUM($D$2:D26)-SUM($G$2:G26)</f>
        <v>539354</v>
      </c>
      <c r="K26" s="13">
        <f t="shared" si="20"/>
        <v>45307</v>
      </c>
      <c r="L26" s="14">
        <f>N26*0.3</f>
        <v>7917.5999999999995</v>
      </c>
      <c r="M26" s="14">
        <f t="shared" si="21"/>
        <v>18474.400000000001</v>
      </c>
      <c r="N26" s="14">
        <f t="shared" si="22"/>
        <v>26392</v>
      </c>
      <c r="O26" s="14">
        <f t="shared" ref="O26:O31" si="25">VLOOKUP(K26,$A$1:$H$37,5,0)</f>
        <v>2420</v>
      </c>
      <c r="P26" s="14">
        <f t="shared" si="23"/>
        <v>23972</v>
      </c>
      <c r="Q26" s="14">
        <f t="shared" si="24"/>
        <v>600</v>
      </c>
    </row>
    <row r="27" spans="1:17" x14ac:dyDescent="0.35">
      <c r="A27" s="9">
        <v>45317</v>
      </c>
      <c r="B27" s="10">
        <f t="shared" si="0"/>
        <v>3651</v>
      </c>
      <c r="C27" s="10">
        <f t="shared" si="1"/>
        <v>8519</v>
      </c>
      <c r="D27" s="10">
        <f t="shared" si="2"/>
        <v>12170</v>
      </c>
      <c r="E27" s="10">
        <v>7570</v>
      </c>
      <c r="F27" s="10">
        <v>4600</v>
      </c>
      <c r="G27" s="10">
        <v>720</v>
      </c>
      <c r="H27" s="11">
        <f t="shared" si="4"/>
        <v>0.42857142857142855</v>
      </c>
      <c r="I27" s="12">
        <f>SUM($D$2:D27)-SUM($G$2:G27)</f>
        <v>550804</v>
      </c>
      <c r="K27" s="15">
        <f t="shared" si="20"/>
        <v>45308</v>
      </c>
      <c r="L27" s="16">
        <f t="shared" ref="L27:L31" si="26">N27*0.3</f>
        <v>4152</v>
      </c>
      <c r="M27" s="16">
        <f t="shared" si="21"/>
        <v>9688</v>
      </c>
      <c r="N27" s="16">
        <f t="shared" si="22"/>
        <v>13840</v>
      </c>
      <c r="O27" s="16">
        <f t="shared" si="25"/>
        <v>5970</v>
      </c>
      <c r="P27" s="16">
        <f t="shared" si="23"/>
        <v>7870</v>
      </c>
      <c r="Q27" s="16">
        <f t="shared" si="24"/>
        <v>3080</v>
      </c>
    </row>
    <row r="28" spans="1:17" x14ac:dyDescent="0.35">
      <c r="A28" s="9">
        <v>45318</v>
      </c>
      <c r="B28" s="10">
        <f t="shared" si="0"/>
        <v>4290</v>
      </c>
      <c r="C28" s="10">
        <f t="shared" si="1"/>
        <v>10010</v>
      </c>
      <c r="D28" s="10">
        <f t="shared" si="2"/>
        <v>14300</v>
      </c>
      <c r="E28" s="10">
        <v>10140</v>
      </c>
      <c r="F28" s="10">
        <v>4160</v>
      </c>
      <c r="G28" s="10">
        <v>3320</v>
      </c>
      <c r="H28" s="11">
        <f t="shared" si="4"/>
        <v>0.42857142857142855</v>
      </c>
      <c r="I28" s="12">
        <f>SUM($D$2:D28)-SUM($G$2:G28)</f>
        <v>561784</v>
      </c>
      <c r="K28" s="13">
        <f t="shared" si="20"/>
        <v>45309</v>
      </c>
      <c r="L28" s="14">
        <f>N28*0.3</f>
        <v>6330</v>
      </c>
      <c r="M28" s="14">
        <f t="shared" si="21"/>
        <v>14770</v>
      </c>
      <c r="N28" s="14">
        <f t="shared" si="22"/>
        <v>21100</v>
      </c>
      <c r="O28" s="14">
        <f t="shared" si="25"/>
        <v>7280</v>
      </c>
      <c r="P28" s="14">
        <f t="shared" si="23"/>
        <v>13820</v>
      </c>
      <c r="Q28" s="14">
        <f t="shared" si="24"/>
        <v>1400</v>
      </c>
    </row>
    <row r="29" spans="1:17" x14ac:dyDescent="0.35">
      <c r="A29" s="9">
        <v>45319</v>
      </c>
      <c r="B29" s="10">
        <f t="shared" si="0"/>
        <v>5310.5999999999995</v>
      </c>
      <c r="C29" s="10">
        <f t="shared" si="1"/>
        <v>12391.400000000001</v>
      </c>
      <c r="D29" s="10">
        <f t="shared" si="2"/>
        <v>17702</v>
      </c>
      <c r="E29" s="10">
        <v>5150</v>
      </c>
      <c r="F29" s="10">
        <v>12552</v>
      </c>
      <c r="G29" s="10">
        <v>1490</v>
      </c>
      <c r="H29" s="11">
        <f t="shared" si="4"/>
        <v>0.42857142857142849</v>
      </c>
      <c r="I29" s="12">
        <f>SUM($D$2:D29)-SUM($G$2:G29)</f>
        <v>577996</v>
      </c>
      <c r="K29" s="15">
        <f t="shared" si="20"/>
        <v>45310</v>
      </c>
      <c r="L29" s="16">
        <f t="shared" si="26"/>
        <v>7875</v>
      </c>
      <c r="M29" s="16">
        <f t="shared" si="21"/>
        <v>18375</v>
      </c>
      <c r="N29" s="16">
        <f t="shared" si="22"/>
        <v>26250</v>
      </c>
      <c r="O29" s="16">
        <f t="shared" si="25"/>
        <v>6740</v>
      </c>
      <c r="P29" s="16">
        <f t="shared" si="23"/>
        <v>19510</v>
      </c>
      <c r="Q29" s="16">
        <f t="shared" si="24"/>
        <v>910</v>
      </c>
    </row>
    <row r="30" spans="1:17" x14ac:dyDescent="0.35">
      <c r="A30" s="9">
        <v>45320</v>
      </c>
      <c r="B30" s="10">
        <f t="shared" si="0"/>
        <v>3616.5</v>
      </c>
      <c r="C30" s="10">
        <f t="shared" si="1"/>
        <v>8438.5</v>
      </c>
      <c r="D30" s="10">
        <f t="shared" si="2"/>
        <v>12055</v>
      </c>
      <c r="E30" s="10">
        <v>4120</v>
      </c>
      <c r="F30" s="10">
        <v>7935</v>
      </c>
      <c r="G30" s="10">
        <v>1310</v>
      </c>
      <c r="H30" s="11">
        <f t="shared" si="4"/>
        <v>0.42857142857142855</v>
      </c>
      <c r="I30" s="12">
        <f>SUM($D$2:D30)-SUM($G$2:G30)</f>
        <v>588741</v>
      </c>
      <c r="K30" s="13">
        <f t="shared" si="20"/>
        <v>45311</v>
      </c>
      <c r="L30" s="14">
        <f t="shared" si="26"/>
        <v>18451.5</v>
      </c>
      <c r="M30" s="14">
        <f t="shared" si="21"/>
        <v>43053.5</v>
      </c>
      <c r="N30" s="14">
        <f t="shared" si="22"/>
        <v>61505</v>
      </c>
      <c r="O30" s="14">
        <f t="shared" si="25"/>
        <v>19045</v>
      </c>
      <c r="P30" s="14">
        <f t="shared" si="23"/>
        <v>42460</v>
      </c>
      <c r="Q30" s="14">
        <f t="shared" si="24"/>
        <v>1430</v>
      </c>
    </row>
    <row r="31" spans="1:17" x14ac:dyDescent="0.35">
      <c r="A31" s="9">
        <v>45321</v>
      </c>
      <c r="B31" s="10">
        <f t="shared" si="0"/>
        <v>4717.5</v>
      </c>
      <c r="C31" s="10">
        <f t="shared" si="1"/>
        <v>11007.5</v>
      </c>
      <c r="D31" s="10">
        <f t="shared" si="2"/>
        <v>15725</v>
      </c>
      <c r="E31" s="10">
        <v>10120</v>
      </c>
      <c r="F31" s="10">
        <v>5605</v>
      </c>
      <c r="G31" s="10">
        <v>600</v>
      </c>
      <c r="H31" s="11">
        <f t="shared" si="4"/>
        <v>0.42857142857142855</v>
      </c>
      <c r="I31" s="12">
        <f>SUM($D$2:D31)-SUM($G$2:G31)</f>
        <v>603866</v>
      </c>
      <c r="K31" s="15">
        <f t="shared" si="20"/>
        <v>45312</v>
      </c>
      <c r="L31" s="16">
        <f t="shared" si="26"/>
        <v>13860</v>
      </c>
      <c r="M31" s="16">
        <f t="shared" si="21"/>
        <v>32340</v>
      </c>
      <c r="N31" s="16">
        <f t="shared" si="22"/>
        <v>46200</v>
      </c>
      <c r="O31" s="16">
        <f t="shared" si="25"/>
        <v>33200</v>
      </c>
      <c r="P31" s="16">
        <f t="shared" si="23"/>
        <v>13000</v>
      </c>
      <c r="Q31" s="16">
        <f t="shared" si="24"/>
        <v>2450</v>
      </c>
    </row>
    <row r="32" spans="1:17" x14ac:dyDescent="0.35">
      <c r="A32" s="9">
        <v>45322</v>
      </c>
      <c r="B32" s="10">
        <f t="shared" si="0"/>
        <v>6427.5</v>
      </c>
      <c r="C32" s="10">
        <f t="shared" si="1"/>
        <v>14997.5</v>
      </c>
      <c r="D32" s="10">
        <f t="shared" si="2"/>
        <v>21425</v>
      </c>
      <c r="E32" s="17">
        <v>9950</v>
      </c>
      <c r="F32" s="17">
        <v>11475</v>
      </c>
      <c r="G32" s="17">
        <v>2385</v>
      </c>
      <c r="H32" s="11">
        <f t="shared" si="4"/>
        <v>0.42857142857142855</v>
      </c>
      <c r="I32" s="12">
        <f>SUM($D$2:D32)-SUM($G$2:G32)</f>
        <v>622906</v>
      </c>
      <c r="K32" s="18" t="s">
        <v>3</v>
      </c>
      <c r="L32" s="16">
        <f t="shared" ref="L32:Q32" si="27">SUM(L25:L31)</f>
        <v>60290.1</v>
      </c>
      <c r="M32" s="16">
        <f t="shared" si="27"/>
        <v>140676.9</v>
      </c>
      <c r="N32" s="16">
        <f t="shared" si="27"/>
        <v>200967</v>
      </c>
      <c r="O32" s="16">
        <f t="shared" si="27"/>
        <v>74655</v>
      </c>
      <c r="P32" s="16">
        <f t="shared" si="27"/>
        <v>126312</v>
      </c>
      <c r="Q32" s="16">
        <f t="shared" si="27"/>
        <v>13370</v>
      </c>
    </row>
    <row r="33" spans="1:17" x14ac:dyDescent="0.35">
      <c r="A33" s="9">
        <v>45323</v>
      </c>
      <c r="B33" s="10">
        <f t="shared" si="0"/>
        <v>5436.3</v>
      </c>
      <c r="C33" s="10">
        <f t="shared" si="1"/>
        <v>12684.7</v>
      </c>
      <c r="D33" s="10">
        <f t="shared" si="2"/>
        <v>18121</v>
      </c>
      <c r="E33" s="10">
        <v>4100</v>
      </c>
      <c r="F33" s="10">
        <v>14021</v>
      </c>
      <c r="G33" s="10">
        <v>710</v>
      </c>
      <c r="H33" s="11">
        <f t="shared" si="4"/>
        <v>0.42857142857142855</v>
      </c>
      <c r="I33" s="12">
        <f>SUM($D$2:D33)-SUM($G$2:G33)</f>
        <v>640317</v>
      </c>
      <c r="K33" s="18" t="s">
        <v>10</v>
      </c>
      <c r="L33" s="14">
        <f>L32/3</f>
        <v>20096.7</v>
      </c>
      <c r="M33" s="14"/>
      <c r="N33" s="14"/>
      <c r="O33" s="14"/>
      <c r="P33" s="14"/>
      <c r="Q33" s="14"/>
    </row>
    <row r="34" spans="1:17" x14ac:dyDescent="0.35">
      <c r="A34" s="9">
        <v>45324</v>
      </c>
      <c r="B34" s="10">
        <f t="shared" si="0"/>
        <v>4516.5</v>
      </c>
      <c r="C34" s="10">
        <f t="shared" si="1"/>
        <v>10538.5</v>
      </c>
      <c r="D34" s="10">
        <f t="shared" si="2"/>
        <v>15055</v>
      </c>
      <c r="E34" s="10">
        <v>13500</v>
      </c>
      <c r="F34" s="10">
        <v>1555</v>
      </c>
      <c r="G34" s="10">
        <v>680</v>
      </c>
      <c r="H34" s="11">
        <f t="shared" si="4"/>
        <v>0.42857142857142855</v>
      </c>
      <c r="I34" s="12">
        <f>SUM($D$2:D34)-SUM($G$2:G34)</f>
        <v>654692</v>
      </c>
    </row>
    <row r="35" spans="1:17" x14ac:dyDescent="0.35">
      <c r="A35" s="9">
        <v>45325</v>
      </c>
      <c r="B35" s="10">
        <f t="shared" si="0"/>
        <v>1645.5</v>
      </c>
      <c r="C35" s="10">
        <f t="shared" si="1"/>
        <v>3839.5</v>
      </c>
      <c r="D35" s="10">
        <f t="shared" si="2"/>
        <v>5485</v>
      </c>
      <c r="E35" s="17">
        <v>3300</v>
      </c>
      <c r="F35" s="17">
        <v>2185</v>
      </c>
      <c r="G35" s="17">
        <v>650</v>
      </c>
      <c r="H35" s="11">
        <f t="shared" si="4"/>
        <v>0.42857142857142855</v>
      </c>
      <c r="I35" s="12">
        <f>SUM($D$2:D35)-SUM($G$2:G35)</f>
        <v>659527</v>
      </c>
      <c r="K35" s="19" t="s">
        <v>0</v>
      </c>
      <c r="L35" s="20" t="s">
        <v>1</v>
      </c>
      <c r="M35" s="20" t="s">
        <v>2</v>
      </c>
      <c r="N35" s="20" t="s">
        <v>3</v>
      </c>
      <c r="O35" s="20" t="s">
        <v>4</v>
      </c>
      <c r="P35" s="20" t="s">
        <v>5</v>
      </c>
      <c r="Q35" s="20" t="s">
        <v>6</v>
      </c>
    </row>
    <row r="36" spans="1:17" x14ac:dyDescent="0.35">
      <c r="A36" s="9">
        <v>45326</v>
      </c>
      <c r="B36" s="10">
        <f t="shared" si="0"/>
        <v>2562</v>
      </c>
      <c r="C36" s="10">
        <f t="shared" si="1"/>
        <v>5978</v>
      </c>
      <c r="D36" s="10">
        <f t="shared" si="2"/>
        <v>8540</v>
      </c>
      <c r="E36" s="17">
        <v>1170</v>
      </c>
      <c r="F36" s="17">
        <v>7370</v>
      </c>
      <c r="G36" s="17">
        <v>1570</v>
      </c>
      <c r="H36" s="11">
        <f t="shared" si="4"/>
        <v>0.42857142857142855</v>
      </c>
      <c r="I36" s="12">
        <f>SUM($D$2:D36)-SUM($G$2:G36)</f>
        <v>666497</v>
      </c>
      <c r="K36" s="13">
        <f t="shared" ref="K36:K42" si="28">A23</f>
        <v>45313</v>
      </c>
      <c r="L36" s="16">
        <f>N36*0.3</f>
        <v>4020</v>
      </c>
      <c r="M36" s="16">
        <f t="shared" ref="M36:M42" si="29">N36-L36</f>
        <v>9380</v>
      </c>
      <c r="N36" s="16">
        <f t="shared" ref="N36:N42" si="30">O36+P36</f>
        <v>13400</v>
      </c>
      <c r="O36" s="16">
        <f t="shared" ref="O36:O42" si="31">VLOOKUP(K36,$A$1:$H$37,5,0)</f>
        <v>8550</v>
      </c>
      <c r="P36" s="16">
        <f t="shared" ref="P36:P42" si="32">VLOOKUP(K36,$A$1:$H$37,6,0)</f>
        <v>4850</v>
      </c>
      <c r="Q36" s="16">
        <f t="shared" ref="Q36:Q42" si="33">VLOOKUP(K36,$A$1:$H$37,7,0)</f>
        <v>1350</v>
      </c>
    </row>
    <row r="37" spans="1:17" ht="15" thickBot="1" x14ac:dyDescent="0.4">
      <c r="A37" s="21" t="s">
        <v>3</v>
      </c>
      <c r="B37" s="22">
        <f>SUBTOTAL(109,Table23453456879111215141617181920212223242526272834567891011[Profit])</f>
        <v>218586.6</v>
      </c>
      <c r="C37" s="22">
        <f>SUBTOTAL(109,Table23453456879111215141617181920212223242526272834567891011[Profit])</f>
        <v>218586.6</v>
      </c>
      <c r="D37" s="22">
        <f>SUBTOTAL(109,Table23453456879111215141617181920212223242526272834567891011[Total])</f>
        <v>728622</v>
      </c>
      <c r="E37" s="22">
        <f>SUBTOTAL(109,Table23453456879111215141617181920212223242526272834567891011[Profit])</f>
        <v>218586.6</v>
      </c>
      <c r="F37" s="22">
        <f>SUBTOTAL(109,Table23453456879111215141617181920212223242526272834567891011[Profit])</f>
        <v>218586.6</v>
      </c>
      <c r="G37" s="22">
        <f t="shared" ref="G37:I37" si="34">SUM(G4:G36)</f>
        <v>58663</v>
      </c>
      <c r="H37" s="22">
        <f t="shared" si="34"/>
        <v>14.142857142857148</v>
      </c>
      <c r="I37" s="22">
        <f t="shared" si="34"/>
        <v>12672158</v>
      </c>
      <c r="K37" s="13">
        <f t="shared" si="28"/>
        <v>45314</v>
      </c>
      <c r="L37" s="14">
        <f>N37*0.3</f>
        <v>6978</v>
      </c>
      <c r="M37" s="14">
        <f t="shared" si="29"/>
        <v>16282</v>
      </c>
      <c r="N37" s="14">
        <f t="shared" si="30"/>
        <v>23260</v>
      </c>
      <c r="O37" s="14">
        <f t="shared" si="31"/>
        <v>4000</v>
      </c>
      <c r="P37" s="14">
        <f t="shared" si="32"/>
        <v>19260</v>
      </c>
      <c r="Q37" s="14">
        <f t="shared" si="33"/>
        <v>700</v>
      </c>
    </row>
    <row r="38" spans="1:17" x14ac:dyDescent="0.35">
      <c r="A38" s="23"/>
      <c r="B38" s="24">
        <f>B37/3</f>
        <v>72862.2</v>
      </c>
      <c r="C38" s="24"/>
      <c r="E38" s="26">
        <f>D37*0.42</f>
        <v>306021.24</v>
      </c>
      <c r="F38" s="24"/>
      <c r="G38" s="24"/>
      <c r="H38" s="27"/>
      <c r="K38" s="15">
        <f t="shared" si="28"/>
        <v>45315</v>
      </c>
      <c r="L38" s="16">
        <f t="shared" ref="L38:L42" si="35">N38*0.3</f>
        <v>3537</v>
      </c>
      <c r="M38" s="16">
        <f t="shared" si="29"/>
        <v>8253</v>
      </c>
      <c r="N38" s="16">
        <f t="shared" si="30"/>
        <v>11790</v>
      </c>
      <c r="O38" s="16">
        <f t="shared" si="31"/>
        <v>4870</v>
      </c>
      <c r="P38" s="16">
        <f t="shared" si="32"/>
        <v>6920</v>
      </c>
      <c r="Q38" s="16">
        <f t="shared" si="33"/>
        <v>3277</v>
      </c>
    </row>
    <row r="39" spans="1:17" x14ac:dyDescent="0.35">
      <c r="A39" s="23"/>
      <c r="B39" s="24">
        <f>B38*100/D37</f>
        <v>10</v>
      </c>
      <c r="C39" s="24"/>
      <c r="E39" s="24">
        <f>E38/3</f>
        <v>102007.08</v>
      </c>
      <c r="F39" s="24"/>
      <c r="G39" s="24"/>
      <c r="H39" s="27"/>
      <c r="K39" s="13">
        <f t="shared" si="28"/>
        <v>45316</v>
      </c>
      <c r="L39" s="14">
        <f t="shared" si="35"/>
        <v>10767</v>
      </c>
      <c r="M39" s="14">
        <f t="shared" si="29"/>
        <v>25123</v>
      </c>
      <c r="N39" s="14">
        <f t="shared" si="30"/>
        <v>35890</v>
      </c>
      <c r="O39" s="14">
        <f t="shared" si="31"/>
        <v>11650</v>
      </c>
      <c r="P39" s="14">
        <f t="shared" si="32"/>
        <v>24240</v>
      </c>
      <c r="Q39" s="14">
        <f t="shared" si="33"/>
        <v>1300</v>
      </c>
    </row>
    <row r="40" spans="1:17" x14ac:dyDescent="0.35">
      <c r="A40" s="19" t="s">
        <v>0</v>
      </c>
      <c r="B40" s="20" t="s">
        <v>1</v>
      </c>
      <c r="C40" s="20" t="s">
        <v>2</v>
      </c>
      <c r="D40" s="20" t="s">
        <v>3</v>
      </c>
      <c r="E40" s="20" t="s">
        <v>4</v>
      </c>
      <c r="F40" s="20" t="s">
        <v>5</v>
      </c>
      <c r="G40" s="20" t="s">
        <v>6</v>
      </c>
      <c r="H40" s="28" t="s">
        <v>10</v>
      </c>
      <c r="K40" s="15">
        <f t="shared" si="28"/>
        <v>45317</v>
      </c>
      <c r="L40" s="16">
        <f t="shared" si="35"/>
        <v>3651</v>
      </c>
      <c r="M40" s="16">
        <f t="shared" si="29"/>
        <v>8519</v>
      </c>
      <c r="N40" s="16">
        <f t="shared" si="30"/>
        <v>12170</v>
      </c>
      <c r="O40" s="16">
        <f t="shared" si="31"/>
        <v>7570</v>
      </c>
      <c r="P40" s="16">
        <f t="shared" si="32"/>
        <v>4600</v>
      </c>
      <c r="Q40" s="16">
        <f t="shared" si="33"/>
        <v>720</v>
      </c>
    </row>
    <row r="41" spans="1:17" x14ac:dyDescent="0.35">
      <c r="A41" s="29" t="str">
        <f>CONCATENATE(TEXT(K3,"DD-MMM-YYY")," to ",TEXT(K9,"DD-MMM-YYYY"))</f>
        <v>01-Jan-2024 to 07-Jan-2024</v>
      </c>
      <c r="B41" s="16">
        <f>L10</f>
        <v>52450.2</v>
      </c>
      <c r="C41" s="16">
        <f t="shared" ref="C41:G41" si="36">M10</f>
        <v>122383.79999999999</v>
      </c>
      <c r="D41" s="16">
        <f t="shared" si="36"/>
        <v>174834</v>
      </c>
      <c r="E41" s="16">
        <f t="shared" si="36"/>
        <v>42776</v>
      </c>
      <c r="F41" s="16">
        <f t="shared" si="36"/>
        <v>132058</v>
      </c>
      <c r="G41" s="16">
        <f t="shared" si="36"/>
        <v>21183</v>
      </c>
      <c r="H41" s="16">
        <f>B41/3</f>
        <v>17483.399999999998</v>
      </c>
      <c r="K41" s="13">
        <f t="shared" si="28"/>
        <v>45318</v>
      </c>
      <c r="L41" s="14">
        <f t="shared" si="35"/>
        <v>4290</v>
      </c>
      <c r="M41" s="14">
        <f t="shared" si="29"/>
        <v>10010</v>
      </c>
      <c r="N41" s="14">
        <f t="shared" si="30"/>
        <v>14300</v>
      </c>
      <c r="O41" s="14">
        <f t="shared" si="31"/>
        <v>10140</v>
      </c>
      <c r="P41" s="14">
        <f t="shared" si="32"/>
        <v>4160</v>
      </c>
      <c r="Q41" s="14">
        <f t="shared" si="33"/>
        <v>3320</v>
      </c>
    </row>
    <row r="42" spans="1:17" x14ac:dyDescent="0.35">
      <c r="A42" s="29" t="str">
        <f>CONCATENATE(TEXT(K14,"DD-MMM-YYY")," to ",TEXT(K20,"DD-MMM-YYYY"))</f>
        <v>08-Jan-2024 to 14-Jan-2024</v>
      </c>
      <c r="B42" s="14">
        <f>L21</f>
        <v>36249.9</v>
      </c>
      <c r="C42" s="14">
        <f t="shared" ref="C42:G42" si="37">M21</f>
        <v>84583.1</v>
      </c>
      <c r="D42" s="14">
        <f t="shared" si="37"/>
        <v>120833</v>
      </c>
      <c r="E42" s="14">
        <f t="shared" si="37"/>
        <v>34850</v>
      </c>
      <c r="F42" s="14">
        <f t="shared" si="37"/>
        <v>85983</v>
      </c>
      <c r="G42" s="14">
        <f t="shared" si="37"/>
        <v>7510</v>
      </c>
      <c r="H42" s="16">
        <f t="shared" ref="H42:H45" si="38">B42/3</f>
        <v>12083.300000000001</v>
      </c>
      <c r="K42" s="15">
        <f t="shared" si="28"/>
        <v>45319</v>
      </c>
      <c r="L42" s="16">
        <f t="shared" si="35"/>
        <v>5310.5999999999995</v>
      </c>
      <c r="M42" s="16">
        <f t="shared" si="29"/>
        <v>12391.400000000001</v>
      </c>
      <c r="N42" s="16">
        <f t="shared" si="30"/>
        <v>17702</v>
      </c>
      <c r="O42" s="16">
        <f t="shared" si="31"/>
        <v>5150</v>
      </c>
      <c r="P42" s="16">
        <f t="shared" si="32"/>
        <v>12552</v>
      </c>
      <c r="Q42" s="16">
        <f t="shared" si="33"/>
        <v>1490</v>
      </c>
    </row>
    <row r="43" spans="1:17" x14ac:dyDescent="0.35">
      <c r="A43" s="29" t="str">
        <f>CONCATENATE(TEXT(K25,"DD-MMM-YYY")," to ",TEXT(K31,"DD-MMM-YYYY"))</f>
        <v>15-Jan-2024 to 21-Jan-2024</v>
      </c>
      <c r="B43" s="16">
        <f>L32</f>
        <v>60290.1</v>
      </c>
      <c r="C43" s="16">
        <f t="shared" ref="C43:G43" si="39">M32</f>
        <v>140676.9</v>
      </c>
      <c r="D43" s="16">
        <f t="shared" si="39"/>
        <v>200967</v>
      </c>
      <c r="E43" s="16">
        <f t="shared" si="39"/>
        <v>74655</v>
      </c>
      <c r="F43" s="16">
        <f t="shared" si="39"/>
        <v>126312</v>
      </c>
      <c r="G43" s="16">
        <f t="shared" si="39"/>
        <v>13370</v>
      </c>
      <c r="H43" s="16">
        <f t="shared" si="38"/>
        <v>20096.7</v>
      </c>
      <c r="K43" s="18" t="s">
        <v>3</v>
      </c>
      <c r="L43" s="16">
        <f t="shared" ref="L43" si="40">SUM(L36:L42)</f>
        <v>38553.599999999999</v>
      </c>
      <c r="M43" s="14">
        <f t="shared" ref="M43:Q43" si="41">SUM(M36:M42)</f>
        <v>89958.399999999994</v>
      </c>
      <c r="N43" s="14">
        <f t="shared" si="41"/>
        <v>128512</v>
      </c>
      <c r="O43" s="14">
        <f t="shared" si="41"/>
        <v>51930</v>
      </c>
      <c r="P43" s="14">
        <f t="shared" si="41"/>
        <v>76582</v>
      </c>
      <c r="Q43" s="14">
        <f t="shared" si="41"/>
        <v>12157</v>
      </c>
    </row>
    <row r="44" spans="1:17" x14ac:dyDescent="0.35">
      <c r="A44" s="29" t="str">
        <f>CONCATENATE(TEXT(K36,"DD-MMM-YYY")," to ",TEXT(K42,"DD-MMM-YYYY"))</f>
        <v>22-Jan-2024 to 28-Jan-2024</v>
      </c>
      <c r="B44" s="14">
        <f>L43</f>
        <v>38553.599999999999</v>
      </c>
      <c r="C44" s="14">
        <f t="shared" ref="C44:G44" si="42">M43</f>
        <v>89958.399999999994</v>
      </c>
      <c r="D44" s="14">
        <f t="shared" si="42"/>
        <v>128512</v>
      </c>
      <c r="E44" s="14">
        <f t="shared" si="42"/>
        <v>51930</v>
      </c>
      <c r="F44" s="14">
        <f t="shared" si="42"/>
        <v>76582</v>
      </c>
      <c r="G44" s="14">
        <f t="shared" si="42"/>
        <v>12157</v>
      </c>
      <c r="H44" s="16">
        <f t="shared" si="38"/>
        <v>12851.199999999999</v>
      </c>
      <c r="K44" s="18" t="s">
        <v>10</v>
      </c>
      <c r="L44" s="16">
        <f>L43/3</f>
        <v>12851.199999999999</v>
      </c>
      <c r="M44" s="16"/>
      <c r="N44" s="16"/>
      <c r="O44" s="16"/>
      <c r="P44" s="16"/>
      <c r="Q44" s="16"/>
    </row>
    <row r="45" spans="1:17" x14ac:dyDescent="0.35">
      <c r="A45" s="29" t="str">
        <f>CONCATENATE(TEXT(K47,"DD-MMM-YYY")," to ",TEXT(K53,"DD-MMM-YYYY"))</f>
        <v>29-Jan-2024 to 04-Feb-2024</v>
      </c>
      <c r="B45" s="16">
        <f>L54</f>
        <v>28921.8</v>
      </c>
      <c r="C45" s="16">
        <f t="shared" ref="C45:G45" si="43">M54</f>
        <v>67484.2</v>
      </c>
      <c r="D45" s="16">
        <f t="shared" si="43"/>
        <v>96406</v>
      </c>
      <c r="E45" s="16">
        <f t="shared" si="43"/>
        <v>46260</v>
      </c>
      <c r="F45" s="16">
        <f t="shared" si="43"/>
        <v>50146</v>
      </c>
      <c r="G45" s="16">
        <f t="shared" si="43"/>
        <v>7905</v>
      </c>
      <c r="H45" s="16">
        <f t="shared" si="38"/>
        <v>9640.6</v>
      </c>
    </row>
    <row r="46" spans="1:17" x14ac:dyDescent="0.35">
      <c r="A46" s="29" t="str">
        <f>CONCATENATE(TEXT(K59,"DD-MMM-YYY")," to ",TEXT(K58,"DD-MMM-YYYY"))</f>
        <v>05-Jan-2024 to Date</v>
      </c>
      <c r="B46" s="14">
        <f>SUM(B41:B45)</f>
        <v>216465.6</v>
      </c>
      <c r="C46" s="14">
        <f t="shared" ref="C46:H46" si="44">SUM(C41:C45)</f>
        <v>505086.39999999997</v>
      </c>
      <c r="D46" s="14">
        <f t="shared" si="44"/>
        <v>721552</v>
      </c>
      <c r="E46" s="14">
        <f t="shared" si="44"/>
        <v>250471</v>
      </c>
      <c r="F46" s="14">
        <f t="shared" si="44"/>
        <v>471081</v>
      </c>
      <c r="G46" s="14">
        <f t="shared" si="44"/>
        <v>62125</v>
      </c>
      <c r="H46" s="14">
        <f t="shared" si="44"/>
        <v>72155.199999999997</v>
      </c>
      <c r="K46" s="19" t="s">
        <v>0</v>
      </c>
      <c r="L46" s="20" t="s">
        <v>1</v>
      </c>
      <c r="M46" s="20" t="s">
        <v>2</v>
      </c>
      <c r="N46" s="20" t="s">
        <v>3</v>
      </c>
      <c r="O46" s="20" t="s">
        <v>4</v>
      </c>
      <c r="P46" s="20" t="s">
        <v>5</v>
      </c>
      <c r="Q46" s="20" t="s">
        <v>6</v>
      </c>
    </row>
    <row r="47" spans="1:17" x14ac:dyDescent="0.35">
      <c r="C47" s="65" t="s">
        <v>3</v>
      </c>
      <c r="D47" s="65"/>
      <c r="E47" s="65"/>
      <c r="F47" s="65"/>
      <c r="G47" s="66"/>
      <c r="H47" s="16"/>
      <c r="K47" s="15">
        <f t="shared" ref="K47:K53" si="45">A30</f>
        <v>45320</v>
      </c>
      <c r="L47" s="16">
        <f>N47*0.3</f>
        <v>3616.5</v>
      </c>
      <c r="M47" s="16">
        <f t="shared" ref="M47:M53" si="46">N47-L47</f>
        <v>8438.5</v>
      </c>
      <c r="N47" s="16">
        <f t="shared" ref="N47:N53" si="47">O47+P47</f>
        <v>12055</v>
      </c>
      <c r="O47" s="16">
        <f t="shared" ref="O47:O52" si="48">VLOOKUP(K47,$A$1:$H$37,5,0)</f>
        <v>4120</v>
      </c>
      <c r="P47" s="16">
        <f t="shared" ref="P47:P53" si="49">VLOOKUP(K47,$A$1:$H$37,6,0)</f>
        <v>7935</v>
      </c>
      <c r="Q47" s="16">
        <f t="shared" ref="Q47:Q53" si="50">VLOOKUP(K47,$A$1:$H$37,7,0)</f>
        <v>1310</v>
      </c>
    </row>
    <row r="48" spans="1:17" x14ac:dyDescent="0.35">
      <c r="K48" s="13">
        <f t="shared" si="45"/>
        <v>45321</v>
      </c>
      <c r="L48" s="14">
        <f>N48*0.3</f>
        <v>4717.5</v>
      </c>
      <c r="M48" s="14">
        <f t="shared" si="46"/>
        <v>11007.5</v>
      </c>
      <c r="N48" s="14">
        <f t="shared" si="47"/>
        <v>15725</v>
      </c>
      <c r="O48" s="14">
        <f t="shared" si="48"/>
        <v>10120</v>
      </c>
      <c r="P48" s="14">
        <f t="shared" si="49"/>
        <v>5605</v>
      </c>
      <c r="Q48" s="14">
        <f t="shared" si="50"/>
        <v>600</v>
      </c>
    </row>
    <row r="49" spans="11:17" x14ac:dyDescent="0.35">
      <c r="K49" s="15">
        <f t="shared" si="45"/>
        <v>45322</v>
      </c>
      <c r="L49" s="16">
        <f t="shared" ref="L49:L53" si="51">N49*0.3</f>
        <v>6427.5</v>
      </c>
      <c r="M49" s="16">
        <f t="shared" si="46"/>
        <v>14997.5</v>
      </c>
      <c r="N49" s="16">
        <f t="shared" si="47"/>
        <v>21425</v>
      </c>
      <c r="O49" s="16">
        <f t="shared" si="48"/>
        <v>9950</v>
      </c>
      <c r="P49" s="16">
        <f t="shared" si="49"/>
        <v>11475</v>
      </c>
      <c r="Q49" s="16">
        <f t="shared" si="50"/>
        <v>2385</v>
      </c>
    </row>
    <row r="50" spans="11:17" x14ac:dyDescent="0.35">
      <c r="K50" s="13">
        <f t="shared" si="45"/>
        <v>45323</v>
      </c>
      <c r="L50" s="14">
        <f t="shared" si="51"/>
        <v>5436.3</v>
      </c>
      <c r="M50" s="14">
        <f t="shared" si="46"/>
        <v>12684.7</v>
      </c>
      <c r="N50" s="14">
        <f t="shared" si="47"/>
        <v>18121</v>
      </c>
      <c r="O50" s="14">
        <f t="shared" si="48"/>
        <v>4100</v>
      </c>
      <c r="P50" s="14">
        <f t="shared" si="49"/>
        <v>14021</v>
      </c>
      <c r="Q50" s="14">
        <f t="shared" si="50"/>
        <v>710</v>
      </c>
    </row>
    <row r="51" spans="11:17" x14ac:dyDescent="0.35">
      <c r="K51" s="15">
        <f t="shared" si="45"/>
        <v>45324</v>
      </c>
      <c r="L51" s="16">
        <f t="shared" si="51"/>
        <v>4516.5</v>
      </c>
      <c r="M51" s="16">
        <f t="shared" si="46"/>
        <v>10538.5</v>
      </c>
      <c r="N51" s="16">
        <f t="shared" si="47"/>
        <v>15055</v>
      </c>
      <c r="O51" s="16">
        <f t="shared" si="48"/>
        <v>13500</v>
      </c>
      <c r="P51" s="16">
        <f t="shared" si="49"/>
        <v>1555</v>
      </c>
      <c r="Q51" s="16">
        <f t="shared" si="50"/>
        <v>680</v>
      </c>
    </row>
    <row r="52" spans="11:17" x14ac:dyDescent="0.35">
      <c r="K52" s="13">
        <f t="shared" si="45"/>
        <v>45325</v>
      </c>
      <c r="L52" s="14">
        <f t="shared" si="51"/>
        <v>1645.5</v>
      </c>
      <c r="M52" s="14">
        <f t="shared" si="46"/>
        <v>3839.5</v>
      </c>
      <c r="N52" s="14">
        <f t="shared" si="47"/>
        <v>5485</v>
      </c>
      <c r="O52" s="14">
        <f t="shared" si="48"/>
        <v>3300</v>
      </c>
      <c r="P52" s="14">
        <f t="shared" si="49"/>
        <v>2185</v>
      </c>
      <c r="Q52" s="14">
        <f t="shared" si="50"/>
        <v>650</v>
      </c>
    </row>
    <row r="53" spans="11:17" x14ac:dyDescent="0.35">
      <c r="K53" s="15">
        <f t="shared" si="45"/>
        <v>45326</v>
      </c>
      <c r="L53" s="16">
        <f t="shared" si="51"/>
        <v>2562</v>
      </c>
      <c r="M53" s="16">
        <f t="shared" si="46"/>
        <v>5978</v>
      </c>
      <c r="N53" s="16">
        <f t="shared" si="47"/>
        <v>8540</v>
      </c>
      <c r="O53" s="16">
        <f>VLOOKUP(K53,$A$1:$H$37,5,0)</f>
        <v>1170</v>
      </c>
      <c r="P53" s="16">
        <f t="shared" si="49"/>
        <v>7370</v>
      </c>
      <c r="Q53" s="16">
        <f t="shared" si="50"/>
        <v>1570</v>
      </c>
    </row>
    <row r="54" spans="11:17" x14ac:dyDescent="0.35">
      <c r="K54" s="18" t="s">
        <v>3</v>
      </c>
      <c r="L54" s="14">
        <f t="shared" ref="L54:Q54" si="52">SUM(L47:L53)</f>
        <v>28921.8</v>
      </c>
      <c r="M54" s="14">
        <f t="shared" si="52"/>
        <v>67484.2</v>
      </c>
      <c r="N54" s="14">
        <f t="shared" si="52"/>
        <v>96406</v>
      </c>
      <c r="O54" s="14">
        <f t="shared" si="52"/>
        <v>46260</v>
      </c>
      <c r="P54" s="14">
        <f t="shared" si="52"/>
        <v>50146</v>
      </c>
      <c r="Q54" s="14">
        <f t="shared" si="52"/>
        <v>7905</v>
      </c>
    </row>
    <row r="55" spans="11:17" x14ac:dyDescent="0.35">
      <c r="K55" s="18" t="s">
        <v>10</v>
      </c>
      <c r="L55" s="16">
        <f>L54/3</f>
        <v>9640.6</v>
      </c>
      <c r="M55" s="16"/>
      <c r="N55" s="16"/>
      <c r="O55" s="16"/>
      <c r="P55" s="16"/>
      <c r="Q55" s="16"/>
    </row>
    <row r="58" spans="11:17" x14ac:dyDescent="0.35">
      <c r="K58" s="19" t="s">
        <v>0</v>
      </c>
      <c r="L58" s="20" t="s">
        <v>1</v>
      </c>
      <c r="M58" s="20" t="s">
        <v>2</v>
      </c>
      <c r="N58" s="20" t="s">
        <v>3</v>
      </c>
      <c r="O58" s="20" t="s">
        <v>4</v>
      </c>
      <c r="P58" s="20" t="s">
        <v>5</v>
      </c>
      <c r="Q58" s="20" t="s">
        <v>6</v>
      </c>
    </row>
    <row r="59" spans="11:17" x14ac:dyDescent="0.35">
      <c r="K59" s="30">
        <f>A6</f>
        <v>45296</v>
      </c>
      <c r="L59" s="14">
        <f>SUM(B7:B36)</f>
        <v>182404.5</v>
      </c>
      <c r="M59" s="14">
        <f t="shared" ref="M59:Q59" si="53">SUM(C7:C36)</f>
        <v>425610.50000000006</v>
      </c>
      <c r="N59" s="14">
        <f t="shared" si="53"/>
        <v>608015</v>
      </c>
      <c r="O59" s="14">
        <f t="shared" si="53"/>
        <v>234925</v>
      </c>
      <c r="P59" s="14">
        <f t="shared" si="53"/>
        <v>373090</v>
      </c>
      <c r="Q59" s="14">
        <f t="shared" si="53"/>
        <v>49723</v>
      </c>
    </row>
    <row r="60" spans="11:17" x14ac:dyDescent="0.35">
      <c r="K60" s="18" t="s">
        <v>10</v>
      </c>
      <c r="L60" s="16">
        <f>L59/3</f>
        <v>60801.5</v>
      </c>
      <c r="M60" s="16"/>
      <c r="N60" s="16"/>
      <c r="O60" s="16"/>
      <c r="P60" s="16"/>
      <c r="Q60" s="16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D62E-8AE8-40D3-860C-CFC3D623B9F4}">
  <dimension ref="A1:Q60"/>
  <sheetViews>
    <sheetView zoomScale="90" zoomScaleNormal="90" workbookViewId="0">
      <pane ySplit="1" topLeftCell="A36" activePane="bottomLeft" state="frozen"/>
      <selection pane="bottomLeft" activeCell="D45" sqref="D45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5" width="10" bestFit="1" customWidth="1"/>
    <col min="16" max="16" width="16.453125" bestFit="1" customWidth="1"/>
    <col min="17" max="17" width="9" bestFit="1" customWidth="1"/>
  </cols>
  <sheetData>
    <row r="1" spans="1:17" s="6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K1" s="7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5">
      <c r="A2" s="9">
        <v>45320</v>
      </c>
      <c r="B2" s="10">
        <f t="shared" ref="B2:B36" si="0">D2*0.3</f>
        <v>3616.5</v>
      </c>
      <c r="C2" s="10">
        <f t="shared" ref="C2:C36" si="1">D2-B2</f>
        <v>8438.5</v>
      </c>
      <c r="D2" s="10">
        <f t="shared" ref="D2:D36" si="2">E2+F2</f>
        <v>12055</v>
      </c>
      <c r="E2" s="10">
        <v>4120</v>
      </c>
      <c r="F2" s="10">
        <v>7935</v>
      </c>
      <c r="G2" s="10">
        <v>1310</v>
      </c>
      <c r="H2" s="11">
        <f t="shared" ref="H2:H36" si="3">IFERROR(B2/C2,0)</f>
        <v>0.42857142857142855</v>
      </c>
      <c r="I2" s="12">
        <f>SUM($D$2:D2)-SUM($G$2:G2)</f>
        <v>10745</v>
      </c>
      <c r="K2" s="13" t="s">
        <v>9</v>
      </c>
      <c r="L2" s="14"/>
      <c r="M2" s="14"/>
      <c r="N2" s="14"/>
      <c r="O2" s="14"/>
      <c r="P2" s="14"/>
      <c r="Q2" s="14">
        <v>0</v>
      </c>
    </row>
    <row r="3" spans="1:17" x14ac:dyDescent="0.35">
      <c r="A3" s="9">
        <v>45321</v>
      </c>
      <c r="B3" s="10">
        <f t="shared" si="0"/>
        <v>4717.5</v>
      </c>
      <c r="C3" s="10">
        <f t="shared" si="1"/>
        <v>11007.5</v>
      </c>
      <c r="D3" s="10">
        <f t="shared" si="2"/>
        <v>15725</v>
      </c>
      <c r="E3" s="10">
        <v>10120</v>
      </c>
      <c r="F3" s="10">
        <v>5605</v>
      </c>
      <c r="G3" s="10">
        <v>600</v>
      </c>
      <c r="H3" s="11">
        <f t="shared" si="3"/>
        <v>0.42857142857142855</v>
      </c>
      <c r="I3" s="12">
        <f>SUM($D$2:D3)-SUM($G$2:G3)</f>
        <v>25870</v>
      </c>
      <c r="K3" s="15">
        <f t="shared" ref="K3:K9" si="4">A2</f>
        <v>45320</v>
      </c>
      <c r="L3" s="16">
        <f>N3*0.3</f>
        <v>3616.5</v>
      </c>
      <c r="M3" s="16">
        <f t="shared" ref="M3:M9" si="5">N3-L3</f>
        <v>8438.5</v>
      </c>
      <c r="N3" s="16">
        <f t="shared" ref="N3:N9" si="6">O3+P3</f>
        <v>12055</v>
      </c>
      <c r="O3" s="16">
        <f t="shared" ref="O3:O9" si="7">VLOOKUP(K3,$A$1:$H$37,5,0)</f>
        <v>4120</v>
      </c>
      <c r="P3" s="16">
        <f t="shared" ref="P3:P9" si="8">VLOOKUP(K3,$A$1:$H$37,6,0)</f>
        <v>7935</v>
      </c>
      <c r="Q3" s="16">
        <f t="shared" ref="Q3:Q9" si="9">VLOOKUP(K3,$A$1:$H$37,7,0)</f>
        <v>1310</v>
      </c>
    </row>
    <row r="4" spans="1:17" x14ac:dyDescent="0.35">
      <c r="A4" s="9">
        <v>45322</v>
      </c>
      <c r="B4" s="10">
        <f t="shared" si="0"/>
        <v>6427.5</v>
      </c>
      <c r="C4" s="10">
        <f t="shared" si="1"/>
        <v>14997.5</v>
      </c>
      <c r="D4" s="10">
        <f t="shared" si="2"/>
        <v>21425</v>
      </c>
      <c r="E4" s="17">
        <v>9950</v>
      </c>
      <c r="F4" s="17">
        <v>11475</v>
      </c>
      <c r="G4" s="17">
        <v>2385</v>
      </c>
      <c r="H4" s="11">
        <f t="shared" si="3"/>
        <v>0.42857142857142855</v>
      </c>
      <c r="I4" s="12">
        <f>SUM($D$2:D4)-SUM($G$2:G4)</f>
        <v>44910</v>
      </c>
      <c r="K4" s="13">
        <f t="shared" si="4"/>
        <v>45321</v>
      </c>
      <c r="L4" s="14">
        <f>N4*0.3</f>
        <v>4717.5</v>
      </c>
      <c r="M4" s="14">
        <f t="shared" si="5"/>
        <v>11007.5</v>
      </c>
      <c r="N4" s="14">
        <f t="shared" si="6"/>
        <v>15725</v>
      </c>
      <c r="O4" s="14">
        <f t="shared" si="7"/>
        <v>10120</v>
      </c>
      <c r="P4" s="14">
        <f t="shared" si="8"/>
        <v>5605</v>
      </c>
      <c r="Q4" s="14">
        <f t="shared" si="9"/>
        <v>600</v>
      </c>
    </row>
    <row r="5" spans="1:17" x14ac:dyDescent="0.35">
      <c r="A5" s="9">
        <v>45323</v>
      </c>
      <c r="B5" s="10">
        <f t="shared" si="0"/>
        <v>5436.3</v>
      </c>
      <c r="C5" s="10">
        <f t="shared" si="1"/>
        <v>12684.7</v>
      </c>
      <c r="D5" s="10">
        <f t="shared" si="2"/>
        <v>18121</v>
      </c>
      <c r="E5" s="10">
        <v>4100</v>
      </c>
      <c r="F5" s="10">
        <v>14021</v>
      </c>
      <c r="G5" s="10">
        <v>710</v>
      </c>
      <c r="H5" s="11">
        <f t="shared" si="3"/>
        <v>0.42857142857142855</v>
      </c>
      <c r="I5" s="12">
        <f>SUM($D$2:D5)-SUM($G$2:G5)</f>
        <v>62321</v>
      </c>
      <c r="K5" s="15">
        <f t="shared" si="4"/>
        <v>45322</v>
      </c>
      <c r="L5" s="16">
        <f t="shared" ref="L5:L9" si="10">N5*0.3</f>
        <v>6427.5</v>
      </c>
      <c r="M5" s="16">
        <f t="shared" si="5"/>
        <v>14997.5</v>
      </c>
      <c r="N5" s="16">
        <f t="shared" si="6"/>
        <v>21425</v>
      </c>
      <c r="O5" s="16">
        <f t="shared" si="7"/>
        <v>9950</v>
      </c>
      <c r="P5" s="16">
        <f t="shared" si="8"/>
        <v>11475</v>
      </c>
      <c r="Q5" s="16">
        <f t="shared" si="9"/>
        <v>2385</v>
      </c>
    </row>
    <row r="6" spans="1:17" x14ac:dyDescent="0.35">
      <c r="A6" s="9">
        <v>45324</v>
      </c>
      <c r="B6" s="10">
        <f t="shared" si="0"/>
        <v>4516.5</v>
      </c>
      <c r="C6" s="10">
        <f t="shared" si="1"/>
        <v>10538.5</v>
      </c>
      <c r="D6" s="10">
        <f t="shared" si="2"/>
        <v>15055</v>
      </c>
      <c r="E6" s="10">
        <v>13500</v>
      </c>
      <c r="F6" s="10">
        <v>1555</v>
      </c>
      <c r="G6" s="10">
        <v>680</v>
      </c>
      <c r="H6" s="11">
        <f t="shared" si="3"/>
        <v>0.42857142857142855</v>
      </c>
      <c r="I6" s="12">
        <f>SUM($D$2:D6)-SUM($G$2:G6)</f>
        <v>76696</v>
      </c>
      <c r="K6" s="13">
        <f t="shared" si="4"/>
        <v>45323</v>
      </c>
      <c r="L6" s="14">
        <f t="shared" si="10"/>
        <v>5436.3</v>
      </c>
      <c r="M6" s="14">
        <f t="shared" si="5"/>
        <v>12684.7</v>
      </c>
      <c r="N6" s="14">
        <f t="shared" si="6"/>
        <v>18121</v>
      </c>
      <c r="O6" s="14">
        <f t="shared" si="7"/>
        <v>4100</v>
      </c>
      <c r="P6" s="14">
        <f t="shared" si="8"/>
        <v>14021</v>
      </c>
      <c r="Q6" s="14">
        <f t="shared" si="9"/>
        <v>710</v>
      </c>
    </row>
    <row r="7" spans="1:17" x14ac:dyDescent="0.35">
      <c r="A7" s="9">
        <v>45325</v>
      </c>
      <c r="B7" s="10">
        <f t="shared" si="0"/>
        <v>1645.5</v>
      </c>
      <c r="C7" s="10">
        <f t="shared" si="1"/>
        <v>3839.5</v>
      </c>
      <c r="D7" s="10">
        <f t="shared" si="2"/>
        <v>5485</v>
      </c>
      <c r="E7" s="17">
        <v>3300</v>
      </c>
      <c r="F7" s="17">
        <v>2185</v>
      </c>
      <c r="G7" s="17">
        <v>650</v>
      </c>
      <c r="H7" s="11">
        <f t="shared" si="3"/>
        <v>0.42857142857142855</v>
      </c>
      <c r="I7" s="12">
        <f>SUM($D$2:D7)-SUM($G$2:G7)</f>
        <v>81531</v>
      </c>
      <c r="K7" s="15">
        <f t="shared" si="4"/>
        <v>45324</v>
      </c>
      <c r="L7" s="16">
        <f t="shared" si="10"/>
        <v>4516.5</v>
      </c>
      <c r="M7" s="16">
        <f t="shared" si="5"/>
        <v>10538.5</v>
      </c>
      <c r="N7" s="16">
        <f t="shared" si="6"/>
        <v>15055</v>
      </c>
      <c r="O7" s="16">
        <f t="shared" si="7"/>
        <v>13500</v>
      </c>
      <c r="P7" s="16">
        <f t="shared" si="8"/>
        <v>1555</v>
      </c>
      <c r="Q7" s="16">
        <f t="shared" si="9"/>
        <v>680</v>
      </c>
    </row>
    <row r="8" spans="1:17" x14ac:dyDescent="0.35">
      <c r="A8" s="9">
        <v>45326</v>
      </c>
      <c r="B8" s="10">
        <f t="shared" si="0"/>
        <v>2562</v>
      </c>
      <c r="C8" s="10">
        <f t="shared" si="1"/>
        <v>5978</v>
      </c>
      <c r="D8" s="10">
        <f t="shared" si="2"/>
        <v>8540</v>
      </c>
      <c r="E8" s="17">
        <v>1170</v>
      </c>
      <c r="F8" s="17">
        <v>7370</v>
      </c>
      <c r="G8" s="17">
        <v>1570</v>
      </c>
      <c r="H8" s="11">
        <f t="shared" si="3"/>
        <v>0.42857142857142855</v>
      </c>
      <c r="I8" s="12">
        <f>SUM($D$2:D8)-SUM($G$2:G8)</f>
        <v>88501</v>
      </c>
      <c r="K8" s="13">
        <f t="shared" si="4"/>
        <v>45325</v>
      </c>
      <c r="L8" s="14">
        <f t="shared" si="10"/>
        <v>1645.5</v>
      </c>
      <c r="M8" s="14">
        <f t="shared" si="5"/>
        <v>3839.5</v>
      </c>
      <c r="N8" s="14">
        <f t="shared" si="6"/>
        <v>5485</v>
      </c>
      <c r="O8" s="14">
        <f t="shared" si="7"/>
        <v>3300</v>
      </c>
      <c r="P8" s="14">
        <f t="shared" si="8"/>
        <v>2185</v>
      </c>
      <c r="Q8" s="14">
        <f t="shared" si="9"/>
        <v>650</v>
      </c>
    </row>
    <row r="9" spans="1:17" x14ac:dyDescent="0.35">
      <c r="A9" s="9">
        <v>45327</v>
      </c>
      <c r="B9" s="10">
        <f t="shared" si="0"/>
        <v>8349</v>
      </c>
      <c r="C9" s="10">
        <f t="shared" si="1"/>
        <v>19481</v>
      </c>
      <c r="D9" s="10">
        <f t="shared" si="2"/>
        <v>27830</v>
      </c>
      <c r="E9" s="10">
        <v>3370</v>
      </c>
      <c r="F9" s="10">
        <v>24460</v>
      </c>
      <c r="G9" s="10">
        <v>1900</v>
      </c>
      <c r="H9" s="11">
        <f t="shared" si="3"/>
        <v>0.42857142857142855</v>
      </c>
      <c r="I9" s="12">
        <f>SUM($D$2:D9)-SUM($G$2:G9)</f>
        <v>114431</v>
      </c>
      <c r="K9" s="15">
        <f t="shared" si="4"/>
        <v>45326</v>
      </c>
      <c r="L9" s="16">
        <f t="shared" si="10"/>
        <v>2562</v>
      </c>
      <c r="M9" s="16">
        <f t="shared" si="5"/>
        <v>5978</v>
      </c>
      <c r="N9" s="16">
        <f t="shared" si="6"/>
        <v>8540</v>
      </c>
      <c r="O9" s="16">
        <f t="shared" si="7"/>
        <v>1170</v>
      </c>
      <c r="P9" s="16">
        <f t="shared" si="8"/>
        <v>7370</v>
      </c>
      <c r="Q9" s="16">
        <f t="shared" si="9"/>
        <v>1570</v>
      </c>
    </row>
    <row r="10" spans="1:17" x14ac:dyDescent="0.35">
      <c r="A10" s="9">
        <v>45328</v>
      </c>
      <c r="B10" s="10">
        <f t="shared" si="0"/>
        <v>11229</v>
      </c>
      <c r="C10" s="10">
        <f t="shared" si="1"/>
        <v>26201</v>
      </c>
      <c r="D10" s="10">
        <f t="shared" si="2"/>
        <v>37430</v>
      </c>
      <c r="E10" s="10">
        <v>11880</v>
      </c>
      <c r="F10" s="10">
        <v>25550</v>
      </c>
      <c r="G10" s="10">
        <v>1550</v>
      </c>
      <c r="H10" s="11">
        <f t="shared" si="3"/>
        <v>0.42857142857142855</v>
      </c>
      <c r="I10" s="12">
        <f>SUM($D$2:D10)-SUM($G$2:G10)</f>
        <v>150311</v>
      </c>
      <c r="K10" s="18" t="s">
        <v>3</v>
      </c>
      <c r="L10" s="18">
        <f>SUM(L3:L9)</f>
        <v>28921.8</v>
      </c>
      <c r="M10" s="18">
        <f>SUM(M2:M9)</f>
        <v>67484.2</v>
      </c>
      <c r="N10" s="18">
        <f>SUM(N2:N9)</f>
        <v>96406</v>
      </c>
      <c r="O10" s="18">
        <f>SUM(O2:O9)</f>
        <v>46260</v>
      </c>
      <c r="P10" s="18">
        <f>SUM(P2:P9)</f>
        <v>50146</v>
      </c>
      <c r="Q10" s="18">
        <f>SUM(Q2:Q9)</f>
        <v>7905</v>
      </c>
    </row>
    <row r="11" spans="1:17" x14ac:dyDescent="0.35">
      <c r="A11" s="9">
        <v>45329</v>
      </c>
      <c r="B11" s="10">
        <f t="shared" si="0"/>
        <v>3486</v>
      </c>
      <c r="C11" s="10">
        <f t="shared" si="1"/>
        <v>8134</v>
      </c>
      <c r="D11" s="10">
        <f t="shared" si="2"/>
        <v>11620</v>
      </c>
      <c r="E11" s="10">
        <v>7060</v>
      </c>
      <c r="F11" s="10">
        <v>4560</v>
      </c>
      <c r="G11" s="10">
        <v>7070</v>
      </c>
      <c r="H11" s="11">
        <f t="shared" si="3"/>
        <v>0.42857142857142855</v>
      </c>
      <c r="I11" s="12">
        <f>SUM($D$2:D11)-SUM($G$2:G11)</f>
        <v>154861</v>
      </c>
      <c r="K11" s="18" t="s">
        <v>10</v>
      </c>
      <c r="L11" s="18">
        <f>L10/3</f>
        <v>9640.6</v>
      </c>
      <c r="M11" s="18"/>
      <c r="N11" s="18"/>
      <c r="O11" s="16"/>
      <c r="P11" s="16"/>
      <c r="Q11" s="16"/>
    </row>
    <row r="12" spans="1:17" x14ac:dyDescent="0.35">
      <c r="A12" s="9">
        <v>45330</v>
      </c>
      <c r="B12" s="10">
        <f t="shared" si="0"/>
        <v>2175</v>
      </c>
      <c r="C12" s="10">
        <f t="shared" si="1"/>
        <v>5075</v>
      </c>
      <c r="D12" s="10">
        <f t="shared" si="2"/>
        <v>7250</v>
      </c>
      <c r="E12" s="10">
        <v>1850</v>
      </c>
      <c r="F12" s="10">
        <v>5400</v>
      </c>
      <c r="G12" s="10">
        <v>4770</v>
      </c>
      <c r="H12" s="11">
        <f t="shared" si="3"/>
        <v>0.42857142857142855</v>
      </c>
      <c r="I12" s="12">
        <f>SUM($D$2:D12)-SUM($G$2:G12)</f>
        <v>157341</v>
      </c>
    </row>
    <row r="13" spans="1:17" x14ac:dyDescent="0.35">
      <c r="A13" s="9">
        <v>45331</v>
      </c>
      <c r="B13" s="10">
        <f t="shared" si="0"/>
        <v>8142</v>
      </c>
      <c r="C13" s="10">
        <f t="shared" si="1"/>
        <v>18998</v>
      </c>
      <c r="D13" s="10">
        <f t="shared" si="2"/>
        <v>27140</v>
      </c>
      <c r="E13" s="10">
        <v>9540</v>
      </c>
      <c r="F13" s="10">
        <v>17600</v>
      </c>
      <c r="G13" s="10">
        <v>4010</v>
      </c>
      <c r="H13" s="11">
        <f t="shared" si="3"/>
        <v>0.42857142857142855</v>
      </c>
      <c r="I13" s="12">
        <f>SUM($D$2:D13)-SUM($G$2:G13)</f>
        <v>180471</v>
      </c>
      <c r="K13" s="19" t="s">
        <v>0</v>
      </c>
      <c r="L13" s="20" t="s">
        <v>1</v>
      </c>
      <c r="M13" s="20" t="s">
        <v>2</v>
      </c>
      <c r="N13" s="20" t="s">
        <v>3</v>
      </c>
      <c r="O13" s="20" t="s">
        <v>4</v>
      </c>
      <c r="P13" s="20" t="s">
        <v>5</v>
      </c>
      <c r="Q13" s="20" t="s">
        <v>6</v>
      </c>
    </row>
    <row r="14" spans="1:17" x14ac:dyDescent="0.35">
      <c r="A14" s="9">
        <v>45332</v>
      </c>
      <c r="B14" s="10">
        <f t="shared" si="0"/>
        <v>7894.5</v>
      </c>
      <c r="C14" s="10">
        <f t="shared" si="1"/>
        <v>18420.5</v>
      </c>
      <c r="D14" s="10">
        <f t="shared" si="2"/>
        <v>26315</v>
      </c>
      <c r="E14" s="10">
        <v>15550</v>
      </c>
      <c r="F14" s="10">
        <v>10765</v>
      </c>
      <c r="G14" s="10">
        <v>780</v>
      </c>
      <c r="H14" s="11">
        <f t="shared" si="3"/>
        <v>0.42857142857142855</v>
      </c>
      <c r="I14" s="12">
        <f>SUM($D$2:D14)-SUM($G$2:G14)</f>
        <v>206006</v>
      </c>
      <c r="K14" s="15">
        <f t="shared" ref="K14:K20" si="11">A9</f>
        <v>45327</v>
      </c>
      <c r="L14" s="16">
        <f>N14*0.3</f>
        <v>8349</v>
      </c>
      <c r="M14" s="16">
        <f t="shared" ref="M14:M20" si="12">N14-L14</f>
        <v>19481</v>
      </c>
      <c r="N14" s="16">
        <f t="shared" ref="N14:N20" si="13">O14+P14</f>
        <v>27830</v>
      </c>
      <c r="O14" s="16">
        <f t="shared" ref="O14:O20" si="14">VLOOKUP(K14,$A$1:$H$37,5,0)</f>
        <v>3370</v>
      </c>
      <c r="P14" s="16">
        <f t="shared" ref="P14:P20" si="15">VLOOKUP(K14,$A$1:$H$37,6,0)</f>
        <v>24460</v>
      </c>
      <c r="Q14" s="16">
        <f t="shared" ref="Q14:Q20" si="16">VLOOKUP(K14,$A$1:$H$37,7,0)</f>
        <v>1900</v>
      </c>
    </row>
    <row r="15" spans="1:17" x14ac:dyDescent="0.35">
      <c r="A15" s="9">
        <v>45333</v>
      </c>
      <c r="B15" s="10">
        <f t="shared" si="0"/>
        <v>5943</v>
      </c>
      <c r="C15" s="10">
        <f t="shared" si="1"/>
        <v>13867</v>
      </c>
      <c r="D15" s="10">
        <f t="shared" si="2"/>
        <v>19810</v>
      </c>
      <c r="E15" s="10">
        <v>7300</v>
      </c>
      <c r="F15" s="10">
        <v>12510</v>
      </c>
      <c r="G15" s="10">
        <v>1220</v>
      </c>
      <c r="H15" s="11">
        <f t="shared" si="3"/>
        <v>0.42857142857142855</v>
      </c>
      <c r="I15" s="12">
        <f>SUM($D$2:D15)-SUM($G$2:G15)</f>
        <v>224596</v>
      </c>
      <c r="K15" s="13">
        <f t="shared" si="11"/>
        <v>45328</v>
      </c>
      <c r="L15" s="14">
        <f>N15*0.3</f>
        <v>11229</v>
      </c>
      <c r="M15" s="14">
        <f t="shared" si="12"/>
        <v>26201</v>
      </c>
      <c r="N15" s="14">
        <f t="shared" si="13"/>
        <v>37430</v>
      </c>
      <c r="O15" s="14">
        <f t="shared" si="14"/>
        <v>11880</v>
      </c>
      <c r="P15" s="14">
        <f t="shared" si="15"/>
        <v>25550</v>
      </c>
      <c r="Q15" s="14">
        <f t="shared" si="16"/>
        <v>1550</v>
      </c>
    </row>
    <row r="16" spans="1:17" x14ac:dyDescent="0.35">
      <c r="A16" s="9">
        <v>45334</v>
      </c>
      <c r="B16" s="10">
        <f t="shared" si="0"/>
        <v>3417</v>
      </c>
      <c r="C16" s="10">
        <f t="shared" si="1"/>
        <v>7973</v>
      </c>
      <c r="D16" s="10">
        <f t="shared" si="2"/>
        <v>11390</v>
      </c>
      <c r="E16" s="10">
        <v>7250</v>
      </c>
      <c r="F16" s="10">
        <v>4140</v>
      </c>
      <c r="G16" s="10">
        <v>1740</v>
      </c>
      <c r="H16" s="11">
        <f t="shared" si="3"/>
        <v>0.42857142857142855</v>
      </c>
      <c r="I16" s="12">
        <f>SUM($D$2:D16)-SUM($G$2:G16)</f>
        <v>234246</v>
      </c>
      <c r="K16" s="15">
        <f t="shared" si="11"/>
        <v>45329</v>
      </c>
      <c r="L16" s="16">
        <f t="shared" ref="L16:L20" si="17">N16*0.3</f>
        <v>3486</v>
      </c>
      <c r="M16" s="16">
        <f t="shared" si="12"/>
        <v>8134</v>
      </c>
      <c r="N16" s="16">
        <f t="shared" si="13"/>
        <v>11620</v>
      </c>
      <c r="O16" s="16">
        <f t="shared" si="14"/>
        <v>7060</v>
      </c>
      <c r="P16" s="16">
        <f t="shared" si="15"/>
        <v>4560</v>
      </c>
      <c r="Q16" s="16">
        <f t="shared" si="16"/>
        <v>7070</v>
      </c>
    </row>
    <row r="17" spans="1:17" x14ac:dyDescent="0.35">
      <c r="A17" s="9">
        <v>45335</v>
      </c>
      <c r="B17" s="10">
        <f t="shared" si="0"/>
        <v>8004</v>
      </c>
      <c r="C17" s="10">
        <f t="shared" si="1"/>
        <v>18676</v>
      </c>
      <c r="D17" s="10">
        <f t="shared" si="2"/>
        <v>26680</v>
      </c>
      <c r="E17" s="10">
        <v>13820</v>
      </c>
      <c r="F17" s="10">
        <v>12860</v>
      </c>
      <c r="G17" s="10">
        <v>7750</v>
      </c>
      <c r="H17" s="11">
        <f t="shared" si="3"/>
        <v>0.42857142857142855</v>
      </c>
      <c r="I17" s="12">
        <f>SUM($D$2:D17)-SUM($G$2:G17)</f>
        <v>253176</v>
      </c>
      <c r="K17" s="13">
        <f t="shared" si="11"/>
        <v>45330</v>
      </c>
      <c r="L17" s="14">
        <f t="shared" si="17"/>
        <v>2175</v>
      </c>
      <c r="M17" s="14">
        <f t="shared" si="12"/>
        <v>5075</v>
      </c>
      <c r="N17" s="14">
        <f t="shared" si="13"/>
        <v>7250</v>
      </c>
      <c r="O17" s="14">
        <f t="shared" si="14"/>
        <v>1850</v>
      </c>
      <c r="P17" s="14">
        <f t="shared" si="15"/>
        <v>5400</v>
      </c>
      <c r="Q17" s="14">
        <f t="shared" si="16"/>
        <v>4770</v>
      </c>
    </row>
    <row r="18" spans="1:17" x14ac:dyDescent="0.35">
      <c r="A18" s="9">
        <v>45336</v>
      </c>
      <c r="B18" s="10">
        <f t="shared" si="0"/>
        <v>1326</v>
      </c>
      <c r="C18" s="10">
        <f t="shared" si="1"/>
        <v>3094</v>
      </c>
      <c r="D18" s="10">
        <f t="shared" si="2"/>
        <v>4420</v>
      </c>
      <c r="E18" s="10">
        <v>3255</v>
      </c>
      <c r="F18" s="10">
        <v>1165</v>
      </c>
      <c r="G18" s="10">
        <v>920</v>
      </c>
      <c r="H18" s="11">
        <f t="shared" si="3"/>
        <v>0.42857142857142855</v>
      </c>
      <c r="I18" s="12">
        <f>SUM($D$2:D18)-SUM($G$2:G18)</f>
        <v>256676</v>
      </c>
      <c r="K18" s="15">
        <f t="shared" si="11"/>
        <v>45331</v>
      </c>
      <c r="L18" s="16">
        <f t="shared" si="17"/>
        <v>8142</v>
      </c>
      <c r="M18" s="16">
        <f t="shared" si="12"/>
        <v>18998</v>
      </c>
      <c r="N18" s="16">
        <f t="shared" si="13"/>
        <v>27140</v>
      </c>
      <c r="O18" s="16">
        <f t="shared" si="14"/>
        <v>9540</v>
      </c>
      <c r="P18" s="16">
        <f t="shared" si="15"/>
        <v>17600</v>
      </c>
      <c r="Q18" s="16">
        <f t="shared" si="16"/>
        <v>4010</v>
      </c>
    </row>
    <row r="19" spans="1:17" x14ac:dyDescent="0.35">
      <c r="A19" s="9">
        <v>45337</v>
      </c>
      <c r="B19" s="10">
        <f t="shared" si="0"/>
        <v>4335</v>
      </c>
      <c r="C19" s="10">
        <f t="shared" si="1"/>
        <v>10115</v>
      </c>
      <c r="D19" s="10">
        <f t="shared" si="2"/>
        <v>14450</v>
      </c>
      <c r="E19" s="10">
        <v>9000</v>
      </c>
      <c r="F19" s="10">
        <v>5450</v>
      </c>
      <c r="G19" s="10">
        <v>1760</v>
      </c>
      <c r="H19" s="11">
        <f t="shared" si="3"/>
        <v>0.42857142857142855</v>
      </c>
      <c r="I19" s="12">
        <f>SUM($D$2:D19)-SUM($G$2:G19)</f>
        <v>269366</v>
      </c>
      <c r="K19" s="13">
        <f t="shared" si="11"/>
        <v>45332</v>
      </c>
      <c r="L19" s="14">
        <f t="shared" si="17"/>
        <v>7894.5</v>
      </c>
      <c r="M19" s="14">
        <f t="shared" si="12"/>
        <v>18420.5</v>
      </c>
      <c r="N19" s="14">
        <f t="shared" si="13"/>
        <v>26315</v>
      </c>
      <c r="O19" s="14">
        <f t="shared" si="14"/>
        <v>15550</v>
      </c>
      <c r="P19" s="14">
        <f t="shared" si="15"/>
        <v>10765</v>
      </c>
      <c r="Q19" s="14">
        <f t="shared" si="16"/>
        <v>780</v>
      </c>
    </row>
    <row r="20" spans="1:17" x14ac:dyDescent="0.35">
      <c r="A20" s="9">
        <v>45338</v>
      </c>
      <c r="B20" s="10">
        <f t="shared" si="0"/>
        <v>4107</v>
      </c>
      <c r="C20" s="10">
        <f t="shared" si="1"/>
        <v>9583</v>
      </c>
      <c r="D20" s="10">
        <f t="shared" si="2"/>
        <v>13690</v>
      </c>
      <c r="E20" s="10">
        <v>5740</v>
      </c>
      <c r="F20" s="10">
        <v>7950</v>
      </c>
      <c r="G20" s="10">
        <v>1200</v>
      </c>
      <c r="H20" s="11">
        <f t="shared" si="3"/>
        <v>0.42857142857142855</v>
      </c>
      <c r="I20" s="12">
        <f>SUM($D$2:D20)-SUM($G$2:G20)</f>
        <v>281856</v>
      </c>
      <c r="K20" s="15">
        <f t="shared" si="11"/>
        <v>45333</v>
      </c>
      <c r="L20" s="16">
        <f t="shared" si="17"/>
        <v>5943</v>
      </c>
      <c r="M20" s="16">
        <f t="shared" si="12"/>
        <v>13867</v>
      </c>
      <c r="N20" s="16">
        <f t="shared" si="13"/>
        <v>19810</v>
      </c>
      <c r="O20" s="16">
        <f t="shared" si="14"/>
        <v>7300</v>
      </c>
      <c r="P20" s="16">
        <f t="shared" si="15"/>
        <v>12510</v>
      </c>
      <c r="Q20" s="16">
        <f t="shared" si="16"/>
        <v>1220</v>
      </c>
    </row>
    <row r="21" spans="1:17" x14ac:dyDescent="0.35">
      <c r="A21" s="9">
        <v>45339</v>
      </c>
      <c r="B21" s="10">
        <f t="shared" si="0"/>
        <v>6576</v>
      </c>
      <c r="C21" s="10">
        <f t="shared" si="1"/>
        <v>15344</v>
      </c>
      <c r="D21" s="10">
        <f t="shared" si="2"/>
        <v>21920</v>
      </c>
      <c r="E21" s="10">
        <v>3920</v>
      </c>
      <c r="F21" s="10">
        <v>18000</v>
      </c>
      <c r="G21" s="10">
        <v>4000</v>
      </c>
      <c r="H21" s="11">
        <f t="shared" si="3"/>
        <v>0.42857142857142855</v>
      </c>
      <c r="I21" s="12">
        <f>SUM($D$2:D21)-SUM($G$2:G21)</f>
        <v>299776</v>
      </c>
      <c r="K21" s="18" t="s">
        <v>3</v>
      </c>
      <c r="L21" s="18">
        <f t="shared" ref="L21:Q21" si="18">SUM(L14:L20)</f>
        <v>47218.5</v>
      </c>
      <c r="M21" s="18">
        <f t="shared" si="18"/>
        <v>110176.5</v>
      </c>
      <c r="N21" s="18">
        <f t="shared" si="18"/>
        <v>157395</v>
      </c>
      <c r="O21" s="18">
        <f t="shared" si="18"/>
        <v>56550</v>
      </c>
      <c r="P21" s="18">
        <f t="shared" si="18"/>
        <v>100845</v>
      </c>
      <c r="Q21" s="18">
        <f t="shared" si="18"/>
        <v>21300</v>
      </c>
    </row>
    <row r="22" spans="1:17" x14ac:dyDescent="0.35">
      <c r="A22" s="9">
        <v>45340</v>
      </c>
      <c r="B22" s="10">
        <f t="shared" si="0"/>
        <v>8835</v>
      </c>
      <c r="C22" s="10">
        <f t="shared" si="1"/>
        <v>20615</v>
      </c>
      <c r="D22" s="10">
        <f t="shared" si="2"/>
        <v>29450</v>
      </c>
      <c r="E22" s="10">
        <v>10250</v>
      </c>
      <c r="F22" s="10">
        <v>19200</v>
      </c>
      <c r="G22" s="10">
        <v>3390</v>
      </c>
      <c r="H22" s="11">
        <f t="shared" si="3"/>
        <v>0.42857142857142855</v>
      </c>
      <c r="I22" s="12">
        <f>SUM($D$2:D22)-SUM($G$2:G22)</f>
        <v>325836</v>
      </c>
      <c r="K22" s="18" t="s">
        <v>10</v>
      </c>
      <c r="L22" s="18">
        <f>L21/3</f>
        <v>15739.5</v>
      </c>
      <c r="M22" s="18"/>
      <c r="N22" s="18">
        <f>M22+L22</f>
        <v>15739.5</v>
      </c>
      <c r="O22" s="16"/>
      <c r="P22" s="16"/>
      <c r="Q22" s="16"/>
    </row>
    <row r="23" spans="1:17" x14ac:dyDescent="0.35">
      <c r="A23" s="9">
        <v>45341</v>
      </c>
      <c r="B23" s="10">
        <f t="shared" si="0"/>
        <v>3165</v>
      </c>
      <c r="C23" s="10">
        <f t="shared" si="1"/>
        <v>7385</v>
      </c>
      <c r="D23" s="10">
        <f t="shared" si="2"/>
        <v>10550</v>
      </c>
      <c r="E23" s="10">
        <v>5130</v>
      </c>
      <c r="F23" s="10">
        <v>5420</v>
      </c>
      <c r="G23" s="10">
        <v>1000</v>
      </c>
      <c r="H23" s="11">
        <f t="shared" si="3"/>
        <v>0.42857142857142855</v>
      </c>
      <c r="I23" s="12">
        <f>SUM($D$2:D23)-SUM($G$2:G23)</f>
        <v>335386</v>
      </c>
      <c r="M23" t="s">
        <v>11</v>
      </c>
    </row>
    <row r="24" spans="1:17" x14ac:dyDescent="0.35">
      <c r="A24" s="9">
        <v>45342</v>
      </c>
      <c r="B24" s="10">
        <f t="shared" si="0"/>
        <v>0</v>
      </c>
      <c r="C24" s="10">
        <f t="shared" si="1"/>
        <v>0</v>
      </c>
      <c r="D24" s="10">
        <f t="shared" si="2"/>
        <v>0</v>
      </c>
      <c r="E24" s="10"/>
      <c r="F24" s="10"/>
      <c r="G24" s="10"/>
      <c r="H24" s="11">
        <f t="shared" si="3"/>
        <v>0</v>
      </c>
      <c r="I24" s="12">
        <f>SUM($D$2:D24)-SUM($G$2:G24)</f>
        <v>335386</v>
      </c>
      <c r="K24" s="19" t="s">
        <v>0</v>
      </c>
      <c r="L24" s="20" t="s">
        <v>1</v>
      </c>
      <c r="M24" s="20" t="s">
        <v>2</v>
      </c>
      <c r="N24" s="20" t="s">
        <v>3</v>
      </c>
      <c r="O24" s="20" t="s">
        <v>4</v>
      </c>
      <c r="P24" s="20" t="s">
        <v>5</v>
      </c>
      <c r="Q24" s="20" t="s">
        <v>6</v>
      </c>
    </row>
    <row r="25" spans="1:17" x14ac:dyDescent="0.35">
      <c r="A25" s="9">
        <v>45343</v>
      </c>
      <c r="B25" s="10">
        <f t="shared" si="0"/>
        <v>0</v>
      </c>
      <c r="C25" s="10">
        <f t="shared" si="1"/>
        <v>0</v>
      </c>
      <c r="D25" s="10">
        <f t="shared" si="2"/>
        <v>0</v>
      </c>
      <c r="E25" s="10"/>
      <c r="F25" s="10"/>
      <c r="G25" s="10"/>
      <c r="H25" s="11">
        <f t="shared" si="3"/>
        <v>0</v>
      </c>
      <c r="I25" s="12">
        <f>SUM($D$2:D25)-SUM($G$2:G25)</f>
        <v>335386</v>
      </c>
      <c r="K25" s="15">
        <f t="shared" ref="K25:K31" si="19">A16</f>
        <v>45334</v>
      </c>
      <c r="L25" s="16">
        <f>N25*0.3</f>
        <v>3417</v>
      </c>
      <c r="M25" s="16">
        <f t="shared" ref="M25:M31" si="20">N25-L25</f>
        <v>7973</v>
      </c>
      <c r="N25" s="16">
        <f t="shared" ref="N25:N31" si="21">O25+P25</f>
        <v>11390</v>
      </c>
      <c r="O25" s="16">
        <f t="shared" ref="O25:O31" si="22">VLOOKUP(K25,$A$1:$H$37,5,0)</f>
        <v>7250</v>
      </c>
      <c r="P25" s="16">
        <f t="shared" ref="P25:P31" si="23">VLOOKUP(K25,$A$1:$H$37,6,0)</f>
        <v>4140</v>
      </c>
      <c r="Q25" s="16">
        <f t="shared" ref="Q25:Q31" si="24">VLOOKUP(K25,$A$1:$H$37,7,0)</f>
        <v>1740</v>
      </c>
    </row>
    <row r="26" spans="1:17" x14ac:dyDescent="0.35">
      <c r="A26" s="9">
        <v>45344</v>
      </c>
      <c r="B26" s="10">
        <f t="shared" si="0"/>
        <v>0</v>
      </c>
      <c r="C26" s="10">
        <f t="shared" si="1"/>
        <v>0</v>
      </c>
      <c r="D26" s="10">
        <f t="shared" si="2"/>
        <v>0</v>
      </c>
      <c r="E26" s="10"/>
      <c r="F26" s="10"/>
      <c r="G26" s="10"/>
      <c r="H26" s="11">
        <f t="shared" si="3"/>
        <v>0</v>
      </c>
      <c r="I26" s="12">
        <f>SUM($D$2:D26)-SUM($G$2:G26)</f>
        <v>335386</v>
      </c>
      <c r="K26" s="13">
        <f t="shared" si="19"/>
        <v>45335</v>
      </c>
      <c r="L26" s="14">
        <f>N26*0.3</f>
        <v>8004</v>
      </c>
      <c r="M26" s="14">
        <f t="shared" si="20"/>
        <v>18676</v>
      </c>
      <c r="N26" s="14">
        <f t="shared" si="21"/>
        <v>26680</v>
      </c>
      <c r="O26" s="14">
        <f t="shared" si="22"/>
        <v>13820</v>
      </c>
      <c r="P26" s="14">
        <f t="shared" si="23"/>
        <v>12860</v>
      </c>
      <c r="Q26" s="14">
        <f t="shared" si="24"/>
        <v>7750</v>
      </c>
    </row>
    <row r="27" spans="1:17" x14ac:dyDescent="0.35">
      <c r="A27" s="9">
        <v>45345</v>
      </c>
      <c r="B27" s="10">
        <f t="shared" si="0"/>
        <v>0</v>
      </c>
      <c r="C27" s="10">
        <f t="shared" si="1"/>
        <v>0</v>
      </c>
      <c r="D27" s="10">
        <f t="shared" si="2"/>
        <v>0</v>
      </c>
      <c r="E27" s="10"/>
      <c r="F27" s="10"/>
      <c r="G27" s="10"/>
      <c r="H27" s="11">
        <f t="shared" si="3"/>
        <v>0</v>
      </c>
      <c r="I27" s="12">
        <f>SUM($D$2:D27)-SUM($G$2:G27)</f>
        <v>335386</v>
      </c>
      <c r="K27" s="15">
        <f t="shared" si="19"/>
        <v>45336</v>
      </c>
      <c r="L27" s="16">
        <f t="shared" ref="L27:L31" si="25">N27*0.3</f>
        <v>1326</v>
      </c>
      <c r="M27" s="16">
        <f t="shared" si="20"/>
        <v>3094</v>
      </c>
      <c r="N27" s="16">
        <f t="shared" si="21"/>
        <v>4420</v>
      </c>
      <c r="O27" s="16">
        <f t="shared" si="22"/>
        <v>3255</v>
      </c>
      <c r="P27" s="16">
        <f t="shared" si="23"/>
        <v>1165</v>
      </c>
      <c r="Q27" s="16">
        <f t="shared" si="24"/>
        <v>920</v>
      </c>
    </row>
    <row r="28" spans="1:17" x14ac:dyDescent="0.35">
      <c r="A28" s="9">
        <v>45346</v>
      </c>
      <c r="B28" s="10">
        <f t="shared" si="0"/>
        <v>0</v>
      </c>
      <c r="C28" s="10">
        <f t="shared" si="1"/>
        <v>0</v>
      </c>
      <c r="D28" s="10">
        <f t="shared" si="2"/>
        <v>0</v>
      </c>
      <c r="E28" s="10"/>
      <c r="F28" s="10"/>
      <c r="G28" s="10"/>
      <c r="H28" s="11">
        <f t="shared" si="3"/>
        <v>0</v>
      </c>
      <c r="I28" s="12">
        <f>SUM($D$2:D28)-SUM($G$2:G28)</f>
        <v>335386</v>
      </c>
      <c r="K28" s="13">
        <f t="shared" si="19"/>
        <v>45337</v>
      </c>
      <c r="L28" s="14">
        <f>N28*0.3</f>
        <v>4335</v>
      </c>
      <c r="M28" s="14">
        <f t="shared" si="20"/>
        <v>10115</v>
      </c>
      <c r="N28" s="14">
        <f t="shared" si="21"/>
        <v>14450</v>
      </c>
      <c r="O28" s="14">
        <f t="shared" si="22"/>
        <v>9000</v>
      </c>
      <c r="P28" s="14">
        <f t="shared" si="23"/>
        <v>5450</v>
      </c>
      <c r="Q28" s="14">
        <f t="shared" si="24"/>
        <v>1760</v>
      </c>
    </row>
    <row r="29" spans="1:17" x14ac:dyDescent="0.35">
      <c r="A29" s="9">
        <v>45347</v>
      </c>
      <c r="B29" s="10">
        <f t="shared" si="0"/>
        <v>0</v>
      </c>
      <c r="C29" s="10">
        <f t="shared" si="1"/>
        <v>0</v>
      </c>
      <c r="D29" s="10">
        <f t="shared" si="2"/>
        <v>0</v>
      </c>
      <c r="E29" s="10"/>
      <c r="F29" s="10"/>
      <c r="G29" s="10"/>
      <c r="H29" s="11">
        <f t="shared" si="3"/>
        <v>0</v>
      </c>
      <c r="I29" s="12">
        <f>SUM($D$2:D29)-SUM($G$2:G29)</f>
        <v>335386</v>
      </c>
      <c r="K29" s="15">
        <f t="shared" si="19"/>
        <v>45338</v>
      </c>
      <c r="L29" s="16">
        <f t="shared" si="25"/>
        <v>4107</v>
      </c>
      <c r="M29" s="16">
        <f t="shared" si="20"/>
        <v>9583</v>
      </c>
      <c r="N29" s="16">
        <f t="shared" si="21"/>
        <v>13690</v>
      </c>
      <c r="O29" s="16">
        <f t="shared" si="22"/>
        <v>5740</v>
      </c>
      <c r="P29" s="16">
        <f t="shared" si="23"/>
        <v>7950</v>
      </c>
      <c r="Q29" s="16">
        <f t="shared" si="24"/>
        <v>1200</v>
      </c>
    </row>
    <row r="30" spans="1:17" x14ac:dyDescent="0.35">
      <c r="A30" s="9">
        <v>45348</v>
      </c>
      <c r="B30" s="10">
        <f t="shared" si="0"/>
        <v>0</v>
      </c>
      <c r="C30" s="10">
        <f t="shared" si="1"/>
        <v>0</v>
      </c>
      <c r="D30" s="10">
        <f t="shared" si="2"/>
        <v>0</v>
      </c>
      <c r="E30" s="10"/>
      <c r="F30" s="10"/>
      <c r="G30" s="10"/>
      <c r="H30" s="11">
        <f t="shared" si="3"/>
        <v>0</v>
      </c>
      <c r="I30" s="12">
        <f>SUM($D$2:D30)-SUM($G$2:G30)</f>
        <v>335386</v>
      </c>
      <c r="K30" s="13">
        <f t="shared" si="19"/>
        <v>45339</v>
      </c>
      <c r="L30" s="14">
        <f t="shared" si="25"/>
        <v>6576</v>
      </c>
      <c r="M30" s="14">
        <f t="shared" si="20"/>
        <v>15344</v>
      </c>
      <c r="N30" s="14">
        <f t="shared" si="21"/>
        <v>21920</v>
      </c>
      <c r="O30" s="14">
        <f t="shared" si="22"/>
        <v>3920</v>
      </c>
      <c r="P30" s="14">
        <f t="shared" si="23"/>
        <v>18000</v>
      </c>
      <c r="Q30" s="14">
        <f t="shared" si="24"/>
        <v>4000</v>
      </c>
    </row>
    <row r="31" spans="1:17" x14ac:dyDescent="0.35">
      <c r="A31" s="9">
        <v>45349</v>
      </c>
      <c r="B31" s="10">
        <f t="shared" si="0"/>
        <v>0</v>
      </c>
      <c r="C31" s="10">
        <f t="shared" si="1"/>
        <v>0</v>
      </c>
      <c r="D31" s="10">
        <f t="shared" si="2"/>
        <v>0</v>
      </c>
      <c r="E31" s="10"/>
      <c r="F31" s="10"/>
      <c r="G31" s="10"/>
      <c r="H31" s="11">
        <f t="shared" si="3"/>
        <v>0</v>
      </c>
      <c r="I31" s="12">
        <f>SUM($D$2:D31)-SUM($G$2:G31)</f>
        <v>335386</v>
      </c>
      <c r="K31" s="15">
        <f t="shared" si="19"/>
        <v>45340</v>
      </c>
      <c r="L31" s="16">
        <f t="shared" si="25"/>
        <v>8835</v>
      </c>
      <c r="M31" s="16">
        <f t="shared" si="20"/>
        <v>20615</v>
      </c>
      <c r="N31" s="16">
        <f t="shared" si="21"/>
        <v>29450</v>
      </c>
      <c r="O31" s="16">
        <f t="shared" si="22"/>
        <v>10250</v>
      </c>
      <c r="P31" s="16">
        <f t="shared" si="23"/>
        <v>19200</v>
      </c>
      <c r="Q31" s="16">
        <f t="shared" si="24"/>
        <v>3390</v>
      </c>
    </row>
    <row r="32" spans="1:17" x14ac:dyDescent="0.35">
      <c r="A32" s="9">
        <v>45350</v>
      </c>
      <c r="B32" s="10">
        <f t="shared" si="0"/>
        <v>0</v>
      </c>
      <c r="C32" s="10">
        <f t="shared" si="1"/>
        <v>0</v>
      </c>
      <c r="D32" s="10">
        <f t="shared" si="2"/>
        <v>0</v>
      </c>
      <c r="E32" s="17"/>
      <c r="F32" s="17"/>
      <c r="G32" s="17"/>
      <c r="H32" s="11">
        <f t="shared" si="3"/>
        <v>0</v>
      </c>
      <c r="I32" s="12">
        <f>SUM($D$2:D32)-SUM($G$2:G32)</f>
        <v>335386</v>
      </c>
      <c r="K32" s="18" t="s">
        <v>3</v>
      </c>
      <c r="L32" s="16">
        <f t="shared" ref="L32:Q32" si="26">SUM(L25:L31)</f>
        <v>36600</v>
      </c>
      <c r="M32" s="16">
        <f t="shared" si="26"/>
        <v>85400</v>
      </c>
      <c r="N32" s="16">
        <f t="shared" si="26"/>
        <v>122000</v>
      </c>
      <c r="O32" s="16">
        <f t="shared" si="26"/>
        <v>53235</v>
      </c>
      <c r="P32" s="16">
        <f t="shared" si="26"/>
        <v>68765</v>
      </c>
      <c r="Q32" s="16">
        <f t="shared" si="26"/>
        <v>20760</v>
      </c>
    </row>
    <row r="33" spans="1:17" x14ac:dyDescent="0.35">
      <c r="A33" s="9">
        <v>45351</v>
      </c>
      <c r="B33" s="10">
        <f t="shared" si="0"/>
        <v>0</v>
      </c>
      <c r="C33" s="10">
        <f t="shared" si="1"/>
        <v>0</v>
      </c>
      <c r="D33" s="10">
        <f t="shared" si="2"/>
        <v>0</v>
      </c>
      <c r="E33" s="10"/>
      <c r="F33" s="10"/>
      <c r="G33" s="10"/>
      <c r="H33" s="11">
        <f t="shared" si="3"/>
        <v>0</v>
      </c>
      <c r="I33" s="12">
        <f>SUM($D$2:D33)-SUM($G$2:G33)</f>
        <v>335386</v>
      </c>
      <c r="K33" s="18" t="s">
        <v>10</v>
      </c>
      <c r="L33" s="14">
        <f>L32/3</f>
        <v>12200</v>
      </c>
      <c r="M33" s="14"/>
      <c r="N33" s="14"/>
      <c r="O33" s="14"/>
      <c r="P33" s="14"/>
      <c r="Q33" s="14"/>
    </row>
    <row r="34" spans="1:17" x14ac:dyDescent="0.35">
      <c r="A34" s="9">
        <v>45352</v>
      </c>
      <c r="B34" s="10">
        <f t="shared" si="0"/>
        <v>0</v>
      </c>
      <c r="C34" s="10">
        <f t="shared" si="1"/>
        <v>0</v>
      </c>
      <c r="D34" s="10">
        <f t="shared" si="2"/>
        <v>0</v>
      </c>
      <c r="E34" s="10"/>
      <c r="F34" s="10"/>
      <c r="G34" s="10"/>
      <c r="H34" s="11">
        <f t="shared" si="3"/>
        <v>0</v>
      </c>
      <c r="I34" s="12">
        <f>SUM($D$2:D34)-SUM($G$2:G34)</f>
        <v>335386</v>
      </c>
    </row>
    <row r="35" spans="1:17" x14ac:dyDescent="0.35">
      <c r="A35" s="9">
        <v>45353</v>
      </c>
      <c r="B35" s="10">
        <f t="shared" si="0"/>
        <v>0</v>
      </c>
      <c r="C35" s="10">
        <f t="shared" si="1"/>
        <v>0</v>
      </c>
      <c r="D35" s="10">
        <f t="shared" si="2"/>
        <v>0</v>
      </c>
      <c r="E35" s="17"/>
      <c r="F35" s="17"/>
      <c r="G35" s="17"/>
      <c r="H35" s="11">
        <f t="shared" si="3"/>
        <v>0</v>
      </c>
      <c r="I35" s="12">
        <f>SUM($D$2:D35)-SUM($G$2:G35)</f>
        <v>335386</v>
      </c>
      <c r="K35" s="19" t="s">
        <v>0</v>
      </c>
      <c r="L35" s="20" t="s">
        <v>1</v>
      </c>
      <c r="M35" s="20" t="s">
        <v>2</v>
      </c>
      <c r="N35" s="20" t="s">
        <v>3</v>
      </c>
      <c r="O35" s="20" t="s">
        <v>4</v>
      </c>
      <c r="P35" s="20" t="s">
        <v>5</v>
      </c>
      <c r="Q35" s="20" t="s">
        <v>6</v>
      </c>
    </row>
    <row r="36" spans="1:17" x14ac:dyDescent="0.35">
      <c r="A36" s="9">
        <v>45354</v>
      </c>
      <c r="B36" s="10">
        <f t="shared" si="0"/>
        <v>0</v>
      </c>
      <c r="C36" s="10">
        <f t="shared" si="1"/>
        <v>0</v>
      </c>
      <c r="D36" s="10">
        <f t="shared" si="2"/>
        <v>0</v>
      </c>
      <c r="E36" s="17"/>
      <c r="F36" s="17"/>
      <c r="G36" s="17"/>
      <c r="H36" s="11">
        <f t="shared" si="3"/>
        <v>0</v>
      </c>
      <c r="I36" s="12">
        <f>SUM($D$2:D36)-SUM($G$2:G36)</f>
        <v>335386</v>
      </c>
      <c r="K36" s="13">
        <f t="shared" ref="K36:K42" si="27">A23</f>
        <v>45341</v>
      </c>
      <c r="L36" s="16">
        <f>N36*0.3</f>
        <v>3165</v>
      </c>
      <c r="M36" s="16">
        <f t="shared" ref="M36:M42" si="28">N36-L36</f>
        <v>7385</v>
      </c>
      <c r="N36" s="16">
        <f t="shared" ref="N36:N42" si="29">O36+P36</f>
        <v>10550</v>
      </c>
      <c r="O36" s="16">
        <f t="shared" ref="O36:O42" si="30">VLOOKUP(K36,$A$1:$H$37,5,0)</f>
        <v>5130</v>
      </c>
      <c r="P36" s="16">
        <f t="shared" ref="P36:P42" si="31">VLOOKUP(K36,$A$1:$H$37,6,0)</f>
        <v>5420</v>
      </c>
      <c r="Q36" s="16">
        <f t="shared" ref="Q36:Q42" si="32">VLOOKUP(K36,$A$1:$H$37,7,0)</f>
        <v>1000</v>
      </c>
    </row>
    <row r="37" spans="1:17" ht="15" thickBot="1" x14ac:dyDescent="0.4">
      <c r="A37" s="21" t="s">
        <v>3</v>
      </c>
      <c r="B37" s="22">
        <f>SUBTOTAL(109,Table234534568791112151416171819202122232425262728345678910113[Profit])</f>
        <v>115905.3</v>
      </c>
      <c r="C37" s="22">
        <f>SUBTOTAL(109,Table234534568791112151416171819202122232425262728345678910113[Profit])</f>
        <v>115905.3</v>
      </c>
      <c r="D37" s="22">
        <f>SUBTOTAL(109,Table234534568791112151416171819202122232425262728345678910113[Total])</f>
        <v>386351</v>
      </c>
      <c r="E37" s="22">
        <f>SUBTOTAL(109,Table234534568791112151416171819202122232425262728345678910113[Profit])</f>
        <v>115905.3</v>
      </c>
      <c r="F37" s="22">
        <f>SUBTOTAL(109,Table234534568791112151416171819202122232425262728345678910113[Profit])</f>
        <v>115905.3</v>
      </c>
      <c r="G37" s="22">
        <f t="shared" ref="G37:I37" si="33">SUM(G4:G36)</f>
        <v>49055</v>
      </c>
      <c r="H37" s="22">
        <f t="shared" si="33"/>
        <v>8.571428571428573</v>
      </c>
      <c r="I37" s="22">
        <f t="shared" si="33"/>
        <v>8158312</v>
      </c>
      <c r="K37" s="13">
        <f t="shared" si="27"/>
        <v>45342</v>
      </c>
      <c r="L37" s="14">
        <f>N37*0.3</f>
        <v>0</v>
      </c>
      <c r="M37" s="14">
        <f t="shared" si="28"/>
        <v>0</v>
      </c>
      <c r="N37" s="14">
        <f t="shared" si="29"/>
        <v>0</v>
      </c>
      <c r="O37" s="14">
        <f t="shared" si="30"/>
        <v>0</v>
      </c>
      <c r="P37" s="14">
        <f t="shared" si="31"/>
        <v>0</v>
      </c>
      <c r="Q37" s="14">
        <f t="shared" si="32"/>
        <v>0</v>
      </c>
    </row>
    <row r="38" spans="1:17" x14ac:dyDescent="0.35">
      <c r="A38" s="23"/>
      <c r="B38" s="24">
        <f>B37/3</f>
        <v>38635.1</v>
      </c>
      <c r="C38" s="24"/>
      <c r="E38" s="26">
        <f>D37*0.42</f>
        <v>162267.41999999998</v>
      </c>
      <c r="F38" s="24"/>
      <c r="G38" s="24"/>
      <c r="H38" s="27"/>
      <c r="K38" s="15">
        <f t="shared" si="27"/>
        <v>45343</v>
      </c>
      <c r="L38" s="16">
        <f t="shared" ref="L38:L42" si="34">N38*0.3</f>
        <v>0</v>
      </c>
      <c r="M38" s="16">
        <f t="shared" si="28"/>
        <v>0</v>
      </c>
      <c r="N38" s="16">
        <f t="shared" si="29"/>
        <v>0</v>
      </c>
      <c r="O38" s="16">
        <f t="shared" si="30"/>
        <v>0</v>
      </c>
      <c r="P38" s="16">
        <f t="shared" si="31"/>
        <v>0</v>
      </c>
      <c r="Q38" s="16">
        <f t="shared" si="32"/>
        <v>0</v>
      </c>
    </row>
    <row r="39" spans="1:17" x14ac:dyDescent="0.35">
      <c r="A39" s="23"/>
      <c r="B39" s="24">
        <f>B38*100/D37</f>
        <v>10</v>
      </c>
      <c r="C39" s="24"/>
      <c r="E39" s="24">
        <f>E38/3</f>
        <v>54089.139999999992</v>
      </c>
      <c r="F39" s="24"/>
      <c r="G39" s="24"/>
      <c r="H39" s="27"/>
      <c r="K39" s="13">
        <f t="shared" si="27"/>
        <v>45344</v>
      </c>
      <c r="L39" s="14">
        <f t="shared" si="34"/>
        <v>0</v>
      </c>
      <c r="M39" s="14">
        <f t="shared" si="28"/>
        <v>0</v>
      </c>
      <c r="N39" s="14">
        <f t="shared" si="29"/>
        <v>0</v>
      </c>
      <c r="O39" s="14">
        <f t="shared" si="30"/>
        <v>0</v>
      </c>
      <c r="P39" s="14">
        <f t="shared" si="31"/>
        <v>0</v>
      </c>
      <c r="Q39" s="14">
        <f t="shared" si="32"/>
        <v>0</v>
      </c>
    </row>
    <row r="40" spans="1:17" x14ac:dyDescent="0.35">
      <c r="A40" s="19" t="s">
        <v>0</v>
      </c>
      <c r="B40" s="20" t="s">
        <v>1</v>
      </c>
      <c r="C40" s="20" t="s">
        <v>2</v>
      </c>
      <c r="D40" s="20" t="s">
        <v>3</v>
      </c>
      <c r="E40" s="20" t="s">
        <v>4</v>
      </c>
      <c r="F40" s="20" t="s">
        <v>5</v>
      </c>
      <c r="G40" s="20" t="s">
        <v>6</v>
      </c>
      <c r="H40" s="28" t="s">
        <v>10</v>
      </c>
      <c r="K40" s="15">
        <f t="shared" si="27"/>
        <v>45345</v>
      </c>
      <c r="L40" s="16">
        <f t="shared" si="34"/>
        <v>0</v>
      </c>
      <c r="M40" s="16">
        <f t="shared" si="28"/>
        <v>0</v>
      </c>
      <c r="N40" s="16">
        <f t="shared" si="29"/>
        <v>0</v>
      </c>
      <c r="O40" s="16">
        <f t="shared" si="30"/>
        <v>0</v>
      </c>
      <c r="P40" s="16">
        <f t="shared" si="31"/>
        <v>0</v>
      </c>
      <c r="Q40" s="16">
        <f t="shared" si="32"/>
        <v>0</v>
      </c>
    </row>
    <row r="41" spans="1:17" x14ac:dyDescent="0.35">
      <c r="A41" s="29" t="str">
        <f>CONCATENATE(TEXT(K3,"DD-MMM-YYY")," to ",TEXT(K9,"DD-MMM-YYYY"))</f>
        <v>29-Jan-2024 to 04-Feb-2024</v>
      </c>
      <c r="B41" s="16">
        <f>L10</f>
        <v>28921.8</v>
      </c>
      <c r="C41" s="16">
        <f t="shared" ref="C41:G41" si="35">M10</f>
        <v>67484.2</v>
      </c>
      <c r="D41" s="16">
        <f t="shared" si="35"/>
        <v>96406</v>
      </c>
      <c r="E41" s="16">
        <f t="shared" si="35"/>
        <v>46260</v>
      </c>
      <c r="F41" s="16">
        <f t="shared" si="35"/>
        <v>50146</v>
      </c>
      <c r="G41" s="16">
        <f t="shared" si="35"/>
        <v>7905</v>
      </c>
      <c r="H41" s="16">
        <f>B41/3</f>
        <v>9640.6</v>
      </c>
      <c r="K41" s="13">
        <f t="shared" si="27"/>
        <v>45346</v>
      </c>
      <c r="L41" s="14">
        <f t="shared" si="34"/>
        <v>0</v>
      </c>
      <c r="M41" s="14">
        <f t="shared" si="28"/>
        <v>0</v>
      </c>
      <c r="N41" s="14">
        <f t="shared" si="29"/>
        <v>0</v>
      </c>
      <c r="O41" s="14">
        <f t="shared" si="30"/>
        <v>0</v>
      </c>
      <c r="P41" s="14">
        <f t="shared" si="31"/>
        <v>0</v>
      </c>
      <c r="Q41" s="14">
        <f t="shared" si="32"/>
        <v>0</v>
      </c>
    </row>
    <row r="42" spans="1:17" x14ac:dyDescent="0.35">
      <c r="A42" s="29" t="str">
        <f>CONCATENATE(TEXT(K14,"DD-MMM-YYY")," to ",TEXT(K20,"DD-MMM-YYYY"))</f>
        <v>05-Feb-2024 to 11-Feb-2024</v>
      </c>
      <c r="B42" s="14">
        <f>L21</f>
        <v>47218.5</v>
      </c>
      <c r="C42" s="14">
        <f t="shared" ref="C42:G42" si="36">M21</f>
        <v>110176.5</v>
      </c>
      <c r="D42" s="14">
        <f t="shared" si="36"/>
        <v>157395</v>
      </c>
      <c r="E42" s="14">
        <f t="shared" si="36"/>
        <v>56550</v>
      </c>
      <c r="F42" s="14">
        <f t="shared" si="36"/>
        <v>100845</v>
      </c>
      <c r="G42" s="14">
        <f t="shared" si="36"/>
        <v>21300</v>
      </c>
      <c r="H42" s="16">
        <f t="shared" ref="H42:H45" si="37">B42/3</f>
        <v>15739.5</v>
      </c>
      <c r="K42" s="15">
        <f t="shared" si="27"/>
        <v>45347</v>
      </c>
      <c r="L42" s="16">
        <f t="shared" si="34"/>
        <v>0</v>
      </c>
      <c r="M42" s="16">
        <f t="shared" si="28"/>
        <v>0</v>
      </c>
      <c r="N42" s="16">
        <f t="shared" si="29"/>
        <v>0</v>
      </c>
      <c r="O42" s="16">
        <f t="shared" si="30"/>
        <v>0</v>
      </c>
      <c r="P42" s="16">
        <f t="shared" si="31"/>
        <v>0</v>
      </c>
      <c r="Q42" s="16">
        <f t="shared" si="32"/>
        <v>0</v>
      </c>
    </row>
    <row r="43" spans="1:17" x14ac:dyDescent="0.35">
      <c r="A43" s="29" t="str">
        <f>CONCATENATE(TEXT(K25,"DD-MMM-YYY")," to ",TEXT(K31,"DD-MMM-YYYY"))</f>
        <v>12-Feb-2024 to 18-Feb-2024</v>
      </c>
      <c r="B43" s="16">
        <f>L32</f>
        <v>36600</v>
      </c>
      <c r="C43" s="16">
        <f t="shared" ref="C43:G43" si="38">M32</f>
        <v>85400</v>
      </c>
      <c r="D43" s="16">
        <f t="shared" si="38"/>
        <v>122000</v>
      </c>
      <c r="E43" s="16">
        <f t="shared" si="38"/>
        <v>53235</v>
      </c>
      <c r="F43" s="16">
        <f t="shared" si="38"/>
        <v>68765</v>
      </c>
      <c r="G43" s="16">
        <f t="shared" si="38"/>
        <v>20760</v>
      </c>
      <c r="H43" s="16">
        <f t="shared" si="37"/>
        <v>12200</v>
      </c>
      <c r="K43" s="18" t="s">
        <v>3</v>
      </c>
      <c r="L43" s="16">
        <f t="shared" ref="L43" si="39">SUM(L36:L42)</f>
        <v>3165</v>
      </c>
      <c r="M43" s="14">
        <f t="shared" ref="M43:Q43" si="40">SUM(M36:M42)</f>
        <v>7385</v>
      </c>
      <c r="N43" s="14">
        <f t="shared" si="40"/>
        <v>10550</v>
      </c>
      <c r="O43" s="14">
        <f t="shared" si="40"/>
        <v>5130</v>
      </c>
      <c r="P43" s="14">
        <f t="shared" si="40"/>
        <v>5420</v>
      </c>
      <c r="Q43" s="14">
        <f t="shared" si="40"/>
        <v>1000</v>
      </c>
    </row>
    <row r="44" spans="1:17" x14ac:dyDescent="0.35">
      <c r="A44" s="29" t="str">
        <f>CONCATENATE(TEXT(K36,"DD-MMM-YYY")," to ",TEXT(K42,"DD-MMM-YYYY"))</f>
        <v>19-Feb-2024 to 25-Feb-2024</v>
      </c>
      <c r="B44" s="14">
        <f>L43</f>
        <v>3165</v>
      </c>
      <c r="C44" s="14">
        <f t="shared" ref="C44:G44" si="41">M43</f>
        <v>7385</v>
      </c>
      <c r="D44" s="14">
        <f t="shared" si="41"/>
        <v>10550</v>
      </c>
      <c r="E44" s="14">
        <f t="shared" si="41"/>
        <v>5130</v>
      </c>
      <c r="F44" s="14">
        <f t="shared" si="41"/>
        <v>5420</v>
      </c>
      <c r="G44" s="14">
        <f t="shared" si="41"/>
        <v>1000</v>
      </c>
      <c r="H44" s="16">
        <f t="shared" si="37"/>
        <v>1055</v>
      </c>
      <c r="K44" s="18" t="s">
        <v>10</v>
      </c>
      <c r="L44" s="16">
        <f>L43/3</f>
        <v>1055</v>
      </c>
      <c r="M44" s="16"/>
      <c r="N44" s="16"/>
      <c r="O44" s="16"/>
      <c r="P44" s="16"/>
      <c r="Q44" s="16"/>
    </row>
    <row r="45" spans="1:17" x14ac:dyDescent="0.35">
      <c r="A45" s="29" t="str">
        <f>CONCATENATE(TEXT(K47,"DD-MMM-YYY")," to ",TEXT(K53,"DD-MMM-YYYY"))</f>
        <v>26-Feb-2024 to 03-Mar-2024</v>
      </c>
      <c r="B45" s="16">
        <f>L54</f>
        <v>0</v>
      </c>
      <c r="C45" s="16">
        <f t="shared" ref="C45:G45" si="42">M54</f>
        <v>0</v>
      </c>
      <c r="D45" s="16">
        <f t="shared" si="42"/>
        <v>0</v>
      </c>
      <c r="E45" s="16">
        <f t="shared" si="42"/>
        <v>0</v>
      </c>
      <c r="F45" s="16">
        <f t="shared" si="42"/>
        <v>0</v>
      </c>
      <c r="G45" s="16">
        <f t="shared" si="42"/>
        <v>0</v>
      </c>
      <c r="H45" s="16">
        <f t="shared" si="37"/>
        <v>0</v>
      </c>
    </row>
    <row r="46" spans="1:17" x14ac:dyDescent="0.35">
      <c r="A46" s="29" t="str">
        <f>CONCATENATE(TEXT(K59,"DD-MMM-YYY")," to ",TEXT(K58,"DD-MMM-YYYY"))</f>
        <v>02-Feb-2024 to Date</v>
      </c>
      <c r="B46" s="14">
        <f>SUM(B41:B45)</f>
        <v>115905.3</v>
      </c>
      <c r="C46" s="14">
        <f t="shared" ref="C46:H46" si="43">SUM(C41:C45)</f>
        <v>270445.7</v>
      </c>
      <c r="D46" s="14">
        <f t="shared" si="43"/>
        <v>386351</v>
      </c>
      <c r="E46" s="14">
        <f t="shared" si="43"/>
        <v>161175</v>
      </c>
      <c r="F46" s="14">
        <f t="shared" si="43"/>
        <v>225176</v>
      </c>
      <c r="G46" s="14">
        <f t="shared" si="43"/>
        <v>50965</v>
      </c>
      <c r="H46" s="14">
        <f t="shared" si="43"/>
        <v>38635.1</v>
      </c>
      <c r="K46" s="19" t="s">
        <v>0</v>
      </c>
      <c r="L46" s="20" t="s">
        <v>1</v>
      </c>
      <c r="M46" s="20" t="s">
        <v>2</v>
      </c>
      <c r="N46" s="20" t="s">
        <v>3</v>
      </c>
      <c r="O46" s="20" t="s">
        <v>4</v>
      </c>
      <c r="P46" s="20" t="s">
        <v>5</v>
      </c>
      <c r="Q46" s="20" t="s">
        <v>6</v>
      </c>
    </row>
    <row r="47" spans="1:17" x14ac:dyDescent="0.35">
      <c r="C47" s="65" t="s">
        <v>3</v>
      </c>
      <c r="D47" s="65"/>
      <c r="E47" s="65"/>
      <c r="F47" s="65"/>
      <c r="G47" s="66"/>
      <c r="H47" s="16"/>
      <c r="K47" s="15">
        <f t="shared" ref="K47:K53" si="44">A30</f>
        <v>45348</v>
      </c>
      <c r="L47" s="16">
        <f>N47*0.3</f>
        <v>0</v>
      </c>
      <c r="M47" s="16">
        <f t="shared" ref="M47:M53" si="45">N47-L47</f>
        <v>0</v>
      </c>
      <c r="N47" s="16">
        <f t="shared" ref="N47:N53" si="46">O47+P47</f>
        <v>0</v>
      </c>
      <c r="O47" s="16">
        <f t="shared" ref="O47:O52" si="47">VLOOKUP(K47,$A$1:$H$37,5,0)</f>
        <v>0</v>
      </c>
      <c r="P47" s="16">
        <f t="shared" ref="P47:P53" si="48">VLOOKUP(K47,$A$1:$H$37,6,0)</f>
        <v>0</v>
      </c>
      <c r="Q47" s="16">
        <f t="shared" ref="Q47:Q53" si="49">VLOOKUP(K47,$A$1:$H$37,7,0)</f>
        <v>0</v>
      </c>
    </row>
    <row r="48" spans="1:17" x14ac:dyDescent="0.35">
      <c r="K48" s="13">
        <f t="shared" si="44"/>
        <v>45349</v>
      </c>
      <c r="L48" s="14">
        <f>N48*0.3</f>
        <v>0</v>
      </c>
      <c r="M48" s="14">
        <f t="shared" si="45"/>
        <v>0</v>
      </c>
      <c r="N48" s="14">
        <f t="shared" si="46"/>
        <v>0</v>
      </c>
      <c r="O48" s="14">
        <f t="shared" si="47"/>
        <v>0</v>
      </c>
      <c r="P48" s="14">
        <f t="shared" si="48"/>
        <v>0</v>
      </c>
      <c r="Q48" s="14">
        <f t="shared" si="49"/>
        <v>0</v>
      </c>
    </row>
    <row r="49" spans="11:17" x14ac:dyDescent="0.35">
      <c r="K49" s="15">
        <f t="shared" si="44"/>
        <v>45350</v>
      </c>
      <c r="L49" s="16">
        <f t="shared" ref="L49:L53" si="50">N49*0.3</f>
        <v>0</v>
      </c>
      <c r="M49" s="16">
        <f t="shared" si="45"/>
        <v>0</v>
      </c>
      <c r="N49" s="16">
        <f t="shared" si="46"/>
        <v>0</v>
      </c>
      <c r="O49" s="16">
        <f t="shared" si="47"/>
        <v>0</v>
      </c>
      <c r="P49" s="16">
        <f t="shared" si="48"/>
        <v>0</v>
      </c>
      <c r="Q49" s="16">
        <f t="shared" si="49"/>
        <v>0</v>
      </c>
    </row>
    <row r="50" spans="11:17" x14ac:dyDescent="0.35">
      <c r="K50" s="13">
        <f t="shared" si="44"/>
        <v>45351</v>
      </c>
      <c r="L50" s="14">
        <f t="shared" si="50"/>
        <v>0</v>
      </c>
      <c r="M50" s="14">
        <f t="shared" si="45"/>
        <v>0</v>
      </c>
      <c r="N50" s="14">
        <f t="shared" si="46"/>
        <v>0</v>
      </c>
      <c r="O50" s="14">
        <f t="shared" si="47"/>
        <v>0</v>
      </c>
      <c r="P50" s="14">
        <f t="shared" si="48"/>
        <v>0</v>
      </c>
      <c r="Q50" s="14">
        <f t="shared" si="49"/>
        <v>0</v>
      </c>
    </row>
    <row r="51" spans="11:17" x14ac:dyDescent="0.35">
      <c r="K51" s="15">
        <f t="shared" si="44"/>
        <v>45352</v>
      </c>
      <c r="L51" s="16">
        <f t="shared" si="50"/>
        <v>0</v>
      </c>
      <c r="M51" s="16">
        <f t="shared" si="45"/>
        <v>0</v>
      </c>
      <c r="N51" s="16">
        <f t="shared" si="46"/>
        <v>0</v>
      </c>
      <c r="O51" s="16">
        <f t="shared" si="47"/>
        <v>0</v>
      </c>
      <c r="P51" s="16">
        <f t="shared" si="48"/>
        <v>0</v>
      </c>
      <c r="Q51" s="16">
        <f t="shared" si="49"/>
        <v>0</v>
      </c>
    </row>
    <row r="52" spans="11:17" x14ac:dyDescent="0.35">
      <c r="K52" s="13">
        <f t="shared" si="44"/>
        <v>45353</v>
      </c>
      <c r="L52" s="14">
        <f t="shared" si="50"/>
        <v>0</v>
      </c>
      <c r="M52" s="14">
        <f t="shared" si="45"/>
        <v>0</v>
      </c>
      <c r="N52" s="14">
        <f t="shared" si="46"/>
        <v>0</v>
      </c>
      <c r="O52" s="14">
        <f t="shared" si="47"/>
        <v>0</v>
      </c>
      <c r="P52" s="14">
        <f t="shared" si="48"/>
        <v>0</v>
      </c>
      <c r="Q52" s="14">
        <f t="shared" si="49"/>
        <v>0</v>
      </c>
    </row>
    <row r="53" spans="11:17" x14ac:dyDescent="0.35">
      <c r="K53" s="15">
        <f t="shared" si="44"/>
        <v>45354</v>
      </c>
      <c r="L53" s="16">
        <f t="shared" si="50"/>
        <v>0</v>
      </c>
      <c r="M53" s="16">
        <f t="shared" si="45"/>
        <v>0</v>
      </c>
      <c r="N53" s="16">
        <f t="shared" si="46"/>
        <v>0</v>
      </c>
      <c r="O53" s="16">
        <f>VLOOKUP(K53,$A$1:$H$37,5,0)</f>
        <v>0</v>
      </c>
      <c r="P53" s="16">
        <f t="shared" si="48"/>
        <v>0</v>
      </c>
      <c r="Q53" s="16">
        <f t="shared" si="49"/>
        <v>0</v>
      </c>
    </row>
    <row r="54" spans="11:17" x14ac:dyDescent="0.35">
      <c r="K54" s="18" t="s">
        <v>3</v>
      </c>
      <c r="L54" s="14">
        <f t="shared" ref="L54:Q54" si="51">SUM(L47:L53)</f>
        <v>0</v>
      </c>
      <c r="M54" s="14">
        <f t="shared" si="51"/>
        <v>0</v>
      </c>
      <c r="N54" s="14">
        <f t="shared" si="51"/>
        <v>0</v>
      </c>
      <c r="O54" s="14">
        <f t="shared" si="51"/>
        <v>0</v>
      </c>
      <c r="P54" s="14">
        <f t="shared" si="51"/>
        <v>0</v>
      </c>
      <c r="Q54" s="14">
        <f t="shared" si="51"/>
        <v>0</v>
      </c>
    </row>
    <row r="55" spans="11:17" x14ac:dyDescent="0.35">
      <c r="K55" s="18" t="s">
        <v>10</v>
      </c>
      <c r="L55" s="16">
        <f>L54/3</f>
        <v>0</v>
      </c>
      <c r="M55" s="16"/>
      <c r="N55" s="16"/>
      <c r="O55" s="16"/>
      <c r="P55" s="16"/>
      <c r="Q55" s="16"/>
    </row>
    <row r="58" spans="11:17" x14ac:dyDescent="0.35">
      <c r="K58" s="19" t="s">
        <v>0</v>
      </c>
      <c r="L58" s="20" t="s">
        <v>1</v>
      </c>
      <c r="M58" s="20" t="s">
        <v>2</v>
      </c>
      <c r="N58" s="20" t="s">
        <v>3</v>
      </c>
      <c r="O58" s="20" t="s">
        <v>4</v>
      </c>
      <c r="P58" s="20" t="s">
        <v>5</v>
      </c>
      <c r="Q58" s="20" t="s">
        <v>6</v>
      </c>
    </row>
    <row r="59" spans="11:17" x14ac:dyDescent="0.35">
      <c r="K59" s="30">
        <f>A6</f>
        <v>45324</v>
      </c>
      <c r="L59" s="14">
        <f>SUM(B7:B36)</f>
        <v>91191</v>
      </c>
      <c r="M59" s="14">
        <f t="shared" ref="M59:Q59" si="52">SUM(C7:C36)</f>
        <v>212779</v>
      </c>
      <c r="N59" s="14">
        <f t="shared" si="52"/>
        <v>303970</v>
      </c>
      <c r="O59" s="14">
        <f t="shared" si="52"/>
        <v>119385</v>
      </c>
      <c r="P59" s="14">
        <f t="shared" si="52"/>
        <v>184585</v>
      </c>
      <c r="Q59" s="14">
        <f t="shared" si="52"/>
        <v>45280</v>
      </c>
    </row>
    <row r="60" spans="11:17" x14ac:dyDescent="0.35">
      <c r="K60" s="18" t="s">
        <v>10</v>
      </c>
      <c r="L60" s="16">
        <f>L59/3</f>
        <v>30397</v>
      </c>
      <c r="M60" s="16"/>
      <c r="N60" s="16"/>
      <c r="O60" s="16"/>
      <c r="P60" s="16"/>
      <c r="Q60" s="16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CF38-9E27-47C0-962C-53365CD9A797}">
  <dimension ref="A1:Q60"/>
  <sheetViews>
    <sheetView zoomScale="90" zoomScaleNormal="90" workbookViewId="0">
      <pane ySplit="1" topLeftCell="A28" activePane="bottomLeft" state="frozen"/>
      <selection pane="bottomLeft" activeCell="D45" sqref="D45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5" width="10" bestFit="1" customWidth="1"/>
    <col min="16" max="16" width="16.453125" bestFit="1" customWidth="1"/>
    <col min="17" max="17" width="9" bestFit="1" customWidth="1"/>
  </cols>
  <sheetData>
    <row r="1" spans="1:17" s="6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K1" s="7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5">
      <c r="A2" s="9">
        <v>45348</v>
      </c>
      <c r="B2" s="10">
        <f t="shared" ref="B2:B36" si="0">D2*0.3</f>
        <v>0</v>
      </c>
      <c r="C2" s="10">
        <f t="shared" ref="C2:C36" si="1">D2-B2</f>
        <v>0</v>
      </c>
      <c r="D2" s="10">
        <f t="shared" ref="D2:D36" si="2">E2+F2</f>
        <v>0</v>
      </c>
      <c r="E2" s="10"/>
      <c r="F2" s="10"/>
      <c r="G2" s="10"/>
      <c r="H2" s="11">
        <f t="shared" ref="H2:H36" si="3">IFERROR(B2/C2,0)</f>
        <v>0</v>
      </c>
      <c r="I2" s="12">
        <f>SUM($D$2:D2)-SUM($G$2:G2)</f>
        <v>0</v>
      </c>
      <c r="K2" s="13" t="s">
        <v>9</v>
      </c>
      <c r="L2" s="14"/>
      <c r="M2" s="14"/>
      <c r="N2" s="14"/>
      <c r="O2" s="14"/>
      <c r="P2" s="14"/>
      <c r="Q2" s="14">
        <v>0</v>
      </c>
    </row>
    <row r="3" spans="1:17" x14ac:dyDescent="0.35">
      <c r="A3" s="9">
        <v>45349</v>
      </c>
      <c r="B3" s="10">
        <f t="shared" si="0"/>
        <v>0</v>
      </c>
      <c r="C3" s="10">
        <f t="shared" si="1"/>
        <v>0</v>
      </c>
      <c r="D3" s="10">
        <f t="shared" si="2"/>
        <v>0</v>
      </c>
      <c r="E3" s="10"/>
      <c r="F3" s="10"/>
      <c r="G3" s="10"/>
      <c r="H3" s="11">
        <f t="shared" si="3"/>
        <v>0</v>
      </c>
      <c r="I3" s="12">
        <f>SUM($D$2:D3)-SUM($G$2:G3)</f>
        <v>0</v>
      </c>
      <c r="K3" s="15">
        <f t="shared" ref="K3:K9" si="4">A2</f>
        <v>45348</v>
      </c>
      <c r="L3" s="16">
        <f>N3*0.3</f>
        <v>0</v>
      </c>
      <c r="M3" s="16">
        <f t="shared" ref="M3:M9" si="5">N3-L3</f>
        <v>0</v>
      </c>
      <c r="N3" s="16">
        <f t="shared" ref="N3:N9" si="6">O3+P3</f>
        <v>0</v>
      </c>
      <c r="O3" s="16">
        <f t="shared" ref="O3:O9" si="7">VLOOKUP(K3,$A$1:$H$37,5,0)</f>
        <v>0</v>
      </c>
      <c r="P3" s="16">
        <f t="shared" ref="P3:P9" si="8">VLOOKUP(K3,$A$1:$H$37,6,0)</f>
        <v>0</v>
      </c>
      <c r="Q3" s="16">
        <f t="shared" ref="Q3:Q9" si="9">VLOOKUP(K3,$A$1:$H$37,7,0)</f>
        <v>0</v>
      </c>
    </row>
    <row r="4" spans="1:17" x14ac:dyDescent="0.35">
      <c r="A4" s="9">
        <v>45350</v>
      </c>
      <c r="B4" s="10">
        <f t="shared" si="0"/>
        <v>0</v>
      </c>
      <c r="C4" s="10">
        <f t="shared" si="1"/>
        <v>0</v>
      </c>
      <c r="D4" s="10">
        <f t="shared" si="2"/>
        <v>0</v>
      </c>
      <c r="E4" s="17"/>
      <c r="F4" s="17"/>
      <c r="G4" s="17"/>
      <c r="H4" s="11">
        <f t="shared" si="3"/>
        <v>0</v>
      </c>
      <c r="I4" s="12">
        <f>SUM($D$2:D4)-SUM($G$2:G4)</f>
        <v>0</v>
      </c>
      <c r="K4" s="13">
        <f t="shared" si="4"/>
        <v>45349</v>
      </c>
      <c r="L4" s="14">
        <f>N4*0.3</f>
        <v>0</v>
      </c>
      <c r="M4" s="14">
        <f t="shared" si="5"/>
        <v>0</v>
      </c>
      <c r="N4" s="14">
        <f t="shared" si="6"/>
        <v>0</v>
      </c>
      <c r="O4" s="14">
        <f t="shared" si="7"/>
        <v>0</v>
      </c>
      <c r="P4" s="14">
        <f t="shared" si="8"/>
        <v>0</v>
      </c>
      <c r="Q4" s="14">
        <f t="shared" si="9"/>
        <v>0</v>
      </c>
    </row>
    <row r="5" spans="1:17" x14ac:dyDescent="0.35">
      <c r="A5" s="9">
        <v>45351</v>
      </c>
      <c r="B5" s="10">
        <f t="shared" si="0"/>
        <v>0</v>
      </c>
      <c r="C5" s="10">
        <f t="shared" si="1"/>
        <v>0</v>
      </c>
      <c r="D5" s="10">
        <f t="shared" si="2"/>
        <v>0</v>
      </c>
      <c r="E5" s="10"/>
      <c r="F5" s="10"/>
      <c r="G5" s="10"/>
      <c r="H5" s="11">
        <f t="shared" si="3"/>
        <v>0</v>
      </c>
      <c r="I5" s="12">
        <f>SUM($D$2:D5)-SUM($G$2:G5)</f>
        <v>0</v>
      </c>
      <c r="K5" s="15">
        <f t="shared" si="4"/>
        <v>45350</v>
      </c>
      <c r="L5" s="16">
        <f t="shared" ref="L5:L9" si="10">N5*0.3</f>
        <v>0</v>
      </c>
      <c r="M5" s="16">
        <f t="shared" si="5"/>
        <v>0</v>
      </c>
      <c r="N5" s="16">
        <f t="shared" si="6"/>
        <v>0</v>
      </c>
      <c r="O5" s="16">
        <f t="shared" si="7"/>
        <v>0</v>
      </c>
      <c r="P5" s="16">
        <f t="shared" si="8"/>
        <v>0</v>
      </c>
      <c r="Q5" s="16">
        <f t="shared" si="9"/>
        <v>0</v>
      </c>
    </row>
    <row r="6" spans="1:17" x14ac:dyDescent="0.35">
      <c r="A6" s="9">
        <v>45352</v>
      </c>
      <c r="B6" s="10">
        <f t="shared" si="0"/>
        <v>0</v>
      </c>
      <c r="C6" s="10">
        <f t="shared" si="1"/>
        <v>0</v>
      </c>
      <c r="D6" s="10">
        <f t="shared" si="2"/>
        <v>0</v>
      </c>
      <c r="E6" s="10"/>
      <c r="F6" s="10"/>
      <c r="G6" s="10"/>
      <c r="H6" s="11">
        <f t="shared" si="3"/>
        <v>0</v>
      </c>
      <c r="I6" s="12">
        <f>SUM($D$2:D6)-SUM($G$2:G6)</f>
        <v>0</v>
      </c>
      <c r="K6" s="13">
        <f t="shared" si="4"/>
        <v>45351</v>
      </c>
      <c r="L6" s="14">
        <f t="shared" si="10"/>
        <v>0</v>
      </c>
      <c r="M6" s="14">
        <f t="shared" si="5"/>
        <v>0</v>
      </c>
      <c r="N6" s="14">
        <f t="shared" si="6"/>
        <v>0</v>
      </c>
      <c r="O6" s="14">
        <f t="shared" si="7"/>
        <v>0</v>
      </c>
      <c r="P6" s="14">
        <f t="shared" si="8"/>
        <v>0</v>
      </c>
      <c r="Q6" s="14">
        <f t="shared" si="9"/>
        <v>0</v>
      </c>
    </row>
    <row r="7" spans="1:17" x14ac:dyDescent="0.35">
      <c r="A7" s="9">
        <v>45353</v>
      </c>
      <c r="B7" s="10">
        <f t="shared" si="0"/>
        <v>0</v>
      </c>
      <c r="C7" s="10">
        <f t="shared" si="1"/>
        <v>0</v>
      </c>
      <c r="D7" s="10">
        <f t="shared" si="2"/>
        <v>0</v>
      </c>
      <c r="E7" s="17"/>
      <c r="F7" s="17"/>
      <c r="G7" s="17"/>
      <c r="H7" s="11">
        <f t="shared" si="3"/>
        <v>0</v>
      </c>
      <c r="I7" s="12">
        <f>SUM($D$2:D7)-SUM($G$2:G7)</f>
        <v>0</v>
      </c>
      <c r="K7" s="15">
        <f t="shared" si="4"/>
        <v>45352</v>
      </c>
      <c r="L7" s="16">
        <f t="shared" si="10"/>
        <v>0</v>
      </c>
      <c r="M7" s="16">
        <f t="shared" si="5"/>
        <v>0</v>
      </c>
      <c r="N7" s="16">
        <f t="shared" si="6"/>
        <v>0</v>
      </c>
      <c r="O7" s="16">
        <f t="shared" si="7"/>
        <v>0</v>
      </c>
      <c r="P7" s="16">
        <f t="shared" si="8"/>
        <v>0</v>
      </c>
      <c r="Q7" s="16">
        <f t="shared" si="9"/>
        <v>0</v>
      </c>
    </row>
    <row r="8" spans="1:17" x14ac:dyDescent="0.35">
      <c r="A8" s="9">
        <v>45354</v>
      </c>
      <c r="B8" s="10">
        <f t="shared" si="0"/>
        <v>0</v>
      </c>
      <c r="C8" s="10">
        <f t="shared" si="1"/>
        <v>0</v>
      </c>
      <c r="D8" s="10">
        <f t="shared" si="2"/>
        <v>0</v>
      </c>
      <c r="E8" s="17"/>
      <c r="F8" s="17"/>
      <c r="G8" s="17"/>
      <c r="H8" s="11">
        <f t="shared" si="3"/>
        <v>0</v>
      </c>
      <c r="I8" s="12">
        <f>SUM($D$2:D8)-SUM($G$2:G8)</f>
        <v>0</v>
      </c>
      <c r="K8" s="13">
        <f t="shared" si="4"/>
        <v>45353</v>
      </c>
      <c r="L8" s="14">
        <f t="shared" si="10"/>
        <v>0</v>
      </c>
      <c r="M8" s="14">
        <f t="shared" si="5"/>
        <v>0</v>
      </c>
      <c r="N8" s="14">
        <f t="shared" si="6"/>
        <v>0</v>
      </c>
      <c r="O8" s="14">
        <f t="shared" si="7"/>
        <v>0</v>
      </c>
      <c r="P8" s="14">
        <f t="shared" si="8"/>
        <v>0</v>
      </c>
      <c r="Q8" s="14">
        <f t="shared" si="9"/>
        <v>0</v>
      </c>
    </row>
    <row r="9" spans="1:17" x14ac:dyDescent="0.35">
      <c r="A9" s="9">
        <v>45355</v>
      </c>
      <c r="B9" s="10">
        <f t="shared" si="0"/>
        <v>0</v>
      </c>
      <c r="C9" s="10">
        <f t="shared" si="1"/>
        <v>0</v>
      </c>
      <c r="D9" s="10">
        <f t="shared" si="2"/>
        <v>0</v>
      </c>
      <c r="E9" s="10"/>
      <c r="F9" s="10"/>
      <c r="G9" s="10"/>
      <c r="H9" s="11">
        <f t="shared" si="3"/>
        <v>0</v>
      </c>
      <c r="I9" s="12">
        <f>SUM($D$2:D9)-SUM($G$2:G9)</f>
        <v>0</v>
      </c>
      <c r="K9" s="15">
        <f t="shared" si="4"/>
        <v>45354</v>
      </c>
      <c r="L9" s="16">
        <f t="shared" si="10"/>
        <v>0</v>
      </c>
      <c r="M9" s="16">
        <f t="shared" si="5"/>
        <v>0</v>
      </c>
      <c r="N9" s="16">
        <f t="shared" si="6"/>
        <v>0</v>
      </c>
      <c r="O9" s="16">
        <f t="shared" si="7"/>
        <v>0</v>
      </c>
      <c r="P9" s="16">
        <f t="shared" si="8"/>
        <v>0</v>
      </c>
      <c r="Q9" s="16">
        <f t="shared" si="9"/>
        <v>0</v>
      </c>
    </row>
    <row r="10" spans="1:17" x14ac:dyDescent="0.35">
      <c r="A10" s="9">
        <v>45356</v>
      </c>
      <c r="B10" s="10">
        <f t="shared" si="0"/>
        <v>0</v>
      </c>
      <c r="C10" s="10">
        <f t="shared" si="1"/>
        <v>0</v>
      </c>
      <c r="D10" s="10">
        <f t="shared" si="2"/>
        <v>0</v>
      </c>
      <c r="E10" s="10"/>
      <c r="F10" s="10"/>
      <c r="G10" s="10"/>
      <c r="H10" s="11">
        <f t="shared" si="3"/>
        <v>0</v>
      </c>
      <c r="I10" s="12">
        <f>SUM($D$2:D10)-SUM($G$2:G10)</f>
        <v>0</v>
      </c>
      <c r="K10" s="18" t="s">
        <v>3</v>
      </c>
      <c r="L10" s="18">
        <f>SUM(L3:L9)</f>
        <v>0</v>
      </c>
      <c r="M10" s="18">
        <f>SUM(M2:M9)</f>
        <v>0</v>
      </c>
      <c r="N10" s="18">
        <f>SUM(N2:N9)</f>
        <v>0</v>
      </c>
      <c r="O10" s="18">
        <f>SUM(O2:O9)</f>
        <v>0</v>
      </c>
      <c r="P10" s="18">
        <f>SUM(P2:P9)</f>
        <v>0</v>
      </c>
      <c r="Q10" s="18">
        <f>SUM(Q2:Q9)</f>
        <v>0</v>
      </c>
    </row>
    <row r="11" spans="1:17" x14ac:dyDescent="0.35">
      <c r="A11" s="9">
        <v>45357</v>
      </c>
      <c r="B11" s="10">
        <f t="shared" si="0"/>
        <v>0</v>
      </c>
      <c r="C11" s="10">
        <f t="shared" si="1"/>
        <v>0</v>
      </c>
      <c r="D11" s="10">
        <f t="shared" si="2"/>
        <v>0</v>
      </c>
      <c r="E11" s="10"/>
      <c r="F11" s="10"/>
      <c r="G11" s="10"/>
      <c r="H11" s="11">
        <f t="shared" si="3"/>
        <v>0</v>
      </c>
      <c r="I11" s="12">
        <f>SUM($D$2:D11)-SUM($G$2:G11)</f>
        <v>0</v>
      </c>
      <c r="K11" s="18" t="s">
        <v>10</v>
      </c>
      <c r="L11" s="18">
        <f>L10/3</f>
        <v>0</v>
      </c>
      <c r="M11" s="18"/>
      <c r="N11" s="18"/>
      <c r="O11" s="16"/>
      <c r="P11" s="16"/>
      <c r="Q11" s="16"/>
    </row>
    <row r="12" spans="1:17" x14ac:dyDescent="0.35">
      <c r="A12" s="9">
        <v>45358</v>
      </c>
      <c r="B12" s="10">
        <f t="shared" si="0"/>
        <v>0</v>
      </c>
      <c r="C12" s="10">
        <f t="shared" si="1"/>
        <v>0</v>
      </c>
      <c r="D12" s="10">
        <f t="shared" si="2"/>
        <v>0</v>
      </c>
      <c r="E12" s="10"/>
      <c r="F12" s="10"/>
      <c r="G12" s="10"/>
      <c r="H12" s="11">
        <f t="shared" si="3"/>
        <v>0</v>
      </c>
      <c r="I12" s="12">
        <f>SUM($D$2:D12)-SUM($G$2:G12)</f>
        <v>0</v>
      </c>
    </row>
    <row r="13" spans="1:17" x14ac:dyDescent="0.35">
      <c r="A13" s="9">
        <v>45359</v>
      </c>
      <c r="B13" s="10">
        <f t="shared" si="0"/>
        <v>0</v>
      </c>
      <c r="C13" s="10">
        <f t="shared" si="1"/>
        <v>0</v>
      </c>
      <c r="D13" s="10">
        <f t="shared" si="2"/>
        <v>0</v>
      </c>
      <c r="E13" s="10"/>
      <c r="F13" s="10"/>
      <c r="G13" s="10"/>
      <c r="H13" s="11">
        <f t="shared" si="3"/>
        <v>0</v>
      </c>
      <c r="I13" s="12">
        <f>SUM($D$2:D13)-SUM($G$2:G13)</f>
        <v>0</v>
      </c>
      <c r="K13" s="19" t="s">
        <v>0</v>
      </c>
      <c r="L13" s="20" t="s">
        <v>1</v>
      </c>
      <c r="M13" s="20" t="s">
        <v>2</v>
      </c>
      <c r="N13" s="20" t="s">
        <v>3</v>
      </c>
      <c r="O13" s="20" t="s">
        <v>4</v>
      </c>
      <c r="P13" s="20" t="s">
        <v>5</v>
      </c>
      <c r="Q13" s="20" t="s">
        <v>6</v>
      </c>
    </row>
    <row r="14" spans="1:17" x14ac:dyDescent="0.35">
      <c r="A14" s="9">
        <v>45360</v>
      </c>
      <c r="B14" s="10">
        <f t="shared" si="0"/>
        <v>0</v>
      </c>
      <c r="C14" s="10">
        <f t="shared" si="1"/>
        <v>0</v>
      </c>
      <c r="D14" s="10">
        <f t="shared" si="2"/>
        <v>0</v>
      </c>
      <c r="E14" s="10"/>
      <c r="F14" s="10"/>
      <c r="G14" s="10"/>
      <c r="H14" s="11">
        <f t="shared" si="3"/>
        <v>0</v>
      </c>
      <c r="I14" s="12">
        <f>SUM($D$2:D14)-SUM($G$2:G14)</f>
        <v>0</v>
      </c>
      <c r="K14" s="15">
        <f t="shared" ref="K14:K20" si="11">A9</f>
        <v>45355</v>
      </c>
      <c r="L14" s="16">
        <f>N14*0.3</f>
        <v>0</v>
      </c>
      <c r="M14" s="16">
        <f t="shared" ref="M14:M20" si="12">N14-L14</f>
        <v>0</v>
      </c>
      <c r="N14" s="16">
        <f t="shared" ref="N14:N20" si="13">O14+P14</f>
        <v>0</v>
      </c>
      <c r="O14" s="16">
        <f t="shared" ref="O14:O20" si="14">VLOOKUP(K14,$A$1:$H$37,5,0)</f>
        <v>0</v>
      </c>
      <c r="P14" s="16">
        <f t="shared" ref="P14:P20" si="15">VLOOKUP(K14,$A$1:$H$37,6,0)</f>
        <v>0</v>
      </c>
      <c r="Q14" s="16">
        <f t="shared" ref="Q14:Q20" si="16">VLOOKUP(K14,$A$1:$H$37,7,0)</f>
        <v>0</v>
      </c>
    </row>
    <row r="15" spans="1:17" x14ac:dyDescent="0.35">
      <c r="A15" s="9">
        <v>45361</v>
      </c>
      <c r="B15" s="10">
        <f t="shared" si="0"/>
        <v>0</v>
      </c>
      <c r="C15" s="10">
        <f t="shared" si="1"/>
        <v>0</v>
      </c>
      <c r="D15" s="10">
        <f t="shared" si="2"/>
        <v>0</v>
      </c>
      <c r="E15" s="10"/>
      <c r="F15" s="10"/>
      <c r="G15" s="10"/>
      <c r="H15" s="11">
        <f t="shared" si="3"/>
        <v>0</v>
      </c>
      <c r="I15" s="12">
        <f>SUM($D$2:D15)-SUM($G$2:G15)</f>
        <v>0</v>
      </c>
      <c r="K15" s="13">
        <f t="shared" si="11"/>
        <v>45356</v>
      </c>
      <c r="L15" s="14">
        <f>N15*0.3</f>
        <v>0</v>
      </c>
      <c r="M15" s="14">
        <f t="shared" si="12"/>
        <v>0</v>
      </c>
      <c r="N15" s="14">
        <f t="shared" si="13"/>
        <v>0</v>
      </c>
      <c r="O15" s="14">
        <f t="shared" si="14"/>
        <v>0</v>
      </c>
      <c r="P15" s="14">
        <f t="shared" si="15"/>
        <v>0</v>
      </c>
      <c r="Q15" s="14">
        <f t="shared" si="16"/>
        <v>0</v>
      </c>
    </row>
    <row r="16" spans="1:17" x14ac:dyDescent="0.35">
      <c r="A16" s="9">
        <v>45362</v>
      </c>
      <c r="B16" s="10">
        <f t="shared" si="0"/>
        <v>0</v>
      </c>
      <c r="C16" s="10">
        <f t="shared" si="1"/>
        <v>0</v>
      </c>
      <c r="D16" s="10">
        <f t="shared" si="2"/>
        <v>0</v>
      </c>
      <c r="E16" s="10"/>
      <c r="F16" s="10"/>
      <c r="G16" s="10"/>
      <c r="H16" s="11">
        <f t="shared" si="3"/>
        <v>0</v>
      </c>
      <c r="I16" s="12">
        <f>SUM($D$2:D16)-SUM($G$2:G16)</f>
        <v>0</v>
      </c>
      <c r="K16" s="15">
        <f t="shared" si="11"/>
        <v>45357</v>
      </c>
      <c r="L16" s="16">
        <f t="shared" ref="L16:L20" si="17">N16*0.3</f>
        <v>0</v>
      </c>
      <c r="M16" s="16">
        <f t="shared" si="12"/>
        <v>0</v>
      </c>
      <c r="N16" s="16">
        <f t="shared" si="13"/>
        <v>0</v>
      </c>
      <c r="O16" s="16">
        <f t="shared" si="14"/>
        <v>0</v>
      </c>
      <c r="P16" s="16">
        <f t="shared" si="15"/>
        <v>0</v>
      </c>
      <c r="Q16" s="16">
        <f t="shared" si="16"/>
        <v>0</v>
      </c>
    </row>
    <row r="17" spans="1:17" x14ac:dyDescent="0.35">
      <c r="A17" s="9">
        <v>45363</v>
      </c>
      <c r="B17" s="10">
        <f t="shared" si="0"/>
        <v>0</v>
      </c>
      <c r="C17" s="10">
        <f t="shared" si="1"/>
        <v>0</v>
      </c>
      <c r="D17" s="10">
        <f t="shared" si="2"/>
        <v>0</v>
      </c>
      <c r="E17" s="10"/>
      <c r="F17" s="10"/>
      <c r="G17" s="10"/>
      <c r="H17" s="11">
        <f t="shared" si="3"/>
        <v>0</v>
      </c>
      <c r="I17" s="12">
        <f>SUM($D$2:D17)-SUM($G$2:G17)</f>
        <v>0</v>
      </c>
      <c r="K17" s="13">
        <f t="shared" si="11"/>
        <v>45358</v>
      </c>
      <c r="L17" s="14">
        <f t="shared" si="17"/>
        <v>0</v>
      </c>
      <c r="M17" s="14">
        <f t="shared" si="12"/>
        <v>0</v>
      </c>
      <c r="N17" s="14">
        <f t="shared" si="13"/>
        <v>0</v>
      </c>
      <c r="O17" s="14">
        <f t="shared" si="14"/>
        <v>0</v>
      </c>
      <c r="P17" s="14">
        <f t="shared" si="15"/>
        <v>0</v>
      </c>
      <c r="Q17" s="14">
        <f t="shared" si="16"/>
        <v>0</v>
      </c>
    </row>
    <row r="18" spans="1:17" x14ac:dyDescent="0.35">
      <c r="A18" s="9">
        <v>45364</v>
      </c>
      <c r="B18" s="10">
        <f t="shared" si="0"/>
        <v>0</v>
      </c>
      <c r="C18" s="10">
        <f t="shared" si="1"/>
        <v>0</v>
      </c>
      <c r="D18" s="10">
        <f t="shared" si="2"/>
        <v>0</v>
      </c>
      <c r="E18" s="10"/>
      <c r="F18" s="10"/>
      <c r="G18" s="10"/>
      <c r="H18" s="11">
        <f t="shared" si="3"/>
        <v>0</v>
      </c>
      <c r="I18" s="12">
        <f>SUM($D$2:D18)-SUM($G$2:G18)</f>
        <v>0</v>
      </c>
      <c r="K18" s="15">
        <f t="shared" si="11"/>
        <v>45359</v>
      </c>
      <c r="L18" s="16">
        <f t="shared" si="17"/>
        <v>0</v>
      </c>
      <c r="M18" s="16">
        <f t="shared" si="12"/>
        <v>0</v>
      </c>
      <c r="N18" s="16">
        <f t="shared" si="13"/>
        <v>0</v>
      </c>
      <c r="O18" s="16">
        <f t="shared" si="14"/>
        <v>0</v>
      </c>
      <c r="P18" s="16">
        <f t="shared" si="15"/>
        <v>0</v>
      </c>
      <c r="Q18" s="16">
        <f t="shared" si="16"/>
        <v>0</v>
      </c>
    </row>
    <row r="19" spans="1:17" x14ac:dyDescent="0.35">
      <c r="A19" s="9">
        <v>45365</v>
      </c>
      <c r="B19" s="10">
        <f t="shared" si="0"/>
        <v>0</v>
      </c>
      <c r="C19" s="10">
        <f t="shared" si="1"/>
        <v>0</v>
      </c>
      <c r="D19" s="10">
        <f t="shared" si="2"/>
        <v>0</v>
      </c>
      <c r="E19" s="10"/>
      <c r="F19" s="10"/>
      <c r="G19" s="10"/>
      <c r="H19" s="11">
        <f t="shared" si="3"/>
        <v>0</v>
      </c>
      <c r="I19" s="12">
        <f>SUM($D$2:D19)-SUM($G$2:G19)</f>
        <v>0</v>
      </c>
      <c r="K19" s="13">
        <f t="shared" si="11"/>
        <v>45360</v>
      </c>
      <c r="L19" s="14">
        <f t="shared" si="17"/>
        <v>0</v>
      </c>
      <c r="M19" s="14">
        <f t="shared" si="12"/>
        <v>0</v>
      </c>
      <c r="N19" s="14">
        <f t="shared" si="13"/>
        <v>0</v>
      </c>
      <c r="O19" s="14">
        <f t="shared" si="14"/>
        <v>0</v>
      </c>
      <c r="P19" s="14">
        <f t="shared" si="15"/>
        <v>0</v>
      </c>
      <c r="Q19" s="14">
        <f t="shared" si="16"/>
        <v>0</v>
      </c>
    </row>
    <row r="20" spans="1:17" x14ac:dyDescent="0.35">
      <c r="A20" s="9">
        <v>45366</v>
      </c>
      <c r="B20" s="10">
        <f t="shared" si="0"/>
        <v>0</v>
      </c>
      <c r="C20" s="10">
        <f t="shared" si="1"/>
        <v>0</v>
      </c>
      <c r="D20" s="10">
        <f t="shared" si="2"/>
        <v>0</v>
      </c>
      <c r="E20" s="10"/>
      <c r="F20" s="10"/>
      <c r="G20" s="10"/>
      <c r="H20" s="11">
        <f t="shared" si="3"/>
        <v>0</v>
      </c>
      <c r="I20" s="12">
        <f>SUM($D$2:D20)-SUM($G$2:G20)</f>
        <v>0</v>
      </c>
      <c r="K20" s="15">
        <f t="shared" si="11"/>
        <v>45361</v>
      </c>
      <c r="L20" s="16">
        <f t="shared" si="17"/>
        <v>0</v>
      </c>
      <c r="M20" s="16">
        <f t="shared" si="12"/>
        <v>0</v>
      </c>
      <c r="N20" s="16">
        <f t="shared" si="13"/>
        <v>0</v>
      </c>
      <c r="O20" s="16">
        <f t="shared" si="14"/>
        <v>0</v>
      </c>
      <c r="P20" s="16">
        <f t="shared" si="15"/>
        <v>0</v>
      </c>
      <c r="Q20" s="16">
        <f t="shared" si="16"/>
        <v>0</v>
      </c>
    </row>
    <row r="21" spans="1:17" x14ac:dyDescent="0.35">
      <c r="A21" s="9">
        <v>45367</v>
      </c>
      <c r="B21" s="10">
        <f t="shared" si="0"/>
        <v>0</v>
      </c>
      <c r="C21" s="10">
        <f t="shared" si="1"/>
        <v>0</v>
      </c>
      <c r="D21" s="10">
        <f t="shared" si="2"/>
        <v>0</v>
      </c>
      <c r="E21" s="10"/>
      <c r="F21" s="10"/>
      <c r="G21" s="10"/>
      <c r="H21" s="11">
        <f t="shared" si="3"/>
        <v>0</v>
      </c>
      <c r="I21" s="12">
        <f>SUM($D$2:D21)-SUM($G$2:G21)</f>
        <v>0</v>
      </c>
      <c r="K21" s="18" t="s">
        <v>3</v>
      </c>
      <c r="L21" s="18">
        <f t="shared" ref="L21:Q21" si="18">SUM(L14:L20)</f>
        <v>0</v>
      </c>
      <c r="M21" s="18">
        <f t="shared" si="18"/>
        <v>0</v>
      </c>
      <c r="N21" s="18">
        <f t="shared" si="18"/>
        <v>0</v>
      </c>
      <c r="O21" s="18">
        <f t="shared" si="18"/>
        <v>0</v>
      </c>
      <c r="P21" s="18">
        <f t="shared" si="18"/>
        <v>0</v>
      </c>
      <c r="Q21" s="18">
        <f t="shared" si="18"/>
        <v>0</v>
      </c>
    </row>
    <row r="22" spans="1:17" x14ac:dyDescent="0.35">
      <c r="A22" s="9">
        <v>45368</v>
      </c>
      <c r="B22" s="10">
        <f t="shared" si="0"/>
        <v>0</v>
      </c>
      <c r="C22" s="10">
        <f t="shared" si="1"/>
        <v>0</v>
      </c>
      <c r="D22" s="10">
        <f t="shared" si="2"/>
        <v>0</v>
      </c>
      <c r="E22" s="10"/>
      <c r="F22" s="10"/>
      <c r="G22" s="10"/>
      <c r="H22" s="11">
        <f t="shared" si="3"/>
        <v>0</v>
      </c>
      <c r="I22" s="12">
        <f>SUM($D$2:D22)-SUM($G$2:G22)</f>
        <v>0</v>
      </c>
      <c r="K22" s="18" t="s">
        <v>10</v>
      </c>
      <c r="L22" s="18">
        <f>L21/3</f>
        <v>0</v>
      </c>
      <c r="M22" s="18"/>
      <c r="N22" s="18">
        <f>M22+L22</f>
        <v>0</v>
      </c>
      <c r="O22" s="16"/>
      <c r="P22" s="16"/>
      <c r="Q22" s="16"/>
    </row>
    <row r="23" spans="1:17" x14ac:dyDescent="0.35">
      <c r="A23" s="9">
        <v>45369</v>
      </c>
      <c r="B23" s="10">
        <f t="shared" si="0"/>
        <v>5730</v>
      </c>
      <c r="C23" s="10">
        <f t="shared" si="1"/>
        <v>13370</v>
      </c>
      <c r="D23" s="10">
        <f t="shared" si="2"/>
        <v>19100</v>
      </c>
      <c r="E23" s="10">
        <v>3650</v>
      </c>
      <c r="F23" s="10">
        <v>15450</v>
      </c>
      <c r="G23" s="10">
        <v>1320</v>
      </c>
      <c r="H23" s="11">
        <f t="shared" si="3"/>
        <v>0.42857142857142855</v>
      </c>
      <c r="I23" s="12">
        <f>SUM($D$2:D23)-SUM($G$2:G23)</f>
        <v>17780</v>
      </c>
      <c r="M23" t="s">
        <v>11</v>
      </c>
    </row>
    <row r="24" spans="1:17" x14ac:dyDescent="0.35">
      <c r="A24" s="9">
        <v>45370</v>
      </c>
      <c r="B24" s="10">
        <f t="shared" si="0"/>
        <v>13423.199999999999</v>
      </c>
      <c r="C24" s="10">
        <f t="shared" si="1"/>
        <v>31320.800000000003</v>
      </c>
      <c r="D24" s="10">
        <f t="shared" si="2"/>
        <v>44744</v>
      </c>
      <c r="E24" s="10">
        <v>4400</v>
      </c>
      <c r="F24" s="10">
        <v>40344</v>
      </c>
      <c r="G24" s="10">
        <v>1230</v>
      </c>
      <c r="H24" s="11">
        <f t="shared" si="3"/>
        <v>0.42857142857142849</v>
      </c>
      <c r="I24" s="12">
        <f>SUM($D$2:D24)-SUM($G$2:G24)</f>
        <v>61294</v>
      </c>
      <c r="K24" s="19" t="s">
        <v>0</v>
      </c>
      <c r="L24" s="20" t="s">
        <v>1</v>
      </c>
      <c r="M24" s="20" t="s">
        <v>2</v>
      </c>
      <c r="N24" s="20" t="s">
        <v>3</v>
      </c>
      <c r="O24" s="20" t="s">
        <v>4</v>
      </c>
      <c r="P24" s="20" t="s">
        <v>5</v>
      </c>
      <c r="Q24" s="20" t="s">
        <v>6</v>
      </c>
    </row>
    <row r="25" spans="1:17" x14ac:dyDescent="0.35">
      <c r="A25" s="9">
        <v>45371</v>
      </c>
      <c r="B25" s="10">
        <f t="shared" si="0"/>
        <v>3213.2999999999997</v>
      </c>
      <c r="C25" s="10">
        <f t="shared" si="1"/>
        <v>7497.7000000000007</v>
      </c>
      <c r="D25" s="10">
        <f t="shared" si="2"/>
        <v>10711</v>
      </c>
      <c r="E25" s="10">
        <v>5550</v>
      </c>
      <c r="F25" s="10">
        <v>5161</v>
      </c>
      <c r="G25" s="10">
        <v>1060</v>
      </c>
      <c r="H25" s="11">
        <f t="shared" si="3"/>
        <v>0.42857142857142849</v>
      </c>
      <c r="I25" s="12">
        <f>SUM($D$2:D25)-SUM($G$2:G25)</f>
        <v>70945</v>
      </c>
      <c r="K25" s="15">
        <f t="shared" ref="K25:K31" si="19">A16</f>
        <v>45362</v>
      </c>
      <c r="L25" s="16">
        <f>N25*0.3</f>
        <v>0</v>
      </c>
      <c r="M25" s="16">
        <f t="shared" ref="M25:M31" si="20">N25-L25</f>
        <v>0</v>
      </c>
      <c r="N25" s="16">
        <f t="shared" ref="N25:N31" si="21">O25+P25</f>
        <v>0</v>
      </c>
      <c r="O25" s="16">
        <f t="shared" ref="O25:O31" si="22">VLOOKUP(K25,$A$1:$H$37,5,0)</f>
        <v>0</v>
      </c>
      <c r="P25" s="16">
        <f t="shared" ref="P25:P31" si="23">VLOOKUP(K25,$A$1:$H$37,6,0)</f>
        <v>0</v>
      </c>
      <c r="Q25" s="16">
        <f t="shared" ref="Q25:Q31" si="24">VLOOKUP(K25,$A$1:$H$37,7,0)</f>
        <v>0</v>
      </c>
    </row>
    <row r="26" spans="1:17" x14ac:dyDescent="0.35">
      <c r="A26" s="9">
        <v>45372</v>
      </c>
      <c r="B26" s="10">
        <f t="shared" si="0"/>
        <v>6741</v>
      </c>
      <c r="C26" s="10">
        <f t="shared" si="1"/>
        <v>15729</v>
      </c>
      <c r="D26" s="10">
        <f t="shared" si="2"/>
        <v>22470</v>
      </c>
      <c r="E26" s="10">
        <v>5000</v>
      </c>
      <c r="F26" s="10">
        <v>17470</v>
      </c>
      <c r="G26" s="10">
        <v>150</v>
      </c>
      <c r="H26" s="11">
        <f t="shared" si="3"/>
        <v>0.42857142857142855</v>
      </c>
      <c r="I26" s="12">
        <f>SUM($D$2:D26)-SUM($G$2:G26)</f>
        <v>93265</v>
      </c>
      <c r="K26" s="13">
        <f t="shared" si="19"/>
        <v>45363</v>
      </c>
      <c r="L26" s="14">
        <f>N26*0.3</f>
        <v>0</v>
      </c>
      <c r="M26" s="14">
        <f t="shared" si="20"/>
        <v>0</v>
      </c>
      <c r="N26" s="14">
        <f t="shared" si="21"/>
        <v>0</v>
      </c>
      <c r="O26" s="14">
        <f t="shared" si="22"/>
        <v>0</v>
      </c>
      <c r="P26" s="14">
        <f t="shared" si="23"/>
        <v>0</v>
      </c>
      <c r="Q26" s="14">
        <f t="shared" si="24"/>
        <v>0</v>
      </c>
    </row>
    <row r="27" spans="1:17" x14ac:dyDescent="0.35">
      <c r="A27" s="9">
        <v>45373</v>
      </c>
      <c r="B27" s="10">
        <f t="shared" si="0"/>
        <v>3885</v>
      </c>
      <c r="C27" s="10">
        <f t="shared" si="1"/>
        <v>9065</v>
      </c>
      <c r="D27" s="10">
        <f t="shared" si="2"/>
        <v>12950</v>
      </c>
      <c r="E27" s="10">
        <v>9000</v>
      </c>
      <c r="F27" s="10">
        <v>3950</v>
      </c>
      <c r="G27" s="10">
        <v>800</v>
      </c>
      <c r="H27" s="11">
        <f t="shared" si="3"/>
        <v>0.42857142857142855</v>
      </c>
      <c r="I27" s="12">
        <f>SUM($D$2:D27)-SUM($G$2:G27)</f>
        <v>105415</v>
      </c>
      <c r="K27" s="15">
        <f t="shared" si="19"/>
        <v>45364</v>
      </c>
      <c r="L27" s="16">
        <f t="shared" ref="L27:L31" si="25">N27*0.3</f>
        <v>0</v>
      </c>
      <c r="M27" s="16">
        <f t="shared" si="20"/>
        <v>0</v>
      </c>
      <c r="N27" s="16">
        <f t="shared" si="21"/>
        <v>0</v>
      </c>
      <c r="O27" s="16">
        <f t="shared" si="22"/>
        <v>0</v>
      </c>
      <c r="P27" s="16">
        <f t="shared" si="23"/>
        <v>0</v>
      </c>
      <c r="Q27" s="16">
        <f t="shared" si="24"/>
        <v>0</v>
      </c>
    </row>
    <row r="28" spans="1:17" x14ac:dyDescent="0.35">
      <c r="A28" s="9">
        <v>45374</v>
      </c>
      <c r="B28" s="10">
        <f t="shared" si="0"/>
        <v>1851</v>
      </c>
      <c r="C28" s="10">
        <f t="shared" si="1"/>
        <v>4319</v>
      </c>
      <c r="D28" s="10">
        <f t="shared" si="2"/>
        <v>6170</v>
      </c>
      <c r="E28" s="10">
        <v>3320</v>
      </c>
      <c r="F28" s="10">
        <v>2850</v>
      </c>
      <c r="G28" s="10">
        <v>1000</v>
      </c>
      <c r="H28" s="11">
        <f t="shared" si="3"/>
        <v>0.42857142857142855</v>
      </c>
      <c r="I28" s="12">
        <f>SUM($D$2:D28)-SUM($G$2:G28)</f>
        <v>110585</v>
      </c>
      <c r="K28" s="13">
        <f t="shared" si="19"/>
        <v>45365</v>
      </c>
      <c r="L28" s="14">
        <f>N28*0.3</f>
        <v>0</v>
      </c>
      <c r="M28" s="14">
        <f t="shared" si="20"/>
        <v>0</v>
      </c>
      <c r="N28" s="14">
        <f t="shared" si="21"/>
        <v>0</v>
      </c>
      <c r="O28" s="14">
        <f t="shared" si="22"/>
        <v>0</v>
      </c>
      <c r="P28" s="14">
        <f t="shared" si="23"/>
        <v>0</v>
      </c>
      <c r="Q28" s="14">
        <f t="shared" si="24"/>
        <v>0</v>
      </c>
    </row>
    <row r="29" spans="1:17" x14ac:dyDescent="0.35">
      <c r="A29" s="9">
        <v>45375</v>
      </c>
      <c r="B29" s="10">
        <f t="shared" si="0"/>
        <v>4047</v>
      </c>
      <c r="C29" s="10">
        <f t="shared" si="1"/>
        <v>9443</v>
      </c>
      <c r="D29" s="10">
        <f t="shared" si="2"/>
        <v>13490</v>
      </c>
      <c r="E29" s="10">
        <v>3150</v>
      </c>
      <c r="F29" s="10">
        <v>10340</v>
      </c>
      <c r="G29" s="10">
        <v>1000</v>
      </c>
      <c r="H29" s="11">
        <f t="shared" si="3"/>
        <v>0.42857142857142855</v>
      </c>
      <c r="I29" s="12">
        <f>SUM($D$2:D29)-SUM($G$2:G29)</f>
        <v>123075</v>
      </c>
      <c r="K29" s="15">
        <f t="shared" si="19"/>
        <v>45366</v>
      </c>
      <c r="L29" s="16">
        <f t="shared" si="25"/>
        <v>0</v>
      </c>
      <c r="M29" s="16">
        <f t="shared" si="20"/>
        <v>0</v>
      </c>
      <c r="N29" s="16">
        <f t="shared" si="21"/>
        <v>0</v>
      </c>
      <c r="O29" s="16">
        <f t="shared" si="22"/>
        <v>0</v>
      </c>
      <c r="P29" s="16">
        <f t="shared" si="23"/>
        <v>0</v>
      </c>
      <c r="Q29" s="16">
        <f t="shared" si="24"/>
        <v>0</v>
      </c>
    </row>
    <row r="30" spans="1:17" x14ac:dyDescent="0.35">
      <c r="A30" s="9">
        <v>45376</v>
      </c>
      <c r="B30" s="10">
        <f t="shared" si="0"/>
        <v>4339.5</v>
      </c>
      <c r="C30" s="10">
        <f t="shared" si="1"/>
        <v>10125.5</v>
      </c>
      <c r="D30" s="10">
        <f t="shared" si="2"/>
        <v>14465</v>
      </c>
      <c r="E30" s="10">
        <v>12620</v>
      </c>
      <c r="F30" s="10">
        <v>1845</v>
      </c>
      <c r="G30" s="10">
        <v>100</v>
      </c>
      <c r="H30" s="11">
        <f t="shared" si="3"/>
        <v>0.42857142857142855</v>
      </c>
      <c r="I30" s="12">
        <f>SUM($D$2:D30)-SUM($G$2:G30)</f>
        <v>137440</v>
      </c>
      <c r="K30" s="13">
        <f t="shared" si="19"/>
        <v>45367</v>
      </c>
      <c r="L30" s="14">
        <f t="shared" si="25"/>
        <v>0</v>
      </c>
      <c r="M30" s="14">
        <f t="shared" si="20"/>
        <v>0</v>
      </c>
      <c r="N30" s="14">
        <f t="shared" si="21"/>
        <v>0</v>
      </c>
      <c r="O30" s="14">
        <f t="shared" si="22"/>
        <v>0</v>
      </c>
      <c r="P30" s="14">
        <f t="shared" si="23"/>
        <v>0</v>
      </c>
      <c r="Q30" s="14">
        <f t="shared" si="24"/>
        <v>0</v>
      </c>
    </row>
    <row r="31" spans="1:17" x14ac:dyDescent="0.35">
      <c r="A31" s="9">
        <v>45377</v>
      </c>
      <c r="B31" s="10">
        <f t="shared" si="0"/>
        <v>2778</v>
      </c>
      <c r="C31" s="10">
        <f t="shared" si="1"/>
        <v>6482</v>
      </c>
      <c r="D31" s="10">
        <f t="shared" si="2"/>
        <v>9260</v>
      </c>
      <c r="E31" s="10">
        <v>7750</v>
      </c>
      <c r="F31" s="10">
        <v>1510</v>
      </c>
      <c r="G31" s="10">
        <v>5300</v>
      </c>
      <c r="H31" s="11">
        <f t="shared" si="3"/>
        <v>0.42857142857142855</v>
      </c>
      <c r="I31" s="12">
        <f>SUM($D$2:D31)-SUM($G$2:G31)</f>
        <v>141400</v>
      </c>
      <c r="K31" s="15">
        <f t="shared" si="19"/>
        <v>45368</v>
      </c>
      <c r="L31" s="16">
        <f t="shared" si="25"/>
        <v>0</v>
      </c>
      <c r="M31" s="16">
        <f t="shared" si="20"/>
        <v>0</v>
      </c>
      <c r="N31" s="16">
        <f t="shared" si="21"/>
        <v>0</v>
      </c>
      <c r="O31" s="16">
        <f t="shared" si="22"/>
        <v>0</v>
      </c>
      <c r="P31" s="16">
        <f t="shared" si="23"/>
        <v>0</v>
      </c>
      <c r="Q31" s="16">
        <f t="shared" si="24"/>
        <v>0</v>
      </c>
    </row>
    <row r="32" spans="1:17" x14ac:dyDescent="0.35">
      <c r="A32" s="9">
        <v>45378</v>
      </c>
      <c r="B32" s="10">
        <f t="shared" si="0"/>
        <v>2625</v>
      </c>
      <c r="C32" s="10">
        <f t="shared" si="1"/>
        <v>6125</v>
      </c>
      <c r="D32" s="10">
        <f t="shared" si="2"/>
        <v>8750</v>
      </c>
      <c r="E32" s="17">
        <v>5750</v>
      </c>
      <c r="F32" s="17">
        <v>3000</v>
      </c>
      <c r="G32" s="17">
        <v>1190</v>
      </c>
      <c r="H32" s="11">
        <f t="shared" si="3"/>
        <v>0.42857142857142855</v>
      </c>
      <c r="I32" s="12">
        <f>SUM($D$2:D32)-SUM($G$2:G32)</f>
        <v>148960</v>
      </c>
      <c r="K32" s="18" t="s">
        <v>3</v>
      </c>
      <c r="L32" s="16">
        <f t="shared" ref="L32:Q32" si="26">SUM(L25:L31)</f>
        <v>0</v>
      </c>
      <c r="M32" s="16">
        <f t="shared" si="26"/>
        <v>0</v>
      </c>
      <c r="N32" s="16">
        <f t="shared" si="26"/>
        <v>0</v>
      </c>
      <c r="O32" s="16">
        <f t="shared" si="26"/>
        <v>0</v>
      </c>
      <c r="P32" s="16">
        <f t="shared" si="26"/>
        <v>0</v>
      </c>
      <c r="Q32" s="16">
        <f t="shared" si="26"/>
        <v>0</v>
      </c>
    </row>
    <row r="33" spans="1:17" x14ac:dyDescent="0.35">
      <c r="A33" s="9">
        <v>45379</v>
      </c>
      <c r="B33" s="10">
        <f t="shared" si="0"/>
        <v>3285</v>
      </c>
      <c r="C33" s="10">
        <f t="shared" si="1"/>
        <v>7665</v>
      </c>
      <c r="D33" s="10">
        <f t="shared" si="2"/>
        <v>10950</v>
      </c>
      <c r="E33" s="10">
        <v>2200</v>
      </c>
      <c r="F33" s="10">
        <v>8750</v>
      </c>
      <c r="G33" s="10">
        <v>1600</v>
      </c>
      <c r="H33" s="11">
        <f t="shared" si="3"/>
        <v>0.42857142857142855</v>
      </c>
      <c r="I33" s="12">
        <f>SUM($D$2:D33)-SUM($G$2:G33)</f>
        <v>158310</v>
      </c>
      <c r="K33" s="18" t="s">
        <v>10</v>
      </c>
      <c r="L33" s="14">
        <f>L32/3</f>
        <v>0</v>
      </c>
      <c r="M33" s="14"/>
      <c r="N33" s="14"/>
      <c r="O33" s="14"/>
      <c r="P33" s="14"/>
      <c r="Q33" s="14"/>
    </row>
    <row r="34" spans="1:17" x14ac:dyDescent="0.35">
      <c r="A34" s="9">
        <v>45380</v>
      </c>
      <c r="B34" s="10">
        <f t="shared" si="0"/>
        <v>7344</v>
      </c>
      <c r="C34" s="10">
        <f t="shared" si="1"/>
        <v>17136</v>
      </c>
      <c r="D34" s="10">
        <f t="shared" si="2"/>
        <v>24480</v>
      </c>
      <c r="E34" s="10">
        <v>13960</v>
      </c>
      <c r="F34" s="10">
        <v>10520</v>
      </c>
      <c r="G34" s="10">
        <v>720</v>
      </c>
      <c r="H34" s="11">
        <f t="shared" si="3"/>
        <v>0.42857142857142855</v>
      </c>
      <c r="I34" s="12">
        <f>SUM($D$2:D34)-SUM($G$2:G34)</f>
        <v>182070</v>
      </c>
    </row>
    <row r="35" spans="1:17" x14ac:dyDescent="0.35">
      <c r="A35" s="9">
        <v>45381</v>
      </c>
      <c r="B35" s="10">
        <f t="shared" si="0"/>
        <v>4521</v>
      </c>
      <c r="C35" s="10">
        <f t="shared" si="1"/>
        <v>10549</v>
      </c>
      <c r="D35" s="10">
        <f t="shared" si="2"/>
        <v>15070</v>
      </c>
      <c r="E35" s="17">
        <v>13870</v>
      </c>
      <c r="F35" s="17">
        <v>1200</v>
      </c>
      <c r="G35" s="17">
        <v>1400</v>
      </c>
      <c r="H35" s="11">
        <f t="shared" si="3"/>
        <v>0.42857142857142855</v>
      </c>
      <c r="I35" s="12">
        <f>SUM($D$2:D35)-SUM($G$2:G35)</f>
        <v>195740</v>
      </c>
      <c r="K35" s="19" t="s">
        <v>0</v>
      </c>
      <c r="L35" s="20" t="s">
        <v>1</v>
      </c>
      <c r="M35" s="20" t="s">
        <v>2</v>
      </c>
      <c r="N35" s="20" t="s">
        <v>3</v>
      </c>
      <c r="O35" s="20" t="s">
        <v>4</v>
      </c>
      <c r="P35" s="20" t="s">
        <v>5</v>
      </c>
      <c r="Q35" s="20" t="s">
        <v>6</v>
      </c>
    </row>
    <row r="36" spans="1:17" x14ac:dyDescent="0.35">
      <c r="A36" s="9">
        <v>45382</v>
      </c>
      <c r="B36" s="10">
        <f t="shared" si="0"/>
        <v>4296</v>
      </c>
      <c r="C36" s="10">
        <f t="shared" si="1"/>
        <v>10024</v>
      </c>
      <c r="D36" s="10">
        <f t="shared" si="2"/>
        <v>14320</v>
      </c>
      <c r="E36" s="17">
        <v>7300</v>
      </c>
      <c r="F36" s="17">
        <v>7020</v>
      </c>
      <c r="G36" s="17">
        <v>6240</v>
      </c>
      <c r="H36" s="11">
        <f t="shared" si="3"/>
        <v>0.42857142857142855</v>
      </c>
      <c r="I36" s="12">
        <f>SUM($D$2:D36)-SUM($G$2:G36)</f>
        <v>203820</v>
      </c>
      <c r="K36" s="13">
        <f t="shared" ref="K36:K42" si="27">A23</f>
        <v>45369</v>
      </c>
      <c r="L36" s="16">
        <f>N36*0.3</f>
        <v>5730</v>
      </c>
      <c r="M36" s="16">
        <f t="shared" ref="M36:M42" si="28">N36-L36</f>
        <v>13370</v>
      </c>
      <c r="N36" s="16">
        <f t="shared" ref="N36:N42" si="29">O36+P36</f>
        <v>19100</v>
      </c>
      <c r="O36" s="16">
        <f t="shared" ref="O36:O42" si="30">VLOOKUP(K36,$A$1:$H$37,5,0)</f>
        <v>3650</v>
      </c>
      <c r="P36" s="16">
        <f t="shared" ref="P36:P42" si="31">VLOOKUP(K36,$A$1:$H$37,6,0)</f>
        <v>15450</v>
      </c>
      <c r="Q36" s="16">
        <f t="shared" ref="Q36:Q42" si="32">VLOOKUP(K36,$A$1:$H$37,7,0)</f>
        <v>1320</v>
      </c>
    </row>
    <row r="37" spans="1:17" ht="15" thickBot="1" x14ac:dyDescent="0.4">
      <c r="A37" s="21" t="s">
        <v>3</v>
      </c>
      <c r="B37" s="22">
        <f>SUBTOTAL(109,Table2345345687911121514161718192021222324252627283456789101134[Profit])</f>
        <v>68079</v>
      </c>
      <c r="C37" s="22">
        <f>SUBTOTAL(109,Table2345345687911121514161718192021222324252627283456789101134[Profit])</f>
        <v>68079</v>
      </c>
      <c r="D37" s="22">
        <f>SUBTOTAL(109,Table2345345687911121514161718192021222324252627283456789101134[Total])</f>
        <v>226930</v>
      </c>
      <c r="E37" s="22">
        <f>SUBTOTAL(109,Table2345345687911121514161718192021222324252627283456789101134[Profit])</f>
        <v>68079</v>
      </c>
      <c r="F37" s="22">
        <f>SUBTOTAL(109,Table2345345687911121514161718192021222324252627283456789101134[Profit])</f>
        <v>68079</v>
      </c>
      <c r="G37" s="22">
        <f t="shared" ref="G37:I37" si="33">SUM(G4:G36)</f>
        <v>23110</v>
      </c>
      <c r="H37" s="22">
        <f t="shared" si="33"/>
        <v>6</v>
      </c>
      <c r="I37" s="22">
        <f t="shared" si="33"/>
        <v>1750099</v>
      </c>
      <c r="K37" s="13">
        <f t="shared" si="27"/>
        <v>45370</v>
      </c>
      <c r="L37" s="14">
        <f>N37*0.3</f>
        <v>13423.199999999999</v>
      </c>
      <c r="M37" s="14">
        <f t="shared" si="28"/>
        <v>31320.800000000003</v>
      </c>
      <c r="N37" s="14">
        <f t="shared" si="29"/>
        <v>44744</v>
      </c>
      <c r="O37" s="14">
        <f t="shared" si="30"/>
        <v>4400</v>
      </c>
      <c r="P37" s="14">
        <f t="shared" si="31"/>
        <v>40344</v>
      </c>
      <c r="Q37" s="14">
        <f t="shared" si="32"/>
        <v>1230</v>
      </c>
    </row>
    <row r="38" spans="1:17" x14ac:dyDescent="0.35">
      <c r="A38" s="23"/>
      <c r="B38" s="24">
        <f>B37/3</f>
        <v>22693</v>
      </c>
      <c r="C38" s="24"/>
      <c r="E38" s="26">
        <f>D37*0.42</f>
        <v>95310.599999999991</v>
      </c>
      <c r="F38" s="24"/>
      <c r="G38" s="24"/>
      <c r="H38" s="27"/>
      <c r="K38" s="15">
        <f t="shared" si="27"/>
        <v>45371</v>
      </c>
      <c r="L38" s="16">
        <f t="shared" ref="L38:L42" si="34">N38*0.3</f>
        <v>3213.2999999999997</v>
      </c>
      <c r="M38" s="16">
        <f t="shared" si="28"/>
        <v>7497.7000000000007</v>
      </c>
      <c r="N38" s="16">
        <f t="shared" si="29"/>
        <v>10711</v>
      </c>
      <c r="O38" s="16">
        <f t="shared" si="30"/>
        <v>5550</v>
      </c>
      <c r="P38" s="16">
        <f t="shared" si="31"/>
        <v>5161</v>
      </c>
      <c r="Q38" s="16">
        <f t="shared" si="32"/>
        <v>1060</v>
      </c>
    </row>
    <row r="39" spans="1:17" x14ac:dyDescent="0.35">
      <c r="A39" s="23"/>
      <c r="B39" s="24">
        <f>B38*100/D37</f>
        <v>10</v>
      </c>
      <c r="C39" s="24"/>
      <c r="E39" s="24">
        <f>E38/3</f>
        <v>31770.199999999997</v>
      </c>
      <c r="F39" s="24"/>
      <c r="G39" s="24"/>
      <c r="H39" s="27"/>
      <c r="K39" s="13">
        <f t="shared" si="27"/>
        <v>45372</v>
      </c>
      <c r="L39" s="14">
        <f t="shared" si="34"/>
        <v>6741</v>
      </c>
      <c r="M39" s="14">
        <f t="shared" si="28"/>
        <v>15729</v>
      </c>
      <c r="N39" s="14">
        <f t="shared" si="29"/>
        <v>22470</v>
      </c>
      <c r="O39" s="14">
        <f t="shared" si="30"/>
        <v>5000</v>
      </c>
      <c r="P39" s="14">
        <f t="shared" si="31"/>
        <v>17470</v>
      </c>
      <c r="Q39" s="14">
        <f t="shared" si="32"/>
        <v>150</v>
      </c>
    </row>
    <row r="40" spans="1:17" x14ac:dyDescent="0.35">
      <c r="A40" s="19" t="s">
        <v>0</v>
      </c>
      <c r="B40" s="20" t="s">
        <v>1</v>
      </c>
      <c r="C40" s="20" t="s">
        <v>2</v>
      </c>
      <c r="D40" s="20" t="s">
        <v>3</v>
      </c>
      <c r="E40" s="20" t="s">
        <v>4</v>
      </c>
      <c r="F40" s="20" t="s">
        <v>5</v>
      </c>
      <c r="G40" s="20" t="s">
        <v>6</v>
      </c>
      <c r="H40" s="28" t="s">
        <v>10</v>
      </c>
      <c r="K40" s="15">
        <f t="shared" si="27"/>
        <v>45373</v>
      </c>
      <c r="L40" s="16">
        <f t="shared" si="34"/>
        <v>3885</v>
      </c>
      <c r="M40" s="16">
        <f t="shared" si="28"/>
        <v>9065</v>
      </c>
      <c r="N40" s="16">
        <f t="shared" si="29"/>
        <v>12950</v>
      </c>
      <c r="O40" s="16">
        <f t="shared" si="30"/>
        <v>9000</v>
      </c>
      <c r="P40" s="16">
        <f t="shared" si="31"/>
        <v>3950</v>
      </c>
      <c r="Q40" s="16">
        <f t="shared" si="32"/>
        <v>800</v>
      </c>
    </row>
    <row r="41" spans="1:17" x14ac:dyDescent="0.35">
      <c r="A41" s="29" t="str">
        <f>CONCATENATE(TEXT(K3,"DD-MMM-YYY")," to ",TEXT(K9,"DD-MMM-YYYY"))</f>
        <v>26-Feb-2024 to 03-Mar-2024</v>
      </c>
      <c r="B41" s="16">
        <f>L10</f>
        <v>0</v>
      </c>
      <c r="C41" s="16">
        <f t="shared" ref="C41:G41" si="35">M10</f>
        <v>0</v>
      </c>
      <c r="D41" s="16">
        <f t="shared" si="35"/>
        <v>0</v>
      </c>
      <c r="E41" s="16">
        <f t="shared" si="35"/>
        <v>0</v>
      </c>
      <c r="F41" s="16">
        <f t="shared" si="35"/>
        <v>0</v>
      </c>
      <c r="G41" s="16">
        <f t="shared" si="35"/>
        <v>0</v>
      </c>
      <c r="H41" s="16">
        <f>B41/3</f>
        <v>0</v>
      </c>
      <c r="K41" s="13">
        <f t="shared" si="27"/>
        <v>45374</v>
      </c>
      <c r="L41" s="14">
        <f t="shared" si="34"/>
        <v>1851</v>
      </c>
      <c r="M41" s="14">
        <f t="shared" si="28"/>
        <v>4319</v>
      </c>
      <c r="N41" s="14">
        <f t="shared" si="29"/>
        <v>6170</v>
      </c>
      <c r="O41" s="14">
        <f t="shared" si="30"/>
        <v>3320</v>
      </c>
      <c r="P41" s="14">
        <f t="shared" si="31"/>
        <v>2850</v>
      </c>
      <c r="Q41" s="14">
        <f t="shared" si="32"/>
        <v>1000</v>
      </c>
    </row>
    <row r="42" spans="1:17" x14ac:dyDescent="0.35">
      <c r="A42" s="29" t="str">
        <f>CONCATENATE(TEXT(K14,"DD-MMM-YYY")," to ",TEXT(K20,"DD-MMM-YYYY"))</f>
        <v>04-Mar-2024 to 10-Mar-2024</v>
      </c>
      <c r="B42" s="14">
        <f>L21</f>
        <v>0</v>
      </c>
      <c r="C42" s="14">
        <f t="shared" ref="C42:G42" si="36">M21</f>
        <v>0</v>
      </c>
      <c r="D42" s="14">
        <f t="shared" si="36"/>
        <v>0</v>
      </c>
      <c r="E42" s="14">
        <f t="shared" si="36"/>
        <v>0</v>
      </c>
      <c r="F42" s="14">
        <f t="shared" si="36"/>
        <v>0</v>
      </c>
      <c r="G42" s="14">
        <f t="shared" si="36"/>
        <v>0</v>
      </c>
      <c r="H42" s="16">
        <f t="shared" ref="H42:H45" si="37">B42/3</f>
        <v>0</v>
      </c>
      <c r="K42" s="15">
        <f t="shared" si="27"/>
        <v>45375</v>
      </c>
      <c r="L42" s="16">
        <f t="shared" si="34"/>
        <v>4047</v>
      </c>
      <c r="M42" s="16">
        <f t="shared" si="28"/>
        <v>9443</v>
      </c>
      <c r="N42" s="16">
        <f t="shared" si="29"/>
        <v>13490</v>
      </c>
      <c r="O42" s="16">
        <f t="shared" si="30"/>
        <v>3150</v>
      </c>
      <c r="P42" s="16">
        <f t="shared" si="31"/>
        <v>10340</v>
      </c>
      <c r="Q42" s="16">
        <f t="shared" si="32"/>
        <v>1000</v>
      </c>
    </row>
    <row r="43" spans="1:17" x14ac:dyDescent="0.35">
      <c r="A43" s="29" t="str">
        <f>CONCATENATE(TEXT(K25,"DD-MMM-YYY")," to ",TEXT(K31,"DD-MMM-YYYY"))</f>
        <v>11-Mar-2024 to 17-Mar-2024</v>
      </c>
      <c r="B43" s="16">
        <f>L32</f>
        <v>0</v>
      </c>
      <c r="C43" s="16">
        <f t="shared" ref="C43:G43" si="38">M32</f>
        <v>0</v>
      </c>
      <c r="D43" s="16">
        <f t="shared" si="38"/>
        <v>0</v>
      </c>
      <c r="E43" s="16">
        <f t="shared" si="38"/>
        <v>0</v>
      </c>
      <c r="F43" s="16">
        <f t="shared" si="38"/>
        <v>0</v>
      </c>
      <c r="G43" s="16">
        <f t="shared" si="38"/>
        <v>0</v>
      </c>
      <c r="H43" s="16">
        <f t="shared" si="37"/>
        <v>0</v>
      </c>
      <c r="K43" s="18" t="s">
        <v>3</v>
      </c>
      <c r="L43" s="16">
        <f t="shared" ref="L43" si="39">SUM(L36:L42)</f>
        <v>38890.5</v>
      </c>
      <c r="M43" s="14">
        <f t="shared" ref="M43:Q43" si="40">SUM(M36:M42)</f>
        <v>90744.5</v>
      </c>
      <c r="N43" s="14">
        <f t="shared" si="40"/>
        <v>129635</v>
      </c>
      <c r="O43" s="14">
        <f t="shared" si="40"/>
        <v>34070</v>
      </c>
      <c r="P43" s="14">
        <f t="shared" si="40"/>
        <v>95565</v>
      </c>
      <c r="Q43" s="14">
        <f t="shared" si="40"/>
        <v>6560</v>
      </c>
    </row>
    <row r="44" spans="1:17" x14ac:dyDescent="0.35">
      <c r="A44" s="29" t="str">
        <f>CONCATENATE(TEXT(K36,"DD-MMM-YYY")," to ",TEXT(K42,"DD-MMM-YYYY"))</f>
        <v>18-Mar-2024 to 24-Mar-2024</v>
      </c>
      <c r="B44" s="14">
        <f>L43</f>
        <v>38890.5</v>
      </c>
      <c r="C44" s="14">
        <f t="shared" ref="C44:G44" si="41">M43</f>
        <v>90744.5</v>
      </c>
      <c r="D44" s="14">
        <f t="shared" si="41"/>
        <v>129635</v>
      </c>
      <c r="E44" s="14">
        <f t="shared" si="41"/>
        <v>34070</v>
      </c>
      <c r="F44" s="14">
        <f t="shared" si="41"/>
        <v>95565</v>
      </c>
      <c r="G44" s="14">
        <f t="shared" si="41"/>
        <v>6560</v>
      </c>
      <c r="H44" s="16">
        <f t="shared" si="37"/>
        <v>12963.5</v>
      </c>
      <c r="K44" s="18" t="s">
        <v>10</v>
      </c>
      <c r="L44" s="16">
        <f>L43/3</f>
        <v>12963.5</v>
      </c>
      <c r="M44" s="16"/>
      <c r="N44" s="16"/>
      <c r="O44" s="16"/>
      <c r="P44" s="16"/>
      <c r="Q44" s="16"/>
    </row>
    <row r="45" spans="1:17" x14ac:dyDescent="0.35">
      <c r="A45" s="29" t="str">
        <f>CONCATENATE(TEXT(K47,"DD-MMM-YYY")," to ",TEXT(K53,"DD-MMM-YYYY"))</f>
        <v>25-Mar-2024 to 31-Mar-2024</v>
      </c>
      <c r="B45" s="16">
        <f>L54</f>
        <v>29188.5</v>
      </c>
      <c r="C45" s="16">
        <f t="shared" ref="C45:G45" si="42">M54</f>
        <v>68106.5</v>
      </c>
      <c r="D45" s="16">
        <f t="shared" si="42"/>
        <v>97295</v>
      </c>
      <c r="E45" s="16">
        <f t="shared" si="42"/>
        <v>63450</v>
      </c>
      <c r="F45" s="16">
        <f t="shared" si="42"/>
        <v>33845</v>
      </c>
      <c r="G45" s="16">
        <f t="shared" si="42"/>
        <v>16550</v>
      </c>
      <c r="H45" s="16">
        <f t="shared" si="37"/>
        <v>9729.5</v>
      </c>
    </row>
    <row r="46" spans="1:17" x14ac:dyDescent="0.35">
      <c r="A46" s="29" t="str">
        <f>CONCATENATE(TEXT(K59,"DD-MMM-YYY")," to ",TEXT(K58,"DD-MMM-YYYY"))</f>
        <v>01-Mar-2024 to Date</v>
      </c>
      <c r="B46" s="14">
        <f>SUM(B41:B45)</f>
        <v>68079</v>
      </c>
      <c r="C46" s="14">
        <f t="shared" ref="C46:H46" si="43">SUM(C41:C45)</f>
        <v>158851</v>
      </c>
      <c r="D46" s="14">
        <f t="shared" si="43"/>
        <v>226930</v>
      </c>
      <c r="E46" s="14">
        <f t="shared" si="43"/>
        <v>97520</v>
      </c>
      <c r="F46" s="14">
        <f t="shared" si="43"/>
        <v>129410</v>
      </c>
      <c r="G46" s="14">
        <f t="shared" si="43"/>
        <v>23110</v>
      </c>
      <c r="H46" s="14">
        <f t="shared" si="43"/>
        <v>22693</v>
      </c>
      <c r="K46" s="19" t="s">
        <v>0</v>
      </c>
      <c r="L46" s="20" t="s">
        <v>1</v>
      </c>
      <c r="M46" s="20" t="s">
        <v>2</v>
      </c>
      <c r="N46" s="20" t="s">
        <v>3</v>
      </c>
      <c r="O46" s="20" t="s">
        <v>4</v>
      </c>
      <c r="P46" s="20" t="s">
        <v>5</v>
      </c>
      <c r="Q46" s="20" t="s">
        <v>6</v>
      </c>
    </row>
    <row r="47" spans="1:17" x14ac:dyDescent="0.35">
      <c r="C47" s="65" t="s">
        <v>3</v>
      </c>
      <c r="D47" s="65"/>
      <c r="E47" s="65"/>
      <c r="F47" s="65"/>
      <c r="G47" s="66"/>
      <c r="H47" s="16"/>
      <c r="K47" s="15">
        <f t="shared" ref="K47:K53" si="44">A30</f>
        <v>45376</v>
      </c>
      <c r="L47" s="16">
        <f>N47*0.3</f>
        <v>4339.5</v>
      </c>
      <c r="M47" s="16">
        <f t="shared" ref="M47:M53" si="45">N47-L47</f>
        <v>10125.5</v>
      </c>
      <c r="N47" s="16">
        <f t="shared" ref="N47:N53" si="46">O47+P47</f>
        <v>14465</v>
      </c>
      <c r="O47" s="16">
        <f t="shared" ref="O47:O52" si="47">VLOOKUP(K47,$A$1:$H$37,5,0)</f>
        <v>12620</v>
      </c>
      <c r="P47" s="16">
        <f t="shared" ref="P47:P53" si="48">VLOOKUP(K47,$A$1:$H$37,6,0)</f>
        <v>1845</v>
      </c>
      <c r="Q47" s="16">
        <f t="shared" ref="Q47:Q53" si="49">VLOOKUP(K47,$A$1:$H$37,7,0)</f>
        <v>100</v>
      </c>
    </row>
    <row r="48" spans="1:17" x14ac:dyDescent="0.35">
      <c r="K48" s="13">
        <f t="shared" si="44"/>
        <v>45377</v>
      </c>
      <c r="L48" s="14">
        <f>N48*0.3</f>
        <v>2778</v>
      </c>
      <c r="M48" s="14">
        <f t="shared" si="45"/>
        <v>6482</v>
      </c>
      <c r="N48" s="14">
        <f t="shared" si="46"/>
        <v>9260</v>
      </c>
      <c r="O48" s="14">
        <f t="shared" si="47"/>
        <v>7750</v>
      </c>
      <c r="P48" s="14">
        <f t="shared" si="48"/>
        <v>1510</v>
      </c>
      <c r="Q48" s="14">
        <f t="shared" si="49"/>
        <v>5300</v>
      </c>
    </row>
    <row r="49" spans="11:17" x14ac:dyDescent="0.35">
      <c r="K49" s="15">
        <f t="shared" si="44"/>
        <v>45378</v>
      </c>
      <c r="L49" s="16">
        <f t="shared" ref="L49:L53" si="50">N49*0.3</f>
        <v>2625</v>
      </c>
      <c r="M49" s="16">
        <f t="shared" si="45"/>
        <v>6125</v>
      </c>
      <c r="N49" s="16">
        <f t="shared" si="46"/>
        <v>8750</v>
      </c>
      <c r="O49" s="16">
        <f t="shared" si="47"/>
        <v>5750</v>
      </c>
      <c r="P49" s="16">
        <f t="shared" si="48"/>
        <v>3000</v>
      </c>
      <c r="Q49" s="16">
        <f t="shared" si="49"/>
        <v>1190</v>
      </c>
    </row>
    <row r="50" spans="11:17" x14ac:dyDescent="0.35">
      <c r="K50" s="13">
        <f t="shared" si="44"/>
        <v>45379</v>
      </c>
      <c r="L50" s="14">
        <f t="shared" si="50"/>
        <v>3285</v>
      </c>
      <c r="M50" s="14">
        <f t="shared" si="45"/>
        <v>7665</v>
      </c>
      <c r="N50" s="14">
        <f t="shared" si="46"/>
        <v>10950</v>
      </c>
      <c r="O50" s="14">
        <f t="shared" si="47"/>
        <v>2200</v>
      </c>
      <c r="P50" s="14">
        <f t="shared" si="48"/>
        <v>8750</v>
      </c>
      <c r="Q50" s="14">
        <f t="shared" si="49"/>
        <v>1600</v>
      </c>
    </row>
    <row r="51" spans="11:17" x14ac:dyDescent="0.35">
      <c r="K51" s="15">
        <f t="shared" si="44"/>
        <v>45380</v>
      </c>
      <c r="L51" s="16">
        <f t="shared" si="50"/>
        <v>7344</v>
      </c>
      <c r="M51" s="16">
        <f t="shared" si="45"/>
        <v>17136</v>
      </c>
      <c r="N51" s="16">
        <f t="shared" si="46"/>
        <v>24480</v>
      </c>
      <c r="O51" s="16">
        <f t="shared" si="47"/>
        <v>13960</v>
      </c>
      <c r="P51" s="16">
        <f t="shared" si="48"/>
        <v>10520</v>
      </c>
      <c r="Q51" s="16">
        <f t="shared" si="49"/>
        <v>720</v>
      </c>
    </row>
    <row r="52" spans="11:17" x14ac:dyDescent="0.35">
      <c r="K52" s="13">
        <f t="shared" si="44"/>
        <v>45381</v>
      </c>
      <c r="L52" s="14">
        <f t="shared" si="50"/>
        <v>4521</v>
      </c>
      <c r="M52" s="14">
        <f t="shared" si="45"/>
        <v>10549</v>
      </c>
      <c r="N52" s="14">
        <f t="shared" si="46"/>
        <v>15070</v>
      </c>
      <c r="O52" s="14">
        <f t="shared" si="47"/>
        <v>13870</v>
      </c>
      <c r="P52" s="14">
        <f t="shared" si="48"/>
        <v>1200</v>
      </c>
      <c r="Q52" s="14">
        <f t="shared" si="49"/>
        <v>1400</v>
      </c>
    </row>
    <row r="53" spans="11:17" x14ac:dyDescent="0.35">
      <c r="K53" s="15">
        <f t="shared" si="44"/>
        <v>45382</v>
      </c>
      <c r="L53" s="16">
        <f t="shared" si="50"/>
        <v>4296</v>
      </c>
      <c r="M53" s="16">
        <f t="shared" si="45"/>
        <v>10024</v>
      </c>
      <c r="N53" s="16">
        <f t="shared" si="46"/>
        <v>14320</v>
      </c>
      <c r="O53" s="16">
        <f>VLOOKUP(K53,$A$1:$H$37,5,0)</f>
        <v>7300</v>
      </c>
      <c r="P53" s="16">
        <f t="shared" si="48"/>
        <v>7020</v>
      </c>
      <c r="Q53" s="16">
        <f t="shared" si="49"/>
        <v>6240</v>
      </c>
    </row>
    <row r="54" spans="11:17" x14ac:dyDescent="0.35">
      <c r="K54" s="18" t="s">
        <v>3</v>
      </c>
      <c r="L54" s="14">
        <f t="shared" ref="L54:Q54" si="51">SUM(L47:L53)</f>
        <v>29188.5</v>
      </c>
      <c r="M54" s="14">
        <f t="shared" si="51"/>
        <v>68106.5</v>
      </c>
      <c r="N54" s="14">
        <f t="shared" si="51"/>
        <v>97295</v>
      </c>
      <c r="O54" s="14">
        <f t="shared" si="51"/>
        <v>63450</v>
      </c>
      <c r="P54" s="14">
        <f t="shared" si="51"/>
        <v>33845</v>
      </c>
      <c r="Q54" s="14">
        <f t="shared" si="51"/>
        <v>16550</v>
      </c>
    </row>
    <row r="55" spans="11:17" x14ac:dyDescent="0.35">
      <c r="K55" s="18" t="s">
        <v>10</v>
      </c>
      <c r="L55" s="16">
        <f>L54/3</f>
        <v>9729.5</v>
      </c>
      <c r="M55" s="16"/>
      <c r="N55" s="16"/>
      <c r="O55" s="16"/>
      <c r="P55" s="16"/>
      <c r="Q55" s="16"/>
    </row>
    <row r="58" spans="11:17" x14ac:dyDescent="0.35">
      <c r="K58" s="19" t="s">
        <v>0</v>
      </c>
      <c r="L58" s="20" t="s">
        <v>1</v>
      </c>
      <c r="M58" s="20" t="s">
        <v>2</v>
      </c>
      <c r="N58" s="20" t="s">
        <v>3</v>
      </c>
      <c r="O58" s="20" t="s">
        <v>4</v>
      </c>
      <c r="P58" s="20" t="s">
        <v>5</v>
      </c>
      <c r="Q58" s="20" t="s">
        <v>6</v>
      </c>
    </row>
    <row r="59" spans="11:17" x14ac:dyDescent="0.35">
      <c r="K59" s="30">
        <f>A6</f>
        <v>45352</v>
      </c>
      <c r="L59" s="14">
        <f>SUM(B7:B36)</f>
        <v>68079</v>
      </c>
      <c r="M59" s="14">
        <f t="shared" ref="M59:Q59" si="52">SUM(C7:C36)</f>
        <v>158851</v>
      </c>
      <c r="N59" s="14">
        <f t="shared" si="52"/>
        <v>226930</v>
      </c>
      <c r="O59" s="14">
        <f t="shared" si="52"/>
        <v>97520</v>
      </c>
      <c r="P59" s="14">
        <f t="shared" si="52"/>
        <v>129410</v>
      </c>
      <c r="Q59" s="14">
        <f t="shared" si="52"/>
        <v>23110</v>
      </c>
    </row>
    <row r="60" spans="11:17" x14ac:dyDescent="0.35">
      <c r="K60" s="18" t="s">
        <v>10</v>
      </c>
      <c r="L60" s="16">
        <f>L59/3</f>
        <v>22693</v>
      </c>
      <c r="M60" s="16"/>
      <c r="N60" s="16"/>
      <c r="O60" s="16"/>
      <c r="P60" s="16"/>
      <c r="Q60" s="16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BDB1-A5CE-455E-A6D4-B341DE313B79}">
  <dimension ref="A1:Q60"/>
  <sheetViews>
    <sheetView zoomScale="90" zoomScaleNormal="90" workbookViewId="0">
      <pane ySplit="1" topLeftCell="A26" activePane="bottomLeft" state="frozen"/>
      <selection pane="bottomLeft" activeCell="B19" sqref="B19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5" width="10" bestFit="1" customWidth="1"/>
    <col min="16" max="16" width="16.453125" bestFit="1" customWidth="1"/>
    <col min="17" max="17" width="9" bestFit="1" customWidth="1"/>
  </cols>
  <sheetData>
    <row r="1" spans="1:17" s="6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K1" s="7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5">
      <c r="A2" s="31">
        <v>45383</v>
      </c>
      <c r="B2" s="10">
        <f t="shared" ref="B2:B36" si="0">D2*0.3</f>
        <v>5280</v>
      </c>
      <c r="C2" s="10">
        <f t="shared" ref="C2:C36" si="1">D2-B2</f>
        <v>12320</v>
      </c>
      <c r="D2" s="10">
        <f t="shared" ref="D2:D36" si="2">E2+F2</f>
        <v>17600</v>
      </c>
      <c r="E2" s="10">
        <v>4900</v>
      </c>
      <c r="F2" s="10">
        <v>12700</v>
      </c>
      <c r="G2" s="10">
        <v>3150</v>
      </c>
      <c r="H2" s="11">
        <f t="shared" ref="H2:H36" si="3">IFERROR(B2/C2,0)</f>
        <v>0.42857142857142855</v>
      </c>
      <c r="I2" s="12">
        <f>SUM($D$2:D2)-SUM($G$2:G2)</f>
        <v>14450</v>
      </c>
      <c r="K2" s="13" t="s">
        <v>9</v>
      </c>
      <c r="L2" s="14"/>
      <c r="M2" s="14"/>
      <c r="N2" s="14"/>
      <c r="O2" s="14"/>
      <c r="P2" s="14"/>
      <c r="Q2" s="14">
        <v>0</v>
      </c>
    </row>
    <row r="3" spans="1:17" x14ac:dyDescent="0.35">
      <c r="A3" s="31">
        <v>45384</v>
      </c>
      <c r="B3" s="10">
        <f t="shared" si="0"/>
        <v>29460</v>
      </c>
      <c r="C3" s="10">
        <f t="shared" si="1"/>
        <v>68740</v>
      </c>
      <c r="D3" s="10">
        <f t="shared" si="2"/>
        <v>98200</v>
      </c>
      <c r="E3" s="10">
        <v>43250</v>
      </c>
      <c r="F3" s="10">
        <f>47250+7700</f>
        <v>54950</v>
      </c>
      <c r="G3" s="10">
        <v>130</v>
      </c>
      <c r="H3" s="11">
        <f t="shared" si="3"/>
        <v>0.42857142857142855</v>
      </c>
      <c r="I3" s="12">
        <f>SUM($D$2:D3)-SUM($G$2:G3)</f>
        <v>112520</v>
      </c>
      <c r="K3" s="15">
        <f t="shared" ref="K3:K9" si="4">A2</f>
        <v>45383</v>
      </c>
      <c r="L3" s="16">
        <f>N3*0.3</f>
        <v>5280</v>
      </c>
      <c r="M3" s="16">
        <f t="shared" ref="M3:M9" si="5">N3-L3</f>
        <v>12320</v>
      </c>
      <c r="N3" s="16">
        <f t="shared" ref="N3:N9" si="6">O3+P3</f>
        <v>17600</v>
      </c>
      <c r="O3" s="16">
        <f t="shared" ref="O3:O9" si="7">VLOOKUP(K3,$A$1:$H$37,5,0)</f>
        <v>4900</v>
      </c>
      <c r="P3" s="16">
        <f t="shared" ref="P3:P9" si="8">VLOOKUP(K3,$A$1:$H$37,6,0)</f>
        <v>12700</v>
      </c>
      <c r="Q3" s="16">
        <f t="shared" ref="Q3:Q9" si="9">VLOOKUP(K3,$A$1:$H$37,7,0)</f>
        <v>3150</v>
      </c>
    </row>
    <row r="4" spans="1:17" x14ac:dyDescent="0.35">
      <c r="A4" s="31">
        <v>45385</v>
      </c>
      <c r="B4" s="10">
        <f t="shared" si="0"/>
        <v>4236</v>
      </c>
      <c r="C4" s="10">
        <f t="shared" si="1"/>
        <v>9884</v>
      </c>
      <c r="D4" s="10">
        <f t="shared" si="2"/>
        <v>14120</v>
      </c>
      <c r="E4" s="17">
        <v>4280</v>
      </c>
      <c r="F4" s="17">
        <v>9840</v>
      </c>
      <c r="G4" s="17">
        <v>940</v>
      </c>
      <c r="H4" s="11">
        <f t="shared" si="3"/>
        <v>0.42857142857142855</v>
      </c>
      <c r="I4" s="12">
        <f>SUM($D$2:D4)-SUM($G$2:G4)</f>
        <v>125700</v>
      </c>
      <c r="K4" s="13">
        <f t="shared" si="4"/>
        <v>45384</v>
      </c>
      <c r="L4" s="14">
        <f>N4*0.3</f>
        <v>29460</v>
      </c>
      <c r="M4" s="14">
        <f t="shared" si="5"/>
        <v>68740</v>
      </c>
      <c r="N4" s="14">
        <f t="shared" si="6"/>
        <v>98200</v>
      </c>
      <c r="O4" s="14">
        <f t="shared" si="7"/>
        <v>43250</v>
      </c>
      <c r="P4" s="14">
        <f t="shared" si="8"/>
        <v>54950</v>
      </c>
      <c r="Q4" s="14">
        <f t="shared" si="9"/>
        <v>130</v>
      </c>
    </row>
    <row r="5" spans="1:17" x14ac:dyDescent="0.35">
      <c r="A5" s="31">
        <v>45386</v>
      </c>
      <c r="B5" s="10">
        <f t="shared" si="0"/>
        <v>9303.6</v>
      </c>
      <c r="C5" s="10">
        <f t="shared" si="1"/>
        <v>21708.400000000001</v>
      </c>
      <c r="D5" s="10">
        <f t="shared" si="2"/>
        <v>31012</v>
      </c>
      <c r="E5" s="10">
        <v>15000</v>
      </c>
      <c r="F5" s="10">
        <f>12900+3112</f>
        <v>16012</v>
      </c>
      <c r="G5" s="10">
        <v>250</v>
      </c>
      <c r="H5" s="11">
        <f t="shared" si="3"/>
        <v>0.42857142857142855</v>
      </c>
      <c r="I5" s="12">
        <f>SUM($D$2:D5)-SUM($G$2:G5)</f>
        <v>156462</v>
      </c>
      <c r="K5" s="15">
        <f t="shared" si="4"/>
        <v>45385</v>
      </c>
      <c r="L5" s="16">
        <f t="shared" ref="L5:L9" si="10">N5*0.3</f>
        <v>4236</v>
      </c>
      <c r="M5" s="16">
        <f t="shared" si="5"/>
        <v>9884</v>
      </c>
      <c r="N5" s="16">
        <f t="shared" si="6"/>
        <v>14120</v>
      </c>
      <c r="O5" s="16">
        <f t="shared" si="7"/>
        <v>4280</v>
      </c>
      <c r="P5" s="16">
        <f t="shared" si="8"/>
        <v>9840</v>
      </c>
      <c r="Q5" s="16">
        <f t="shared" si="9"/>
        <v>940</v>
      </c>
    </row>
    <row r="6" spans="1:17" x14ac:dyDescent="0.35">
      <c r="A6" s="31">
        <v>45387</v>
      </c>
      <c r="B6" s="10">
        <f t="shared" si="0"/>
        <v>3615</v>
      </c>
      <c r="C6" s="10">
        <f t="shared" si="1"/>
        <v>8435</v>
      </c>
      <c r="D6" s="10">
        <f t="shared" si="2"/>
        <v>12050</v>
      </c>
      <c r="E6" s="10">
        <v>10600</v>
      </c>
      <c r="F6" s="10">
        <v>1450</v>
      </c>
      <c r="G6" s="10">
        <v>5090</v>
      </c>
      <c r="H6" s="11">
        <f t="shared" si="3"/>
        <v>0.42857142857142855</v>
      </c>
      <c r="I6" s="12">
        <f>SUM($D$2:D6)-SUM($G$2:G6)</f>
        <v>163422</v>
      </c>
      <c r="K6" s="13">
        <f t="shared" si="4"/>
        <v>45386</v>
      </c>
      <c r="L6" s="14">
        <f t="shared" si="10"/>
        <v>9303.6</v>
      </c>
      <c r="M6" s="14">
        <f t="shared" si="5"/>
        <v>21708.400000000001</v>
      </c>
      <c r="N6" s="14">
        <f t="shared" si="6"/>
        <v>31012</v>
      </c>
      <c r="O6" s="14">
        <f t="shared" si="7"/>
        <v>15000</v>
      </c>
      <c r="P6" s="14">
        <f t="shared" si="8"/>
        <v>16012</v>
      </c>
      <c r="Q6" s="14">
        <f t="shared" si="9"/>
        <v>250</v>
      </c>
    </row>
    <row r="7" spans="1:17" x14ac:dyDescent="0.35">
      <c r="A7" s="31">
        <v>45388</v>
      </c>
      <c r="B7" s="10">
        <f t="shared" si="0"/>
        <v>2655</v>
      </c>
      <c r="C7" s="10">
        <f t="shared" si="1"/>
        <v>6195</v>
      </c>
      <c r="D7" s="10">
        <f t="shared" si="2"/>
        <v>8850</v>
      </c>
      <c r="E7" s="17">
        <v>2610</v>
      </c>
      <c r="F7" s="17">
        <v>6240</v>
      </c>
      <c r="G7" s="17">
        <v>100</v>
      </c>
      <c r="H7" s="11">
        <f t="shared" si="3"/>
        <v>0.42857142857142855</v>
      </c>
      <c r="I7" s="12">
        <f>SUM($D$2:D7)-SUM($G$2:G7)</f>
        <v>172172</v>
      </c>
      <c r="K7" s="15">
        <f t="shared" si="4"/>
        <v>45387</v>
      </c>
      <c r="L7" s="16">
        <f t="shared" si="10"/>
        <v>3615</v>
      </c>
      <c r="M7" s="16">
        <f t="shared" si="5"/>
        <v>8435</v>
      </c>
      <c r="N7" s="16">
        <f t="shared" si="6"/>
        <v>12050</v>
      </c>
      <c r="O7" s="16">
        <f t="shared" si="7"/>
        <v>10600</v>
      </c>
      <c r="P7" s="16">
        <f t="shared" si="8"/>
        <v>1450</v>
      </c>
      <c r="Q7" s="16">
        <f t="shared" si="9"/>
        <v>5090</v>
      </c>
    </row>
    <row r="8" spans="1:17" x14ac:dyDescent="0.35">
      <c r="A8" s="31">
        <v>45389</v>
      </c>
      <c r="B8" s="10">
        <f t="shared" si="0"/>
        <v>4717.5</v>
      </c>
      <c r="C8" s="10">
        <f t="shared" si="1"/>
        <v>11007.5</v>
      </c>
      <c r="D8" s="10">
        <f t="shared" si="2"/>
        <v>15725</v>
      </c>
      <c r="E8" s="17">
        <v>7255</v>
      </c>
      <c r="F8" s="17">
        <v>8470</v>
      </c>
      <c r="G8" s="17">
        <v>1630</v>
      </c>
      <c r="H8" s="11">
        <f t="shared" si="3"/>
        <v>0.42857142857142855</v>
      </c>
      <c r="I8" s="12">
        <f>SUM($D$2:D8)-SUM($G$2:G8)</f>
        <v>186267</v>
      </c>
      <c r="K8" s="13">
        <f t="shared" si="4"/>
        <v>45388</v>
      </c>
      <c r="L8" s="14">
        <f t="shared" si="10"/>
        <v>2655</v>
      </c>
      <c r="M8" s="14">
        <f t="shared" si="5"/>
        <v>6195</v>
      </c>
      <c r="N8" s="14">
        <f t="shared" si="6"/>
        <v>8850</v>
      </c>
      <c r="O8" s="14">
        <f t="shared" si="7"/>
        <v>2610</v>
      </c>
      <c r="P8" s="14">
        <f t="shared" si="8"/>
        <v>6240</v>
      </c>
      <c r="Q8" s="14">
        <f t="shared" si="9"/>
        <v>100</v>
      </c>
    </row>
    <row r="9" spans="1:17" x14ac:dyDescent="0.35">
      <c r="A9" s="31">
        <v>45390</v>
      </c>
      <c r="B9" s="10">
        <f t="shared" si="0"/>
        <v>3459</v>
      </c>
      <c r="C9" s="10">
        <f t="shared" si="1"/>
        <v>8071</v>
      </c>
      <c r="D9" s="10">
        <f t="shared" si="2"/>
        <v>11530</v>
      </c>
      <c r="E9" s="10">
        <v>9260</v>
      </c>
      <c r="F9" s="10">
        <v>2270</v>
      </c>
      <c r="G9" s="10">
        <v>9000</v>
      </c>
      <c r="H9" s="11">
        <f t="shared" si="3"/>
        <v>0.42857142857142855</v>
      </c>
      <c r="I9" s="12">
        <f>SUM($D$2:D9)-SUM($G$2:G9)</f>
        <v>188797</v>
      </c>
      <c r="K9" s="15">
        <f t="shared" si="4"/>
        <v>45389</v>
      </c>
      <c r="L9" s="16">
        <f t="shared" si="10"/>
        <v>4717.5</v>
      </c>
      <c r="M9" s="16">
        <f t="shared" si="5"/>
        <v>11007.5</v>
      </c>
      <c r="N9" s="16">
        <f t="shared" si="6"/>
        <v>15725</v>
      </c>
      <c r="O9" s="16">
        <f t="shared" si="7"/>
        <v>7255</v>
      </c>
      <c r="P9" s="16">
        <f t="shared" si="8"/>
        <v>8470</v>
      </c>
      <c r="Q9" s="16">
        <f t="shared" si="9"/>
        <v>1630</v>
      </c>
    </row>
    <row r="10" spans="1:17" x14ac:dyDescent="0.35">
      <c r="A10" s="31">
        <v>45391</v>
      </c>
      <c r="B10" s="10">
        <f t="shared" si="0"/>
        <v>2352</v>
      </c>
      <c r="C10" s="10">
        <f t="shared" si="1"/>
        <v>5488</v>
      </c>
      <c r="D10" s="10">
        <f t="shared" si="2"/>
        <v>7840</v>
      </c>
      <c r="E10" s="10">
        <v>6400</v>
      </c>
      <c r="F10" s="10">
        <v>1440</v>
      </c>
      <c r="G10" s="10">
        <v>1560</v>
      </c>
      <c r="H10" s="11">
        <f t="shared" si="3"/>
        <v>0.42857142857142855</v>
      </c>
      <c r="I10" s="12">
        <f>SUM($D$2:D10)-SUM($G$2:G10)</f>
        <v>195077</v>
      </c>
      <c r="K10" s="18" t="s">
        <v>3</v>
      </c>
      <c r="L10" s="18">
        <f>SUM(L3:L9)</f>
        <v>59267.1</v>
      </c>
      <c r="M10" s="18">
        <f>SUM(M2:M9)</f>
        <v>138289.9</v>
      </c>
      <c r="N10" s="18">
        <f>SUM(N2:N9)</f>
        <v>197557</v>
      </c>
      <c r="O10" s="18">
        <f>SUM(O2:O9)</f>
        <v>87895</v>
      </c>
      <c r="P10" s="18">
        <f>SUM(P2:P9)</f>
        <v>109662</v>
      </c>
      <c r="Q10" s="18">
        <f>SUM(Q2:Q9)</f>
        <v>11290</v>
      </c>
    </row>
    <row r="11" spans="1:17" x14ac:dyDescent="0.35">
      <c r="A11" s="31">
        <v>45392</v>
      </c>
      <c r="B11" s="10">
        <f t="shared" si="0"/>
        <v>4836</v>
      </c>
      <c r="C11" s="10">
        <f t="shared" si="1"/>
        <v>11284</v>
      </c>
      <c r="D11" s="10">
        <f t="shared" si="2"/>
        <v>16120</v>
      </c>
      <c r="E11" s="10">
        <v>3430</v>
      </c>
      <c r="F11" s="10">
        <v>12690</v>
      </c>
      <c r="G11" s="10">
        <v>2950</v>
      </c>
      <c r="H11" s="11">
        <f t="shared" si="3"/>
        <v>0.42857142857142855</v>
      </c>
      <c r="I11" s="12">
        <f>SUM($D$2:D11)-SUM($G$2:G11)</f>
        <v>208247</v>
      </c>
      <c r="K11" s="18" t="s">
        <v>10</v>
      </c>
      <c r="L11" s="18">
        <f>L10/3</f>
        <v>19755.7</v>
      </c>
      <c r="M11" s="18"/>
      <c r="N11" s="18"/>
      <c r="O11" s="16"/>
      <c r="P11" s="16"/>
      <c r="Q11" s="16"/>
    </row>
    <row r="12" spans="1:17" x14ac:dyDescent="0.35">
      <c r="A12" s="31">
        <v>45393</v>
      </c>
      <c r="B12" s="10">
        <f t="shared" si="0"/>
        <v>4680</v>
      </c>
      <c r="C12" s="10">
        <f t="shared" si="1"/>
        <v>10920</v>
      </c>
      <c r="D12" s="10">
        <f t="shared" si="2"/>
        <v>15600</v>
      </c>
      <c r="E12" s="10">
        <v>3310</v>
      </c>
      <c r="F12" s="10">
        <v>12290</v>
      </c>
      <c r="G12" s="10">
        <v>3930</v>
      </c>
      <c r="H12" s="11">
        <f t="shared" si="3"/>
        <v>0.42857142857142855</v>
      </c>
      <c r="I12" s="12">
        <f>SUM($D$2:D12)-SUM($G$2:G12)</f>
        <v>219917</v>
      </c>
    </row>
    <row r="13" spans="1:17" x14ac:dyDescent="0.35">
      <c r="A13" s="31">
        <v>45394</v>
      </c>
      <c r="B13" s="10">
        <f t="shared" si="0"/>
        <v>3123</v>
      </c>
      <c r="C13" s="10">
        <f t="shared" si="1"/>
        <v>7287</v>
      </c>
      <c r="D13" s="10">
        <f t="shared" si="2"/>
        <v>10410</v>
      </c>
      <c r="E13" s="10">
        <v>4780</v>
      </c>
      <c r="F13" s="10">
        <v>5630</v>
      </c>
      <c r="G13" s="10">
        <v>4270</v>
      </c>
      <c r="H13" s="11">
        <f t="shared" si="3"/>
        <v>0.42857142857142855</v>
      </c>
      <c r="I13" s="12">
        <f>SUM($D$2:D13)-SUM($G$2:G13)</f>
        <v>226057</v>
      </c>
      <c r="K13" s="19" t="s">
        <v>0</v>
      </c>
      <c r="L13" s="20" t="s">
        <v>1</v>
      </c>
      <c r="M13" s="20" t="s">
        <v>2</v>
      </c>
      <c r="N13" s="20" t="s">
        <v>3</v>
      </c>
      <c r="O13" s="20" t="s">
        <v>4</v>
      </c>
      <c r="P13" s="20" t="s">
        <v>5</v>
      </c>
      <c r="Q13" s="20" t="s">
        <v>6</v>
      </c>
    </row>
    <row r="14" spans="1:17" x14ac:dyDescent="0.35">
      <c r="A14" s="31">
        <v>45395</v>
      </c>
      <c r="B14" s="10">
        <f t="shared" si="0"/>
        <v>6321</v>
      </c>
      <c r="C14" s="10">
        <f t="shared" si="1"/>
        <v>14749</v>
      </c>
      <c r="D14" s="10">
        <f t="shared" si="2"/>
        <v>21070</v>
      </c>
      <c r="E14" s="10">
        <v>13150</v>
      </c>
      <c r="F14" s="10">
        <v>7920</v>
      </c>
      <c r="G14" s="10">
        <v>6090</v>
      </c>
      <c r="H14" s="11">
        <f t="shared" si="3"/>
        <v>0.42857142857142855</v>
      </c>
      <c r="I14" s="12">
        <f>SUM($D$2:D14)-SUM($G$2:G14)</f>
        <v>241037</v>
      </c>
      <c r="K14" s="15">
        <f t="shared" ref="K14:K20" si="11">A9</f>
        <v>45390</v>
      </c>
      <c r="L14" s="16">
        <f>N14*0.3</f>
        <v>3459</v>
      </c>
      <c r="M14" s="16">
        <f t="shared" ref="M14:M20" si="12">N14-L14</f>
        <v>8071</v>
      </c>
      <c r="N14" s="16">
        <f t="shared" ref="N14:N20" si="13">O14+P14</f>
        <v>11530</v>
      </c>
      <c r="O14" s="16">
        <f t="shared" ref="O14:O20" si="14">VLOOKUP(K14,$A$1:$H$37,5,0)</f>
        <v>9260</v>
      </c>
      <c r="P14" s="16">
        <f t="shared" ref="P14:P20" si="15">VLOOKUP(K14,$A$1:$H$37,6,0)</f>
        <v>2270</v>
      </c>
      <c r="Q14" s="16">
        <f t="shared" ref="Q14:Q20" si="16">VLOOKUP(K14,$A$1:$H$37,7,0)</f>
        <v>9000</v>
      </c>
    </row>
    <row r="15" spans="1:17" x14ac:dyDescent="0.35">
      <c r="A15" s="31">
        <v>45396</v>
      </c>
      <c r="B15" s="10">
        <f t="shared" si="0"/>
        <v>4104</v>
      </c>
      <c r="C15" s="10">
        <f t="shared" si="1"/>
        <v>9576</v>
      </c>
      <c r="D15" s="10">
        <f t="shared" si="2"/>
        <v>13680</v>
      </c>
      <c r="E15" s="10">
        <v>6560</v>
      </c>
      <c r="F15" s="10">
        <v>7120</v>
      </c>
      <c r="G15" s="10">
        <v>3500</v>
      </c>
      <c r="H15" s="11">
        <f t="shared" si="3"/>
        <v>0.42857142857142855</v>
      </c>
      <c r="I15" s="12">
        <f>SUM($D$2:D15)-SUM($G$2:G15)</f>
        <v>251217</v>
      </c>
      <c r="K15" s="13">
        <f t="shared" si="11"/>
        <v>45391</v>
      </c>
      <c r="L15" s="14">
        <f>N15*0.3</f>
        <v>2352</v>
      </c>
      <c r="M15" s="14">
        <f t="shared" si="12"/>
        <v>5488</v>
      </c>
      <c r="N15" s="14">
        <f t="shared" si="13"/>
        <v>7840</v>
      </c>
      <c r="O15" s="14">
        <f t="shared" si="14"/>
        <v>6400</v>
      </c>
      <c r="P15" s="14">
        <f t="shared" si="15"/>
        <v>1440</v>
      </c>
      <c r="Q15" s="14">
        <f t="shared" si="16"/>
        <v>1560</v>
      </c>
    </row>
    <row r="16" spans="1:17" x14ac:dyDescent="0.35">
      <c r="A16" s="31">
        <v>45397</v>
      </c>
      <c r="B16" s="10">
        <f t="shared" si="0"/>
        <v>2952</v>
      </c>
      <c r="C16" s="10">
        <f t="shared" si="1"/>
        <v>6888</v>
      </c>
      <c r="D16" s="10">
        <f t="shared" si="2"/>
        <v>9840</v>
      </c>
      <c r="E16" s="10">
        <v>7700</v>
      </c>
      <c r="F16" s="10">
        <v>2140</v>
      </c>
      <c r="G16" s="10">
        <v>2500</v>
      </c>
      <c r="H16" s="11">
        <f t="shared" si="3"/>
        <v>0.42857142857142855</v>
      </c>
      <c r="I16" s="12">
        <f>SUM($D$2:D16)-SUM($G$2:G16)</f>
        <v>258557</v>
      </c>
      <c r="K16" s="15">
        <f t="shared" si="11"/>
        <v>45392</v>
      </c>
      <c r="L16" s="16">
        <f t="shared" ref="L16:L20" si="17">N16*0.3</f>
        <v>4836</v>
      </c>
      <c r="M16" s="16">
        <f t="shared" si="12"/>
        <v>11284</v>
      </c>
      <c r="N16" s="16">
        <f t="shared" si="13"/>
        <v>16120</v>
      </c>
      <c r="O16" s="16">
        <f t="shared" si="14"/>
        <v>3430</v>
      </c>
      <c r="P16" s="16">
        <f t="shared" si="15"/>
        <v>12690</v>
      </c>
      <c r="Q16" s="16">
        <f t="shared" si="16"/>
        <v>2950</v>
      </c>
    </row>
    <row r="17" spans="1:17" x14ac:dyDescent="0.35">
      <c r="A17" s="31">
        <v>45398</v>
      </c>
      <c r="B17" s="10">
        <f t="shared" si="0"/>
        <v>8790</v>
      </c>
      <c r="C17" s="10">
        <f t="shared" si="1"/>
        <v>20510</v>
      </c>
      <c r="D17" s="10">
        <f t="shared" si="2"/>
        <v>29300</v>
      </c>
      <c r="E17" s="10">
        <v>9000</v>
      </c>
      <c r="F17" s="10">
        <v>20300</v>
      </c>
      <c r="G17" s="10">
        <v>2380</v>
      </c>
      <c r="H17" s="11">
        <f t="shared" si="3"/>
        <v>0.42857142857142855</v>
      </c>
      <c r="I17" s="12">
        <f>SUM($D$2:D17)-SUM($G$2:G17)</f>
        <v>285477</v>
      </c>
      <c r="K17" s="13">
        <f t="shared" si="11"/>
        <v>45393</v>
      </c>
      <c r="L17" s="14">
        <f t="shared" si="17"/>
        <v>4680</v>
      </c>
      <c r="M17" s="14">
        <f t="shared" si="12"/>
        <v>10920</v>
      </c>
      <c r="N17" s="14">
        <f t="shared" si="13"/>
        <v>15600</v>
      </c>
      <c r="O17" s="14">
        <f t="shared" si="14"/>
        <v>3310</v>
      </c>
      <c r="P17" s="14">
        <f t="shared" si="15"/>
        <v>12290</v>
      </c>
      <c r="Q17" s="14">
        <f t="shared" si="16"/>
        <v>3930</v>
      </c>
    </row>
    <row r="18" spans="1:17" x14ac:dyDescent="0.35">
      <c r="A18" s="31">
        <v>45399</v>
      </c>
      <c r="B18" s="10">
        <f t="shared" si="0"/>
        <v>3063</v>
      </c>
      <c r="C18" s="10">
        <f t="shared" si="1"/>
        <v>7147</v>
      </c>
      <c r="D18" s="10">
        <f t="shared" si="2"/>
        <v>10210</v>
      </c>
      <c r="E18" s="10">
        <v>5140</v>
      </c>
      <c r="F18" s="10">
        <v>5070</v>
      </c>
      <c r="G18" s="10">
        <v>1120</v>
      </c>
      <c r="H18" s="11">
        <f t="shared" si="3"/>
        <v>0.42857142857142855</v>
      </c>
      <c r="I18" s="12">
        <f>SUM($D$2:D18)-SUM($G$2:G18)</f>
        <v>294567</v>
      </c>
      <c r="K18" s="15">
        <f t="shared" si="11"/>
        <v>45394</v>
      </c>
      <c r="L18" s="16">
        <f t="shared" si="17"/>
        <v>3123</v>
      </c>
      <c r="M18" s="16">
        <f t="shared" si="12"/>
        <v>7287</v>
      </c>
      <c r="N18" s="16">
        <f t="shared" si="13"/>
        <v>10410</v>
      </c>
      <c r="O18" s="16">
        <f t="shared" si="14"/>
        <v>4780</v>
      </c>
      <c r="P18" s="16">
        <f t="shared" si="15"/>
        <v>5630</v>
      </c>
      <c r="Q18" s="16">
        <f t="shared" si="16"/>
        <v>4270</v>
      </c>
    </row>
    <row r="19" spans="1:17" x14ac:dyDescent="0.35">
      <c r="A19" s="31">
        <v>45400</v>
      </c>
      <c r="B19" s="10">
        <f t="shared" si="0"/>
        <v>6603</v>
      </c>
      <c r="C19" s="10">
        <f t="shared" si="1"/>
        <v>15407</v>
      </c>
      <c r="D19" s="10">
        <f t="shared" si="2"/>
        <v>22010</v>
      </c>
      <c r="E19" s="10">
        <v>12420</v>
      </c>
      <c r="F19" s="10">
        <v>9590</v>
      </c>
      <c r="G19" s="10">
        <v>2600</v>
      </c>
      <c r="H19" s="11">
        <f t="shared" si="3"/>
        <v>0.42857142857142855</v>
      </c>
      <c r="I19" s="12">
        <f>SUM($D$2:D19)-SUM($G$2:G19)</f>
        <v>313977</v>
      </c>
      <c r="K19" s="13">
        <f t="shared" si="11"/>
        <v>45395</v>
      </c>
      <c r="L19" s="14">
        <f t="shared" si="17"/>
        <v>6321</v>
      </c>
      <c r="M19" s="14">
        <f t="shared" si="12"/>
        <v>14749</v>
      </c>
      <c r="N19" s="14">
        <f t="shared" si="13"/>
        <v>21070</v>
      </c>
      <c r="O19" s="14">
        <f t="shared" si="14"/>
        <v>13150</v>
      </c>
      <c r="P19" s="14">
        <f t="shared" si="15"/>
        <v>7920</v>
      </c>
      <c r="Q19" s="14">
        <f t="shared" si="16"/>
        <v>6090</v>
      </c>
    </row>
    <row r="20" spans="1:17" x14ac:dyDescent="0.35">
      <c r="A20" s="31">
        <v>45401</v>
      </c>
      <c r="B20" s="10">
        <f t="shared" si="0"/>
        <v>19890</v>
      </c>
      <c r="C20" s="10">
        <f t="shared" si="1"/>
        <v>46410</v>
      </c>
      <c r="D20" s="10">
        <f t="shared" si="2"/>
        <v>66300</v>
      </c>
      <c r="E20" s="10">
        <v>3300</v>
      </c>
      <c r="F20" s="10">
        <v>63000</v>
      </c>
      <c r="G20" s="10">
        <v>2060</v>
      </c>
      <c r="H20" s="11">
        <f t="shared" si="3"/>
        <v>0.42857142857142855</v>
      </c>
      <c r="I20" s="12">
        <f>SUM($D$2:D20)-SUM($G$2:G20)</f>
        <v>378217</v>
      </c>
      <c r="K20" s="15">
        <f t="shared" si="11"/>
        <v>45396</v>
      </c>
      <c r="L20" s="16">
        <f t="shared" si="17"/>
        <v>4104</v>
      </c>
      <c r="M20" s="16">
        <f t="shared" si="12"/>
        <v>9576</v>
      </c>
      <c r="N20" s="16">
        <f t="shared" si="13"/>
        <v>13680</v>
      </c>
      <c r="O20" s="16">
        <f t="shared" si="14"/>
        <v>6560</v>
      </c>
      <c r="P20" s="16">
        <f t="shared" si="15"/>
        <v>7120</v>
      </c>
      <c r="Q20" s="16">
        <f t="shared" si="16"/>
        <v>3500</v>
      </c>
    </row>
    <row r="21" spans="1:17" x14ac:dyDescent="0.35">
      <c r="A21" s="31">
        <v>45402</v>
      </c>
      <c r="B21" s="10">
        <f t="shared" si="0"/>
        <v>5817</v>
      </c>
      <c r="C21" s="10">
        <f t="shared" si="1"/>
        <v>13573</v>
      </c>
      <c r="D21" s="10">
        <f t="shared" si="2"/>
        <v>19390</v>
      </c>
      <c r="E21" s="10">
        <v>9500</v>
      </c>
      <c r="F21" s="10">
        <v>9890</v>
      </c>
      <c r="G21" s="10">
        <v>1150</v>
      </c>
      <c r="H21" s="11">
        <f t="shared" si="3"/>
        <v>0.42857142857142855</v>
      </c>
      <c r="I21" s="12">
        <f>SUM($D$2:D21)-SUM($G$2:G21)</f>
        <v>396457</v>
      </c>
      <c r="K21" s="18" t="s">
        <v>3</v>
      </c>
      <c r="L21" s="18">
        <f t="shared" ref="L21:Q21" si="18">SUM(L14:L20)</f>
        <v>28875</v>
      </c>
      <c r="M21" s="18">
        <f t="shared" si="18"/>
        <v>67375</v>
      </c>
      <c r="N21" s="18">
        <f t="shared" si="18"/>
        <v>96250</v>
      </c>
      <c r="O21" s="18">
        <f t="shared" si="18"/>
        <v>46890</v>
      </c>
      <c r="P21" s="18">
        <f t="shared" si="18"/>
        <v>49360</v>
      </c>
      <c r="Q21" s="18">
        <f t="shared" si="18"/>
        <v>31300</v>
      </c>
    </row>
    <row r="22" spans="1:17" x14ac:dyDescent="0.35">
      <c r="A22" s="31">
        <v>45403</v>
      </c>
      <c r="B22" s="10">
        <f t="shared" si="0"/>
        <v>5145</v>
      </c>
      <c r="C22" s="10">
        <f t="shared" si="1"/>
        <v>12005</v>
      </c>
      <c r="D22" s="10">
        <f t="shared" si="2"/>
        <v>17150</v>
      </c>
      <c r="E22" s="10">
        <v>10500</v>
      </c>
      <c r="F22" s="10">
        <v>6650</v>
      </c>
      <c r="G22" s="10">
        <v>700</v>
      </c>
      <c r="H22" s="11">
        <f t="shared" si="3"/>
        <v>0.42857142857142855</v>
      </c>
      <c r="I22" s="12">
        <f>SUM($D$2:D22)-SUM($G$2:G22)</f>
        <v>412907</v>
      </c>
      <c r="K22" s="18" t="s">
        <v>10</v>
      </c>
      <c r="L22" s="18">
        <f>L21/3</f>
        <v>9625</v>
      </c>
      <c r="M22" s="18"/>
      <c r="N22" s="18">
        <f>M22+L22</f>
        <v>9625</v>
      </c>
      <c r="O22" s="16"/>
      <c r="P22" s="16"/>
      <c r="Q22" s="16"/>
    </row>
    <row r="23" spans="1:17" x14ac:dyDescent="0.35">
      <c r="A23" s="31">
        <v>45404</v>
      </c>
      <c r="B23" s="10">
        <f t="shared" si="0"/>
        <v>1881</v>
      </c>
      <c r="C23" s="10">
        <f t="shared" si="1"/>
        <v>4389</v>
      </c>
      <c r="D23" s="10">
        <f t="shared" si="2"/>
        <v>6270</v>
      </c>
      <c r="E23" s="10">
        <v>4250</v>
      </c>
      <c r="F23" s="10">
        <v>2020</v>
      </c>
      <c r="G23" s="10">
        <v>2250</v>
      </c>
      <c r="H23" s="11">
        <f t="shared" si="3"/>
        <v>0.42857142857142855</v>
      </c>
      <c r="I23" s="12">
        <f>SUM($D$2:D23)-SUM($G$2:G23)</f>
        <v>416927</v>
      </c>
    </row>
    <row r="24" spans="1:17" x14ac:dyDescent="0.35">
      <c r="A24" s="31">
        <v>45405</v>
      </c>
      <c r="B24" s="10">
        <f t="shared" si="0"/>
        <v>5061</v>
      </c>
      <c r="C24" s="10">
        <f t="shared" si="1"/>
        <v>11809</v>
      </c>
      <c r="D24" s="10">
        <f t="shared" si="2"/>
        <v>16870</v>
      </c>
      <c r="E24" s="10">
        <v>4200</v>
      </c>
      <c r="F24" s="10">
        <v>12670</v>
      </c>
      <c r="G24" s="10">
        <v>350</v>
      </c>
      <c r="H24" s="11">
        <f t="shared" si="3"/>
        <v>0.42857142857142855</v>
      </c>
      <c r="I24" s="12">
        <f>SUM($D$2:D24)-SUM($G$2:G24)</f>
        <v>433447</v>
      </c>
      <c r="K24" s="19" t="s">
        <v>0</v>
      </c>
      <c r="L24" s="20" t="s">
        <v>1</v>
      </c>
      <c r="M24" s="20" t="s">
        <v>2</v>
      </c>
      <c r="N24" s="20" t="s">
        <v>3</v>
      </c>
      <c r="O24" s="20" t="s">
        <v>4</v>
      </c>
      <c r="P24" s="20" t="s">
        <v>5</v>
      </c>
      <c r="Q24" s="20" t="s">
        <v>6</v>
      </c>
    </row>
    <row r="25" spans="1:17" x14ac:dyDescent="0.35">
      <c r="A25" s="31">
        <v>45406</v>
      </c>
      <c r="B25" s="10">
        <f t="shared" si="0"/>
        <v>2640</v>
      </c>
      <c r="C25" s="10">
        <f t="shared" si="1"/>
        <v>6160</v>
      </c>
      <c r="D25" s="10">
        <f t="shared" si="2"/>
        <v>8800</v>
      </c>
      <c r="E25" s="10">
        <v>7250</v>
      </c>
      <c r="F25" s="10">
        <v>1550</v>
      </c>
      <c r="G25" s="10">
        <v>600</v>
      </c>
      <c r="H25" s="11">
        <f t="shared" si="3"/>
        <v>0.42857142857142855</v>
      </c>
      <c r="I25" s="12">
        <f>SUM($D$2:D25)-SUM($G$2:G25)</f>
        <v>441647</v>
      </c>
      <c r="K25" s="15">
        <f t="shared" ref="K25:K31" si="19">A16</f>
        <v>45397</v>
      </c>
      <c r="L25" s="16">
        <f>N25*0.3</f>
        <v>2952</v>
      </c>
      <c r="M25" s="16">
        <f t="shared" ref="M25:M31" si="20">N25-L25</f>
        <v>6888</v>
      </c>
      <c r="N25" s="16">
        <f t="shared" ref="N25:N31" si="21">O25+P25</f>
        <v>9840</v>
      </c>
      <c r="O25" s="16">
        <f t="shared" ref="O25:O31" si="22">VLOOKUP(K25,$A$1:$H$37,5,0)</f>
        <v>7700</v>
      </c>
      <c r="P25" s="16">
        <f t="shared" ref="P25:P31" si="23">VLOOKUP(K25,$A$1:$H$37,6,0)</f>
        <v>2140</v>
      </c>
      <c r="Q25" s="16">
        <f t="shared" ref="Q25:Q31" si="24">VLOOKUP(K25,$A$1:$H$37,7,0)</f>
        <v>2500</v>
      </c>
    </row>
    <row r="26" spans="1:17" x14ac:dyDescent="0.35">
      <c r="A26" s="31">
        <v>45407</v>
      </c>
      <c r="B26" s="10">
        <f t="shared" si="0"/>
        <v>3720</v>
      </c>
      <c r="C26" s="10">
        <f t="shared" si="1"/>
        <v>8680</v>
      </c>
      <c r="D26" s="10">
        <f t="shared" si="2"/>
        <v>12400</v>
      </c>
      <c r="E26" s="10">
        <v>6500</v>
      </c>
      <c r="F26" s="10">
        <v>5900</v>
      </c>
      <c r="G26" s="10">
        <v>1550</v>
      </c>
      <c r="H26" s="11">
        <f t="shared" si="3"/>
        <v>0.42857142857142855</v>
      </c>
      <c r="I26" s="12">
        <f>SUM($D$2:D26)-SUM($G$2:G26)</f>
        <v>452497</v>
      </c>
      <c r="K26" s="13">
        <f t="shared" si="19"/>
        <v>45398</v>
      </c>
      <c r="L26" s="14">
        <f>N26*0.3</f>
        <v>8790</v>
      </c>
      <c r="M26" s="14">
        <f t="shared" si="20"/>
        <v>20510</v>
      </c>
      <c r="N26" s="14">
        <f t="shared" si="21"/>
        <v>29300</v>
      </c>
      <c r="O26" s="14">
        <f t="shared" si="22"/>
        <v>9000</v>
      </c>
      <c r="P26" s="14">
        <f t="shared" si="23"/>
        <v>20300</v>
      </c>
      <c r="Q26" s="14">
        <f t="shared" si="24"/>
        <v>2380</v>
      </c>
    </row>
    <row r="27" spans="1:17" x14ac:dyDescent="0.35">
      <c r="A27" s="31">
        <v>45408</v>
      </c>
      <c r="B27" s="10">
        <f t="shared" si="0"/>
        <v>2346</v>
      </c>
      <c r="C27" s="10">
        <f t="shared" si="1"/>
        <v>5474</v>
      </c>
      <c r="D27" s="10">
        <f t="shared" si="2"/>
        <v>7820</v>
      </c>
      <c r="E27" s="10">
        <v>3575</v>
      </c>
      <c r="F27" s="10">
        <v>4245</v>
      </c>
      <c r="G27" s="10">
        <v>1280</v>
      </c>
      <c r="H27" s="11">
        <f t="shared" si="3"/>
        <v>0.42857142857142855</v>
      </c>
      <c r="I27" s="12">
        <f>SUM($D$2:D27)-SUM($G$2:G27)</f>
        <v>459037</v>
      </c>
      <c r="K27" s="15">
        <f t="shared" si="19"/>
        <v>45399</v>
      </c>
      <c r="L27" s="16">
        <f t="shared" ref="L27:L31" si="25">N27*0.3</f>
        <v>3063</v>
      </c>
      <c r="M27" s="16">
        <f t="shared" si="20"/>
        <v>7147</v>
      </c>
      <c r="N27" s="16">
        <f t="shared" si="21"/>
        <v>10210</v>
      </c>
      <c r="O27" s="16">
        <f t="shared" si="22"/>
        <v>5140</v>
      </c>
      <c r="P27" s="16">
        <f t="shared" si="23"/>
        <v>5070</v>
      </c>
      <c r="Q27" s="16">
        <f t="shared" si="24"/>
        <v>1120</v>
      </c>
    </row>
    <row r="28" spans="1:17" x14ac:dyDescent="0.35">
      <c r="A28" s="31">
        <v>45409</v>
      </c>
      <c r="B28" s="10">
        <f t="shared" si="0"/>
        <v>8133</v>
      </c>
      <c r="C28" s="10">
        <f t="shared" si="1"/>
        <v>18977</v>
      </c>
      <c r="D28" s="10">
        <f t="shared" si="2"/>
        <v>27110</v>
      </c>
      <c r="E28" s="10">
        <v>18500</v>
      </c>
      <c r="F28" s="10">
        <v>8610</v>
      </c>
      <c r="G28" s="10">
        <v>5900</v>
      </c>
      <c r="H28" s="11">
        <f t="shared" si="3"/>
        <v>0.42857142857142855</v>
      </c>
      <c r="I28" s="12">
        <f>SUM($D$2:D28)-SUM($G$2:G28)</f>
        <v>480247</v>
      </c>
      <c r="K28" s="13">
        <f t="shared" si="19"/>
        <v>45400</v>
      </c>
      <c r="L28" s="14">
        <f>N28*0.3</f>
        <v>6603</v>
      </c>
      <c r="M28" s="14">
        <f t="shared" si="20"/>
        <v>15407</v>
      </c>
      <c r="N28" s="14">
        <f t="shared" si="21"/>
        <v>22010</v>
      </c>
      <c r="O28" s="14">
        <f t="shared" si="22"/>
        <v>12420</v>
      </c>
      <c r="P28" s="14">
        <f t="shared" si="23"/>
        <v>9590</v>
      </c>
      <c r="Q28" s="14">
        <f t="shared" si="24"/>
        <v>2600</v>
      </c>
    </row>
    <row r="29" spans="1:17" x14ac:dyDescent="0.35">
      <c r="A29" s="31">
        <v>45410</v>
      </c>
      <c r="B29" s="10">
        <f t="shared" si="0"/>
        <v>4003.5</v>
      </c>
      <c r="C29" s="10">
        <f t="shared" si="1"/>
        <v>9341.5</v>
      </c>
      <c r="D29" s="10">
        <f t="shared" si="2"/>
        <v>13345</v>
      </c>
      <c r="E29" s="10">
        <v>3575</v>
      </c>
      <c r="F29" s="10">
        <v>9770</v>
      </c>
      <c r="G29" s="10">
        <v>1000</v>
      </c>
      <c r="H29" s="11">
        <f t="shared" si="3"/>
        <v>0.42857142857142855</v>
      </c>
      <c r="I29" s="12">
        <f>SUM($D$2:D29)-SUM($G$2:G29)</f>
        <v>492592</v>
      </c>
      <c r="K29" s="15">
        <f t="shared" si="19"/>
        <v>45401</v>
      </c>
      <c r="L29" s="16">
        <f t="shared" si="25"/>
        <v>19890</v>
      </c>
      <c r="M29" s="16">
        <f t="shared" si="20"/>
        <v>46410</v>
      </c>
      <c r="N29" s="16">
        <f t="shared" si="21"/>
        <v>66300</v>
      </c>
      <c r="O29" s="16">
        <f t="shared" si="22"/>
        <v>3300</v>
      </c>
      <c r="P29" s="16">
        <f t="shared" si="23"/>
        <v>63000</v>
      </c>
      <c r="Q29" s="16">
        <f t="shared" si="24"/>
        <v>2060</v>
      </c>
    </row>
    <row r="30" spans="1:17" x14ac:dyDescent="0.35">
      <c r="A30" s="31">
        <v>45411</v>
      </c>
      <c r="B30" s="10">
        <f t="shared" si="0"/>
        <v>2910</v>
      </c>
      <c r="C30" s="10">
        <f t="shared" si="1"/>
        <v>6790</v>
      </c>
      <c r="D30" s="10">
        <f t="shared" si="2"/>
        <v>9700</v>
      </c>
      <c r="E30" s="10">
        <v>7400</v>
      </c>
      <c r="F30" s="10">
        <v>2300</v>
      </c>
      <c r="G30" s="10">
        <v>1850</v>
      </c>
      <c r="H30" s="11">
        <f t="shared" si="3"/>
        <v>0.42857142857142855</v>
      </c>
      <c r="I30" s="12">
        <f>SUM($D$2:D30)-SUM($G$2:G30)</f>
        <v>500442</v>
      </c>
      <c r="K30" s="13">
        <f t="shared" si="19"/>
        <v>45402</v>
      </c>
      <c r="L30" s="14">
        <f t="shared" si="25"/>
        <v>5817</v>
      </c>
      <c r="M30" s="14">
        <f t="shared" si="20"/>
        <v>13573</v>
      </c>
      <c r="N30" s="14">
        <f t="shared" si="21"/>
        <v>19390</v>
      </c>
      <c r="O30" s="14">
        <f t="shared" si="22"/>
        <v>9500</v>
      </c>
      <c r="P30" s="14">
        <f t="shared" si="23"/>
        <v>9890</v>
      </c>
      <c r="Q30" s="14">
        <f t="shared" si="24"/>
        <v>1150</v>
      </c>
    </row>
    <row r="31" spans="1:17" x14ac:dyDescent="0.35">
      <c r="A31" s="31">
        <v>45412</v>
      </c>
      <c r="B31" s="10">
        <f t="shared" si="0"/>
        <v>9105</v>
      </c>
      <c r="C31" s="10">
        <f t="shared" si="1"/>
        <v>21245</v>
      </c>
      <c r="D31" s="10">
        <f t="shared" si="2"/>
        <v>30350</v>
      </c>
      <c r="E31" s="10">
        <v>1200</v>
      </c>
      <c r="F31" s="10">
        <v>29150</v>
      </c>
      <c r="G31" s="10">
        <v>29620</v>
      </c>
      <c r="H31" s="11">
        <f t="shared" si="3"/>
        <v>0.42857142857142855</v>
      </c>
      <c r="I31" s="12">
        <f>SUM($D$2:D31)-SUM($G$2:G31)</f>
        <v>501172</v>
      </c>
      <c r="K31" s="15">
        <f t="shared" si="19"/>
        <v>45403</v>
      </c>
      <c r="L31" s="16">
        <f t="shared" si="25"/>
        <v>5145</v>
      </c>
      <c r="M31" s="16">
        <f t="shared" si="20"/>
        <v>12005</v>
      </c>
      <c r="N31" s="16">
        <f t="shared" si="21"/>
        <v>17150</v>
      </c>
      <c r="O31" s="16">
        <f t="shared" si="22"/>
        <v>10500</v>
      </c>
      <c r="P31" s="16">
        <f t="shared" si="23"/>
        <v>6650</v>
      </c>
      <c r="Q31" s="16">
        <f t="shared" si="24"/>
        <v>700</v>
      </c>
    </row>
    <row r="32" spans="1:17" x14ac:dyDescent="0.35">
      <c r="A32" s="31">
        <v>45413</v>
      </c>
      <c r="B32" s="10">
        <f t="shared" si="0"/>
        <v>7914</v>
      </c>
      <c r="C32" s="10">
        <f t="shared" si="1"/>
        <v>18466</v>
      </c>
      <c r="D32" s="10">
        <f t="shared" si="2"/>
        <v>26380</v>
      </c>
      <c r="E32" s="17">
        <v>7700</v>
      </c>
      <c r="F32" s="17">
        <v>18680</v>
      </c>
      <c r="G32" s="17">
        <v>1420</v>
      </c>
      <c r="H32" s="11">
        <f t="shared" si="3"/>
        <v>0.42857142857142855</v>
      </c>
      <c r="I32" s="12">
        <f>SUM($D$2:D32)-SUM($G$2:G32)</f>
        <v>526132</v>
      </c>
      <c r="K32" s="18" t="s">
        <v>3</v>
      </c>
      <c r="L32" s="16">
        <f t="shared" ref="L32:Q32" si="26">SUM(L25:L31)</f>
        <v>52260</v>
      </c>
      <c r="M32" s="16">
        <f t="shared" si="26"/>
        <v>121940</v>
      </c>
      <c r="N32" s="16">
        <f t="shared" si="26"/>
        <v>174200</v>
      </c>
      <c r="O32" s="16">
        <f t="shared" si="26"/>
        <v>57560</v>
      </c>
      <c r="P32" s="16">
        <f t="shared" si="26"/>
        <v>116640</v>
      </c>
      <c r="Q32" s="16">
        <f t="shared" si="26"/>
        <v>12510</v>
      </c>
    </row>
    <row r="33" spans="1:17" x14ac:dyDescent="0.35">
      <c r="A33" s="31">
        <v>45414</v>
      </c>
      <c r="B33" s="10">
        <f t="shared" si="0"/>
        <v>5066.7</v>
      </c>
      <c r="C33" s="10">
        <f t="shared" si="1"/>
        <v>11822.3</v>
      </c>
      <c r="D33" s="10">
        <f t="shared" si="2"/>
        <v>16889</v>
      </c>
      <c r="E33" s="10">
        <v>7100</v>
      </c>
      <c r="F33" s="10">
        <v>9789</v>
      </c>
      <c r="G33" s="10">
        <v>910</v>
      </c>
      <c r="H33" s="11">
        <f t="shared" si="3"/>
        <v>0.4285714285714286</v>
      </c>
      <c r="I33" s="12">
        <f>SUM($D$2:D33)-SUM($G$2:G33)</f>
        <v>542111</v>
      </c>
      <c r="K33" s="18" t="s">
        <v>10</v>
      </c>
      <c r="L33" s="14">
        <f>L32/3</f>
        <v>17420</v>
      </c>
      <c r="M33" s="14"/>
      <c r="N33" s="14"/>
      <c r="O33" s="14"/>
      <c r="P33" s="14"/>
      <c r="Q33" s="14"/>
    </row>
    <row r="34" spans="1:17" x14ac:dyDescent="0.35">
      <c r="A34" s="31">
        <v>45415</v>
      </c>
      <c r="B34" s="10">
        <f t="shared" si="0"/>
        <v>3780</v>
      </c>
      <c r="C34" s="10">
        <f t="shared" si="1"/>
        <v>8820</v>
      </c>
      <c r="D34" s="10">
        <f t="shared" si="2"/>
        <v>12600</v>
      </c>
      <c r="E34" s="10">
        <v>10900</v>
      </c>
      <c r="F34" s="10">
        <v>1700</v>
      </c>
      <c r="G34" s="10">
        <v>2680</v>
      </c>
      <c r="H34" s="11">
        <f t="shared" si="3"/>
        <v>0.42857142857142855</v>
      </c>
      <c r="I34" s="12">
        <f>SUM($D$2:D34)-SUM($G$2:G34)</f>
        <v>552031</v>
      </c>
    </row>
    <row r="35" spans="1:17" x14ac:dyDescent="0.35">
      <c r="A35" s="31">
        <v>45416</v>
      </c>
      <c r="B35" s="10">
        <f t="shared" si="0"/>
        <v>6900</v>
      </c>
      <c r="C35" s="10">
        <f t="shared" si="1"/>
        <v>16100</v>
      </c>
      <c r="D35" s="10">
        <f t="shared" si="2"/>
        <v>23000</v>
      </c>
      <c r="E35" s="17">
        <v>6000</v>
      </c>
      <c r="F35" s="17">
        <v>17000</v>
      </c>
      <c r="G35" s="17">
        <v>1150</v>
      </c>
      <c r="H35" s="11">
        <f t="shared" si="3"/>
        <v>0.42857142857142855</v>
      </c>
      <c r="I35" s="12">
        <f>SUM($D$2:D35)-SUM($G$2:G35)</f>
        <v>573881</v>
      </c>
      <c r="K35" s="19" t="s">
        <v>0</v>
      </c>
      <c r="L35" s="20" t="s">
        <v>1</v>
      </c>
      <c r="M35" s="20" t="s">
        <v>2</v>
      </c>
      <c r="N35" s="20" t="s">
        <v>3</v>
      </c>
      <c r="O35" s="20" t="s">
        <v>4</v>
      </c>
      <c r="P35" s="20" t="s">
        <v>5</v>
      </c>
      <c r="Q35" s="20" t="s">
        <v>6</v>
      </c>
    </row>
    <row r="36" spans="1:17" x14ac:dyDescent="0.35">
      <c r="A36" s="31">
        <v>45417</v>
      </c>
      <c r="B36" s="10">
        <f t="shared" si="0"/>
        <v>5205</v>
      </c>
      <c r="C36" s="10">
        <f t="shared" si="1"/>
        <v>12145</v>
      </c>
      <c r="D36" s="10">
        <f t="shared" si="2"/>
        <v>17350</v>
      </c>
      <c r="E36" s="17">
        <v>13450</v>
      </c>
      <c r="F36" s="17">
        <v>3900</v>
      </c>
      <c r="G36" s="17">
        <v>950</v>
      </c>
      <c r="H36" s="11">
        <f t="shared" si="3"/>
        <v>0.42857142857142855</v>
      </c>
      <c r="I36" s="12">
        <f>SUM($D$2:D36)-SUM($G$2:G36)</f>
        <v>590281</v>
      </c>
      <c r="K36" s="13">
        <f t="shared" ref="K36:K42" si="27">A23</f>
        <v>45404</v>
      </c>
      <c r="L36" s="16">
        <f>N36*0.3</f>
        <v>1881</v>
      </c>
      <c r="M36" s="16">
        <f t="shared" ref="M36:M42" si="28">N36-L36</f>
        <v>4389</v>
      </c>
      <c r="N36" s="16">
        <f t="shared" ref="N36:N42" si="29">O36+P36</f>
        <v>6270</v>
      </c>
      <c r="O36" s="16">
        <f t="shared" ref="O36:O42" si="30">VLOOKUP(K36,$A$1:$H$37,5,0)</f>
        <v>4250</v>
      </c>
      <c r="P36" s="16">
        <f t="shared" ref="P36:P42" si="31">VLOOKUP(K36,$A$1:$H$37,6,0)</f>
        <v>2020</v>
      </c>
      <c r="Q36" s="16">
        <f t="shared" ref="Q36:Q42" si="32">VLOOKUP(K36,$A$1:$H$37,7,0)</f>
        <v>2250</v>
      </c>
    </row>
    <row r="37" spans="1:17" ht="15" thickBot="1" x14ac:dyDescent="0.4">
      <c r="A37" s="21" t="s">
        <v>3</v>
      </c>
      <c r="B37" s="22">
        <f>SUBTOTAL(109,Table23453456879111215141617181920212223242526272834567891011345[Profit])</f>
        <v>209067.30000000002</v>
      </c>
      <c r="C37" s="22">
        <f>SUBTOTAL(109,Table23453456879111215141617181920212223242526272834567891011345[Profit])</f>
        <v>209067.30000000002</v>
      </c>
      <c r="D37" s="22">
        <f>SUBTOTAL(109,Table23453456879111215141617181920212223242526272834567891011345[Total])</f>
        <v>696891</v>
      </c>
      <c r="E37" s="22">
        <f>SUBTOTAL(109,Table23453456879111215141617181920212223242526272834567891011345[Profit])</f>
        <v>209067.30000000002</v>
      </c>
      <c r="F37" s="22">
        <f>SUBTOTAL(109,Table23453456879111215141617181920212223242526272834567891011345[Profit])</f>
        <v>209067.30000000002</v>
      </c>
      <c r="G37" s="22">
        <f t="shared" ref="G37:I37" si="33">SUM(G4:G36)</f>
        <v>103330</v>
      </c>
      <c r="H37" s="22">
        <f t="shared" si="33"/>
        <v>14.142857142857148</v>
      </c>
      <c r="I37" s="22">
        <f t="shared" si="33"/>
        <v>11636975</v>
      </c>
      <c r="K37" s="13">
        <f t="shared" si="27"/>
        <v>45405</v>
      </c>
      <c r="L37" s="14">
        <f>N37*0.3</f>
        <v>5061</v>
      </c>
      <c r="M37" s="14">
        <f t="shared" si="28"/>
        <v>11809</v>
      </c>
      <c r="N37" s="14">
        <f t="shared" si="29"/>
        <v>16870</v>
      </c>
      <c r="O37" s="14">
        <f t="shared" si="30"/>
        <v>4200</v>
      </c>
      <c r="P37" s="14">
        <f t="shared" si="31"/>
        <v>12670</v>
      </c>
      <c r="Q37" s="14">
        <f t="shared" si="32"/>
        <v>350</v>
      </c>
    </row>
    <row r="38" spans="1:17" x14ac:dyDescent="0.35">
      <c r="A38" s="23"/>
      <c r="B38" s="24">
        <f>B37/3</f>
        <v>69689.100000000006</v>
      </c>
      <c r="C38" s="24"/>
      <c r="E38" s="26">
        <f>D37*0.42</f>
        <v>292694.21999999997</v>
      </c>
      <c r="F38" s="24"/>
      <c r="G38" s="24"/>
      <c r="H38" s="27"/>
      <c r="K38" s="15">
        <f t="shared" si="27"/>
        <v>45406</v>
      </c>
      <c r="L38" s="16">
        <f t="shared" ref="L38:L42" si="34">N38*0.3</f>
        <v>2640</v>
      </c>
      <c r="M38" s="16">
        <f t="shared" si="28"/>
        <v>6160</v>
      </c>
      <c r="N38" s="16">
        <f t="shared" si="29"/>
        <v>8800</v>
      </c>
      <c r="O38" s="16">
        <f t="shared" si="30"/>
        <v>7250</v>
      </c>
      <c r="P38" s="16">
        <f t="shared" si="31"/>
        <v>1550</v>
      </c>
      <c r="Q38" s="16">
        <f t="shared" si="32"/>
        <v>600</v>
      </c>
    </row>
    <row r="39" spans="1:17" x14ac:dyDescent="0.35">
      <c r="A39" s="23"/>
      <c r="B39" s="24">
        <f>B38*100/D37</f>
        <v>10.000000000000002</v>
      </c>
      <c r="C39" s="24"/>
      <c r="E39" s="24">
        <f>E38/3</f>
        <v>97564.739999999991</v>
      </c>
      <c r="F39" s="24"/>
      <c r="G39" s="24"/>
      <c r="H39" s="27"/>
      <c r="K39" s="13">
        <f t="shared" si="27"/>
        <v>45407</v>
      </c>
      <c r="L39" s="14">
        <f t="shared" si="34"/>
        <v>3720</v>
      </c>
      <c r="M39" s="14">
        <f t="shared" si="28"/>
        <v>8680</v>
      </c>
      <c r="N39" s="14">
        <f t="shared" si="29"/>
        <v>12400</v>
      </c>
      <c r="O39" s="14">
        <f t="shared" si="30"/>
        <v>6500</v>
      </c>
      <c r="P39" s="14">
        <f t="shared" si="31"/>
        <v>5900</v>
      </c>
      <c r="Q39" s="14">
        <f t="shared" si="32"/>
        <v>1550</v>
      </c>
    </row>
    <row r="40" spans="1:17" x14ac:dyDescent="0.35">
      <c r="A40" s="19" t="s">
        <v>0</v>
      </c>
      <c r="B40" s="20" t="s">
        <v>1</v>
      </c>
      <c r="C40" s="20" t="s">
        <v>2</v>
      </c>
      <c r="D40" s="20" t="s">
        <v>3</v>
      </c>
      <c r="E40" s="20" t="s">
        <v>4</v>
      </c>
      <c r="F40" s="20" t="s">
        <v>5</v>
      </c>
      <c r="G40" s="20" t="s">
        <v>6</v>
      </c>
      <c r="H40" s="28" t="s">
        <v>10</v>
      </c>
      <c r="K40" s="15">
        <f t="shared" si="27"/>
        <v>45408</v>
      </c>
      <c r="L40" s="16">
        <f t="shared" si="34"/>
        <v>2346</v>
      </c>
      <c r="M40" s="16">
        <f t="shared" si="28"/>
        <v>5474</v>
      </c>
      <c r="N40" s="16">
        <f t="shared" si="29"/>
        <v>7820</v>
      </c>
      <c r="O40" s="16">
        <f t="shared" si="30"/>
        <v>3575</v>
      </c>
      <c r="P40" s="16">
        <f t="shared" si="31"/>
        <v>4245</v>
      </c>
      <c r="Q40" s="16">
        <f t="shared" si="32"/>
        <v>1280</v>
      </c>
    </row>
    <row r="41" spans="1:17" x14ac:dyDescent="0.35">
      <c r="A41" s="29" t="str">
        <f>CONCATENATE(TEXT(K3,"DD-MMM-YYY")," to ",TEXT(K9,"DD-MMM-YYYY"))</f>
        <v>01-Apr-2024 to 07-Apr-2024</v>
      </c>
      <c r="B41" s="16">
        <f>L10</f>
        <v>59267.1</v>
      </c>
      <c r="C41" s="16">
        <f t="shared" ref="C41:G41" si="35">M10</f>
        <v>138289.9</v>
      </c>
      <c r="D41" s="16">
        <f t="shared" si="35"/>
        <v>197557</v>
      </c>
      <c r="E41" s="16">
        <f t="shared" si="35"/>
        <v>87895</v>
      </c>
      <c r="F41" s="16">
        <f t="shared" si="35"/>
        <v>109662</v>
      </c>
      <c r="G41" s="16">
        <f t="shared" si="35"/>
        <v>11290</v>
      </c>
      <c r="H41" s="16">
        <f>B41/3</f>
        <v>19755.7</v>
      </c>
      <c r="K41" s="13">
        <f t="shared" si="27"/>
        <v>45409</v>
      </c>
      <c r="L41" s="14">
        <f t="shared" si="34"/>
        <v>8133</v>
      </c>
      <c r="M41" s="14">
        <f t="shared" si="28"/>
        <v>18977</v>
      </c>
      <c r="N41" s="14">
        <f t="shared" si="29"/>
        <v>27110</v>
      </c>
      <c r="O41" s="14">
        <f t="shared" si="30"/>
        <v>18500</v>
      </c>
      <c r="P41" s="14">
        <f t="shared" si="31"/>
        <v>8610</v>
      </c>
      <c r="Q41" s="14">
        <f t="shared" si="32"/>
        <v>5900</v>
      </c>
    </row>
    <row r="42" spans="1:17" x14ac:dyDescent="0.35">
      <c r="A42" s="29" t="str">
        <f>CONCATENATE(TEXT(K14,"DD-MMM-YYY")," to ",TEXT(K20,"DD-MMM-YYYY"))</f>
        <v>08-Apr-2024 to 14-Apr-2024</v>
      </c>
      <c r="B42" s="14">
        <f>L21</f>
        <v>28875</v>
      </c>
      <c r="C42" s="14">
        <f t="shared" ref="C42:G42" si="36">M21</f>
        <v>67375</v>
      </c>
      <c r="D42" s="14">
        <f t="shared" si="36"/>
        <v>96250</v>
      </c>
      <c r="E42" s="14">
        <f t="shared" si="36"/>
        <v>46890</v>
      </c>
      <c r="F42" s="14">
        <f t="shared" si="36"/>
        <v>49360</v>
      </c>
      <c r="G42" s="14">
        <f t="shared" si="36"/>
        <v>31300</v>
      </c>
      <c r="H42" s="16">
        <f t="shared" ref="H42:H45" si="37">B42/3</f>
        <v>9625</v>
      </c>
      <c r="K42" s="15">
        <f t="shared" si="27"/>
        <v>45410</v>
      </c>
      <c r="L42" s="16">
        <f t="shared" si="34"/>
        <v>4003.5</v>
      </c>
      <c r="M42" s="16">
        <f t="shared" si="28"/>
        <v>9341.5</v>
      </c>
      <c r="N42" s="16">
        <f t="shared" si="29"/>
        <v>13345</v>
      </c>
      <c r="O42" s="16">
        <f t="shared" si="30"/>
        <v>3575</v>
      </c>
      <c r="P42" s="16">
        <f t="shared" si="31"/>
        <v>9770</v>
      </c>
      <c r="Q42" s="16">
        <f t="shared" si="32"/>
        <v>1000</v>
      </c>
    </row>
    <row r="43" spans="1:17" x14ac:dyDescent="0.35">
      <c r="A43" s="29" t="str">
        <f>CONCATENATE(TEXT(K25,"DD-MMM-YYY")," to ",TEXT(K31,"DD-MMM-YYYY"))</f>
        <v>15-Apr-2024 to 21-Apr-2024</v>
      </c>
      <c r="B43" s="16">
        <f>L32</f>
        <v>52260</v>
      </c>
      <c r="C43" s="16">
        <f t="shared" ref="C43:G43" si="38">M32</f>
        <v>121940</v>
      </c>
      <c r="D43" s="16">
        <f t="shared" si="38"/>
        <v>174200</v>
      </c>
      <c r="E43" s="16">
        <f t="shared" si="38"/>
        <v>57560</v>
      </c>
      <c r="F43" s="16">
        <f t="shared" si="38"/>
        <v>116640</v>
      </c>
      <c r="G43" s="16">
        <f t="shared" si="38"/>
        <v>12510</v>
      </c>
      <c r="H43" s="16">
        <f t="shared" si="37"/>
        <v>17420</v>
      </c>
      <c r="K43" s="18" t="s">
        <v>3</v>
      </c>
      <c r="L43" s="16">
        <f t="shared" ref="L43" si="39">SUM(L36:L42)</f>
        <v>27784.5</v>
      </c>
      <c r="M43" s="14">
        <f t="shared" ref="M43:Q43" si="40">SUM(M36:M42)</f>
        <v>64830.5</v>
      </c>
      <c r="N43" s="14">
        <f t="shared" si="40"/>
        <v>92615</v>
      </c>
      <c r="O43" s="14">
        <f t="shared" si="40"/>
        <v>47850</v>
      </c>
      <c r="P43" s="14">
        <f t="shared" si="40"/>
        <v>44765</v>
      </c>
      <c r="Q43" s="14">
        <f t="shared" si="40"/>
        <v>12930</v>
      </c>
    </row>
    <row r="44" spans="1:17" x14ac:dyDescent="0.35">
      <c r="A44" s="29" t="str">
        <f>CONCATENATE(TEXT(K36,"DD-MMM-YYY")," to ",TEXT(K42,"DD-MMM-YYYY"))</f>
        <v>22-Apr-2024 to 28-Apr-2024</v>
      </c>
      <c r="B44" s="14">
        <f>L43</f>
        <v>27784.5</v>
      </c>
      <c r="C44" s="14">
        <f t="shared" ref="C44:G44" si="41">M43</f>
        <v>64830.5</v>
      </c>
      <c r="D44" s="14">
        <f t="shared" si="41"/>
        <v>92615</v>
      </c>
      <c r="E44" s="14">
        <f t="shared" si="41"/>
        <v>47850</v>
      </c>
      <c r="F44" s="14">
        <f t="shared" si="41"/>
        <v>44765</v>
      </c>
      <c r="G44" s="14">
        <f t="shared" si="41"/>
        <v>12930</v>
      </c>
      <c r="H44" s="16">
        <f t="shared" si="37"/>
        <v>9261.5</v>
      </c>
      <c r="K44" s="18" t="s">
        <v>10</v>
      </c>
      <c r="L44" s="16">
        <f>L43/3</f>
        <v>9261.5</v>
      </c>
      <c r="M44" s="16"/>
      <c r="N44" s="16"/>
      <c r="O44" s="16"/>
      <c r="P44" s="16"/>
      <c r="Q44" s="16"/>
    </row>
    <row r="45" spans="1:17" x14ac:dyDescent="0.35">
      <c r="A45" s="29" t="str">
        <f>CONCATENATE(TEXT(K47,"DD-MMM-YYY")," to ",TEXT(K53,"DD-MMM-YYYY"))</f>
        <v>29-Apr-2024 to 05-May-2024</v>
      </c>
      <c r="B45" s="16">
        <f>L54</f>
        <v>40880.699999999997</v>
      </c>
      <c r="C45" s="16">
        <f t="shared" ref="C45:G45" si="42">M54</f>
        <v>95388.3</v>
      </c>
      <c r="D45" s="16">
        <f t="shared" si="42"/>
        <v>136269</v>
      </c>
      <c r="E45" s="16">
        <f t="shared" si="42"/>
        <v>53750</v>
      </c>
      <c r="F45" s="16">
        <f t="shared" si="42"/>
        <v>82519</v>
      </c>
      <c r="G45" s="16">
        <f t="shared" si="42"/>
        <v>38580</v>
      </c>
      <c r="H45" s="16">
        <f t="shared" si="37"/>
        <v>13626.9</v>
      </c>
    </row>
    <row r="46" spans="1:17" x14ac:dyDescent="0.35">
      <c r="A46" s="29" t="str">
        <f>CONCATENATE(TEXT(K59,"DD-MMM-YYY")," to ",TEXT(K58,"DD-MMM-YYYY"))</f>
        <v>05-Apr-2024 to Date</v>
      </c>
      <c r="B46" s="14">
        <f>SUM(B41:B45)</f>
        <v>209067.3</v>
      </c>
      <c r="C46" s="14">
        <f t="shared" ref="C46:H46" si="43">SUM(C41:C45)</f>
        <v>487823.7</v>
      </c>
      <c r="D46" s="14">
        <f t="shared" si="43"/>
        <v>696891</v>
      </c>
      <c r="E46" s="14">
        <f t="shared" si="43"/>
        <v>293945</v>
      </c>
      <c r="F46" s="14">
        <f t="shared" si="43"/>
        <v>402946</v>
      </c>
      <c r="G46" s="14">
        <f t="shared" si="43"/>
        <v>106610</v>
      </c>
      <c r="H46" s="14">
        <f t="shared" si="43"/>
        <v>69689.099999999991</v>
      </c>
      <c r="K46" s="19" t="s">
        <v>0</v>
      </c>
      <c r="L46" s="20" t="s">
        <v>1</v>
      </c>
      <c r="M46" s="20" t="s">
        <v>2</v>
      </c>
      <c r="N46" s="20" t="s">
        <v>3</v>
      </c>
      <c r="O46" s="20" t="s">
        <v>4</v>
      </c>
      <c r="P46" s="20" t="s">
        <v>5</v>
      </c>
      <c r="Q46" s="20" t="s">
        <v>6</v>
      </c>
    </row>
    <row r="47" spans="1:17" x14ac:dyDescent="0.35">
      <c r="C47" s="65" t="s">
        <v>3</v>
      </c>
      <c r="D47" s="65"/>
      <c r="E47" s="65"/>
      <c r="F47" s="65"/>
      <c r="G47" s="66"/>
      <c r="H47" s="16"/>
      <c r="K47" s="15">
        <f t="shared" ref="K47:K53" si="44">A30</f>
        <v>45411</v>
      </c>
      <c r="L47" s="16">
        <f>N47*0.3</f>
        <v>2910</v>
      </c>
      <c r="M47" s="16">
        <f t="shared" ref="M47:M53" si="45">N47-L47</f>
        <v>6790</v>
      </c>
      <c r="N47" s="16">
        <f t="shared" ref="N47:N53" si="46">O47+P47</f>
        <v>9700</v>
      </c>
      <c r="O47" s="16">
        <f t="shared" ref="O47:O52" si="47">VLOOKUP(K47,$A$1:$H$37,5,0)</f>
        <v>7400</v>
      </c>
      <c r="P47" s="16">
        <f t="shared" ref="P47:P53" si="48">VLOOKUP(K47,$A$1:$H$37,6,0)</f>
        <v>2300</v>
      </c>
      <c r="Q47" s="16">
        <f t="shared" ref="Q47:Q53" si="49">VLOOKUP(K47,$A$1:$H$37,7,0)</f>
        <v>1850</v>
      </c>
    </row>
    <row r="48" spans="1:17" x14ac:dyDescent="0.35">
      <c r="K48" s="13">
        <f t="shared" si="44"/>
        <v>45412</v>
      </c>
      <c r="L48" s="14">
        <f>N48*0.3</f>
        <v>9105</v>
      </c>
      <c r="M48" s="14">
        <f t="shared" si="45"/>
        <v>21245</v>
      </c>
      <c r="N48" s="14">
        <f t="shared" si="46"/>
        <v>30350</v>
      </c>
      <c r="O48" s="14">
        <f t="shared" si="47"/>
        <v>1200</v>
      </c>
      <c r="P48" s="14">
        <f t="shared" si="48"/>
        <v>29150</v>
      </c>
      <c r="Q48" s="14">
        <f t="shared" si="49"/>
        <v>29620</v>
      </c>
    </row>
    <row r="49" spans="11:17" x14ac:dyDescent="0.35">
      <c r="K49" s="15">
        <f t="shared" si="44"/>
        <v>45413</v>
      </c>
      <c r="L49" s="16">
        <f t="shared" ref="L49:L53" si="50">N49*0.3</f>
        <v>7914</v>
      </c>
      <c r="M49" s="16">
        <f t="shared" si="45"/>
        <v>18466</v>
      </c>
      <c r="N49" s="16">
        <f t="shared" si="46"/>
        <v>26380</v>
      </c>
      <c r="O49" s="16">
        <f t="shared" si="47"/>
        <v>7700</v>
      </c>
      <c r="P49" s="16">
        <f t="shared" si="48"/>
        <v>18680</v>
      </c>
      <c r="Q49" s="16">
        <f t="shared" si="49"/>
        <v>1420</v>
      </c>
    </row>
    <row r="50" spans="11:17" x14ac:dyDescent="0.35">
      <c r="K50" s="13">
        <f t="shared" si="44"/>
        <v>45414</v>
      </c>
      <c r="L50" s="14">
        <f t="shared" si="50"/>
        <v>5066.7</v>
      </c>
      <c r="M50" s="14">
        <f t="shared" si="45"/>
        <v>11822.3</v>
      </c>
      <c r="N50" s="14">
        <f t="shared" si="46"/>
        <v>16889</v>
      </c>
      <c r="O50" s="14">
        <f t="shared" si="47"/>
        <v>7100</v>
      </c>
      <c r="P50" s="14">
        <f t="shared" si="48"/>
        <v>9789</v>
      </c>
      <c r="Q50" s="14">
        <f t="shared" si="49"/>
        <v>910</v>
      </c>
    </row>
    <row r="51" spans="11:17" x14ac:dyDescent="0.35">
      <c r="K51" s="15">
        <f t="shared" si="44"/>
        <v>45415</v>
      </c>
      <c r="L51" s="16">
        <f t="shared" si="50"/>
        <v>3780</v>
      </c>
      <c r="M51" s="16">
        <f t="shared" si="45"/>
        <v>8820</v>
      </c>
      <c r="N51" s="16">
        <f t="shared" si="46"/>
        <v>12600</v>
      </c>
      <c r="O51" s="16">
        <f t="shared" si="47"/>
        <v>10900</v>
      </c>
      <c r="P51" s="16">
        <f t="shared" si="48"/>
        <v>1700</v>
      </c>
      <c r="Q51" s="16">
        <f t="shared" si="49"/>
        <v>2680</v>
      </c>
    </row>
    <row r="52" spans="11:17" x14ac:dyDescent="0.35">
      <c r="K52" s="13">
        <f t="shared" si="44"/>
        <v>45416</v>
      </c>
      <c r="L52" s="14">
        <f t="shared" si="50"/>
        <v>6900</v>
      </c>
      <c r="M52" s="14">
        <f t="shared" si="45"/>
        <v>16100</v>
      </c>
      <c r="N52" s="14">
        <f t="shared" si="46"/>
        <v>23000</v>
      </c>
      <c r="O52" s="14">
        <f t="shared" si="47"/>
        <v>6000</v>
      </c>
      <c r="P52" s="14">
        <f t="shared" si="48"/>
        <v>17000</v>
      </c>
      <c r="Q52" s="14">
        <f t="shared" si="49"/>
        <v>1150</v>
      </c>
    </row>
    <row r="53" spans="11:17" x14ac:dyDescent="0.35">
      <c r="K53" s="15">
        <f t="shared" si="44"/>
        <v>45417</v>
      </c>
      <c r="L53" s="16">
        <f t="shared" si="50"/>
        <v>5205</v>
      </c>
      <c r="M53" s="16">
        <f t="shared" si="45"/>
        <v>12145</v>
      </c>
      <c r="N53" s="16">
        <f t="shared" si="46"/>
        <v>17350</v>
      </c>
      <c r="O53" s="16">
        <f>VLOOKUP(K53,$A$1:$H$37,5,0)</f>
        <v>13450</v>
      </c>
      <c r="P53" s="16">
        <f t="shared" si="48"/>
        <v>3900</v>
      </c>
      <c r="Q53" s="16">
        <f t="shared" si="49"/>
        <v>950</v>
      </c>
    </row>
    <row r="54" spans="11:17" x14ac:dyDescent="0.35">
      <c r="K54" s="18" t="s">
        <v>3</v>
      </c>
      <c r="L54" s="14">
        <f t="shared" ref="L54:Q54" si="51">SUM(L47:L53)</f>
        <v>40880.699999999997</v>
      </c>
      <c r="M54" s="14">
        <f t="shared" si="51"/>
        <v>95388.3</v>
      </c>
      <c r="N54" s="14">
        <f t="shared" si="51"/>
        <v>136269</v>
      </c>
      <c r="O54" s="14">
        <f t="shared" si="51"/>
        <v>53750</v>
      </c>
      <c r="P54" s="14">
        <f t="shared" si="51"/>
        <v>82519</v>
      </c>
      <c r="Q54" s="14">
        <f t="shared" si="51"/>
        <v>38580</v>
      </c>
    </row>
    <row r="55" spans="11:17" x14ac:dyDescent="0.35">
      <c r="K55" s="18" t="s">
        <v>10</v>
      </c>
      <c r="L55" s="16">
        <f>L54/3</f>
        <v>13626.9</v>
      </c>
      <c r="M55" s="16"/>
      <c r="N55" s="16"/>
      <c r="O55" s="16"/>
      <c r="P55" s="16"/>
      <c r="Q55" s="16"/>
    </row>
    <row r="58" spans="11:17" x14ac:dyDescent="0.35">
      <c r="K58" s="19" t="s">
        <v>0</v>
      </c>
      <c r="L58" s="20" t="s">
        <v>1</v>
      </c>
      <c r="M58" s="20" t="s">
        <v>2</v>
      </c>
      <c r="N58" s="20" t="s">
        <v>3</v>
      </c>
      <c r="O58" s="20" t="s">
        <v>4</v>
      </c>
      <c r="P58" s="20" t="s">
        <v>5</v>
      </c>
      <c r="Q58" s="20" t="s">
        <v>6</v>
      </c>
    </row>
    <row r="59" spans="11:17" x14ac:dyDescent="0.35">
      <c r="K59" s="30">
        <f>A6</f>
        <v>45387</v>
      </c>
      <c r="L59" s="14">
        <f>SUM(B7:B36)</f>
        <v>157172.70000000001</v>
      </c>
      <c r="M59" s="14">
        <f t="shared" ref="M59:Q59" si="52">SUM(C7:C36)</f>
        <v>366736.3</v>
      </c>
      <c r="N59" s="14">
        <f t="shared" si="52"/>
        <v>523909</v>
      </c>
      <c r="O59" s="14">
        <f t="shared" si="52"/>
        <v>215915</v>
      </c>
      <c r="P59" s="14">
        <f t="shared" si="52"/>
        <v>307994</v>
      </c>
      <c r="Q59" s="14">
        <f t="shared" si="52"/>
        <v>97050</v>
      </c>
    </row>
    <row r="60" spans="11:17" x14ac:dyDescent="0.35">
      <c r="K60" s="18" t="s">
        <v>10</v>
      </c>
      <c r="L60" s="16">
        <f>L59/3</f>
        <v>52390.9</v>
      </c>
      <c r="M60" s="16"/>
      <c r="N60" s="16"/>
      <c r="O60" s="16"/>
      <c r="P60" s="16"/>
      <c r="Q60" s="16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9F8A-9EBD-45CC-8E5C-769603BF9678}">
  <dimension ref="A1:Q60"/>
  <sheetViews>
    <sheetView zoomScale="90" zoomScaleNormal="90" workbookViewId="0">
      <pane ySplit="1" topLeftCell="A26" activePane="bottomLeft" state="frozen"/>
      <selection pane="bottomLeft" activeCell="D23" sqref="D23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5" width="10" bestFit="1" customWidth="1"/>
    <col min="16" max="16" width="16.453125" bestFit="1" customWidth="1"/>
    <col min="17" max="17" width="9" bestFit="1" customWidth="1"/>
  </cols>
  <sheetData>
    <row r="1" spans="1:17" s="6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K1" s="7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5">
      <c r="A2" s="31">
        <v>45411</v>
      </c>
      <c r="B2" s="10">
        <f t="shared" ref="B2:B36" si="0">D2*0.3</f>
        <v>2910</v>
      </c>
      <c r="C2" s="10">
        <f t="shared" ref="C2:C36" si="1">D2-B2</f>
        <v>6790</v>
      </c>
      <c r="D2" s="10">
        <f t="shared" ref="D2:D36" si="2">E2+F2</f>
        <v>9700</v>
      </c>
      <c r="E2" s="10">
        <v>7400</v>
      </c>
      <c r="F2" s="10">
        <v>2300</v>
      </c>
      <c r="G2" s="10">
        <v>1850</v>
      </c>
      <c r="H2" s="11">
        <f t="shared" ref="H2:H36" si="3">IFERROR(B2/C2,0)</f>
        <v>0.42857142857142855</v>
      </c>
      <c r="I2" s="12">
        <f>SUM($D$2:D2)-SUM($G$2:G2)</f>
        <v>7850</v>
      </c>
      <c r="K2" s="13" t="s">
        <v>9</v>
      </c>
      <c r="L2" s="14"/>
      <c r="M2" s="14"/>
      <c r="N2" s="14"/>
      <c r="O2" s="14"/>
      <c r="P2" s="14"/>
      <c r="Q2" s="14">
        <v>0</v>
      </c>
    </row>
    <row r="3" spans="1:17" x14ac:dyDescent="0.35">
      <c r="A3" s="31">
        <v>45412</v>
      </c>
      <c r="B3" s="10">
        <f t="shared" si="0"/>
        <v>9105</v>
      </c>
      <c r="C3" s="10">
        <f t="shared" si="1"/>
        <v>21245</v>
      </c>
      <c r="D3" s="10">
        <f t="shared" si="2"/>
        <v>30350</v>
      </c>
      <c r="E3" s="10">
        <v>1200</v>
      </c>
      <c r="F3" s="10">
        <v>29150</v>
      </c>
      <c r="G3" s="10">
        <f>620+29020</f>
        <v>29640</v>
      </c>
      <c r="H3" s="11">
        <f t="shared" si="3"/>
        <v>0.42857142857142855</v>
      </c>
      <c r="I3" s="12">
        <f>SUM($D$2:D3)-SUM($G$2:G3)</f>
        <v>8560</v>
      </c>
      <c r="K3" s="15">
        <f t="shared" ref="K3:K9" si="4">A2</f>
        <v>45411</v>
      </c>
      <c r="L3" s="16">
        <f>N3*0.3</f>
        <v>2910</v>
      </c>
      <c r="M3" s="16">
        <f t="shared" ref="M3:M9" si="5">N3-L3</f>
        <v>6790</v>
      </c>
      <c r="N3" s="16">
        <f t="shared" ref="N3:N9" si="6">O3+P3</f>
        <v>9700</v>
      </c>
      <c r="O3" s="16">
        <f t="shared" ref="O3:O9" si="7">VLOOKUP(K3,$A$1:$H$37,5,0)</f>
        <v>7400</v>
      </c>
      <c r="P3" s="16">
        <f t="shared" ref="P3:P9" si="8">VLOOKUP(K3,$A$1:$H$37,6,0)</f>
        <v>2300</v>
      </c>
      <c r="Q3" s="16">
        <f t="shared" ref="Q3:Q9" si="9">VLOOKUP(K3,$A$1:$H$37,7,0)</f>
        <v>1850</v>
      </c>
    </row>
    <row r="4" spans="1:17" x14ac:dyDescent="0.35">
      <c r="A4" s="31">
        <v>45413</v>
      </c>
      <c r="B4" s="10">
        <f t="shared" si="0"/>
        <v>7914</v>
      </c>
      <c r="C4" s="10">
        <f t="shared" si="1"/>
        <v>18466</v>
      </c>
      <c r="D4" s="10">
        <f t="shared" si="2"/>
        <v>26380</v>
      </c>
      <c r="E4" s="17">
        <v>7700</v>
      </c>
      <c r="F4" s="17">
        <v>18680</v>
      </c>
      <c r="G4" s="17">
        <v>1420</v>
      </c>
      <c r="H4" s="11">
        <f t="shared" si="3"/>
        <v>0.42857142857142855</v>
      </c>
      <c r="I4" s="12">
        <f>SUM($D$2:D4)-SUM($G$2:G4)</f>
        <v>33520</v>
      </c>
      <c r="K4" s="13">
        <f t="shared" si="4"/>
        <v>45412</v>
      </c>
      <c r="L4" s="14">
        <f>N4*0.3</f>
        <v>9105</v>
      </c>
      <c r="M4" s="14">
        <f t="shared" si="5"/>
        <v>21245</v>
      </c>
      <c r="N4" s="14">
        <f t="shared" si="6"/>
        <v>30350</v>
      </c>
      <c r="O4" s="14">
        <f t="shared" si="7"/>
        <v>1200</v>
      </c>
      <c r="P4" s="14">
        <f t="shared" si="8"/>
        <v>29150</v>
      </c>
      <c r="Q4" s="14">
        <f t="shared" si="9"/>
        <v>29640</v>
      </c>
    </row>
    <row r="5" spans="1:17" x14ac:dyDescent="0.35">
      <c r="A5" s="31">
        <v>45414</v>
      </c>
      <c r="B5" s="10">
        <f t="shared" si="0"/>
        <v>5064</v>
      </c>
      <c r="C5" s="10">
        <f t="shared" si="1"/>
        <v>11816</v>
      </c>
      <c r="D5" s="10">
        <f t="shared" si="2"/>
        <v>16880</v>
      </c>
      <c r="E5" s="10">
        <v>7100</v>
      </c>
      <c r="F5" s="10">
        <v>9780</v>
      </c>
      <c r="G5" s="10">
        <v>910</v>
      </c>
      <c r="H5" s="11">
        <f t="shared" si="3"/>
        <v>0.42857142857142855</v>
      </c>
      <c r="I5" s="12">
        <f>SUM($D$2:D5)-SUM($G$2:G5)</f>
        <v>49490</v>
      </c>
      <c r="K5" s="15">
        <f t="shared" si="4"/>
        <v>45413</v>
      </c>
      <c r="L5" s="16">
        <f t="shared" ref="L5:L9" si="10">N5*0.3</f>
        <v>7914</v>
      </c>
      <c r="M5" s="16">
        <f t="shared" si="5"/>
        <v>18466</v>
      </c>
      <c r="N5" s="16">
        <f t="shared" si="6"/>
        <v>26380</v>
      </c>
      <c r="O5" s="16">
        <f t="shared" si="7"/>
        <v>7700</v>
      </c>
      <c r="P5" s="16">
        <f t="shared" si="8"/>
        <v>18680</v>
      </c>
      <c r="Q5" s="16">
        <f t="shared" si="9"/>
        <v>1420</v>
      </c>
    </row>
    <row r="6" spans="1:17" x14ac:dyDescent="0.35">
      <c r="A6" s="31">
        <v>45415</v>
      </c>
      <c r="B6" s="10">
        <f t="shared" si="0"/>
        <v>3780</v>
      </c>
      <c r="C6" s="10">
        <f t="shared" si="1"/>
        <v>8820</v>
      </c>
      <c r="D6" s="10">
        <f t="shared" si="2"/>
        <v>12600</v>
      </c>
      <c r="E6" s="10">
        <v>10900</v>
      </c>
      <c r="F6" s="10">
        <v>1700</v>
      </c>
      <c r="G6" s="10">
        <v>2680</v>
      </c>
      <c r="H6" s="11">
        <f t="shared" si="3"/>
        <v>0.42857142857142855</v>
      </c>
      <c r="I6" s="12">
        <f>SUM($D$2:D6)-SUM($G$2:G6)</f>
        <v>59410</v>
      </c>
      <c r="K6" s="13">
        <f t="shared" si="4"/>
        <v>45414</v>
      </c>
      <c r="L6" s="14">
        <f t="shared" si="10"/>
        <v>5064</v>
      </c>
      <c r="M6" s="14">
        <f t="shared" si="5"/>
        <v>11816</v>
      </c>
      <c r="N6" s="14">
        <f t="shared" si="6"/>
        <v>16880</v>
      </c>
      <c r="O6" s="14">
        <f t="shared" si="7"/>
        <v>7100</v>
      </c>
      <c r="P6" s="14">
        <f t="shared" si="8"/>
        <v>9780</v>
      </c>
      <c r="Q6" s="14">
        <f t="shared" si="9"/>
        <v>910</v>
      </c>
    </row>
    <row r="7" spans="1:17" x14ac:dyDescent="0.35">
      <c r="A7" s="31">
        <v>45416</v>
      </c>
      <c r="B7" s="10">
        <f t="shared" si="0"/>
        <v>6900</v>
      </c>
      <c r="C7" s="10">
        <f t="shared" si="1"/>
        <v>16100</v>
      </c>
      <c r="D7" s="10">
        <f t="shared" si="2"/>
        <v>23000</v>
      </c>
      <c r="E7" s="17">
        <v>6000</v>
      </c>
      <c r="F7" s="17">
        <v>17000</v>
      </c>
      <c r="G7" s="17">
        <v>1150</v>
      </c>
      <c r="H7" s="11">
        <f t="shared" si="3"/>
        <v>0.42857142857142855</v>
      </c>
      <c r="I7" s="12">
        <f>SUM($D$2:D7)-SUM($G$2:G7)</f>
        <v>81260</v>
      </c>
      <c r="K7" s="15">
        <f t="shared" si="4"/>
        <v>45415</v>
      </c>
      <c r="L7" s="16">
        <f t="shared" si="10"/>
        <v>3780</v>
      </c>
      <c r="M7" s="16">
        <f t="shared" si="5"/>
        <v>8820</v>
      </c>
      <c r="N7" s="16">
        <f t="shared" si="6"/>
        <v>12600</v>
      </c>
      <c r="O7" s="16">
        <f t="shared" si="7"/>
        <v>10900</v>
      </c>
      <c r="P7" s="16">
        <f t="shared" si="8"/>
        <v>1700</v>
      </c>
      <c r="Q7" s="16">
        <f t="shared" si="9"/>
        <v>2680</v>
      </c>
    </row>
    <row r="8" spans="1:17" x14ac:dyDescent="0.35">
      <c r="A8" s="31">
        <v>45417</v>
      </c>
      <c r="B8" s="10">
        <f t="shared" si="0"/>
        <v>5205</v>
      </c>
      <c r="C8" s="10">
        <f t="shared" si="1"/>
        <v>12145</v>
      </c>
      <c r="D8" s="10">
        <f t="shared" si="2"/>
        <v>17350</v>
      </c>
      <c r="E8" s="17">
        <v>13450</v>
      </c>
      <c r="F8" s="17">
        <v>3900</v>
      </c>
      <c r="G8" s="17">
        <v>950</v>
      </c>
      <c r="H8" s="11">
        <f t="shared" si="3"/>
        <v>0.42857142857142855</v>
      </c>
      <c r="I8" s="12">
        <f>SUM($D$2:D8)-SUM($G$2:G8)</f>
        <v>97660</v>
      </c>
      <c r="K8" s="13">
        <f t="shared" si="4"/>
        <v>45416</v>
      </c>
      <c r="L8" s="14">
        <f t="shared" si="10"/>
        <v>6900</v>
      </c>
      <c r="M8" s="14">
        <f t="shared" si="5"/>
        <v>16100</v>
      </c>
      <c r="N8" s="14">
        <f t="shared" si="6"/>
        <v>23000</v>
      </c>
      <c r="O8" s="14">
        <f t="shared" si="7"/>
        <v>6000</v>
      </c>
      <c r="P8" s="14">
        <f t="shared" si="8"/>
        <v>17000</v>
      </c>
      <c r="Q8" s="14">
        <f t="shared" si="9"/>
        <v>1150</v>
      </c>
    </row>
    <row r="9" spans="1:17" x14ac:dyDescent="0.35">
      <c r="A9" s="31">
        <v>45418</v>
      </c>
      <c r="B9" s="10">
        <f t="shared" si="0"/>
        <v>5827.5</v>
      </c>
      <c r="C9" s="10">
        <f t="shared" si="1"/>
        <v>13597.5</v>
      </c>
      <c r="D9" s="10">
        <f t="shared" si="2"/>
        <v>19425</v>
      </c>
      <c r="E9" s="10">
        <v>12550</v>
      </c>
      <c r="F9" s="10">
        <v>6875</v>
      </c>
      <c r="G9" s="10">
        <v>4750</v>
      </c>
      <c r="H9" s="11">
        <f t="shared" si="3"/>
        <v>0.42857142857142855</v>
      </c>
      <c r="I9" s="12">
        <f>SUM($D$2:D9)-SUM($G$2:G9)</f>
        <v>112335</v>
      </c>
      <c r="K9" s="15">
        <f t="shared" si="4"/>
        <v>45417</v>
      </c>
      <c r="L9" s="16">
        <f t="shared" si="10"/>
        <v>5205</v>
      </c>
      <c r="M9" s="16">
        <f t="shared" si="5"/>
        <v>12145</v>
      </c>
      <c r="N9" s="16">
        <f t="shared" si="6"/>
        <v>17350</v>
      </c>
      <c r="O9" s="16">
        <f t="shared" si="7"/>
        <v>13450</v>
      </c>
      <c r="P9" s="16">
        <f t="shared" si="8"/>
        <v>3900</v>
      </c>
      <c r="Q9" s="16">
        <f t="shared" si="9"/>
        <v>950</v>
      </c>
    </row>
    <row r="10" spans="1:17" x14ac:dyDescent="0.35">
      <c r="A10" s="31">
        <v>45419</v>
      </c>
      <c r="B10" s="10">
        <f t="shared" si="0"/>
        <v>4395</v>
      </c>
      <c r="C10" s="10">
        <f t="shared" si="1"/>
        <v>10255</v>
      </c>
      <c r="D10" s="10">
        <f t="shared" si="2"/>
        <v>14650</v>
      </c>
      <c r="E10" s="10">
        <v>2500</v>
      </c>
      <c r="F10" s="10">
        <v>12150</v>
      </c>
      <c r="G10" s="10">
        <v>1660</v>
      </c>
      <c r="H10" s="11">
        <f t="shared" si="3"/>
        <v>0.42857142857142855</v>
      </c>
      <c r="I10" s="12">
        <f>SUM($D$2:D10)-SUM($G$2:G10)</f>
        <v>125325</v>
      </c>
      <c r="K10" s="18" t="s">
        <v>3</v>
      </c>
      <c r="L10" s="18">
        <f>SUM(L3:L9)</f>
        <v>40878</v>
      </c>
      <c r="M10" s="18">
        <f>SUM(M2:M9)</f>
        <v>95382</v>
      </c>
      <c r="N10" s="18">
        <f>SUM(N2:N9)</f>
        <v>136260</v>
      </c>
      <c r="O10" s="18">
        <f>SUM(O2:O9)</f>
        <v>53750</v>
      </c>
      <c r="P10" s="18">
        <f>SUM(P2:P9)</f>
        <v>82510</v>
      </c>
      <c r="Q10" s="18">
        <f>SUM(Q2:Q9)</f>
        <v>38600</v>
      </c>
    </row>
    <row r="11" spans="1:17" x14ac:dyDescent="0.35">
      <c r="A11" s="31">
        <v>45420</v>
      </c>
      <c r="B11" s="10">
        <f t="shared" si="0"/>
        <v>3357.9</v>
      </c>
      <c r="C11" s="10">
        <f t="shared" si="1"/>
        <v>7835.1</v>
      </c>
      <c r="D11" s="10">
        <f t="shared" si="2"/>
        <v>11193</v>
      </c>
      <c r="E11" s="10">
        <v>8530</v>
      </c>
      <c r="F11" s="10">
        <v>2663</v>
      </c>
      <c r="G11" s="10">
        <v>5670</v>
      </c>
      <c r="H11" s="11">
        <f t="shared" si="3"/>
        <v>0.42857142857142855</v>
      </c>
      <c r="I11" s="12">
        <f>SUM($D$2:D11)-SUM($G$2:G11)</f>
        <v>130848</v>
      </c>
      <c r="K11" s="18" t="s">
        <v>10</v>
      </c>
      <c r="L11" s="18">
        <f>L10/3</f>
        <v>13626</v>
      </c>
      <c r="M11" s="18"/>
      <c r="N11" s="18"/>
      <c r="O11" s="16"/>
      <c r="P11" s="16"/>
      <c r="Q11" s="16"/>
    </row>
    <row r="12" spans="1:17" x14ac:dyDescent="0.35">
      <c r="A12" s="31">
        <v>45421</v>
      </c>
      <c r="B12" s="10">
        <f t="shared" si="0"/>
        <v>4473</v>
      </c>
      <c r="C12" s="10">
        <f t="shared" si="1"/>
        <v>10437</v>
      </c>
      <c r="D12" s="10">
        <f t="shared" si="2"/>
        <v>14910</v>
      </c>
      <c r="E12" s="10">
        <v>8600</v>
      </c>
      <c r="F12" s="10">
        <v>6310</v>
      </c>
      <c r="G12" s="10">
        <v>8400</v>
      </c>
      <c r="H12" s="11">
        <f t="shared" si="3"/>
        <v>0.42857142857142855</v>
      </c>
      <c r="I12" s="12">
        <f>SUM($D$2:D12)-SUM($G$2:G12)</f>
        <v>137358</v>
      </c>
    </row>
    <row r="13" spans="1:17" x14ac:dyDescent="0.35">
      <c r="A13" s="31">
        <v>45422</v>
      </c>
      <c r="B13" s="10">
        <f t="shared" si="0"/>
        <v>5919</v>
      </c>
      <c r="C13" s="10">
        <f t="shared" si="1"/>
        <v>13811</v>
      </c>
      <c r="D13" s="10">
        <f t="shared" si="2"/>
        <v>19730</v>
      </c>
      <c r="E13" s="10">
        <v>13690</v>
      </c>
      <c r="F13" s="10">
        <v>6040</v>
      </c>
      <c r="G13" s="10">
        <v>15920</v>
      </c>
      <c r="H13" s="11">
        <f t="shared" si="3"/>
        <v>0.42857142857142855</v>
      </c>
      <c r="I13" s="12">
        <f>SUM($D$2:D13)-SUM($G$2:G13)</f>
        <v>141168</v>
      </c>
      <c r="K13" s="19" t="s">
        <v>0</v>
      </c>
      <c r="L13" s="20" t="s">
        <v>1</v>
      </c>
      <c r="M13" s="20" t="s">
        <v>2</v>
      </c>
      <c r="N13" s="20" t="s">
        <v>3</v>
      </c>
      <c r="O13" s="20" t="s">
        <v>4</v>
      </c>
      <c r="P13" s="20" t="s">
        <v>5</v>
      </c>
      <c r="Q13" s="20" t="s">
        <v>6</v>
      </c>
    </row>
    <row r="14" spans="1:17" x14ac:dyDescent="0.35">
      <c r="A14" s="31">
        <v>45423</v>
      </c>
      <c r="B14" s="10">
        <f t="shared" si="0"/>
        <v>5682</v>
      </c>
      <c r="C14" s="10">
        <f t="shared" si="1"/>
        <v>13258</v>
      </c>
      <c r="D14" s="10">
        <f t="shared" si="2"/>
        <v>18940</v>
      </c>
      <c r="E14" s="10">
        <v>7800</v>
      </c>
      <c r="F14" s="10">
        <v>11140</v>
      </c>
      <c r="G14" s="10">
        <v>1524</v>
      </c>
      <c r="H14" s="11">
        <f t="shared" si="3"/>
        <v>0.42857142857142855</v>
      </c>
      <c r="I14" s="12">
        <f>SUM($D$2:D14)-SUM($G$2:G14)</f>
        <v>158584</v>
      </c>
      <c r="K14" s="15">
        <f t="shared" ref="K14:K20" si="11">A9</f>
        <v>45418</v>
      </c>
      <c r="L14" s="16">
        <f>N14*0.3</f>
        <v>5827.5</v>
      </c>
      <c r="M14" s="16">
        <f t="shared" ref="M14:M20" si="12">N14-L14</f>
        <v>13597.5</v>
      </c>
      <c r="N14" s="16">
        <f t="shared" ref="N14:N20" si="13">O14+P14</f>
        <v>19425</v>
      </c>
      <c r="O14" s="16">
        <f t="shared" ref="O14:O20" si="14">VLOOKUP(K14,$A$1:$H$37,5,0)</f>
        <v>12550</v>
      </c>
      <c r="P14" s="16">
        <f t="shared" ref="P14:P20" si="15">VLOOKUP(K14,$A$1:$H$37,6,0)</f>
        <v>6875</v>
      </c>
      <c r="Q14" s="16">
        <f t="shared" ref="Q14:Q20" si="16">VLOOKUP(K14,$A$1:$H$37,7,0)</f>
        <v>4750</v>
      </c>
    </row>
    <row r="15" spans="1:17" x14ac:dyDescent="0.35">
      <c r="A15" s="31">
        <v>45424</v>
      </c>
      <c r="B15" s="10">
        <f t="shared" si="0"/>
        <v>5931</v>
      </c>
      <c r="C15" s="10">
        <f t="shared" si="1"/>
        <v>13839</v>
      </c>
      <c r="D15" s="10">
        <f t="shared" si="2"/>
        <v>19770</v>
      </c>
      <c r="E15" s="10">
        <v>6730</v>
      </c>
      <c r="F15" s="10">
        <v>13040</v>
      </c>
      <c r="G15" s="10">
        <v>6540</v>
      </c>
      <c r="H15" s="11">
        <f t="shared" si="3"/>
        <v>0.42857142857142855</v>
      </c>
      <c r="I15" s="12">
        <f>SUM($D$2:D15)-SUM($G$2:G15)</f>
        <v>171814</v>
      </c>
      <c r="K15" s="13">
        <f t="shared" si="11"/>
        <v>45419</v>
      </c>
      <c r="L15" s="14">
        <f>N15*0.3</f>
        <v>4395</v>
      </c>
      <c r="M15" s="14">
        <f t="shared" si="12"/>
        <v>10255</v>
      </c>
      <c r="N15" s="14">
        <f t="shared" si="13"/>
        <v>14650</v>
      </c>
      <c r="O15" s="14">
        <f t="shared" si="14"/>
        <v>2500</v>
      </c>
      <c r="P15" s="14">
        <f t="shared" si="15"/>
        <v>12150</v>
      </c>
      <c r="Q15" s="14">
        <f t="shared" si="16"/>
        <v>1660</v>
      </c>
    </row>
    <row r="16" spans="1:17" x14ac:dyDescent="0.35">
      <c r="A16" s="31">
        <v>45425</v>
      </c>
      <c r="B16" s="10">
        <f t="shared" si="0"/>
        <v>5763</v>
      </c>
      <c r="C16" s="10">
        <f t="shared" si="1"/>
        <v>13447</v>
      </c>
      <c r="D16" s="10">
        <f t="shared" si="2"/>
        <v>19210</v>
      </c>
      <c r="E16" s="10">
        <v>3800</v>
      </c>
      <c r="F16" s="10">
        <v>15410</v>
      </c>
      <c r="G16" s="10">
        <v>2500</v>
      </c>
      <c r="H16" s="11">
        <f t="shared" si="3"/>
        <v>0.42857142857142855</v>
      </c>
      <c r="I16" s="12">
        <f>SUM($D$2:D16)-SUM($G$2:G16)</f>
        <v>188524</v>
      </c>
      <c r="K16" s="15">
        <f t="shared" si="11"/>
        <v>45420</v>
      </c>
      <c r="L16" s="16">
        <f t="shared" ref="L16:L20" si="17">N16*0.3</f>
        <v>3357.9</v>
      </c>
      <c r="M16" s="16">
        <f t="shared" si="12"/>
        <v>7835.1</v>
      </c>
      <c r="N16" s="16">
        <f t="shared" si="13"/>
        <v>11193</v>
      </c>
      <c r="O16" s="16">
        <f t="shared" si="14"/>
        <v>8530</v>
      </c>
      <c r="P16" s="16">
        <f t="shared" si="15"/>
        <v>2663</v>
      </c>
      <c r="Q16" s="16">
        <f t="shared" si="16"/>
        <v>5670</v>
      </c>
    </row>
    <row r="17" spans="1:17" x14ac:dyDescent="0.35">
      <c r="A17" s="31">
        <v>45426</v>
      </c>
      <c r="B17" s="10">
        <f t="shared" si="0"/>
        <v>6180</v>
      </c>
      <c r="C17" s="10">
        <f t="shared" si="1"/>
        <v>14420</v>
      </c>
      <c r="D17" s="10">
        <f t="shared" si="2"/>
        <v>20600</v>
      </c>
      <c r="E17" s="10">
        <v>5200</v>
      </c>
      <c r="F17" s="10">
        <v>15400</v>
      </c>
      <c r="G17" s="10">
        <v>2120</v>
      </c>
      <c r="H17" s="11">
        <f t="shared" si="3"/>
        <v>0.42857142857142855</v>
      </c>
      <c r="I17" s="12">
        <f>SUM($D$2:D17)-SUM($G$2:G17)</f>
        <v>207004</v>
      </c>
      <c r="K17" s="13">
        <f t="shared" si="11"/>
        <v>45421</v>
      </c>
      <c r="L17" s="14">
        <f t="shared" si="17"/>
        <v>4473</v>
      </c>
      <c r="M17" s="14">
        <f t="shared" si="12"/>
        <v>10437</v>
      </c>
      <c r="N17" s="14">
        <f t="shared" si="13"/>
        <v>14910</v>
      </c>
      <c r="O17" s="14">
        <f t="shared" si="14"/>
        <v>8600</v>
      </c>
      <c r="P17" s="14">
        <f t="shared" si="15"/>
        <v>6310</v>
      </c>
      <c r="Q17" s="14">
        <f t="shared" si="16"/>
        <v>8400</v>
      </c>
    </row>
    <row r="18" spans="1:17" x14ac:dyDescent="0.35">
      <c r="A18" s="31">
        <v>45427</v>
      </c>
      <c r="B18" s="10">
        <f t="shared" si="0"/>
        <v>5761.5</v>
      </c>
      <c r="C18" s="10">
        <f t="shared" si="1"/>
        <v>13443.5</v>
      </c>
      <c r="D18" s="10">
        <f t="shared" si="2"/>
        <v>19205</v>
      </c>
      <c r="E18" s="10">
        <v>2200</v>
      </c>
      <c r="F18" s="10">
        <v>17005</v>
      </c>
      <c r="G18" s="10">
        <v>1350</v>
      </c>
      <c r="H18" s="11">
        <f t="shared" si="3"/>
        <v>0.42857142857142855</v>
      </c>
      <c r="I18" s="12">
        <f>SUM($D$2:D18)-SUM($G$2:G18)</f>
        <v>224859</v>
      </c>
      <c r="K18" s="15">
        <f t="shared" si="11"/>
        <v>45422</v>
      </c>
      <c r="L18" s="16">
        <f t="shared" si="17"/>
        <v>5919</v>
      </c>
      <c r="M18" s="16">
        <f t="shared" si="12"/>
        <v>13811</v>
      </c>
      <c r="N18" s="16">
        <f t="shared" si="13"/>
        <v>19730</v>
      </c>
      <c r="O18" s="16">
        <f t="shared" si="14"/>
        <v>13690</v>
      </c>
      <c r="P18" s="16">
        <f t="shared" si="15"/>
        <v>6040</v>
      </c>
      <c r="Q18" s="16">
        <f t="shared" si="16"/>
        <v>15920</v>
      </c>
    </row>
    <row r="19" spans="1:17" x14ac:dyDescent="0.35">
      <c r="A19" s="31">
        <v>45428</v>
      </c>
      <c r="B19" s="10">
        <f t="shared" si="0"/>
        <v>5409</v>
      </c>
      <c r="C19" s="10">
        <f t="shared" si="1"/>
        <v>12621</v>
      </c>
      <c r="D19" s="10">
        <f t="shared" si="2"/>
        <v>18030</v>
      </c>
      <c r="E19" s="10">
        <v>7540</v>
      </c>
      <c r="F19" s="10">
        <v>10490</v>
      </c>
      <c r="G19" s="10">
        <v>4000</v>
      </c>
      <c r="H19" s="11">
        <f t="shared" si="3"/>
        <v>0.42857142857142855</v>
      </c>
      <c r="I19" s="12">
        <f>SUM($D$2:D19)-SUM($G$2:G19)</f>
        <v>238889</v>
      </c>
      <c r="K19" s="13">
        <f t="shared" si="11"/>
        <v>45423</v>
      </c>
      <c r="L19" s="14">
        <f t="shared" si="17"/>
        <v>5682</v>
      </c>
      <c r="M19" s="14">
        <f t="shared" si="12"/>
        <v>13258</v>
      </c>
      <c r="N19" s="14">
        <f t="shared" si="13"/>
        <v>18940</v>
      </c>
      <c r="O19" s="14">
        <f t="shared" si="14"/>
        <v>7800</v>
      </c>
      <c r="P19" s="14">
        <f t="shared" si="15"/>
        <v>11140</v>
      </c>
      <c r="Q19" s="14">
        <f t="shared" si="16"/>
        <v>1524</v>
      </c>
    </row>
    <row r="20" spans="1:17" x14ac:dyDescent="0.35">
      <c r="A20" s="31">
        <v>45429</v>
      </c>
      <c r="B20" s="10">
        <f t="shared" si="0"/>
        <v>8391</v>
      </c>
      <c r="C20" s="10">
        <f t="shared" si="1"/>
        <v>19579</v>
      </c>
      <c r="D20" s="10">
        <f t="shared" si="2"/>
        <v>27970</v>
      </c>
      <c r="E20" s="10">
        <v>5120</v>
      </c>
      <c r="F20" s="10">
        <v>22850</v>
      </c>
      <c r="G20" s="10">
        <v>2000</v>
      </c>
      <c r="H20" s="11">
        <f t="shared" si="3"/>
        <v>0.42857142857142855</v>
      </c>
      <c r="I20" s="12">
        <f>SUM($D$2:D20)-SUM($G$2:G20)</f>
        <v>264859</v>
      </c>
      <c r="K20" s="15">
        <f t="shared" si="11"/>
        <v>45424</v>
      </c>
      <c r="L20" s="16">
        <f t="shared" si="17"/>
        <v>5931</v>
      </c>
      <c r="M20" s="16">
        <f t="shared" si="12"/>
        <v>13839</v>
      </c>
      <c r="N20" s="16">
        <f t="shared" si="13"/>
        <v>19770</v>
      </c>
      <c r="O20" s="16">
        <f t="shared" si="14"/>
        <v>6730</v>
      </c>
      <c r="P20" s="16">
        <f t="shared" si="15"/>
        <v>13040</v>
      </c>
      <c r="Q20" s="16">
        <f t="shared" si="16"/>
        <v>6540</v>
      </c>
    </row>
    <row r="21" spans="1:17" x14ac:dyDescent="0.35">
      <c r="A21" s="31">
        <v>45430</v>
      </c>
      <c r="B21" s="10">
        <f t="shared" si="0"/>
        <v>5028</v>
      </c>
      <c r="C21" s="10">
        <f t="shared" si="1"/>
        <v>11732</v>
      </c>
      <c r="D21" s="10">
        <f t="shared" si="2"/>
        <v>16760</v>
      </c>
      <c r="E21" s="10">
        <v>3500</v>
      </c>
      <c r="F21" s="10">
        <v>13260</v>
      </c>
      <c r="G21" s="10">
        <v>720</v>
      </c>
      <c r="H21" s="11">
        <f t="shared" si="3"/>
        <v>0.42857142857142855</v>
      </c>
      <c r="I21" s="12">
        <f>SUM($D$2:D21)-SUM($G$2:G21)</f>
        <v>280899</v>
      </c>
      <c r="K21" s="18" t="s">
        <v>3</v>
      </c>
      <c r="L21" s="18">
        <f t="shared" ref="L21:Q21" si="18">SUM(L14:L20)</f>
        <v>35585.4</v>
      </c>
      <c r="M21" s="18">
        <f t="shared" si="18"/>
        <v>83032.600000000006</v>
      </c>
      <c r="N21" s="18">
        <f t="shared" si="18"/>
        <v>118618</v>
      </c>
      <c r="O21" s="18">
        <f t="shared" si="18"/>
        <v>60400</v>
      </c>
      <c r="P21" s="18">
        <f t="shared" si="18"/>
        <v>58218</v>
      </c>
      <c r="Q21" s="18">
        <f t="shared" si="18"/>
        <v>44464</v>
      </c>
    </row>
    <row r="22" spans="1:17" x14ac:dyDescent="0.35">
      <c r="A22" s="31">
        <v>45431</v>
      </c>
      <c r="B22" s="10">
        <f t="shared" si="0"/>
        <v>7419</v>
      </c>
      <c r="C22" s="10">
        <f t="shared" si="1"/>
        <v>17311</v>
      </c>
      <c r="D22" s="10">
        <f t="shared" si="2"/>
        <v>24730</v>
      </c>
      <c r="E22" s="10">
        <v>7920</v>
      </c>
      <c r="F22" s="10">
        <v>16810</v>
      </c>
      <c r="G22" s="10">
        <v>10600</v>
      </c>
      <c r="H22" s="11">
        <f t="shared" si="3"/>
        <v>0.42857142857142855</v>
      </c>
      <c r="I22" s="12">
        <f>SUM($D$2:D22)-SUM($G$2:G22)</f>
        <v>295029</v>
      </c>
      <c r="K22" s="18" t="s">
        <v>10</v>
      </c>
      <c r="L22" s="18">
        <f>L21/3</f>
        <v>11861.800000000001</v>
      </c>
      <c r="M22" s="18"/>
      <c r="N22" s="18">
        <f>M22+L22</f>
        <v>11861.800000000001</v>
      </c>
      <c r="O22" s="16"/>
      <c r="P22" s="16"/>
      <c r="Q22" s="16"/>
    </row>
    <row r="23" spans="1:17" x14ac:dyDescent="0.35">
      <c r="A23" s="31">
        <v>45432</v>
      </c>
      <c r="B23" s="10">
        <f t="shared" si="0"/>
        <v>4494</v>
      </c>
      <c r="C23" s="10">
        <f t="shared" si="1"/>
        <v>10486</v>
      </c>
      <c r="D23" s="10">
        <f t="shared" si="2"/>
        <v>14980</v>
      </c>
      <c r="E23" s="10">
        <v>3570</v>
      </c>
      <c r="F23" s="10">
        <v>11410</v>
      </c>
      <c r="G23" s="10">
        <v>100</v>
      </c>
      <c r="H23" s="11">
        <f t="shared" si="3"/>
        <v>0.42857142857142855</v>
      </c>
      <c r="I23" s="12">
        <f>SUM($D$2:D23)-SUM($G$2:G23)</f>
        <v>309909</v>
      </c>
    </row>
    <row r="24" spans="1:17" x14ac:dyDescent="0.35">
      <c r="A24" s="31">
        <v>45433</v>
      </c>
      <c r="B24" s="10">
        <f t="shared" si="0"/>
        <v>9111</v>
      </c>
      <c r="C24" s="10">
        <f t="shared" si="1"/>
        <v>21259</v>
      </c>
      <c r="D24" s="10">
        <f t="shared" si="2"/>
        <v>30370</v>
      </c>
      <c r="E24" s="10">
        <v>2000</v>
      </c>
      <c r="F24" s="10">
        <v>28370</v>
      </c>
      <c r="G24" s="10">
        <v>630</v>
      </c>
      <c r="H24" s="11">
        <f t="shared" si="3"/>
        <v>0.42857142857142855</v>
      </c>
      <c r="I24" s="12">
        <f>SUM($D$2:D24)-SUM($G$2:G24)</f>
        <v>339649</v>
      </c>
      <c r="K24" s="19" t="s">
        <v>0</v>
      </c>
      <c r="L24" s="20" t="s">
        <v>1</v>
      </c>
      <c r="M24" s="20" t="s">
        <v>2</v>
      </c>
      <c r="N24" s="20" t="s">
        <v>3</v>
      </c>
      <c r="O24" s="20" t="s">
        <v>4</v>
      </c>
      <c r="P24" s="20" t="s">
        <v>5</v>
      </c>
      <c r="Q24" s="20" t="s">
        <v>6</v>
      </c>
    </row>
    <row r="25" spans="1:17" x14ac:dyDescent="0.35">
      <c r="A25" s="31">
        <v>45434</v>
      </c>
      <c r="B25" s="10">
        <f t="shared" si="0"/>
        <v>2494.5</v>
      </c>
      <c r="C25" s="10">
        <f t="shared" si="1"/>
        <v>5820.5</v>
      </c>
      <c r="D25" s="10">
        <f t="shared" si="2"/>
        <v>8315</v>
      </c>
      <c r="E25" s="10">
        <v>5050</v>
      </c>
      <c r="F25" s="10">
        <v>3265</v>
      </c>
      <c r="G25" s="10">
        <v>2220</v>
      </c>
      <c r="H25" s="11">
        <f t="shared" si="3"/>
        <v>0.42857142857142855</v>
      </c>
      <c r="I25" s="12">
        <f>SUM($D$2:D25)-SUM($G$2:G25)</f>
        <v>345744</v>
      </c>
      <c r="K25" s="15">
        <f t="shared" ref="K25:K31" si="19">A16</f>
        <v>45425</v>
      </c>
      <c r="L25" s="16">
        <f>N25*0.3</f>
        <v>5763</v>
      </c>
      <c r="M25" s="16">
        <f t="shared" ref="M25:M31" si="20">N25-L25</f>
        <v>13447</v>
      </c>
      <c r="N25" s="16">
        <f t="shared" ref="N25:N31" si="21">O25+P25</f>
        <v>19210</v>
      </c>
      <c r="O25" s="16">
        <f t="shared" ref="O25:O31" si="22">VLOOKUP(K25,$A$1:$H$37,5,0)</f>
        <v>3800</v>
      </c>
      <c r="P25" s="16">
        <f t="shared" ref="P25:P31" si="23">VLOOKUP(K25,$A$1:$H$37,6,0)</f>
        <v>15410</v>
      </c>
      <c r="Q25" s="16">
        <f t="shared" ref="Q25:Q31" si="24">VLOOKUP(K25,$A$1:$H$37,7,0)</f>
        <v>2500</v>
      </c>
    </row>
    <row r="26" spans="1:17" x14ac:dyDescent="0.35">
      <c r="A26" s="31">
        <v>45435</v>
      </c>
      <c r="B26" s="10">
        <f t="shared" si="0"/>
        <v>7440</v>
      </c>
      <c r="C26" s="10">
        <f t="shared" si="1"/>
        <v>17360</v>
      </c>
      <c r="D26" s="10">
        <f t="shared" si="2"/>
        <v>24800</v>
      </c>
      <c r="E26" s="10">
        <v>4660</v>
      </c>
      <c r="F26" s="10">
        <v>20140</v>
      </c>
      <c r="G26" s="10">
        <v>970</v>
      </c>
      <c r="H26" s="11">
        <f t="shared" si="3"/>
        <v>0.42857142857142855</v>
      </c>
      <c r="I26" s="12">
        <f>SUM($D$2:D26)-SUM($G$2:G26)</f>
        <v>369574</v>
      </c>
      <c r="K26" s="13">
        <f t="shared" si="19"/>
        <v>45426</v>
      </c>
      <c r="L26" s="14">
        <f>N26*0.3</f>
        <v>6180</v>
      </c>
      <c r="M26" s="14">
        <f t="shared" si="20"/>
        <v>14420</v>
      </c>
      <c r="N26" s="14">
        <f t="shared" si="21"/>
        <v>20600</v>
      </c>
      <c r="O26" s="14">
        <f t="shared" si="22"/>
        <v>5200</v>
      </c>
      <c r="P26" s="14">
        <f t="shared" si="23"/>
        <v>15400</v>
      </c>
      <c r="Q26" s="14">
        <f t="shared" si="24"/>
        <v>2120</v>
      </c>
    </row>
    <row r="27" spans="1:17" x14ac:dyDescent="0.35">
      <c r="A27" s="31">
        <v>45436</v>
      </c>
      <c r="B27" s="10">
        <f t="shared" si="0"/>
        <v>6780</v>
      </c>
      <c r="C27" s="10">
        <f t="shared" si="1"/>
        <v>15820</v>
      </c>
      <c r="D27" s="10">
        <f t="shared" si="2"/>
        <v>22600</v>
      </c>
      <c r="E27" s="10">
        <v>5030</v>
      </c>
      <c r="F27" s="10">
        <v>17570</v>
      </c>
      <c r="G27" s="10">
        <v>1920</v>
      </c>
      <c r="H27" s="11">
        <f t="shared" si="3"/>
        <v>0.42857142857142855</v>
      </c>
      <c r="I27" s="12">
        <f>SUM($D$2:D27)-SUM($G$2:G27)</f>
        <v>390254</v>
      </c>
      <c r="K27" s="15">
        <f t="shared" si="19"/>
        <v>45427</v>
      </c>
      <c r="L27" s="16">
        <f t="shared" ref="L27:L31" si="25">N27*0.3</f>
        <v>5761.5</v>
      </c>
      <c r="M27" s="16">
        <f t="shared" si="20"/>
        <v>13443.5</v>
      </c>
      <c r="N27" s="16">
        <f t="shared" si="21"/>
        <v>19205</v>
      </c>
      <c r="O27" s="16">
        <f t="shared" si="22"/>
        <v>2200</v>
      </c>
      <c r="P27" s="16">
        <f t="shared" si="23"/>
        <v>17005</v>
      </c>
      <c r="Q27" s="16">
        <f t="shared" si="24"/>
        <v>1350</v>
      </c>
    </row>
    <row r="28" spans="1:17" x14ac:dyDescent="0.35">
      <c r="A28" s="31">
        <v>45437</v>
      </c>
      <c r="B28" s="10">
        <f t="shared" si="0"/>
        <v>2868</v>
      </c>
      <c r="C28" s="10">
        <f t="shared" si="1"/>
        <v>6692</v>
      </c>
      <c r="D28" s="10">
        <f t="shared" si="2"/>
        <v>9560</v>
      </c>
      <c r="E28" s="10">
        <v>7000</v>
      </c>
      <c r="F28" s="10">
        <v>2560</v>
      </c>
      <c r="G28" s="10">
        <v>634</v>
      </c>
      <c r="H28" s="11">
        <f t="shared" si="3"/>
        <v>0.42857142857142855</v>
      </c>
      <c r="I28" s="12">
        <f>SUM($D$2:D28)-SUM($G$2:G28)</f>
        <v>399180</v>
      </c>
      <c r="K28" s="13">
        <f t="shared" si="19"/>
        <v>45428</v>
      </c>
      <c r="L28" s="14">
        <f>N28*0.3</f>
        <v>5409</v>
      </c>
      <c r="M28" s="14">
        <f t="shared" si="20"/>
        <v>12621</v>
      </c>
      <c r="N28" s="14">
        <f t="shared" si="21"/>
        <v>18030</v>
      </c>
      <c r="O28" s="14">
        <f t="shared" si="22"/>
        <v>7540</v>
      </c>
      <c r="P28" s="14">
        <f t="shared" si="23"/>
        <v>10490</v>
      </c>
      <c r="Q28" s="14">
        <f t="shared" si="24"/>
        <v>4000</v>
      </c>
    </row>
    <row r="29" spans="1:17" x14ac:dyDescent="0.35">
      <c r="A29" s="31">
        <v>45438</v>
      </c>
      <c r="B29" s="10">
        <f t="shared" si="0"/>
        <v>3072</v>
      </c>
      <c r="C29" s="10">
        <f t="shared" si="1"/>
        <v>7168</v>
      </c>
      <c r="D29" s="10">
        <f t="shared" si="2"/>
        <v>10240</v>
      </c>
      <c r="E29" s="10">
        <v>7030</v>
      </c>
      <c r="F29" s="10">
        <v>3210</v>
      </c>
      <c r="G29" s="10">
        <v>640</v>
      </c>
      <c r="H29" s="11">
        <f t="shared" si="3"/>
        <v>0.42857142857142855</v>
      </c>
      <c r="I29" s="12">
        <f>SUM($D$2:D29)-SUM($G$2:G29)</f>
        <v>408780</v>
      </c>
      <c r="K29" s="15">
        <f t="shared" si="19"/>
        <v>45429</v>
      </c>
      <c r="L29" s="16">
        <f t="shared" si="25"/>
        <v>8391</v>
      </c>
      <c r="M29" s="16">
        <f t="shared" si="20"/>
        <v>19579</v>
      </c>
      <c r="N29" s="16">
        <f t="shared" si="21"/>
        <v>27970</v>
      </c>
      <c r="O29" s="16">
        <f t="shared" si="22"/>
        <v>5120</v>
      </c>
      <c r="P29" s="16">
        <f t="shared" si="23"/>
        <v>22850</v>
      </c>
      <c r="Q29" s="16">
        <f t="shared" si="24"/>
        <v>2000</v>
      </c>
    </row>
    <row r="30" spans="1:17" x14ac:dyDescent="0.35">
      <c r="A30" s="31">
        <v>45439</v>
      </c>
      <c r="B30" s="10">
        <f t="shared" si="0"/>
        <v>2018.1</v>
      </c>
      <c r="C30" s="10">
        <f t="shared" si="1"/>
        <v>4708.8999999999996</v>
      </c>
      <c r="D30" s="10">
        <f t="shared" si="2"/>
        <v>6727</v>
      </c>
      <c r="E30" s="10">
        <v>4190</v>
      </c>
      <c r="F30" s="10">
        <v>2537</v>
      </c>
      <c r="G30" s="10">
        <v>700</v>
      </c>
      <c r="H30" s="11">
        <f t="shared" si="3"/>
        <v>0.4285714285714286</v>
      </c>
      <c r="I30" s="12">
        <f>SUM($D$2:D30)-SUM($G$2:G30)</f>
        <v>414807</v>
      </c>
      <c r="K30" s="13">
        <f t="shared" si="19"/>
        <v>45430</v>
      </c>
      <c r="L30" s="14">
        <f t="shared" si="25"/>
        <v>5028</v>
      </c>
      <c r="M30" s="14">
        <f t="shared" si="20"/>
        <v>11732</v>
      </c>
      <c r="N30" s="14">
        <f t="shared" si="21"/>
        <v>16760</v>
      </c>
      <c r="O30" s="14">
        <f t="shared" si="22"/>
        <v>3500</v>
      </c>
      <c r="P30" s="14">
        <f t="shared" si="23"/>
        <v>13260</v>
      </c>
      <c r="Q30" s="14">
        <f t="shared" si="24"/>
        <v>720</v>
      </c>
    </row>
    <row r="31" spans="1:17" x14ac:dyDescent="0.35">
      <c r="A31" s="31">
        <v>45440</v>
      </c>
      <c r="B31" s="10">
        <f t="shared" si="0"/>
        <v>10209</v>
      </c>
      <c r="C31" s="10">
        <f t="shared" si="1"/>
        <v>23821</v>
      </c>
      <c r="D31" s="10">
        <f t="shared" si="2"/>
        <v>34030</v>
      </c>
      <c r="E31" s="10">
        <v>5500</v>
      </c>
      <c r="F31" s="10">
        <v>28530</v>
      </c>
      <c r="G31" s="10">
        <v>1000</v>
      </c>
      <c r="H31" s="11">
        <f t="shared" si="3"/>
        <v>0.42857142857142855</v>
      </c>
      <c r="I31" s="12">
        <f>SUM($D$2:D31)-SUM($G$2:G31)</f>
        <v>447837</v>
      </c>
      <c r="K31" s="15">
        <f t="shared" si="19"/>
        <v>45431</v>
      </c>
      <c r="L31" s="16">
        <f t="shared" si="25"/>
        <v>7419</v>
      </c>
      <c r="M31" s="16">
        <f t="shared" si="20"/>
        <v>17311</v>
      </c>
      <c r="N31" s="16">
        <f t="shared" si="21"/>
        <v>24730</v>
      </c>
      <c r="O31" s="16">
        <f t="shared" si="22"/>
        <v>7920</v>
      </c>
      <c r="P31" s="16">
        <f t="shared" si="23"/>
        <v>16810</v>
      </c>
      <c r="Q31" s="16">
        <f t="shared" si="24"/>
        <v>10600</v>
      </c>
    </row>
    <row r="32" spans="1:17" x14ac:dyDescent="0.35">
      <c r="A32" s="31">
        <v>45441</v>
      </c>
      <c r="B32" s="10">
        <f t="shared" si="0"/>
        <v>6067.8</v>
      </c>
      <c r="C32" s="10">
        <f t="shared" si="1"/>
        <v>14158.2</v>
      </c>
      <c r="D32" s="10">
        <f t="shared" si="2"/>
        <v>20226</v>
      </c>
      <c r="E32" s="17">
        <v>4400</v>
      </c>
      <c r="F32" s="17">
        <v>15826</v>
      </c>
      <c r="G32" s="17">
        <v>1780</v>
      </c>
      <c r="H32" s="11">
        <f t="shared" si="3"/>
        <v>0.42857142857142855</v>
      </c>
      <c r="I32" s="12">
        <f>SUM($D$2:D32)-SUM($G$2:G32)</f>
        <v>466283</v>
      </c>
      <c r="K32" s="18" t="s">
        <v>3</v>
      </c>
      <c r="L32" s="16">
        <f t="shared" ref="L32:Q32" si="26">SUM(L25:L31)</f>
        <v>43951.5</v>
      </c>
      <c r="M32" s="16">
        <f t="shared" si="26"/>
        <v>102553.5</v>
      </c>
      <c r="N32" s="16">
        <f t="shared" si="26"/>
        <v>146505</v>
      </c>
      <c r="O32" s="16">
        <f t="shared" si="26"/>
        <v>35280</v>
      </c>
      <c r="P32" s="16">
        <f t="shared" si="26"/>
        <v>111225</v>
      </c>
      <c r="Q32" s="16">
        <f t="shared" si="26"/>
        <v>23290</v>
      </c>
    </row>
    <row r="33" spans="1:17" x14ac:dyDescent="0.35">
      <c r="A33" s="31">
        <v>45442</v>
      </c>
      <c r="B33" s="10">
        <f t="shared" si="0"/>
        <v>11853</v>
      </c>
      <c r="C33" s="10">
        <f t="shared" si="1"/>
        <v>27657</v>
      </c>
      <c r="D33" s="10">
        <f t="shared" si="2"/>
        <v>39510</v>
      </c>
      <c r="E33" s="10">
        <v>4480</v>
      </c>
      <c r="F33" s="10">
        <v>35030</v>
      </c>
      <c r="G33" s="10">
        <v>1870</v>
      </c>
      <c r="H33" s="11">
        <f t="shared" si="3"/>
        <v>0.42857142857142855</v>
      </c>
      <c r="I33" s="12">
        <f>SUM($D$2:D33)-SUM($G$2:G33)</f>
        <v>503923</v>
      </c>
      <c r="K33" s="18" t="s">
        <v>10</v>
      </c>
      <c r="L33" s="14">
        <f>L32/3</f>
        <v>14650.5</v>
      </c>
      <c r="M33" s="14"/>
      <c r="N33" s="14"/>
      <c r="O33" s="14"/>
      <c r="P33" s="14"/>
      <c r="Q33" s="14"/>
    </row>
    <row r="34" spans="1:17" x14ac:dyDescent="0.35">
      <c r="A34" s="31">
        <v>45443</v>
      </c>
      <c r="B34" s="10">
        <f t="shared" si="0"/>
        <v>2277</v>
      </c>
      <c r="C34" s="10">
        <f t="shared" si="1"/>
        <v>5313</v>
      </c>
      <c r="D34" s="10">
        <f t="shared" si="2"/>
        <v>7590</v>
      </c>
      <c r="E34" s="10">
        <v>6800</v>
      </c>
      <c r="F34" s="10">
        <v>790</v>
      </c>
      <c r="G34" s="10">
        <v>790</v>
      </c>
      <c r="H34" s="11">
        <f t="shared" si="3"/>
        <v>0.42857142857142855</v>
      </c>
      <c r="I34" s="12">
        <f>SUM($D$2:D34)-SUM($G$2:G34)</f>
        <v>510723</v>
      </c>
    </row>
    <row r="35" spans="1:17" x14ac:dyDescent="0.35">
      <c r="A35" s="31">
        <v>45444</v>
      </c>
      <c r="B35" s="10">
        <f t="shared" si="0"/>
        <v>7380</v>
      </c>
      <c r="C35" s="10">
        <f t="shared" si="1"/>
        <v>17220</v>
      </c>
      <c r="D35" s="10">
        <f t="shared" si="2"/>
        <v>24600</v>
      </c>
      <c r="E35" s="17">
        <v>3200</v>
      </c>
      <c r="F35" s="17">
        <v>21400</v>
      </c>
      <c r="G35" s="17">
        <v>2150</v>
      </c>
      <c r="H35" s="11">
        <f t="shared" si="3"/>
        <v>0.42857142857142855</v>
      </c>
      <c r="I35" s="12">
        <f>SUM($D$2:D35)-SUM($G$2:G35)</f>
        <v>533173</v>
      </c>
      <c r="K35" s="19" t="s">
        <v>0</v>
      </c>
      <c r="L35" s="20" t="s">
        <v>1</v>
      </c>
      <c r="M35" s="20" t="s">
        <v>2</v>
      </c>
      <c r="N35" s="20" t="s">
        <v>3</v>
      </c>
      <c r="O35" s="20" t="s">
        <v>4</v>
      </c>
      <c r="P35" s="20" t="s">
        <v>5</v>
      </c>
      <c r="Q35" s="20" t="s">
        <v>6</v>
      </c>
    </row>
    <row r="36" spans="1:17" x14ac:dyDescent="0.35">
      <c r="A36" s="31">
        <v>45445</v>
      </c>
      <c r="B36" s="10">
        <f t="shared" si="0"/>
        <v>2769</v>
      </c>
      <c r="C36" s="10">
        <f t="shared" si="1"/>
        <v>6461</v>
      </c>
      <c r="D36" s="10">
        <f t="shared" si="2"/>
        <v>9230</v>
      </c>
      <c r="E36" s="17">
        <v>7240</v>
      </c>
      <c r="F36" s="17">
        <v>1990</v>
      </c>
      <c r="G36" s="17">
        <v>4125</v>
      </c>
      <c r="H36" s="11">
        <f t="shared" si="3"/>
        <v>0.42857142857142855</v>
      </c>
      <c r="I36" s="12">
        <f>SUM($D$2:D36)-SUM($G$2:G36)</f>
        <v>538278</v>
      </c>
      <c r="K36" s="13">
        <f t="shared" ref="K36:K42" si="27">A23</f>
        <v>45432</v>
      </c>
      <c r="L36" s="16">
        <f>N36*0.3</f>
        <v>4494</v>
      </c>
      <c r="M36" s="16">
        <f t="shared" ref="M36:M42" si="28">N36-L36</f>
        <v>10486</v>
      </c>
      <c r="N36" s="16">
        <f t="shared" ref="N36:N42" si="29">O36+P36</f>
        <v>14980</v>
      </c>
      <c r="O36" s="16">
        <f t="shared" ref="O36:O42" si="30">VLOOKUP(K36,$A$1:$H$37,5,0)</f>
        <v>3570</v>
      </c>
      <c r="P36" s="16">
        <f t="shared" ref="P36:P42" si="31">VLOOKUP(K36,$A$1:$H$37,6,0)</f>
        <v>11410</v>
      </c>
      <c r="Q36" s="16">
        <f t="shared" ref="Q36:Q42" si="32">VLOOKUP(K36,$A$1:$H$37,7,0)</f>
        <v>100</v>
      </c>
    </row>
    <row r="37" spans="1:17" ht="15" thickBot="1" x14ac:dyDescent="0.4">
      <c r="A37" s="21" t="s">
        <v>3</v>
      </c>
      <c r="B37" s="22">
        <f>SUBTOTAL(109,Table234534568791112151416171819202122232425262728345678910113456[Profit])</f>
        <v>199248.3</v>
      </c>
      <c r="C37" s="22">
        <f>SUBTOTAL(109,Table234534568791112151416171819202122232425262728345678910113456[Profit])</f>
        <v>199248.3</v>
      </c>
      <c r="D37" s="22">
        <f>SUBTOTAL(109,Table234534568791112151416171819202122232425262728345678910113456[Total])</f>
        <v>664161</v>
      </c>
      <c r="E37" s="22">
        <f>SUBTOTAL(109,Table234534568791112151416171819202122232425262728345678910113456[Profit])</f>
        <v>199248.3</v>
      </c>
      <c r="F37" s="22">
        <f>SUBTOTAL(109,Table234534568791112151416171819202122232425262728345678910113456[Profit])</f>
        <v>199248.3</v>
      </c>
      <c r="G37" s="22">
        <f t="shared" ref="G37:I37" si="33">SUM(G4:G36)</f>
        <v>94393</v>
      </c>
      <c r="H37" s="22">
        <f t="shared" si="33"/>
        <v>14.142857142857148</v>
      </c>
      <c r="I37" s="22">
        <f t="shared" si="33"/>
        <v>8976949</v>
      </c>
      <c r="K37" s="13">
        <f t="shared" si="27"/>
        <v>45433</v>
      </c>
      <c r="L37" s="14">
        <f>N37*0.3</f>
        <v>9111</v>
      </c>
      <c r="M37" s="14">
        <f t="shared" si="28"/>
        <v>21259</v>
      </c>
      <c r="N37" s="14">
        <f t="shared" si="29"/>
        <v>30370</v>
      </c>
      <c r="O37" s="14">
        <f t="shared" si="30"/>
        <v>2000</v>
      </c>
      <c r="P37" s="14">
        <f t="shared" si="31"/>
        <v>28370</v>
      </c>
      <c r="Q37" s="14">
        <f t="shared" si="32"/>
        <v>630</v>
      </c>
    </row>
    <row r="38" spans="1:17" x14ac:dyDescent="0.35">
      <c r="A38" s="23"/>
      <c r="B38" s="24">
        <f>B37/3</f>
        <v>66416.099999999991</v>
      </c>
      <c r="C38" s="24"/>
      <c r="E38" s="26">
        <f>D37*0.42</f>
        <v>278947.62</v>
      </c>
      <c r="F38" s="24"/>
      <c r="G38" s="24"/>
      <c r="H38" s="27"/>
      <c r="K38" s="15">
        <f t="shared" si="27"/>
        <v>45434</v>
      </c>
      <c r="L38" s="16">
        <f t="shared" ref="L38:L42" si="34">N38*0.3</f>
        <v>2494.5</v>
      </c>
      <c r="M38" s="16">
        <f t="shared" si="28"/>
        <v>5820.5</v>
      </c>
      <c r="N38" s="16">
        <f t="shared" si="29"/>
        <v>8315</v>
      </c>
      <c r="O38" s="16">
        <f t="shared" si="30"/>
        <v>5050</v>
      </c>
      <c r="P38" s="16">
        <f t="shared" si="31"/>
        <v>3265</v>
      </c>
      <c r="Q38" s="16">
        <f t="shared" si="32"/>
        <v>2220</v>
      </c>
    </row>
    <row r="39" spans="1:17" x14ac:dyDescent="0.35">
      <c r="A39" s="23"/>
      <c r="B39" s="24">
        <f>B38*100/D37</f>
        <v>9.9999999999999982</v>
      </c>
      <c r="C39" s="24"/>
      <c r="E39" s="24">
        <f>E38/3</f>
        <v>92982.54</v>
      </c>
      <c r="F39" s="24"/>
      <c r="G39" s="24"/>
      <c r="H39" s="27"/>
      <c r="K39" s="13">
        <f t="shared" si="27"/>
        <v>45435</v>
      </c>
      <c r="L39" s="14">
        <f t="shared" si="34"/>
        <v>7440</v>
      </c>
      <c r="M39" s="14">
        <f t="shared" si="28"/>
        <v>17360</v>
      </c>
      <c r="N39" s="14">
        <f t="shared" si="29"/>
        <v>24800</v>
      </c>
      <c r="O39" s="14">
        <f t="shared" si="30"/>
        <v>4660</v>
      </c>
      <c r="P39" s="14">
        <f t="shared" si="31"/>
        <v>20140</v>
      </c>
      <c r="Q39" s="14">
        <f t="shared" si="32"/>
        <v>970</v>
      </c>
    </row>
    <row r="40" spans="1:17" x14ac:dyDescent="0.35">
      <c r="A40" s="19" t="s">
        <v>0</v>
      </c>
      <c r="B40" s="20" t="s">
        <v>1</v>
      </c>
      <c r="C40" s="20" t="s">
        <v>2</v>
      </c>
      <c r="D40" s="20" t="s">
        <v>3</v>
      </c>
      <c r="E40" s="20" t="s">
        <v>4</v>
      </c>
      <c r="F40" s="20" t="s">
        <v>5</v>
      </c>
      <c r="G40" s="20" t="s">
        <v>6</v>
      </c>
      <c r="H40" s="28" t="s">
        <v>10</v>
      </c>
      <c r="K40" s="15">
        <f t="shared" si="27"/>
        <v>45436</v>
      </c>
      <c r="L40" s="16">
        <f t="shared" si="34"/>
        <v>6780</v>
      </c>
      <c r="M40" s="16">
        <f t="shared" si="28"/>
        <v>15820</v>
      </c>
      <c r="N40" s="16">
        <f t="shared" si="29"/>
        <v>22600</v>
      </c>
      <c r="O40" s="16">
        <f t="shared" si="30"/>
        <v>5030</v>
      </c>
      <c r="P40" s="16">
        <f t="shared" si="31"/>
        <v>17570</v>
      </c>
      <c r="Q40" s="16">
        <f t="shared" si="32"/>
        <v>1920</v>
      </c>
    </row>
    <row r="41" spans="1:17" x14ac:dyDescent="0.35">
      <c r="A41" s="29" t="str">
        <f>CONCATENATE(TEXT(K3,"DD-MMM-YYY")," to ",TEXT(K9,"DD-MMM-YYYY"))</f>
        <v>29-Apr-2024 to 05-May-2024</v>
      </c>
      <c r="B41" s="16">
        <f>L10</f>
        <v>40878</v>
      </c>
      <c r="C41" s="16">
        <f t="shared" ref="C41:G41" si="35">M10</f>
        <v>95382</v>
      </c>
      <c r="D41" s="16">
        <f t="shared" si="35"/>
        <v>136260</v>
      </c>
      <c r="E41" s="16">
        <f t="shared" si="35"/>
        <v>53750</v>
      </c>
      <c r="F41" s="16">
        <f t="shared" si="35"/>
        <v>82510</v>
      </c>
      <c r="G41" s="16">
        <f t="shared" si="35"/>
        <v>38600</v>
      </c>
      <c r="H41" s="16">
        <f>B41/3</f>
        <v>13626</v>
      </c>
      <c r="K41" s="13">
        <f t="shared" si="27"/>
        <v>45437</v>
      </c>
      <c r="L41" s="14">
        <f t="shared" si="34"/>
        <v>2868</v>
      </c>
      <c r="M41" s="14">
        <f t="shared" si="28"/>
        <v>6692</v>
      </c>
      <c r="N41" s="14">
        <f t="shared" si="29"/>
        <v>9560</v>
      </c>
      <c r="O41" s="14">
        <f t="shared" si="30"/>
        <v>7000</v>
      </c>
      <c r="P41" s="14">
        <f t="shared" si="31"/>
        <v>2560</v>
      </c>
      <c r="Q41" s="14">
        <f t="shared" si="32"/>
        <v>634</v>
      </c>
    </row>
    <row r="42" spans="1:17" x14ac:dyDescent="0.35">
      <c r="A42" s="29" t="str">
        <f>CONCATENATE(TEXT(K14,"DD-MMM-YYY")," to ",TEXT(K20,"DD-MMM-YYYY"))</f>
        <v>06-May-2024 to 12-May-2024</v>
      </c>
      <c r="B42" s="14">
        <f>L21</f>
        <v>35585.4</v>
      </c>
      <c r="C42" s="14">
        <f t="shared" ref="C42:G42" si="36">M21</f>
        <v>83032.600000000006</v>
      </c>
      <c r="D42" s="14">
        <f t="shared" si="36"/>
        <v>118618</v>
      </c>
      <c r="E42" s="14">
        <f t="shared" si="36"/>
        <v>60400</v>
      </c>
      <c r="F42" s="14">
        <f t="shared" si="36"/>
        <v>58218</v>
      </c>
      <c r="G42" s="14">
        <f t="shared" si="36"/>
        <v>44464</v>
      </c>
      <c r="H42" s="16">
        <f t="shared" ref="H42:H45" si="37">B42/3</f>
        <v>11861.800000000001</v>
      </c>
      <c r="K42" s="15">
        <f t="shared" si="27"/>
        <v>45438</v>
      </c>
      <c r="L42" s="16">
        <f t="shared" si="34"/>
        <v>3072</v>
      </c>
      <c r="M42" s="16">
        <f t="shared" si="28"/>
        <v>7168</v>
      </c>
      <c r="N42" s="16">
        <f t="shared" si="29"/>
        <v>10240</v>
      </c>
      <c r="O42" s="16">
        <f t="shared" si="30"/>
        <v>7030</v>
      </c>
      <c r="P42" s="16">
        <f t="shared" si="31"/>
        <v>3210</v>
      </c>
      <c r="Q42" s="16">
        <f t="shared" si="32"/>
        <v>640</v>
      </c>
    </row>
    <row r="43" spans="1:17" x14ac:dyDescent="0.35">
      <c r="A43" s="29" t="str">
        <f>CONCATENATE(TEXT(K25,"DD-MMM-YYY")," to ",TEXT(K31,"DD-MMM-YYYY"))</f>
        <v>13-May-2024 to 19-May-2024</v>
      </c>
      <c r="B43" s="16">
        <f>L32</f>
        <v>43951.5</v>
      </c>
      <c r="C43" s="16">
        <f t="shared" ref="C43:G43" si="38">M32</f>
        <v>102553.5</v>
      </c>
      <c r="D43" s="16">
        <f t="shared" si="38"/>
        <v>146505</v>
      </c>
      <c r="E43" s="16">
        <f t="shared" si="38"/>
        <v>35280</v>
      </c>
      <c r="F43" s="16">
        <f t="shared" si="38"/>
        <v>111225</v>
      </c>
      <c r="G43" s="16">
        <f t="shared" si="38"/>
        <v>23290</v>
      </c>
      <c r="H43" s="16">
        <f t="shared" si="37"/>
        <v>14650.5</v>
      </c>
      <c r="K43" s="18" t="s">
        <v>3</v>
      </c>
      <c r="L43" s="16">
        <f t="shared" ref="L43" si="39">SUM(L36:L42)</f>
        <v>36259.5</v>
      </c>
      <c r="M43" s="14">
        <f t="shared" ref="M43:Q43" si="40">SUM(M36:M42)</f>
        <v>84605.5</v>
      </c>
      <c r="N43" s="14">
        <f t="shared" si="40"/>
        <v>120865</v>
      </c>
      <c r="O43" s="14">
        <f t="shared" si="40"/>
        <v>34340</v>
      </c>
      <c r="P43" s="14">
        <f t="shared" si="40"/>
        <v>86525</v>
      </c>
      <c r="Q43" s="14">
        <f t="shared" si="40"/>
        <v>7114</v>
      </c>
    </row>
    <row r="44" spans="1:17" x14ac:dyDescent="0.35">
      <c r="A44" s="29" t="str">
        <f>CONCATENATE(TEXT(K36,"DD-MMM-YYY")," to ",TEXT(K42,"DD-MMM-YYYY"))</f>
        <v>20-May-2024 to 26-May-2024</v>
      </c>
      <c r="B44" s="14">
        <f>L43</f>
        <v>36259.5</v>
      </c>
      <c r="C44" s="14">
        <f t="shared" ref="C44:G44" si="41">M43</f>
        <v>84605.5</v>
      </c>
      <c r="D44" s="14">
        <f t="shared" si="41"/>
        <v>120865</v>
      </c>
      <c r="E44" s="14">
        <f t="shared" si="41"/>
        <v>34340</v>
      </c>
      <c r="F44" s="14">
        <f t="shared" si="41"/>
        <v>86525</v>
      </c>
      <c r="G44" s="14">
        <f t="shared" si="41"/>
        <v>7114</v>
      </c>
      <c r="H44" s="16">
        <f t="shared" si="37"/>
        <v>12086.5</v>
      </c>
      <c r="K44" s="18" t="s">
        <v>10</v>
      </c>
      <c r="L44" s="16">
        <f>L43/3</f>
        <v>12086.5</v>
      </c>
      <c r="M44" s="16"/>
      <c r="N44" s="16"/>
      <c r="O44" s="16"/>
      <c r="P44" s="16"/>
      <c r="Q44" s="16"/>
    </row>
    <row r="45" spans="1:17" x14ac:dyDescent="0.35">
      <c r="A45" s="29" t="str">
        <f>CONCATENATE(TEXT(K47,"DD-MMM-YYY")," to ",TEXT(K53,"DD-MMM-YYYY"))</f>
        <v>27-May-2024 to 02-Jun-2024</v>
      </c>
      <c r="B45" s="16">
        <f>L54</f>
        <v>42573.9</v>
      </c>
      <c r="C45" s="16">
        <f t="shared" ref="C45:G45" si="42">M54</f>
        <v>99339.1</v>
      </c>
      <c r="D45" s="16">
        <f t="shared" si="42"/>
        <v>141913</v>
      </c>
      <c r="E45" s="16">
        <f t="shared" si="42"/>
        <v>35810</v>
      </c>
      <c r="F45" s="16">
        <f t="shared" si="42"/>
        <v>106103</v>
      </c>
      <c r="G45" s="16">
        <f t="shared" si="42"/>
        <v>12415</v>
      </c>
      <c r="H45" s="16">
        <f t="shared" si="37"/>
        <v>14191.300000000001</v>
      </c>
    </row>
    <row r="46" spans="1:17" x14ac:dyDescent="0.35">
      <c r="A46" s="29" t="str">
        <f>CONCATENATE(TEXT(K59,"DD-MMM-YYY")," to ",TEXT(K58,"DD-MMM-YYYY"))</f>
        <v>03-May-2024 to Date</v>
      </c>
      <c r="B46" s="14">
        <f>SUM(B41:B45)</f>
        <v>199248.3</v>
      </c>
      <c r="C46" s="14">
        <f t="shared" ref="C46:H46" si="43">SUM(C41:C45)</f>
        <v>464912.69999999995</v>
      </c>
      <c r="D46" s="14">
        <f t="shared" si="43"/>
        <v>664161</v>
      </c>
      <c r="E46" s="14">
        <f t="shared" si="43"/>
        <v>219580</v>
      </c>
      <c r="F46" s="14">
        <f t="shared" si="43"/>
        <v>444581</v>
      </c>
      <c r="G46" s="14">
        <f t="shared" si="43"/>
        <v>125883</v>
      </c>
      <c r="H46" s="14">
        <f t="shared" si="43"/>
        <v>66416.100000000006</v>
      </c>
      <c r="K46" s="19" t="s">
        <v>0</v>
      </c>
      <c r="L46" s="20" t="s">
        <v>1</v>
      </c>
      <c r="M46" s="20" t="s">
        <v>2</v>
      </c>
      <c r="N46" s="20" t="s">
        <v>3</v>
      </c>
      <c r="O46" s="20" t="s">
        <v>4</v>
      </c>
      <c r="P46" s="20" t="s">
        <v>5</v>
      </c>
      <c r="Q46" s="20" t="s">
        <v>6</v>
      </c>
    </row>
    <row r="47" spans="1:17" x14ac:dyDescent="0.35">
      <c r="C47" s="65" t="s">
        <v>3</v>
      </c>
      <c r="D47" s="65"/>
      <c r="E47" s="65"/>
      <c r="F47" s="65"/>
      <c r="G47" s="66"/>
      <c r="H47" s="16"/>
      <c r="K47" s="15">
        <f t="shared" ref="K47:K53" si="44">A30</f>
        <v>45439</v>
      </c>
      <c r="L47" s="16">
        <f>N47*0.3</f>
        <v>2018.1</v>
      </c>
      <c r="M47" s="16">
        <f t="shared" ref="M47:M53" si="45">N47-L47</f>
        <v>4708.8999999999996</v>
      </c>
      <c r="N47" s="16">
        <f t="shared" ref="N47:N53" si="46">O47+P47</f>
        <v>6727</v>
      </c>
      <c r="O47" s="16">
        <f t="shared" ref="O47:O52" si="47">VLOOKUP(K47,$A$1:$H$37,5,0)</f>
        <v>4190</v>
      </c>
      <c r="P47" s="16">
        <f t="shared" ref="P47:P53" si="48">VLOOKUP(K47,$A$1:$H$37,6,0)</f>
        <v>2537</v>
      </c>
      <c r="Q47" s="16">
        <f t="shared" ref="Q47:Q53" si="49">VLOOKUP(K47,$A$1:$H$37,7,0)</f>
        <v>700</v>
      </c>
    </row>
    <row r="48" spans="1:17" x14ac:dyDescent="0.35">
      <c r="K48" s="13">
        <f t="shared" si="44"/>
        <v>45440</v>
      </c>
      <c r="L48" s="14">
        <f>N48*0.3</f>
        <v>10209</v>
      </c>
      <c r="M48" s="14">
        <f t="shared" si="45"/>
        <v>23821</v>
      </c>
      <c r="N48" s="14">
        <f t="shared" si="46"/>
        <v>34030</v>
      </c>
      <c r="O48" s="14">
        <f t="shared" si="47"/>
        <v>5500</v>
      </c>
      <c r="P48" s="14">
        <f t="shared" si="48"/>
        <v>28530</v>
      </c>
      <c r="Q48" s="14">
        <f t="shared" si="49"/>
        <v>1000</v>
      </c>
    </row>
    <row r="49" spans="11:17" x14ac:dyDescent="0.35">
      <c r="K49" s="15">
        <f t="shared" si="44"/>
        <v>45441</v>
      </c>
      <c r="L49" s="16">
        <f t="shared" ref="L49:L53" si="50">N49*0.3</f>
        <v>6067.8</v>
      </c>
      <c r="M49" s="16">
        <f t="shared" si="45"/>
        <v>14158.2</v>
      </c>
      <c r="N49" s="16">
        <f t="shared" si="46"/>
        <v>20226</v>
      </c>
      <c r="O49" s="16">
        <f t="shared" si="47"/>
        <v>4400</v>
      </c>
      <c r="P49" s="16">
        <f t="shared" si="48"/>
        <v>15826</v>
      </c>
      <c r="Q49" s="16">
        <f t="shared" si="49"/>
        <v>1780</v>
      </c>
    </row>
    <row r="50" spans="11:17" x14ac:dyDescent="0.35">
      <c r="K50" s="13">
        <f t="shared" si="44"/>
        <v>45442</v>
      </c>
      <c r="L50" s="14">
        <f t="shared" si="50"/>
        <v>11853</v>
      </c>
      <c r="M50" s="14">
        <f t="shared" si="45"/>
        <v>27657</v>
      </c>
      <c r="N50" s="14">
        <f t="shared" si="46"/>
        <v>39510</v>
      </c>
      <c r="O50" s="14">
        <f t="shared" si="47"/>
        <v>4480</v>
      </c>
      <c r="P50" s="14">
        <f t="shared" si="48"/>
        <v>35030</v>
      </c>
      <c r="Q50" s="14">
        <f t="shared" si="49"/>
        <v>1870</v>
      </c>
    </row>
    <row r="51" spans="11:17" x14ac:dyDescent="0.35">
      <c r="K51" s="15">
        <f t="shared" si="44"/>
        <v>45443</v>
      </c>
      <c r="L51" s="16">
        <f t="shared" si="50"/>
        <v>2277</v>
      </c>
      <c r="M51" s="16">
        <f t="shared" si="45"/>
        <v>5313</v>
      </c>
      <c r="N51" s="16">
        <f t="shared" si="46"/>
        <v>7590</v>
      </c>
      <c r="O51" s="16">
        <f t="shared" si="47"/>
        <v>6800</v>
      </c>
      <c r="P51" s="16">
        <f t="shared" si="48"/>
        <v>790</v>
      </c>
      <c r="Q51" s="16">
        <f t="shared" si="49"/>
        <v>790</v>
      </c>
    </row>
    <row r="52" spans="11:17" x14ac:dyDescent="0.35">
      <c r="K52" s="13">
        <f t="shared" si="44"/>
        <v>45444</v>
      </c>
      <c r="L52" s="14">
        <f t="shared" si="50"/>
        <v>7380</v>
      </c>
      <c r="M52" s="14">
        <f t="shared" si="45"/>
        <v>17220</v>
      </c>
      <c r="N52" s="14">
        <f t="shared" si="46"/>
        <v>24600</v>
      </c>
      <c r="O52" s="14">
        <f t="shared" si="47"/>
        <v>3200</v>
      </c>
      <c r="P52" s="14">
        <f t="shared" si="48"/>
        <v>21400</v>
      </c>
      <c r="Q52" s="14">
        <f t="shared" si="49"/>
        <v>2150</v>
      </c>
    </row>
    <row r="53" spans="11:17" x14ac:dyDescent="0.35">
      <c r="K53" s="15">
        <f t="shared" si="44"/>
        <v>45445</v>
      </c>
      <c r="L53" s="16">
        <f t="shared" si="50"/>
        <v>2769</v>
      </c>
      <c r="M53" s="16">
        <f t="shared" si="45"/>
        <v>6461</v>
      </c>
      <c r="N53" s="16">
        <f t="shared" si="46"/>
        <v>9230</v>
      </c>
      <c r="O53" s="16">
        <f>VLOOKUP(K53,$A$1:$H$37,5,0)</f>
        <v>7240</v>
      </c>
      <c r="P53" s="16">
        <f t="shared" si="48"/>
        <v>1990</v>
      </c>
      <c r="Q53" s="16">
        <f t="shared" si="49"/>
        <v>4125</v>
      </c>
    </row>
    <row r="54" spans="11:17" x14ac:dyDescent="0.35">
      <c r="K54" s="18" t="s">
        <v>3</v>
      </c>
      <c r="L54" s="14">
        <f t="shared" ref="L54:Q54" si="51">SUM(L47:L53)</f>
        <v>42573.9</v>
      </c>
      <c r="M54" s="14">
        <f t="shared" si="51"/>
        <v>99339.1</v>
      </c>
      <c r="N54" s="14">
        <f t="shared" si="51"/>
        <v>141913</v>
      </c>
      <c r="O54" s="14">
        <f t="shared" si="51"/>
        <v>35810</v>
      </c>
      <c r="P54" s="14">
        <f t="shared" si="51"/>
        <v>106103</v>
      </c>
      <c r="Q54" s="14">
        <f t="shared" si="51"/>
        <v>12415</v>
      </c>
    </row>
    <row r="55" spans="11:17" x14ac:dyDescent="0.35">
      <c r="K55" s="18" t="s">
        <v>10</v>
      </c>
      <c r="L55" s="16">
        <f>L54/3</f>
        <v>14191.300000000001</v>
      </c>
      <c r="M55" s="16"/>
      <c r="N55" s="16"/>
      <c r="O55" s="16"/>
      <c r="P55" s="16"/>
      <c r="Q55" s="16"/>
    </row>
    <row r="58" spans="11:17" x14ac:dyDescent="0.35">
      <c r="K58" s="19" t="s">
        <v>0</v>
      </c>
      <c r="L58" s="20" t="s">
        <v>1</v>
      </c>
      <c r="M58" s="20" t="s">
        <v>2</v>
      </c>
      <c r="N58" s="20" t="s">
        <v>3</v>
      </c>
      <c r="O58" s="20" t="s">
        <v>4</v>
      </c>
      <c r="P58" s="20" t="s">
        <v>5</v>
      </c>
      <c r="Q58" s="20" t="s">
        <v>6</v>
      </c>
    </row>
    <row r="59" spans="11:17" x14ac:dyDescent="0.35">
      <c r="K59" s="30">
        <f>A6</f>
        <v>45415</v>
      </c>
      <c r="L59" s="14">
        <f>SUM(B7:B36)</f>
        <v>170475.3</v>
      </c>
      <c r="M59" s="14">
        <f t="shared" ref="M59:Q59" si="52">SUM(C7:C36)</f>
        <v>397775.7</v>
      </c>
      <c r="N59" s="14">
        <f t="shared" si="52"/>
        <v>568251</v>
      </c>
      <c r="O59" s="14">
        <f t="shared" si="52"/>
        <v>185280</v>
      </c>
      <c r="P59" s="14">
        <f t="shared" si="52"/>
        <v>382971</v>
      </c>
      <c r="Q59" s="14">
        <f t="shared" si="52"/>
        <v>89383</v>
      </c>
    </row>
    <row r="60" spans="11:17" x14ac:dyDescent="0.35">
      <c r="K60" s="18" t="s">
        <v>10</v>
      </c>
      <c r="L60" s="16">
        <f>L59/3</f>
        <v>56825.1</v>
      </c>
      <c r="M60" s="16"/>
      <c r="N60" s="16"/>
      <c r="O60" s="16"/>
      <c r="P60" s="16"/>
      <c r="Q60" s="16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DBC1-7FC3-4C28-B26B-B9BB5A5BD56A}">
  <dimension ref="A1:Q60"/>
  <sheetViews>
    <sheetView topLeftCell="B1" zoomScale="90" zoomScaleNormal="90" workbookViewId="0">
      <pane ySplit="1" topLeftCell="A35" activePane="bottomLeft" state="frozen"/>
      <selection pane="bottomLeft" activeCell="L36" sqref="L36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5" width="10" bestFit="1" customWidth="1"/>
    <col min="16" max="16" width="16.453125" bestFit="1" customWidth="1"/>
    <col min="17" max="17" width="9" bestFit="1" customWidth="1"/>
  </cols>
  <sheetData>
    <row r="1" spans="1:17" s="6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K1" s="7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5">
      <c r="A2" s="31">
        <v>45446</v>
      </c>
      <c r="B2" s="10">
        <f t="shared" ref="B2:B36" si="0">D2*0.3</f>
        <v>1683</v>
      </c>
      <c r="C2" s="10">
        <f t="shared" ref="C2:C36" si="1">D2-B2</f>
        <v>3927</v>
      </c>
      <c r="D2" s="10">
        <f t="shared" ref="D2:D36" si="2">E2+F2</f>
        <v>5610</v>
      </c>
      <c r="E2" s="10">
        <v>3500</v>
      </c>
      <c r="F2" s="10">
        <v>2110</v>
      </c>
      <c r="G2" s="10">
        <v>1100</v>
      </c>
      <c r="H2" s="11">
        <f t="shared" ref="H2:H36" si="3">IFERROR(B2/C2,0)</f>
        <v>0.42857142857142855</v>
      </c>
      <c r="I2" s="12">
        <f>SUM($D$2:D2)-SUM($G$2:G2)</f>
        <v>4510</v>
      </c>
      <c r="K2" s="13" t="s">
        <v>9</v>
      </c>
      <c r="L2" s="14"/>
      <c r="M2" s="14"/>
      <c r="N2" s="14"/>
      <c r="O2" s="14"/>
      <c r="P2" s="14"/>
      <c r="Q2" s="14">
        <v>0</v>
      </c>
    </row>
    <row r="3" spans="1:17" x14ac:dyDescent="0.35">
      <c r="A3" s="31">
        <v>45447</v>
      </c>
      <c r="B3" s="10">
        <f t="shared" si="0"/>
        <v>1845</v>
      </c>
      <c r="C3" s="10">
        <f t="shared" si="1"/>
        <v>4305</v>
      </c>
      <c r="D3" s="10">
        <f t="shared" si="2"/>
        <v>6150</v>
      </c>
      <c r="E3" s="10">
        <v>3500</v>
      </c>
      <c r="F3" s="10">
        <v>2650</v>
      </c>
      <c r="G3" s="10">
        <v>2230</v>
      </c>
      <c r="H3" s="11">
        <f t="shared" si="3"/>
        <v>0.42857142857142855</v>
      </c>
      <c r="I3" s="12">
        <f>SUM($D$2:D3)-SUM($G$2:G3)</f>
        <v>8430</v>
      </c>
      <c r="K3" s="15">
        <f t="shared" ref="K3:K9" si="4">A2</f>
        <v>45446</v>
      </c>
      <c r="L3" s="16">
        <f>N3*0.3</f>
        <v>1683</v>
      </c>
      <c r="M3" s="16">
        <f t="shared" ref="M3:M9" si="5">N3-L3</f>
        <v>3927</v>
      </c>
      <c r="N3" s="16">
        <f t="shared" ref="N3:N9" si="6">O3+P3</f>
        <v>5610</v>
      </c>
      <c r="O3" s="16">
        <f t="shared" ref="O3:O9" si="7">VLOOKUP(K3,$A$1:$H$37,5,0)</f>
        <v>3500</v>
      </c>
      <c r="P3" s="16">
        <f t="shared" ref="P3:P9" si="8">VLOOKUP(K3,$A$1:$H$37,6,0)</f>
        <v>2110</v>
      </c>
      <c r="Q3" s="16">
        <f t="shared" ref="Q3:Q9" si="9">VLOOKUP(K3,$A$1:$H$37,7,0)</f>
        <v>1100</v>
      </c>
    </row>
    <row r="4" spans="1:17" x14ac:dyDescent="0.35">
      <c r="A4" s="31">
        <v>45448</v>
      </c>
      <c r="B4" s="10">
        <f t="shared" si="0"/>
        <v>1446</v>
      </c>
      <c r="C4" s="10">
        <f t="shared" si="1"/>
        <v>3374</v>
      </c>
      <c r="D4" s="10">
        <f t="shared" si="2"/>
        <v>4820</v>
      </c>
      <c r="E4" s="17">
        <v>3920</v>
      </c>
      <c r="F4" s="17">
        <v>900</v>
      </c>
      <c r="G4" s="17">
        <v>32560</v>
      </c>
      <c r="H4" s="11">
        <f t="shared" si="3"/>
        <v>0.42857142857142855</v>
      </c>
      <c r="I4" s="12">
        <f>SUM($D$2:D4)-SUM($G$2:G4)</f>
        <v>-19310</v>
      </c>
      <c r="K4" s="13">
        <f t="shared" si="4"/>
        <v>45447</v>
      </c>
      <c r="L4" s="14">
        <f>N4*0.3</f>
        <v>1845</v>
      </c>
      <c r="M4" s="14">
        <f t="shared" si="5"/>
        <v>4305</v>
      </c>
      <c r="N4" s="14">
        <f t="shared" si="6"/>
        <v>6150</v>
      </c>
      <c r="O4" s="14">
        <f t="shared" si="7"/>
        <v>3500</v>
      </c>
      <c r="P4" s="14">
        <f t="shared" si="8"/>
        <v>2650</v>
      </c>
      <c r="Q4" s="14">
        <f t="shared" si="9"/>
        <v>2230</v>
      </c>
    </row>
    <row r="5" spans="1:17" x14ac:dyDescent="0.35">
      <c r="A5" s="31">
        <v>45449</v>
      </c>
      <c r="B5" s="10">
        <f t="shared" si="0"/>
        <v>4815</v>
      </c>
      <c r="C5" s="10">
        <f t="shared" si="1"/>
        <v>11235</v>
      </c>
      <c r="D5" s="10">
        <f t="shared" si="2"/>
        <v>16050</v>
      </c>
      <c r="E5" s="10">
        <v>5000</v>
      </c>
      <c r="F5" s="10">
        <v>11050</v>
      </c>
      <c r="G5" s="10">
        <v>700</v>
      </c>
      <c r="H5" s="11">
        <f t="shared" si="3"/>
        <v>0.42857142857142855</v>
      </c>
      <c r="I5" s="12">
        <f>SUM($D$2:D5)-SUM($G$2:G5)</f>
        <v>-3960</v>
      </c>
      <c r="K5" s="15">
        <f t="shared" si="4"/>
        <v>45448</v>
      </c>
      <c r="L5" s="16">
        <f t="shared" ref="L5:L9" si="10">N5*0.3</f>
        <v>1446</v>
      </c>
      <c r="M5" s="16">
        <f t="shared" si="5"/>
        <v>3374</v>
      </c>
      <c r="N5" s="16">
        <f t="shared" si="6"/>
        <v>4820</v>
      </c>
      <c r="O5" s="16">
        <f t="shared" si="7"/>
        <v>3920</v>
      </c>
      <c r="P5" s="16">
        <f t="shared" si="8"/>
        <v>900</v>
      </c>
      <c r="Q5" s="16">
        <f t="shared" si="9"/>
        <v>32560</v>
      </c>
    </row>
    <row r="6" spans="1:17" x14ac:dyDescent="0.35">
      <c r="A6" s="31">
        <v>45450</v>
      </c>
      <c r="B6" s="10">
        <f t="shared" si="0"/>
        <v>2337</v>
      </c>
      <c r="C6" s="10">
        <f t="shared" si="1"/>
        <v>5453</v>
      </c>
      <c r="D6" s="10">
        <f t="shared" si="2"/>
        <v>7790</v>
      </c>
      <c r="E6" s="10">
        <v>3810</v>
      </c>
      <c r="F6" s="10">
        <v>3980</v>
      </c>
      <c r="G6" s="10">
        <v>3700</v>
      </c>
      <c r="H6" s="11">
        <f t="shared" si="3"/>
        <v>0.42857142857142855</v>
      </c>
      <c r="I6" s="12">
        <f>SUM($D$2:D6)-SUM($G$2:G6)</f>
        <v>130</v>
      </c>
      <c r="K6" s="13">
        <f t="shared" si="4"/>
        <v>45449</v>
      </c>
      <c r="L6" s="14">
        <f t="shared" si="10"/>
        <v>4815</v>
      </c>
      <c r="M6" s="14">
        <f t="shared" si="5"/>
        <v>11235</v>
      </c>
      <c r="N6" s="14">
        <f t="shared" si="6"/>
        <v>16050</v>
      </c>
      <c r="O6" s="14">
        <f t="shared" si="7"/>
        <v>5000</v>
      </c>
      <c r="P6" s="14">
        <f t="shared" si="8"/>
        <v>11050</v>
      </c>
      <c r="Q6" s="14">
        <f t="shared" si="9"/>
        <v>700</v>
      </c>
    </row>
    <row r="7" spans="1:17" x14ac:dyDescent="0.35">
      <c r="A7" s="31">
        <v>45451</v>
      </c>
      <c r="B7" s="10">
        <f t="shared" si="0"/>
        <v>1773</v>
      </c>
      <c r="C7" s="10">
        <f t="shared" si="1"/>
        <v>4137</v>
      </c>
      <c r="D7" s="10">
        <f t="shared" si="2"/>
        <v>5910</v>
      </c>
      <c r="E7" s="17">
        <v>5130</v>
      </c>
      <c r="F7" s="17">
        <v>780</v>
      </c>
      <c r="G7" s="17">
        <v>3040</v>
      </c>
      <c r="H7" s="11">
        <f t="shared" si="3"/>
        <v>0.42857142857142855</v>
      </c>
      <c r="I7" s="12">
        <f>SUM($D$2:D7)-SUM($G$2:G7)</f>
        <v>3000</v>
      </c>
      <c r="K7" s="15">
        <f t="shared" si="4"/>
        <v>45450</v>
      </c>
      <c r="L7" s="16">
        <f t="shared" si="10"/>
        <v>2337</v>
      </c>
      <c r="M7" s="16">
        <f t="shared" si="5"/>
        <v>5453</v>
      </c>
      <c r="N7" s="16">
        <f t="shared" si="6"/>
        <v>7790</v>
      </c>
      <c r="O7" s="16">
        <f t="shared" si="7"/>
        <v>3810</v>
      </c>
      <c r="P7" s="16">
        <f t="shared" si="8"/>
        <v>3980</v>
      </c>
      <c r="Q7" s="16">
        <f t="shared" si="9"/>
        <v>3700</v>
      </c>
    </row>
    <row r="8" spans="1:17" x14ac:dyDescent="0.35">
      <c r="A8" s="31">
        <v>45452</v>
      </c>
      <c r="B8" s="10">
        <f t="shared" si="0"/>
        <v>3006</v>
      </c>
      <c r="C8" s="10">
        <f t="shared" si="1"/>
        <v>7014</v>
      </c>
      <c r="D8" s="10">
        <f t="shared" si="2"/>
        <v>10020</v>
      </c>
      <c r="E8" s="17">
        <v>5400</v>
      </c>
      <c r="F8" s="17">
        <v>4620</v>
      </c>
      <c r="G8" s="17">
        <v>800</v>
      </c>
      <c r="H8" s="11">
        <f t="shared" si="3"/>
        <v>0.42857142857142855</v>
      </c>
      <c r="I8" s="12">
        <f>SUM($D$2:D8)-SUM($G$2:G8)</f>
        <v>12220</v>
      </c>
      <c r="K8" s="13">
        <f t="shared" si="4"/>
        <v>45451</v>
      </c>
      <c r="L8" s="14">
        <f t="shared" si="10"/>
        <v>1773</v>
      </c>
      <c r="M8" s="14" t="s">
        <v>12</v>
      </c>
      <c r="N8" s="14">
        <f t="shared" si="6"/>
        <v>5910</v>
      </c>
      <c r="O8" s="14">
        <f t="shared" si="7"/>
        <v>5130</v>
      </c>
      <c r="P8" s="14">
        <f t="shared" si="8"/>
        <v>780</v>
      </c>
      <c r="Q8" s="14">
        <f t="shared" si="9"/>
        <v>3040</v>
      </c>
    </row>
    <row r="9" spans="1:17" x14ac:dyDescent="0.35">
      <c r="A9" s="31">
        <v>45453</v>
      </c>
      <c r="B9" s="10">
        <f t="shared" si="0"/>
        <v>16695</v>
      </c>
      <c r="C9" s="10">
        <f t="shared" si="1"/>
        <v>38955</v>
      </c>
      <c r="D9" s="10">
        <f t="shared" si="2"/>
        <v>55650</v>
      </c>
      <c r="E9" s="10">
        <v>2500</v>
      </c>
      <c r="F9" s="10">
        <v>53150</v>
      </c>
      <c r="G9" s="10">
        <v>2300</v>
      </c>
      <c r="H9" s="11">
        <f t="shared" si="3"/>
        <v>0.42857142857142855</v>
      </c>
      <c r="I9" s="12">
        <f>SUM($D$2:D9)-SUM($G$2:G9)</f>
        <v>65570</v>
      </c>
      <c r="K9" s="15">
        <f t="shared" si="4"/>
        <v>45452</v>
      </c>
      <c r="L9" s="16">
        <f t="shared" si="10"/>
        <v>3006</v>
      </c>
      <c r="M9" s="16">
        <f t="shared" si="5"/>
        <v>7014</v>
      </c>
      <c r="N9" s="16">
        <f t="shared" si="6"/>
        <v>10020</v>
      </c>
      <c r="O9" s="16">
        <f t="shared" si="7"/>
        <v>5400</v>
      </c>
      <c r="P9" s="16">
        <f t="shared" si="8"/>
        <v>4620</v>
      </c>
      <c r="Q9" s="16">
        <f t="shared" si="9"/>
        <v>800</v>
      </c>
    </row>
    <row r="10" spans="1:17" x14ac:dyDescent="0.35">
      <c r="A10" s="31">
        <v>45454</v>
      </c>
      <c r="B10" s="10">
        <f t="shared" si="0"/>
        <v>1626</v>
      </c>
      <c r="C10" s="10">
        <f t="shared" si="1"/>
        <v>3794</v>
      </c>
      <c r="D10" s="10">
        <f t="shared" si="2"/>
        <v>5420</v>
      </c>
      <c r="E10" s="10">
        <v>3800</v>
      </c>
      <c r="F10" s="10">
        <v>1620</v>
      </c>
      <c r="G10" s="10">
        <v>1130</v>
      </c>
      <c r="H10" s="11">
        <f t="shared" si="3"/>
        <v>0.42857142857142855</v>
      </c>
      <c r="I10" s="12">
        <f>SUM($D$2:D10)-SUM($G$2:G10)</f>
        <v>69860</v>
      </c>
      <c r="K10" s="18" t="s">
        <v>3</v>
      </c>
      <c r="L10" s="18">
        <f>SUM(L3:L9)</f>
        <v>16905</v>
      </c>
      <c r="M10" s="18">
        <f>SUM(M2:M9)</f>
        <v>35308</v>
      </c>
      <c r="N10" s="18">
        <f>SUM(N2:N9)</f>
        <v>56350</v>
      </c>
      <c r="O10" s="18">
        <f>SUM(O2:O9)</f>
        <v>30260</v>
      </c>
      <c r="P10" s="18">
        <f>SUM(P2:P9)</f>
        <v>26090</v>
      </c>
      <c r="Q10" s="18">
        <f>SUM(Q2:Q9)</f>
        <v>44130</v>
      </c>
    </row>
    <row r="11" spans="1:17" x14ac:dyDescent="0.35">
      <c r="A11" s="31">
        <v>45455</v>
      </c>
      <c r="B11" s="10">
        <f t="shared" si="0"/>
        <v>919.19999999999993</v>
      </c>
      <c r="C11" s="10">
        <f t="shared" si="1"/>
        <v>2144.8000000000002</v>
      </c>
      <c r="D11" s="10">
        <f t="shared" si="2"/>
        <v>3064</v>
      </c>
      <c r="E11" s="10">
        <v>150</v>
      </c>
      <c r="F11" s="10">
        <v>2914</v>
      </c>
      <c r="G11" s="10">
        <v>1400</v>
      </c>
      <c r="H11" s="11">
        <f t="shared" si="3"/>
        <v>0.42857142857142849</v>
      </c>
      <c r="I11" s="12">
        <f>SUM($D$2:D11)-SUM($G$2:G11)</f>
        <v>71524</v>
      </c>
      <c r="K11" s="18" t="s">
        <v>10</v>
      </c>
      <c r="L11" s="18">
        <f>L10/3</f>
        <v>5635</v>
      </c>
      <c r="M11" s="18"/>
      <c r="N11" s="18"/>
      <c r="O11" s="16"/>
      <c r="P11" s="16"/>
      <c r="Q11" s="16"/>
    </row>
    <row r="12" spans="1:17" x14ac:dyDescent="0.35">
      <c r="A12" s="31">
        <v>45456</v>
      </c>
      <c r="B12" s="10">
        <f t="shared" si="0"/>
        <v>2025</v>
      </c>
      <c r="C12" s="10">
        <f t="shared" si="1"/>
        <v>4725</v>
      </c>
      <c r="D12" s="10">
        <f t="shared" si="2"/>
        <v>6750</v>
      </c>
      <c r="E12" s="10">
        <v>4540</v>
      </c>
      <c r="F12" s="10">
        <v>2210</v>
      </c>
      <c r="G12" s="10">
        <v>1815</v>
      </c>
      <c r="H12" s="11">
        <f t="shared" si="3"/>
        <v>0.42857142857142855</v>
      </c>
      <c r="I12" s="12">
        <f>SUM($D$2:D12)-SUM($G$2:G12)</f>
        <v>76459</v>
      </c>
    </row>
    <row r="13" spans="1:17" x14ac:dyDescent="0.35">
      <c r="A13" s="31">
        <v>45457</v>
      </c>
      <c r="B13" s="10">
        <f t="shared" si="0"/>
        <v>1530</v>
      </c>
      <c r="C13" s="10">
        <f t="shared" si="1"/>
        <v>3570</v>
      </c>
      <c r="D13" s="10">
        <f t="shared" si="2"/>
        <v>5100</v>
      </c>
      <c r="E13" s="10">
        <v>2780</v>
      </c>
      <c r="F13" s="10">
        <v>2320</v>
      </c>
      <c r="G13" s="10">
        <v>2100</v>
      </c>
      <c r="H13" s="11">
        <f t="shared" si="3"/>
        <v>0.42857142857142855</v>
      </c>
      <c r="I13" s="12">
        <f>SUM($D$2:D13)-SUM($G$2:G13)</f>
        <v>79459</v>
      </c>
      <c r="K13" s="19" t="s">
        <v>0</v>
      </c>
      <c r="L13" s="20" t="s">
        <v>1</v>
      </c>
      <c r="M13" s="20" t="s">
        <v>2</v>
      </c>
      <c r="N13" s="20" t="s">
        <v>3</v>
      </c>
      <c r="O13" s="20" t="s">
        <v>4</v>
      </c>
      <c r="P13" s="20" t="s">
        <v>5</v>
      </c>
      <c r="Q13" s="20" t="s">
        <v>6</v>
      </c>
    </row>
    <row r="14" spans="1:17" x14ac:dyDescent="0.35">
      <c r="A14" s="31">
        <v>45458</v>
      </c>
      <c r="B14" s="10">
        <f t="shared" si="0"/>
        <v>2185.5</v>
      </c>
      <c r="C14" s="10">
        <f t="shared" si="1"/>
        <v>5099.5</v>
      </c>
      <c r="D14" s="10">
        <f t="shared" si="2"/>
        <v>7285</v>
      </c>
      <c r="E14" s="10">
        <v>4155</v>
      </c>
      <c r="F14" s="10">
        <v>3130</v>
      </c>
      <c r="G14" s="10">
        <v>700</v>
      </c>
      <c r="H14" s="11">
        <f t="shared" si="3"/>
        <v>0.42857142857142855</v>
      </c>
      <c r="I14" s="12">
        <f>SUM($D$2:D14)-SUM($G$2:G14)</f>
        <v>86044</v>
      </c>
      <c r="K14" s="15">
        <f t="shared" ref="K14:K20" si="11">A9</f>
        <v>45453</v>
      </c>
      <c r="L14" s="16">
        <f>N14*0.3</f>
        <v>16695</v>
      </c>
      <c r="M14" s="16">
        <f t="shared" ref="M14:M20" si="12">N14-L14</f>
        <v>38955</v>
      </c>
      <c r="N14" s="16">
        <f t="shared" ref="N14:N20" si="13">O14+P14</f>
        <v>55650</v>
      </c>
      <c r="O14" s="16">
        <f t="shared" ref="O14:O20" si="14">VLOOKUP(K14,$A$1:$H$37,5,0)</f>
        <v>2500</v>
      </c>
      <c r="P14" s="16">
        <f t="shared" ref="P14:P20" si="15">VLOOKUP(K14,$A$1:$H$37,6,0)</f>
        <v>53150</v>
      </c>
      <c r="Q14" s="16">
        <f t="shared" ref="Q14:Q20" si="16">VLOOKUP(K14,$A$1:$H$37,7,0)</f>
        <v>2300</v>
      </c>
    </row>
    <row r="15" spans="1:17" x14ac:dyDescent="0.35">
      <c r="A15" s="31">
        <v>45459</v>
      </c>
      <c r="B15" s="10">
        <f t="shared" si="0"/>
        <v>5484</v>
      </c>
      <c r="C15" s="10">
        <f t="shared" si="1"/>
        <v>12796</v>
      </c>
      <c r="D15" s="10">
        <f t="shared" si="2"/>
        <v>18280</v>
      </c>
      <c r="E15" s="10">
        <v>1530</v>
      </c>
      <c r="F15" s="10">
        <v>16750</v>
      </c>
      <c r="G15" s="10">
        <v>595</v>
      </c>
      <c r="H15" s="11">
        <f t="shared" si="3"/>
        <v>0.42857142857142855</v>
      </c>
      <c r="I15" s="12">
        <f>SUM($D$2:D15)-SUM($G$2:G15)</f>
        <v>103729</v>
      </c>
      <c r="K15" s="13">
        <f t="shared" si="11"/>
        <v>45454</v>
      </c>
      <c r="L15" s="14">
        <f>N15*0.3</f>
        <v>1626</v>
      </c>
      <c r="M15" s="14">
        <f t="shared" si="12"/>
        <v>3794</v>
      </c>
      <c r="N15" s="14">
        <f t="shared" si="13"/>
        <v>5420</v>
      </c>
      <c r="O15" s="14">
        <f t="shared" si="14"/>
        <v>3800</v>
      </c>
      <c r="P15" s="14">
        <f t="shared" si="15"/>
        <v>1620</v>
      </c>
      <c r="Q15" s="14">
        <f t="shared" si="16"/>
        <v>1130</v>
      </c>
    </row>
    <row r="16" spans="1:17" x14ac:dyDescent="0.35">
      <c r="A16" s="31">
        <v>45460</v>
      </c>
      <c r="B16" s="10">
        <f t="shared" si="0"/>
        <v>2991</v>
      </c>
      <c r="C16" s="10">
        <f t="shared" si="1"/>
        <v>6979</v>
      </c>
      <c r="D16" s="10">
        <f t="shared" si="2"/>
        <v>9970</v>
      </c>
      <c r="E16" s="10">
        <v>6740</v>
      </c>
      <c r="F16" s="10">
        <v>3230</v>
      </c>
      <c r="G16" s="10">
        <v>550</v>
      </c>
      <c r="H16" s="11">
        <f t="shared" si="3"/>
        <v>0.42857142857142855</v>
      </c>
      <c r="I16" s="12">
        <f>SUM($D$2:D16)-SUM($G$2:G16)</f>
        <v>113149</v>
      </c>
      <c r="K16" s="15">
        <f t="shared" si="11"/>
        <v>45455</v>
      </c>
      <c r="L16" s="16">
        <f t="shared" ref="L16:L20" si="17">N16*0.3</f>
        <v>919.19999999999993</v>
      </c>
      <c r="M16" s="16">
        <f t="shared" si="12"/>
        <v>2144.8000000000002</v>
      </c>
      <c r="N16" s="16">
        <f t="shared" si="13"/>
        <v>3064</v>
      </c>
      <c r="O16" s="16">
        <f t="shared" si="14"/>
        <v>150</v>
      </c>
      <c r="P16" s="16">
        <f t="shared" si="15"/>
        <v>2914</v>
      </c>
      <c r="Q16" s="16">
        <f t="shared" si="16"/>
        <v>1400</v>
      </c>
    </row>
    <row r="17" spans="1:17" x14ac:dyDescent="0.35">
      <c r="A17" s="31">
        <v>45461</v>
      </c>
      <c r="B17" s="10">
        <f t="shared" si="0"/>
        <v>1587</v>
      </c>
      <c r="C17" s="10">
        <f t="shared" si="1"/>
        <v>3703</v>
      </c>
      <c r="D17" s="10">
        <f t="shared" si="2"/>
        <v>5290</v>
      </c>
      <c r="E17" s="10">
        <v>3790</v>
      </c>
      <c r="F17" s="10">
        <v>1500</v>
      </c>
      <c r="G17" s="10">
        <v>1000</v>
      </c>
      <c r="H17" s="11">
        <f t="shared" si="3"/>
        <v>0.42857142857142855</v>
      </c>
      <c r="I17" s="12">
        <f>SUM($D$2:D17)-SUM($G$2:G17)</f>
        <v>117439</v>
      </c>
      <c r="K17" s="13">
        <f t="shared" si="11"/>
        <v>45456</v>
      </c>
      <c r="L17" s="14">
        <f t="shared" si="17"/>
        <v>2025</v>
      </c>
      <c r="M17" s="14">
        <f t="shared" si="12"/>
        <v>4725</v>
      </c>
      <c r="N17" s="14">
        <f t="shared" si="13"/>
        <v>6750</v>
      </c>
      <c r="O17" s="14">
        <f t="shared" si="14"/>
        <v>4540</v>
      </c>
      <c r="P17" s="14">
        <f t="shared" si="15"/>
        <v>2210</v>
      </c>
      <c r="Q17" s="14">
        <f t="shared" si="16"/>
        <v>1815</v>
      </c>
    </row>
    <row r="18" spans="1:17" x14ac:dyDescent="0.35">
      <c r="A18" s="31">
        <v>45462</v>
      </c>
      <c r="B18" s="10">
        <f t="shared" si="0"/>
        <v>2938.5</v>
      </c>
      <c r="C18" s="10">
        <f t="shared" si="1"/>
        <v>6856.5</v>
      </c>
      <c r="D18" s="10">
        <f t="shared" si="2"/>
        <v>9795</v>
      </c>
      <c r="E18" s="10">
        <v>1630</v>
      </c>
      <c r="F18" s="10">
        <v>8165</v>
      </c>
      <c r="G18" s="10">
        <v>1330</v>
      </c>
      <c r="H18" s="11">
        <f t="shared" si="3"/>
        <v>0.42857142857142855</v>
      </c>
      <c r="I18" s="12">
        <f>SUM($D$2:D18)-SUM($G$2:G18)</f>
        <v>125904</v>
      </c>
      <c r="K18" s="15">
        <f t="shared" si="11"/>
        <v>45457</v>
      </c>
      <c r="L18" s="16">
        <f t="shared" si="17"/>
        <v>1530</v>
      </c>
      <c r="M18" s="16">
        <f t="shared" si="12"/>
        <v>3570</v>
      </c>
      <c r="N18" s="16">
        <f t="shared" si="13"/>
        <v>5100</v>
      </c>
      <c r="O18" s="16">
        <f t="shared" si="14"/>
        <v>2780</v>
      </c>
      <c r="P18" s="16">
        <f t="shared" si="15"/>
        <v>2320</v>
      </c>
      <c r="Q18" s="16">
        <f t="shared" si="16"/>
        <v>2100</v>
      </c>
    </row>
    <row r="19" spans="1:17" x14ac:dyDescent="0.35">
      <c r="A19" s="31">
        <v>45463</v>
      </c>
      <c r="B19" s="10">
        <f t="shared" si="0"/>
        <v>978</v>
      </c>
      <c r="C19" s="10">
        <f t="shared" si="1"/>
        <v>2282</v>
      </c>
      <c r="D19" s="10">
        <f t="shared" si="2"/>
        <v>3260</v>
      </c>
      <c r="E19" s="10">
        <v>1260</v>
      </c>
      <c r="F19" s="10">
        <v>2000</v>
      </c>
      <c r="G19" s="10">
        <v>580</v>
      </c>
      <c r="H19" s="11">
        <f t="shared" si="3"/>
        <v>0.42857142857142855</v>
      </c>
      <c r="I19" s="12">
        <f>SUM($D$2:D19)-SUM($G$2:G19)</f>
        <v>128584</v>
      </c>
      <c r="K19" s="13">
        <f t="shared" si="11"/>
        <v>45458</v>
      </c>
      <c r="L19" s="14">
        <f t="shared" si="17"/>
        <v>2185.5</v>
      </c>
      <c r="M19" s="14">
        <f t="shared" si="12"/>
        <v>5099.5</v>
      </c>
      <c r="N19" s="14">
        <f t="shared" si="13"/>
        <v>7285</v>
      </c>
      <c r="O19" s="14">
        <f t="shared" si="14"/>
        <v>4155</v>
      </c>
      <c r="P19" s="14">
        <f t="shared" si="15"/>
        <v>3130</v>
      </c>
      <c r="Q19" s="14">
        <f t="shared" si="16"/>
        <v>700</v>
      </c>
    </row>
    <row r="20" spans="1:17" x14ac:dyDescent="0.35">
      <c r="A20" s="31">
        <v>45464</v>
      </c>
      <c r="B20" s="10">
        <f t="shared" si="0"/>
        <v>1398</v>
      </c>
      <c r="C20" s="10">
        <f t="shared" si="1"/>
        <v>3262</v>
      </c>
      <c r="D20" s="10">
        <f t="shared" si="2"/>
        <v>4660</v>
      </c>
      <c r="E20" s="10">
        <v>3360</v>
      </c>
      <c r="F20" s="10">
        <v>1300</v>
      </c>
      <c r="G20" s="10">
        <v>1770</v>
      </c>
      <c r="H20" s="11">
        <f t="shared" si="3"/>
        <v>0.42857142857142855</v>
      </c>
      <c r="I20" s="12">
        <f>SUM($D$2:D20)-SUM($G$2:G20)</f>
        <v>131474</v>
      </c>
      <c r="K20" s="15">
        <f t="shared" si="11"/>
        <v>45459</v>
      </c>
      <c r="L20" s="16">
        <f t="shared" si="17"/>
        <v>5484</v>
      </c>
      <c r="M20" s="16">
        <f t="shared" si="12"/>
        <v>12796</v>
      </c>
      <c r="N20" s="16">
        <f t="shared" si="13"/>
        <v>18280</v>
      </c>
      <c r="O20" s="16">
        <f t="shared" si="14"/>
        <v>1530</v>
      </c>
      <c r="P20" s="16">
        <f t="shared" si="15"/>
        <v>16750</v>
      </c>
      <c r="Q20" s="16">
        <f t="shared" si="16"/>
        <v>595</v>
      </c>
    </row>
    <row r="21" spans="1:17" x14ac:dyDescent="0.35">
      <c r="A21" s="31">
        <v>45465</v>
      </c>
      <c r="B21" s="10">
        <f t="shared" si="0"/>
        <v>5808</v>
      </c>
      <c r="C21" s="10">
        <f t="shared" si="1"/>
        <v>13552</v>
      </c>
      <c r="D21" s="10">
        <f t="shared" si="2"/>
        <v>19360</v>
      </c>
      <c r="E21" s="10">
        <v>17340</v>
      </c>
      <c r="F21" s="10">
        <v>2020</v>
      </c>
      <c r="G21" s="10">
        <v>1120</v>
      </c>
      <c r="H21" s="11">
        <f t="shared" si="3"/>
        <v>0.42857142857142855</v>
      </c>
      <c r="I21" s="12">
        <f>SUM($D$2:D21)-SUM($G$2:G21)</f>
        <v>149714</v>
      </c>
      <c r="K21" s="18" t="s">
        <v>3</v>
      </c>
      <c r="L21" s="18">
        <f t="shared" ref="L21:Q21" si="18">SUM(L14:L20)</f>
        <v>30464.7</v>
      </c>
      <c r="M21" s="18">
        <f t="shared" si="18"/>
        <v>71084.3</v>
      </c>
      <c r="N21" s="18">
        <f t="shared" si="18"/>
        <v>101549</v>
      </c>
      <c r="O21" s="18">
        <f t="shared" si="18"/>
        <v>19455</v>
      </c>
      <c r="P21" s="18">
        <f t="shared" si="18"/>
        <v>82094</v>
      </c>
      <c r="Q21" s="18">
        <f t="shared" si="18"/>
        <v>10040</v>
      </c>
    </row>
    <row r="22" spans="1:17" x14ac:dyDescent="0.35">
      <c r="A22" s="31">
        <v>45466</v>
      </c>
      <c r="B22" s="10">
        <f t="shared" si="0"/>
        <v>822</v>
      </c>
      <c r="C22" s="10">
        <f t="shared" si="1"/>
        <v>1918</v>
      </c>
      <c r="D22" s="10">
        <f t="shared" si="2"/>
        <v>2740</v>
      </c>
      <c r="E22" s="10">
        <v>570</v>
      </c>
      <c r="F22" s="10">
        <v>2170</v>
      </c>
      <c r="G22" s="10">
        <v>1350</v>
      </c>
      <c r="H22" s="11">
        <f t="shared" si="3"/>
        <v>0.42857142857142855</v>
      </c>
      <c r="I22" s="12">
        <f>SUM($D$2:D22)-SUM($G$2:G22)</f>
        <v>151104</v>
      </c>
      <c r="K22" s="18" t="s">
        <v>10</v>
      </c>
      <c r="L22" s="18">
        <f>L21/3</f>
        <v>10154.9</v>
      </c>
      <c r="M22" s="18"/>
      <c r="N22" s="18">
        <f>M22+L22</f>
        <v>10154.9</v>
      </c>
      <c r="O22" s="16"/>
      <c r="P22" s="16"/>
      <c r="Q22" s="16"/>
    </row>
    <row r="23" spans="1:17" x14ac:dyDescent="0.35">
      <c r="A23" s="31">
        <v>45467</v>
      </c>
      <c r="B23" s="10">
        <f t="shared" si="0"/>
        <v>1353.6</v>
      </c>
      <c r="C23" s="10">
        <f t="shared" si="1"/>
        <v>3158.4</v>
      </c>
      <c r="D23" s="10">
        <f t="shared" si="2"/>
        <v>4512</v>
      </c>
      <c r="E23" s="10">
        <v>4140</v>
      </c>
      <c r="F23" s="10">
        <v>372</v>
      </c>
      <c r="G23" s="10">
        <v>1100</v>
      </c>
      <c r="H23" s="11">
        <f t="shared" si="3"/>
        <v>0.42857142857142855</v>
      </c>
      <c r="I23" s="12">
        <f>SUM($D$2:D23)-SUM($G$2:G23)</f>
        <v>154516</v>
      </c>
    </row>
    <row r="24" spans="1:17" x14ac:dyDescent="0.35">
      <c r="A24" s="31">
        <v>45468</v>
      </c>
      <c r="B24" s="10">
        <f t="shared" si="0"/>
        <v>4470</v>
      </c>
      <c r="C24" s="10">
        <f t="shared" si="1"/>
        <v>10430</v>
      </c>
      <c r="D24" s="10">
        <f t="shared" si="2"/>
        <v>14900</v>
      </c>
      <c r="E24" s="10">
        <v>14500</v>
      </c>
      <c r="F24" s="10">
        <v>400</v>
      </c>
      <c r="G24" s="10">
        <v>1850</v>
      </c>
      <c r="H24" s="11">
        <f t="shared" si="3"/>
        <v>0.42857142857142855</v>
      </c>
      <c r="I24" s="12">
        <f>SUM($D$2:D24)-SUM($G$2:G24)</f>
        <v>167566</v>
      </c>
      <c r="K24" s="19" t="s">
        <v>0</v>
      </c>
      <c r="L24" s="20" t="s">
        <v>1</v>
      </c>
      <c r="M24" s="20" t="s">
        <v>2</v>
      </c>
      <c r="N24" s="20" t="s">
        <v>3</v>
      </c>
      <c r="O24" s="20" t="s">
        <v>4</v>
      </c>
      <c r="P24" s="20" t="s">
        <v>5</v>
      </c>
      <c r="Q24" s="20" t="s">
        <v>6</v>
      </c>
    </row>
    <row r="25" spans="1:17" x14ac:dyDescent="0.35">
      <c r="A25" s="31">
        <v>45469</v>
      </c>
      <c r="B25" s="10">
        <f t="shared" si="0"/>
        <v>5199</v>
      </c>
      <c r="C25" s="10">
        <f t="shared" si="1"/>
        <v>12131</v>
      </c>
      <c r="D25" s="10">
        <f t="shared" si="2"/>
        <v>17330</v>
      </c>
      <c r="E25" s="10">
        <v>2000</v>
      </c>
      <c r="F25" s="10">
        <v>15330</v>
      </c>
      <c r="G25" s="10">
        <v>3050</v>
      </c>
      <c r="H25" s="11">
        <f t="shared" si="3"/>
        <v>0.42857142857142855</v>
      </c>
      <c r="I25" s="12">
        <f>SUM($D$2:D25)-SUM($G$2:G25)</f>
        <v>181846</v>
      </c>
      <c r="K25" s="15">
        <f t="shared" ref="K25:K31" si="19">A16</f>
        <v>45460</v>
      </c>
      <c r="L25" s="16">
        <f>N25*0.3</f>
        <v>2991</v>
      </c>
      <c r="M25" s="16">
        <f t="shared" ref="M25:M31" si="20">N25-L25</f>
        <v>6979</v>
      </c>
      <c r="N25" s="16">
        <f t="shared" ref="N25:N31" si="21">O25+P25</f>
        <v>9970</v>
      </c>
      <c r="O25" s="16">
        <f t="shared" ref="O25:O31" si="22">VLOOKUP(K25,$A$1:$H$37,5,0)</f>
        <v>6740</v>
      </c>
      <c r="P25" s="16">
        <f t="shared" ref="P25:P31" si="23">VLOOKUP(K25,$A$1:$H$37,6,0)</f>
        <v>3230</v>
      </c>
      <c r="Q25" s="16">
        <f t="shared" ref="Q25:Q31" si="24">VLOOKUP(K25,$A$1:$H$37,7,0)</f>
        <v>550</v>
      </c>
    </row>
    <row r="26" spans="1:17" x14ac:dyDescent="0.35">
      <c r="A26" s="31">
        <v>45470</v>
      </c>
      <c r="B26" s="10">
        <f t="shared" si="0"/>
        <v>6876</v>
      </c>
      <c r="C26" s="10">
        <f t="shared" si="1"/>
        <v>16044</v>
      </c>
      <c r="D26" s="10">
        <f t="shared" si="2"/>
        <v>22920</v>
      </c>
      <c r="E26" s="10">
        <v>9000</v>
      </c>
      <c r="F26" s="10">
        <v>13920</v>
      </c>
      <c r="G26" s="10">
        <v>3000</v>
      </c>
      <c r="H26" s="11">
        <f t="shared" si="3"/>
        <v>0.42857142857142855</v>
      </c>
      <c r="I26" s="12">
        <f>SUM($D$2:D26)-SUM($G$2:G26)</f>
        <v>201766</v>
      </c>
      <c r="K26" s="13">
        <f t="shared" si="19"/>
        <v>45461</v>
      </c>
      <c r="L26" s="14">
        <f>N26*0.3</f>
        <v>1587</v>
      </c>
      <c r="M26" s="14">
        <f t="shared" si="20"/>
        <v>3703</v>
      </c>
      <c r="N26" s="14">
        <f t="shared" si="21"/>
        <v>5290</v>
      </c>
      <c r="O26" s="14">
        <f t="shared" si="22"/>
        <v>3790</v>
      </c>
      <c r="P26" s="14">
        <f t="shared" si="23"/>
        <v>1500</v>
      </c>
      <c r="Q26" s="14">
        <f t="shared" si="24"/>
        <v>1000</v>
      </c>
    </row>
    <row r="27" spans="1:17" x14ac:dyDescent="0.35">
      <c r="A27" s="31">
        <v>45471</v>
      </c>
      <c r="B27" s="10">
        <f t="shared" si="0"/>
        <v>7680</v>
      </c>
      <c r="C27" s="10">
        <f t="shared" si="1"/>
        <v>17920</v>
      </c>
      <c r="D27" s="10">
        <f t="shared" si="2"/>
        <v>25600</v>
      </c>
      <c r="E27" s="10">
        <v>5250</v>
      </c>
      <c r="F27" s="10">
        <f>14050+6300</f>
        <v>20350</v>
      </c>
      <c r="G27" s="10">
        <v>1630</v>
      </c>
      <c r="H27" s="11">
        <f t="shared" si="3"/>
        <v>0.42857142857142855</v>
      </c>
      <c r="I27" s="12">
        <f>SUM($D$2:D27)-SUM($G$2:G27)</f>
        <v>225736</v>
      </c>
      <c r="K27" s="15">
        <f t="shared" si="19"/>
        <v>45462</v>
      </c>
      <c r="L27" s="16">
        <f t="shared" ref="L27:L31" si="25">N27*0.3</f>
        <v>2938.5</v>
      </c>
      <c r="M27" s="16">
        <f t="shared" si="20"/>
        <v>6856.5</v>
      </c>
      <c r="N27" s="16">
        <f t="shared" si="21"/>
        <v>9795</v>
      </c>
      <c r="O27" s="16">
        <f t="shared" si="22"/>
        <v>1630</v>
      </c>
      <c r="P27" s="16">
        <f t="shared" si="23"/>
        <v>8165</v>
      </c>
      <c r="Q27" s="16">
        <f t="shared" si="24"/>
        <v>1330</v>
      </c>
    </row>
    <row r="28" spans="1:17" x14ac:dyDescent="0.35">
      <c r="A28" s="31">
        <v>45472</v>
      </c>
      <c r="B28" s="10">
        <f t="shared" si="0"/>
        <v>9184.5</v>
      </c>
      <c r="C28" s="10">
        <f t="shared" si="1"/>
        <v>21430.5</v>
      </c>
      <c r="D28" s="10">
        <f t="shared" si="2"/>
        <v>30615</v>
      </c>
      <c r="E28" s="10">
        <v>24665</v>
      </c>
      <c r="F28" s="10">
        <v>5950</v>
      </c>
      <c r="G28" s="10">
        <v>800</v>
      </c>
      <c r="H28" s="11">
        <f t="shared" si="3"/>
        <v>0.42857142857142855</v>
      </c>
      <c r="I28" s="12">
        <f>SUM($D$2:D28)-SUM($G$2:G28)</f>
        <v>255551</v>
      </c>
      <c r="K28" s="13">
        <f t="shared" si="19"/>
        <v>45463</v>
      </c>
      <c r="L28" s="14">
        <f>N28*0.3</f>
        <v>978</v>
      </c>
      <c r="M28" s="14">
        <f t="shared" si="20"/>
        <v>2282</v>
      </c>
      <c r="N28" s="14">
        <f t="shared" si="21"/>
        <v>3260</v>
      </c>
      <c r="O28" s="14">
        <f t="shared" si="22"/>
        <v>1260</v>
      </c>
      <c r="P28" s="14">
        <f t="shared" si="23"/>
        <v>2000</v>
      </c>
      <c r="Q28" s="14">
        <f t="shared" si="24"/>
        <v>580</v>
      </c>
    </row>
    <row r="29" spans="1:17" x14ac:dyDescent="0.35">
      <c r="A29" s="31">
        <v>45473</v>
      </c>
      <c r="B29" s="10">
        <f t="shared" si="0"/>
        <v>3015</v>
      </c>
      <c r="C29" s="10">
        <f t="shared" si="1"/>
        <v>7035</v>
      </c>
      <c r="D29" s="10">
        <f t="shared" si="2"/>
        <v>10050</v>
      </c>
      <c r="E29" s="10">
        <v>5000</v>
      </c>
      <c r="F29" s="10">
        <v>5050</v>
      </c>
      <c r="G29" s="10">
        <v>2620</v>
      </c>
      <c r="H29" s="11">
        <f t="shared" si="3"/>
        <v>0.42857142857142855</v>
      </c>
      <c r="I29" s="12">
        <f>SUM($D$2:D29)-SUM($G$2:G29)</f>
        <v>262981</v>
      </c>
      <c r="K29" s="15">
        <f t="shared" si="19"/>
        <v>45464</v>
      </c>
      <c r="L29" s="16">
        <f t="shared" si="25"/>
        <v>1398</v>
      </c>
      <c r="M29" s="16">
        <f t="shared" si="20"/>
        <v>3262</v>
      </c>
      <c r="N29" s="16">
        <f t="shared" si="21"/>
        <v>4660</v>
      </c>
      <c r="O29" s="16">
        <f t="shared" si="22"/>
        <v>3360</v>
      </c>
      <c r="P29" s="16">
        <f t="shared" si="23"/>
        <v>1300</v>
      </c>
      <c r="Q29" s="16">
        <f t="shared" si="24"/>
        <v>1770</v>
      </c>
    </row>
    <row r="30" spans="1:17" x14ac:dyDescent="0.35">
      <c r="A30" s="31">
        <v>45474</v>
      </c>
      <c r="B30" s="10">
        <f t="shared" si="0"/>
        <v>2166</v>
      </c>
      <c r="C30" s="10">
        <f t="shared" si="1"/>
        <v>5054</v>
      </c>
      <c r="D30" s="10">
        <f t="shared" si="2"/>
        <v>7220</v>
      </c>
      <c r="E30" s="10">
        <v>1600</v>
      </c>
      <c r="F30" s="10">
        <v>5620</v>
      </c>
      <c r="G30" s="10">
        <v>1960</v>
      </c>
      <c r="H30" s="11">
        <f t="shared" si="3"/>
        <v>0.42857142857142855</v>
      </c>
      <c r="I30" s="12">
        <f>SUM($D$2:D30)-SUM($G$2:G30)</f>
        <v>268241</v>
      </c>
      <c r="K30" s="13">
        <f t="shared" si="19"/>
        <v>45465</v>
      </c>
      <c r="L30" s="14">
        <f t="shared" si="25"/>
        <v>5808</v>
      </c>
      <c r="M30" s="14">
        <f t="shared" si="20"/>
        <v>13552</v>
      </c>
      <c r="N30" s="14">
        <f t="shared" si="21"/>
        <v>19360</v>
      </c>
      <c r="O30" s="14">
        <f t="shared" si="22"/>
        <v>17340</v>
      </c>
      <c r="P30" s="14">
        <f t="shared" si="23"/>
        <v>2020</v>
      </c>
      <c r="Q30" s="14">
        <f t="shared" si="24"/>
        <v>1120</v>
      </c>
    </row>
    <row r="31" spans="1:17" x14ac:dyDescent="0.35">
      <c r="A31" s="31">
        <v>45475</v>
      </c>
      <c r="B31" s="10">
        <f t="shared" si="0"/>
        <v>8101.5</v>
      </c>
      <c r="C31" s="10">
        <f t="shared" si="1"/>
        <v>18903.5</v>
      </c>
      <c r="D31" s="10">
        <f t="shared" si="2"/>
        <v>27005</v>
      </c>
      <c r="E31" s="10">
        <v>7460</v>
      </c>
      <c r="F31" s="10">
        <v>19545</v>
      </c>
      <c r="G31" s="10">
        <v>21560</v>
      </c>
      <c r="H31" s="11">
        <f t="shared" si="3"/>
        <v>0.42857142857142855</v>
      </c>
      <c r="I31" s="12">
        <f>SUM($D$2:D31)-SUM($G$2:G31)</f>
        <v>273686</v>
      </c>
      <c r="K31" s="15">
        <f t="shared" si="19"/>
        <v>45466</v>
      </c>
      <c r="L31" s="16">
        <f t="shared" si="25"/>
        <v>822</v>
      </c>
      <c r="M31" s="16">
        <f t="shared" si="20"/>
        <v>1918</v>
      </c>
      <c r="N31" s="16">
        <f t="shared" si="21"/>
        <v>2740</v>
      </c>
      <c r="O31" s="16">
        <f t="shared" si="22"/>
        <v>570</v>
      </c>
      <c r="P31" s="16">
        <f t="shared" si="23"/>
        <v>2170</v>
      </c>
      <c r="Q31" s="16">
        <f t="shared" si="24"/>
        <v>1350</v>
      </c>
    </row>
    <row r="32" spans="1:17" x14ac:dyDescent="0.35">
      <c r="A32" s="31">
        <v>45476</v>
      </c>
      <c r="B32" s="10">
        <f t="shared" si="0"/>
        <v>6441</v>
      </c>
      <c r="C32" s="10">
        <f t="shared" si="1"/>
        <v>15029</v>
      </c>
      <c r="D32" s="10">
        <f t="shared" si="2"/>
        <v>21470</v>
      </c>
      <c r="E32" s="17">
        <v>1570</v>
      </c>
      <c r="F32" s="17">
        <v>19900</v>
      </c>
      <c r="G32" s="17">
        <v>2500</v>
      </c>
      <c r="H32" s="11">
        <f t="shared" si="3"/>
        <v>0.42857142857142855</v>
      </c>
      <c r="I32" s="12">
        <f>SUM($D$2:D32)-SUM($G$2:G32)</f>
        <v>292656</v>
      </c>
      <c r="K32" s="18" t="s">
        <v>3</v>
      </c>
      <c r="L32" s="16">
        <f t="shared" ref="L32:Q32" si="26">SUM(L25:L31)</f>
        <v>16522.5</v>
      </c>
      <c r="M32" s="16">
        <f t="shared" si="26"/>
        <v>38552.5</v>
      </c>
      <c r="N32" s="16">
        <f t="shared" si="26"/>
        <v>55075</v>
      </c>
      <c r="O32" s="16">
        <f t="shared" si="26"/>
        <v>34690</v>
      </c>
      <c r="P32" s="16">
        <f t="shared" si="26"/>
        <v>20385</v>
      </c>
      <c r="Q32" s="16">
        <f t="shared" si="26"/>
        <v>7700</v>
      </c>
    </row>
    <row r="33" spans="1:17" x14ac:dyDescent="0.35">
      <c r="A33" s="31">
        <v>45477</v>
      </c>
      <c r="B33" s="10">
        <f t="shared" si="0"/>
        <v>5046</v>
      </c>
      <c r="C33" s="10">
        <f t="shared" si="1"/>
        <v>11774</v>
      </c>
      <c r="D33" s="10">
        <f t="shared" si="2"/>
        <v>16820</v>
      </c>
      <c r="E33" s="10">
        <v>2820</v>
      </c>
      <c r="F33" s="10">
        <v>14000</v>
      </c>
      <c r="G33" s="10">
        <v>3800</v>
      </c>
      <c r="H33" s="11">
        <f t="shared" si="3"/>
        <v>0.42857142857142855</v>
      </c>
      <c r="I33" s="12">
        <f>SUM($D$2:D33)-SUM($G$2:G33)</f>
        <v>305676</v>
      </c>
      <c r="K33" s="18" t="s">
        <v>10</v>
      </c>
      <c r="L33" s="14">
        <f>L32/3</f>
        <v>5507.5</v>
      </c>
      <c r="M33" s="14"/>
      <c r="N33" s="14"/>
      <c r="O33" s="14"/>
      <c r="P33" s="14"/>
      <c r="Q33" s="14"/>
    </row>
    <row r="34" spans="1:17" x14ac:dyDescent="0.35">
      <c r="A34" s="31">
        <v>45478</v>
      </c>
      <c r="B34" s="10">
        <f t="shared" si="0"/>
        <v>4940.0999999999995</v>
      </c>
      <c r="C34" s="10">
        <f t="shared" si="1"/>
        <v>11526.900000000001</v>
      </c>
      <c r="D34" s="10">
        <f t="shared" si="2"/>
        <v>16467</v>
      </c>
      <c r="E34" s="10">
        <v>3640</v>
      </c>
      <c r="F34" s="10">
        <v>12827</v>
      </c>
      <c r="G34" s="10">
        <v>600</v>
      </c>
      <c r="H34" s="11">
        <f t="shared" si="3"/>
        <v>0.42857142857142849</v>
      </c>
      <c r="I34" s="12">
        <f>SUM($D$2:D34)-SUM($G$2:G34)</f>
        <v>321543</v>
      </c>
    </row>
    <row r="35" spans="1:17" x14ac:dyDescent="0.35">
      <c r="A35" s="31">
        <v>45479</v>
      </c>
      <c r="B35" s="10">
        <f t="shared" si="0"/>
        <v>4092</v>
      </c>
      <c r="C35" s="10">
        <f t="shared" si="1"/>
        <v>9548</v>
      </c>
      <c r="D35" s="10">
        <f t="shared" si="2"/>
        <v>13640</v>
      </c>
      <c r="E35" s="17">
        <v>4000</v>
      </c>
      <c r="F35" s="17">
        <v>9640</v>
      </c>
      <c r="G35" s="17">
        <f>4400+540</f>
        <v>4940</v>
      </c>
      <c r="H35" s="11">
        <f t="shared" si="3"/>
        <v>0.42857142857142855</v>
      </c>
      <c r="I35" s="12">
        <f>SUM($D$2:D35)-SUM($G$2:G35)</f>
        <v>330243</v>
      </c>
      <c r="K35" s="19" t="s">
        <v>0</v>
      </c>
      <c r="L35" s="20" t="s">
        <v>1</v>
      </c>
      <c r="M35" s="20" t="s">
        <v>2</v>
      </c>
      <c r="N35" s="20" t="s">
        <v>3</v>
      </c>
      <c r="O35" s="20" t="s">
        <v>4</v>
      </c>
      <c r="P35" s="20" t="s">
        <v>5</v>
      </c>
      <c r="Q35" s="20" t="s">
        <v>6</v>
      </c>
    </row>
    <row r="36" spans="1:17" x14ac:dyDescent="0.35">
      <c r="A36" s="31">
        <v>45480</v>
      </c>
      <c r="B36" s="10">
        <f t="shared" si="0"/>
        <v>0</v>
      </c>
      <c r="C36" s="10">
        <f t="shared" si="1"/>
        <v>0</v>
      </c>
      <c r="D36" s="10">
        <f t="shared" si="2"/>
        <v>0</v>
      </c>
      <c r="E36" s="17"/>
      <c r="F36" s="17"/>
      <c r="G36" s="17"/>
      <c r="H36" s="11">
        <f t="shared" si="3"/>
        <v>0</v>
      </c>
      <c r="I36" s="12">
        <f>SUM($D$2:D36)-SUM($G$2:G36)</f>
        <v>330243</v>
      </c>
      <c r="K36" s="13">
        <f t="shared" ref="K36:K42" si="27">A23</f>
        <v>45467</v>
      </c>
      <c r="L36" s="16">
        <f>N36*0.3</f>
        <v>1353.6</v>
      </c>
      <c r="M36" s="16">
        <f t="shared" ref="M36:M42" si="28">N36-L36</f>
        <v>3158.4</v>
      </c>
      <c r="N36" s="16">
        <f t="shared" ref="N36:N42" si="29">O36+P36</f>
        <v>4512</v>
      </c>
      <c r="O36" s="16">
        <f t="shared" ref="O36:O42" si="30">VLOOKUP(K36,$A$1:$H$37,5,0)</f>
        <v>4140</v>
      </c>
      <c r="P36" s="16">
        <f t="shared" ref="P36:P42" si="31">VLOOKUP(K36,$A$1:$H$37,6,0)</f>
        <v>372</v>
      </c>
      <c r="Q36" s="16">
        <f t="shared" ref="Q36:Q42" si="32">VLOOKUP(K36,$A$1:$H$37,7,0)</f>
        <v>1100</v>
      </c>
    </row>
    <row r="37" spans="1:17" ht="15" thickBot="1" x14ac:dyDescent="0.4">
      <c r="A37" s="21" t="s">
        <v>3</v>
      </c>
      <c r="B37" s="22">
        <f>SUBTOTAL(109,Table2345345687911121514161718192021222324252627283456789101134567[Profit])</f>
        <v>132456.9</v>
      </c>
      <c r="C37" s="22">
        <f>SUBTOTAL(109,Table2345345687911121514161718192021222324252627283456789101134567[Profit])</f>
        <v>132456.9</v>
      </c>
      <c r="D37" s="22">
        <f>SUBTOTAL(109,Table2345345687911121514161718192021222324252627283456789101134567[Total])</f>
        <v>441523</v>
      </c>
      <c r="E37" s="22">
        <f>SUBTOTAL(109,Table2345345687911121514161718192021222324252627283456789101134567[Profit])</f>
        <v>132456.9</v>
      </c>
      <c r="F37" s="22">
        <f>SUBTOTAL(109,Table2345345687911121514161718192021222324252627283456789101134567[Profit])</f>
        <v>132456.9</v>
      </c>
      <c r="G37" s="22">
        <f t="shared" ref="G37:I37" si="33">SUM(G4:G36)</f>
        <v>107950</v>
      </c>
      <c r="H37" s="22">
        <f t="shared" si="33"/>
        <v>13.714285714285719</v>
      </c>
      <c r="I37" s="22">
        <f t="shared" si="33"/>
        <v>5034343</v>
      </c>
      <c r="K37" s="13">
        <f t="shared" si="27"/>
        <v>45468</v>
      </c>
      <c r="L37" s="14">
        <f>N37*0.3</f>
        <v>4470</v>
      </c>
      <c r="M37" s="14">
        <f t="shared" si="28"/>
        <v>10430</v>
      </c>
      <c r="N37" s="14">
        <f t="shared" si="29"/>
        <v>14900</v>
      </c>
      <c r="O37" s="14">
        <f t="shared" si="30"/>
        <v>14500</v>
      </c>
      <c r="P37" s="14">
        <f t="shared" si="31"/>
        <v>400</v>
      </c>
      <c r="Q37" s="14">
        <f t="shared" si="32"/>
        <v>1850</v>
      </c>
    </row>
    <row r="38" spans="1:17" x14ac:dyDescent="0.35">
      <c r="A38" s="23"/>
      <c r="B38" s="24">
        <f>B37/3</f>
        <v>44152.299999999996</v>
      </c>
      <c r="C38" s="24"/>
      <c r="E38" s="26">
        <f>D37*0.42</f>
        <v>185439.66</v>
      </c>
      <c r="F38" s="24"/>
      <c r="G38" s="24"/>
      <c r="H38" s="27"/>
      <c r="K38" s="15">
        <f t="shared" si="27"/>
        <v>45469</v>
      </c>
      <c r="L38" s="16">
        <f t="shared" ref="L38:L42" si="34">N38*0.3</f>
        <v>5199</v>
      </c>
      <c r="M38" s="16">
        <f t="shared" si="28"/>
        <v>12131</v>
      </c>
      <c r="N38" s="16">
        <f t="shared" si="29"/>
        <v>17330</v>
      </c>
      <c r="O38" s="16">
        <f t="shared" si="30"/>
        <v>2000</v>
      </c>
      <c r="P38" s="16">
        <f t="shared" si="31"/>
        <v>15330</v>
      </c>
      <c r="Q38" s="16">
        <f t="shared" si="32"/>
        <v>3050</v>
      </c>
    </row>
    <row r="39" spans="1:17" x14ac:dyDescent="0.35">
      <c r="A39" s="23"/>
      <c r="B39" s="24">
        <f>B38*100/D37</f>
        <v>10</v>
      </c>
      <c r="C39" s="24"/>
      <c r="E39" s="24">
        <f>E38/3</f>
        <v>61813.22</v>
      </c>
      <c r="F39" s="24"/>
      <c r="G39" s="24"/>
      <c r="H39" s="27"/>
      <c r="K39" s="13">
        <f t="shared" si="27"/>
        <v>45470</v>
      </c>
      <c r="L39" s="14">
        <f t="shared" si="34"/>
        <v>6876</v>
      </c>
      <c r="M39" s="14">
        <f t="shared" si="28"/>
        <v>16044</v>
      </c>
      <c r="N39" s="14">
        <f t="shared" si="29"/>
        <v>22920</v>
      </c>
      <c r="O39" s="14">
        <f t="shared" si="30"/>
        <v>9000</v>
      </c>
      <c r="P39" s="14">
        <f t="shared" si="31"/>
        <v>13920</v>
      </c>
      <c r="Q39" s="14">
        <f t="shared" si="32"/>
        <v>3000</v>
      </c>
    </row>
    <row r="40" spans="1:17" x14ac:dyDescent="0.35">
      <c r="A40" s="19" t="s">
        <v>0</v>
      </c>
      <c r="B40" s="20" t="s">
        <v>1</v>
      </c>
      <c r="C40" s="20" t="s">
        <v>2</v>
      </c>
      <c r="D40" s="20" t="s">
        <v>3</v>
      </c>
      <c r="E40" s="20" t="s">
        <v>4</v>
      </c>
      <c r="F40" s="20" t="s">
        <v>5</v>
      </c>
      <c r="G40" s="20" t="s">
        <v>6</v>
      </c>
      <c r="H40" s="28" t="s">
        <v>10</v>
      </c>
      <c r="K40" s="15">
        <f t="shared" si="27"/>
        <v>45471</v>
      </c>
      <c r="L40" s="16">
        <f t="shared" si="34"/>
        <v>7680</v>
      </c>
      <c r="M40" s="16">
        <f t="shared" si="28"/>
        <v>17920</v>
      </c>
      <c r="N40" s="16">
        <f t="shared" si="29"/>
        <v>25600</v>
      </c>
      <c r="O40" s="16">
        <f t="shared" si="30"/>
        <v>5250</v>
      </c>
      <c r="P40" s="16">
        <f t="shared" si="31"/>
        <v>20350</v>
      </c>
      <c r="Q40" s="16">
        <f t="shared" si="32"/>
        <v>1630</v>
      </c>
    </row>
    <row r="41" spans="1:17" x14ac:dyDescent="0.35">
      <c r="A41" s="29" t="str">
        <f>CONCATENATE(TEXT(K3,"DD-MMM-YYY")," to ",TEXT(K9,"DD-MMM-YYYY"))</f>
        <v>03-Jun-2024 to 09-Jun-2024</v>
      </c>
      <c r="B41" s="16">
        <f>L10</f>
        <v>16905</v>
      </c>
      <c r="C41" s="16">
        <f t="shared" ref="C41:G41" si="35">M10</f>
        <v>35308</v>
      </c>
      <c r="D41" s="16">
        <f t="shared" si="35"/>
        <v>56350</v>
      </c>
      <c r="E41" s="16">
        <f t="shared" si="35"/>
        <v>30260</v>
      </c>
      <c r="F41" s="16">
        <f t="shared" si="35"/>
        <v>26090</v>
      </c>
      <c r="G41" s="16">
        <f t="shared" si="35"/>
        <v>44130</v>
      </c>
      <c r="H41" s="16">
        <f>B41/3</f>
        <v>5635</v>
      </c>
      <c r="K41" s="13">
        <f t="shared" si="27"/>
        <v>45472</v>
      </c>
      <c r="L41" s="14">
        <f t="shared" si="34"/>
        <v>9184.5</v>
      </c>
      <c r="M41" s="14">
        <f t="shared" si="28"/>
        <v>21430.5</v>
      </c>
      <c r="N41" s="14">
        <f t="shared" si="29"/>
        <v>30615</v>
      </c>
      <c r="O41" s="14">
        <f t="shared" si="30"/>
        <v>24665</v>
      </c>
      <c r="P41" s="14">
        <f t="shared" si="31"/>
        <v>5950</v>
      </c>
      <c r="Q41" s="14">
        <f t="shared" si="32"/>
        <v>800</v>
      </c>
    </row>
    <row r="42" spans="1:17" x14ac:dyDescent="0.35">
      <c r="A42" s="29" t="str">
        <f>CONCATENATE(TEXT(K14,"DD-MMM-YYY")," to ",TEXT(K20,"DD-MMM-YYYY"))</f>
        <v>10-Jun-2024 to 16-Jun-2024</v>
      </c>
      <c r="B42" s="14">
        <f>L21</f>
        <v>30464.7</v>
      </c>
      <c r="C42" s="14">
        <f t="shared" ref="C42:G42" si="36">M21</f>
        <v>71084.3</v>
      </c>
      <c r="D42" s="14">
        <f t="shared" si="36"/>
        <v>101549</v>
      </c>
      <c r="E42" s="14">
        <f t="shared" si="36"/>
        <v>19455</v>
      </c>
      <c r="F42" s="14">
        <f t="shared" si="36"/>
        <v>82094</v>
      </c>
      <c r="G42" s="14">
        <f t="shared" si="36"/>
        <v>10040</v>
      </c>
      <c r="H42" s="16">
        <f t="shared" ref="H42:H45" si="37">B42/3</f>
        <v>10154.9</v>
      </c>
      <c r="K42" s="15">
        <f t="shared" si="27"/>
        <v>45473</v>
      </c>
      <c r="L42" s="16">
        <f t="shared" si="34"/>
        <v>3015</v>
      </c>
      <c r="M42" s="16">
        <f t="shared" si="28"/>
        <v>7035</v>
      </c>
      <c r="N42" s="16">
        <f t="shared" si="29"/>
        <v>10050</v>
      </c>
      <c r="O42" s="16">
        <f t="shared" si="30"/>
        <v>5000</v>
      </c>
      <c r="P42" s="16">
        <f t="shared" si="31"/>
        <v>5050</v>
      </c>
      <c r="Q42" s="16">
        <f t="shared" si="32"/>
        <v>2620</v>
      </c>
    </row>
    <row r="43" spans="1:17" x14ac:dyDescent="0.35">
      <c r="A43" s="29" t="str">
        <f>CONCATENATE(TEXT(K25,"DD-MMM-YYY")," to ",TEXT(K31,"DD-MMM-YYYY"))</f>
        <v>17-Jun-2024 to 23-Jun-2024</v>
      </c>
      <c r="B43" s="16">
        <f>L32</f>
        <v>16522.5</v>
      </c>
      <c r="C43" s="16">
        <f t="shared" ref="C43:G43" si="38">M32</f>
        <v>38552.5</v>
      </c>
      <c r="D43" s="16">
        <f t="shared" si="38"/>
        <v>55075</v>
      </c>
      <c r="E43" s="16">
        <f t="shared" si="38"/>
        <v>34690</v>
      </c>
      <c r="F43" s="16">
        <f t="shared" si="38"/>
        <v>20385</v>
      </c>
      <c r="G43" s="16">
        <f t="shared" si="38"/>
        <v>7700</v>
      </c>
      <c r="H43" s="16">
        <f t="shared" si="37"/>
        <v>5507.5</v>
      </c>
      <c r="K43" s="18" t="s">
        <v>3</v>
      </c>
      <c r="L43" s="16">
        <f t="shared" ref="L43" si="39">SUM(L36:L42)</f>
        <v>37778.1</v>
      </c>
      <c r="M43" s="14">
        <f t="shared" ref="M43:Q43" si="40">SUM(M36:M42)</f>
        <v>88148.9</v>
      </c>
      <c r="N43" s="14">
        <f t="shared" si="40"/>
        <v>125927</v>
      </c>
      <c r="O43" s="14">
        <f t="shared" si="40"/>
        <v>64555</v>
      </c>
      <c r="P43" s="14">
        <f t="shared" si="40"/>
        <v>61372</v>
      </c>
      <c r="Q43" s="14">
        <f t="shared" si="40"/>
        <v>14050</v>
      </c>
    </row>
    <row r="44" spans="1:17" x14ac:dyDescent="0.35">
      <c r="A44" s="29" t="str">
        <f>CONCATENATE(TEXT(K36,"DD-MMM-YYY")," to ",TEXT(K42,"DD-MMM-YYYY"))</f>
        <v>24-Jun-2024 to 30-Jun-2024</v>
      </c>
      <c r="B44" s="14">
        <f>L43</f>
        <v>37778.1</v>
      </c>
      <c r="C44" s="14">
        <f t="shared" ref="C44:G44" si="41">M43</f>
        <v>88148.9</v>
      </c>
      <c r="D44" s="14">
        <f t="shared" si="41"/>
        <v>125927</v>
      </c>
      <c r="E44" s="14">
        <f t="shared" si="41"/>
        <v>64555</v>
      </c>
      <c r="F44" s="14">
        <f t="shared" si="41"/>
        <v>61372</v>
      </c>
      <c r="G44" s="14">
        <f t="shared" si="41"/>
        <v>14050</v>
      </c>
      <c r="H44" s="16">
        <f t="shared" si="37"/>
        <v>12592.699999999999</v>
      </c>
      <c r="K44" s="18" t="s">
        <v>10</v>
      </c>
      <c r="L44" s="16">
        <f>L43/3</f>
        <v>12592.699999999999</v>
      </c>
      <c r="M44" s="16"/>
      <c r="N44" s="16"/>
      <c r="O44" s="16"/>
      <c r="P44" s="16"/>
      <c r="Q44" s="16"/>
    </row>
    <row r="45" spans="1:17" x14ac:dyDescent="0.35">
      <c r="A45" s="29" t="str">
        <f>CONCATENATE(TEXT(K47,"DD-MMM-YYY")," to ",TEXT(K53,"DD-MMM-YYYY"))</f>
        <v>01-Jul-2024 to 07-Jul-2024</v>
      </c>
      <c r="B45" s="16">
        <f>L54</f>
        <v>30786.6</v>
      </c>
      <c r="C45" s="16">
        <f t="shared" ref="C45:G45" si="42">M54</f>
        <v>71835.399999999994</v>
      </c>
      <c r="D45" s="16">
        <f t="shared" si="42"/>
        <v>102622</v>
      </c>
      <c r="E45" s="16">
        <f t="shared" si="42"/>
        <v>21090</v>
      </c>
      <c r="F45" s="16">
        <f t="shared" si="42"/>
        <v>81532</v>
      </c>
      <c r="G45" s="16">
        <f t="shared" si="42"/>
        <v>35360</v>
      </c>
      <c r="H45" s="16">
        <f t="shared" si="37"/>
        <v>10262.199999999999</v>
      </c>
    </row>
    <row r="46" spans="1:17" x14ac:dyDescent="0.35">
      <c r="A46" s="29" t="str">
        <f>CONCATENATE(TEXT(K59,"DD-MMM-YYY")," to ",TEXT(K58,"DD-MMM-YYYY"))</f>
        <v>07-Jun-2024 to Date</v>
      </c>
      <c r="B46" s="14">
        <f>SUM(B41:B45)</f>
        <v>132456.9</v>
      </c>
      <c r="C46" s="14">
        <f t="shared" ref="C46:H46" si="43">SUM(C41:C45)</f>
        <v>304929.09999999998</v>
      </c>
      <c r="D46" s="14">
        <f t="shared" si="43"/>
        <v>441523</v>
      </c>
      <c r="E46" s="14">
        <f t="shared" si="43"/>
        <v>170050</v>
      </c>
      <c r="F46" s="14">
        <f t="shared" si="43"/>
        <v>271473</v>
      </c>
      <c r="G46" s="14">
        <f t="shared" si="43"/>
        <v>111280</v>
      </c>
      <c r="H46" s="14">
        <f t="shared" si="43"/>
        <v>44152.299999999996</v>
      </c>
      <c r="K46" s="19" t="s">
        <v>0</v>
      </c>
      <c r="L46" s="20" t="s">
        <v>1</v>
      </c>
      <c r="M46" s="20" t="s">
        <v>2</v>
      </c>
      <c r="N46" s="20" t="s">
        <v>3</v>
      </c>
      <c r="O46" s="20" t="s">
        <v>4</v>
      </c>
      <c r="P46" s="20" t="s">
        <v>5</v>
      </c>
      <c r="Q46" s="20" t="s">
        <v>6</v>
      </c>
    </row>
    <row r="47" spans="1:17" x14ac:dyDescent="0.35">
      <c r="C47" s="65" t="s">
        <v>3</v>
      </c>
      <c r="D47" s="65"/>
      <c r="E47" s="65"/>
      <c r="F47" s="65"/>
      <c r="G47" s="66"/>
      <c r="H47" s="16"/>
      <c r="K47" s="15">
        <f t="shared" ref="K47:K53" si="44">A30</f>
        <v>45474</v>
      </c>
      <c r="L47" s="16">
        <f>N47*0.3</f>
        <v>2166</v>
      </c>
      <c r="M47" s="16">
        <f t="shared" ref="M47:M53" si="45">N47-L47</f>
        <v>5054</v>
      </c>
      <c r="N47" s="16">
        <f t="shared" ref="N47:N53" si="46">O47+P47</f>
        <v>7220</v>
      </c>
      <c r="O47" s="16">
        <f t="shared" ref="O47:O52" si="47">VLOOKUP(K47,$A$1:$H$37,5,0)</f>
        <v>1600</v>
      </c>
      <c r="P47" s="16">
        <f t="shared" ref="P47:P53" si="48">VLOOKUP(K47,$A$1:$H$37,6,0)</f>
        <v>5620</v>
      </c>
      <c r="Q47" s="16">
        <f t="shared" ref="Q47:Q53" si="49">VLOOKUP(K47,$A$1:$H$37,7,0)</f>
        <v>1960</v>
      </c>
    </row>
    <row r="48" spans="1:17" x14ac:dyDescent="0.35">
      <c r="K48" s="13">
        <f t="shared" si="44"/>
        <v>45475</v>
      </c>
      <c r="L48" s="14">
        <f>N48*0.3</f>
        <v>8101.5</v>
      </c>
      <c r="M48" s="14">
        <f t="shared" si="45"/>
        <v>18903.5</v>
      </c>
      <c r="N48" s="14">
        <f t="shared" si="46"/>
        <v>27005</v>
      </c>
      <c r="O48" s="14">
        <f t="shared" si="47"/>
        <v>7460</v>
      </c>
      <c r="P48" s="14">
        <f t="shared" si="48"/>
        <v>19545</v>
      </c>
      <c r="Q48" s="14">
        <f t="shared" si="49"/>
        <v>21560</v>
      </c>
    </row>
    <row r="49" spans="11:17" x14ac:dyDescent="0.35">
      <c r="K49" s="15">
        <f t="shared" si="44"/>
        <v>45476</v>
      </c>
      <c r="L49" s="16">
        <f t="shared" ref="L49:L53" si="50">N49*0.3</f>
        <v>6441</v>
      </c>
      <c r="M49" s="16">
        <f t="shared" si="45"/>
        <v>15029</v>
      </c>
      <c r="N49" s="16">
        <f t="shared" si="46"/>
        <v>21470</v>
      </c>
      <c r="O49" s="16">
        <f t="shared" si="47"/>
        <v>1570</v>
      </c>
      <c r="P49" s="16">
        <f t="shared" si="48"/>
        <v>19900</v>
      </c>
      <c r="Q49" s="16">
        <f t="shared" si="49"/>
        <v>2500</v>
      </c>
    </row>
    <row r="50" spans="11:17" x14ac:dyDescent="0.35">
      <c r="K50" s="13">
        <f t="shared" si="44"/>
        <v>45477</v>
      </c>
      <c r="L50" s="14">
        <f t="shared" si="50"/>
        <v>5046</v>
      </c>
      <c r="M50" s="14">
        <f t="shared" si="45"/>
        <v>11774</v>
      </c>
      <c r="N50" s="14">
        <f t="shared" si="46"/>
        <v>16820</v>
      </c>
      <c r="O50" s="14">
        <f t="shared" si="47"/>
        <v>2820</v>
      </c>
      <c r="P50" s="14">
        <f t="shared" si="48"/>
        <v>14000</v>
      </c>
      <c r="Q50" s="14">
        <f t="shared" si="49"/>
        <v>3800</v>
      </c>
    </row>
    <row r="51" spans="11:17" x14ac:dyDescent="0.35">
      <c r="K51" s="15">
        <f t="shared" si="44"/>
        <v>45478</v>
      </c>
      <c r="L51" s="16">
        <f t="shared" si="50"/>
        <v>4940.0999999999995</v>
      </c>
      <c r="M51" s="16">
        <f t="shared" si="45"/>
        <v>11526.900000000001</v>
      </c>
      <c r="N51" s="16">
        <f t="shared" si="46"/>
        <v>16467</v>
      </c>
      <c r="O51" s="16">
        <f t="shared" si="47"/>
        <v>3640</v>
      </c>
      <c r="P51" s="16">
        <f t="shared" si="48"/>
        <v>12827</v>
      </c>
      <c r="Q51" s="16">
        <f t="shared" si="49"/>
        <v>600</v>
      </c>
    </row>
    <row r="52" spans="11:17" x14ac:dyDescent="0.35">
      <c r="K52" s="13">
        <f t="shared" si="44"/>
        <v>45479</v>
      </c>
      <c r="L52" s="14">
        <f t="shared" si="50"/>
        <v>4092</v>
      </c>
      <c r="M52" s="14">
        <f t="shared" si="45"/>
        <v>9548</v>
      </c>
      <c r="N52" s="14">
        <f t="shared" si="46"/>
        <v>13640</v>
      </c>
      <c r="O52" s="14">
        <f t="shared" si="47"/>
        <v>4000</v>
      </c>
      <c r="P52" s="14">
        <f t="shared" si="48"/>
        <v>9640</v>
      </c>
      <c r="Q52" s="14">
        <f t="shared" si="49"/>
        <v>4940</v>
      </c>
    </row>
    <row r="53" spans="11:17" x14ac:dyDescent="0.35">
      <c r="K53" s="15">
        <f t="shared" si="44"/>
        <v>45480</v>
      </c>
      <c r="L53" s="16">
        <f t="shared" si="50"/>
        <v>0</v>
      </c>
      <c r="M53" s="16">
        <f t="shared" si="45"/>
        <v>0</v>
      </c>
      <c r="N53" s="16">
        <f t="shared" si="46"/>
        <v>0</v>
      </c>
      <c r="O53" s="16">
        <f>VLOOKUP(K53,$A$1:$H$37,5,0)</f>
        <v>0</v>
      </c>
      <c r="P53" s="16">
        <f t="shared" si="48"/>
        <v>0</v>
      </c>
      <c r="Q53" s="16">
        <f t="shared" si="49"/>
        <v>0</v>
      </c>
    </row>
    <row r="54" spans="11:17" x14ac:dyDescent="0.35">
      <c r="K54" s="18" t="s">
        <v>3</v>
      </c>
      <c r="L54" s="14">
        <f t="shared" ref="L54:Q54" si="51">SUM(L47:L53)</f>
        <v>30786.6</v>
      </c>
      <c r="M54" s="14">
        <f t="shared" si="51"/>
        <v>71835.399999999994</v>
      </c>
      <c r="N54" s="14">
        <f t="shared" si="51"/>
        <v>102622</v>
      </c>
      <c r="O54" s="14">
        <f t="shared" si="51"/>
        <v>21090</v>
      </c>
      <c r="P54" s="14">
        <f t="shared" si="51"/>
        <v>81532</v>
      </c>
      <c r="Q54" s="14">
        <f t="shared" si="51"/>
        <v>35360</v>
      </c>
    </row>
    <row r="55" spans="11:17" x14ac:dyDescent="0.35">
      <c r="K55" s="18" t="s">
        <v>10</v>
      </c>
      <c r="L55" s="16">
        <f>L54/3</f>
        <v>10262.199999999999</v>
      </c>
      <c r="M55" s="16"/>
      <c r="N55" s="16"/>
      <c r="O55" s="16"/>
      <c r="P55" s="16"/>
      <c r="Q55" s="16"/>
    </row>
    <row r="58" spans="11:17" x14ac:dyDescent="0.35">
      <c r="K58" s="19" t="s">
        <v>0</v>
      </c>
      <c r="L58" s="20" t="s">
        <v>1</v>
      </c>
      <c r="M58" s="20" t="s">
        <v>2</v>
      </c>
      <c r="N58" s="20" t="s">
        <v>3</v>
      </c>
      <c r="O58" s="20" t="s">
        <v>4</v>
      </c>
      <c r="P58" s="20" t="s">
        <v>5</v>
      </c>
      <c r="Q58" s="20" t="s">
        <v>6</v>
      </c>
    </row>
    <row r="59" spans="11:17" x14ac:dyDescent="0.35">
      <c r="K59" s="30">
        <f>A6</f>
        <v>45450</v>
      </c>
      <c r="L59" s="14">
        <f>SUM(B7:B36)</f>
        <v>120330.9</v>
      </c>
      <c r="M59" s="14">
        <f t="shared" ref="M59:Q59" si="52">SUM(C7:C36)</f>
        <v>280772.10000000003</v>
      </c>
      <c r="N59" s="14">
        <f t="shared" si="52"/>
        <v>401103</v>
      </c>
      <c r="O59" s="14">
        <f t="shared" si="52"/>
        <v>150320</v>
      </c>
      <c r="P59" s="14">
        <f t="shared" si="52"/>
        <v>250783</v>
      </c>
      <c r="Q59" s="14">
        <f t="shared" si="52"/>
        <v>70990</v>
      </c>
    </row>
    <row r="60" spans="11:17" x14ac:dyDescent="0.35">
      <c r="K60" s="18" t="s">
        <v>10</v>
      </c>
      <c r="L60" s="16">
        <f>L59/3</f>
        <v>40110.299999999996</v>
      </c>
      <c r="M60" s="16"/>
      <c r="N60" s="16"/>
      <c r="O60" s="16"/>
      <c r="P60" s="16"/>
      <c r="Q60" s="16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5DAF-AEA3-4C19-804F-72F047B7838C}">
  <dimension ref="A1:Q60"/>
  <sheetViews>
    <sheetView zoomScale="90" zoomScaleNormal="90" workbookViewId="0">
      <pane ySplit="1" topLeftCell="A40" activePane="bottomLeft" state="frozen"/>
      <selection pane="bottomLeft" activeCell="H56" sqref="H56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5" width="10" bestFit="1" customWidth="1"/>
    <col min="16" max="16" width="16.453125" bestFit="1" customWidth="1"/>
    <col min="17" max="17" width="9" bestFit="1" customWidth="1"/>
  </cols>
  <sheetData>
    <row r="1" spans="1:17" s="6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K1" s="7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5">
      <c r="A2" s="31">
        <v>45474</v>
      </c>
      <c r="B2" s="10">
        <f t="shared" ref="B2:B36" si="0">D2*0.3</f>
        <v>2166</v>
      </c>
      <c r="C2" s="10">
        <f t="shared" ref="C2:C36" si="1">D2-B2</f>
        <v>5054</v>
      </c>
      <c r="D2" s="10">
        <f t="shared" ref="D2:D36" si="2">E2+F2</f>
        <v>7220</v>
      </c>
      <c r="E2" s="10">
        <v>1600</v>
      </c>
      <c r="F2" s="10">
        <v>5620</v>
      </c>
      <c r="G2" s="10">
        <v>1960</v>
      </c>
      <c r="H2" s="11">
        <f t="shared" ref="H2:H36" si="3">IFERROR(B2/C2,0)</f>
        <v>0.42857142857142855</v>
      </c>
      <c r="I2" s="12">
        <f>SUM($D$2:D2)-SUM($G$2:G2)</f>
        <v>5260</v>
      </c>
      <c r="K2" s="13" t="s">
        <v>9</v>
      </c>
      <c r="L2" s="14"/>
      <c r="M2" s="14"/>
      <c r="N2" s="14"/>
      <c r="O2" s="14"/>
      <c r="P2" s="14"/>
      <c r="Q2" s="14">
        <v>0</v>
      </c>
    </row>
    <row r="3" spans="1:17" x14ac:dyDescent="0.35">
      <c r="A3" s="31">
        <v>45475</v>
      </c>
      <c r="B3" s="10">
        <f t="shared" si="0"/>
        <v>8101.5</v>
      </c>
      <c r="C3" s="10">
        <f t="shared" si="1"/>
        <v>18903.5</v>
      </c>
      <c r="D3" s="10">
        <f t="shared" si="2"/>
        <v>27005</v>
      </c>
      <c r="E3" s="10">
        <v>7460</v>
      </c>
      <c r="F3" s="10">
        <v>19545</v>
      </c>
      <c r="G3" s="10">
        <v>21560</v>
      </c>
      <c r="H3" s="11">
        <f t="shared" si="3"/>
        <v>0.42857142857142855</v>
      </c>
      <c r="I3" s="12">
        <f>SUM($D$2:D3)-SUM($G$2:G3)</f>
        <v>10705</v>
      </c>
      <c r="K3" s="15">
        <f t="shared" ref="K3:K9" si="4">A2</f>
        <v>45474</v>
      </c>
      <c r="L3" s="16">
        <f>N3*0.3</f>
        <v>2166</v>
      </c>
      <c r="M3" s="16">
        <f t="shared" ref="M3:M9" si="5">N3-L3</f>
        <v>5054</v>
      </c>
      <c r="N3" s="16">
        <f t="shared" ref="N3:N9" si="6">O3+P3</f>
        <v>7220</v>
      </c>
      <c r="O3" s="16">
        <f t="shared" ref="O3:O9" si="7">VLOOKUP(K3,$A$1:$H$37,5,0)</f>
        <v>1600</v>
      </c>
      <c r="P3" s="16">
        <f t="shared" ref="P3:P9" si="8">VLOOKUP(K3,$A$1:$H$37,6,0)</f>
        <v>5620</v>
      </c>
      <c r="Q3" s="16">
        <f t="shared" ref="Q3:Q9" si="9">VLOOKUP(K3,$A$1:$H$37,7,0)</f>
        <v>1960</v>
      </c>
    </row>
    <row r="4" spans="1:17" x14ac:dyDescent="0.35">
      <c r="A4" s="31">
        <v>45476</v>
      </c>
      <c r="B4" s="10">
        <f t="shared" si="0"/>
        <v>6441</v>
      </c>
      <c r="C4" s="10">
        <f t="shared" si="1"/>
        <v>15029</v>
      </c>
      <c r="D4" s="10">
        <f t="shared" si="2"/>
        <v>21470</v>
      </c>
      <c r="E4" s="17">
        <v>1570</v>
      </c>
      <c r="F4" s="17">
        <v>19900</v>
      </c>
      <c r="G4" s="17">
        <v>2500</v>
      </c>
      <c r="H4" s="11">
        <f t="shared" si="3"/>
        <v>0.42857142857142855</v>
      </c>
      <c r="I4" s="12">
        <f>SUM($D$2:D4)-SUM($G$2:G4)</f>
        <v>29675</v>
      </c>
      <c r="K4" s="13">
        <f t="shared" si="4"/>
        <v>45475</v>
      </c>
      <c r="L4" s="14">
        <f>N4*0.3</f>
        <v>8101.5</v>
      </c>
      <c r="M4" s="14">
        <f t="shared" si="5"/>
        <v>18903.5</v>
      </c>
      <c r="N4" s="14">
        <f t="shared" si="6"/>
        <v>27005</v>
      </c>
      <c r="O4" s="14">
        <f t="shared" si="7"/>
        <v>7460</v>
      </c>
      <c r="P4" s="14">
        <f t="shared" si="8"/>
        <v>19545</v>
      </c>
      <c r="Q4" s="14">
        <f t="shared" si="9"/>
        <v>21560</v>
      </c>
    </row>
    <row r="5" spans="1:17" x14ac:dyDescent="0.35">
      <c r="A5" s="31">
        <v>45477</v>
      </c>
      <c r="B5" s="10">
        <f t="shared" si="0"/>
        <v>5046</v>
      </c>
      <c r="C5" s="10">
        <f t="shared" si="1"/>
        <v>11774</v>
      </c>
      <c r="D5" s="10">
        <f t="shared" si="2"/>
        <v>16820</v>
      </c>
      <c r="E5" s="10">
        <v>2820</v>
      </c>
      <c r="F5" s="10">
        <v>14000</v>
      </c>
      <c r="G5" s="10">
        <v>3800</v>
      </c>
      <c r="H5" s="11">
        <f t="shared" si="3"/>
        <v>0.42857142857142855</v>
      </c>
      <c r="I5" s="12">
        <f>SUM($D$2:D5)-SUM($G$2:G5)</f>
        <v>42695</v>
      </c>
      <c r="K5" s="15">
        <f t="shared" si="4"/>
        <v>45476</v>
      </c>
      <c r="L5" s="16">
        <f t="shared" ref="L5:L9" si="10">N5*0.3</f>
        <v>6441</v>
      </c>
      <c r="M5" s="16">
        <f t="shared" si="5"/>
        <v>15029</v>
      </c>
      <c r="N5" s="16">
        <f t="shared" si="6"/>
        <v>21470</v>
      </c>
      <c r="O5" s="16">
        <f t="shared" si="7"/>
        <v>1570</v>
      </c>
      <c r="P5" s="16">
        <f t="shared" si="8"/>
        <v>19900</v>
      </c>
      <c r="Q5" s="16">
        <f t="shared" si="9"/>
        <v>2500</v>
      </c>
    </row>
    <row r="6" spans="1:17" x14ac:dyDescent="0.35">
      <c r="A6" s="31">
        <v>45478</v>
      </c>
      <c r="B6" s="10">
        <f t="shared" si="0"/>
        <v>4940.0999999999995</v>
      </c>
      <c r="C6" s="10">
        <f t="shared" si="1"/>
        <v>11526.900000000001</v>
      </c>
      <c r="D6" s="10">
        <f t="shared" si="2"/>
        <v>16467</v>
      </c>
      <c r="E6" s="10">
        <v>3640</v>
      </c>
      <c r="F6" s="10">
        <v>12827</v>
      </c>
      <c r="G6" s="10">
        <v>600</v>
      </c>
      <c r="H6" s="11">
        <f t="shared" si="3"/>
        <v>0.42857142857142849</v>
      </c>
      <c r="I6" s="12">
        <f>SUM($D$2:D6)-SUM($G$2:G6)</f>
        <v>58562</v>
      </c>
      <c r="K6" s="13">
        <f t="shared" si="4"/>
        <v>45477</v>
      </c>
      <c r="L6" s="14">
        <f t="shared" si="10"/>
        <v>5046</v>
      </c>
      <c r="M6" s="14">
        <f t="shared" si="5"/>
        <v>11774</v>
      </c>
      <c r="N6" s="14">
        <f t="shared" si="6"/>
        <v>16820</v>
      </c>
      <c r="O6" s="14">
        <f t="shared" si="7"/>
        <v>2820</v>
      </c>
      <c r="P6" s="14">
        <f t="shared" si="8"/>
        <v>14000</v>
      </c>
      <c r="Q6" s="14">
        <f t="shared" si="9"/>
        <v>3800</v>
      </c>
    </row>
    <row r="7" spans="1:17" x14ac:dyDescent="0.35">
      <c r="A7" s="31">
        <v>45479</v>
      </c>
      <c r="B7" s="10">
        <f t="shared" si="0"/>
        <v>4092</v>
      </c>
      <c r="C7" s="10">
        <f t="shared" si="1"/>
        <v>9548</v>
      </c>
      <c r="D7" s="10">
        <f t="shared" si="2"/>
        <v>13640</v>
      </c>
      <c r="E7" s="17">
        <v>4000</v>
      </c>
      <c r="F7" s="17">
        <v>9640</v>
      </c>
      <c r="G7" s="17">
        <f>4400+540</f>
        <v>4940</v>
      </c>
      <c r="H7" s="11">
        <f t="shared" si="3"/>
        <v>0.42857142857142855</v>
      </c>
      <c r="I7" s="12">
        <f>SUM($D$2:D7)-SUM($G$2:G7)</f>
        <v>67262</v>
      </c>
      <c r="K7" s="15">
        <f t="shared" si="4"/>
        <v>45478</v>
      </c>
      <c r="L7" s="16">
        <f t="shared" si="10"/>
        <v>4940.0999999999995</v>
      </c>
      <c r="M7" s="16">
        <f t="shared" si="5"/>
        <v>11526.900000000001</v>
      </c>
      <c r="N7" s="16">
        <f t="shared" si="6"/>
        <v>16467</v>
      </c>
      <c r="O7" s="16">
        <f t="shared" si="7"/>
        <v>3640</v>
      </c>
      <c r="P7" s="16">
        <f t="shared" si="8"/>
        <v>12827</v>
      </c>
      <c r="Q7" s="16">
        <f t="shared" si="9"/>
        <v>600</v>
      </c>
    </row>
    <row r="8" spans="1:17" x14ac:dyDescent="0.35">
      <c r="A8" s="31">
        <v>45480</v>
      </c>
      <c r="B8" s="10">
        <f t="shared" si="0"/>
        <v>3018</v>
      </c>
      <c r="C8" s="10">
        <f t="shared" si="1"/>
        <v>7042</v>
      </c>
      <c r="D8" s="10">
        <f t="shared" si="2"/>
        <v>10060</v>
      </c>
      <c r="E8" s="17">
        <v>5500</v>
      </c>
      <c r="F8" s="17">
        <v>4560</v>
      </c>
      <c r="G8" s="17">
        <v>6060</v>
      </c>
      <c r="H8" s="11">
        <f t="shared" si="3"/>
        <v>0.42857142857142855</v>
      </c>
      <c r="I8" s="12">
        <f>SUM($D$2:D8)-SUM($G$2:G8)</f>
        <v>71262</v>
      </c>
      <c r="K8" s="13">
        <f t="shared" si="4"/>
        <v>45479</v>
      </c>
      <c r="L8" s="14">
        <f t="shared" si="10"/>
        <v>4092</v>
      </c>
      <c r="M8" s="14" t="s">
        <v>12</v>
      </c>
      <c r="N8" s="14">
        <f t="shared" si="6"/>
        <v>13640</v>
      </c>
      <c r="O8" s="14">
        <f t="shared" si="7"/>
        <v>4000</v>
      </c>
      <c r="P8" s="14">
        <f t="shared" si="8"/>
        <v>9640</v>
      </c>
      <c r="Q8" s="14">
        <f t="shared" si="9"/>
        <v>4940</v>
      </c>
    </row>
    <row r="9" spans="1:17" x14ac:dyDescent="0.35">
      <c r="A9" s="31">
        <v>45481</v>
      </c>
      <c r="B9" s="10">
        <f t="shared" si="0"/>
        <v>6763.2</v>
      </c>
      <c r="C9" s="10">
        <f t="shared" si="1"/>
        <v>15780.8</v>
      </c>
      <c r="D9" s="10">
        <f t="shared" si="2"/>
        <v>22544</v>
      </c>
      <c r="E9" s="10">
        <v>800</v>
      </c>
      <c r="F9" s="10">
        <v>21744</v>
      </c>
      <c r="G9" s="10">
        <v>1420</v>
      </c>
      <c r="H9" s="11">
        <f t="shared" si="3"/>
        <v>0.4285714285714286</v>
      </c>
      <c r="I9" s="12">
        <f>SUM($D$2:D9)-SUM($G$2:G9)</f>
        <v>92386</v>
      </c>
      <c r="K9" s="15">
        <f t="shared" si="4"/>
        <v>45480</v>
      </c>
      <c r="L9" s="16">
        <f t="shared" si="10"/>
        <v>3018</v>
      </c>
      <c r="M9" s="16">
        <f t="shared" si="5"/>
        <v>7042</v>
      </c>
      <c r="N9" s="16">
        <f t="shared" si="6"/>
        <v>10060</v>
      </c>
      <c r="O9" s="16">
        <f t="shared" si="7"/>
        <v>5500</v>
      </c>
      <c r="P9" s="16">
        <f t="shared" si="8"/>
        <v>4560</v>
      </c>
      <c r="Q9" s="16">
        <f t="shared" si="9"/>
        <v>6060</v>
      </c>
    </row>
    <row r="10" spans="1:17" x14ac:dyDescent="0.35">
      <c r="A10" s="31">
        <v>45482</v>
      </c>
      <c r="B10" s="10">
        <f t="shared" si="0"/>
        <v>1548</v>
      </c>
      <c r="C10" s="10">
        <f t="shared" si="1"/>
        <v>3612</v>
      </c>
      <c r="D10" s="10">
        <f t="shared" si="2"/>
        <v>5160</v>
      </c>
      <c r="E10" s="10">
        <v>2060</v>
      </c>
      <c r="F10" s="10">
        <v>3100</v>
      </c>
      <c r="G10" s="10">
        <v>1445</v>
      </c>
      <c r="H10" s="11">
        <f t="shared" si="3"/>
        <v>0.42857142857142855</v>
      </c>
      <c r="I10" s="12">
        <f>SUM($D$2:D10)-SUM($G$2:G10)</f>
        <v>96101</v>
      </c>
      <c r="K10" s="18" t="s">
        <v>3</v>
      </c>
      <c r="L10" s="18">
        <f>SUM(L3:L9)</f>
        <v>33804.6</v>
      </c>
      <c r="M10" s="18">
        <f>SUM(M2:M9)</f>
        <v>69329.399999999994</v>
      </c>
      <c r="N10" s="18">
        <f>SUM(N2:N9)</f>
        <v>112682</v>
      </c>
      <c r="O10" s="18">
        <f>SUM(O2:O9)</f>
        <v>26590</v>
      </c>
      <c r="P10" s="18">
        <f>SUM(P2:P9)</f>
        <v>86092</v>
      </c>
      <c r="Q10" s="18">
        <f>SUM(Q2:Q9)</f>
        <v>41420</v>
      </c>
    </row>
    <row r="11" spans="1:17" x14ac:dyDescent="0.35">
      <c r="A11" s="31">
        <v>45483</v>
      </c>
      <c r="B11" s="10">
        <f t="shared" si="0"/>
        <v>882</v>
      </c>
      <c r="C11" s="10">
        <f t="shared" si="1"/>
        <v>2058</v>
      </c>
      <c r="D11" s="10">
        <f t="shared" si="2"/>
        <v>2940</v>
      </c>
      <c r="E11" s="10">
        <v>2840</v>
      </c>
      <c r="F11" s="10">
        <v>100</v>
      </c>
      <c r="G11" s="10">
        <v>400</v>
      </c>
      <c r="H11" s="11">
        <f t="shared" si="3"/>
        <v>0.42857142857142855</v>
      </c>
      <c r="I11" s="12">
        <f>SUM($D$2:D11)-SUM($G$2:G11)</f>
        <v>98641</v>
      </c>
      <c r="K11" s="18" t="s">
        <v>10</v>
      </c>
      <c r="L11" s="18">
        <f>L10/3</f>
        <v>11268.199999999999</v>
      </c>
      <c r="M11" s="18"/>
      <c r="N11" s="18"/>
      <c r="O11" s="16"/>
      <c r="P11" s="16"/>
      <c r="Q11" s="16"/>
    </row>
    <row r="12" spans="1:17" x14ac:dyDescent="0.35">
      <c r="A12" s="31">
        <v>45484</v>
      </c>
      <c r="B12" s="10">
        <f t="shared" si="0"/>
        <v>5110.5</v>
      </c>
      <c r="C12" s="10">
        <f t="shared" si="1"/>
        <v>11924.5</v>
      </c>
      <c r="D12" s="10">
        <f t="shared" si="2"/>
        <v>17035</v>
      </c>
      <c r="E12" s="10">
        <v>1700</v>
      </c>
      <c r="F12" s="10">
        <v>15335</v>
      </c>
      <c r="G12" s="10">
        <v>2100</v>
      </c>
      <c r="H12" s="11">
        <f t="shared" si="3"/>
        <v>0.42857142857142855</v>
      </c>
      <c r="I12" s="12">
        <f>SUM($D$2:D12)-SUM($G$2:G12)</f>
        <v>113576</v>
      </c>
    </row>
    <row r="13" spans="1:17" x14ac:dyDescent="0.35">
      <c r="A13" s="31">
        <v>45485</v>
      </c>
      <c r="B13" s="10">
        <f t="shared" si="0"/>
        <v>7662</v>
      </c>
      <c r="C13" s="10">
        <f t="shared" si="1"/>
        <v>17878</v>
      </c>
      <c r="D13" s="10">
        <f t="shared" si="2"/>
        <v>25540</v>
      </c>
      <c r="E13" s="10">
        <v>5340</v>
      </c>
      <c r="F13" s="10">
        <v>20200</v>
      </c>
      <c r="G13" s="10">
        <v>1200</v>
      </c>
      <c r="H13" s="11">
        <f t="shared" si="3"/>
        <v>0.42857142857142855</v>
      </c>
      <c r="I13" s="12">
        <f>SUM($D$2:D13)-SUM($G$2:G13)</f>
        <v>137916</v>
      </c>
      <c r="K13" s="19" t="s">
        <v>0</v>
      </c>
      <c r="L13" s="20" t="s">
        <v>1</v>
      </c>
      <c r="M13" s="20" t="s">
        <v>2</v>
      </c>
      <c r="N13" s="20" t="s">
        <v>3</v>
      </c>
      <c r="O13" s="20" t="s">
        <v>4</v>
      </c>
      <c r="P13" s="20" t="s">
        <v>5</v>
      </c>
      <c r="Q13" s="20" t="s">
        <v>6</v>
      </c>
    </row>
    <row r="14" spans="1:17" x14ac:dyDescent="0.35">
      <c r="A14" s="31">
        <v>45486</v>
      </c>
      <c r="B14" s="10">
        <f t="shared" si="0"/>
        <v>2244</v>
      </c>
      <c r="C14" s="10">
        <f t="shared" si="1"/>
        <v>5236</v>
      </c>
      <c r="D14" s="10">
        <f t="shared" si="2"/>
        <v>7480</v>
      </c>
      <c r="E14" s="10">
        <f>1400+3800</f>
        <v>5200</v>
      </c>
      <c r="F14" s="10">
        <v>2280</v>
      </c>
      <c r="G14" s="10">
        <v>1130</v>
      </c>
      <c r="H14" s="11">
        <f t="shared" si="3"/>
        <v>0.42857142857142855</v>
      </c>
      <c r="I14" s="12">
        <f>SUM($D$2:D14)-SUM($G$2:G14)</f>
        <v>144266</v>
      </c>
      <c r="K14" s="15">
        <f t="shared" ref="K14:K20" si="11">A9</f>
        <v>45481</v>
      </c>
      <c r="L14" s="16">
        <f>N14*0.3</f>
        <v>6763.2</v>
      </c>
      <c r="M14" s="16">
        <f t="shared" ref="M14:M20" si="12">N14-L14</f>
        <v>15780.8</v>
      </c>
      <c r="N14" s="16">
        <f t="shared" ref="N14:N20" si="13">O14+P14</f>
        <v>22544</v>
      </c>
      <c r="O14" s="16">
        <f t="shared" ref="O14:O20" si="14">VLOOKUP(K14,$A$1:$H$37,5,0)</f>
        <v>800</v>
      </c>
      <c r="P14" s="16">
        <f t="shared" ref="P14:P20" si="15">VLOOKUP(K14,$A$1:$H$37,6,0)</f>
        <v>21744</v>
      </c>
      <c r="Q14" s="16">
        <f t="shared" ref="Q14:Q20" si="16">VLOOKUP(K14,$A$1:$H$37,7,0)</f>
        <v>1420</v>
      </c>
    </row>
    <row r="15" spans="1:17" x14ac:dyDescent="0.35">
      <c r="A15" s="31">
        <v>45487</v>
      </c>
      <c r="B15" s="10">
        <f t="shared" si="0"/>
        <v>1782</v>
      </c>
      <c r="C15" s="10">
        <f t="shared" si="1"/>
        <v>4158</v>
      </c>
      <c r="D15" s="10">
        <f t="shared" si="2"/>
        <v>5940</v>
      </c>
      <c r="E15" s="10">
        <v>3000</v>
      </c>
      <c r="F15" s="10">
        <v>2940</v>
      </c>
      <c r="G15" s="10">
        <v>1000</v>
      </c>
      <c r="H15" s="11">
        <f t="shared" si="3"/>
        <v>0.42857142857142855</v>
      </c>
      <c r="I15" s="12">
        <f>SUM($D$2:D15)-SUM($G$2:G15)</f>
        <v>149206</v>
      </c>
      <c r="K15" s="13">
        <f t="shared" si="11"/>
        <v>45482</v>
      </c>
      <c r="L15" s="14">
        <f>N15*0.3</f>
        <v>1548</v>
      </c>
      <c r="M15" s="14">
        <f t="shared" si="12"/>
        <v>3612</v>
      </c>
      <c r="N15" s="14">
        <f t="shared" si="13"/>
        <v>5160</v>
      </c>
      <c r="O15" s="14">
        <f t="shared" si="14"/>
        <v>2060</v>
      </c>
      <c r="P15" s="14">
        <f t="shared" si="15"/>
        <v>3100</v>
      </c>
      <c r="Q15" s="14">
        <f t="shared" si="16"/>
        <v>1445</v>
      </c>
    </row>
    <row r="16" spans="1:17" x14ac:dyDescent="0.35">
      <c r="A16" s="31">
        <v>45488</v>
      </c>
      <c r="B16" s="10">
        <f t="shared" si="0"/>
        <v>2745</v>
      </c>
      <c r="C16" s="10">
        <f t="shared" si="1"/>
        <v>6405</v>
      </c>
      <c r="D16" s="10">
        <f t="shared" si="2"/>
        <v>9150</v>
      </c>
      <c r="E16" s="10">
        <v>1500</v>
      </c>
      <c r="F16" s="10">
        <v>7650</v>
      </c>
      <c r="G16" s="10">
        <v>1635</v>
      </c>
      <c r="H16" s="11">
        <f t="shared" si="3"/>
        <v>0.42857142857142855</v>
      </c>
      <c r="I16" s="12">
        <f>SUM($D$2:D16)-SUM($G$2:G16)</f>
        <v>156721</v>
      </c>
      <c r="K16" s="15">
        <f t="shared" si="11"/>
        <v>45483</v>
      </c>
      <c r="L16" s="16">
        <f t="shared" ref="L16:L20" si="17">N16*0.3</f>
        <v>882</v>
      </c>
      <c r="M16" s="16">
        <f t="shared" si="12"/>
        <v>2058</v>
      </c>
      <c r="N16" s="16">
        <f t="shared" si="13"/>
        <v>2940</v>
      </c>
      <c r="O16" s="16">
        <f t="shared" si="14"/>
        <v>2840</v>
      </c>
      <c r="P16" s="16">
        <f t="shared" si="15"/>
        <v>100</v>
      </c>
      <c r="Q16" s="16">
        <f t="shared" si="16"/>
        <v>400</v>
      </c>
    </row>
    <row r="17" spans="1:17" x14ac:dyDescent="0.35">
      <c r="A17" s="31">
        <v>45489</v>
      </c>
      <c r="B17" s="10">
        <f t="shared" si="0"/>
        <v>4378.8</v>
      </c>
      <c r="C17" s="10">
        <f t="shared" si="1"/>
        <v>10217.200000000001</v>
      </c>
      <c r="D17" s="10">
        <f t="shared" si="2"/>
        <v>14596</v>
      </c>
      <c r="E17" s="10">
        <v>8510</v>
      </c>
      <c r="F17" s="10">
        <v>6086</v>
      </c>
      <c r="G17" s="10">
        <v>1550</v>
      </c>
      <c r="H17" s="11">
        <f t="shared" si="3"/>
        <v>0.42857142857142855</v>
      </c>
      <c r="I17" s="12">
        <f>SUM($D$2:D17)-SUM($G$2:G17)</f>
        <v>169767</v>
      </c>
      <c r="K17" s="13">
        <f t="shared" si="11"/>
        <v>45484</v>
      </c>
      <c r="L17" s="14">
        <f t="shared" si="17"/>
        <v>5110.5</v>
      </c>
      <c r="M17" s="14">
        <f t="shared" si="12"/>
        <v>11924.5</v>
      </c>
      <c r="N17" s="14">
        <f t="shared" si="13"/>
        <v>17035</v>
      </c>
      <c r="O17" s="14">
        <f t="shared" si="14"/>
        <v>1700</v>
      </c>
      <c r="P17" s="14">
        <f t="shared" si="15"/>
        <v>15335</v>
      </c>
      <c r="Q17" s="14">
        <f t="shared" si="16"/>
        <v>2100</v>
      </c>
    </row>
    <row r="18" spans="1:17" x14ac:dyDescent="0.35">
      <c r="A18" s="31">
        <v>45490</v>
      </c>
      <c r="B18" s="10">
        <f t="shared" si="0"/>
        <v>7081.5</v>
      </c>
      <c r="C18" s="10">
        <f t="shared" si="1"/>
        <v>16523.5</v>
      </c>
      <c r="D18" s="10">
        <f t="shared" si="2"/>
        <v>23605</v>
      </c>
      <c r="E18" s="10">
        <f>8165+1500</f>
        <v>9665</v>
      </c>
      <c r="F18" s="10">
        <v>13940</v>
      </c>
      <c r="G18" s="10">
        <v>1125</v>
      </c>
      <c r="H18" s="11">
        <f t="shared" si="3"/>
        <v>0.42857142857142855</v>
      </c>
      <c r="I18" s="12">
        <f>SUM($D$2:D18)-SUM($G$2:G18)</f>
        <v>192247</v>
      </c>
      <c r="K18" s="15">
        <f t="shared" si="11"/>
        <v>45485</v>
      </c>
      <c r="L18" s="16">
        <f t="shared" si="17"/>
        <v>7662</v>
      </c>
      <c r="M18" s="16">
        <f t="shared" si="12"/>
        <v>17878</v>
      </c>
      <c r="N18" s="16">
        <f t="shared" si="13"/>
        <v>25540</v>
      </c>
      <c r="O18" s="16">
        <f t="shared" si="14"/>
        <v>5340</v>
      </c>
      <c r="P18" s="16">
        <f t="shared" si="15"/>
        <v>20200</v>
      </c>
      <c r="Q18" s="16">
        <f t="shared" si="16"/>
        <v>1200</v>
      </c>
    </row>
    <row r="19" spans="1:17" x14ac:dyDescent="0.35">
      <c r="A19" s="31">
        <v>45491</v>
      </c>
      <c r="B19" s="10">
        <f t="shared" si="0"/>
        <v>4320</v>
      </c>
      <c r="C19" s="10">
        <f t="shared" si="1"/>
        <v>10080</v>
      </c>
      <c r="D19" s="10">
        <f t="shared" si="2"/>
        <v>14400</v>
      </c>
      <c r="E19" s="10">
        <v>2100</v>
      </c>
      <c r="F19" s="10">
        <v>12300</v>
      </c>
      <c r="G19" s="10">
        <v>1810</v>
      </c>
      <c r="H19" s="11">
        <f t="shared" si="3"/>
        <v>0.42857142857142855</v>
      </c>
      <c r="I19" s="12">
        <f>SUM($D$2:D19)-SUM($G$2:G19)</f>
        <v>204837</v>
      </c>
      <c r="K19" s="13">
        <f t="shared" si="11"/>
        <v>45486</v>
      </c>
      <c r="L19" s="14">
        <f t="shared" si="17"/>
        <v>2244</v>
      </c>
      <c r="M19" s="14">
        <f t="shared" si="12"/>
        <v>5236</v>
      </c>
      <c r="N19" s="14">
        <f t="shared" si="13"/>
        <v>7480</v>
      </c>
      <c r="O19" s="14">
        <f t="shared" si="14"/>
        <v>5200</v>
      </c>
      <c r="P19" s="14">
        <f t="shared" si="15"/>
        <v>2280</v>
      </c>
      <c r="Q19" s="14">
        <f t="shared" si="16"/>
        <v>1130</v>
      </c>
    </row>
    <row r="20" spans="1:17" x14ac:dyDescent="0.35">
      <c r="A20" s="31">
        <v>45492</v>
      </c>
      <c r="B20" s="10">
        <f t="shared" si="0"/>
        <v>1290</v>
      </c>
      <c r="C20" s="10">
        <f t="shared" si="1"/>
        <v>3010</v>
      </c>
      <c r="D20" s="10">
        <f t="shared" si="2"/>
        <v>4300</v>
      </c>
      <c r="E20" s="10">
        <v>3700</v>
      </c>
      <c r="F20" s="10">
        <v>600</v>
      </c>
      <c r="G20" s="10">
        <v>1300</v>
      </c>
      <c r="H20" s="11">
        <f t="shared" si="3"/>
        <v>0.42857142857142855</v>
      </c>
      <c r="I20" s="12">
        <f>SUM($D$2:D20)-SUM($G$2:G20)</f>
        <v>207837</v>
      </c>
      <c r="K20" s="15">
        <f t="shared" si="11"/>
        <v>45487</v>
      </c>
      <c r="L20" s="16">
        <f t="shared" si="17"/>
        <v>1782</v>
      </c>
      <c r="M20" s="16">
        <f t="shared" si="12"/>
        <v>4158</v>
      </c>
      <c r="N20" s="16">
        <f t="shared" si="13"/>
        <v>5940</v>
      </c>
      <c r="O20" s="16">
        <f t="shared" si="14"/>
        <v>3000</v>
      </c>
      <c r="P20" s="16">
        <f t="shared" si="15"/>
        <v>2940</v>
      </c>
      <c r="Q20" s="16">
        <f t="shared" si="16"/>
        <v>1000</v>
      </c>
    </row>
    <row r="21" spans="1:17" x14ac:dyDescent="0.35">
      <c r="A21" s="31">
        <v>45493</v>
      </c>
      <c r="B21" s="10">
        <f t="shared" si="0"/>
        <v>7773</v>
      </c>
      <c r="C21" s="10">
        <f t="shared" si="1"/>
        <v>18137</v>
      </c>
      <c r="D21" s="10">
        <f t="shared" si="2"/>
        <v>25910</v>
      </c>
      <c r="E21" s="10">
        <v>5210</v>
      </c>
      <c r="F21" s="10">
        <v>20700</v>
      </c>
      <c r="G21" s="10">
        <v>3820</v>
      </c>
      <c r="H21" s="11">
        <f t="shared" si="3"/>
        <v>0.42857142857142855</v>
      </c>
      <c r="I21" s="12">
        <f>SUM($D$2:D21)-SUM($G$2:G21)</f>
        <v>229927</v>
      </c>
      <c r="K21" s="18" t="s">
        <v>3</v>
      </c>
      <c r="L21" s="18">
        <f t="shared" ref="L21:Q21" si="18">SUM(L14:L20)</f>
        <v>25991.7</v>
      </c>
      <c r="M21" s="18">
        <f t="shared" si="18"/>
        <v>60647.3</v>
      </c>
      <c r="N21" s="18">
        <f t="shared" si="18"/>
        <v>86639</v>
      </c>
      <c r="O21" s="18">
        <f t="shared" si="18"/>
        <v>20940</v>
      </c>
      <c r="P21" s="18">
        <f t="shared" si="18"/>
        <v>65699</v>
      </c>
      <c r="Q21" s="18">
        <f t="shared" si="18"/>
        <v>8695</v>
      </c>
    </row>
    <row r="22" spans="1:17" x14ac:dyDescent="0.35">
      <c r="A22" s="31">
        <v>45494</v>
      </c>
      <c r="B22" s="10">
        <f t="shared" si="0"/>
        <v>4791</v>
      </c>
      <c r="C22" s="10">
        <f t="shared" si="1"/>
        <v>11179</v>
      </c>
      <c r="D22" s="10">
        <f t="shared" si="2"/>
        <v>15970</v>
      </c>
      <c r="E22" s="10">
        <v>2420</v>
      </c>
      <c r="F22" s="10">
        <v>13550</v>
      </c>
      <c r="G22" s="10">
        <v>535</v>
      </c>
      <c r="H22" s="11">
        <f t="shared" si="3"/>
        <v>0.42857142857142855</v>
      </c>
      <c r="I22" s="12">
        <f>SUM($D$2:D22)-SUM($G$2:G22)</f>
        <v>245362</v>
      </c>
      <c r="K22" s="18" t="s">
        <v>10</v>
      </c>
      <c r="L22" s="18">
        <f>L21/3</f>
        <v>8663.9</v>
      </c>
      <c r="M22" s="18"/>
      <c r="N22" s="18">
        <f>M22+L22</f>
        <v>8663.9</v>
      </c>
      <c r="O22" s="16"/>
      <c r="P22" s="16"/>
      <c r="Q22" s="16"/>
    </row>
    <row r="23" spans="1:17" x14ac:dyDescent="0.35">
      <c r="A23" s="31">
        <v>45495</v>
      </c>
      <c r="B23" s="10">
        <f t="shared" si="0"/>
        <v>6167.0999999999995</v>
      </c>
      <c r="C23" s="10">
        <f t="shared" si="1"/>
        <v>14389.900000000001</v>
      </c>
      <c r="D23" s="10">
        <f t="shared" si="2"/>
        <v>20557</v>
      </c>
      <c r="E23" s="10">
        <v>1420</v>
      </c>
      <c r="F23" s="10">
        <v>19137</v>
      </c>
      <c r="G23" s="10">
        <v>1710</v>
      </c>
      <c r="H23" s="11">
        <f t="shared" si="3"/>
        <v>0.42857142857142849</v>
      </c>
      <c r="I23" s="12">
        <f>SUM($D$2:D23)-SUM($G$2:G23)</f>
        <v>264209</v>
      </c>
    </row>
    <row r="24" spans="1:17" x14ac:dyDescent="0.35">
      <c r="A24" s="31">
        <v>45496</v>
      </c>
      <c r="B24" s="10">
        <f t="shared" si="0"/>
        <v>2787</v>
      </c>
      <c r="C24" s="10">
        <f t="shared" si="1"/>
        <v>6503</v>
      </c>
      <c r="D24" s="10">
        <f t="shared" si="2"/>
        <v>9290</v>
      </c>
      <c r="E24" s="10">
        <v>2690</v>
      </c>
      <c r="F24" s="10">
        <v>6600</v>
      </c>
      <c r="G24" s="10">
        <v>1400</v>
      </c>
      <c r="H24" s="11">
        <f t="shared" si="3"/>
        <v>0.42857142857142855</v>
      </c>
      <c r="I24" s="12">
        <f>SUM($D$2:D24)-SUM($G$2:G24)</f>
        <v>272099</v>
      </c>
      <c r="K24" s="19" t="s">
        <v>0</v>
      </c>
      <c r="L24" s="20" t="s">
        <v>1</v>
      </c>
      <c r="M24" s="20" t="s">
        <v>2</v>
      </c>
      <c r="N24" s="20" t="s">
        <v>3</v>
      </c>
      <c r="O24" s="20" t="s">
        <v>4</v>
      </c>
      <c r="P24" s="20" t="s">
        <v>5</v>
      </c>
      <c r="Q24" s="20" t="s">
        <v>6</v>
      </c>
    </row>
    <row r="25" spans="1:17" x14ac:dyDescent="0.35">
      <c r="A25" s="31">
        <v>45497</v>
      </c>
      <c r="B25" s="10">
        <f t="shared" si="0"/>
        <v>2973</v>
      </c>
      <c r="C25" s="10">
        <f t="shared" si="1"/>
        <v>6937</v>
      </c>
      <c r="D25" s="10">
        <f t="shared" si="2"/>
        <v>9910</v>
      </c>
      <c r="E25" s="10">
        <v>3090</v>
      </c>
      <c r="F25" s="10">
        <v>6820</v>
      </c>
      <c r="G25" s="10">
        <v>1400</v>
      </c>
      <c r="H25" s="11">
        <f t="shared" si="3"/>
        <v>0.42857142857142855</v>
      </c>
      <c r="I25" s="12">
        <f>SUM($D$2:D25)-SUM($G$2:G25)</f>
        <v>280609</v>
      </c>
      <c r="K25" s="15">
        <f t="shared" ref="K25:K31" si="19">A16</f>
        <v>45488</v>
      </c>
      <c r="L25" s="16">
        <f>N25*0.3</f>
        <v>2745</v>
      </c>
      <c r="M25" s="16">
        <f t="shared" ref="M25:M31" si="20">N25-L25</f>
        <v>6405</v>
      </c>
      <c r="N25" s="16">
        <f t="shared" ref="N25:N31" si="21">O25+P25</f>
        <v>9150</v>
      </c>
      <c r="O25" s="16">
        <f t="shared" ref="O25:O31" si="22">VLOOKUP(K25,$A$1:$H$37,5,0)</f>
        <v>1500</v>
      </c>
      <c r="P25" s="16">
        <f t="shared" ref="P25:P31" si="23">VLOOKUP(K25,$A$1:$H$37,6,0)</f>
        <v>7650</v>
      </c>
      <c r="Q25" s="16">
        <f t="shared" ref="Q25:Q31" si="24">VLOOKUP(K25,$A$1:$H$37,7,0)</f>
        <v>1635</v>
      </c>
    </row>
    <row r="26" spans="1:17" x14ac:dyDescent="0.35">
      <c r="A26" s="31">
        <v>45498</v>
      </c>
      <c r="B26" s="10">
        <f t="shared" si="0"/>
        <v>1650</v>
      </c>
      <c r="C26" s="10">
        <f t="shared" si="1"/>
        <v>3850</v>
      </c>
      <c r="D26" s="10">
        <f t="shared" si="2"/>
        <v>5500</v>
      </c>
      <c r="E26" s="10">
        <v>900</v>
      </c>
      <c r="F26" s="10">
        <v>4600</v>
      </c>
      <c r="G26" s="10">
        <v>2650</v>
      </c>
      <c r="H26" s="11">
        <f t="shared" si="3"/>
        <v>0.42857142857142855</v>
      </c>
      <c r="I26" s="12">
        <f>SUM($D$2:D26)-SUM($G$2:G26)</f>
        <v>283459</v>
      </c>
      <c r="K26" s="13">
        <f t="shared" si="19"/>
        <v>45489</v>
      </c>
      <c r="L26" s="14">
        <f>N26*0.3</f>
        <v>4378.8</v>
      </c>
      <c r="M26" s="14">
        <f t="shared" si="20"/>
        <v>10217.200000000001</v>
      </c>
      <c r="N26" s="14">
        <f t="shared" si="21"/>
        <v>14596</v>
      </c>
      <c r="O26" s="14">
        <f t="shared" si="22"/>
        <v>8510</v>
      </c>
      <c r="P26" s="14">
        <f t="shared" si="23"/>
        <v>6086</v>
      </c>
      <c r="Q26" s="14">
        <f t="shared" si="24"/>
        <v>1550</v>
      </c>
    </row>
    <row r="27" spans="1:17" x14ac:dyDescent="0.35">
      <c r="A27" s="31">
        <v>45499</v>
      </c>
      <c r="B27" s="10">
        <f t="shared" si="0"/>
        <v>2227.5</v>
      </c>
      <c r="C27" s="10">
        <f t="shared" si="1"/>
        <v>5197.5</v>
      </c>
      <c r="D27" s="10">
        <f t="shared" si="2"/>
        <v>7425</v>
      </c>
      <c r="E27" s="10">
        <v>4900</v>
      </c>
      <c r="F27" s="10">
        <v>2525</v>
      </c>
      <c r="G27" s="10">
        <v>1510</v>
      </c>
      <c r="H27" s="11">
        <f t="shared" si="3"/>
        <v>0.42857142857142855</v>
      </c>
      <c r="I27" s="12">
        <f>SUM($D$2:D27)-SUM($G$2:G27)</f>
        <v>289374</v>
      </c>
      <c r="K27" s="15">
        <f t="shared" si="19"/>
        <v>45490</v>
      </c>
      <c r="L27" s="16">
        <f t="shared" ref="L27:L31" si="25">N27*0.3</f>
        <v>7081.5</v>
      </c>
      <c r="M27" s="16">
        <f t="shared" si="20"/>
        <v>16523.5</v>
      </c>
      <c r="N27" s="16">
        <f t="shared" si="21"/>
        <v>23605</v>
      </c>
      <c r="O27" s="16">
        <f t="shared" si="22"/>
        <v>9665</v>
      </c>
      <c r="P27" s="16">
        <f t="shared" si="23"/>
        <v>13940</v>
      </c>
      <c r="Q27" s="16">
        <f t="shared" si="24"/>
        <v>1125</v>
      </c>
    </row>
    <row r="28" spans="1:17" x14ac:dyDescent="0.35">
      <c r="A28" s="31">
        <v>45500</v>
      </c>
      <c r="B28" s="10">
        <f t="shared" si="0"/>
        <v>7110</v>
      </c>
      <c r="C28" s="10">
        <f t="shared" si="1"/>
        <v>16590</v>
      </c>
      <c r="D28" s="10">
        <f t="shared" si="2"/>
        <v>23700</v>
      </c>
      <c r="E28" s="10">
        <v>2400</v>
      </c>
      <c r="F28" s="10">
        <v>21300</v>
      </c>
      <c r="G28" s="10">
        <v>2170</v>
      </c>
      <c r="H28" s="11">
        <f t="shared" si="3"/>
        <v>0.42857142857142855</v>
      </c>
      <c r="I28" s="12">
        <f>SUM($D$2:D28)-SUM($G$2:G28)</f>
        <v>310904</v>
      </c>
      <c r="K28" s="13">
        <f t="shared" si="19"/>
        <v>45491</v>
      </c>
      <c r="L28" s="14">
        <f>N28*0.3</f>
        <v>4320</v>
      </c>
      <c r="M28" s="14">
        <f t="shared" si="20"/>
        <v>10080</v>
      </c>
      <c r="N28" s="14">
        <f t="shared" si="21"/>
        <v>14400</v>
      </c>
      <c r="O28" s="14">
        <f t="shared" si="22"/>
        <v>2100</v>
      </c>
      <c r="P28" s="14">
        <f t="shared" si="23"/>
        <v>12300</v>
      </c>
      <c r="Q28" s="14">
        <f t="shared" si="24"/>
        <v>1810</v>
      </c>
    </row>
    <row r="29" spans="1:17" x14ac:dyDescent="0.35">
      <c r="A29" s="31">
        <v>45501</v>
      </c>
      <c r="B29" s="10">
        <f t="shared" si="0"/>
        <v>2175</v>
      </c>
      <c r="C29" s="10">
        <f t="shared" si="1"/>
        <v>5075</v>
      </c>
      <c r="D29" s="10">
        <f t="shared" si="2"/>
        <v>7250</v>
      </c>
      <c r="E29" s="10">
        <v>4830</v>
      </c>
      <c r="F29" s="10">
        <v>2420</v>
      </c>
      <c r="G29" s="10">
        <v>2150</v>
      </c>
      <c r="H29" s="11">
        <f t="shared" si="3"/>
        <v>0.42857142857142855</v>
      </c>
      <c r="I29" s="12">
        <f>SUM($D$2:D29)-SUM($G$2:G29)</f>
        <v>316004</v>
      </c>
      <c r="K29" s="15">
        <f t="shared" si="19"/>
        <v>45492</v>
      </c>
      <c r="L29" s="16">
        <f t="shared" si="25"/>
        <v>1290</v>
      </c>
      <c r="M29" s="16">
        <f t="shared" si="20"/>
        <v>3010</v>
      </c>
      <c r="N29" s="16">
        <f t="shared" si="21"/>
        <v>4300</v>
      </c>
      <c r="O29" s="16">
        <f t="shared" si="22"/>
        <v>3700</v>
      </c>
      <c r="P29" s="16">
        <f t="shared" si="23"/>
        <v>600</v>
      </c>
      <c r="Q29" s="16">
        <f t="shared" si="24"/>
        <v>1300</v>
      </c>
    </row>
    <row r="30" spans="1:17" x14ac:dyDescent="0.35">
      <c r="A30" s="31">
        <v>45502</v>
      </c>
      <c r="B30" s="10">
        <f t="shared" si="0"/>
        <v>2670</v>
      </c>
      <c r="C30" s="10">
        <f t="shared" si="1"/>
        <v>6230</v>
      </c>
      <c r="D30" s="10">
        <f t="shared" si="2"/>
        <v>8900</v>
      </c>
      <c r="E30" s="10">
        <v>6100</v>
      </c>
      <c r="F30" s="10">
        <v>2800</v>
      </c>
      <c r="G30" s="10">
        <v>3450</v>
      </c>
      <c r="H30" s="11">
        <f t="shared" si="3"/>
        <v>0.42857142857142855</v>
      </c>
      <c r="I30" s="12">
        <f>SUM($D$2:D30)-SUM($G$2:G30)</f>
        <v>321454</v>
      </c>
      <c r="K30" s="13">
        <f t="shared" si="19"/>
        <v>45493</v>
      </c>
      <c r="L30" s="14">
        <f t="shared" si="25"/>
        <v>7773</v>
      </c>
      <c r="M30" s="14">
        <f t="shared" si="20"/>
        <v>18137</v>
      </c>
      <c r="N30" s="14">
        <f t="shared" si="21"/>
        <v>25910</v>
      </c>
      <c r="O30" s="14">
        <f t="shared" si="22"/>
        <v>5210</v>
      </c>
      <c r="P30" s="14">
        <f t="shared" si="23"/>
        <v>20700</v>
      </c>
      <c r="Q30" s="14">
        <f t="shared" si="24"/>
        <v>3820</v>
      </c>
    </row>
    <row r="31" spans="1:17" x14ac:dyDescent="0.35">
      <c r="A31" s="31">
        <v>45503</v>
      </c>
      <c r="B31" s="10">
        <f t="shared" si="0"/>
        <v>8328</v>
      </c>
      <c r="C31" s="10">
        <f t="shared" si="1"/>
        <v>19432</v>
      </c>
      <c r="D31" s="10">
        <f t="shared" si="2"/>
        <v>27760</v>
      </c>
      <c r="E31" s="10">
        <v>5000</v>
      </c>
      <c r="F31" s="10">
        <v>22760</v>
      </c>
      <c r="G31" s="10">
        <v>5100</v>
      </c>
      <c r="H31" s="11">
        <f t="shared" si="3"/>
        <v>0.42857142857142855</v>
      </c>
      <c r="I31" s="12">
        <f>SUM($D$2:D31)-SUM($G$2:G31)</f>
        <v>344114</v>
      </c>
      <c r="K31" s="15">
        <f t="shared" si="19"/>
        <v>45494</v>
      </c>
      <c r="L31" s="16">
        <f t="shared" si="25"/>
        <v>4791</v>
      </c>
      <c r="M31" s="16">
        <f t="shared" si="20"/>
        <v>11179</v>
      </c>
      <c r="N31" s="16">
        <f t="shared" si="21"/>
        <v>15970</v>
      </c>
      <c r="O31" s="16">
        <f t="shared" si="22"/>
        <v>2420</v>
      </c>
      <c r="P31" s="16">
        <f t="shared" si="23"/>
        <v>13550</v>
      </c>
      <c r="Q31" s="16">
        <f t="shared" si="24"/>
        <v>535</v>
      </c>
    </row>
    <row r="32" spans="1:17" x14ac:dyDescent="0.35">
      <c r="A32" s="31">
        <v>45504</v>
      </c>
      <c r="B32" s="10">
        <f t="shared" si="0"/>
        <v>10831.5</v>
      </c>
      <c r="C32" s="10">
        <f t="shared" si="1"/>
        <v>25273.5</v>
      </c>
      <c r="D32" s="10">
        <f t="shared" si="2"/>
        <v>36105</v>
      </c>
      <c r="E32" s="17">
        <v>9530</v>
      </c>
      <c r="F32" s="17">
        <v>26575</v>
      </c>
      <c r="G32" s="17">
        <v>2820</v>
      </c>
      <c r="H32" s="11">
        <f t="shared" si="3"/>
        <v>0.42857142857142855</v>
      </c>
      <c r="I32" s="12">
        <f>SUM($D$2:D32)-SUM($G$2:G32)</f>
        <v>377399</v>
      </c>
      <c r="K32" s="18" t="s">
        <v>3</v>
      </c>
      <c r="L32" s="16">
        <f t="shared" ref="L32:Q32" si="26">SUM(L25:L31)</f>
        <v>32379.3</v>
      </c>
      <c r="M32" s="16">
        <f t="shared" si="26"/>
        <v>75551.7</v>
      </c>
      <c r="N32" s="16">
        <f t="shared" si="26"/>
        <v>107931</v>
      </c>
      <c r="O32" s="16">
        <f t="shared" si="26"/>
        <v>33105</v>
      </c>
      <c r="P32" s="16">
        <f t="shared" si="26"/>
        <v>74826</v>
      </c>
      <c r="Q32" s="16">
        <f t="shared" si="26"/>
        <v>11775</v>
      </c>
    </row>
    <row r="33" spans="1:17" x14ac:dyDescent="0.35">
      <c r="A33" s="31">
        <v>45505</v>
      </c>
      <c r="B33" s="10">
        <f t="shared" si="0"/>
        <v>14721</v>
      </c>
      <c r="C33" s="10">
        <f t="shared" si="1"/>
        <v>34349</v>
      </c>
      <c r="D33" s="10">
        <f t="shared" si="2"/>
        <v>49070</v>
      </c>
      <c r="E33" s="10">
        <v>4000</v>
      </c>
      <c r="F33" s="10">
        <v>45070</v>
      </c>
      <c r="G33" s="10">
        <v>107150</v>
      </c>
      <c r="H33" s="11">
        <f t="shared" si="3"/>
        <v>0.42857142857142855</v>
      </c>
      <c r="I33" s="12">
        <f>SUM($D$2:D33)-SUM($G$2:G33)</f>
        <v>319319</v>
      </c>
      <c r="K33" s="18" t="s">
        <v>10</v>
      </c>
      <c r="L33" s="14">
        <f>L32/3</f>
        <v>10793.1</v>
      </c>
      <c r="M33" s="14"/>
      <c r="N33" s="14"/>
      <c r="O33" s="14"/>
      <c r="P33" s="14"/>
      <c r="Q33" s="14"/>
    </row>
    <row r="34" spans="1:17" x14ac:dyDescent="0.35">
      <c r="A34" s="31">
        <v>45506</v>
      </c>
      <c r="B34" s="10">
        <f t="shared" si="0"/>
        <v>4768.5</v>
      </c>
      <c r="C34" s="10">
        <f t="shared" si="1"/>
        <v>11126.5</v>
      </c>
      <c r="D34" s="10">
        <f t="shared" si="2"/>
        <v>15895</v>
      </c>
      <c r="E34" s="10">
        <v>6975</v>
      </c>
      <c r="F34" s="10">
        <v>8920</v>
      </c>
      <c r="G34" s="10">
        <f>3490+18985</f>
        <v>22475</v>
      </c>
      <c r="H34" s="11">
        <f t="shared" si="3"/>
        <v>0.42857142857142855</v>
      </c>
      <c r="I34" s="12">
        <f>SUM($D$2:D34)-SUM($G$2:G34)</f>
        <v>312739</v>
      </c>
    </row>
    <row r="35" spans="1:17" x14ac:dyDescent="0.35">
      <c r="A35" s="31">
        <v>45507</v>
      </c>
      <c r="B35" s="10">
        <f t="shared" si="0"/>
        <v>4116</v>
      </c>
      <c r="C35" s="10">
        <f t="shared" si="1"/>
        <v>9604</v>
      </c>
      <c r="D35" s="10">
        <f t="shared" si="2"/>
        <v>13720</v>
      </c>
      <c r="E35" s="17">
        <v>4320</v>
      </c>
      <c r="F35" s="17">
        <v>9400</v>
      </c>
      <c r="G35" s="17">
        <v>600</v>
      </c>
      <c r="H35" s="11">
        <f t="shared" si="3"/>
        <v>0.42857142857142855</v>
      </c>
      <c r="I35" s="12">
        <f>SUM($D$2:D35)-SUM($G$2:G35)</f>
        <v>325859</v>
      </c>
      <c r="K35" s="19" t="s">
        <v>0</v>
      </c>
      <c r="L35" s="20" t="s">
        <v>1</v>
      </c>
      <c r="M35" s="20" t="s">
        <v>2</v>
      </c>
      <c r="N35" s="20" t="s">
        <v>3</v>
      </c>
      <c r="O35" s="20" t="s">
        <v>4</v>
      </c>
      <c r="P35" s="20" t="s">
        <v>5</v>
      </c>
      <c r="Q35" s="20" t="s">
        <v>6</v>
      </c>
    </row>
    <row r="36" spans="1:17" x14ac:dyDescent="0.35">
      <c r="A36" s="31">
        <v>45508</v>
      </c>
      <c r="B36" s="10">
        <f t="shared" si="0"/>
        <v>3952.5</v>
      </c>
      <c r="C36" s="10">
        <f t="shared" si="1"/>
        <v>9222.5</v>
      </c>
      <c r="D36" s="10">
        <f t="shared" si="2"/>
        <v>13175</v>
      </c>
      <c r="E36" s="17">
        <v>2015</v>
      </c>
      <c r="F36" s="17">
        <v>11160</v>
      </c>
      <c r="G36" s="17">
        <v>560</v>
      </c>
      <c r="H36" s="11">
        <f t="shared" si="3"/>
        <v>0.42857142857142855</v>
      </c>
      <c r="I36" s="12">
        <f>SUM($D$2:D36)-SUM($G$2:G36)</f>
        <v>338474</v>
      </c>
      <c r="K36" s="13">
        <f t="shared" ref="K36:K42" si="27">A23</f>
        <v>45495</v>
      </c>
      <c r="L36" s="16">
        <f>N36*0.3</f>
        <v>6167.0999999999995</v>
      </c>
      <c r="M36" s="16">
        <f t="shared" ref="M36:M42" si="28">N36-L36</f>
        <v>14389.900000000001</v>
      </c>
      <c r="N36" s="16">
        <f t="shared" ref="N36:N42" si="29">O36+P36</f>
        <v>20557</v>
      </c>
      <c r="O36" s="16">
        <f t="shared" ref="O36:O42" si="30">VLOOKUP(K36,$A$1:$H$37,5,0)</f>
        <v>1420</v>
      </c>
      <c r="P36" s="16">
        <f t="shared" ref="P36:P42" si="31">VLOOKUP(K36,$A$1:$H$37,6,0)</f>
        <v>19137</v>
      </c>
      <c r="Q36" s="16">
        <f t="shared" ref="Q36:Q42" si="32">VLOOKUP(K36,$A$1:$H$37,7,0)</f>
        <v>1710</v>
      </c>
    </row>
    <row r="37" spans="1:17" ht="15" thickBot="1" x14ac:dyDescent="0.4">
      <c r="A37" s="21" t="s">
        <v>3</v>
      </c>
      <c r="B37" s="22">
        <f>SUBTOTAL(109,Table23453456879111215141617181920212223242526272834567891011345678[Profit])</f>
        <v>166652.70000000001</v>
      </c>
      <c r="C37" s="22">
        <f>SUBTOTAL(109,Table23453456879111215141617181920212223242526272834567891011345678[Profit])</f>
        <v>166652.70000000001</v>
      </c>
      <c r="D37" s="22">
        <f>SUBTOTAL(109,Table23453456879111215141617181920212223242526272834567891011345678[Total])</f>
        <v>555509</v>
      </c>
      <c r="E37" s="22">
        <f>SUBTOTAL(109,Table23453456879111215141617181920212223242526272834567891011345678[Profit])</f>
        <v>166652.70000000001</v>
      </c>
      <c r="F37" s="22">
        <f>SUBTOTAL(109,Table23453456879111215141617181920212223242526272834567891011345678[Profit])</f>
        <v>166652.70000000001</v>
      </c>
      <c r="G37" s="22">
        <f t="shared" ref="G37:I37" si="33">SUM(G4:G36)</f>
        <v>193515</v>
      </c>
      <c r="H37" s="22">
        <f t="shared" si="33"/>
        <v>14.142857142857148</v>
      </c>
      <c r="I37" s="22">
        <f t="shared" si="33"/>
        <v>6864262</v>
      </c>
      <c r="K37" s="13">
        <f t="shared" si="27"/>
        <v>45496</v>
      </c>
      <c r="L37" s="14">
        <f>N37*0.3</f>
        <v>2787</v>
      </c>
      <c r="M37" s="14">
        <f t="shared" si="28"/>
        <v>6503</v>
      </c>
      <c r="N37" s="14">
        <f t="shared" si="29"/>
        <v>9290</v>
      </c>
      <c r="O37" s="14">
        <f t="shared" si="30"/>
        <v>2690</v>
      </c>
      <c r="P37" s="14">
        <f t="shared" si="31"/>
        <v>6600</v>
      </c>
      <c r="Q37" s="14">
        <f t="shared" si="32"/>
        <v>1400</v>
      </c>
    </row>
    <row r="38" spans="1:17" x14ac:dyDescent="0.35">
      <c r="A38" s="23"/>
      <c r="B38" s="24">
        <f>B37/3</f>
        <v>55550.9</v>
      </c>
      <c r="C38" s="24"/>
      <c r="E38" s="26">
        <f>D37*0.42</f>
        <v>233313.78</v>
      </c>
      <c r="F38" s="24"/>
      <c r="G38" s="24"/>
      <c r="H38" s="27"/>
      <c r="K38" s="15">
        <f t="shared" si="27"/>
        <v>45497</v>
      </c>
      <c r="L38" s="16">
        <f t="shared" ref="L38:L40" si="34">N38*0.3</f>
        <v>2973</v>
      </c>
      <c r="M38" s="16">
        <f t="shared" si="28"/>
        <v>6937</v>
      </c>
      <c r="N38" s="16">
        <f t="shared" si="29"/>
        <v>9910</v>
      </c>
      <c r="O38" s="16">
        <f t="shared" si="30"/>
        <v>3090</v>
      </c>
      <c r="P38" s="16">
        <f t="shared" si="31"/>
        <v>6820</v>
      </c>
      <c r="Q38" s="16">
        <f t="shared" si="32"/>
        <v>1400</v>
      </c>
    </row>
    <row r="39" spans="1:17" x14ac:dyDescent="0.35">
      <c r="A39" s="23"/>
      <c r="B39" s="24">
        <f>B38*100/D37</f>
        <v>10</v>
      </c>
      <c r="C39" s="24"/>
      <c r="E39" s="24">
        <f>E38/3</f>
        <v>77771.259999999995</v>
      </c>
      <c r="F39" s="24"/>
      <c r="G39" s="24"/>
      <c r="H39" s="27"/>
      <c r="K39" s="13">
        <f t="shared" si="27"/>
        <v>45498</v>
      </c>
      <c r="L39" s="14">
        <f t="shared" si="34"/>
        <v>1650</v>
      </c>
      <c r="M39" s="14">
        <f t="shared" si="28"/>
        <v>3850</v>
      </c>
      <c r="N39" s="14">
        <f t="shared" si="29"/>
        <v>5500</v>
      </c>
      <c r="O39" s="14">
        <f t="shared" si="30"/>
        <v>900</v>
      </c>
      <c r="P39" s="14">
        <f t="shared" si="31"/>
        <v>4600</v>
      </c>
      <c r="Q39" s="14">
        <f t="shared" si="32"/>
        <v>2650</v>
      </c>
    </row>
    <row r="40" spans="1:17" x14ac:dyDescent="0.35">
      <c r="A40" s="19" t="s">
        <v>0</v>
      </c>
      <c r="B40" s="20" t="s">
        <v>1</v>
      </c>
      <c r="C40" s="20" t="s">
        <v>2</v>
      </c>
      <c r="D40" s="20" t="s">
        <v>3</v>
      </c>
      <c r="E40" s="20" t="s">
        <v>4</v>
      </c>
      <c r="F40" s="20" t="s">
        <v>5</v>
      </c>
      <c r="G40" s="20" t="s">
        <v>6</v>
      </c>
      <c r="H40" s="28" t="s">
        <v>10</v>
      </c>
      <c r="K40" s="15">
        <f t="shared" si="27"/>
        <v>45499</v>
      </c>
      <c r="L40" s="16">
        <f t="shared" si="34"/>
        <v>2227.5</v>
      </c>
      <c r="M40" s="16">
        <f t="shared" si="28"/>
        <v>5197.5</v>
      </c>
      <c r="N40" s="16">
        <f t="shared" si="29"/>
        <v>7425</v>
      </c>
      <c r="O40" s="16">
        <f t="shared" si="30"/>
        <v>4900</v>
      </c>
      <c r="P40" s="16">
        <f t="shared" si="31"/>
        <v>2525</v>
      </c>
      <c r="Q40" s="16">
        <f t="shared" si="32"/>
        <v>1510</v>
      </c>
    </row>
    <row r="41" spans="1:17" x14ac:dyDescent="0.35">
      <c r="A41" s="29" t="str">
        <f>CONCATENATE(TEXT(K3,"DD-MMM-YYY")," to ",TEXT(K9,"DD-MMM-YYYY"))</f>
        <v>01-Jul-2024 to 07-Jul-2024</v>
      </c>
      <c r="B41" s="16">
        <f>L10</f>
        <v>33804.6</v>
      </c>
      <c r="C41" s="16">
        <f t="shared" ref="C41:G41" si="35">M10</f>
        <v>69329.399999999994</v>
      </c>
      <c r="D41" s="16">
        <f t="shared" si="35"/>
        <v>112682</v>
      </c>
      <c r="E41" s="16">
        <f t="shared" si="35"/>
        <v>26590</v>
      </c>
      <c r="F41" s="16">
        <f t="shared" si="35"/>
        <v>86092</v>
      </c>
      <c r="G41" s="16">
        <f t="shared" si="35"/>
        <v>41420</v>
      </c>
      <c r="H41" s="16">
        <f>B41/3</f>
        <v>11268.199999999999</v>
      </c>
      <c r="K41" s="13">
        <f t="shared" si="27"/>
        <v>45500</v>
      </c>
      <c r="L41" s="14">
        <f>N41*0.3</f>
        <v>7110</v>
      </c>
      <c r="M41" s="14">
        <f t="shared" si="28"/>
        <v>16590</v>
      </c>
      <c r="N41" s="14">
        <f t="shared" si="29"/>
        <v>23700</v>
      </c>
      <c r="O41" s="14">
        <f t="shared" si="30"/>
        <v>2400</v>
      </c>
      <c r="P41" s="14">
        <f t="shared" si="31"/>
        <v>21300</v>
      </c>
      <c r="Q41" s="14">
        <f t="shared" si="32"/>
        <v>2170</v>
      </c>
    </row>
    <row r="42" spans="1:17" x14ac:dyDescent="0.35">
      <c r="A42" s="29" t="str">
        <f>CONCATENATE(TEXT(K14,"DD-MMM-YYY")," to ",TEXT(K20,"DD-MMM-YYYY"))</f>
        <v>08-Jul-2024 to 14-Jul-2024</v>
      </c>
      <c r="B42" s="14">
        <f>L21</f>
        <v>25991.7</v>
      </c>
      <c r="C42" s="14">
        <f t="shared" ref="C42:G42" si="36">M21</f>
        <v>60647.3</v>
      </c>
      <c r="D42" s="14">
        <f t="shared" si="36"/>
        <v>86639</v>
      </c>
      <c r="E42" s="14">
        <f t="shared" si="36"/>
        <v>20940</v>
      </c>
      <c r="F42" s="14">
        <f t="shared" si="36"/>
        <v>65699</v>
      </c>
      <c r="G42" s="14">
        <f t="shared" si="36"/>
        <v>8695</v>
      </c>
      <c r="H42" s="16">
        <f t="shared" ref="H42:H45" si="37">B42/3</f>
        <v>8663.9</v>
      </c>
      <c r="K42" s="15">
        <f t="shared" si="27"/>
        <v>45501</v>
      </c>
      <c r="L42" s="16">
        <f>N42*0.3</f>
        <v>2175</v>
      </c>
      <c r="M42" s="16">
        <f t="shared" si="28"/>
        <v>5075</v>
      </c>
      <c r="N42" s="16">
        <f t="shared" si="29"/>
        <v>7250</v>
      </c>
      <c r="O42" s="16">
        <f t="shared" si="30"/>
        <v>4830</v>
      </c>
      <c r="P42" s="16">
        <f t="shared" si="31"/>
        <v>2420</v>
      </c>
      <c r="Q42" s="16">
        <f t="shared" si="32"/>
        <v>2150</v>
      </c>
    </row>
    <row r="43" spans="1:17" x14ac:dyDescent="0.35">
      <c r="A43" s="29" t="str">
        <f>CONCATENATE(TEXT(K25,"DD-MMM-YYY")," to ",TEXT(K31,"DD-MMM-YYYY"))</f>
        <v>15-Jul-2024 to 21-Jul-2024</v>
      </c>
      <c r="B43" s="16">
        <f>L32</f>
        <v>32379.3</v>
      </c>
      <c r="C43" s="16">
        <f t="shared" ref="C43:G43" si="38">M32</f>
        <v>75551.7</v>
      </c>
      <c r="D43" s="16">
        <f t="shared" si="38"/>
        <v>107931</v>
      </c>
      <c r="E43" s="16">
        <f t="shared" si="38"/>
        <v>33105</v>
      </c>
      <c r="F43" s="16">
        <f t="shared" si="38"/>
        <v>74826</v>
      </c>
      <c r="G43" s="16">
        <f t="shared" si="38"/>
        <v>11775</v>
      </c>
      <c r="H43" s="16">
        <f t="shared" si="37"/>
        <v>10793.1</v>
      </c>
      <c r="K43" s="18" t="s">
        <v>3</v>
      </c>
      <c r="L43" s="16">
        <f t="shared" ref="L43" si="39">SUM(L36:L42)</f>
        <v>25089.599999999999</v>
      </c>
      <c r="M43" s="14">
        <f t="shared" ref="M43:Q43" si="40">SUM(M36:M42)</f>
        <v>58542.400000000001</v>
      </c>
      <c r="N43" s="14">
        <f t="shared" si="40"/>
        <v>83632</v>
      </c>
      <c r="O43" s="14">
        <f t="shared" si="40"/>
        <v>20230</v>
      </c>
      <c r="P43" s="14">
        <f t="shared" si="40"/>
        <v>63402</v>
      </c>
      <c r="Q43" s="14">
        <f t="shared" si="40"/>
        <v>12990</v>
      </c>
    </row>
    <row r="44" spans="1:17" x14ac:dyDescent="0.35">
      <c r="A44" s="29" t="str">
        <f>CONCATENATE(TEXT(K36,"DD-MMM-YYY")," to ",TEXT(K42,"DD-MMM-YYYY"))</f>
        <v>22-Jul-2024 to 28-Jul-2024</v>
      </c>
      <c r="B44" s="14">
        <f>L43</f>
        <v>25089.599999999999</v>
      </c>
      <c r="C44" s="14">
        <f t="shared" ref="C44:G44" si="41">M43</f>
        <v>58542.400000000001</v>
      </c>
      <c r="D44" s="14">
        <f t="shared" si="41"/>
        <v>83632</v>
      </c>
      <c r="E44" s="14">
        <f t="shared" si="41"/>
        <v>20230</v>
      </c>
      <c r="F44" s="14">
        <f t="shared" si="41"/>
        <v>63402</v>
      </c>
      <c r="G44" s="14">
        <f t="shared" si="41"/>
        <v>12990</v>
      </c>
      <c r="H44" s="16">
        <f t="shared" si="37"/>
        <v>8363.1999999999989</v>
      </c>
      <c r="K44" s="18" t="s">
        <v>10</v>
      </c>
      <c r="L44" s="16">
        <f>L43/3</f>
        <v>8363.1999999999989</v>
      </c>
      <c r="M44" s="16"/>
      <c r="N44" s="16"/>
      <c r="O44" s="16"/>
      <c r="P44" s="16"/>
      <c r="Q44" s="16"/>
    </row>
    <row r="45" spans="1:17" x14ac:dyDescent="0.35">
      <c r="A45" s="29" t="str">
        <f>CONCATENATE(TEXT(K47,"DD-MMM-YYY")," to ",TEXT(K53,"DD-MMM-YYYY"))</f>
        <v>29-Jul-2024 to 04-Aug-2024</v>
      </c>
      <c r="B45" s="16">
        <f>L54</f>
        <v>49387.5</v>
      </c>
      <c r="C45" s="16">
        <f t="shared" ref="C45:G45" si="42">M54</f>
        <v>115237.5</v>
      </c>
      <c r="D45" s="16">
        <f t="shared" si="42"/>
        <v>164625</v>
      </c>
      <c r="E45" s="16">
        <f t="shared" si="42"/>
        <v>37940</v>
      </c>
      <c r="F45" s="16">
        <f t="shared" si="42"/>
        <v>126685</v>
      </c>
      <c r="G45" s="16">
        <f t="shared" si="42"/>
        <v>142155</v>
      </c>
      <c r="H45" s="16">
        <f t="shared" si="37"/>
        <v>16462.5</v>
      </c>
    </row>
    <row r="46" spans="1:17" x14ac:dyDescent="0.35">
      <c r="A46" s="29" t="str">
        <f>CONCATENATE(TEXT(K59,"DD-MMM-YYY")," to ",TEXT(K58,"DD-MMM-YYYY"))</f>
        <v>05-Jul-2024 to Date</v>
      </c>
      <c r="B46" s="14">
        <f>SUM(B41:B45)</f>
        <v>166652.70000000001</v>
      </c>
      <c r="C46" s="14">
        <f t="shared" ref="C46:H46" si="43">SUM(C41:C45)</f>
        <v>379308.3</v>
      </c>
      <c r="D46" s="14">
        <f t="shared" si="43"/>
        <v>555509</v>
      </c>
      <c r="E46" s="14">
        <f t="shared" si="43"/>
        <v>138805</v>
      </c>
      <c r="F46" s="14">
        <f t="shared" si="43"/>
        <v>416704</v>
      </c>
      <c r="G46" s="14">
        <f t="shared" si="43"/>
        <v>217035</v>
      </c>
      <c r="H46" s="14">
        <f t="shared" si="43"/>
        <v>55550.899999999994</v>
      </c>
      <c r="K46" s="19" t="s">
        <v>0</v>
      </c>
      <c r="L46" s="20" t="s">
        <v>1</v>
      </c>
      <c r="M46" s="20" t="s">
        <v>2</v>
      </c>
      <c r="N46" s="20" t="s">
        <v>3</v>
      </c>
      <c r="O46" s="20" t="s">
        <v>4</v>
      </c>
      <c r="P46" s="20" t="s">
        <v>5</v>
      </c>
      <c r="Q46" s="20" t="s">
        <v>6</v>
      </c>
    </row>
    <row r="47" spans="1:17" x14ac:dyDescent="0.35">
      <c r="C47" s="65" t="s">
        <v>3</v>
      </c>
      <c r="D47" s="65"/>
      <c r="E47" s="65"/>
      <c r="F47" s="65"/>
      <c r="G47" s="66"/>
      <c r="H47" s="16"/>
      <c r="K47" s="15">
        <f t="shared" ref="K47:K53" si="44">A30</f>
        <v>45502</v>
      </c>
      <c r="L47" s="16">
        <f t="shared" ref="L47:L53" si="45">N47*0.3</f>
        <v>2670</v>
      </c>
      <c r="M47" s="16">
        <f t="shared" ref="M47:M53" si="46">N47-L47</f>
        <v>6230</v>
      </c>
      <c r="N47" s="16">
        <f t="shared" ref="N47:N53" si="47">O47+P47</f>
        <v>8900</v>
      </c>
      <c r="O47" s="16">
        <f t="shared" ref="O47:O52" si="48">VLOOKUP(K47,$A$1:$H$37,5,0)</f>
        <v>6100</v>
      </c>
      <c r="P47" s="16">
        <f t="shared" ref="P47:P53" si="49">VLOOKUP(K47,$A$1:$H$37,6,0)</f>
        <v>2800</v>
      </c>
      <c r="Q47" s="16">
        <f t="shared" ref="Q47:Q53" si="50">VLOOKUP(K47,$A$1:$H$37,7,0)</f>
        <v>3450</v>
      </c>
    </row>
    <row r="48" spans="1:17" x14ac:dyDescent="0.35">
      <c r="K48" s="13">
        <f t="shared" si="44"/>
        <v>45503</v>
      </c>
      <c r="L48" s="14">
        <f>N48*0.3</f>
        <v>8328</v>
      </c>
      <c r="M48" s="14">
        <f t="shared" si="46"/>
        <v>19432</v>
      </c>
      <c r="N48" s="14">
        <f t="shared" si="47"/>
        <v>27760</v>
      </c>
      <c r="O48" s="14">
        <f t="shared" si="48"/>
        <v>5000</v>
      </c>
      <c r="P48" s="14">
        <f t="shared" si="49"/>
        <v>22760</v>
      </c>
      <c r="Q48" s="14">
        <f t="shared" si="50"/>
        <v>5100</v>
      </c>
    </row>
    <row r="49" spans="11:17" x14ac:dyDescent="0.35">
      <c r="K49" s="15">
        <f t="shared" si="44"/>
        <v>45504</v>
      </c>
      <c r="L49" s="16">
        <f t="shared" si="45"/>
        <v>10831.5</v>
      </c>
      <c r="M49" s="16">
        <f t="shared" si="46"/>
        <v>25273.5</v>
      </c>
      <c r="N49" s="16">
        <f t="shared" si="47"/>
        <v>36105</v>
      </c>
      <c r="O49" s="16">
        <f t="shared" si="48"/>
        <v>9530</v>
      </c>
      <c r="P49" s="16">
        <f t="shared" si="49"/>
        <v>26575</v>
      </c>
      <c r="Q49" s="16">
        <f t="shared" si="50"/>
        <v>2820</v>
      </c>
    </row>
    <row r="50" spans="11:17" x14ac:dyDescent="0.35">
      <c r="K50" s="13">
        <f t="shared" si="44"/>
        <v>45505</v>
      </c>
      <c r="L50" s="14">
        <f>N50*0.3</f>
        <v>14721</v>
      </c>
      <c r="M50" s="14">
        <f t="shared" si="46"/>
        <v>34349</v>
      </c>
      <c r="N50" s="14">
        <f t="shared" si="47"/>
        <v>49070</v>
      </c>
      <c r="O50" s="14">
        <f t="shared" si="48"/>
        <v>4000</v>
      </c>
      <c r="P50" s="14">
        <f t="shared" si="49"/>
        <v>45070</v>
      </c>
      <c r="Q50" s="14">
        <f t="shared" si="50"/>
        <v>107150</v>
      </c>
    </row>
    <row r="51" spans="11:17" x14ac:dyDescent="0.35">
      <c r="K51" s="15">
        <f t="shared" si="44"/>
        <v>45506</v>
      </c>
      <c r="L51" s="16">
        <f t="shared" si="45"/>
        <v>4768.5</v>
      </c>
      <c r="M51" s="16">
        <f t="shared" si="46"/>
        <v>11126.5</v>
      </c>
      <c r="N51" s="16">
        <f t="shared" si="47"/>
        <v>15895</v>
      </c>
      <c r="O51" s="16">
        <f t="shared" si="48"/>
        <v>6975</v>
      </c>
      <c r="P51" s="16">
        <f t="shared" si="49"/>
        <v>8920</v>
      </c>
      <c r="Q51" s="16">
        <f t="shared" si="50"/>
        <v>22475</v>
      </c>
    </row>
    <row r="52" spans="11:17" x14ac:dyDescent="0.35">
      <c r="K52" s="13">
        <f t="shared" si="44"/>
        <v>45507</v>
      </c>
      <c r="L52" s="14">
        <f>N52*0.3</f>
        <v>4116</v>
      </c>
      <c r="M52" s="14">
        <f t="shared" si="46"/>
        <v>9604</v>
      </c>
      <c r="N52" s="14">
        <f t="shared" si="47"/>
        <v>13720</v>
      </c>
      <c r="O52" s="14">
        <f t="shared" si="48"/>
        <v>4320</v>
      </c>
      <c r="P52" s="14">
        <f t="shared" si="49"/>
        <v>9400</v>
      </c>
      <c r="Q52" s="14">
        <f t="shared" si="50"/>
        <v>600</v>
      </c>
    </row>
    <row r="53" spans="11:17" x14ac:dyDescent="0.35">
      <c r="K53" s="15">
        <f t="shared" si="44"/>
        <v>45508</v>
      </c>
      <c r="L53" s="16">
        <f t="shared" si="45"/>
        <v>3952.5</v>
      </c>
      <c r="M53" s="16">
        <f t="shared" si="46"/>
        <v>9222.5</v>
      </c>
      <c r="N53" s="16">
        <f t="shared" si="47"/>
        <v>13175</v>
      </c>
      <c r="O53" s="16">
        <f>VLOOKUP(K53,$A$1:$H$37,5,0)</f>
        <v>2015</v>
      </c>
      <c r="P53" s="16">
        <f t="shared" si="49"/>
        <v>11160</v>
      </c>
      <c r="Q53" s="16">
        <f t="shared" si="50"/>
        <v>560</v>
      </c>
    </row>
    <row r="54" spans="11:17" x14ac:dyDescent="0.35">
      <c r="K54" s="18" t="s">
        <v>3</v>
      </c>
      <c r="L54" s="14">
        <f t="shared" ref="L54:Q54" si="51">SUM(L47:L53)</f>
        <v>49387.5</v>
      </c>
      <c r="M54" s="14">
        <f t="shared" si="51"/>
        <v>115237.5</v>
      </c>
      <c r="N54" s="14">
        <f t="shared" si="51"/>
        <v>164625</v>
      </c>
      <c r="O54" s="14">
        <f t="shared" si="51"/>
        <v>37940</v>
      </c>
      <c r="P54" s="14">
        <f t="shared" si="51"/>
        <v>126685</v>
      </c>
      <c r="Q54" s="14">
        <f t="shared" si="51"/>
        <v>142155</v>
      </c>
    </row>
    <row r="55" spans="11:17" x14ac:dyDescent="0.35">
      <c r="K55" s="18" t="s">
        <v>10</v>
      </c>
      <c r="L55" s="16">
        <f>L54/3</f>
        <v>16462.5</v>
      </c>
      <c r="M55" s="16"/>
      <c r="N55" s="16"/>
      <c r="O55" s="16"/>
      <c r="P55" s="16"/>
      <c r="Q55" s="16"/>
    </row>
    <row r="58" spans="11:17" x14ac:dyDescent="0.35">
      <c r="K58" s="19" t="s">
        <v>0</v>
      </c>
      <c r="L58" s="20" t="s">
        <v>1</v>
      </c>
      <c r="M58" s="20" t="s">
        <v>2</v>
      </c>
      <c r="N58" s="20" t="s">
        <v>3</v>
      </c>
      <c r="O58" s="20" t="s">
        <v>4</v>
      </c>
      <c r="P58" s="20" t="s">
        <v>5</v>
      </c>
      <c r="Q58" s="20" t="s">
        <v>6</v>
      </c>
    </row>
    <row r="59" spans="11:17" x14ac:dyDescent="0.35">
      <c r="K59" s="30">
        <f>A6</f>
        <v>45478</v>
      </c>
      <c r="L59" s="14">
        <f>SUM(B7:B36)</f>
        <v>139958.1</v>
      </c>
      <c r="M59" s="14">
        <f t="shared" ref="M59:Q59" si="52">SUM(C7:C36)</f>
        <v>326568.90000000002</v>
      </c>
      <c r="N59" s="14">
        <f t="shared" si="52"/>
        <v>466527</v>
      </c>
      <c r="O59" s="14">
        <f t="shared" si="52"/>
        <v>121715</v>
      </c>
      <c r="P59" s="14">
        <f t="shared" si="52"/>
        <v>344812</v>
      </c>
      <c r="Q59" s="14">
        <f t="shared" si="52"/>
        <v>186615</v>
      </c>
    </row>
    <row r="60" spans="11:17" x14ac:dyDescent="0.35">
      <c r="K60" s="18" t="s">
        <v>10</v>
      </c>
      <c r="L60" s="16">
        <f>L59/3</f>
        <v>46652.700000000004</v>
      </c>
      <c r="M60" s="16"/>
      <c r="N60" s="16"/>
      <c r="O60" s="16"/>
      <c r="P60" s="16"/>
      <c r="Q60" s="16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ignoredErrors>
    <ignoredError sqref="G7" unlockedFormula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2F99-5B3F-43F6-BE3C-5B6F32CE08F3}">
  <dimension ref="A1:Q60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5" width="10" bestFit="1" customWidth="1"/>
    <col min="16" max="16" width="16.453125" bestFit="1" customWidth="1"/>
    <col min="17" max="17" width="9" bestFit="1" customWidth="1"/>
  </cols>
  <sheetData>
    <row r="1" spans="1:17" s="6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K1" s="7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5">
      <c r="A2" s="31">
        <v>45509</v>
      </c>
      <c r="B2" s="10">
        <f t="shared" ref="B2:B29" si="0">D2*0.3</f>
        <v>6819</v>
      </c>
      <c r="C2" s="10">
        <f t="shared" ref="C2:C29" si="1">D2-B2</f>
        <v>15911</v>
      </c>
      <c r="D2" s="10">
        <f t="shared" ref="D2:D29" si="2">E2+F2</f>
        <v>22730</v>
      </c>
      <c r="E2" s="10">
        <v>2380</v>
      </c>
      <c r="F2" s="10">
        <v>20350</v>
      </c>
      <c r="G2" s="10">
        <v>1200</v>
      </c>
      <c r="H2" s="11">
        <f t="shared" ref="H2:H29" si="3">IFERROR(B2/C2,0)</f>
        <v>0.42857142857142855</v>
      </c>
      <c r="I2" s="12">
        <f>SUM($D$2:D2)-SUM($G$2:G2)</f>
        <v>21530</v>
      </c>
      <c r="K2" s="13" t="s">
        <v>9</v>
      </c>
      <c r="L2" s="14"/>
      <c r="M2" s="14"/>
      <c r="N2" s="14"/>
      <c r="O2" s="14"/>
      <c r="P2" s="14"/>
      <c r="Q2" s="14">
        <v>0</v>
      </c>
    </row>
    <row r="3" spans="1:17" x14ac:dyDescent="0.35">
      <c r="A3" s="31">
        <v>45510</v>
      </c>
      <c r="B3" s="10">
        <f t="shared" si="0"/>
        <v>3092.7</v>
      </c>
      <c r="C3" s="10">
        <f t="shared" si="1"/>
        <v>7216.3</v>
      </c>
      <c r="D3" s="10">
        <f t="shared" si="2"/>
        <v>10309</v>
      </c>
      <c r="E3" s="10">
        <v>1880</v>
      </c>
      <c r="F3" s="10">
        <v>8429</v>
      </c>
      <c r="G3" s="10">
        <v>1000</v>
      </c>
      <c r="H3" s="11">
        <f t="shared" si="3"/>
        <v>0.42857142857142855</v>
      </c>
      <c r="I3" s="12">
        <f>SUM($D$2:D3)-SUM($G$2:G3)</f>
        <v>30839</v>
      </c>
      <c r="K3" s="15">
        <f t="shared" ref="K3:K9" si="4">A2</f>
        <v>45509</v>
      </c>
      <c r="L3" s="16">
        <f>N3*0.3</f>
        <v>6819</v>
      </c>
      <c r="M3" s="16">
        <f t="shared" ref="M3:M9" si="5">N3-L3</f>
        <v>15911</v>
      </c>
      <c r="N3" s="16">
        <f t="shared" ref="N3:N9" si="6">O3+P3</f>
        <v>22730</v>
      </c>
      <c r="O3" s="16">
        <f t="shared" ref="O3:O9" si="7">VLOOKUP(K3,$A$1:$H$30,5,0)</f>
        <v>2380</v>
      </c>
      <c r="P3" s="16">
        <f t="shared" ref="P3:P9" si="8">VLOOKUP(K3,$A$1:$H$30,6,0)</f>
        <v>20350</v>
      </c>
      <c r="Q3" s="16">
        <f t="shared" ref="Q3:Q9" si="9">VLOOKUP(K3,$A$1:$H$30,7,0)</f>
        <v>1200</v>
      </c>
    </row>
    <row r="4" spans="1:17" x14ac:dyDescent="0.35">
      <c r="A4" s="31">
        <v>45511</v>
      </c>
      <c r="B4" s="10">
        <f t="shared" si="0"/>
        <v>6129</v>
      </c>
      <c r="C4" s="10">
        <f t="shared" si="1"/>
        <v>14301</v>
      </c>
      <c r="D4" s="10">
        <f t="shared" si="2"/>
        <v>20430</v>
      </c>
      <c r="E4" s="17">
        <v>1690</v>
      </c>
      <c r="F4" s="17">
        <v>18740</v>
      </c>
      <c r="G4" s="17">
        <v>690</v>
      </c>
      <c r="H4" s="11">
        <f t="shared" si="3"/>
        <v>0.42857142857142855</v>
      </c>
      <c r="I4" s="12">
        <f>SUM($D$2:D4)-SUM($G$2:G4)</f>
        <v>50579</v>
      </c>
      <c r="K4" s="13">
        <f t="shared" si="4"/>
        <v>45510</v>
      </c>
      <c r="L4" s="14">
        <f>N4*0.3</f>
        <v>3092.7</v>
      </c>
      <c r="M4" s="14">
        <f t="shared" si="5"/>
        <v>7216.3</v>
      </c>
      <c r="N4" s="14">
        <f t="shared" si="6"/>
        <v>10309</v>
      </c>
      <c r="O4" s="14">
        <f t="shared" si="7"/>
        <v>1880</v>
      </c>
      <c r="P4" s="14">
        <f t="shared" si="8"/>
        <v>8429</v>
      </c>
      <c r="Q4" s="14">
        <f t="shared" si="9"/>
        <v>1000</v>
      </c>
    </row>
    <row r="5" spans="1:17" x14ac:dyDescent="0.35">
      <c r="A5" s="31">
        <v>45512</v>
      </c>
      <c r="B5" s="10">
        <f t="shared" si="0"/>
        <v>6024</v>
      </c>
      <c r="C5" s="10">
        <f t="shared" si="1"/>
        <v>14056</v>
      </c>
      <c r="D5" s="10">
        <f t="shared" si="2"/>
        <v>20080</v>
      </c>
      <c r="E5" s="10">
        <v>8550</v>
      </c>
      <c r="F5" s="10">
        <v>11530</v>
      </c>
      <c r="G5" s="10">
        <v>1550</v>
      </c>
      <c r="H5" s="11">
        <f t="shared" si="3"/>
        <v>0.42857142857142855</v>
      </c>
      <c r="I5" s="12">
        <f>SUM($D$2:D5)-SUM($G$2:G5)</f>
        <v>69109</v>
      </c>
      <c r="K5" s="15">
        <f t="shared" si="4"/>
        <v>45511</v>
      </c>
      <c r="L5" s="16">
        <f t="shared" ref="L5:L9" si="10">N5*0.3</f>
        <v>6129</v>
      </c>
      <c r="M5" s="16">
        <f t="shared" si="5"/>
        <v>14301</v>
      </c>
      <c r="N5" s="16">
        <f t="shared" si="6"/>
        <v>20430</v>
      </c>
      <c r="O5" s="16">
        <f t="shared" si="7"/>
        <v>1690</v>
      </c>
      <c r="P5" s="16">
        <f t="shared" si="8"/>
        <v>18740</v>
      </c>
      <c r="Q5" s="16">
        <f t="shared" si="9"/>
        <v>690</v>
      </c>
    </row>
    <row r="6" spans="1:17" x14ac:dyDescent="0.35">
      <c r="A6" s="31">
        <v>45513</v>
      </c>
      <c r="B6" s="10">
        <f t="shared" si="0"/>
        <v>4185</v>
      </c>
      <c r="C6" s="10">
        <f t="shared" si="1"/>
        <v>9765</v>
      </c>
      <c r="D6" s="10">
        <f t="shared" si="2"/>
        <v>13950</v>
      </c>
      <c r="E6" s="10">
        <v>1770</v>
      </c>
      <c r="F6" s="10">
        <v>12180</v>
      </c>
      <c r="G6" s="10">
        <v>1140</v>
      </c>
      <c r="H6" s="11">
        <f t="shared" si="3"/>
        <v>0.42857142857142855</v>
      </c>
      <c r="I6" s="12">
        <f>SUM($D$2:D6)-SUM($G$2:G6)</f>
        <v>81919</v>
      </c>
      <c r="K6" s="13">
        <f t="shared" si="4"/>
        <v>45512</v>
      </c>
      <c r="L6" s="14">
        <f t="shared" si="10"/>
        <v>6024</v>
      </c>
      <c r="M6" s="14">
        <f t="shared" si="5"/>
        <v>14056</v>
      </c>
      <c r="N6" s="14">
        <f t="shared" si="6"/>
        <v>20080</v>
      </c>
      <c r="O6" s="14">
        <f t="shared" si="7"/>
        <v>8550</v>
      </c>
      <c r="P6" s="14">
        <f t="shared" si="8"/>
        <v>11530</v>
      </c>
      <c r="Q6" s="14">
        <f t="shared" si="9"/>
        <v>1550</v>
      </c>
    </row>
    <row r="7" spans="1:17" x14ac:dyDescent="0.35">
      <c r="A7" s="31">
        <v>45514</v>
      </c>
      <c r="B7" s="10">
        <f t="shared" si="0"/>
        <v>5070</v>
      </c>
      <c r="C7" s="10">
        <f t="shared" si="1"/>
        <v>11830</v>
      </c>
      <c r="D7" s="10">
        <f t="shared" si="2"/>
        <v>16900</v>
      </c>
      <c r="E7" s="17">
        <v>2275</v>
      </c>
      <c r="F7" s="17">
        <v>14625</v>
      </c>
      <c r="G7" s="17">
        <v>920</v>
      </c>
      <c r="H7" s="11">
        <f t="shared" si="3"/>
        <v>0.42857142857142855</v>
      </c>
      <c r="I7" s="12">
        <f>SUM($D$2:D7)-SUM($G$2:G7)</f>
        <v>97899</v>
      </c>
      <c r="K7" s="15">
        <f t="shared" si="4"/>
        <v>45513</v>
      </c>
      <c r="L7" s="16">
        <f t="shared" si="10"/>
        <v>4185</v>
      </c>
      <c r="M7" s="16">
        <f t="shared" si="5"/>
        <v>9765</v>
      </c>
      <c r="N7" s="16">
        <f t="shared" si="6"/>
        <v>13950</v>
      </c>
      <c r="O7" s="16">
        <f t="shared" si="7"/>
        <v>1770</v>
      </c>
      <c r="P7" s="16">
        <f t="shared" si="8"/>
        <v>12180</v>
      </c>
      <c r="Q7" s="16">
        <f t="shared" si="9"/>
        <v>1140</v>
      </c>
    </row>
    <row r="8" spans="1:17" x14ac:dyDescent="0.35">
      <c r="A8" s="31">
        <v>45515</v>
      </c>
      <c r="B8" s="10">
        <f t="shared" si="0"/>
        <v>8244</v>
      </c>
      <c r="C8" s="10">
        <f t="shared" si="1"/>
        <v>19236</v>
      </c>
      <c r="D8" s="10">
        <f t="shared" si="2"/>
        <v>27480</v>
      </c>
      <c r="E8" s="17">
        <v>7480</v>
      </c>
      <c r="F8" s="17">
        <v>20000</v>
      </c>
      <c r="G8" s="17">
        <v>6500</v>
      </c>
      <c r="H8" s="11">
        <f t="shared" si="3"/>
        <v>0.42857142857142855</v>
      </c>
      <c r="I8" s="12">
        <f>SUM($D$2:D8)-SUM($G$2:G8)</f>
        <v>118879</v>
      </c>
      <c r="K8" s="13">
        <f t="shared" si="4"/>
        <v>45514</v>
      </c>
      <c r="L8" s="14">
        <f t="shared" si="10"/>
        <v>5070</v>
      </c>
      <c r="M8" s="14" t="s">
        <v>12</v>
      </c>
      <c r="N8" s="14">
        <f t="shared" si="6"/>
        <v>16900</v>
      </c>
      <c r="O8" s="14">
        <f t="shared" si="7"/>
        <v>2275</v>
      </c>
      <c r="P8" s="14">
        <f t="shared" si="8"/>
        <v>14625</v>
      </c>
      <c r="Q8" s="14">
        <f t="shared" si="9"/>
        <v>920</v>
      </c>
    </row>
    <row r="9" spans="1:17" x14ac:dyDescent="0.35">
      <c r="A9" s="31">
        <v>45516</v>
      </c>
      <c r="B9" s="10">
        <f t="shared" si="0"/>
        <v>2010</v>
      </c>
      <c r="C9" s="10">
        <f t="shared" si="1"/>
        <v>4690</v>
      </c>
      <c r="D9" s="10">
        <f t="shared" si="2"/>
        <v>6700</v>
      </c>
      <c r="E9" s="10">
        <v>5260</v>
      </c>
      <c r="F9" s="10">
        <v>1440</v>
      </c>
      <c r="G9" s="10">
        <v>1460</v>
      </c>
      <c r="H9" s="11">
        <f t="shared" si="3"/>
        <v>0.42857142857142855</v>
      </c>
      <c r="I9" s="12">
        <f>SUM($D$2:D9)-SUM($G$2:G9)</f>
        <v>124119</v>
      </c>
      <c r="K9" s="15">
        <f t="shared" si="4"/>
        <v>45515</v>
      </c>
      <c r="L9" s="16">
        <f t="shared" si="10"/>
        <v>8244</v>
      </c>
      <c r="M9" s="16">
        <f t="shared" si="5"/>
        <v>19236</v>
      </c>
      <c r="N9" s="16">
        <f t="shared" si="6"/>
        <v>27480</v>
      </c>
      <c r="O9" s="16">
        <f t="shared" si="7"/>
        <v>7480</v>
      </c>
      <c r="P9" s="16">
        <f t="shared" si="8"/>
        <v>20000</v>
      </c>
      <c r="Q9" s="16">
        <f t="shared" si="9"/>
        <v>6500</v>
      </c>
    </row>
    <row r="10" spans="1:17" x14ac:dyDescent="0.35">
      <c r="A10" s="31">
        <v>45517</v>
      </c>
      <c r="B10" s="10">
        <f t="shared" si="0"/>
        <v>3276</v>
      </c>
      <c r="C10" s="10">
        <f t="shared" si="1"/>
        <v>7644</v>
      </c>
      <c r="D10" s="10">
        <f t="shared" si="2"/>
        <v>10920</v>
      </c>
      <c r="E10" s="10">
        <v>6000</v>
      </c>
      <c r="F10" s="10">
        <v>4920</v>
      </c>
      <c r="G10" s="10">
        <v>3260</v>
      </c>
      <c r="H10" s="11">
        <f t="shared" si="3"/>
        <v>0.42857142857142855</v>
      </c>
      <c r="I10" s="12">
        <f>SUM($D$2:D10)-SUM($G$2:G10)</f>
        <v>131779</v>
      </c>
      <c r="K10" s="18" t="s">
        <v>3</v>
      </c>
      <c r="L10" s="18">
        <f>SUM(L3:L9)</f>
        <v>39563.699999999997</v>
      </c>
      <c r="M10" s="18">
        <f>SUM(M2:M9)</f>
        <v>80485.3</v>
      </c>
      <c r="N10" s="18">
        <f>SUM(N2:N9)</f>
        <v>131879</v>
      </c>
      <c r="O10" s="18">
        <f>SUM(O2:O9)</f>
        <v>26025</v>
      </c>
      <c r="P10" s="18">
        <f>SUM(P2:P9)</f>
        <v>105854</v>
      </c>
      <c r="Q10" s="18">
        <f>SUM(Q2:Q9)</f>
        <v>13000</v>
      </c>
    </row>
    <row r="11" spans="1:17" x14ac:dyDescent="0.35">
      <c r="A11" s="31">
        <v>45518</v>
      </c>
      <c r="B11" s="10">
        <f t="shared" si="0"/>
        <v>8461.5</v>
      </c>
      <c r="C11" s="10">
        <f t="shared" si="1"/>
        <v>19743.5</v>
      </c>
      <c r="D11" s="10">
        <f t="shared" si="2"/>
        <v>28205</v>
      </c>
      <c r="E11" s="10">
        <v>15980</v>
      </c>
      <c r="F11" s="10">
        <v>12225</v>
      </c>
      <c r="G11" s="10">
        <v>3340</v>
      </c>
      <c r="H11" s="11">
        <f t="shared" si="3"/>
        <v>0.42857142857142855</v>
      </c>
      <c r="I11" s="12">
        <f>SUM($D$2:D11)-SUM($G$2:G11)</f>
        <v>156644</v>
      </c>
      <c r="K11" s="18" t="s">
        <v>10</v>
      </c>
      <c r="L11" s="18">
        <f>L10/3</f>
        <v>13187.9</v>
      </c>
      <c r="M11" s="18"/>
      <c r="N11" s="18"/>
      <c r="O11" s="16"/>
      <c r="P11" s="16"/>
      <c r="Q11" s="16"/>
    </row>
    <row r="12" spans="1:17" x14ac:dyDescent="0.35">
      <c r="A12" s="31">
        <v>45519</v>
      </c>
      <c r="B12" s="10">
        <f t="shared" si="0"/>
        <v>4323</v>
      </c>
      <c r="C12" s="10">
        <f t="shared" si="1"/>
        <v>10087</v>
      </c>
      <c r="D12" s="10">
        <f t="shared" si="2"/>
        <v>14410</v>
      </c>
      <c r="E12" s="10">
        <v>6600</v>
      </c>
      <c r="F12" s="10">
        <v>7810</v>
      </c>
      <c r="G12" s="10">
        <v>790</v>
      </c>
      <c r="H12" s="11">
        <f t="shared" si="3"/>
        <v>0.42857142857142855</v>
      </c>
      <c r="I12" s="12">
        <f>SUM($D$2:D12)-SUM($G$2:G12)</f>
        <v>170264</v>
      </c>
    </row>
    <row r="13" spans="1:17" x14ac:dyDescent="0.35">
      <c r="A13" s="31">
        <v>45520</v>
      </c>
      <c r="B13" s="10">
        <f t="shared" si="0"/>
        <v>2199</v>
      </c>
      <c r="C13" s="10">
        <f t="shared" si="1"/>
        <v>5131</v>
      </c>
      <c r="D13" s="10">
        <f t="shared" si="2"/>
        <v>7330</v>
      </c>
      <c r="E13" s="10">
        <v>2800</v>
      </c>
      <c r="F13" s="10">
        <v>4530</v>
      </c>
      <c r="G13" s="10">
        <v>1700</v>
      </c>
      <c r="H13" s="11">
        <f t="shared" si="3"/>
        <v>0.42857142857142855</v>
      </c>
      <c r="I13" s="12">
        <f>SUM($D$2:D13)-SUM($G$2:G13)</f>
        <v>175894</v>
      </c>
      <c r="K13" s="19" t="s">
        <v>0</v>
      </c>
      <c r="L13" s="20" t="s">
        <v>1</v>
      </c>
      <c r="M13" s="20" t="s">
        <v>2</v>
      </c>
      <c r="N13" s="20" t="s">
        <v>3</v>
      </c>
      <c r="O13" s="20" t="s">
        <v>4</v>
      </c>
      <c r="P13" s="20" t="s">
        <v>5</v>
      </c>
      <c r="Q13" s="20" t="s">
        <v>6</v>
      </c>
    </row>
    <row r="14" spans="1:17" x14ac:dyDescent="0.35">
      <c r="A14" s="31">
        <v>45521</v>
      </c>
      <c r="B14" s="10">
        <f t="shared" si="0"/>
        <v>7260</v>
      </c>
      <c r="C14" s="10">
        <f t="shared" si="1"/>
        <v>16940</v>
      </c>
      <c r="D14" s="10">
        <f t="shared" si="2"/>
        <v>24200</v>
      </c>
      <c r="E14" s="10">
        <v>13000</v>
      </c>
      <c r="F14" s="10">
        <v>11200</v>
      </c>
      <c r="G14" s="10">
        <v>3100</v>
      </c>
      <c r="H14" s="11">
        <f t="shared" si="3"/>
        <v>0.42857142857142855</v>
      </c>
      <c r="I14" s="12">
        <f>SUM($D$2:D14)-SUM($G$2:G14)</f>
        <v>196994</v>
      </c>
      <c r="K14" s="15">
        <f t="shared" ref="K14:K20" si="11">A9</f>
        <v>45516</v>
      </c>
      <c r="L14" s="16">
        <f>N14*0.3</f>
        <v>2010</v>
      </c>
      <c r="M14" s="16">
        <f t="shared" ref="M14:M20" si="12">N14-L14</f>
        <v>4690</v>
      </c>
      <c r="N14" s="16">
        <f t="shared" ref="N14:N20" si="13">O14+P14</f>
        <v>6700</v>
      </c>
      <c r="O14" s="16">
        <f t="shared" ref="O14:O20" si="14">VLOOKUP(K14,$A$1:$H$30,5,0)</f>
        <v>5260</v>
      </c>
      <c r="P14" s="16">
        <f t="shared" ref="P14:P20" si="15">VLOOKUP(K14,$A$1:$H$30,6,0)</f>
        <v>1440</v>
      </c>
      <c r="Q14" s="16">
        <f t="shared" ref="Q14:Q20" si="16">VLOOKUP(K14,$A$1:$H$30,7,0)</f>
        <v>1460</v>
      </c>
    </row>
    <row r="15" spans="1:17" x14ac:dyDescent="0.35">
      <c r="A15" s="31">
        <v>45522</v>
      </c>
      <c r="B15" s="10">
        <f t="shared" si="0"/>
        <v>3343.5</v>
      </c>
      <c r="C15" s="10">
        <f t="shared" si="1"/>
        <v>7801.5</v>
      </c>
      <c r="D15" s="10">
        <f t="shared" si="2"/>
        <v>11145</v>
      </c>
      <c r="E15" s="10">
        <v>5230</v>
      </c>
      <c r="F15" s="10">
        <v>5915</v>
      </c>
      <c r="G15" s="10">
        <v>1060</v>
      </c>
      <c r="H15" s="11">
        <f t="shared" si="3"/>
        <v>0.42857142857142855</v>
      </c>
      <c r="I15" s="12">
        <f>SUM($D$2:D15)-SUM($G$2:G15)</f>
        <v>207079</v>
      </c>
      <c r="K15" s="13">
        <f t="shared" si="11"/>
        <v>45517</v>
      </c>
      <c r="L15" s="14">
        <f>N15*0.3</f>
        <v>3276</v>
      </c>
      <c r="M15" s="14">
        <f t="shared" si="12"/>
        <v>7644</v>
      </c>
      <c r="N15" s="14">
        <f t="shared" si="13"/>
        <v>10920</v>
      </c>
      <c r="O15" s="14">
        <f t="shared" si="14"/>
        <v>6000</v>
      </c>
      <c r="P15" s="14">
        <f t="shared" si="15"/>
        <v>4920</v>
      </c>
      <c r="Q15" s="14">
        <f t="shared" si="16"/>
        <v>3260</v>
      </c>
    </row>
    <row r="16" spans="1:17" x14ac:dyDescent="0.35">
      <c r="A16" s="31">
        <v>45523</v>
      </c>
      <c r="B16" s="10">
        <f t="shared" si="0"/>
        <v>1650</v>
      </c>
      <c r="C16" s="10">
        <f t="shared" si="1"/>
        <v>3850</v>
      </c>
      <c r="D16" s="10">
        <f t="shared" si="2"/>
        <v>5500</v>
      </c>
      <c r="E16" s="10">
        <v>4200</v>
      </c>
      <c r="F16" s="10">
        <v>1300</v>
      </c>
      <c r="G16" s="10">
        <v>2300</v>
      </c>
      <c r="H16" s="11">
        <f t="shared" si="3"/>
        <v>0.42857142857142855</v>
      </c>
      <c r="I16" s="12">
        <f>SUM($D$2:D16)-SUM($G$2:G16)</f>
        <v>210279</v>
      </c>
      <c r="K16" s="15">
        <f t="shared" si="11"/>
        <v>45518</v>
      </c>
      <c r="L16" s="16">
        <f t="shared" ref="L16:L20" si="17">N16*0.3</f>
        <v>8461.5</v>
      </c>
      <c r="M16" s="16">
        <f t="shared" si="12"/>
        <v>19743.5</v>
      </c>
      <c r="N16" s="16">
        <f t="shared" si="13"/>
        <v>28205</v>
      </c>
      <c r="O16" s="16">
        <f t="shared" si="14"/>
        <v>15980</v>
      </c>
      <c r="P16" s="16">
        <f t="shared" si="15"/>
        <v>12225</v>
      </c>
      <c r="Q16" s="16">
        <f t="shared" si="16"/>
        <v>3340</v>
      </c>
    </row>
    <row r="17" spans="1:17" x14ac:dyDescent="0.35">
      <c r="A17" s="31">
        <v>45524</v>
      </c>
      <c r="B17" s="10">
        <f t="shared" si="0"/>
        <v>14349</v>
      </c>
      <c r="C17" s="10">
        <f t="shared" si="1"/>
        <v>33481</v>
      </c>
      <c r="D17" s="10">
        <f t="shared" si="2"/>
        <v>47830</v>
      </c>
      <c r="E17" s="10">
        <v>17240</v>
      </c>
      <c r="F17" s="10">
        <v>30590</v>
      </c>
      <c r="G17" s="10">
        <f>105000+1280</f>
        <v>106280</v>
      </c>
      <c r="H17" s="11">
        <f t="shared" si="3"/>
        <v>0.42857142857142855</v>
      </c>
      <c r="I17" s="12">
        <f>SUM($D$2:D17)-SUM($G$2:G17)</f>
        <v>151829</v>
      </c>
      <c r="K17" s="13">
        <f t="shared" si="11"/>
        <v>45519</v>
      </c>
      <c r="L17" s="14">
        <f t="shared" si="17"/>
        <v>4323</v>
      </c>
      <c r="M17" s="14">
        <f t="shared" si="12"/>
        <v>10087</v>
      </c>
      <c r="N17" s="14">
        <f t="shared" si="13"/>
        <v>14410</v>
      </c>
      <c r="O17" s="14">
        <f t="shared" si="14"/>
        <v>6600</v>
      </c>
      <c r="P17" s="14">
        <f t="shared" si="15"/>
        <v>7810</v>
      </c>
      <c r="Q17" s="14">
        <f t="shared" si="16"/>
        <v>790</v>
      </c>
    </row>
    <row r="18" spans="1:17" x14ac:dyDescent="0.35">
      <c r="A18" s="31">
        <v>45525</v>
      </c>
      <c r="B18" s="10">
        <f t="shared" si="0"/>
        <v>10772.4</v>
      </c>
      <c r="C18" s="10">
        <f t="shared" si="1"/>
        <v>25135.599999999999</v>
      </c>
      <c r="D18" s="10">
        <f t="shared" si="2"/>
        <v>35908</v>
      </c>
      <c r="E18" s="10">
        <v>6666</v>
      </c>
      <c r="F18" s="10">
        <v>29242</v>
      </c>
      <c r="G18" s="10">
        <v>600</v>
      </c>
      <c r="H18" s="11">
        <f t="shared" si="3"/>
        <v>0.4285714285714286</v>
      </c>
      <c r="I18" s="12">
        <f>SUM($D$2:D18)-SUM($G$2:G18)</f>
        <v>187137</v>
      </c>
      <c r="K18" s="15">
        <f t="shared" si="11"/>
        <v>45520</v>
      </c>
      <c r="L18" s="16">
        <f t="shared" si="17"/>
        <v>2199</v>
      </c>
      <c r="M18" s="16">
        <f t="shared" si="12"/>
        <v>5131</v>
      </c>
      <c r="N18" s="16">
        <f t="shared" si="13"/>
        <v>7330</v>
      </c>
      <c r="O18" s="16">
        <f t="shared" si="14"/>
        <v>2800</v>
      </c>
      <c r="P18" s="16">
        <f t="shared" si="15"/>
        <v>4530</v>
      </c>
      <c r="Q18" s="16">
        <f t="shared" si="16"/>
        <v>1700</v>
      </c>
    </row>
    <row r="19" spans="1:17" x14ac:dyDescent="0.35">
      <c r="A19" s="31">
        <v>45526</v>
      </c>
      <c r="B19" s="10">
        <f t="shared" si="0"/>
        <v>2295</v>
      </c>
      <c r="C19" s="10">
        <f t="shared" si="1"/>
        <v>5355</v>
      </c>
      <c r="D19" s="10">
        <f t="shared" si="2"/>
        <v>7650</v>
      </c>
      <c r="E19" s="10">
        <v>2120</v>
      </c>
      <c r="F19" s="10">
        <v>5530</v>
      </c>
      <c r="G19" s="10">
        <v>780</v>
      </c>
      <c r="H19" s="11">
        <f t="shared" si="3"/>
        <v>0.42857142857142855</v>
      </c>
      <c r="I19" s="12">
        <f>SUM($D$2:D19)-SUM($G$2:G19)</f>
        <v>194007</v>
      </c>
      <c r="K19" s="13">
        <f t="shared" si="11"/>
        <v>45521</v>
      </c>
      <c r="L19" s="14">
        <f t="shared" si="17"/>
        <v>7260</v>
      </c>
      <c r="M19" s="14">
        <f t="shared" si="12"/>
        <v>16940</v>
      </c>
      <c r="N19" s="14">
        <f t="shared" si="13"/>
        <v>24200</v>
      </c>
      <c r="O19" s="14">
        <f t="shared" si="14"/>
        <v>13000</v>
      </c>
      <c r="P19" s="14">
        <f t="shared" si="15"/>
        <v>11200</v>
      </c>
      <c r="Q19" s="14">
        <f t="shared" si="16"/>
        <v>3100</v>
      </c>
    </row>
    <row r="20" spans="1:17" x14ac:dyDescent="0.35">
      <c r="A20" s="31">
        <v>45527</v>
      </c>
      <c r="B20" s="10">
        <f t="shared" si="0"/>
        <v>2668.5</v>
      </c>
      <c r="C20" s="10">
        <f t="shared" si="1"/>
        <v>6226.5</v>
      </c>
      <c r="D20" s="10">
        <f t="shared" si="2"/>
        <v>8895</v>
      </c>
      <c r="E20" s="10">
        <v>5320</v>
      </c>
      <c r="F20" s="10">
        <v>3575</v>
      </c>
      <c r="G20" s="10">
        <v>1500</v>
      </c>
      <c r="H20" s="11">
        <f t="shared" si="3"/>
        <v>0.42857142857142855</v>
      </c>
      <c r="I20" s="12">
        <f>SUM($D$2:D20)-SUM($G$2:G20)</f>
        <v>201402</v>
      </c>
      <c r="K20" s="15">
        <f t="shared" si="11"/>
        <v>45522</v>
      </c>
      <c r="L20" s="16">
        <f t="shared" si="17"/>
        <v>3343.5</v>
      </c>
      <c r="M20" s="16">
        <f t="shared" si="12"/>
        <v>7801.5</v>
      </c>
      <c r="N20" s="16">
        <f t="shared" si="13"/>
        <v>11145</v>
      </c>
      <c r="O20" s="16">
        <f t="shared" si="14"/>
        <v>5230</v>
      </c>
      <c r="P20" s="16">
        <f t="shared" si="15"/>
        <v>5915</v>
      </c>
      <c r="Q20" s="16">
        <f t="shared" si="16"/>
        <v>1060</v>
      </c>
    </row>
    <row r="21" spans="1:17" x14ac:dyDescent="0.35">
      <c r="A21" s="31">
        <v>45528</v>
      </c>
      <c r="B21" s="10">
        <f t="shared" si="0"/>
        <v>6612</v>
      </c>
      <c r="C21" s="10">
        <f t="shared" si="1"/>
        <v>15428</v>
      </c>
      <c r="D21" s="10">
        <f t="shared" si="2"/>
        <v>22040</v>
      </c>
      <c r="E21" s="10">
        <v>14700</v>
      </c>
      <c r="F21" s="10">
        <v>7340</v>
      </c>
      <c r="G21" s="10">
        <v>930</v>
      </c>
      <c r="H21" s="11">
        <f t="shared" si="3"/>
        <v>0.42857142857142855</v>
      </c>
      <c r="I21" s="12">
        <f>SUM($D$2:D21)-SUM($G$2:G21)</f>
        <v>222512</v>
      </c>
      <c r="K21" s="18" t="s">
        <v>3</v>
      </c>
      <c r="L21" s="18">
        <f t="shared" ref="L21:Q21" si="18">SUM(L14:L20)</f>
        <v>30873</v>
      </c>
      <c r="M21" s="18">
        <f t="shared" si="18"/>
        <v>72037</v>
      </c>
      <c r="N21" s="18">
        <f t="shared" si="18"/>
        <v>102910</v>
      </c>
      <c r="O21" s="18">
        <f t="shared" si="18"/>
        <v>54870</v>
      </c>
      <c r="P21" s="18">
        <f t="shared" si="18"/>
        <v>48040</v>
      </c>
      <c r="Q21" s="18">
        <f t="shared" si="18"/>
        <v>14710</v>
      </c>
    </row>
    <row r="22" spans="1:17" x14ac:dyDescent="0.35">
      <c r="A22" s="31">
        <v>45529</v>
      </c>
      <c r="B22" s="10">
        <f t="shared" si="0"/>
        <v>4218</v>
      </c>
      <c r="C22" s="10">
        <f t="shared" si="1"/>
        <v>9842</v>
      </c>
      <c r="D22" s="10">
        <f t="shared" si="2"/>
        <v>14060</v>
      </c>
      <c r="E22" s="10">
        <v>5130</v>
      </c>
      <c r="F22" s="10">
        <v>8930</v>
      </c>
      <c r="G22" s="10">
        <v>3000</v>
      </c>
      <c r="H22" s="11">
        <f t="shared" si="3"/>
        <v>0.42857142857142855</v>
      </c>
      <c r="I22" s="12">
        <f>SUM($D$2:D22)-SUM($G$2:G22)</f>
        <v>233572</v>
      </c>
      <c r="K22" s="18" t="s">
        <v>10</v>
      </c>
      <c r="L22" s="18">
        <f>L21/3</f>
        <v>10291</v>
      </c>
      <c r="M22" s="18"/>
      <c r="N22" s="18">
        <f>M22+L22</f>
        <v>10291</v>
      </c>
      <c r="O22" s="16"/>
      <c r="P22" s="16"/>
      <c r="Q22" s="16"/>
    </row>
    <row r="23" spans="1:17" x14ac:dyDescent="0.35">
      <c r="A23" s="31">
        <v>45530</v>
      </c>
      <c r="B23" s="10">
        <f t="shared" si="0"/>
        <v>1953</v>
      </c>
      <c r="C23" s="10">
        <f t="shared" si="1"/>
        <v>4557</v>
      </c>
      <c r="D23" s="10">
        <f t="shared" si="2"/>
        <v>6510</v>
      </c>
      <c r="E23" s="10">
        <v>5300</v>
      </c>
      <c r="F23" s="10">
        <v>1210</v>
      </c>
      <c r="G23" s="10">
        <v>2200</v>
      </c>
      <c r="H23" s="11">
        <f t="shared" si="3"/>
        <v>0.42857142857142855</v>
      </c>
      <c r="I23" s="12">
        <f>SUM($D$2:D23)-SUM($G$2:G23)</f>
        <v>237882</v>
      </c>
    </row>
    <row r="24" spans="1:17" x14ac:dyDescent="0.35">
      <c r="A24" s="31">
        <v>45531</v>
      </c>
      <c r="B24" s="10">
        <f t="shared" si="0"/>
        <v>3205.7999999999997</v>
      </c>
      <c r="C24" s="10">
        <f t="shared" si="1"/>
        <v>7480.2000000000007</v>
      </c>
      <c r="D24" s="10">
        <f t="shared" si="2"/>
        <v>10686</v>
      </c>
      <c r="E24" s="10">
        <v>2120</v>
      </c>
      <c r="F24" s="10">
        <v>8566</v>
      </c>
      <c r="G24" s="10">
        <v>1930</v>
      </c>
      <c r="H24" s="11">
        <f t="shared" si="3"/>
        <v>0.42857142857142849</v>
      </c>
      <c r="I24" s="12">
        <f>SUM($D$2:D24)-SUM($G$2:G24)</f>
        <v>246638</v>
      </c>
      <c r="K24" s="19" t="s">
        <v>0</v>
      </c>
      <c r="L24" s="20" t="s">
        <v>1</v>
      </c>
      <c r="M24" s="20" t="s">
        <v>2</v>
      </c>
      <c r="N24" s="20" t="s">
        <v>3</v>
      </c>
      <c r="O24" s="20" t="s">
        <v>4</v>
      </c>
      <c r="P24" s="20" t="s">
        <v>5</v>
      </c>
      <c r="Q24" s="20" t="s">
        <v>6</v>
      </c>
    </row>
    <row r="25" spans="1:17" x14ac:dyDescent="0.35">
      <c r="A25" s="31">
        <v>45532</v>
      </c>
      <c r="B25" s="10">
        <f t="shared" si="0"/>
        <v>2361</v>
      </c>
      <c r="C25" s="10">
        <f t="shared" si="1"/>
        <v>5509</v>
      </c>
      <c r="D25" s="10">
        <f t="shared" si="2"/>
        <v>7870</v>
      </c>
      <c r="E25" s="10">
        <v>5900</v>
      </c>
      <c r="F25" s="10">
        <v>1970</v>
      </c>
      <c r="G25" s="10">
        <v>1230</v>
      </c>
      <c r="H25" s="11">
        <f t="shared" si="3"/>
        <v>0.42857142857142855</v>
      </c>
      <c r="I25" s="12">
        <f>SUM($D$2:D25)-SUM($G$2:G25)</f>
        <v>253278</v>
      </c>
      <c r="K25" s="15">
        <f t="shared" ref="K25:K31" si="19">A16</f>
        <v>45523</v>
      </c>
      <c r="L25" s="16">
        <f>N25*0.3</f>
        <v>1650</v>
      </c>
      <c r="M25" s="16">
        <f t="shared" ref="M25:M31" si="20">N25-L25</f>
        <v>3850</v>
      </c>
      <c r="N25" s="16">
        <f t="shared" ref="N25:N31" si="21">O25+P25</f>
        <v>5500</v>
      </c>
      <c r="O25" s="16">
        <f t="shared" ref="O25:O31" si="22">VLOOKUP(K25,$A$1:$H$30,5,0)</f>
        <v>4200</v>
      </c>
      <c r="P25" s="16">
        <f t="shared" ref="P25:P31" si="23">VLOOKUP(K25,$A$1:$H$30,6,0)</f>
        <v>1300</v>
      </c>
      <c r="Q25" s="16">
        <f t="shared" ref="Q25:Q31" si="24">VLOOKUP(K25,$A$1:$H$30,7,0)</f>
        <v>2300</v>
      </c>
    </row>
    <row r="26" spans="1:17" x14ac:dyDescent="0.35">
      <c r="A26" s="31">
        <v>45533</v>
      </c>
      <c r="B26" s="10">
        <f t="shared" si="0"/>
        <v>7122</v>
      </c>
      <c r="C26" s="10">
        <f t="shared" si="1"/>
        <v>16618</v>
      </c>
      <c r="D26" s="10">
        <f t="shared" si="2"/>
        <v>23740</v>
      </c>
      <c r="E26" s="10">
        <v>22690</v>
      </c>
      <c r="F26" s="10">
        <v>1050</v>
      </c>
      <c r="G26" s="10">
        <v>2160</v>
      </c>
      <c r="H26" s="11">
        <f t="shared" si="3"/>
        <v>0.42857142857142855</v>
      </c>
      <c r="I26" s="12">
        <f>SUM($D$2:D26)-SUM($G$2:G26)</f>
        <v>274858</v>
      </c>
      <c r="K26" s="13">
        <f t="shared" si="19"/>
        <v>45524</v>
      </c>
      <c r="L26" s="14">
        <f>N26*0.3</f>
        <v>14349</v>
      </c>
      <c r="M26" s="14">
        <f t="shared" si="20"/>
        <v>33481</v>
      </c>
      <c r="N26" s="14">
        <f t="shared" si="21"/>
        <v>47830</v>
      </c>
      <c r="O26" s="14">
        <f t="shared" si="22"/>
        <v>17240</v>
      </c>
      <c r="P26" s="14">
        <f t="shared" si="23"/>
        <v>30590</v>
      </c>
      <c r="Q26" s="14">
        <f t="shared" si="24"/>
        <v>106280</v>
      </c>
    </row>
    <row r="27" spans="1:17" x14ac:dyDescent="0.35">
      <c r="A27" s="31">
        <v>45534</v>
      </c>
      <c r="B27" s="10">
        <f t="shared" si="0"/>
        <v>2427</v>
      </c>
      <c r="C27" s="10">
        <f t="shared" si="1"/>
        <v>5663</v>
      </c>
      <c r="D27" s="10">
        <f t="shared" si="2"/>
        <v>8090</v>
      </c>
      <c r="E27" s="10">
        <v>2100</v>
      </c>
      <c r="F27" s="10">
        <v>5990</v>
      </c>
      <c r="G27" s="10">
        <v>1200</v>
      </c>
      <c r="H27" s="11">
        <f t="shared" si="3"/>
        <v>0.42857142857142855</v>
      </c>
      <c r="I27" s="12">
        <f>SUM($D$2:D27)-SUM($G$2:G27)</f>
        <v>281748</v>
      </c>
      <c r="K27" s="15">
        <f t="shared" si="19"/>
        <v>45525</v>
      </c>
      <c r="L27" s="16">
        <f t="shared" ref="L27:L31" si="25">N27*0.3</f>
        <v>10772.4</v>
      </c>
      <c r="M27" s="16">
        <f t="shared" si="20"/>
        <v>25135.599999999999</v>
      </c>
      <c r="N27" s="16">
        <f t="shared" si="21"/>
        <v>35908</v>
      </c>
      <c r="O27" s="16">
        <f t="shared" si="22"/>
        <v>6666</v>
      </c>
      <c r="P27" s="16">
        <f t="shared" si="23"/>
        <v>29242</v>
      </c>
      <c r="Q27" s="16">
        <f t="shared" si="24"/>
        <v>600</v>
      </c>
    </row>
    <row r="28" spans="1:17" x14ac:dyDescent="0.35">
      <c r="A28" s="31">
        <v>45535</v>
      </c>
      <c r="B28" s="10">
        <f t="shared" si="0"/>
        <v>4620</v>
      </c>
      <c r="C28" s="10">
        <f t="shared" si="1"/>
        <v>10780</v>
      </c>
      <c r="D28" s="10">
        <f t="shared" si="2"/>
        <v>15400</v>
      </c>
      <c r="E28" s="10">
        <v>6800</v>
      </c>
      <c r="F28" s="10">
        <v>8600</v>
      </c>
      <c r="G28" s="10">
        <v>1000</v>
      </c>
      <c r="H28" s="11">
        <f t="shared" si="3"/>
        <v>0.42857142857142855</v>
      </c>
      <c r="I28" s="12">
        <f>SUM($D$2:D28)-SUM($G$2:G28)</f>
        <v>296148</v>
      </c>
      <c r="K28" s="13">
        <f t="shared" si="19"/>
        <v>45526</v>
      </c>
      <c r="L28" s="14">
        <f>N28*0.3</f>
        <v>2295</v>
      </c>
      <c r="M28" s="14">
        <f t="shared" si="20"/>
        <v>5355</v>
      </c>
      <c r="N28" s="14">
        <f t="shared" si="21"/>
        <v>7650</v>
      </c>
      <c r="O28" s="14">
        <f t="shared" si="22"/>
        <v>2120</v>
      </c>
      <c r="P28" s="14">
        <f t="shared" si="23"/>
        <v>5530</v>
      </c>
      <c r="Q28" s="14">
        <f t="shared" si="24"/>
        <v>780</v>
      </c>
    </row>
    <row r="29" spans="1:17" x14ac:dyDescent="0.35">
      <c r="A29" s="31">
        <v>45536</v>
      </c>
      <c r="B29" s="10">
        <f t="shared" si="0"/>
        <v>6985.5</v>
      </c>
      <c r="C29" s="10">
        <f t="shared" si="1"/>
        <v>16299.5</v>
      </c>
      <c r="D29" s="10">
        <f t="shared" si="2"/>
        <v>23285</v>
      </c>
      <c r="E29" s="10">
        <v>13550</v>
      </c>
      <c r="F29" s="10">
        <v>9735</v>
      </c>
      <c r="G29" s="10">
        <v>850</v>
      </c>
      <c r="H29" s="11">
        <f t="shared" si="3"/>
        <v>0.42857142857142855</v>
      </c>
      <c r="I29" s="12">
        <f>SUM($D$2:D29)-SUM($G$2:G29)</f>
        <v>318583</v>
      </c>
      <c r="K29" s="15">
        <f t="shared" si="19"/>
        <v>45527</v>
      </c>
      <c r="L29" s="16">
        <f t="shared" si="25"/>
        <v>2668.5</v>
      </c>
      <c r="M29" s="16">
        <f t="shared" si="20"/>
        <v>6226.5</v>
      </c>
      <c r="N29" s="16">
        <f t="shared" si="21"/>
        <v>8895</v>
      </c>
      <c r="O29" s="16">
        <f t="shared" si="22"/>
        <v>5320</v>
      </c>
      <c r="P29" s="16">
        <f t="shared" si="23"/>
        <v>3575</v>
      </c>
      <c r="Q29" s="16">
        <f t="shared" si="24"/>
        <v>1500</v>
      </c>
    </row>
    <row r="30" spans="1:17" ht="15" thickBot="1" x14ac:dyDescent="0.4">
      <c r="A30" s="21" t="s">
        <v>3</v>
      </c>
      <c r="B30" s="22">
        <f>SUBTOTAL(109,Table234534568791112151416171819202122232425262728345678910113456789[Profit])</f>
        <v>141675.9</v>
      </c>
      <c r="C30" s="22">
        <f>SUBTOTAL(109,Table234534568791112151416171819202122232425262728345678910113456789[Profit])</f>
        <v>141675.9</v>
      </c>
      <c r="D30" s="22">
        <f>SUBTOTAL(109,Table234534568791112151416171819202122232425262728345678910113456789[Total])</f>
        <v>472253</v>
      </c>
      <c r="E30" s="22">
        <f>SUBTOTAL(109,Table234534568791112151416171819202122232425262728345678910113456789[Profit])</f>
        <v>141675.9</v>
      </c>
      <c r="F30" s="22">
        <f>SUBTOTAL(109,Table234534568791112151416171819202122232425262728345678910113456789[Profit])</f>
        <v>141675.9</v>
      </c>
      <c r="G30" s="22">
        <f>SUM(G4:G29)</f>
        <v>151470</v>
      </c>
      <c r="H30" s="22">
        <f>SUM(H4:H29)</f>
        <v>11.142857142857146</v>
      </c>
      <c r="I30" s="22">
        <f>SUM(I4:I29)</f>
        <v>4891031</v>
      </c>
      <c r="K30" s="13">
        <f t="shared" si="19"/>
        <v>45528</v>
      </c>
      <c r="L30" s="14">
        <f t="shared" si="25"/>
        <v>6612</v>
      </c>
      <c r="M30" s="14">
        <f t="shared" si="20"/>
        <v>15428</v>
      </c>
      <c r="N30" s="14">
        <f t="shared" si="21"/>
        <v>22040</v>
      </c>
      <c r="O30" s="14">
        <f t="shared" si="22"/>
        <v>14700</v>
      </c>
      <c r="P30" s="14">
        <f t="shared" si="23"/>
        <v>7340</v>
      </c>
      <c r="Q30" s="14">
        <f t="shared" si="24"/>
        <v>930</v>
      </c>
    </row>
    <row r="31" spans="1:17" x14ac:dyDescent="0.35">
      <c r="A31" s="23"/>
      <c r="B31" s="24">
        <f>B30/3</f>
        <v>47225.299999999996</v>
      </c>
      <c r="C31" s="24"/>
      <c r="E31" s="26">
        <f>D30*0.42</f>
        <v>198346.25999999998</v>
      </c>
      <c r="F31" s="24"/>
      <c r="G31" s="24"/>
      <c r="H31" s="27"/>
      <c r="K31" s="15">
        <f t="shared" si="19"/>
        <v>45529</v>
      </c>
      <c r="L31" s="16">
        <f t="shared" si="25"/>
        <v>4218</v>
      </c>
      <c r="M31" s="16">
        <f t="shared" si="20"/>
        <v>9842</v>
      </c>
      <c r="N31" s="16">
        <f t="shared" si="21"/>
        <v>14060</v>
      </c>
      <c r="O31" s="16">
        <f t="shared" si="22"/>
        <v>5130</v>
      </c>
      <c r="P31" s="16">
        <f t="shared" si="23"/>
        <v>8930</v>
      </c>
      <c r="Q31" s="16">
        <f t="shared" si="24"/>
        <v>3000</v>
      </c>
    </row>
    <row r="32" spans="1:17" x14ac:dyDescent="0.35">
      <c r="A32" s="23"/>
      <c r="B32" s="24">
        <f>B31*100/D30</f>
        <v>10</v>
      </c>
      <c r="C32" s="24"/>
      <c r="E32" s="24">
        <f>E31/3</f>
        <v>66115.42</v>
      </c>
      <c r="F32" s="24"/>
      <c r="G32" s="24"/>
      <c r="H32" s="27"/>
      <c r="K32" s="18" t="s">
        <v>3</v>
      </c>
      <c r="L32" s="16">
        <f t="shared" ref="L32:Q32" si="26">SUM(L25:L31)</f>
        <v>42564.9</v>
      </c>
      <c r="M32" s="16">
        <f t="shared" si="26"/>
        <v>99318.1</v>
      </c>
      <c r="N32" s="16">
        <f t="shared" si="26"/>
        <v>141883</v>
      </c>
      <c r="O32" s="16">
        <f t="shared" si="26"/>
        <v>55376</v>
      </c>
      <c r="P32" s="16">
        <f t="shared" si="26"/>
        <v>86507</v>
      </c>
      <c r="Q32" s="16">
        <f t="shared" si="26"/>
        <v>115390</v>
      </c>
    </row>
    <row r="33" spans="1:17" x14ac:dyDescent="0.35">
      <c r="A33" s="19" t="s">
        <v>0</v>
      </c>
      <c r="B33" s="20" t="s">
        <v>1</v>
      </c>
      <c r="C33" s="20" t="s">
        <v>2</v>
      </c>
      <c r="D33" s="20" t="s">
        <v>3</v>
      </c>
      <c r="E33" s="20" t="s">
        <v>4</v>
      </c>
      <c r="F33" s="20" t="s">
        <v>5</v>
      </c>
      <c r="G33" s="20" t="s">
        <v>6</v>
      </c>
      <c r="H33" s="28" t="s">
        <v>10</v>
      </c>
      <c r="K33" s="18" t="s">
        <v>10</v>
      </c>
      <c r="L33" s="14">
        <f>L32/3</f>
        <v>14188.300000000001</v>
      </c>
      <c r="M33" s="14"/>
      <c r="N33" s="14"/>
      <c r="O33" s="14"/>
      <c r="P33" s="14"/>
      <c r="Q33" s="14"/>
    </row>
    <row r="34" spans="1:17" x14ac:dyDescent="0.35">
      <c r="A34" s="29" t="str">
        <f>CONCATENATE(TEXT(K3,"DD-MMM-YYY")," to ",TEXT(K9,"DD-MMM-YYYY"))</f>
        <v>05-Aug-2024 to 11-Aug-2024</v>
      </c>
      <c r="B34" s="16">
        <f>L10</f>
        <v>39563.699999999997</v>
      </c>
      <c r="C34" s="16">
        <f t="shared" ref="C34:G34" si="27">M10</f>
        <v>80485.3</v>
      </c>
      <c r="D34" s="16">
        <f t="shared" si="27"/>
        <v>131879</v>
      </c>
      <c r="E34" s="16">
        <f t="shared" si="27"/>
        <v>26025</v>
      </c>
      <c r="F34" s="16">
        <f t="shared" si="27"/>
        <v>105854</v>
      </c>
      <c r="G34" s="16">
        <f t="shared" si="27"/>
        <v>13000</v>
      </c>
      <c r="H34" s="16">
        <f>B34/3</f>
        <v>13187.9</v>
      </c>
    </row>
    <row r="35" spans="1:17" x14ac:dyDescent="0.35">
      <c r="A35" s="29" t="str">
        <f>CONCATENATE(TEXT(K14,"DD-MMM-YYY")," to ",TEXT(K20,"DD-MMM-YYYY"))</f>
        <v>12-Aug-2024 to 18-Aug-2024</v>
      </c>
      <c r="B35" s="14">
        <f>L21</f>
        <v>30873</v>
      </c>
      <c r="C35" s="14">
        <f t="shared" ref="C35:G35" si="28">M21</f>
        <v>72037</v>
      </c>
      <c r="D35" s="14">
        <f t="shared" si="28"/>
        <v>102910</v>
      </c>
      <c r="E35" s="14">
        <f t="shared" si="28"/>
        <v>54870</v>
      </c>
      <c r="F35" s="14">
        <f t="shared" si="28"/>
        <v>48040</v>
      </c>
      <c r="G35" s="14">
        <f t="shared" si="28"/>
        <v>14710</v>
      </c>
      <c r="H35" s="16">
        <f t="shared" ref="H35:H37" si="29">B35/3</f>
        <v>10291</v>
      </c>
      <c r="K35" s="19" t="s">
        <v>0</v>
      </c>
      <c r="L35" s="20" t="s">
        <v>1</v>
      </c>
      <c r="M35" s="20" t="s">
        <v>2</v>
      </c>
      <c r="N35" s="20" t="s">
        <v>3</v>
      </c>
      <c r="O35" s="20" t="s">
        <v>4</v>
      </c>
      <c r="P35" s="20" t="s">
        <v>5</v>
      </c>
      <c r="Q35" s="20" t="s">
        <v>6</v>
      </c>
    </row>
    <row r="36" spans="1:17" x14ac:dyDescent="0.35">
      <c r="A36" s="29" t="str">
        <f>CONCATENATE(TEXT(K25,"DD-MMM-YYY")," to ",TEXT(K31,"DD-MMM-YYYY"))</f>
        <v>19-Aug-2024 to 25-Aug-2024</v>
      </c>
      <c r="B36" s="16">
        <f>L32</f>
        <v>42564.9</v>
      </c>
      <c r="C36" s="16">
        <f t="shared" ref="C36:G36" si="30">M32</f>
        <v>99318.1</v>
      </c>
      <c r="D36" s="16">
        <f t="shared" si="30"/>
        <v>141883</v>
      </c>
      <c r="E36" s="16">
        <f t="shared" si="30"/>
        <v>55376</v>
      </c>
      <c r="F36" s="16">
        <f t="shared" si="30"/>
        <v>86507</v>
      </c>
      <c r="G36" s="16">
        <f t="shared" si="30"/>
        <v>115390</v>
      </c>
      <c r="H36" s="16">
        <f t="shared" si="29"/>
        <v>14188.300000000001</v>
      </c>
      <c r="K36" s="13">
        <f t="shared" ref="K36:K42" si="31">A23</f>
        <v>45530</v>
      </c>
      <c r="L36" s="16">
        <f>N36*0.3</f>
        <v>1953</v>
      </c>
      <c r="M36" s="16">
        <f t="shared" ref="M36:M42" si="32">N36-L36</f>
        <v>4557</v>
      </c>
      <c r="N36" s="16">
        <f t="shared" ref="N36:N42" si="33">O36+P36</f>
        <v>6510</v>
      </c>
      <c r="O36" s="16">
        <f t="shared" ref="O36:O42" si="34">VLOOKUP(K36,$A$1:$H$30,5,0)</f>
        <v>5300</v>
      </c>
      <c r="P36" s="16">
        <f t="shared" ref="P36:P42" si="35">VLOOKUP(K36,$A$1:$H$30,6,0)</f>
        <v>1210</v>
      </c>
      <c r="Q36" s="16">
        <f t="shared" ref="Q36:Q42" si="36">VLOOKUP(K36,$A$1:$H$30,7,0)</f>
        <v>2200</v>
      </c>
    </row>
    <row r="37" spans="1:17" x14ac:dyDescent="0.35">
      <c r="A37" s="29" t="str">
        <f>CONCATENATE(TEXT(K36,"DD-MMM-YYY")," to ",TEXT(K42,"DD-MMM-YYYY"))</f>
        <v>26-Aug-2024 to 01-Sep-2024</v>
      </c>
      <c r="B37" s="14">
        <f>L43</f>
        <v>28674.3</v>
      </c>
      <c r="C37" s="14">
        <f t="shared" ref="C37:G37" si="37">M43</f>
        <v>66906.7</v>
      </c>
      <c r="D37" s="14">
        <f t="shared" si="37"/>
        <v>95581</v>
      </c>
      <c r="E37" s="14">
        <f t="shared" si="37"/>
        <v>58460</v>
      </c>
      <c r="F37" s="14">
        <f t="shared" si="37"/>
        <v>37121</v>
      </c>
      <c r="G37" s="14">
        <f t="shared" si="37"/>
        <v>10570</v>
      </c>
      <c r="H37" s="16">
        <f t="shared" si="29"/>
        <v>9558.1</v>
      </c>
      <c r="K37" s="13">
        <f t="shared" si="31"/>
        <v>45531</v>
      </c>
      <c r="L37" s="14">
        <f>N37*0.3</f>
        <v>3205.7999999999997</v>
      </c>
      <c r="M37" s="14">
        <f t="shared" si="32"/>
        <v>7480.2000000000007</v>
      </c>
      <c r="N37" s="14">
        <f t="shared" si="33"/>
        <v>10686</v>
      </c>
      <c r="O37" s="14">
        <f t="shared" si="34"/>
        <v>2120</v>
      </c>
      <c r="P37" s="14">
        <f t="shared" si="35"/>
        <v>8566</v>
      </c>
      <c r="Q37" s="14">
        <f t="shared" si="36"/>
        <v>1930</v>
      </c>
    </row>
    <row r="38" spans="1:17" x14ac:dyDescent="0.35">
      <c r="A38" s="29"/>
      <c r="B38" s="14">
        <f t="shared" ref="B38:H38" si="38">SUM(B34:B37)</f>
        <v>141675.9</v>
      </c>
      <c r="C38" s="14">
        <f t="shared" si="38"/>
        <v>318747.09999999998</v>
      </c>
      <c r="D38" s="14">
        <f t="shared" si="38"/>
        <v>472253</v>
      </c>
      <c r="E38" s="14">
        <f t="shared" si="38"/>
        <v>194731</v>
      </c>
      <c r="F38" s="14">
        <f t="shared" si="38"/>
        <v>277522</v>
      </c>
      <c r="G38" s="14">
        <f t="shared" si="38"/>
        <v>153670</v>
      </c>
      <c r="H38" s="14">
        <f t="shared" si="38"/>
        <v>47225.3</v>
      </c>
      <c r="K38" s="15">
        <f t="shared" si="31"/>
        <v>45532</v>
      </c>
      <c r="L38" s="16">
        <f t="shared" ref="L38:L40" si="39">N38*0.3</f>
        <v>2361</v>
      </c>
      <c r="M38" s="16">
        <f t="shared" si="32"/>
        <v>5509</v>
      </c>
      <c r="N38" s="16">
        <f t="shared" si="33"/>
        <v>7870</v>
      </c>
      <c r="O38" s="16">
        <f t="shared" si="34"/>
        <v>5900</v>
      </c>
      <c r="P38" s="16">
        <f t="shared" si="35"/>
        <v>1970</v>
      </c>
      <c r="Q38" s="16">
        <f t="shared" si="36"/>
        <v>1230</v>
      </c>
    </row>
    <row r="39" spans="1:17" x14ac:dyDescent="0.35">
      <c r="A39" s="29" t="str">
        <f>CONCATENATE(TEXT(K59,"DD-MMM-YYY")," to ",TEXT(K58,"DD-MMM-YYYY"))</f>
        <v>09-Aug-2024 to Date</v>
      </c>
      <c r="C39" s="65" t="s">
        <v>3</v>
      </c>
      <c r="D39" s="65"/>
      <c r="E39" s="65"/>
      <c r="F39" s="65"/>
      <c r="G39" s="66"/>
      <c r="H39" s="16"/>
      <c r="K39" s="13">
        <f t="shared" si="31"/>
        <v>45533</v>
      </c>
      <c r="L39" s="14">
        <f t="shared" si="39"/>
        <v>7122</v>
      </c>
      <c r="M39" s="14">
        <f t="shared" si="32"/>
        <v>16618</v>
      </c>
      <c r="N39" s="14">
        <f t="shared" si="33"/>
        <v>23740</v>
      </c>
      <c r="O39" s="14">
        <f t="shared" si="34"/>
        <v>22690</v>
      </c>
      <c r="P39" s="14">
        <f t="shared" si="35"/>
        <v>1050</v>
      </c>
      <c r="Q39" s="14">
        <f t="shared" si="36"/>
        <v>2160</v>
      </c>
    </row>
    <row r="40" spans="1:17" x14ac:dyDescent="0.35">
      <c r="K40" s="15">
        <f t="shared" si="31"/>
        <v>45534</v>
      </c>
      <c r="L40" s="16">
        <f t="shared" si="39"/>
        <v>2427</v>
      </c>
      <c r="M40" s="16">
        <f t="shared" si="32"/>
        <v>5663</v>
      </c>
      <c r="N40" s="16">
        <f t="shared" si="33"/>
        <v>8090</v>
      </c>
      <c r="O40" s="16">
        <f t="shared" si="34"/>
        <v>2100</v>
      </c>
      <c r="P40" s="16">
        <f t="shared" si="35"/>
        <v>5990</v>
      </c>
      <c r="Q40" s="16">
        <f t="shared" si="36"/>
        <v>1200</v>
      </c>
    </row>
    <row r="41" spans="1:17" x14ac:dyDescent="0.35">
      <c r="K41" s="13">
        <f t="shared" si="31"/>
        <v>45535</v>
      </c>
      <c r="L41" s="14">
        <f>N41*0.3</f>
        <v>4620</v>
      </c>
      <c r="M41" s="14">
        <f t="shared" si="32"/>
        <v>10780</v>
      </c>
      <c r="N41" s="14">
        <f t="shared" si="33"/>
        <v>15400</v>
      </c>
      <c r="O41" s="14">
        <f t="shared" si="34"/>
        <v>6800</v>
      </c>
      <c r="P41" s="14">
        <f t="shared" si="35"/>
        <v>8600</v>
      </c>
      <c r="Q41" s="14">
        <f t="shared" si="36"/>
        <v>1000</v>
      </c>
    </row>
    <row r="42" spans="1:17" x14ac:dyDescent="0.35">
      <c r="K42" s="15">
        <f t="shared" si="31"/>
        <v>45536</v>
      </c>
      <c r="L42" s="16">
        <f>N42*0.3</f>
        <v>6985.5</v>
      </c>
      <c r="M42" s="16">
        <f t="shared" si="32"/>
        <v>16299.5</v>
      </c>
      <c r="N42" s="16">
        <f t="shared" si="33"/>
        <v>23285</v>
      </c>
      <c r="O42" s="16">
        <f t="shared" si="34"/>
        <v>13550</v>
      </c>
      <c r="P42" s="16">
        <f t="shared" si="35"/>
        <v>9735</v>
      </c>
      <c r="Q42" s="16">
        <f t="shared" si="36"/>
        <v>850</v>
      </c>
    </row>
    <row r="43" spans="1:17" x14ac:dyDescent="0.35">
      <c r="K43" s="18" t="s">
        <v>3</v>
      </c>
      <c r="L43" s="16">
        <f t="shared" ref="L43" si="40">SUM(L36:L42)</f>
        <v>28674.3</v>
      </c>
      <c r="M43" s="14">
        <f t="shared" ref="M43:Q43" si="41">SUM(M36:M42)</f>
        <v>66906.7</v>
      </c>
      <c r="N43" s="14">
        <f t="shared" si="41"/>
        <v>95581</v>
      </c>
      <c r="O43" s="14">
        <f t="shared" si="41"/>
        <v>58460</v>
      </c>
      <c r="P43" s="14">
        <f t="shared" si="41"/>
        <v>37121</v>
      </c>
      <c r="Q43" s="14">
        <f t="shared" si="41"/>
        <v>10570</v>
      </c>
    </row>
    <row r="44" spans="1:17" x14ac:dyDescent="0.35">
      <c r="K44" s="18" t="s">
        <v>10</v>
      </c>
      <c r="L44" s="16">
        <f>L43/3</f>
        <v>9558.1</v>
      </c>
      <c r="M44" s="16"/>
      <c r="N44" s="16"/>
      <c r="O44" s="16"/>
      <c r="P44" s="16"/>
      <c r="Q44" s="16"/>
    </row>
    <row r="46" spans="1:17" x14ac:dyDescent="0.35">
      <c r="K46" s="19" t="s">
        <v>0</v>
      </c>
      <c r="L46" s="20" t="s">
        <v>1</v>
      </c>
      <c r="M46" s="20" t="s">
        <v>2</v>
      </c>
      <c r="N46" s="20" t="s">
        <v>3</v>
      </c>
      <c r="O46" s="20" t="s">
        <v>4</v>
      </c>
      <c r="P46" s="20" t="s">
        <v>5</v>
      </c>
      <c r="Q46" s="20" t="s">
        <v>6</v>
      </c>
    </row>
    <row r="47" spans="1:17" x14ac:dyDescent="0.35">
      <c r="K47" s="15" t="e">
        <f>#REF!</f>
        <v>#REF!</v>
      </c>
      <c r="L47" s="16" t="e">
        <f t="shared" ref="L47:L53" si="42">N47*0.3</f>
        <v>#REF!</v>
      </c>
      <c r="M47" s="16" t="e">
        <f t="shared" ref="M47:M53" si="43">N47-L47</f>
        <v>#REF!</v>
      </c>
      <c r="N47" s="16" t="e">
        <f t="shared" ref="N47:N53" si="44">O47+P47</f>
        <v>#REF!</v>
      </c>
      <c r="O47" s="16" t="e">
        <f t="shared" ref="O47:O53" si="45">VLOOKUP(K47,$A$1:$H$30,5,0)</f>
        <v>#REF!</v>
      </c>
      <c r="P47" s="16" t="e">
        <f t="shared" ref="P47:P53" si="46">VLOOKUP(K47,$A$1:$H$30,6,0)</f>
        <v>#REF!</v>
      </c>
      <c r="Q47" s="16" t="e">
        <f t="shared" ref="Q47:Q53" si="47">VLOOKUP(K47,$A$1:$H$30,7,0)</f>
        <v>#REF!</v>
      </c>
    </row>
    <row r="48" spans="1:17" x14ac:dyDescent="0.35">
      <c r="K48" s="13" t="e">
        <f>#REF!</f>
        <v>#REF!</v>
      </c>
      <c r="L48" s="14" t="e">
        <f>N48*0.3</f>
        <v>#REF!</v>
      </c>
      <c r="M48" s="14" t="e">
        <f t="shared" si="43"/>
        <v>#REF!</v>
      </c>
      <c r="N48" s="14" t="e">
        <f t="shared" si="44"/>
        <v>#REF!</v>
      </c>
      <c r="O48" s="14" t="e">
        <f t="shared" si="45"/>
        <v>#REF!</v>
      </c>
      <c r="P48" s="14" t="e">
        <f t="shared" si="46"/>
        <v>#REF!</v>
      </c>
      <c r="Q48" s="14" t="e">
        <f t="shared" si="47"/>
        <v>#REF!</v>
      </c>
    </row>
    <row r="49" spans="11:17" x14ac:dyDescent="0.35">
      <c r="K49" s="15" t="e">
        <f>#REF!</f>
        <v>#REF!</v>
      </c>
      <c r="L49" s="16" t="e">
        <f t="shared" si="42"/>
        <v>#REF!</v>
      </c>
      <c r="M49" s="16" t="e">
        <f t="shared" si="43"/>
        <v>#REF!</v>
      </c>
      <c r="N49" s="16" t="e">
        <f t="shared" si="44"/>
        <v>#REF!</v>
      </c>
      <c r="O49" s="16" t="e">
        <f t="shared" si="45"/>
        <v>#REF!</v>
      </c>
      <c r="P49" s="16" t="e">
        <f t="shared" si="46"/>
        <v>#REF!</v>
      </c>
      <c r="Q49" s="16" t="e">
        <f t="shared" si="47"/>
        <v>#REF!</v>
      </c>
    </row>
    <row r="50" spans="11:17" x14ac:dyDescent="0.35">
      <c r="K50" s="13" t="e">
        <f>#REF!</f>
        <v>#REF!</v>
      </c>
      <c r="L50" s="14" t="e">
        <f>N50*0.3</f>
        <v>#REF!</v>
      </c>
      <c r="M50" s="14" t="e">
        <f t="shared" si="43"/>
        <v>#REF!</v>
      </c>
      <c r="N50" s="14" t="e">
        <f t="shared" si="44"/>
        <v>#REF!</v>
      </c>
      <c r="O50" s="14" t="e">
        <f t="shared" si="45"/>
        <v>#REF!</v>
      </c>
      <c r="P50" s="14" t="e">
        <f t="shared" si="46"/>
        <v>#REF!</v>
      </c>
      <c r="Q50" s="14" t="e">
        <f t="shared" si="47"/>
        <v>#REF!</v>
      </c>
    </row>
    <row r="51" spans="11:17" x14ac:dyDescent="0.35">
      <c r="K51" s="15" t="e">
        <f>#REF!</f>
        <v>#REF!</v>
      </c>
      <c r="L51" s="16" t="e">
        <f t="shared" si="42"/>
        <v>#REF!</v>
      </c>
      <c r="M51" s="16" t="e">
        <f t="shared" si="43"/>
        <v>#REF!</v>
      </c>
      <c r="N51" s="16" t="e">
        <f t="shared" si="44"/>
        <v>#REF!</v>
      </c>
      <c r="O51" s="16" t="e">
        <f t="shared" si="45"/>
        <v>#REF!</v>
      </c>
      <c r="P51" s="16" t="e">
        <f t="shared" si="46"/>
        <v>#REF!</v>
      </c>
      <c r="Q51" s="16" t="e">
        <f t="shared" si="47"/>
        <v>#REF!</v>
      </c>
    </row>
    <row r="52" spans="11:17" x14ac:dyDescent="0.35">
      <c r="K52" s="13" t="e">
        <f>#REF!</f>
        <v>#REF!</v>
      </c>
      <c r="L52" s="14" t="e">
        <f>N52*0.3</f>
        <v>#REF!</v>
      </c>
      <c r="M52" s="14" t="e">
        <f t="shared" si="43"/>
        <v>#REF!</v>
      </c>
      <c r="N52" s="14" t="e">
        <f t="shared" si="44"/>
        <v>#REF!</v>
      </c>
      <c r="O52" s="14" t="e">
        <f t="shared" si="45"/>
        <v>#REF!</v>
      </c>
      <c r="P52" s="14" t="e">
        <f t="shared" si="46"/>
        <v>#REF!</v>
      </c>
      <c r="Q52" s="14" t="e">
        <f t="shared" si="47"/>
        <v>#REF!</v>
      </c>
    </row>
    <row r="53" spans="11:17" x14ac:dyDescent="0.35">
      <c r="K53" s="15" t="e">
        <f>#REF!</f>
        <v>#REF!</v>
      </c>
      <c r="L53" s="16" t="e">
        <f t="shared" si="42"/>
        <v>#REF!</v>
      </c>
      <c r="M53" s="16" t="e">
        <f t="shared" si="43"/>
        <v>#REF!</v>
      </c>
      <c r="N53" s="16" t="e">
        <f t="shared" si="44"/>
        <v>#REF!</v>
      </c>
      <c r="O53" s="16" t="e">
        <f t="shared" si="45"/>
        <v>#REF!</v>
      </c>
      <c r="P53" s="16" t="e">
        <f t="shared" si="46"/>
        <v>#REF!</v>
      </c>
      <c r="Q53" s="16" t="e">
        <f t="shared" si="47"/>
        <v>#REF!</v>
      </c>
    </row>
    <row r="54" spans="11:17" x14ac:dyDescent="0.35">
      <c r="K54" s="18" t="s">
        <v>3</v>
      </c>
      <c r="L54" s="14" t="e">
        <f t="shared" ref="L54:Q54" si="48">SUM(L47:L53)</f>
        <v>#REF!</v>
      </c>
      <c r="M54" s="14" t="e">
        <f t="shared" si="48"/>
        <v>#REF!</v>
      </c>
      <c r="N54" s="14" t="e">
        <f t="shared" si="48"/>
        <v>#REF!</v>
      </c>
      <c r="O54" s="14" t="e">
        <f t="shared" si="48"/>
        <v>#REF!</v>
      </c>
      <c r="P54" s="14" t="e">
        <f t="shared" si="48"/>
        <v>#REF!</v>
      </c>
      <c r="Q54" s="14" t="e">
        <f t="shared" si="48"/>
        <v>#REF!</v>
      </c>
    </row>
    <row r="55" spans="11:17" x14ac:dyDescent="0.35">
      <c r="K55" s="18" t="s">
        <v>10</v>
      </c>
      <c r="L55" s="16" t="e">
        <f>L54/3</f>
        <v>#REF!</v>
      </c>
      <c r="M55" s="16"/>
      <c r="N55" s="16"/>
      <c r="O55" s="16"/>
      <c r="P55" s="16"/>
      <c r="Q55" s="16"/>
    </row>
    <row r="58" spans="11:17" x14ac:dyDescent="0.35">
      <c r="K58" s="19" t="s">
        <v>0</v>
      </c>
      <c r="L58" s="20" t="s">
        <v>1</v>
      </c>
      <c r="M58" s="20" t="s">
        <v>2</v>
      </c>
      <c r="N58" s="20" t="s">
        <v>3</v>
      </c>
      <c r="O58" s="20" t="s">
        <v>4</v>
      </c>
      <c r="P58" s="20" t="s">
        <v>5</v>
      </c>
      <c r="Q58" s="20" t="s">
        <v>6</v>
      </c>
    </row>
    <row r="59" spans="11:17" x14ac:dyDescent="0.35">
      <c r="K59" s="30">
        <f>A6</f>
        <v>45513</v>
      </c>
      <c r="L59" s="14">
        <f t="shared" ref="L59:Q59" si="49">SUM(B7:B29)</f>
        <v>115426.2</v>
      </c>
      <c r="M59" s="14">
        <f t="shared" si="49"/>
        <v>269327.80000000005</v>
      </c>
      <c r="N59" s="14">
        <f t="shared" si="49"/>
        <v>384754</v>
      </c>
      <c r="O59" s="14">
        <f t="shared" si="49"/>
        <v>178461</v>
      </c>
      <c r="P59" s="14">
        <f t="shared" si="49"/>
        <v>206293</v>
      </c>
      <c r="Q59" s="14">
        <f t="shared" si="49"/>
        <v>148090</v>
      </c>
    </row>
    <row r="60" spans="11:17" x14ac:dyDescent="0.35">
      <c r="K60" s="18" t="s">
        <v>10</v>
      </c>
      <c r="L60" s="16">
        <f>L59/3</f>
        <v>38475.4</v>
      </c>
      <c r="M60" s="16"/>
      <c r="N60" s="16"/>
      <c r="O60" s="16"/>
      <c r="P60" s="16"/>
      <c r="Q60" s="16"/>
    </row>
  </sheetData>
  <mergeCells count="1">
    <mergeCell ref="C39:G39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33:H33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D350-92A6-413D-93F6-948FCBDC3B14}">
  <dimension ref="A1:Q50"/>
  <sheetViews>
    <sheetView zoomScale="90" zoomScaleNormal="90" workbookViewId="0">
      <pane ySplit="1" topLeftCell="A20" activePane="bottomLeft" state="frozen"/>
      <selection pane="bottomLeft" activeCell="G30" sqref="G30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5" width="10" bestFit="1" customWidth="1"/>
    <col min="16" max="16" width="16.453125" bestFit="1" customWidth="1"/>
    <col min="17" max="17" width="9" bestFit="1" customWidth="1"/>
  </cols>
  <sheetData>
    <row r="1" spans="1:17" s="6" customFormat="1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K1" s="7" t="s">
        <v>0</v>
      </c>
      <c r="L1" s="8" t="s">
        <v>1</v>
      </c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</row>
    <row r="2" spans="1:17" x14ac:dyDescent="0.35">
      <c r="A2" s="31">
        <v>45537</v>
      </c>
      <c r="B2" s="10">
        <f t="shared" ref="B2:B29" si="0">D2*0.3</f>
        <v>6765</v>
      </c>
      <c r="C2" s="10">
        <f t="shared" ref="C2:C29" si="1">D2-B2</f>
        <v>15785</v>
      </c>
      <c r="D2" s="10">
        <f t="shared" ref="D2:D29" si="2">E2+F2</f>
        <v>22550</v>
      </c>
      <c r="E2" s="10">
        <v>7280</v>
      </c>
      <c r="F2" s="10">
        <v>15270</v>
      </c>
      <c r="G2" s="10">
        <v>29000</v>
      </c>
      <c r="H2" s="11">
        <f t="shared" ref="H2:H29" si="3">IFERROR(B2/C2,0)</f>
        <v>0.42857142857142855</v>
      </c>
      <c r="I2" s="12">
        <f>Table23453456879111215141617181920212223242526272834567891011345678910[[#This Row],[Cash]]-Table23453456879111215141617181920212223242526272834567891011345678910[[#This Row],[Expense]]</f>
        <v>-21720</v>
      </c>
      <c r="K2" s="13" t="s">
        <v>9</v>
      </c>
      <c r="L2" s="14"/>
      <c r="M2" s="14"/>
      <c r="N2" s="14"/>
      <c r="O2" s="14"/>
      <c r="P2" s="14"/>
      <c r="Q2" s="14">
        <v>0</v>
      </c>
    </row>
    <row r="3" spans="1:17" x14ac:dyDescent="0.35">
      <c r="A3" s="31">
        <v>45538</v>
      </c>
      <c r="B3" s="10">
        <f t="shared" si="0"/>
        <v>9717</v>
      </c>
      <c r="C3" s="10">
        <f t="shared" si="1"/>
        <v>22673</v>
      </c>
      <c r="D3" s="10">
        <f t="shared" si="2"/>
        <v>32390</v>
      </c>
      <c r="E3" s="10">
        <v>15290</v>
      </c>
      <c r="F3" s="10">
        <v>17100</v>
      </c>
      <c r="G3" s="10">
        <v>1750</v>
      </c>
      <c r="H3" s="11">
        <f t="shared" si="3"/>
        <v>0.42857142857142855</v>
      </c>
      <c r="I3" s="12">
        <f>Table23453456879111215141617181920212223242526272834567891011345678910[[#This Row],[Cash]]-Table23453456879111215141617181920212223242526272834567891011345678910[[#This Row],[Expense]]</f>
        <v>13540</v>
      </c>
      <c r="K3" s="15">
        <f t="shared" ref="K3:K9" si="4">A2</f>
        <v>45537</v>
      </c>
      <c r="L3" s="16">
        <f>N3*0.3</f>
        <v>6765</v>
      </c>
      <c r="M3" s="16">
        <f t="shared" ref="M3:M9" si="5">N3-L3</f>
        <v>15785</v>
      </c>
      <c r="N3" s="16">
        <f t="shared" ref="N3:N9" si="6">O3+P3</f>
        <v>22550</v>
      </c>
      <c r="O3" s="16">
        <f t="shared" ref="O3:O9" si="7">VLOOKUP(K3,$A$1:$H$30,5,0)</f>
        <v>7280</v>
      </c>
      <c r="P3" s="16">
        <f t="shared" ref="P3:P9" si="8">VLOOKUP(K3,$A$1:$H$30,6,0)</f>
        <v>15270</v>
      </c>
      <c r="Q3" s="16">
        <f t="shared" ref="Q3:Q9" si="9">VLOOKUP(K3,$A$1:$H$30,7,0)</f>
        <v>29000</v>
      </c>
    </row>
    <row r="4" spans="1:17" x14ac:dyDescent="0.35">
      <c r="A4" s="31">
        <v>45539</v>
      </c>
      <c r="B4" s="10">
        <f t="shared" si="0"/>
        <v>10671</v>
      </c>
      <c r="C4" s="10">
        <f t="shared" si="1"/>
        <v>24899</v>
      </c>
      <c r="D4" s="10">
        <f t="shared" si="2"/>
        <v>35570</v>
      </c>
      <c r="E4" s="17">
        <v>18790</v>
      </c>
      <c r="F4" s="17">
        <v>16780</v>
      </c>
      <c r="G4" s="17">
        <v>3500</v>
      </c>
      <c r="H4" s="11">
        <f t="shared" si="3"/>
        <v>0.42857142857142855</v>
      </c>
      <c r="I4" s="12">
        <f>Table23453456879111215141617181920212223242526272834567891011345678910[[#This Row],[Cash]]-Table23453456879111215141617181920212223242526272834567891011345678910[[#This Row],[Expense]]</f>
        <v>15290</v>
      </c>
      <c r="K4" s="13">
        <f t="shared" si="4"/>
        <v>45538</v>
      </c>
      <c r="L4" s="14">
        <f>N4*0.3</f>
        <v>9717</v>
      </c>
      <c r="M4" s="14">
        <f t="shared" si="5"/>
        <v>22673</v>
      </c>
      <c r="N4" s="14">
        <f t="shared" si="6"/>
        <v>32390</v>
      </c>
      <c r="O4" s="14">
        <f t="shared" si="7"/>
        <v>15290</v>
      </c>
      <c r="P4" s="14">
        <f t="shared" si="8"/>
        <v>17100</v>
      </c>
      <c r="Q4" s="14">
        <f t="shared" si="9"/>
        <v>1750</v>
      </c>
    </row>
    <row r="5" spans="1:17" x14ac:dyDescent="0.35">
      <c r="A5" s="31">
        <v>45540</v>
      </c>
      <c r="B5" s="10">
        <f t="shared" si="0"/>
        <v>7710</v>
      </c>
      <c r="C5" s="10">
        <f t="shared" si="1"/>
        <v>17990</v>
      </c>
      <c r="D5" s="10">
        <f t="shared" si="2"/>
        <v>25700</v>
      </c>
      <c r="E5" s="10">
        <v>9400</v>
      </c>
      <c r="F5" s="10">
        <v>16300</v>
      </c>
      <c r="G5" s="10">
        <v>3100</v>
      </c>
      <c r="H5" s="11">
        <f t="shared" si="3"/>
        <v>0.42857142857142855</v>
      </c>
      <c r="I5" s="12">
        <f>Table23453456879111215141617181920212223242526272834567891011345678910[[#This Row],[Cash]]-Table23453456879111215141617181920212223242526272834567891011345678910[[#This Row],[Expense]]</f>
        <v>6300</v>
      </c>
      <c r="K5" s="15">
        <f t="shared" si="4"/>
        <v>45539</v>
      </c>
      <c r="L5" s="16">
        <f t="shared" ref="L5:L9" si="10">N5*0.3</f>
        <v>10671</v>
      </c>
      <c r="M5" s="16">
        <f t="shared" si="5"/>
        <v>24899</v>
      </c>
      <c r="N5" s="16">
        <f t="shared" si="6"/>
        <v>35570</v>
      </c>
      <c r="O5" s="16">
        <f t="shared" si="7"/>
        <v>18790</v>
      </c>
      <c r="P5" s="16">
        <f t="shared" si="8"/>
        <v>16780</v>
      </c>
      <c r="Q5" s="16">
        <f t="shared" si="9"/>
        <v>3500</v>
      </c>
    </row>
    <row r="6" spans="1:17" x14ac:dyDescent="0.35">
      <c r="A6" s="31">
        <v>45541</v>
      </c>
      <c r="B6" s="10">
        <f t="shared" si="0"/>
        <v>6858.3</v>
      </c>
      <c r="C6" s="10">
        <f t="shared" si="1"/>
        <v>16002.7</v>
      </c>
      <c r="D6" s="10">
        <f t="shared" si="2"/>
        <v>22861</v>
      </c>
      <c r="E6" s="10">
        <v>6700</v>
      </c>
      <c r="F6" s="10">
        <v>16161</v>
      </c>
      <c r="G6" s="10">
        <v>3100</v>
      </c>
      <c r="H6" s="11">
        <f t="shared" si="3"/>
        <v>0.42857142857142855</v>
      </c>
      <c r="I6" s="12">
        <f>Table23453456879111215141617181920212223242526272834567891011345678910[[#This Row],[Cash]]-Table23453456879111215141617181920212223242526272834567891011345678910[[#This Row],[Expense]]</f>
        <v>3600</v>
      </c>
      <c r="K6" s="13">
        <f t="shared" si="4"/>
        <v>45540</v>
      </c>
      <c r="L6" s="14">
        <f t="shared" si="10"/>
        <v>7710</v>
      </c>
      <c r="M6" s="14">
        <f t="shared" si="5"/>
        <v>17990</v>
      </c>
      <c r="N6" s="14">
        <f t="shared" si="6"/>
        <v>25700</v>
      </c>
      <c r="O6" s="14">
        <f t="shared" si="7"/>
        <v>9400</v>
      </c>
      <c r="P6" s="14">
        <f t="shared" si="8"/>
        <v>16300</v>
      </c>
      <c r="Q6" s="14">
        <f t="shared" si="9"/>
        <v>3100</v>
      </c>
    </row>
    <row r="7" spans="1:17" x14ac:dyDescent="0.35">
      <c r="A7" s="31">
        <v>45542</v>
      </c>
      <c r="B7" s="10">
        <f t="shared" si="0"/>
        <v>2700</v>
      </c>
      <c r="C7" s="10">
        <f t="shared" si="1"/>
        <v>6300</v>
      </c>
      <c r="D7" s="10">
        <f t="shared" si="2"/>
        <v>9000</v>
      </c>
      <c r="E7" s="17">
        <v>3500</v>
      </c>
      <c r="F7" s="17">
        <v>5500</v>
      </c>
      <c r="G7" s="17">
        <v>1500</v>
      </c>
      <c r="H7" s="11">
        <f t="shared" si="3"/>
        <v>0.42857142857142855</v>
      </c>
      <c r="I7" s="12">
        <f>Table23453456879111215141617181920212223242526272834567891011345678910[[#This Row],[Cash]]-Table23453456879111215141617181920212223242526272834567891011345678910[[#This Row],[Expense]]</f>
        <v>2000</v>
      </c>
      <c r="K7" s="15">
        <f t="shared" si="4"/>
        <v>45541</v>
      </c>
      <c r="L7" s="16">
        <f t="shared" si="10"/>
        <v>6858.3</v>
      </c>
      <c r="M7" s="16">
        <f t="shared" si="5"/>
        <v>16002.7</v>
      </c>
      <c r="N7" s="16">
        <f t="shared" si="6"/>
        <v>22861</v>
      </c>
      <c r="O7" s="16">
        <f t="shared" si="7"/>
        <v>6700</v>
      </c>
      <c r="P7" s="16">
        <f t="shared" si="8"/>
        <v>16161</v>
      </c>
      <c r="Q7" s="16">
        <f t="shared" si="9"/>
        <v>3100</v>
      </c>
    </row>
    <row r="8" spans="1:17" x14ac:dyDescent="0.35">
      <c r="A8" s="31">
        <v>45543</v>
      </c>
      <c r="B8" s="10">
        <f t="shared" si="0"/>
        <v>4845</v>
      </c>
      <c r="C8" s="10">
        <f t="shared" si="1"/>
        <v>11305</v>
      </c>
      <c r="D8" s="10">
        <f t="shared" si="2"/>
        <v>16150</v>
      </c>
      <c r="E8" s="17">
        <v>8650</v>
      </c>
      <c r="F8" s="17">
        <v>7500</v>
      </c>
      <c r="G8" s="17">
        <v>270</v>
      </c>
      <c r="H8" s="11">
        <f t="shared" si="3"/>
        <v>0.42857142857142855</v>
      </c>
      <c r="I8" s="12">
        <f>Table23453456879111215141617181920212223242526272834567891011345678910[[#This Row],[Cash]]-Table23453456879111215141617181920212223242526272834567891011345678910[[#This Row],[Expense]]</f>
        <v>8380</v>
      </c>
      <c r="K8" s="13">
        <f t="shared" si="4"/>
        <v>45542</v>
      </c>
      <c r="L8" s="14">
        <f t="shared" si="10"/>
        <v>2700</v>
      </c>
      <c r="M8" s="14">
        <f t="shared" si="5"/>
        <v>6300</v>
      </c>
      <c r="N8" s="14">
        <f t="shared" si="6"/>
        <v>9000</v>
      </c>
      <c r="O8" s="14">
        <f t="shared" si="7"/>
        <v>3500</v>
      </c>
      <c r="P8" s="14">
        <f t="shared" si="8"/>
        <v>5500</v>
      </c>
      <c r="Q8" s="14">
        <f t="shared" si="9"/>
        <v>1500</v>
      </c>
    </row>
    <row r="9" spans="1:17" x14ac:dyDescent="0.35">
      <c r="A9" s="31">
        <v>45544</v>
      </c>
      <c r="B9" s="10">
        <f t="shared" si="0"/>
        <v>9843</v>
      </c>
      <c r="C9" s="10">
        <f t="shared" si="1"/>
        <v>22967</v>
      </c>
      <c r="D9" s="10">
        <f t="shared" si="2"/>
        <v>32810</v>
      </c>
      <c r="E9" s="10">
        <v>12500</v>
      </c>
      <c r="F9" s="10">
        <v>20310</v>
      </c>
      <c r="G9" s="10">
        <v>4200</v>
      </c>
      <c r="H9" s="11">
        <f t="shared" si="3"/>
        <v>0.42857142857142855</v>
      </c>
      <c r="I9" s="12">
        <f>Table23453456879111215141617181920212223242526272834567891011345678910[[#This Row],[Cash]]-Table23453456879111215141617181920212223242526272834567891011345678910[[#This Row],[Expense]]</f>
        <v>8300</v>
      </c>
      <c r="K9" s="15">
        <f t="shared" si="4"/>
        <v>45543</v>
      </c>
      <c r="L9" s="16">
        <f t="shared" si="10"/>
        <v>4845</v>
      </c>
      <c r="M9" s="16">
        <f t="shared" si="5"/>
        <v>11305</v>
      </c>
      <c r="N9" s="16">
        <f t="shared" si="6"/>
        <v>16150</v>
      </c>
      <c r="O9" s="16">
        <f t="shared" si="7"/>
        <v>8650</v>
      </c>
      <c r="P9" s="16">
        <f t="shared" si="8"/>
        <v>7500</v>
      </c>
      <c r="Q9" s="16">
        <f t="shared" si="9"/>
        <v>270</v>
      </c>
    </row>
    <row r="10" spans="1:17" x14ac:dyDescent="0.35">
      <c r="A10" s="31">
        <v>45545</v>
      </c>
      <c r="B10" s="10">
        <f t="shared" si="0"/>
        <v>3826.5</v>
      </c>
      <c r="C10" s="10">
        <f t="shared" si="1"/>
        <v>8928.5</v>
      </c>
      <c r="D10" s="10">
        <f t="shared" si="2"/>
        <v>12755</v>
      </c>
      <c r="E10" s="10">
        <v>8300</v>
      </c>
      <c r="F10" s="10">
        <v>4455</v>
      </c>
      <c r="G10" s="10">
        <v>620</v>
      </c>
      <c r="H10" s="11">
        <f t="shared" si="3"/>
        <v>0.42857142857142855</v>
      </c>
      <c r="I10" s="12">
        <f>Table23453456879111215141617181920212223242526272834567891011345678910[[#This Row],[Cash]]-Table23453456879111215141617181920212223242526272834567891011345678910[[#This Row],[Expense]]</f>
        <v>7680</v>
      </c>
      <c r="K10" s="18" t="s">
        <v>3</v>
      </c>
      <c r="L10" s="18">
        <f>SUM(L3:L9)</f>
        <v>49266.3</v>
      </c>
      <c r="M10" s="18">
        <f>SUM(M2:M9)</f>
        <v>114954.7</v>
      </c>
      <c r="N10" s="18">
        <f>SUM(N2:N9)</f>
        <v>164221</v>
      </c>
      <c r="O10" s="18">
        <f>SUM(O2:O9)</f>
        <v>69610</v>
      </c>
      <c r="P10" s="18">
        <f>SUM(P2:P9)</f>
        <v>94611</v>
      </c>
      <c r="Q10" s="18">
        <f>SUM(Q2:Q9)</f>
        <v>42220</v>
      </c>
    </row>
    <row r="11" spans="1:17" x14ac:dyDescent="0.35">
      <c r="A11" s="31">
        <v>45546</v>
      </c>
      <c r="B11" s="10">
        <f t="shared" si="0"/>
        <v>5421</v>
      </c>
      <c r="C11" s="10">
        <f t="shared" si="1"/>
        <v>12649</v>
      </c>
      <c r="D11" s="10">
        <f t="shared" si="2"/>
        <v>18070</v>
      </c>
      <c r="E11" s="10">
        <v>5750</v>
      </c>
      <c r="F11" s="10">
        <v>12320</v>
      </c>
      <c r="G11" s="10">
        <v>100</v>
      </c>
      <c r="H11" s="11">
        <f t="shared" si="3"/>
        <v>0.42857142857142855</v>
      </c>
      <c r="I11" s="12">
        <f>Table23453456879111215141617181920212223242526272834567891011345678910[[#This Row],[Cash]]-Table23453456879111215141617181920212223242526272834567891011345678910[[#This Row],[Expense]]</f>
        <v>5650</v>
      </c>
      <c r="K11" s="18" t="s">
        <v>10</v>
      </c>
      <c r="L11" s="18">
        <f>L10/3</f>
        <v>16422.100000000002</v>
      </c>
      <c r="M11" s="18"/>
      <c r="N11" s="18"/>
      <c r="O11" s="16"/>
      <c r="P11" s="16"/>
      <c r="Q11" s="16"/>
    </row>
    <row r="12" spans="1:17" x14ac:dyDescent="0.35">
      <c r="A12" s="31">
        <v>45547</v>
      </c>
      <c r="B12" s="10">
        <f t="shared" si="0"/>
        <v>3549.2999999999997</v>
      </c>
      <c r="C12" s="10">
        <f t="shared" si="1"/>
        <v>8281.7000000000007</v>
      </c>
      <c r="D12" s="10">
        <f t="shared" si="2"/>
        <v>11831</v>
      </c>
      <c r="E12" s="10">
        <v>6760</v>
      </c>
      <c r="F12" s="10">
        <v>5071</v>
      </c>
      <c r="G12" s="10">
        <v>1200</v>
      </c>
      <c r="H12" s="11">
        <f t="shared" si="3"/>
        <v>0.42857142857142849</v>
      </c>
      <c r="I12" s="12">
        <f>Table23453456879111215141617181920212223242526272834567891011345678910[[#This Row],[Cash]]-Table23453456879111215141617181920212223242526272834567891011345678910[[#This Row],[Expense]]</f>
        <v>5560</v>
      </c>
    </row>
    <row r="13" spans="1:17" x14ac:dyDescent="0.35">
      <c r="A13" s="31">
        <v>45548</v>
      </c>
      <c r="B13" s="10">
        <f t="shared" si="0"/>
        <v>12291</v>
      </c>
      <c r="C13" s="10">
        <f t="shared" si="1"/>
        <v>28679</v>
      </c>
      <c r="D13" s="10">
        <f t="shared" si="2"/>
        <v>40970</v>
      </c>
      <c r="E13" s="10">
        <v>22220</v>
      </c>
      <c r="F13" s="10">
        <v>18750</v>
      </c>
      <c r="G13" s="10">
        <v>1520</v>
      </c>
      <c r="H13" s="11">
        <f t="shared" si="3"/>
        <v>0.42857142857142855</v>
      </c>
      <c r="I13" s="12">
        <f>Table23453456879111215141617181920212223242526272834567891011345678910[[#This Row],[Cash]]-Table23453456879111215141617181920212223242526272834567891011345678910[[#This Row],[Expense]]</f>
        <v>20700</v>
      </c>
      <c r="K13" s="19" t="s">
        <v>0</v>
      </c>
      <c r="L13" s="20" t="s">
        <v>88</v>
      </c>
      <c r="M13" s="20" t="s">
        <v>2</v>
      </c>
      <c r="N13" s="20" t="s">
        <v>3</v>
      </c>
      <c r="O13" s="20" t="s">
        <v>4</v>
      </c>
      <c r="P13" s="20" t="s">
        <v>5</v>
      </c>
      <c r="Q13" s="20" t="s">
        <v>6</v>
      </c>
    </row>
    <row r="14" spans="1:17" x14ac:dyDescent="0.35">
      <c r="A14" s="31">
        <v>45549</v>
      </c>
      <c r="B14" s="10">
        <f t="shared" si="0"/>
        <v>9514.5</v>
      </c>
      <c r="C14" s="10">
        <f t="shared" si="1"/>
        <v>22200.5</v>
      </c>
      <c r="D14" s="10">
        <f t="shared" si="2"/>
        <v>31715</v>
      </c>
      <c r="E14" s="10">
        <v>11000</v>
      </c>
      <c r="F14" s="10">
        <v>20715</v>
      </c>
      <c r="G14" s="10">
        <v>3110</v>
      </c>
      <c r="H14" s="11">
        <f t="shared" si="3"/>
        <v>0.42857142857142855</v>
      </c>
      <c r="I14" s="12">
        <f>Table23453456879111215141617181920212223242526272834567891011345678910[[#This Row],[Cash]]-Table23453456879111215141617181920212223242526272834567891011345678910[[#This Row],[Expense]]</f>
        <v>7890</v>
      </c>
      <c r="K14" s="15">
        <f t="shared" ref="K14:K20" si="11">A9</f>
        <v>45544</v>
      </c>
      <c r="L14" s="16">
        <f>N14*0.3</f>
        <v>9843</v>
      </c>
      <c r="M14" s="16">
        <f t="shared" ref="M14:M20" si="12">N14-L14</f>
        <v>22967</v>
      </c>
      <c r="N14" s="16">
        <f t="shared" ref="N14:N20" si="13">O14+P14</f>
        <v>32810</v>
      </c>
      <c r="O14" s="16">
        <f t="shared" ref="O14:O20" si="14">VLOOKUP(K14,$A$1:$H$30,5,0)</f>
        <v>12500</v>
      </c>
      <c r="P14" s="16">
        <f t="shared" ref="P14:P20" si="15">VLOOKUP(K14,$A$1:$H$30,6,0)</f>
        <v>20310</v>
      </c>
      <c r="Q14" s="16">
        <f t="shared" ref="Q14:Q20" si="16">VLOOKUP(K14,$A$1:$H$30,7,0)</f>
        <v>4200</v>
      </c>
    </row>
    <row r="15" spans="1:17" x14ac:dyDescent="0.35">
      <c r="A15" s="31">
        <v>45550</v>
      </c>
      <c r="B15" s="10">
        <f t="shared" si="0"/>
        <v>9105</v>
      </c>
      <c r="C15" s="10">
        <f t="shared" si="1"/>
        <v>21245</v>
      </c>
      <c r="D15" s="10">
        <f t="shared" si="2"/>
        <v>30350</v>
      </c>
      <c r="E15" s="10">
        <v>20350</v>
      </c>
      <c r="F15" s="10">
        <v>10000</v>
      </c>
      <c r="G15" s="10">
        <v>5900</v>
      </c>
      <c r="H15" s="11">
        <f t="shared" si="3"/>
        <v>0.42857142857142855</v>
      </c>
      <c r="I15" s="12">
        <f>Table23453456879111215141617181920212223242526272834567891011345678910[[#This Row],[Cash]]-Table23453456879111215141617181920212223242526272834567891011345678910[[#This Row],[Expense]]</f>
        <v>14450</v>
      </c>
      <c r="K15" s="13">
        <f t="shared" si="11"/>
        <v>45545</v>
      </c>
      <c r="L15" s="14">
        <f>N15*0.3</f>
        <v>3826.5</v>
      </c>
      <c r="M15" s="14">
        <f t="shared" si="12"/>
        <v>8928.5</v>
      </c>
      <c r="N15" s="14">
        <f t="shared" si="13"/>
        <v>12755</v>
      </c>
      <c r="O15" s="14">
        <f t="shared" si="14"/>
        <v>8300</v>
      </c>
      <c r="P15" s="14">
        <f t="shared" si="15"/>
        <v>4455</v>
      </c>
      <c r="Q15" s="14">
        <f t="shared" si="16"/>
        <v>620</v>
      </c>
    </row>
    <row r="16" spans="1:17" x14ac:dyDescent="0.35">
      <c r="A16" s="31">
        <v>45551</v>
      </c>
      <c r="B16" s="10">
        <f t="shared" si="0"/>
        <v>7977</v>
      </c>
      <c r="C16" s="10">
        <f t="shared" si="1"/>
        <v>18613</v>
      </c>
      <c r="D16" s="10">
        <f t="shared" si="2"/>
        <v>26590</v>
      </c>
      <c r="E16" s="10">
        <v>21760</v>
      </c>
      <c r="F16" s="10">
        <v>4830</v>
      </c>
      <c r="G16" s="10">
        <v>1740</v>
      </c>
      <c r="H16" s="11">
        <f t="shared" si="3"/>
        <v>0.42857142857142855</v>
      </c>
      <c r="I16" s="12">
        <f>Table23453456879111215141617181920212223242526272834567891011345678910[[#This Row],[Cash]]-Table23453456879111215141617181920212223242526272834567891011345678910[[#This Row],[Expense]]</f>
        <v>20020</v>
      </c>
      <c r="K16" s="15">
        <f t="shared" si="11"/>
        <v>45546</v>
      </c>
      <c r="L16" s="16">
        <f t="shared" ref="L16:L20" si="17">N16*0.3</f>
        <v>5421</v>
      </c>
      <c r="M16" s="16">
        <f t="shared" si="12"/>
        <v>12649</v>
      </c>
      <c r="N16" s="16">
        <f t="shared" si="13"/>
        <v>18070</v>
      </c>
      <c r="O16" s="16">
        <f t="shared" si="14"/>
        <v>5750</v>
      </c>
      <c r="P16" s="16">
        <f t="shared" si="15"/>
        <v>12320</v>
      </c>
      <c r="Q16" s="16">
        <f t="shared" si="16"/>
        <v>100</v>
      </c>
    </row>
    <row r="17" spans="1:17" x14ac:dyDescent="0.35">
      <c r="A17" s="31">
        <v>45552</v>
      </c>
      <c r="B17" s="10">
        <f t="shared" si="0"/>
        <v>2766</v>
      </c>
      <c r="C17" s="10">
        <f t="shared" si="1"/>
        <v>6454</v>
      </c>
      <c r="D17" s="10">
        <f t="shared" si="2"/>
        <v>9220</v>
      </c>
      <c r="E17" s="10">
        <v>1500</v>
      </c>
      <c r="F17" s="10">
        <v>7720</v>
      </c>
      <c r="G17" s="10">
        <v>500</v>
      </c>
      <c r="H17" s="11">
        <f t="shared" si="3"/>
        <v>0.42857142857142855</v>
      </c>
      <c r="I17" s="12">
        <f>Table23453456879111215141617181920212223242526272834567891011345678910[[#This Row],[Cash]]-Table23453456879111215141617181920212223242526272834567891011345678910[[#This Row],[Expense]]</f>
        <v>1000</v>
      </c>
      <c r="K17" s="13">
        <f t="shared" si="11"/>
        <v>45547</v>
      </c>
      <c r="L17" s="14">
        <f t="shared" si="17"/>
        <v>3549.2999999999997</v>
      </c>
      <c r="M17" s="14">
        <f t="shared" si="12"/>
        <v>8281.7000000000007</v>
      </c>
      <c r="N17" s="14">
        <f t="shared" si="13"/>
        <v>11831</v>
      </c>
      <c r="O17" s="14">
        <f t="shared" si="14"/>
        <v>6760</v>
      </c>
      <c r="P17" s="14">
        <f t="shared" si="15"/>
        <v>5071</v>
      </c>
      <c r="Q17" s="14">
        <f t="shared" si="16"/>
        <v>1200</v>
      </c>
    </row>
    <row r="18" spans="1:17" x14ac:dyDescent="0.35">
      <c r="A18" s="31">
        <v>45553</v>
      </c>
      <c r="B18" s="10">
        <f t="shared" si="0"/>
        <v>5202</v>
      </c>
      <c r="C18" s="10">
        <f t="shared" si="1"/>
        <v>12138</v>
      </c>
      <c r="D18" s="10">
        <f t="shared" si="2"/>
        <v>17340</v>
      </c>
      <c r="E18" s="10">
        <v>7580</v>
      </c>
      <c r="F18" s="10">
        <v>9760</v>
      </c>
      <c r="G18" s="10">
        <v>2450</v>
      </c>
      <c r="H18" s="11">
        <f t="shared" si="3"/>
        <v>0.42857142857142855</v>
      </c>
      <c r="I18" s="12">
        <f>Table23453456879111215141617181920212223242526272834567891011345678910[[#This Row],[Cash]]-Table23453456879111215141617181920212223242526272834567891011345678910[[#This Row],[Expense]]</f>
        <v>5130</v>
      </c>
      <c r="K18" s="15">
        <f t="shared" si="11"/>
        <v>45548</v>
      </c>
      <c r="L18" s="16">
        <f t="shared" si="17"/>
        <v>12291</v>
      </c>
      <c r="M18" s="16">
        <f t="shared" si="12"/>
        <v>28679</v>
      </c>
      <c r="N18" s="16">
        <f t="shared" si="13"/>
        <v>40970</v>
      </c>
      <c r="O18" s="16">
        <f t="shared" si="14"/>
        <v>22220</v>
      </c>
      <c r="P18" s="16">
        <f t="shared" si="15"/>
        <v>18750</v>
      </c>
      <c r="Q18" s="16">
        <f t="shared" si="16"/>
        <v>1520</v>
      </c>
    </row>
    <row r="19" spans="1:17" x14ac:dyDescent="0.35">
      <c r="A19" s="31">
        <v>45554</v>
      </c>
      <c r="B19" s="10">
        <f t="shared" si="0"/>
        <v>5733</v>
      </c>
      <c r="C19" s="10">
        <f t="shared" si="1"/>
        <v>13377</v>
      </c>
      <c r="D19" s="10">
        <f t="shared" si="2"/>
        <v>19110</v>
      </c>
      <c r="E19" s="10">
        <v>6610</v>
      </c>
      <c r="F19" s="10">
        <v>12500</v>
      </c>
      <c r="G19" s="10">
        <v>16700</v>
      </c>
      <c r="H19" s="11">
        <f t="shared" si="3"/>
        <v>0.42857142857142855</v>
      </c>
      <c r="I19" s="12">
        <f>Table23453456879111215141617181920212223242526272834567891011345678910[[#This Row],[Cash]]-Table23453456879111215141617181920212223242526272834567891011345678910[[#This Row],[Expense]]</f>
        <v>-10090</v>
      </c>
      <c r="K19" s="13">
        <f t="shared" si="11"/>
        <v>45549</v>
      </c>
      <c r="L19" s="14">
        <f t="shared" si="17"/>
        <v>9514.5</v>
      </c>
      <c r="M19" s="14">
        <f t="shared" si="12"/>
        <v>22200.5</v>
      </c>
      <c r="N19" s="14">
        <f t="shared" si="13"/>
        <v>31715</v>
      </c>
      <c r="O19" s="14">
        <f t="shared" si="14"/>
        <v>11000</v>
      </c>
      <c r="P19" s="14">
        <f t="shared" si="15"/>
        <v>20715</v>
      </c>
      <c r="Q19" s="14">
        <f t="shared" si="16"/>
        <v>3110</v>
      </c>
    </row>
    <row r="20" spans="1:17" x14ac:dyDescent="0.35">
      <c r="A20" s="31">
        <v>45555</v>
      </c>
      <c r="B20" s="10">
        <f t="shared" si="0"/>
        <v>15324</v>
      </c>
      <c r="C20" s="10">
        <f t="shared" si="1"/>
        <v>35756</v>
      </c>
      <c r="D20" s="10">
        <f t="shared" si="2"/>
        <v>51080</v>
      </c>
      <c r="E20" s="10">
        <v>20270</v>
      </c>
      <c r="F20" s="10">
        <v>30810</v>
      </c>
      <c r="G20" s="10">
        <v>7560</v>
      </c>
      <c r="H20" s="11">
        <f t="shared" si="3"/>
        <v>0.42857142857142855</v>
      </c>
      <c r="I20" s="12">
        <f>Table23453456879111215141617181920212223242526272834567891011345678910[[#This Row],[Cash]]-Table23453456879111215141617181920212223242526272834567891011345678910[[#This Row],[Expense]]</f>
        <v>12710</v>
      </c>
      <c r="K20" s="15">
        <f t="shared" si="11"/>
        <v>45550</v>
      </c>
      <c r="L20" s="16">
        <f t="shared" si="17"/>
        <v>9105</v>
      </c>
      <c r="M20" s="16">
        <f t="shared" si="12"/>
        <v>21245</v>
      </c>
      <c r="N20" s="16">
        <f t="shared" si="13"/>
        <v>30350</v>
      </c>
      <c r="O20" s="16">
        <f t="shared" si="14"/>
        <v>20350</v>
      </c>
      <c r="P20" s="16">
        <f t="shared" si="15"/>
        <v>10000</v>
      </c>
      <c r="Q20" s="16">
        <f t="shared" si="16"/>
        <v>5900</v>
      </c>
    </row>
    <row r="21" spans="1:17" x14ac:dyDescent="0.35">
      <c r="A21" s="31">
        <v>45556</v>
      </c>
      <c r="B21" s="10">
        <f t="shared" si="0"/>
        <v>6330</v>
      </c>
      <c r="C21" s="10">
        <f t="shared" si="1"/>
        <v>14770</v>
      </c>
      <c r="D21" s="10">
        <f t="shared" si="2"/>
        <v>21100</v>
      </c>
      <c r="E21" s="10">
        <v>6000</v>
      </c>
      <c r="F21" s="10">
        <v>15100</v>
      </c>
      <c r="G21" s="10">
        <v>5750</v>
      </c>
      <c r="H21" s="11">
        <f t="shared" si="3"/>
        <v>0.42857142857142855</v>
      </c>
      <c r="I21" s="12">
        <f>Table23453456879111215141617181920212223242526272834567891011345678910[[#This Row],[Cash]]-Table23453456879111215141617181920212223242526272834567891011345678910[[#This Row],[Expense]]</f>
        <v>250</v>
      </c>
      <c r="K21" s="18" t="s">
        <v>3</v>
      </c>
      <c r="L21" s="18">
        <f t="shared" ref="L21:Q21" si="18">SUM(L14:L20)</f>
        <v>53550.3</v>
      </c>
      <c r="M21" s="18">
        <f t="shared" si="18"/>
        <v>124950.7</v>
      </c>
      <c r="N21" s="18">
        <f t="shared" si="18"/>
        <v>178501</v>
      </c>
      <c r="O21" s="18">
        <f t="shared" si="18"/>
        <v>86880</v>
      </c>
      <c r="P21" s="18">
        <f t="shared" si="18"/>
        <v>91621</v>
      </c>
      <c r="Q21" s="18">
        <f t="shared" si="18"/>
        <v>16650</v>
      </c>
    </row>
    <row r="22" spans="1:17" x14ac:dyDescent="0.35">
      <c r="A22" s="31">
        <v>45557</v>
      </c>
      <c r="B22" s="10">
        <f t="shared" si="0"/>
        <v>12187.5</v>
      </c>
      <c r="C22" s="10">
        <f t="shared" si="1"/>
        <v>28437.5</v>
      </c>
      <c r="D22" s="10">
        <f t="shared" si="2"/>
        <v>40625</v>
      </c>
      <c r="E22" s="10">
        <v>21000</v>
      </c>
      <c r="F22" s="10">
        <v>19625</v>
      </c>
      <c r="G22" s="10">
        <f>27100+4400</f>
        <v>31500</v>
      </c>
      <c r="H22" s="11">
        <f t="shared" si="3"/>
        <v>0.42857142857142855</v>
      </c>
      <c r="I22" s="12">
        <f>Table23453456879111215141617181920212223242526272834567891011345678910[[#This Row],[Cash]]-Table23453456879111215141617181920212223242526272834567891011345678910[[#This Row],[Expense]]</f>
        <v>-10500</v>
      </c>
      <c r="K22" s="18" t="s">
        <v>10</v>
      </c>
      <c r="L22" s="18">
        <f>L21/3</f>
        <v>17850.100000000002</v>
      </c>
      <c r="M22" s="18"/>
      <c r="N22" s="18">
        <f>M22+L22</f>
        <v>17850.100000000002</v>
      </c>
      <c r="O22" s="16"/>
      <c r="P22" s="16"/>
      <c r="Q22" s="16"/>
    </row>
    <row r="23" spans="1:17" x14ac:dyDescent="0.35">
      <c r="A23" s="31">
        <v>45558</v>
      </c>
      <c r="B23" s="10">
        <f t="shared" si="0"/>
        <v>6844.5</v>
      </c>
      <c r="C23" s="10">
        <f t="shared" si="1"/>
        <v>15970.5</v>
      </c>
      <c r="D23" s="10">
        <f t="shared" si="2"/>
        <v>22815</v>
      </c>
      <c r="E23" s="10">
        <v>11500</v>
      </c>
      <c r="F23" s="10">
        <v>11315</v>
      </c>
      <c r="G23" s="10">
        <v>5150</v>
      </c>
      <c r="H23" s="11">
        <f t="shared" si="3"/>
        <v>0.42857142857142855</v>
      </c>
      <c r="I23" s="12">
        <f>Table23453456879111215141617181920212223242526272834567891011345678910[[#This Row],[Cash]]-Table23453456879111215141617181920212223242526272834567891011345678910[[#This Row],[Expense]]</f>
        <v>6350</v>
      </c>
    </row>
    <row r="24" spans="1:17" x14ac:dyDescent="0.35">
      <c r="A24" s="31">
        <v>45559</v>
      </c>
      <c r="B24" s="10">
        <f t="shared" si="0"/>
        <v>5835</v>
      </c>
      <c r="C24" s="10">
        <f t="shared" si="1"/>
        <v>13615</v>
      </c>
      <c r="D24" s="10">
        <f t="shared" si="2"/>
        <v>19450</v>
      </c>
      <c r="E24" s="10">
        <v>15000</v>
      </c>
      <c r="F24" s="10">
        <v>4450</v>
      </c>
      <c r="G24" s="10">
        <v>4000</v>
      </c>
      <c r="H24" s="11">
        <f t="shared" si="3"/>
        <v>0.42857142857142855</v>
      </c>
      <c r="I24" s="12">
        <f>Table23453456879111215141617181920212223242526272834567891011345678910[[#This Row],[Cash]]-Table23453456879111215141617181920212223242526272834567891011345678910[[#This Row],[Expense]]</f>
        <v>11000</v>
      </c>
      <c r="K24" s="19" t="s">
        <v>0</v>
      </c>
      <c r="L24" s="20" t="s">
        <v>1</v>
      </c>
      <c r="M24" s="20" t="s">
        <v>2</v>
      </c>
      <c r="N24" s="20" t="s">
        <v>3</v>
      </c>
      <c r="O24" s="20" t="s">
        <v>4</v>
      </c>
      <c r="P24" s="20" t="s">
        <v>5</v>
      </c>
      <c r="Q24" s="20" t="s">
        <v>6</v>
      </c>
    </row>
    <row r="25" spans="1:17" x14ac:dyDescent="0.35">
      <c r="A25" s="31">
        <v>45560</v>
      </c>
      <c r="B25" s="10">
        <f t="shared" si="0"/>
        <v>26616.3</v>
      </c>
      <c r="C25" s="10">
        <f t="shared" si="1"/>
        <v>62104.7</v>
      </c>
      <c r="D25" s="10">
        <f t="shared" si="2"/>
        <v>88721</v>
      </c>
      <c r="E25" s="10">
        <v>7700</v>
      </c>
      <c r="F25" s="10">
        <v>81021</v>
      </c>
      <c r="G25" s="10">
        <v>2700</v>
      </c>
      <c r="H25" s="11">
        <f t="shared" si="3"/>
        <v>0.4285714285714286</v>
      </c>
      <c r="I25" s="12">
        <f>Table23453456879111215141617181920212223242526272834567891011345678910[[#This Row],[Cash]]-Table23453456879111215141617181920212223242526272834567891011345678910[[#This Row],[Expense]]</f>
        <v>5000</v>
      </c>
      <c r="K25" s="15">
        <f t="shared" ref="K25:K31" si="19">A16</f>
        <v>45551</v>
      </c>
      <c r="L25" s="16">
        <f>N25*0.3</f>
        <v>7977</v>
      </c>
      <c r="M25" s="16">
        <f t="shared" ref="M25:M31" si="20">N25-L25</f>
        <v>18613</v>
      </c>
      <c r="N25" s="16">
        <f t="shared" ref="N25:N31" si="21">O25+P25</f>
        <v>26590</v>
      </c>
      <c r="O25" s="16">
        <f t="shared" ref="O25:O31" si="22">VLOOKUP(K25,$A$1:$H$30,5,0)</f>
        <v>21760</v>
      </c>
      <c r="P25" s="16">
        <f t="shared" ref="P25:P31" si="23">VLOOKUP(K25,$A$1:$H$30,6,0)</f>
        <v>4830</v>
      </c>
      <c r="Q25" s="16">
        <f t="shared" ref="Q25:Q31" si="24">VLOOKUP(K25,$A$1:$H$30,7,0)</f>
        <v>1740</v>
      </c>
    </row>
    <row r="26" spans="1:17" x14ac:dyDescent="0.35">
      <c r="A26" s="31">
        <v>45561</v>
      </c>
      <c r="B26" s="10">
        <f t="shared" si="0"/>
        <v>15360</v>
      </c>
      <c r="C26" s="10">
        <f t="shared" si="1"/>
        <v>35840</v>
      </c>
      <c r="D26" s="10">
        <f t="shared" si="2"/>
        <v>51200</v>
      </c>
      <c r="E26" s="10">
        <v>19980</v>
      </c>
      <c r="F26" s="10">
        <v>31220</v>
      </c>
      <c r="G26" s="10">
        <f>26000+3340</f>
        <v>29340</v>
      </c>
      <c r="H26" s="11">
        <f t="shared" si="3"/>
        <v>0.42857142857142855</v>
      </c>
      <c r="I26" s="12">
        <f>Table23453456879111215141617181920212223242526272834567891011345678910[[#This Row],[Cash]]-Table23453456879111215141617181920212223242526272834567891011345678910[[#This Row],[Expense]]</f>
        <v>-9360</v>
      </c>
      <c r="K26" s="13">
        <f t="shared" si="19"/>
        <v>45552</v>
      </c>
      <c r="L26" s="14">
        <f>N26*0.3</f>
        <v>2766</v>
      </c>
      <c r="M26" s="14">
        <f t="shared" si="20"/>
        <v>6454</v>
      </c>
      <c r="N26" s="14">
        <f t="shared" si="21"/>
        <v>9220</v>
      </c>
      <c r="O26" s="14">
        <f t="shared" si="22"/>
        <v>1500</v>
      </c>
      <c r="P26" s="14">
        <f t="shared" si="23"/>
        <v>7720</v>
      </c>
      <c r="Q26" s="14">
        <f t="shared" si="24"/>
        <v>500</v>
      </c>
    </row>
    <row r="27" spans="1:17" x14ac:dyDescent="0.35">
      <c r="A27" s="31">
        <v>45562</v>
      </c>
      <c r="B27" s="10">
        <f t="shared" si="0"/>
        <v>13650</v>
      </c>
      <c r="C27" s="10">
        <f t="shared" si="1"/>
        <v>31850</v>
      </c>
      <c r="D27" s="10">
        <f t="shared" si="2"/>
        <v>45500</v>
      </c>
      <c r="E27" s="10">
        <v>14200</v>
      </c>
      <c r="F27" s="10">
        <v>31300</v>
      </c>
      <c r="G27" s="10">
        <v>570</v>
      </c>
      <c r="H27" s="11">
        <f t="shared" si="3"/>
        <v>0.42857142857142855</v>
      </c>
      <c r="I27" s="12">
        <f>Table23453456879111215141617181920212223242526272834567891011345678910[[#This Row],[Cash]]-Table23453456879111215141617181920212223242526272834567891011345678910[[#This Row],[Expense]]</f>
        <v>13630</v>
      </c>
      <c r="K27" s="15">
        <f t="shared" si="19"/>
        <v>45553</v>
      </c>
      <c r="L27" s="16">
        <f t="shared" ref="L27:L31" si="25">N27*0.3</f>
        <v>5202</v>
      </c>
      <c r="M27" s="16">
        <f t="shared" si="20"/>
        <v>12138</v>
      </c>
      <c r="N27" s="16">
        <f t="shared" si="21"/>
        <v>17340</v>
      </c>
      <c r="O27" s="16">
        <f t="shared" si="22"/>
        <v>7580</v>
      </c>
      <c r="P27" s="16">
        <f t="shared" si="23"/>
        <v>9760</v>
      </c>
      <c r="Q27" s="16">
        <f t="shared" si="24"/>
        <v>2450</v>
      </c>
    </row>
    <row r="28" spans="1:17" x14ac:dyDescent="0.35">
      <c r="A28" s="31">
        <v>45563</v>
      </c>
      <c r="B28" s="10">
        <f t="shared" si="0"/>
        <v>16863</v>
      </c>
      <c r="C28" s="10">
        <f t="shared" si="1"/>
        <v>39347</v>
      </c>
      <c r="D28" s="10">
        <f t="shared" si="2"/>
        <v>56210</v>
      </c>
      <c r="E28" s="10">
        <v>39210</v>
      </c>
      <c r="F28" s="10">
        <v>17000</v>
      </c>
      <c r="G28" s="10">
        <v>3850</v>
      </c>
      <c r="H28" s="11">
        <f t="shared" si="3"/>
        <v>0.42857142857142855</v>
      </c>
      <c r="I28" s="12">
        <f>Table23453456879111215141617181920212223242526272834567891011345678910[[#This Row],[Cash]]-Table23453456879111215141617181920212223242526272834567891011345678910[[#This Row],[Expense]]</f>
        <v>35360</v>
      </c>
      <c r="K28" s="13">
        <f t="shared" si="19"/>
        <v>45554</v>
      </c>
      <c r="L28" s="14">
        <f>N28*0.3</f>
        <v>5733</v>
      </c>
      <c r="M28" s="14">
        <f t="shared" si="20"/>
        <v>13377</v>
      </c>
      <c r="N28" s="14">
        <f t="shared" si="21"/>
        <v>19110</v>
      </c>
      <c r="O28" s="14">
        <f t="shared" si="22"/>
        <v>6610</v>
      </c>
      <c r="P28" s="14">
        <f t="shared" si="23"/>
        <v>12500</v>
      </c>
      <c r="Q28" s="14">
        <f t="shared" si="24"/>
        <v>16700</v>
      </c>
    </row>
    <row r="29" spans="1:17" x14ac:dyDescent="0.35">
      <c r="A29" s="31">
        <v>45564</v>
      </c>
      <c r="B29" s="10">
        <f t="shared" si="0"/>
        <v>26572.5</v>
      </c>
      <c r="C29" s="10">
        <f t="shared" si="1"/>
        <v>62002.5</v>
      </c>
      <c r="D29" s="10">
        <f t="shared" si="2"/>
        <v>88575</v>
      </c>
      <c r="E29" s="10">
        <v>33100</v>
      </c>
      <c r="F29" s="10">
        <v>55475</v>
      </c>
      <c r="G29" s="10">
        <v>6330</v>
      </c>
      <c r="H29" s="11">
        <f t="shared" si="3"/>
        <v>0.42857142857142855</v>
      </c>
      <c r="I29" s="12">
        <f>Table23453456879111215141617181920212223242526272834567891011345678910[[#This Row],[Cash]]-Table23453456879111215141617181920212223242526272834567891011345678910[[#This Row],[Expense]]</f>
        <v>26770</v>
      </c>
      <c r="K29" s="15">
        <f t="shared" si="19"/>
        <v>45555</v>
      </c>
      <c r="L29" s="16">
        <f t="shared" si="25"/>
        <v>15324</v>
      </c>
      <c r="M29" s="16">
        <f t="shared" si="20"/>
        <v>35756</v>
      </c>
      <c r="N29" s="16">
        <f t="shared" si="21"/>
        <v>51080</v>
      </c>
      <c r="O29" s="16">
        <f t="shared" si="22"/>
        <v>20270</v>
      </c>
      <c r="P29" s="16">
        <f t="shared" si="23"/>
        <v>30810</v>
      </c>
      <c r="Q29" s="16">
        <f t="shared" si="24"/>
        <v>7560</v>
      </c>
    </row>
    <row r="30" spans="1:17" ht="15" thickBot="1" x14ac:dyDescent="0.4">
      <c r="A30" s="21" t="s">
        <v>3</v>
      </c>
      <c r="B30" s="22">
        <f>SUBTOTAL(109,Table23453456879111215141617181920212223242526272834567891011345678910[Profit])</f>
        <v>270077.40000000002</v>
      </c>
      <c r="C30" s="22">
        <f>SUBTOTAL(109,Table23453456879111215141617181920212223242526272834567891011345678910[Profit])</f>
        <v>270077.40000000002</v>
      </c>
      <c r="D30" s="22">
        <f>SUBTOTAL(109,Table23453456879111215141617181920212223242526272834567891011345678910[Total])</f>
        <v>900258</v>
      </c>
      <c r="E30" s="22">
        <f>SUBTOTAL(109,Table23453456879111215141617181920212223242526272834567891011345678910[Profit])</f>
        <v>270077.40000000002</v>
      </c>
      <c r="F30" s="22">
        <f>SUBTOTAL(109,Table23453456879111215141617181920212223242526272834567891011345678910[Profit])</f>
        <v>270077.40000000002</v>
      </c>
      <c r="G30" s="22">
        <f>SUM(G4:G29)</f>
        <v>146260</v>
      </c>
      <c r="H30" s="22">
        <f>SUM(H4:H29)</f>
        <v>11.142857142857146</v>
      </c>
      <c r="I30" s="22">
        <f>SUM(I4:I29)</f>
        <v>213070</v>
      </c>
      <c r="K30" s="13">
        <f t="shared" si="19"/>
        <v>45556</v>
      </c>
      <c r="L30" s="14">
        <f t="shared" si="25"/>
        <v>6330</v>
      </c>
      <c r="M30" s="14">
        <f t="shared" si="20"/>
        <v>14770</v>
      </c>
      <c r="N30" s="14">
        <f t="shared" si="21"/>
        <v>21100</v>
      </c>
      <c r="O30" s="14">
        <f t="shared" si="22"/>
        <v>6000</v>
      </c>
      <c r="P30" s="14">
        <f t="shared" si="23"/>
        <v>15100</v>
      </c>
      <c r="Q30" s="14">
        <f t="shared" si="24"/>
        <v>5750</v>
      </c>
    </row>
    <row r="31" spans="1:17" x14ac:dyDescent="0.35">
      <c r="A31" s="23"/>
      <c r="B31" s="24">
        <f>B30/3</f>
        <v>90025.8</v>
      </c>
      <c r="C31" s="24"/>
      <c r="E31" s="26">
        <f>D30*0.42</f>
        <v>378108.36</v>
      </c>
      <c r="F31" s="24"/>
      <c r="G31" s="24"/>
      <c r="H31" s="27"/>
      <c r="K31" s="15">
        <f t="shared" si="19"/>
        <v>45557</v>
      </c>
      <c r="L31" s="16">
        <f t="shared" si="25"/>
        <v>12187.5</v>
      </c>
      <c r="M31" s="16">
        <f t="shared" si="20"/>
        <v>28437.5</v>
      </c>
      <c r="N31" s="16">
        <f t="shared" si="21"/>
        <v>40625</v>
      </c>
      <c r="O31" s="16">
        <f t="shared" si="22"/>
        <v>21000</v>
      </c>
      <c r="P31" s="16">
        <f t="shared" si="23"/>
        <v>19625</v>
      </c>
      <c r="Q31" s="16">
        <f t="shared" si="24"/>
        <v>31500</v>
      </c>
    </row>
    <row r="32" spans="1:17" x14ac:dyDescent="0.35">
      <c r="A32" s="23"/>
      <c r="B32" s="24">
        <f>B31*100/D30</f>
        <v>10</v>
      </c>
      <c r="C32" s="24"/>
      <c r="E32" s="24">
        <f>E31/3</f>
        <v>126036.12</v>
      </c>
      <c r="F32" s="24"/>
      <c r="G32" s="24"/>
      <c r="H32" s="27"/>
      <c r="K32" s="18" t="s">
        <v>3</v>
      </c>
      <c r="L32" s="16">
        <f t="shared" ref="L32:Q32" si="26">SUM(L25:L31)</f>
        <v>55519.5</v>
      </c>
      <c r="M32" s="16">
        <f t="shared" si="26"/>
        <v>129545.5</v>
      </c>
      <c r="N32" s="16">
        <f t="shared" si="26"/>
        <v>185065</v>
      </c>
      <c r="O32" s="16">
        <f t="shared" si="26"/>
        <v>84720</v>
      </c>
      <c r="P32" s="16">
        <f t="shared" si="26"/>
        <v>100345</v>
      </c>
      <c r="Q32" s="16">
        <f t="shared" si="26"/>
        <v>66200</v>
      </c>
    </row>
    <row r="33" spans="1:17" x14ac:dyDescent="0.35">
      <c r="A33" s="19" t="s">
        <v>0</v>
      </c>
      <c r="B33" s="20" t="s">
        <v>1</v>
      </c>
      <c r="C33" s="20" t="s">
        <v>2</v>
      </c>
      <c r="D33" s="20" t="s">
        <v>3</v>
      </c>
      <c r="E33" s="20" t="s">
        <v>4</v>
      </c>
      <c r="F33" s="20" t="s">
        <v>5</v>
      </c>
      <c r="G33" s="20" t="s">
        <v>6</v>
      </c>
      <c r="H33" s="28" t="s">
        <v>10</v>
      </c>
      <c r="K33" s="18" t="s">
        <v>10</v>
      </c>
      <c r="L33" s="14">
        <f>L32/3</f>
        <v>18506.5</v>
      </c>
      <c r="M33" s="14"/>
      <c r="N33" s="14"/>
      <c r="O33" s="14"/>
      <c r="P33" s="14"/>
      <c r="Q33" s="14"/>
    </row>
    <row r="34" spans="1:17" x14ac:dyDescent="0.35">
      <c r="A34" s="29" t="str">
        <f>CONCATENATE(TEXT(K3,"DD-MMM-YYY")," to ",TEXT(K9,"DD-MMM-YYYY"))</f>
        <v>02-Sep-2024 to 08-Sep-2024</v>
      </c>
      <c r="B34" s="16">
        <f>L10</f>
        <v>49266.3</v>
      </c>
      <c r="C34" s="16">
        <f t="shared" ref="C34:G34" si="27">M10</f>
        <v>114954.7</v>
      </c>
      <c r="D34" s="16">
        <f t="shared" si="27"/>
        <v>164221</v>
      </c>
      <c r="E34" s="16">
        <f t="shared" si="27"/>
        <v>69610</v>
      </c>
      <c r="F34" s="16">
        <f t="shared" si="27"/>
        <v>94611</v>
      </c>
      <c r="G34" s="16">
        <f t="shared" si="27"/>
        <v>42220</v>
      </c>
      <c r="H34" s="16">
        <f>B34/3</f>
        <v>16422.100000000002</v>
      </c>
    </row>
    <row r="35" spans="1:17" x14ac:dyDescent="0.35">
      <c r="A35" s="29" t="str">
        <f>CONCATENATE(TEXT(K14,"DD-MMM-YYY")," to ",TEXT(K20,"DD-MMM-YYYY"))</f>
        <v>09-Sep-2024 to 15-Sep-2024</v>
      </c>
      <c r="B35" s="14">
        <f>L21</f>
        <v>53550.3</v>
      </c>
      <c r="C35" s="14">
        <f t="shared" ref="C35:G35" si="28">M21</f>
        <v>124950.7</v>
      </c>
      <c r="D35" s="14">
        <f t="shared" si="28"/>
        <v>178501</v>
      </c>
      <c r="E35" s="14">
        <f t="shared" si="28"/>
        <v>86880</v>
      </c>
      <c r="F35" s="14">
        <f t="shared" si="28"/>
        <v>91621</v>
      </c>
      <c r="G35" s="14">
        <f t="shared" si="28"/>
        <v>16650</v>
      </c>
      <c r="H35" s="16">
        <f t="shared" ref="H35:H37" si="29">B35/3</f>
        <v>17850.100000000002</v>
      </c>
      <c r="K35" s="19" t="s">
        <v>0</v>
      </c>
      <c r="L35" s="20" t="s">
        <v>1</v>
      </c>
      <c r="M35" s="20" t="s">
        <v>2</v>
      </c>
      <c r="N35" s="20" t="s">
        <v>3</v>
      </c>
      <c r="O35" s="20" t="s">
        <v>4</v>
      </c>
      <c r="P35" s="20" t="s">
        <v>5</v>
      </c>
      <c r="Q35" s="20" t="s">
        <v>6</v>
      </c>
    </row>
    <row r="36" spans="1:17" x14ac:dyDescent="0.35">
      <c r="A36" s="29" t="str">
        <f>CONCATENATE(TEXT(K25,"DD-MMM-YYY")," to ",TEXT(K31,"DD-MMM-YYYY"))</f>
        <v>16-Sep-2024 to 22-Sep-2024</v>
      </c>
      <c r="B36" s="16">
        <f>L32</f>
        <v>55519.5</v>
      </c>
      <c r="C36" s="16">
        <f t="shared" ref="C36:G36" si="30">M32</f>
        <v>129545.5</v>
      </c>
      <c r="D36" s="16">
        <f t="shared" si="30"/>
        <v>185065</v>
      </c>
      <c r="E36" s="16">
        <f t="shared" si="30"/>
        <v>84720</v>
      </c>
      <c r="F36" s="16">
        <f t="shared" si="30"/>
        <v>100345</v>
      </c>
      <c r="G36" s="16">
        <f t="shared" si="30"/>
        <v>66200</v>
      </c>
      <c r="H36" s="16">
        <f t="shared" si="29"/>
        <v>18506.5</v>
      </c>
      <c r="K36" s="13">
        <f t="shared" ref="K36:K42" si="31">A23</f>
        <v>45558</v>
      </c>
      <c r="L36" s="16">
        <f>N36*0.3</f>
        <v>6844.5</v>
      </c>
      <c r="M36" s="16">
        <f t="shared" ref="M36:M42" si="32">N36-L36</f>
        <v>15970.5</v>
      </c>
      <c r="N36" s="16">
        <f t="shared" ref="N36:N42" si="33">O36+P36</f>
        <v>22815</v>
      </c>
      <c r="O36" s="16">
        <f t="shared" ref="O36:O42" si="34">VLOOKUP(K36,$A$1:$H$30,5,0)</f>
        <v>11500</v>
      </c>
      <c r="P36" s="16">
        <f t="shared" ref="P36:P42" si="35">VLOOKUP(K36,$A$1:$H$30,6,0)</f>
        <v>11315</v>
      </c>
      <c r="Q36" s="16">
        <f t="shared" ref="Q36:Q42" si="36">VLOOKUP(K36,$A$1:$H$30,7,0)</f>
        <v>5150</v>
      </c>
    </row>
    <row r="37" spans="1:17" x14ac:dyDescent="0.35">
      <c r="A37" s="29" t="str">
        <f>CONCATENATE(TEXT(K36,"DD-MMM-YYY")," to ",TEXT(K42,"DD-MMM-YYYY"))</f>
        <v>23-Sep-2024 to 29-Sep-2024</v>
      </c>
      <c r="B37" s="14">
        <f>L43</f>
        <v>111741.3</v>
      </c>
      <c r="C37" s="14">
        <f t="shared" ref="C37:G37" si="37">M43</f>
        <v>260729.7</v>
      </c>
      <c r="D37" s="14">
        <f t="shared" si="37"/>
        <v>372471</v>
      </c>
      <c r="E37" s="14">
        <f t="shared" si="37"/>
        <v>140690</v>
      </c>
      <c r="F37" s="14">
        <f t="shared" si="37"/>
        <v>231781</v>
      </c>
      <c r="G37" s="14">
        <f t="shared" si="37"/>
        <v>51940</v>
      </c>
      <c r="H37" s="16">
        <f t="shared" si="29"/>
        <v>37247.1</v>
      </c>
      <c r="K37" s="13">
        <f t="shared" si="31"/>
        <v>45559</v>
      </c>
      <c r="L37" s="14">
        <f>N37*0.3</f>
        <v>5835</v>
      </c>
      <c r="M37" s="14">
        <f t="shared" si="32"/>
        <v>13615</v>
      </c>
      <c r="N37" s="14">
        <f t="shared" si="33"/>
        <v>19450</v>
      </c>
      <c r="O37" s="14">
        <f t="shared" si="34"/>
        <v>15000</v>
      </c>
      <c r="P37" s="14">
        <f t="shared" si="35"/>
        <v>4450</v>
      </c>
      <c r="Q37" s="14">
        <f t="shared" si="36"/>
        <v>4000</v>
      </c>
    </row>
    <row r="38" spans="1:17" x14ac:dyDescent="0.35">
      <c r="A38" s="29" t="str">
        <f>CONCATENATE(TEXT(K49,"DD-MMM-YYY")," to ",TEXT(K48,"DD-MMM-YYYY"))</f>
        <v>06-Sep-2024 to Date</v>
      </c>
      <c r="B38" s="14">
        <f t="shared" ref="B38:H38" si="38">SUM(B34:B37)</f>
        <v>270077.40000000002</v>
      </c>
      <c r="C38" s="14">
        <f t="shared" si="38"/>
        <v>630180.60000000009</v>
      </c>
      <c r="D38" s="14">
        <f t="shared" si="38"/>
        <v>900258</v>
      </c>
      <c r="E38" s="14">
        <f t="shared" si="38"/>
        <v>381900</v>
      </c>
      <c r="F38" s="14">
        <f t="shared" si="38"/>
        <v>518358</v>
      </c>
      <c r="G38" s="14">
        <f t="shared" si="38"/>
        <v>177010</v>
      </c>
      <c r="H38" s="14">
        <f t="shared" si="38"/>
        <v>90025.8</v>
      </c>
      <c r="K38" s="15">
        <f t="shared" si="31"/>
        <v>45560</v>
      </c>
      <c r="L38" s="16">
        <f t="shared" ref="L38:L40" si="39">N38*0.3</f>
        <v>26616.3</v>
      </c>
      <c r="M38" s="16">
        <f t="shared" si="32"/>
        <v>62104.7</v>
      </c>
      <c r="N38" s="16">
        <f t="shared" si="33"/>
        <v>88721</v>
      </c>
      <c r="O38" s="16">
        <f t="shared" si="34"/>
        <v>7700</v>
      </c>
      <c r="P38" s="16">
        <f t="shared" si="35"/>
        <v>81021</v>
      </c>
      <c r="Q38" s="16">
        <f t="shared" si="36"/>
        <v>2700</v>
      </c>
    </row>
    <row r="39" spans="1:17" x14ac:dyDescent="0.35">
      <c r="C39" s="65" t="s">
        <v>3</v>
      </c>
      <c r="D39" s="65"/>
      <c r="E39" s="65"/>
      <c r="F39" s="65"/>
      <c r="G39" s="66"/>
      <c r="H39" s="16"/>
      <c r="K39" s="13">
        <f t="shared" si="31"/>
        <v>45561</v>
      </c>
      <c r="L39" s="14">
        <f t="shared" si="39"/>
        <v>15360</v>
      </c>
      <c r="M39" s="14">
        <f t="shared" si="32"/>
        <v>35840</v>
      </c>
      <c r="N39" s="14">
        <f t="shared" si="33"/>
        <v>51200</v>
      </c>
      <c r="O39" s="14">
        <f t="shared" si="34"/>
        <v>19980</v>
      </c>
      <c r="P39" s="14">
        <f t="shared" si="35"/>
        <v>31220</v>
      </c>
      <c r="Q39" s="14">
        <f t="shared" si="36"/>
        <v>29340</v>
      </c>
    </row>
    <row r="40" spans="1:17" x14ac:dyDescent="0.35">
      <c r="K40" s="15">
        <f t="shared" si="31"/>
        <v>45562</v>
      </c>
      <c r="L40" s="16">
        <f t="shared" si="39"/>
        <v>13650</v>
      </c>
      <c r="M40" s="16">
        <f t="shared" si="32"/>
        <v>31850</v>
      </c>
      <c r="N40" s="16">
        <f t="shared" si="33"/>
        <v>45500</v>
      </c>
      <c r="O40" s="16">
        <f t="shared" si="34"/>
        <v>14200</v>
      </c>
      <c r="P40" s="16">
        <f t="shared" si="35"/>
        <v>31300</v>
      </c>
      <c r="Q40" s="16">
        <f t="shared" si="36"/>
        <v>570</v>
      </c>
    </row>
    <row r="41" spans="1:17" x14ac:dyDescent="0.35">
      <c r="K41" s="13">
        <f t="shared" si="31"/>
        <v>45563</v>
      </c>
      <c r="L41" s="14">
        <f>N41*0.3</f>
        <v>16863</v>
      </c>
      <c r="M41" s="14">
        <f t="shared" si="32"/>
        <v>39347</v>
      </c>
      <c r="N41" s="14">
        <f t="shared" si="33"/>
        <v>56210</v>
      </c>
      <c r="O41" s="14">
        <f t="shared" si="34"/>
        <v>39210</v>
      </c>
      <c r="P41" s="14">
        <f t="shared" si="35"/>
        <v>17000</v>
      </c>
      <c r="Q41" s="14">
        <f t="shared" si="36"/>
        <v>3850</v>
      </c>
    </row>
    <row r="42" spans="1:17" x14ac:dyDescent="0.35">
      <c r="K42" s="15">
        <f t="shared" si="31"/>
        <v>45564</v>
      </c>
      <c r="L42" s="16">
        <f>N42*0.3</f>
        <v>26572.5</v>
      </c>
      <c r="M42" s="16">
        <f t="shared" si="32"/>
        <v>62002.5</v>
      </c>
      <c r="N42" s="16">
        <f t="shared" si="33"/>
        <v>88575</v>
      </c>
      <c r="O42" s="16">
        <f t="shared" si="34"/>
        <v>33100</v>
      </c>
      <c r="P42" s="16">
        <f t="shared" si="35"/>
        <v>55475</v>
      </c>
      <c r="Q42" s="16">
        <f t="shared" si="36"/>
        <v>6330</v>
      </c>
    </row>
    <row r="43" spans="1:17" x14ac:dyDescent="0.35">
      <c r="K43" s="18" t="s">
        <v>3</v>
      </c>
      <c r="L43" s="16">
        <f t="shared" ref="L43" si="40">SUM(L36:L42)</f>
        <v>111741.3</v>
      </c>
      <c r="M43" s="14">
        <f t="shared" ref="M43:Q43" si="41">SUM(M36:M42)</f>
        <v>260729.7</v>
      </c>
      <c r="N43" s="14">
        <f t="shared" si="41"/>
        <v>372471</v>
      </c>
      <c r="O43" s="14">
        <f t="shared" si="41"/>
        <v>140690</v>
      </c>
      <c r="P43" s="14">
        <f t="shared" si="41"/>
        <v>231781</v>
      </c>
      <c r="Q43" s="14">
        <f t="shared" si="41"/>
        <v>51940</v>
      </c>
    </row>
    <row r="44" spans="1:17" x14ac:dyDescent="0.35">
      <c r="K44" s="18" t="s">
        <v>10</v>
      </c>
      <c r="L44" s="16">
        <f>L43/3</f>
        <v>37247.1</v>
      </c>
      <c r="M44" s="16"/>
      <c r="N44" s="16"/>
      <c r="O44" s="16"/>
      <c r="P44" s="16"/>
      <c r="Q44" s="16"/>
    </row>
    <row r="48" spans="1:17" x14ac:dyDescent="0.35">
      <c r="K48" s="19" t="s">
        <v>0</v>
      </c>
      <c r="L48" s="20" t="s">
        <v>1</v>
      </c>
      <c r="M48" s="20" t="s">
        <v>2</v>
      </c>
      <c r="N48" s="20" t="s">
        <v>3</v>
      </c>
      <c r="O48" s="20" t="s">
        <v>4</v>
      </c>
      <c r="P48" s="20" t="s">
        <v>5</v>
      </c>
      <c r="Q48" s="20" t="s">
        <v>6</v>
      </c>
    </row>
    <row r="49" spans="11:17" x14ac:dyDescent="0.35">
      <c r="K49" s="30">
        <f>A6</f>
        <v>45541</v>
      </c>
      <c r="L49" s="14">
        <f t="shared" ref="L49:Q49" si="42">SUM(B7:B29)</f>
        <v>228356.1</v>
      </c>
      <c r="M49" s="14">
        <f t="shared" si="42"/>
        <v>532830.9</v>
      </c>
      <c r="N49" s="14">
        <f t="shared" si="42"/>
        <v>761187</v>
      </c>
      <c r="O49" s="14">
        <f t="shared" si="42"/>
        <v>324440</v>
      </c>
      <c r="P49" s="14">
        <f t="shared" si="42"/>
        <v>436747</v>
      </c>
      <c r="Q49" s="14">
        <f t="shared" si="42"/>
        <v>136560</v>
      </c>
    </row>
    <row r="50" spans="11:17" x14ac:dyDescent="0.35">
      <c r="K50" s="18" t="s">
        <v>10</v>
      </c>
      <c r="L50" s="16">
        <f>L49/3</f>
        <v>76118.7</v>
      </c>
      <c r="M50" s="16"/>
      <c r="N50" s="16"/>
      <c r="O50" s="16"/>
      <c r="P50" s="16"/>
      <c r="Q50" s="16"/>
    </row>
  </sheetData>
  <mergeCells count="1">
    <mergeCell ref="C39:G39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33:H33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8:Q4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7F6D-2B1A-4EB3-B4E0-E2BC2A32F9AB}">
  <dimension ref="A1:I44"/>
  <sheetViews>
    <sheetView topLeftCell="A29" workbookViewId="0">
      <selection activeCell="D44" sqref="D44"/>
    </sheetView>
  </sheetViews>
  <sheetFormatPr defaultRowHeight="14.5" x14ac:dyDescent="0.35"/>
  <cols>
    <col min="1" max="1" width="17" style="39" bestFit="1" customWidth="1"/>
    <col min="2" max="2" width="16.453125" bestFit="1" customWidth="1"/>
    <col min="3" max="3" width="19.54296875" bestFit="1" customWidth="1"/>
    <col min="4" max="4" width="14.7265625" style="32" bestFit="1" customWidth="1"/>
    <col min="5" max="5" width="26" bestFit="1" customWidth="1"/>
    <col min="6" max="6" width="20.90625" bestFit="1" customWidth="1"/>
    <col min="7" max="7" width="14" bestFit="1" customWidth="1"/>
    <col min="8" max="8" width="14.7265625" bestFit="1" customWidth="1"/>
    <col min="9" max="9" width="10.08984375" bestFit="1" customWidth="1"/>
  </cols>
  <sheetData>
    <row r="1" spans="1:9" x14ac:dyDescent="0.35">
      <c r="A1" s="67" t="s">
        <v>6</v>
      </c>
      <c r="B1" s="67"/>
      <c r="C1" s="67"/>
      <c r="D1" s="67"/>
      <c r="F1" s="67" t="s">
        <v>43</v>
      </c>
      <c r="G1" s="67"/>
      <c r="H1" s="67"/>
      <c r="I1" s="67"/>
    </row>
    <row r="2" spans="1:9" x14ac:dyDescent="0.35">
      <c r="A2" s="37" t="s">
        <v>0</v>
      </c>
      <c r="B2" s="33" t="s">
        <v>35</v>
      </c>
      <c r="C2" s="33" t="s">
        <v>36</v>
      </c>
      <c r="D2" s="34" t="s">
        <v>37</v>
      </c>
      <c r="E2" s="34" t="s">
        <v>61</v>
      </c>
      <c r="F2" s="37" t="s">
        <v>0</v>
      </c>
      <c r="G2" s="33" t="s">
        <v>35</v>
      </c>
      <c r="H2" s="33" t="s">
        <v>36</v>
      </c>
      <c r="I2" s="34" t="s">
        <v>37</v>
      </c>
    </row>
    <row r="3" spans="1:9" x14ac:dyDescent="0.35">
      <c r="A3" s="38">
        <v>45537</v>
      </c>
      <c r="B3" s="35" t="s">
        <v>34</v>
      </c>
      <c r="C3" s="35" t="s">
        <v>27</v>
      </c>
      <c r="D3" s="36">
        <v>10000</v>
      </c>
      <c r="E3" t="s">
        <v>58</v>
      </c>
      <c r="F3" s="38">
        <v>45536</v>
      </c>
      <c r="G3" s="35" t="s">
        <v>44</v>
      </c>
      <c r="H3" s="35" t="s">
        <v>4</v>
      </c>
      <c r="I3" s="36">
        <v>69610</v>
      </c>
    </row>
    <row r="4" spans="1:9" x14ac:dyDescent="0.35">
      <c r="A4" s="38">
        <v>45538</v>
      </c>
      <c r="B4" s="35" t="s">
        <v>30</v>
      </c>
      <c r="C4" s="35" t="s">
        <v>16</v>
      </c>
      <c r="D4" s="36">
        <v>1000</v>
      </c>
      <c r="E4" t="s">
        <v>31</v>
      </c>
      <c r="F4" s="38">
        <v>45543</v>
      </c>
      <c r="G4" s="35" t="s">
        <v>44</v>
      </c>
      <c r="H4" s="35" t="s">
        <v>46</v>
      </c>
      <c r="I4" s="36">
        <v>94611</v>
      </c>
    </row>
    <row r="5" spans="1:9" x14ac:dyDescent="0.35">
      <c r="A5" s="38">
        <v>45538</v>
      </c>
      <c r="B5" s="35" t="s">
        <v>50</v>
      </c>
      <c r="C5" s="35" t="s">
        <v>55</v>
      </c>
      <c r="D5" s="36">
        <v>4200</v>
      </c>
      <c r="E5" t="s">
        <v>59</v>
      </c>
      <c r="F5" s="38">
        <v>45544</v>
      </c>
      <c r="G5" s="35" t="s">
        <v>44</v>
      </c>
      <c r="H5" s="35" t="s">
        <v>4</v>
      </c>
      <c r="I5" s="36">
        <v>86880</v>
      </c>
    </row>
    <row r="6" spans="1:9" x14ac:dyDescent="0.35">
      <c r="A6" s="38">
        <v>45538</v>
      </c>
      <c r="B6" s="35" t="s">
        <v>29</v>
      </c>
      <c r="C6" s="35" t="s">
        <v>20</v>
      </c>
      <c r="D6" s="36">
        <v>1000</v>
      </c>
      <c r="E6" t="s">
        <v>62</v>
      </c>
      <c r="F6" s="38">
        <v>45550</v>
      </c>
      <c r="G6" s="35" t="s">
        <v>44</v>
      </c>
      <c r="H6" s="35" t="s">
        <v>46</v>
      </c>
      <c r="I6" s="36">
        <v>91621</v>
      </c>
    </row>
    <row r="7" spans="1:9" x14ac:dyDescent="0.35">
      <c r="A7" s="38">
        <v>45538</v>
      </c>
      <c r="B7" s="35" t="s">
        <v>32</v>
      </c>
      <c r="C7" s="35" t="s">
        <v>52</v>
      </c>
      <c r="D7" s="36">
        <v>4612</v>
      </c>
      <c r="E7" t="s">
        <v>33</v>
      </c>
      <c r="F7" s="38">
        <v>45551</v>
      </c>
      <c r="G7" s="35" t="s">
        <v>45</v>
      </c>
      <c r="H7" s="35" t="s">
        <v>46</v>
      </c>
      <c r="I7" s="36">
        <v>99500</v>
      </c>
    </row>
    <row r="8" spans="1:9" x14ac:dyDescent="0.35">
      <c r="A8" s="38">
        <v>45539</v>
      </c>
      <c r="B8" s="35" t="s">
        <v>26</v>
      </c>
      <c r="C8" s="35" t="s">
        <v>27</v>
      </c>
      <c r="D8" s="36">
        <v>34000</v>
      </c>
      <c r="E8" t="s">
        <v>60</v>
      </c>
      <c r="F8" s="38">
        <v>45551</v>
      </c>
      <c r="G8" s="35" t="s">
        <v>47</v>
      </c>
      <c r="H8" s="35" t="s">
        <v>46</v>
      </c>
      <c r="I8" s="36">
        <f>84000-14500</f>
        <v>69500</v>
      </c>
    </row>
    <row r="9" spans="1:9" x14ac:dyDescent="0.35">
      <c r="A9" s="38">
        <v>45539</v>
      </c>
      <c r="B9" s="35" t="s">
        <v>28</v>
      </c>
      <c r="C9" s="35" t="s">
        <v>56</v>
      </c>
      <c r="D9" s="36">
        <v>50000</v>
      </c>
      <c r="E9" t="s">
        <v>57</v>
      </c>
      <c r="F9" s="38">
        <v>45551</v>
      </c>
      <c r="G9" s="35" t="s">
        <v>44</v>
      </c>
      <c r="H9" s="35" t="s">
        <v>49</v>
      </c>
      <c r="I9" s="36">
        <f>20020+4830</f>
        <v>24850</v>
      </c>
    </row>
    <row r="10" spans="1:9" x14ac:dyDescent="0.35">
      <c r="A10" s="38">
        <v>45539</v>
      </c>
      <c r="B10" s="35" t="s">
        <v>24</v>
      </c>
      <c r="C10" s="35" t="s">
        <v>20</v>
      </c>
      <c r="D10" s="36">
        <v>4000</v>
      </c>
      <c r="E10" t="s">
        <v>62</v>
      </c>
      <c r="F10" s="38">
        <v>45552</v>
      </c>
      <c r="G10" s="35" t="s">
        <v>44</v>
      </c>
      <c r="H10" s="35" t="s">
        <v>49</v>
      </c>
      <c r="I10" s="36">
        <v>8720</v>
      </c>
    </row>
    <row r="11" spans="1:9" x14ac:dyDescent="0.35">
      <c r="A11" s="38">
        <v>45541</v>
      </c>
      <c r="B11" s="35" t="s">
        <v>25</v>
      </c>
      <c r="C11" s="35" t="s">
        <v>63</v>
      </c>
      <c r="D11" s="36">
        <v>40000</v>
      </c>
      <c r="E11" t="s">
        <v>64</v>
      </c>
      <c r="F11" s="38" t="s">
        <v>73</v>
      </c>
      <c r="G11" s="35" t="s">
        <v>44</v>
      </c>
      <c r="H11" s="35" t="s">
        <v>49</v>
      </c>
      <c r="I11" s="36">
        <f>172070-69110</f>
        <v>102960</v>
      </c>
    </row>
    <row r="12" spans="1:9" x14ac:dyDescent="0.35">
      <c r="A12" s="38">
        <v>45542</v>
      </c>
      <c r="B12" s="35" t="s">
        <v>14</v>
      </c>
      <c r="C12" s="35" t="s">
        <v>53</v>
      </c>
      <c r="D12" s="36">
        <v>26000</v>
      </c>
      <c r="E12" t="s">
        <v>65</v>
      </c>
      <c r="F12" s="38">
        <v>45554</v>
      </c>
      <c r="G12" s="35" t="s">
        <v>87</v>
      </c>
      <c r="H12" s="35" t="s">
        <v>46</v>
      </c>
      <c r="I12" s="36">
        <v>52051</v>
      </c>
    </row>
    <row r="13" spans="1:9" x14ac:dyDescent="0.35">
      <c r="A13" s="38">
        <v>45542</v>
      </c>
      <c r="B13" s="35" t="s">
        <v>40</v>
      </c>
      <c r="C13" s="35" t="s">
        <v>20</v>
      </c>
      <c r="D13" s="36">
        <v>1000</v>
      </c>
      <c r="E13" t="s">
        <v>62</v>
      </c>
      <c r="F13" s="38"/>
      <c r="G13" s="35"/>
      <c r="H13" s="35"/>
      <c r="I13" s="36"/>
    </row>
    <row r="14" spans="1:9" x14ac:dyDescent="0.35">
      <c r="A14" s="38">
        <v>45542</v>
      </c>
      <c r="B14" s="35" t="s">
        <v>29</v>
      </c>
      <c r="C14" s="35" t="s">
        <v>20</v>
      </c>
      <c r="D14" s="36">
        <v>9800</v>
      </c>
      <c r="E14" t="s">
        <v>62</v>
      </c>
      <c r="I14" s="40">
        <f>SUM(I3:I13)</f>
        <v>700303</v>
      </c>
    </row>
    <row r="15" spans="1:9" x14ac:dyDescent="0.35">
      <c r="A15" s="38">
        <v>45542</v>
      </c>
      <c r="B15" s="35" t="s">
        <v>41</v>
      </c>
      <c r="C15" s="35" t="s">
        <v>20</v>
      </c>
      <c r="D15" s="36">
        <v>5480</v>
      </c>
      <c r="E15" t="s">
        <v>62</v>
      </c>
    </row>
    <row r="16" spans="1:9" x14ac:dyDescent="0.35">
      <c r="A16" s="38">
        <v>45542</v>
      </c>
      <c r="B16" s="35" t="s">
        <v>24</v>
      </c>
      <c r="C16" s="35" t="s">
        <v>20</v>
      </c>
      <c r="D16" s="36">
        <v>5000</v>
      </c>
      <c r="E16" t="s">
        <v>62</v>
      </c>
    </row>
    <row r="17" spans="1:5" x14ac:dyDescent="0.35">
      <c r="A17" s="38">
        <v>45542</v>
      </c>
      <c r="B17" s="35" t="s">
        <v>42</v>
      </c>
      <c r="C17" s="35" t="s">
        <v>20</v>
      </c>
      <c r="D17" s="36">
        <v>3200</v>
      </c>
      <c r="E17" t="s">
        <v>62</v>
      </c>
    </row>
    <row r="18" spans="1:5" x14ac:dyDescent="0.35">
      <c r="A18" s="38">
        <v>45543</v>
      </c>
      <c r="B18" s="35" t="s">
        <v>22</v>
      </c>
      <c r="C18" s="35" t="s">
        <v>23</v>
      </c>
      <c r="D18" s="36">
        <v>2520</v>
      </c>
      <c r="E18" t="s">
        <v>66</v>
      </c>
    </row>
    <row r="19" spans="1:5" x14ac:dyDescent="0.35">
      <c r="A19" s="38">
        <v>45544</v>
      </c>
      <c r="B19" s="35" t="s">
        <v>21</v>
      </c>
      <c r="C19" s="35" t="s">
        <v>53</v>
      </c>
      <c r="D19" s="36">
        <v>1200</v>
      </c>
      <c r="E19" t="s">
        <v>67</v>
      </c>
    </row>
    <row r="20" spans="1:5" x14ac:dyDescent="0.35">
      <c r="A20" s="38">
        <v>45545</v>
      </c>
      <c r="B20" s="35" t="s">
        <v>38</v>
      </c>
      <c r="C20" s="35" t="s">
        <v>20</v>
      </c>
      <c r="D20" s="36">
        <v>10900</v>
      </c>
      <c r="E20" t="s">
        <v>62</v>
      </c>
    </row>
    <row r="21" spans="1:5" x14ac:dyDescent="0.35">
      <c r="A21" s="38">
        <v>45546</v>
      </c>
      <c r="B21" s="35" t="s">
        <v>18</v>
      </c>
      <c r="C21" s="35" t="s">
        <v>19</v>
      </c>
      <c r="D21" s="36">
        <v>25000</v>
      </c>
      <c r="E21" t="s">
        <v>68</v>
      </c>
    </row>
    <row r="22" spans="1:5" x14ac:dyDescent="0.35">
      <c r="A22" s="38">
        <v>45548</v>
      </c>
      <c r="B22" s="35" t="s">
        <v>17</v>
      </c>
      <c r="C22" s="35" t="s">
        <v>19</v>
      </c>
      <c r="D22" s="36">
        <v>5700</v>
      </c>
      <c r="E22" t="s">
        <v>69</v>
      </c>
    </row>
    <row r="23" spans="1:5" x14ac:dyDescent="0.35">
      <c r="A23" s="38">
        <v>45549</v>
      </c>
      <c r="B23" s="35" t="s">
        <v>15</v>
      </c>
      <c r="C23" s="35" t="s">
        <v>16</v>
      </c>
      <c r="D23" s="36">
        <v>1000</v>
      </c>
      <c r="E23" t="s">
        <v>70</v>
      </c>
    </row>
    <row r="24" spans="1:5" x14ac:dyDescent="0.35">
      <c r="A24" s="38">
        <v>45549</v>
      </c>
      <c r="B24" s="35" t="s">
        <v>13</v>
      </c>
      <c r="C24" s="35" t="s">
        <v>52</v>
      </c>
      <c r="D24" s="36">
        <v>38000</v>
      </c>
      <c r="E24" t="s">
        <v>71</v>
      </c>
    </row>
    <row r="25" spans="1:5" x14ac:dyDescent="0.35">
      <c r="A25" s="38">
        <v>45551</v>
      </c>
      <c r="B25" s="35" t="s">
        <v>14</v>
      </c>
      <c r="C25" s="35" t="s">
        <v>53</v>
      </c>
      <c r="D25" s="36">
        <v>10000</v>
      </c>
      <c r="E25" t="s">
        <v>65</v>
      </c>
    </row>
    <row r="26" spans="1:5" x14ac:dyDescent="0.35">
      <c r="A26" s="38">
        <v>45551</v>
      </c>
      <c r="B26" s="35" t="s">
        <v>39</v>
      </c>
      <c r="C26" s="35" t="s">
        <v>63</v>
      </c>
      <c r="D26" s="36">
        <v>61200</v>
      </c>
      <c r="E26" t="s">
        <v>72</v>
      </c>
    </row>
    <row r="27" spans="1:5" x14ac:dyDescent="0.35">
      <c r="A27" s="38">
        <v>45551</v>
      </c>
      <c r="B27" s="35" t="s">
        <v>51</v>
      </c>
      <c r="C27" s="35" t="s">
        <v>10</v>
      </c>
      <c r="D27" s="36">
        <f>16422+9558</f>
        <v>25980</v>
      </c>
      <c r="E27" t="s">
        <v>54</v>
      </c>
    </row>
    <row r="28" spans="1:5" x14ac:dyDescent="0.35">
      <c r="A28" s="38">
        <v>45559</v>
      </c>
      <c r="B28" s="35" t="s">
        <v>51</v>
      </c>
      <c r="C28" s="35" t="s">
        <v>10</v>
      </c>
      <c r="D28" s="36">
        <v>17850</v>
      </c>
      <c r="E28" t="s">
        <v>74</v>
      </c>
    </row>
    <row r="29" spans="1:5" x14ac:dyDescent="0.35">
      <c r="A29" s="38">
        <v>45559</v>
      </c>
      <c r="B29" s="27" t="s">
        <v>75</v>
      </c>
      <c r="C29" s="27" t="s">
        <v>56</v>
      </c>
      <c r="D29" s="41">
        <v>15389</v>
      </c>
      <c r="E29" t="s">
        <v>76</v>
      </c>
    </row>
    <row r="30" spans="1:5" x14ac:dyDescent="0.35">
      <c r="A30" s="23">
        <v>45552</v>
      </c>
      <c r="B30" s="27" t="s">
        <v>77</v>
      </c>
      <c r="C30" s="27" t="s">
        <v>78</v>
      </c>
      <c r="D30" s="41">
        <v>2100</v>
      </c>
      <c r="E30" t="s">
        <v>79</v>
      </c>
    </row>
    <row r="31" spans="1:5" x14ac:dyDescent="0.35">
      <c r="A31" s="23">
        <v>45555</v>
      </c>
      <c r="B31" s="27" t="s">
        <v>80</v>
      </c>
      <c r="C31" s="27" t="s">
        <v>81</v>
      </c>
      <c r="D31" s="41">
        <v>105000</v>
      </c>
      <c r="E31" t="s">
        <v>82</v>
      </c>
    </row>
    <row r="32" spans="1:5" x14ac:dyDescent="0.35">
      <c r="A32" s="23">
        <v>45556</v>
      </c>
      <c r="B32" s="27" t="s">
        <v>18</v>
      </c>
      <c r="C32" s="27" t="s">
        <v>19</v>
      </c>
      <c r="D32" s="41">
        <v>23000</v>
      </c>
      <c r="E32" t="s">
        <v>68</v>
      </c>
    </row>
    <row r="33" spans="1:5" x14ac:dyDescent="0.35">
      <c r="A33" s="23">
        <v>45558</v>
      </c>
      <c r="B33" s="27" t="s">
        <v>83</v>
      </c>
      <c r="C33" s="27" t="s">
        <v>20</v>
      </c>
      <c r="D33" s="41">
        <v>3780</v>
      </c>
      <c r="E33" t="s">
        <v>84</v>
      </c>
    </row>
    <row r="34" spans="1:5" x14ac:dyDescent="0.35">
      <c r="A34" s="23">
        <v>45557</v>
      </c>
      <c r="B34" s="27" t="s">
        <v>85</v>
      </c>
      <c r="C34" s="27" t="s">
        <v>86</v>
      </c>
      <c r="D34" s="41">
        <v>1200</v>
      </c>
    </row>
    <row r="35" spans="1:5" x14ac:dyDescent="0.35">
      <c r="A35" s="23">
        <v>45558</v>
      </c>
      <c r="B35" s="27"/>
      <c r="C35" s="27"/>
      <c r="D35" s="41">
        <v>31500</v>
      </c>
    </row>
    <row r="36" spans="1:5" x14ac:dyDescent="0.35">
      <c r="A36" s="23">
        <v>45559</v>
      </c>
      <c r="B36" s="27"/>
      <c r="C36" s="27"/>
      <c r="D36" s="41">
        <v>5150</v>
      </c>
    </row>
    <row r="37" spans="1:5" x14ac:dyDescent="0.35">
      <c r="A37" s="23">
        <v>45560</v>
      </c>
      <c r="B37" s="27"/>
      <c r="C37" s="27"/>
      <c r="D37" s="41">
        <v>4000</v>
      </c>
    </row>
    <row r="38" spans="1:5" x14ac:dyDescent="0.35">
      <c r="A38" s="23">
        <v>45561</v>
      </c>
      <c r="D38" s="32">
        <v>2700</v>
      </c>
    </row>
    <row r="39" spans="1:5" x14ac:dyDescent="0.35">
      <c r="A39" s="23">
        <v>45562</v>
      </c>
      <c r="D39" s="32">
        <v>29340</v>
      </c>
    </row>
    <row r="40" spans="1:5" x14ac:dyDescent="0.35">
      <c r="A40" s="23">
        <v>45563</v>
      </c>
      <c r="D40" s="32">
        <v>570</v>
      </c>
    </row>
    <row r="41" spans="1:5" x14ac:dyDescent="0.35">
      <c r="A41" s="23">
        <v>45564</v>
      </c>
      <c r="D41" s="32">
        <v>3850</v>
      </c>
    </row>
    <row r="42" spans="1:5" x14ac:dyDescent="0.35">
      <c r="A42" s="23">
        <v>45565</v>
      </c>
      <c r="D42" s="32">
        <v>6330</v>
      </c>
    </row>
    <row r="44" spans="1:5" x14ac:dyDescent="0.35">
      <c r="D44" s="32">
        <f>SUM(D3:D43)</f>
        <v>632551</v>
      </c>
    </row>
  </sheetData>
  <sortState xmlns:xlrd2="http://schemas.microsoft.com/office/spreadsheetml/2017/richdata2" ref="A3:D26">
    <sortCondition ref="A2:A26"/>
  </sortState>
  <mergeCells count="2">
    <mergeCell ref="A1:D1"/>
    <mergeCell ref="F1:I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4589-437D-4F8E-BA2B-370E96C3A335}">
  <sheetPr>
    <pageSetUpPr fitToPage="1"/>
  </sheetPr>
  <dimension ref="D1:I40"/>
  <sheetViews>
    <sheetView workbookViewId="0">
      <selection activeCell="H19" sqref="H19"/>
    </sheetView>
  </sheetViews>
  <sheetFormatPr defaultRowHeight="14.5" x14ac:dyDescent="0.35"/>
  <cols>
    <col min="4" max="4" width="21.1796875" bestFit="1" customWidth="1"/>
    <col min="5" max="5" width="13.7265625" style="32" bestFit="1" customWidth="1"/>
    <col min="8" max="8" width="21.1796875" bestFit="1" customWidth="1"/>
    <col min="9" max="9" width="13.7265625" bestFit="1" customWidth="1"/>
  </cols>
  <sheetData>
    <row r="1" spans="4:9" x14ac:dyDescent="0.35">
      <c r="D1" s="45" t="s">
        <v>133</v>
      </c>
      <c r="E1" s="46" t="s">
        <v>37</v>
      </c>
    </row>
    <row r="2" spans="4:9" x14ac:dyDescent="0.35">
      <c r="D2" s="35" t="s">
        <v>98</v>
      </c>
      <c r="E2" s="36">
        <v>50000</v>
      </c>
      <c r="H2" s="35" t="s">
        <v>96</v>
      </c>
      <c r="I2" s="36">
        <v>38010</v>
      </c>
    </row>
    <row r="3" spans="4:9" x14ac:dyDescent="0.35">
      <c r="D3" s="35" t="s">
        <v>99</v>
      </c>
      <c r="E3" s="36">
        <v>1744.5000000000002</v>
      </c>
      <c r="H3" s="35" t="s">
        <v>97</v>
      </c>
      <c r="I3" s="36">
        <v>30000</v>
      </c>
    </row>
    <row r="4" spans="4:9" x14ac:dyDescent="0.35">
      <c r="D4" s="35" t="s">
        <v>101</v>
      </c>
      <c r="E4" s="36">
        <v>2200</v>
      </c>
      <c r="H4" s="35" t="s">
        <v>100</v>
      </c>
      <c r="I4" s="36">
        <v>13000</v>
      </c>
    </row>
    <row r="5" spans="4:9" x14ac:dyDescent="0.35">
      <c r="D5" s="35" t="s">
        <v>102</v>
      </c>
      <c r="E5" s="36">
        <v>13750</v>
      </c>
      <c r="H5" s="35" t="s">
        <v>108</v>
      </c>
      <c r="I5" s="36">
        <v>24355</v>
      </c>
    </row>
    <row r="6" spans="4:9" x14ac:dyDescent="0.35">
      <c r="D6" s="35" t="s">
        <v>103</v>
      </c>
      <c r="E6" s="36">
        <v>3600</v>
      </c>
      <c r="H6" s="35" t="s">
        <v>14</v>
      </c>
      <c r="I6" s="36">
        <v>127800</v>
      </c>
    </row>
    <row r="7" spans="4:9" x14ac:dyDescent="0.35">
      <c r="D7" s="35" t="s">
        <v>104</v>
      </c>
      <c r="E7" s="36">
        <v>3000</v>
      </c>
      <c r="H7" s="35" t="s">
        <v>109</v>
      </c>
      <c r="I7" s="36">
        <v>5000</v>
      </c>
    </row>
    <row r="8" spans="4:9" x14ac:dyDescent="0.35">
      <c r="D8" s="35" t="s">
        <v>105</v>
      </c>
      <c r="E8" s="36">
        <v>13044</v>
      </c>
      <c r="H8" s="35" t="s">
        <v>110</v>
      </c>
      <c r="I8" s="36">
        <v>386000</v>
      </c>
    </row>
    <row r="9" spans="4:9" x14ac:dyDescent="0.35">
      <c r="D9" s="35" t="s">
        <v>23</v>
      </c>
      <c r="E9" s="36">
        <v>19868</v>
      </c>
      <c r="I9" s="64"/>
    </row>
    <row r="10" spans="4:9" x14ac:dyDescent="0.35">
      <c r="D10" s="35" t="s">
        <v>106</v>
      </c>
      <c r="E10" s="36">
        <v>30205</v>
      </c>
      <c r="I10" s="40">
        <f>SUM(I2:I9)</f>
        <v>624165</v>
      </c>
    </row>
    <row r="11" spans="4:9" x14ac:dyDescent="0.35">
      <c r="D11" s="35" t="s">
        <v>107</v>
      </c>
      <c r="E11" s="36">
        <v>128000</v>
      </c>
    </row>
    <row r="12" spans="4:9" x14ac:dyDescent="0.35">
      <c r="D12" s="35" t="s">
        <v>111</v>
      </c>
      <c r="E12" s="36">
        <v>9714</v>
      </c>
      <c r="I12" s="40"/>
    </row>
    <row r="13" spans="4:9" x14ac:dyDescent="0.35">
      <c r="D13" s="35" t="s">
        <v>112</v>
      </c>
      <c r="E13" s="36">
        <v>4350</v>
      </c>
    </row>
    <row r="14" spans="4:9" x14ac:dyDescent="0.35">
      <c r="D14" s="35" t="s">
        <v>113</v>
      </c>
      <c r="E14" s="36">
        <v>12190</v>
      </c>
      <c r="I14" s="40"/>
    </row>
    <row r="15" spans="4:9" x14ac:dyDescent="0.35">
      <c r="D15" s="35" t="s">
        <v>114</v>
      </c>
      <c r="E15" s="36">
        <v>750</v>
      </c>
    </row>
    <row r="16" spans="4:9" x14ac:dyDescent="0.35">
      <c r="D16" s="35" t="s">
        <v>115</v>
      </c>
      <c r="E16" s="36">
        <v>4650</v>
      </c>
    </row>
    <row r="17" spans="4:5" x14ac:dyDescent="0.35">
      <c r="D17" s="35" t="s">
        <v>116</v>
      </c>
      <c r="E17" s="36">
        <v>8940</v>
      </c>
    </row>
    <row r="18" spans="4:5" x14ac:dyDescent="0.35">
      <c r="D18" s="35" t="s">
        <v>117</v>
      </c>
      <c r="E18" s="36">
        <v>11800</v>
      </c>
    </row>
    <row r="19" spans="4:5" x14ac:dyDescent="0.35">
      <c r="D19" s="35" t="s">
        <v>75</v>
      </c>
      <c r="E19" s="36">
        <v>15389</v>
      </c>
    </row>
    <row r="20" spans="4:5" x14ac:dyDescent="0.35">
      <c r="D20" s="35" t="s">
        <v>118</v>
      </c>
      <c r="E20" s="36">
        <v>3263</v>
      </c>
    </row>
    <row r="21" spans="4:5" x14ac:dyDescent="0.35">
      <c r="D21" s="35" t="s">
        <v>119</v>
      </c>
      <c r="E21" s="36">
        <v>50000</v>
      </c>
    </row>
    <row r="22" spans="4:5" x14ac:dyDescent="0.35">
      <c r="D22" s="35" t="s">
        <v>120</v>
      </c>
      <c r="E22" s="36">
        <v>98000</v>
      </c>
    </row>
    <row r="23" spans="4:5" x14ac:dyDescent="0.35">
      <c r="D23" s="35" t="s">
        <v>121</v>
      </c>
      <c r="E23" s="36">
        <f>2176+210</f>
        <v>2386</v>
      </c>
    </row>
    <row r="24" spans="4:5" x14ac:dyDescent="0.35">
      <c r="D24" s="35" t="s">
        <v>122</v>
      </c>
      <c r="E24" s="36">
        <v>33390</v>
      </c>
    </row>
    <row r="25" spans="4:5" x14ac:dyDescent="0.35">
      <c r="D25" s="35" t="s">
        <v>123</v>
      </c>
      <c r="E25" s="36">
        <v>19860</v>
      </c>
    </row>
    <row r="26" spans="4:5" x14ac:dyDescent="0.35">
      <c r="D26" s="35" t="s">
        <v>124</v>
      </c>
      <c r="E26" s="36">
        <v>210000</v>
      </c>
    </row>
    <row r="27" spans="4:5" x14ac:dyDescent="0.35">
      <c r="D27" s="35" t="s">
        <v>125</v>
      </c>
      <c r="E27" s="36">
        <v>34000</v>
      </c>
    </row>
    <row r="28" spans="4:5" x14ac:dyDescent="0.35">
      <c r="D28" s="35" t="s">
        <v>20</v>
      </c>
      <c r="E28" s="36">
        <v>48320</v>
      </c>
    </row>
    <row r="29" spans="4:5" x14ac:dyDescent="0.35">
      <c r="D29" s="35" t="s">
        <v>126</v>
      </c>
      <c r="E29" s="36">
        <v>60000</v>
      </c>
    </row>
    <row r="30" spans="4:5" x14ac:dyDescent="0.35">
      <c r="D30" s="35" t="s">
        <v>127</v>
      </c>
      <c r="E30" s="36">
        <f>79135+16800</f>
        <v>95935</v>
      </c>
    </row>
    <row r="31" spans="4:5" x14ac:dyDescent="0.35">
      <c r="D31" s="35" t="s">
        <v>128</v>
      </c>
      <c r="E31" s="36">
        <v>13700</v>
      </c>
    </row>
    <row r="32" spans="4:5" x14ac:dyDescent="0.35">
      <c r="D32" s="35" t="s">
        <v>129</v>
      </c>
      <c r="E32" s="36">
        <v>4000</v>
      </c>
    </row>
    <row r="33" spans="4:5" x14ac:dyDescent="0.35">
      <c r="D33" s="35" t="s">
        <v>130</v>
      </c>
      <c r="E33" s="36">
        <v>5700</v>
      </c>
    </row>
    <row r="34" spans="4:5" x14ac:dyDescent="0.35">
      <c r="D34" s="35" t="s">
        <v>131</v>
      </c>
      <c r="E34" s="36">
        <v>1603</v>
      </c>
    </row>
    <row r="35" spans="4:5" x14ac:dyDescent="0.35">
      <c r="D35" s="35" t="s">
        <v>132</v>
      </c>
      <c r="E35" s="36">
        <v>2526</v>
      </c>
    </row>
    <row r="36" spans="4:5" x14ac:dyDescent="0.35">
      <c r="D36" s="35" t="s">
        <v>133</v>
      </c>
      <c r="E36" s="36">
        <v>23550</v>
      </c>
    </row>
    <row r="37" spans="4:5" x14ac:dyDescent="0.35">
      <c r="D37" s="35" t="s">
        <v>134</v>
      </c>
      <c r="E37" s="36">
        <v>12184</v>
      </c>
    </row>
    <row r="38" spans="4:5" x14ac:dyDescent="0.35">
      <c r="D38" s="35" t="s">
        <v>25</v>
      </c>
      <c r="E38" s="36">
        <v>40000</v>
      </c>
    </row>
    <row r="39" spans="4:5" x14ac:dyDescent="0.35">
      <c r="D39" s="35" t="s">
        <v>135</v>
      </c>
      <c r="E39" s="36">
        <v>2100</v>
      </c>
    </row>
    <row r="40" spans="4:5" x14ac:dyDescent="0.35">
      <c r="D40" s="43" t="s">
        <v>136</v>
      </c>
      <c r="E40" s="47">
        <f>SUM(E2:E39)</f>
        <v>1093711.5</v>
      </c>
    </row>
  </sheetData>
  <pageMargins left="0.7" right="0.7" top="0.75" bottom="0.75" header="0.3" footer="0.3"/>
  <pageSetup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ED92-9431-40DB-8792-711D15032DA3}">
  <dimension ref="A1:R60"/>
  <sheetViews>
    <sheetView zoomScale="90" zoomScaleNormal="90" workbookViewId="0">
      <pane ySplit="1" topLeftCell="A15" activePane="bottomLeft" state="frozen"/>
      <selection pane="bottomLeft" activeCell="E34" sqref="E34:G36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6" width="10" bestFit="1" customWidth="1"/>
    <col min="17" max="17" width="16.453125" bestFit="1" customWidth="1"/>
    <col min="18" max="18" width="9" bestFit="1" customWidth="1"/>
  </cols>
  <sheetData>
    <row r="1" spans="1:18" s="6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89</v>
      </c>
      <c r="K1" s="7" t="s">
        <v>0</v>
      </c>
      <c r="L1" s="8" t="s">
        <v>10</v>
      </c>
      <c r="M1" s="8" t="s">
        <v>1</v>
      </c>
      <c r="N1" s="8" t="s">
        <v>2</v>
      </c>
      <c r="O1" s="8" t="s">
        <v>3</v>
      </c>
      <c r="P1" s="8" t="s">
        <v>4</v>
      </c>
      <c r="Q1" s="8" t="s">
        <v>5</v>
      </c>
      <c r="R1" s="8" t="s">
        <v>6</v>
      </c>
    </row>
    <row r="2" spans="1:18" x14ac:dyDescent="0.35">
      <c r="A2" s="31">
        <v>45565</v>
      </c>
      <c r="B2" s="10">
        <f t="shared" ref="B2:B36" si="0">D2*0.3</f>
        <v>16785</v>
      </c>
      <c r="C2" s="10">
        <f t="shared" ref="C2:C36" si="1">D2-B2</f>
        <v>39165</v>
      </c>
      <c r="D2" s="10">
        <f>E2+F2+Table2345345687911121514161718192021222324252627283456789101134567891011[[#This Row],[Expense]]</f>
        <v>55950</v>
      </c>
      <c r="E2" s="10">
        <v>26850</v>
      </c>
      <c r="F2" s="10">
        <v>17000</v>
      </c>
      <c r="G2" s="10">
        <v>12100</v>
      </c>
      <c r="H2" s="11">
        <f t="shared" ref="H2:H36" si="2">IFERROR(B2/C2,0)</f>
        <v>0.42857142857142855</v>
      </c>
      <c r="I2" s="12">
        <f>I1+Table2345345687911121514161718192021222324252627283456789101134567891011[[#This Row],[Cash]]-Table2345345687911121514161718192021222324252627283456789101134567891011[[#This Row],[Expense]]</f>
        <v>19750</v>
      </c>
      <c r="K2" s="13" t="s">
        <v>9</v>
      </c>
      <c r="L2" s="14"/>
      <c r="M2" s="14"/>
      <c r="N2" s="14"/>
      <c r="O2" s="14"/>
      <c r="P2" s="14"/>
      <c r="Q2" s="14"/>
      <c r="R2" s="14">
        <v>0</v>
      </c>
    </row>
    <row r="3" spans="1:18" x14ac:dyDescent="0.35">
      <c r="A3" s="31">
        <v>45566</v>
      </c>
      <c r="B3" s="10">
        <f t="shared" si="0"/>
        <v>27291</v>
      </c>
      <c r="C3" s="10">
        <f t="shared" si="1"/>
        <v>63679</v>
      </c>
      <c r="D3" s="10">
        <f>E3+F3+Table2345345687911121514161718192021222324252627283456789101134567891011[[#This Row],[Expense]]</f>
        <v>90970</v>
      </c>
      <c r="E3" s="10">
        <v>39600</v>
      </c>
      <c r="F3" s="10">
        <v>37690</v>
      </c>
      <c r="G3" s="10">
        <v>13680</v>
      </c>
      <c r="H3" s="11">
        <f t="shared" si="2"/>
        <v>0.42857142857142855</v>
      </c>
      <c r="I3" s="42">
        <f>I2+Table2345345687911121514161718192021222324252627283456789101134567891011[[#This Row],[Cash]]-Table2345345687911121514161718192021222324252627283456789101134567891011[[#This Row],[Expense]]</f>
        <v>45670</v>
      </c>
      <c r="K3" s="15">
        <f t="shared" ref="K3:K9" si="3">A2</f>
        <v>45565</v>
      </c>
      <c r="L3" s="16">
        <f>M3/3</f>
        <v>5595</v>
      </c>
      <c r="M3" s="16">
        <f>O3*0.3</f>
        <v>16785</v>
      </c>
      <c r="N3" s="16">
        <f t="shared" ref="N3:N9" si="4">O3-M3</f>
        <v>39165</v>
      </c>
      <c r="O3" s="16">
        <f>P3+Q3+R3</f>
        <v>55950</v>
      </c>
      <c r="P3" s="16">
        <f t="shared" ref="P3:P9" si="5">VLOOKUP(K3,$A$1:$H$37,5,0)</f>
        <v>26850</v>
      </c>
      <c r="Q3" s="16">
        <f t="shared" ref="Q3:Q9" si="6">VLOOKUP(K3,$A$1:$H$37,6,0)</f>
        <v>17000</v>
      </c>
      <c r="R3" s="16">
        <f t="shared" ref="R3:R9" si="7">VLOOKUP(K3,$A$1:$H$37,7,0)</f>
        <v>12100</v>
      </c>
    </row>
    <row r="4" spans="1:18" x14ac:dyDescent="0.35">
      <c r="A4" s="31">
        <v>45567</v>
      </c>
      <c r="B4" s="10">
        <f t="shared" si="0"/>
        <v>26352</v>
      </c>
      <c r="C4" s="10">
        <f t="shared" si="1"/>
        <v>61488</v>
      </c>
      <c r="D4" s="10">
        <f>E4+F4+Table2345345687911121514161718192021222324252627283456789101134567891011[[#This Row],[Expense]]</f>
        <v>87840</v>
      </c>
      <c r="E4" s="17">
        <v>76000</v>
      </c>
      <c r="F4" s="17">
        <v>5640</v>
      </c>
      <c r="G4" s="17">
        <v>6200</v>
      </c>
      <c r="H4" s="11">
        <f t="shared" si="2"/>
        <v>0.42857142857142855</v>
      </c>
      <c r="I4" s="12">
        <f>I3+Table2345345687911121514161718192021222324252627283456789101134567891011[[#This Row],[Cash]]-Table2345345687911121514161718192021222324252627283456789101134567891011[[#This Row],[Expense]]</f>
        <v>115470</v>
      </c>
      <c r="K4" s="13">
        <f t="shared" si="3"/>
        <v>45566</v>
      </c>
      <c r="L4" s="14">
        <f>M4/3</f>
        <v>9097</v>
      </c>
      <c r="M4" s="14">
        <f>O4*0.3</f>
        <v>27291</v>
      </c>
      <c r="N4" s="14">
        <f t="shared" si="4"/>
        <v>63679</v>
      </c>
      <c r="O4" s="14">
        <f>P4+Q4+R4</f>
        <v>90970</v>
      </c>
      <c r="P4" s="14">
        <f t="shared" si="5"/>
        <v>39600</v>
      </c>
      <c r="Q4" s="14">
        <f t="shared" si="6"/>
        <v>37690</v>
      </c>
      <c r="R4" s="14">
        <f t="shared" si="7"/>
        <v>13680</v>
      </c>
    </row>
    <row r="5" spans="1:18" x14ac:dyDescent="0.35">
      <c r="A5" s="31">
        <v>45568</v>
      </c>
      <c r="B5" s="10">
        <f t="shared" si="0"/>
        <v>21456.3</v>
      </c>
      <c r="C5" s="10">
        <f t="shared" si="1"/>
        <v>50064.7</v>
      </c>
      <c r="D5" s="10">
        <f>E5+F5+Table2345345687911121514161718192021222324252627283456789101134567891011[[#This Row],[Expense]]</f>
        <v>71521</v>
      </c>
      <c r="E5" s="10">
        <v>57656</v>
      </c>
      <c r="F5" s="10">
        <v>12365</v>
      </c>
      <c r="G5" s="10">
        <v>1500</v>
      </c>
      <c r="H5" s="11">
        <f t="shared" si="2"/>
        <v>0.4285714285714286</v>
      </c>
      <c r="I5" s="12">
        <f>I4+Table2345345687911121514161718192021222324252627283456789101134567891011[[#This Row],[Cash]]-Table2345345687911121514161718192021222324252627283456789101134567891011[[#This Row],[Expense]]</f>
        <v>171626</v>
      </c>
      <c r="K5" s="15">
        <f t="shared" si="3"/>
        <v>45567</v>
      </c>
      <c r="L5" s="16">
        <f t="shared" ref="L5:L9" si="8">M5/3</f>
        <v>8784</v>
      </c>
      <c r="M5" s="16">
        <f t="shared" ref="M5:M9" si="9">O5*0.3</f>
        <v>26352</v>
      </c>
      <c r="N5" s="16">
        <f t="shared" si="4"/>
        <v>61488</v>
      </c>
      <c r="O5" s="16">
        <f t="shared" ref="O5:O9" si="10">P5+Q5+R5</f>
        <v>87840</v>
      </c>
      <c r="P5" s="16">
        <f t="shared" si="5"/>
        <v>76000</v>
      </c>
      <c r="Q5" s="16">
        <f t="shared" si="6"/>
        <v>5640</v>
      </c>
      <c r="R5" s="16">
        <f t="shared" si="7"/>
        <v>6200</v>
      </c>
    </row>
    <row r="6" spans="1:18" x14ac:dyDescent="0.35">
      <c r="A6" s="31">
        <v>45569</v>
      </c>
      <c r="B6" s="10">
        <f t="shared" si="0"/>
        <v>25641.899999999998</v>
      </c>
      <c r="C6" s="10">
        <f t="shared" si="1"/>
        <v>59831.100000000006</v>
      </c>
      <c r="D6" s="10">
        <f>E6+F6+Table2345345687911121514161718192021222324252627283456789101134567891011[[#This Row],[Expense]]</f>
        <v>85473</v>
      </c>
      <c r="E6" s="10">
        <v>30000</v>
      </c>
      <c r="F6" s="10">
        <v>49473</v>
      </c>
      <c r="G6" s="10">
        <v>6000</v>
      </c>
      <c r="H6" s="11">
        <f t="shared" si="2"/>
        <v>0.42857142857142849</v>
      </c>
      <c r="I6" s="12">
        <f>I5+Table2345345687911121514161718192021222324252627283456789101134567891011[[#This Row],[Cash]]-Table2345345687911121514161718192021222324252627283456789101134567891011[[#This Row],[Expense]]</f>
        <v>195626</v>
      </c>
      <c r="K6" s="13">
        <f t="shared" si="3"/>
        <v>45568</v>
      </c>
      <c r="L6" s="14">
        <f t="shared" si="8"/>
        <v>7152.0999999999995</v>
      </c>
      <c r="M6" s="14">
        <f t="shared" si="9"/>
        <v>21456.3</v>
      </c>
      <c r="N6" s="14">
        <f t="shared" si="4"/>
        <v>50064.7</v>
      </c>
      <c r="O6" s="14">
        <f t="shared" si="10"/>
        <v>71521</v>
      </c>
      <c r="P6" s="14">
        <f t="shared" si="5"/>
        <v>57656</v>
      </c>
      <c r="Q6" s="14">
        <f t="shared" si="6"/>
        <v>12365</v>
      </c>
      <c r="R6" s="14">
        <f t="shared" si="7"/>
        <v>1500</v>
      </c>
    </row>
    <row r="7" spans="1:18" x14ac:dyDescent="0.35">
      <c r="A7" s="31">
        <v>45570</v>
      </c>
      <c r="B7" s="10">
        <f t="shared" si="0"/>
        <v>16141.5</v>
      </c>
      <c r="C7" s="10">
        <f t="shared" si="1"/>
        <v>37663.5</v>
      </c>
      <c r="D7" s="10">
        <f>E7+F7+Table2345345687911121514161718192021222324252627283456789101134567891011[[#This Row],[Expense]]</f>
        <v>53805</v>
      </c>
      <c r="E7" s="17">
        <v>30600</v>
      </c>
      <c r="F7" s="17">
        <v>14605</v>
      </c>
      <c r="G7" s="17">
        <v>8600</v>
      </c>
      <c r="H7" s="11">
        <f t="shared" si="2"/>
        <v>0.42857142857142855</v>
      </c>
      <c r="I7" s="12">
        <f>I6+Table2345345687911121514161718192021222324252627283456789101134567891011[[#This Row],[Cash]]-Table2345345687911121514161718192021222324252627283456789101134567891011[[#This Row],[Expense]]</f>
        <v>217626</v>
      </c>
      <c r="K7" s="15">
        <f t="shared" si="3"/>
        <v>45569</v>
      </c>
      <c r="L7" s="16">
        <f t="shared" si="8"/>
        <v>8547.2999999999993</v>
      </c>
      <c r="M7" s="16">
        <f t="shared" si="9"/>
        <v>25641.899999999998</v>
      </c>
      <c r="N7" s="16">
        <f t="shared" si="4"/>
        <v>59831.100000000006</v>
      </c>
      <c r="O7" s="16">
        <f t="shared" si="10"/>
        <v>85473</v>
      </c>
      <c r="P7" s="16">
        <f t="shared" si="5"/>
        <v>30000</v>
      </c>
      <c r="Q7" s="16">
        <f t="shared" si="6"/>
        <v>49473</v>
      </c>
      <c r="R7" s="16">
        <f t="shared" si="7"/>
        <v>6000</v>
      </c>
    </row>
    <row r="8" spans="1:18" x14ac:dyDescent="0.35">
      <c r="A8" s="31">
        <v>45571</v>
      </c>
      <c r="B8" s="10">
        <f t="shared" si="0"/>
        <v>52831.5</v>
      </c>
      <c r="C8" s="10">
        <f t="shared" si="1"/>
        <v>123273.5</v>
      </c>
      <c r="D8" s="10">
        <f>E8+F8+Table2345345687911121514161718192021222324252627283456789101134567891011[[#This Row],[Expense]]</f>
        <v>176105</v>
      </c>
      <c r="E8" s="10">
        <v>70000</v>
      </c>
      <c r="F8" s="10">
        <v>96305</v>
      </c>
      <c r="G8" s="10">
        <v>9800</v>
      </c>
      <c r="H8" s="11">
        <f t="shared" si="2"/>
        <v>0.42857142857142855</v>
      </c>
      <c r="I8" s="12">
        <f>I7+Table2345345687911121514161718192021222324252627283456789101134567891011[[#This Row],[Cash]]-Table2345345687911121514161718192021222324252627283456789101134567891011[[#This Row],[Expense]]</f>
        <v>277826</v>
      </c>
      <c r="K8" s="13">
        <f t="shared" si="3"/>
        <v>45570</v>
      </c>
      <c r="L8" s="14">
        <f t="shared" si="8"/>
        <v>5380.5</v>
      </c>
      <c r="M8" s="14">
        <f t="shared" si="9"/>
        <v>16141.5</v>
      </c>
      <c r="N8" s="14">
        <f t="shared" si="4"/>
        <v>37663.5</v>
      </c>
      <c r="O8" s="14">
        <f t="shared" si="10"/>
        <v>53805</v>
      </c>
      <c r="P8" s="14">
        <f t="shared" si="5"/>
        <v>30600</v>
      </c>
      <c r="Q8" s="14">
        <f t="shared" si="6"/>
        <v>14605</v>
      </c>
      <c r="R8" s="14">
        <f t="shared" si="7"/>
        <v>8600</v>
      </c>
    </row>
    <row r="9" spans="1:18" x14ac:dyDescent="0.35">
      <c r="A9" s="31">
        <v>45572</v>
      </c>
      <c r="B9" s="10">
        <f t="shared" si="0"/>
        <v>23730</v>
      </c>
      <c r="C9" s="10">
        <f t="shared" si="1"/>
        <v>55370</v>
      </c>
      <c r="D9" s="10">
        <f>E9+F9+Table2345345687911121514161718192021222324252627283456789101134567891011[[#This Row],[Expense]]</f>
        <v>79100</v>
      </c>
      <c r="E9" s="10">
        <v>37000</v>
      </c>
      <c r="F9" s="10">
        <v>40000</v>
      </c>
      <c r="G9" s="10">
        <v>2100</v>
      </c>
      <c r="H9" s="11">
        <f t="shared" si="2"/>
        <v>0.42857142857142855</v>
      </c>
      <c r="I9" s="12">
        <f>I8+Table2345345687911121514161718192021222324252627283456789101134567891011[[#This Row],[Cash]]-Table2345345687911121514161718192021222324252627283456789101134567891011[[#This Row],[Expense]]</f>
        <v>312726</v>
      </c>
      <c r="K9" s="15">
        <f t="shared" si="3"/>
        <v>45571</v>
      </c>
      <c r="L9" s="16">
        <f t="shared" si="8"/>
        <v>17610.5</v>
      </c>
      <c r="M9" s="16">
        <f t="shared" si="9"/>
        <v>52831.5</v>
      </c>
      <c r="N9" s="16">
        <f t="shared" si="4"/>
        <v>123273.5</v>
      </c>
      <c r="O9" s="16">
        <f t="shared" si="10"/>
        <v>176105</v>
      </c>
      <c r="P9" s="16">
        <f t="shared" si="5"/>
        <v>70000</v>
      </c>
      <c r="Q9" s="16">
        <f t="shared" si="6"/>
        <v>96305</v>
      </c>
      <c r="R9" s="16">
        <f t="shared" si="7"/>
        <v>9800</v>
      </c>
    </row>
    <row r="10" spans="1:18" x14ac:dyDescent="0.35">
      <c r="A10" s="31">
        <v>45573</v>
      </c>
      <c r="B10" s="10">
        <f t="shared" si="0"/>
        <v>50577</v>
      </c>
      <c r="C10" s="10">
        <f t="shared" si="1"/>
        <v>118013</v>
      </c>
      <c r="D10" s="10">
        <f>E10+F10+Table2345345687911121514161718192021222324252627283456789101134567891011[[#This Row],[Expense]]</f>
        <v>168590</v>
      </c>
      <c r="E10" s="10">
        <v>14100</v>
      </c>
      <c r="F10" s="10">
        <v>145390</v>
      </c>
      <c r="G10" s="10">
        <v>9100</v>
      </c>
      <c r="H10" s="11">
        <f t="shared" si="2"/>
        <v>0.42857142857142855</v>
      </c>
      <c r="I10" s="12">
        <f>I9+Table2345345687911121514161718192021222324252627283456789101134567891011[[#This Row],[Cash]]-Table2345345687911121514161718192021222324252627283456789101134567891011[[#This Row],[Expense]]</f>
        <v>317726</v>
      </c>
      <c r="K10" s="18" t="s">
        <v>3</v>
      </c>
      <c r="L10" s="18">
        <f>SUM(L3:L9)</f>
        <v>62166.399999999994</v>
      </c>
      <c r="M10" s="18">
        <f>SUM(M3:M9)</f>
        <v>186499.20000000001</v>
      </c>
      <c r="N10" s="18">
        <f>SUM(N2:N9)</f>
        <v>435164.80000000005</v>
      </c>
      <c r="O10" s="18">
        <f>SUM(O2:O9)</f>
        <v>621664</v>
      </c>
      <c r="P10" s="18">
        <f>SUM(P2:P9)</f>
        <v>330706</v>
      </c>
      <c r="Q10" s="18">
        <f>SUM(Q2:Q9)</f>
        <v>233078</v>
      </c>
      <c r="R10" s="18">
        <f>SUM(R2:R9)</f>
        <v>57880</v>
      </c>
    </row>
    <row r="11" spans="1:18" x14ac:dyDescent="0.35">
      <c r="A11" s="31">
        <v>45574</v>
      </c>
      <c r="B11" s="10">
        <f t="shared" si="0"/>
        <v>43044</v>
      </c>
      <c r="C11" s="10">
        <f t="shared" si="1"/>
        <v>100436</v>
      </c>
      <c r="D11" s="10">
        <f>E11+F11+Table2345345687911121514161718192021222324252627283456789101134567891011[[#This Row],[Expense]]</f>
        <v>143480</v>
      </c>
      <c r="E11" s="10">
        <v>114000</v>
      </c>
      <c r="F11" s="10">
        <v>25080</v>
      </c>
      <c r="G11" s="10">
        <v>4400</v>
      </c>
      <c r="H11" s="11">
        <f t="shared" si="2"/>
        <v>0.42857142857142855</v>
      </c>
      <c r="I11" s="12">
        <f>I10+Table2345345687911121514161718192021222324252627283456789101134567891011[[#This Row],[Cash]]-Table2345345687911121514161718192021222324252627283456789101134567891011[[#This Row],[Expense]]</f>
        <v>427326</v>
      </c>
      <c r="K11" s="18" t="s">
        <v>10</v>
      </c>
      <c r="L11" s="18"/>
      <c r="M11" s="18">
        <f>M10/3</f>
        <v>62166.400000000001</v>
      </c>
      <c r="N11" s="18"/>
      <c r="O11" s="18"/>
      <c r="P11" s="16"/>
      <c r="Q11" s="16"/>
      <c r="R11" s="16"/>
    </row>
    <row r="12" spans="1:18" x14ac:dyDescent="0.35">
      <c r="A12" s="31">
        <v>45575</v>
      </c>
      <c r="B12" s="10">
        <f t="shared" si="0"/>
        <v>40404</v>
      </c>
      <c r="C12" s="10">
        <f t="shared" si="1"/>
        <v>94276</v>
      </c>
      <c r="D12" s="10">
        <f>E12+F12+Table2345345687911121514161718192021222324252627283456789101134567891011[[#This Row],[Expense]]</f>
        <v>134680</v>
      </c>
      <c r="E12" s="10">
        <v>80000</v>
      </c>
      <c r="F12" s="10">
        <v>49950</v>
      </c>
      <c r="G12" s="10">
        <v>4730</v>
      </c>
      <c r="H12" s="11">
        <f t="shared" si="2"/>
        <v>0.42857142857142855</v>
      </c>
      <c r="I12" s="12">
        <f>I11+Table2345345687911121514161718192021222324252627283456789101134567891011[[#This Row],[Cash]]-Table2345345687911121514161718192021222324252627283456789101134567891011[[#This Row],[Expense]]</f>
        <v>502596</v>
      </c>
    </row>
    <row r="13" spans="1:18" x14ac:dyDescent="0.35">
      <c r="A13" s="31">
        <v>45576</v>
      </c>
      <c r="B13" s="10">
        <f t="shared" si="0"/>
        <v>22950</v>
      </c>
      <c r="C13" s="10">
        <f t="shared" si="1"/>
        <v>53550</v>
      </c>
      <c r="D13" s="10">
        <f>E13+F13+Table2345345687911121514161718192021222324252627283456789101134567891011[[#This Row],[Expense]]</f>
        <v>76500</v>
      </c>
      <c r="E13" s="10">
        <v>30000</v>
      </c>
      <c r="F13" s="10">
        <v>29000</v>
      </c>
      <c r="G13" s="10">
        <v>17500</v>
      </c>
      <c r="H13" s="11">
        <f t="shared" si="2"/>
        <v>0.42857142857142855</v>
      </c>
      <c r="I13" s="12">
        <f>I12+Table2345345687911121514161718192021222324252627283456789101134567891011[[#This Row],[Cash]]-Table2345345687911121514161718192021222324252627283456789101134567891011[[#This Row],[Expense]]</f>
        <v>515096</v>
      </c>
      <c r="K13" s="19" t="s">
        <v>0</v>
      </c>
      <c r="L13" s="8"/>
      <c r="M13" s="8" t="s">
        <v>1</v>
      </c>
      <c r="N13" s="20" t="s">
        <v>2</v>
      </c>
      <c r="O13" s="20" t="s">
        <v>3</v>
      </c>
      <c r="P13" s="20" t="s">
        <v>4</v>
      </c>
      <c r="Q13" s="20" t="s">
        <v>5</v>
      </c>
      <c r="R13" s="20" t="s">
        <v>6</v>
      </c>
    </row>
    <row r="14" spans="1:18" x14ac:dyDescent="0.35">
      <c r="A14" s="31">
        <v>45577</v>
      </c>
      <c r="B14" s="10">
        <f t="shared" si="0"/>
        <v>43734</v>
      </c>
      <c r="C14" s="10">
        <f t="shared" si="1"/>
        <v>102046</v>
      </c>
      <c r="D14" s="10">
        <f>E14+F14+Table2345345687911121514161718192021222324252627283456789101134567891011[[#This Row],[Expense]]</f>
        <v>145780</v>
      </c>
      <c r="E14" s="10">
        <v>101500</v>
      </c>
      <c r="F14" s="10">
        <v>37080</v>
      </c>
      <c r="G14" s="10">
        <v>7200</v>
      </c>
      <c r="H14" s="11">
        <f t="shared" si="2"/>
        <v>0.42857142857142855</v>
      </c>
      <c r="I14" s="12">
        <f>I13+Table2345345687911121514161718192021222324252627283456789101134567891011[[#This Row],[Cash]]-Table2345345687911121514161718192021222324252627283456789101134567891011[[#This Row],[Expense]]</f>
        <v>609396</v>
      </c>
      <c r="K14" s="15">
        <f t="shared" ref="K14:K20" si="11">A9</f>
        <v>45572</v>
      </c>
      <c r="L14" s="16">
        <f>M14/3</f>
        <v>7910</v>
      </c>
      <c r="M14" s="16">
        <f>O14*0.3</f>
        <v>23730</v>
      </c>
      <c r="N14" s="16">
        <f t="shared" ref="N14:N20" si="12">O14-M14</f>
        <v>55370</v>
      </c>
      <c r="O14" s="16">
        <f>P14+Q14+R14</f>
        <v>79100</v>
      </c>
      <c r="P14" s="16">
        <f t="shared" ref="P14:P20" si="13">VLOOKUP(K14,$A$1:$H$37,5,0)</f>
        <v>37000</v>
      </c>
      <c r="Q14" s="16">
        <f t="shared" ref="Q14:Q20" si="14">VLOOKUP(K14,$A$1:$H$37,6,0)</f>
        <v>40000</v>
      </c>
      <c r="R14" s="16">
        <f t="shared" ref="R14:R20" si="15">VLOOKUP(K14,$A$1:$H$37,7,0)</f>
        <v>2100</v>
      </c>
    </row>
    <row r="15" spans="1:18" x14ac:dyDescent="0.35">
      <c r="A15" s="31">
        <v>45578</v>
      </c>
      <c r="B15" s="10">
        <f t="shared" si="0"/>
        <v>73056.3</v>
      </c>
      <c r="C15" s="10">
        <f t="shared" si="1"/>
        <v>170464.7</v>
      </c>
      <c r="D15" s="10">
        <f>E15+F15+Table2345345687911121514161718192021222324252627283456789101134567891011[[#This Row],[Expense]]</f>
        <v>243521</v>
      </c>
      <c r="E15" s="10">
        <v>150000</v>
      </c>
      <c r="F15" s="10">
        <v>86321</v>
      </c>
      <c r="G15" s="10">
        <v>7200</v>
      </c>
      <c r="H15" s="11">
        <f t="shared" si="2"/>
        <v>0.42857142857142855</v>
      </c>
      <c r="I15" s="12">
        <f>I14+Table2345345687911121514161718192021222324252627283456789101134567891011[[#This Row],[Cash]]-Table2345345687911121514161718192021222324252627283456789101134567891011[[#This Row],[Expense]]</f>
        <v>752196</v>
      </c>
      <c r="K15" s="13">
        <f t="shared" si="11"/>
        <v>45573</v>
      </c>
      <c r="L15" s="14">
        <f>M15/3</f>
        <v>16859</v>
      </c>
      <c r="M15" s="14">
        <f>O15*0.3</f>
        <v>50577</v>
      </c>
      <c r="N15" s="14">
        <f t="shared" si="12"/>
        <v>118013</v>
      </c>
      <c r="O15" s="14">
        <f>P15+Q15+R15</f>
        <v>168590</v>
      </c>
      <c r="P15" s="14">
        <f t="shared" si="13"/>
        <v>14100</v>
      </c>
      <c r="Q15" s="14">
        <f t="shared" si="14"/>
        <v>145390</v>
      </c>
      <c r="R15" s="14">
        <f t="shared" si="15"/>
        <v>9100</v>
      </c>
    </row>
    <row r="16" spans="1:18" x14ac:dyDescent="0.35">
      <c r="A16" s="31">
        <v>45579</v>
      </c>
      <c r="B16" s="10">
        <f t="shared" si="0"/>
        <v>82269</v>
      </c>
      <c r="C16" s="10">
        <f t="shared" si="1"/>
        <v>191961</v>
      </c>
      <c r="D16" s="10">
        <f>E16+F16+Table2345345687911121514161718192021222324252627283456789101134567891011[[#This Row],[Expense]]</f>
        <v>274230</v>
      </c>
      <c r="E16" s="10">
        <v>138000</v>
      </c>
      <c r="F16" s="10">
        <v>122630</v>
      </c>
      <c r="G16" s="10">
        <v>13600</v>
      </c>
      <c r="H16" s="11">
        <f t="shared" si="2"/>
        <v>0.42857142857142855</v>
      </c>
      <c r="I16" s="12">
        <f>I15+Table2345345687911121514161718192021222324252627283456789101134567891011[[#This Row],[Cash]]-Table2345345687911121514161718192021222324252627283456789101134567891011[[#This Row],[Expense]]</f>
        <v>876596</v>
      </c>
      <c r="K16" s="15">
        <f t="shared" si="11"/>
        <v>45574</v>
      </c>
      <c r="L16" s="16">
        <f t="shared" ref="L16:L20" si="16">M16/3</f>
        <v>14348</v>
      </c>
      <c r="M16" s="16">
        <f t="shared" ref="M16:M20" si="17">O16*0.3</f>
        <v>43044</v>
      </c>
      <c r="N16" s="16">
        <f t="shared" si="12"/>
        <v>100436</v>
      </c>
      <c r="O16" s="16">
        <f t="shared" ref="O16:O20" si="18">P16+Q16+R16</f>
        <v>143480</v>
      </c>
      <c r="P16" s="16">
        <f t="shared" si="13"/>
        <v>114000</v>
      </c>
      <c r="Q16" s="16">
        <f t="shared" si="14"/>
        <v>25080</v>
      </c>
      <c r="R16" s="16">
        <f t="shared" si="15"/>
        <v>4400</v>
      </c>
    </row>
    <row r="17" spans="1:18" x14ac:dyDescent="0.35">
      <c r="A17" s="31">
        <v>45580</v>
      </c>
      <c r="B17" s="10">
        <f t="shared" si="0"/>
        <v>43809</v>
      </c>
      <c r="C17" s="10">
        <f t="shared" si="1"/>
        <v>102221</v>
      </c>
      <c r="D17" s="10">
        <f>E17+F17+Table2345345687911121514161718192021222324252627283456789101134567891011[[#This Row],[Expense]]</f>
        <v>146030</v>
      </c>
      <c r="E17" s="10">
        <v>11500</v>
      </c>
      <c r="F17" s="10">
        <v>128180</v>
      </c>
      <c r="G17" s="10">
        <v>6350</v>
      </c>
      <c r="H17" s="11">
        <f t="shared" si="2"/>
        <v>0.42857142857142855</v>
      </c>
      <c r="I17" s="12">
        <f>I16+Table2345345687911121514161718192021222324252627283456789101134567891011[[#This Row],[Cash]]-Table2345345687911121514161718192021222324252627283456789101134567891011[[#This Row],[Expense]]</f>
        <v>881746</v>
      </c>
      <c r="K17" s="13">
        <f t="shared" si="11"/>
        <v>45575</v>
      </c>
      <c r="L17" s="14">
        <f t="shared" si="16"/>
        <v>13468</v>
      </c>
      <c r="M17" s="14">
        <f t="shared" si="17"/>
        <v>40404</v>
      </c>
      <c r="N17" s="14">
        <f t="shared" si="12"/>
        <v>94276</v>
      </c>
      <c r="O17" s="14">
        <f t="shared" si="18"/>
        <v>134680</v>
      </c>
      <c r="P17" s="14">
        <f t="shared" si="13"/>
        <v>80000</v>
      </c>
      <c r="Q17" s="14">
        <f t="shared" si="14"/>
        <v>49950</v>
      </c>
      <c r="R17" s="14">
        <f t="shared" si="15"/>
        <v>4730</v>
      </c>
    </row>
    <row r="18" spans="1:18" x14ac:dyDescent="0.35">
      <c r="A18" s="31">
        <v>45581</v>
      </c>
      <c r="B18" s="10">
        <f t="shared" si="0"/>
        <v>52545.599999999999</v>
      </c>
      <c r="C18" s="10">
        <f t="shared" si="1"/>
        <v>122606.39999999999</v>
      </c>
      <c r="D18" s="10">
        <f>E18+F18+Table2345345687911121514161718192021222324252627283456789101134567891011[[#This Row],[Expense]]</f>
        <v>175152</v>
      </c>
      <c r="E18" s="10">
        <v>114000</v>
      </c>
      <c r="F18" s="10">
        <v>51952</v>
      </c>
      <c r="G18" s="10">
        <v>9200</v>
      </c>
      <c r="H18" s="11">
        <f t="shared" si="2"/>
        <v>0.4285714285714286</v>
      </c>
      <c r="I18" s="12">
        <f>I17+Table2345345687911121514161718192021222324252627283456789101134567891011[[#This Row],[Cash]]-Table2345345687911121514161718192021222324252627283456789101134567891011[[#This Row],[Expense]]</f>
        <v>986546</v>
      </c>
      <c r="K18" s="15">
        <f t="shared" si="11"/>
        <v>45576</v>
      </c>
      <c r="L18" s="16">
        <f t="shared" si="16"/>
        <v>7650</v>
      </c>
      <c r="M18" s="16">
        <f t="shared" si="17"/>
        <v>22950</v>
      </c>
      <c r="N18" s="16">
        <f t="shared" si="12"/>
        <v>53550</v>
      </c>
      <c r="O18" s="16">
        <f t="shared" si="18"/>
        <v>76500</v>
      </c>
      <c r="P18" s="16">
        <f t="shared" si="13"/>
        <v>30000</v>
      </c>
      <c r="Q18" s="16">
        <f t="shared" si="14"/>
        <v>29000</v>
      </c>
      <c r="R18" s="16">
        <f t="shared" si="15"/>
        <v>17500</v>
      </c>
    </row>
    <row r="19" spans="1:18" x14ac:dyDescent="0.35">
      <c r="A19" s="31">
        <v>45582</v>
      </c>
      <c r="B19" s="10">
        <f t="shared" si="0"/>
        <v>85045.2</v>
      </c>
      <c r="C19" s="10">
        <f t="shared" si="1"/>
        <v>198438.8</v>
      </c>
      <c r="D19" s="10">
        <f>E19+F19+Table2345345687911121514161718192021222324252627283456789101134567891011[[#This Row],[Expense]]</f>
        <v>283484</v>
      </c>
      <c r="E19" s="10">
        <v>96800</v>
      </c>
      <c r="F19" s="10">
        <v>173434</v>
      </c>
      <c r="G19" s="10">
        <v>13250</v>
      </c>
      <c r="H19" s="11">
        <f t="shared" si="2"/>
        <v>0.4285714285714286</v>
      </c>
      <c r="I19" s="12">
        <f>I18+Table2345345687911121514161718192021222324252627283456789101134567891011[[#This Row],[Cash]]-Table2345345687911121514161718192021222324252627283456789101134567891011[[#This Row],[Expense]]</f>
        <v>1070096</v>
      </c>
      <c r="K19" s="13">
        <f t="shared" si="11"/>
        <v>45577</v>
      </c>
      <c r="L19" s="14">
        <f t="shared" si="16"/>
        <v>14578</v>
      </c>
      <c r="M19" s="14">
        <f t="shared" si="17"/>
        <v>43734</v>
      </c>
      <c r="N19" s="14">
        <f t="shared" si="12"/>
        <v>102046</v>
      </c>
      <c r="O19" s="14">
        <f t="shared" si="18"/>
        <v>145780</v>
      </c>
      <c r="P19" s="14">
        <f t="shared" si="13"/>
        <v>101500</v>
      </c>
      <c r="Q19" s="14">
        <f t="shared" si="14"/>
        <v>37080</v>
      </c>
      <c r="R19" s="14">
        <f t="shared" si="15"/>
        <v>7200</v>
      </c>
    </row>
    <row r="20" spans="1:18" x14ac:dyDescent="0.35">
      <c r="A20" s="31">
        <v>45583</v>
      </c>
      <c r="B20" s="10">
        <f t="shared" si="0"/>
        <v>70608.599999999991</v>
      </c>
      <c r="C20" s="10">
        <f t="shared" si="1"/>
        <v>164753.40000000002</v>
      </c>
      <c r="D20" s="10">
        <f>E20+F20+Table2345345687911121514161718192021222324252627283456789101134567891011[[#This Row],[Expense]]</f>
        <v>235362</v>
      </c>
      <c r="E20" s="10">
        <v>140700</v>
      </c>
      <c r="F20" s="10">
        <v>83662</v>
      </c>
      <c r="G20" s="10">
        <v>11000</v>
      </c>
      <c r="H20" s="11">
        <f t="shared" si="2"/>
        <v>0.42857142857142844</v>
      </c>
      <c r="I20" s="12">
        <f>I19+Table2345345687911121514161718192021222324252627283456789101134567891011[[#This Row],[Cash]]-Table2345345687911121514161718192021222324252627283456789101134567891011[[#This Row],[Expense]]</f>
        <v>1199796</v>
      </c>
      <c r="K20" s="15">
        <f t="shared" si="11"/>
        <v>45578</v>
      </c>
      <c r="L20" s="16">
        <f t="shared" si="16"/>
        <v>24352.100000000002</v>
      </c>
      <c r="M20" s="16">
        <f t="shared" si="17"/>
        <v>73056.3</v>
      </c>
      <c r="N20" s="16">
        <f t="shared" si="12"/>
        <v>170464.7</v>
      </c>
      <c r="O20" s="16">
        <f t="shared" si="18"/>
        <v>243521</v>
      </c>
      <c r="P20" s="16">
        <f t="shared" si="13"/>
        <v>150000</v>
      </c>
      <c r="Q20" s="16">
        <f t="shared" si="14"/>
        <v>86321</v>
      </c>
      <c r="R20" s="16">
        <f t="shared" si="15"/>
        <v>7200</v>
      </c>
    </row>
    <row r="21" spans="1:18" x14ac:dyDescent="0.35">
      <c r="A21" s="31">
        <v>45584</v>
      </c>
      <c r="B21" s="10">
        <f t="shared" si="0"/>
        <v>101139.9</v>
      </c>
      <c r="C21" s="10">
        <f t="shared" si="1"/>
        <v>235993.1</v>
      </c>
      <c r="D21" s="10">
        <f>E21+F21+Table2345345687911121514161718192021222324252627283456789101134567891011[[#This Row],[Expense]]</f>
        <v>337133</v>
      </c>
      <c r="E21" s="10">
        <v>227500</v>
      </c>
      <c r="F21" s="10">
        <v>103633</v>
      </c>
      <c r="G21" s="10">
        <v>6000</v>
      </c>
      <c r="H21" s="11">
        <f t="shared" si="2"/>
        <v>0.42857142857142855</v>
      </c>
      <c r="I21" s="12">
        <f>I20+Table2345345687911121514161718192021222324252627283456789101134567891011[[#This Row],[Cash]]-Table2345345687911121514161718192021222324252627283456789101134567891011[[#This Row],[Expense]]</f>
        <v>1421296</v>
      </c>
      <c r="K21" s="18" t="s">
        <v>3</v>
      </c>
      <c r="L21" s="18">
        <f>SUM(L14:L20)</f>
        <v>99165.1</v>
      </c>
      <c r="M21" s="18">
        <f t="shared" ref="M21:R21" si="19">SUM(M14:M20)</f>
        <v>297495.3</v>
      </c>
      <c r="N21" s="18">
        <f t="shared" si="19"/>
        <v>694155.7</v>
      </c>
      <c r="O21" s="18">
        <f t="shared" si="19"/>
        <v>991651</v>
      </c>
      <c r="P21" s="18">
        <f t="shared" si="19"/>
        <v>526600</v>
      </c>
      <c r="Q21" s="18">
        <f t="shared" si="19"/>
        <v>412821</v>
      </c>
      <c r="R21" s="18">
        <f t="shared" si="19"/>
        <v>52230</v>
      </c>
    </row>
    <row r="22" spans="1:18" x14ac:dyDescent="0.35">
      <c r="A22" s="31">
        <v>45585</v>
      </c>
      <c r="B22" s="10">
        <f t="shared" si="0"/>
        <v>87621</v>
      </c>
      <c r="C22" s="10">
        <f t="shared" si="1"/>
        <v>204449</v>
      </c>
      <c r="D22" s="10">
        <f>E22+F22+Table2345345687911121514161718192021222324252627283456789101134567891011[[#This Row],[Expense]]</f>
        <v>292070</v>
      </c>
      <c r="E22" s="10">
        <v>197500</v>
      </c>
      <c r="F22" s="10">
        <v>86070</v>
      </c>
      <c r="G22" s="10">
        <v>8500</v>
      </c>
      <c r="H22" s="11">
        <f t="shared" si="2"/>
        <v>0.42857142857142855</v>
      </c>
      <c r="I22" s="12">
        <f>I21+Table2345345687911121514161718192021222324252627283456789101134567891011[[#This Row],[Cash]]-Table2345345687911121514161718192021222324252627283456789101134567891011[[#This Row],[Expense]]</f>
        <v>1610296</v>
      </c>
      <c r="K22" s="18" t="s">
        <v>10</v>
      </c>
      <c r="L22" s="18"/>
      <c r="M22" s="18">
        <f>M21/3</f>
        <v>99165.099999999991</v>
      </c>
      <c r="N22" s="18"/>
      <c r="O22" s="18">
        <f>N22+M22</f>
        <v>99165.099999999991</v>
      </c>
      <c r="P22" s="16"/>
      <c r="Q22" s="16"/>
      <c r="R22" s="16"/>
    </row>
    <row r="23" spans="1:18" x14ac:dyDescent="0.35">
      <c r="A23" s="31">
        <v>45586</v>
      </c>
      <c r="B23" s="10">
        <f t="shared" si="0"/>
        <v>74688</v>
      </c>
      <c r="C23" s="10">
        <f t="shared" si="1"/>
        <v>174272</v>
      </c>
      <c r="D23" s="10">
        <f>E23+F23+Table2345345687911121514161718192021222324252627283456789101134567891011[[#This Row],[Expense]]</f>
        <v>248960</v>
      </c>
      <c r="E23" s="10">
        <v>134000</v>
      </c>
      <c r="F23" s="10">
        <v>96460</v>
      </c>
      <c r="G23" s="10">
        <v>18500</v>
      </c>
      <c r="H23" s="11">
        <f t="shared" si="2"/>
        <v>0.42857142857142855</v>
      </c>
      <c r="I23" s="12">
        <f>I22+Table2345345687911121514161718192021222324252627283456789101134567891011[[#This Row],[Cash]]-Table2345345687911121514161718192021222324252627283456789101134567891011[[#This Row],[Expense]]</f>
        <v>1725796</v>
      </c>
    </row>
    <row r="24" spans="1:18" x14ac:dyDescent="0.35">
      <c r="A24" s="31">
        <v>45587</v>
      </c>
      <c r="B24" s="10">
        <f t="shared" si="0"/>
        <v>75447</v>
      </c>
      <c r="C24" s="10">
        <f t="shared" si="1"/>
        <v>176043</v>
      </c>
      <c r="D24" s="10">
        <f>E24+F24+Table2345345687911121514161718192021222324252627283456789101134567891011[[#This Row],[Expense]]</f>
        <v>251490</v>
      </c>
      <c r="E24" s="10">
        <v>171000</v>
      </c>
      <c r="F24" s="10">
        <v>66040</v>
      </c>
      <c r="G24" s="10">
        <v>14450</v>
      </c>
      <c r="H24" s="11">
        <f t="shared" si="2"/>
        <v>0.42857142857142855</v>
      </c>
      <c r="I24" s="12">
        <f>I23+Table2345345687911121514161718192021222324252627283456789101134567891011[[#This Row],[Cash]]-Table2345345687911121514161718192021222324252627283456789101134567891011[[#This Row],[Expense]]</f>
        <v>1882346</v>
      </c>
      <c r="K24" s="19" t="s">
        <v>0</v>
      </c>
      <c r="L24" s="20"/>
      <c r="M24" s="20" t="s">
        <v>1</v>
      </c>
      <c r="N24" s="20" t="s">
        <v>2</v>
      </c>
      <c r="O24" s="20" t="s">
        <v>3</v>
      </c>
      <c r="P24" s="20" t="s">
        <v>4</v>
      </c>
      <c r="Q24" s="20" t="s">
        <v>5</v>
      </c>
      <c r="R24" s="20" t="s">
        <v>6</v>
      </c>
    </row>
    <row r="25" spans="1:18" x14ac:dyDescent="0.35">
      <c r="A25" s="31">
        <v>45588</v>
      </c>
      <c r="B25" s="10">
        <f t="shared" si="0"/>
        <v>57012</v>
      </c>
      <c r="C25" s="10">
        <f t="shared" si="1"/>
        <v>133028</v>
      </c>
      <c r="D25" s="10">
        <f>E25+F25+Table2345345687911121514161718192021222324252627283456789101134567891011[[#This Row],[Expense]]</f>
        <v>190040</v>
      </c>
      <c r="E25" s="10">
        <v>118000</v>
      </c>
      <c r="F25" s="10">
        <v>66040</v>
      </c>
      <c r="G25" s="10">
        <v>6000</v>
      </c>
      <c r="H25" s="11">
        <f t="shared" si="2"/>
        <v>0.42857142857142855</v>
      </c>
      <c r="I25" s="12">
        <f>I24+Table2345345687911121514161718192021222324252627283456789101134567891011[[#This Row],[Cash]]-Table2345345687911121514161718192021222324252627283456789101134567891011[[#This Row],[Expense]]</f>
        <v>1994346</v>
      </c>
      <c r="K25" s="15">
        <f t="shared" ref="K25:K31" si="20">A16</f>
        <v>45579</v>
      </c>
      <c r="L25" s="16">
        <f>M25/3</f>
        <v>27423</v>
      </c>
      <c r="M25" s="16">
        <f>O25*0.3</f>
        <v>82269</v>
      </c>
      <c r="N25" s="16">
        <f t="shared" ref="N25:N31" si="21">O25-M25</f>
        <v>191961</v>
      </c>
      <c r="O25" s="16">
        <f>P25+Q25+R25</f>
        <v>274230</v>
      </c>
      <c r="P25" s="16">
        <f t="shared" ref="P25:P31" si="22">VLOOKUP(K25,$A$1:$H$37,5,0)</f>
        <v>138000</v>
      </c>
      <c r="Q25" s="16">
        <f t="shared" ref="Q25:Q31" si="23">VLOOKUP(K25,$A$1:$H$37,6,0)</f>
        <v>122630</v>
      </c>
      <c r="R25" s="16">
        <f t="shared" ref="R25:R31" si="24">VLOOKUP(K25,$A$1:$H$37,7,0)</f>
        <v>13600</v>
      </c>
    </row>
    <row r="26" spans="1:18" x14ac:dyDescent="0.35">
      <c r="A26" s="31">
        <v>45589</v>
      </c>
      <c r="B26" s="10">
        <f t="shared" si="0"/>
        <v>82408.5</v>
      </c>
      <c r="C26" s="10">
        <f t="shared" si="1"/>
        <v>192286.5</v>
      </c>
      <c r="D26" s="10">
        <f>E26+F26+Table2345345687911121514161718192021222324252627283456789101134567891011[[#This Row],[Expense]]</f>
        <v>274695</v>
      </c>
      <c r="E26" s="10">
        <v>162500</v>
      </c>
      <c r="F26" s="10">
        <v>94695</v>
      </c>
      <c r="G26" s="10">
        <v>17500</v>
      </c>
      <c r="H26" s="11">
        <f t="shared" si="2"/>
        <v>0.42857142857142855</v>
      </c>
      <c r="I26" s="12">
        <f>I25+Table2345345687911121514161718192021222324252627283456789101134567891011[[#This Row],[Cash]]-Table2345345687911121514161718192021222324252627283456789101134567891011[[#This Row],[Expense]]</f>
        <v>2139346</v>
      </c>
      <c r="K26" s="13">
        <f t="shared" si="20"/>
        <v>45580</v>
      </c>
      <c r="L26" s="14">
        <f>M26/3</f>
        <v>14603</v>
      </c>
      <c r="M26" s="14">
        <f>O26*0.3</f>
        <v>43809</v>
      </c>
      <c r="N26" s="14">
        <f t="shared" si="21"/>
        <v>102221</v>
      </c>
      <c r="O26" s="14">
        <f>P26+Q26+R26</f>
        <v>146030</v>
      </c>
      <c r="P26" s="14">
        <f t="shared" si="22"/>
        <v>11500</v>
      </c>
      <c r="Q26" s="14">
        <f t="shared" si="23"/>
        <v>128180</v>
      </c>
      <c r="R26" s="14">
        <f t="shared" si="24"/>
        <v>6350</v>
      </c>
    </row>
    <row r="27" spans="1:18" x14ac:dyDescent="0.35">
      <c r="A27" s="31">
        <v>45590</v>
      </c>
      <c r="B27" s="10">
        <f t="shared" si="0"/>
        <v>72195</v>
      </c>
      <c r="C27" s="10">
        <f t="shared" si="1"/>
        <v>168455</v>
      </c>
      <c r="D27" s="10">
        <f>E27+F27+Table2345345687911121514161718192021222324252627283456789101134567891011[[#This Row],[Expense]]</f>
        <v>240650</v>
      </c>
      <c r="E27" s="10">
        <v>137500</v>
      </c>
      <c r="F27" s="10">
        <v>92650</v>
      </c>
      <c r="G27" s="10">
        <v>10500</v>
      </c>
      <c r="H27" s="11">
        <f t="shared" si="2"/>
        <v>0.42857142857142855</v>
      </c>
      <c r="I27" s="12">
        <f>I26+Table2345345687911121514161718192021222324252627283456789101134567891011[[#This Row],[Cash]]-Table2345345687911121514161718192021222324252627283456789101134567891011[[#This Row],[Expense]]</f>
        <v>2266346</v>
      </c>
      <c r="K27" s="15">
        <f t="shared" si="20"/>
        <v>45581</v>
      </c>
      <c r="L27" s="16">
        <f t="shared" ref="L27:L31" si="25">M27/3</f>
        <v>17515.2</v>
      </c>
      <c r="M27" s="16">
        <f t="shared" ref="M27:M31" si="26">O27*0.3</f>
        <v>52545.599999999999</v>
      </c>
      <c r="N27" s="16">
        <f t="shared" si="21"/>
        <v>122606.39999999999</v>
      </c>
      <c r="O27" s="16">
        <f t="shared" ref="O27:O31" si="27">P27+Q27+R27</f>
        <v>175152</v>
      </c>
      <c r="P27" s="16">
        <f t="shared" si="22"/>
        <v>114000</v>
      </c>
      <c r="Q27" s="16">
        <f t="shared" si="23"/>
        <v>51952</v>
      </c>
      <c r="R27" s="16">
        <f t="shared" si="24"/>
        <v>9200</v>
      </c>
    </row>
    <row r="28" spans="1:18" x14ac:dyDescent="0.35">
      <c r="A28" s="31">
        <v>45591</v>
      </c>
      <c r="B28" s="10">
        <f t="shared" si="0"/>
        <v>50764.2</v>
      </c>
      <c r="C28" s="10">
        <f t="shared" si="1"/>
        <v>118449.8</v>
      </c>
      <c r="D28" s="10">
        <f>E28+F28+Table2345345687911121514161718192021222324252627283456789101134567891011[[#This Row],[Expense]]</f>
        <v>169214</v>
      </c>
      <c r="E28" s="10">
        <v>77500</v>
      </c>
      <c r="F28" s="10">
        <v>78000</v>
      </c>
      <c r="G28" s="10">
        <v>13714</v>
      </c>
      <c r="H28" s="11">
        <f t="shared" si="2"/>
        <v>0.42857142857142855</v>
      </c>
      <c r="I28" s="12">
        <f>I27+Table2345345687911121514161718192021222324252627283456789101134567891011[[#This Row],[Cash]]-Table2345345687911121514161718192021222324252627283456789101134567891011[[#This Row],[Expense]]</f>
        <v>2330132</v>
      </c>
      <c r="K28" s="13">
        <f t="shared" si="20"/>
        <v>45582</v>
      </c>
      <c r="L28" s="14">
        <f t="shared" si="25"/>
        <v>28348.399999999998</v>
      </c>
      <c r="M28" s="14">
        <f>O28*0.3</f>
        <v>85045.2</v>
      </c>
      <c r="N28" s="14">
        <f t="shared" si="21"/>
        <v>198438.8</v>
      </c>
      <c r="O28" s="14">
        <f t="shared" si="27"/>
        <v>283484</v>
      </c>
      <c r="P28" s="14">
        <f t="shared" si="22"/>
        <v>96800</v>
      </c>
      <c r="Q28" s="14">
        <f t="shared" si="23"/>
        <v>173434</v>
      </c>
      <c r="R28" s="14">
        <f t="shared" si="24"/>
        <v>13250</v>
      </c>
    </row>
    <row r="29" spans="1:18" x14ac:dyDescent="0.35">
      <c r="A29" s="31">
        <v>45592</v>
      </c>
      <c r="B29" s="10">
        <f t="shared" si="0"/>
        <v>57801</v>
      </c>
      <c r="C29" s="10">
        <f t="shared" si="1"/>
        <v>134869</v>
      </c>
      <c r="D29" s="10">
        <f>E29+F29+Table2345345687911121514161718192021222324252627283456789101134567891011[[#This Row],[Expense]]</f>
        <v>192670</v>
      </c>
      <c r="E29" s="10">
        <v>123000</v>
      </c>
      <c r="F29" s="10">
        <v>61250</v>
      </c>
      <c r="G29" s="10">
        <v>8420</v>
      </c>
      <c r="H29" s="11">
        <f t="shared" si="2"/>
        <v>0.42857142857142855</v>
      </c>
      <c r="I29" s="12">
        <f>I28+Table2345345687911121514161718192021222324252627283456789101134567891011[[#This Row],[Cash]]-Table2345345687911121514161718192021222324252627283456789101134567891011[[#This Row],[Expense]]</f>
        <v>2444712</v>
      </c>
      <c r="K29" s="15">
        <f t="shared" si="20"/>
        <v>45583</v>
      </c>
      <c r="L29" s="16">
        <f t="shared" si="25"/>
        <v>23536.199999999997</v>
      </c>
      <c r="M29" s="16">
        <f t="shared" si="26"/>
        <v>70608.599999999991</v>
      </c>
      <c r="N29" s="16">
        <f t="shared" si="21"/>
        <v>164753.40000000002</v>
      </c>
      <c r="O29" s="16">
        <f t="shared" si="27"/>
        <v>235362</v>
      </c>
      <c r="P29" s="16">
        <f t="shared" si="22"/>
        <v>140700</v>
      </c>
      <c r="Q29" s="16">
        <f t="shared" si="23"/>
        <v>83662</v>
      </c>
      <c r="R29" s="16">
        <f t="shared" si="24"/>
        <v>11000</v>
      </c>
    </row>
    <row r="30" spans="1:18" x14ac:dyDescent="0.35">
      <c r="A30" s="31">
        <v>45593</v>
      </c>
      <c r="B30" s="10">
        <f t="shared" si="0"/>
        <v>45748.5</v>
      </c>
      <c r="C30" s="10">
        <f t="shared" si="1"/>
        <v>106746.5</v>
      </c>
      <c r="D30" s="10">
        <f>E30+F30+Table2345345687911121514161718192021222324252627283456789101134567891011[[#This Row],[Expense]]</f>
        <v>152495</v>
      </c>
      <c r="E30" s="10">
        <v>75000</v>
      </c>
      <c r="F30" s="10">
        <v>61750</v>
      </c>
      <c r="G30" s="10">
        <v>15745</v>
      </c>
      <c r="H30" s="11">
        <f t="shared" si="2"/>
        <v>0.42857142857142855</v>
      </c>
      <c r="I30" s="12">
        <f>I29+Table2345345687911121514161718192021222324252627283456789101134567891011[[#This Row],[Cash]]-Table2345345687911121514161718192021222324252627283456789101134567891011[[#This Row],[Expense]]</f>
        <v>2503967</v>
      </c>
      <c r="K30" s="13">
        <f t="shared" si="20"/>
        <v>45584</v>
      </c>
      <c r="L30" s="14">
        <f t="shared" si="25"/>
        <v>33713.299999999996</v>
      </c>
      <c r="M30" s="14">
        <f t="shared" si="26"/>
        <v>101139.9</v>
      </c>
      <c r="N30" s="14">
        <f t="shared" si="21"/>
        <v>235993.1</v>
      </c>
      <c r="O30" s="14">
        <f t="shared" si="27"/>
        <v>337133</v>
      </c>
      <c r="P30" s="14">
        <f t="shared" si="22"/>
        <v>227500</v>
      </c>
      <c r="Q30" s="14">
        <f t="shared" si="23"/>
        <v>103633</v>
      </c>
      <c r="R30" s="14">
        <f t="shared" si="24"/>
        <v>6000</v>
      </c>
    </row>
    <row r="31" spans="1:18" x14ac:dyDescent="0.35">
      <c r="A31" s="31">
        <v>45594</v>
      </c>
      <c r="B31" s="10">
        <f t="shared" si="0"/>
        <v>56371.799999999996</v>
      </c>
      <c r="C31" s="10">
        <f t="shared" si="1"/>
        <v>131534.20000000001</v>
      </c>
      <c r="D31" s="10">
        <f>E31+F31+Table2345345687911121514161718192021222324252627283456789101134567891011[[#This Row],[Expense]]</f>
        <v>187906</v>
      </c>
      <c r="E31" s="10">
        <v>102000</v>
      </c>
      <c r="F31" s="10">
        <v>64406</v>
      </c>
      <c r="G31" s="10">
        <v>21500</v>
      </c>
      <c r="H31" s="11">
        <f t="shared" si="2"/>
        <v>0.42857142857142849</v>
      </c>
      <c r="I31" s="12">
        <f>I30+Table2345345687911121514161718192021222324252627283456789101134567891011[[#This Row],[Cash]]-Table2345345687911121514161718192021222324252627283456789101134567891011[[#This Row],[Expense]]</f>
        <v>2584467</v>
      </c>
      <c r="K31" s="15">
        <f t="shared" si="20"/>
        <v>45585</v>
      </c>
      <c r="L31" s="16">
        <f t="shared" si="25"/>
        <v>29207</v>
      </c>
      <c r="M31" s="16">
        <f t="shared" si="26"/>
        <v>87621</v>
      </c>
      <c r="N31" s="16">
        <f t="shared" si="21"/>
        <v>204449</v>
      </c>
      <c r="O31" s="16">
        <f t="shared" si="27"/>
        <v>292070</v>
      </c>
      <c r="P31" s="16">
        <f t="shared" si="22"/>
        <v>197500</v>
      </c>
      <c r="Q31" s="16">
        <f t="shared" si="23"/>
        <v>86070</v>
      </c>
      <c r="R31" s="16">
        <f t="shared" si="24"/>
        <v>8500</v>
      </c>
    </row>
    <row r="32" spans="1:18" x14ac:dyDescent="0.35">
      <c r="A32" s="31">
        <v>45595</v>
      </c>
      <c r="B32" s="10">
        <f t="shared" si="0"/>
        <v>27000</v>
      </c>
      <c r="C32" s="10">
        <f t="shared" si="1"/>
        <v>63000</v>
      </c>
      <c r="D32" s="10">
        <f>E32+F32+Table2345345687911121514161718192021222324252627283456789101134567891011[[#This Row],[Expense]]</f>
        <v>90000</v>
      </c>
      <c r="E32" s="17">
        <v>53000</v>
      </c>
      <c r="F32" s="17">
        <v>30500</v>
      </c>
      <c r="G32" s="17">
        <v>6500</v>
      </c>
      <c r="H32" s="11">
        <f t="shared" si="2"/>
        <v>0.42857142857142855</v>
      </c>
      <c r="I32" s="12">
        <f>I31+Table2345345687911121514161718192021222324252627283456789101134567891011[[#This Row],[Cash]]-Table2345345687911121514161718192021222324252627283456789101134567891011[[#This Row],[Expense]]</f>
        <v>2630967</v>
      </c>
      <c r="K32" s="18" t="s">
        <v>3</v>
      </c>
      <c r="L32" s="18">
        <f>SUM(L25:L31)</f>
        <v>174346.09999999998</v>
      </c>
      <c r="M32" s="16">
        <f t="shared" ref="M32:R32" si="28">SUM(M25:M31)</f>
        <v>523038.29999999993</v>
      </c>
      <c r="N32" s="16">
        <f t="shared" si="28"/>
        <v>1220422.7</v>
      </c>
      <c r="O32" s="16">
        <f t="shared" si="28"/>
        <v>1743461</v>
      </c>
      <c r="P32" s="16">
        <f t="shared" si="28"/>
        <v>926000</v>
      </c>
      <c r="Q32" s="16">
        <f t="shared" si="28"/>
        <v>749561</v>
      </c>
      <c r="R32" s="16">
        <f t="shared" si="28"/>
        <v>67900</v>
      </c>
    </row>
    <row r="33" spans="1:18" x14ac:dyDescent="0.35">
      <c r="A33" s="31">
        <v>45596</v>
      </c>
      <c r="B33" s="10">
        <f t="shared" si="0"/>
        <v>9033</v>
      </c>
      <c r="C33" s="10">
        <f t="shared" si="1"/>
        <v>21077</v>
      </c>
      <c r="D33" s="10">
        <f>E33+F33+Table2345345687911121514161718192021222324252627283456789101134567891011[[#This Row],[Expense]]</f>
        <v>30110</v>
      </c>
      <c r="E33" s="10">
        <v>15200</v>
      </c>
      <c r="F33" s="10">
        <v>9310</v>
      </c>
      <c r="G33" s="10">
        <v>5600</v>
      </c>
      <c r="H33" s="11">
        <f t="shared" si="2"/>
        <v>0.42857142857142855</v>
      </c>
      <c r="I33" s="12">
        <f>I32+Table2345345687911121514161718192021222324252627283456789101134567891011[[#This Row],[Cash]]-Table2345345687911121514161718192021222324252627283456789101134567891011[[#This Row],[Expense]]</f>
        <v>2640567</v>
      </c>
      <c r="K33" s="18" t="s">
        <v>10</v>
      </c>
      <c r="L33" s="14"/>
      <c r="M33" s="14">
        <f>M32/3</f>
        <v>174346.09999999998</v>
      </c>
      <c r="N33" s="14"/>
      <c r="O33" s="14"/>
      <c r="P33" s="14"/>
      <c r="Q33" s="14"/>
      <c r="R33" s="14"/>
    </row>
    <row r="34" spans="1:18" x14ac:dyDescent="0.35">
      <c r="A34" s="31">
        <v>45597</v>
      </c>
      <c r="B34" s="10">
        <f t="shared" si="0"/>
        <v>5566.5</v>
      </c>
      <c r="C34" s="10">
        <f t="shared" si="1"/>
        <v>12988.5</v>
      </c>
      <c r="D34" s="10">
        <f>E34+F34+Table2345345687911121514161718192021222324252627283456789101134567891011[[#This Row],[Expense]]</f>
        <v>18555</v>
      </c>
      <c r="E34" s="10">
        <v>7000</v>
      </c>
      <c r="F34" s="10">
        <v>11055</v>
      </c>
      <c r="G34" s="10">
        <v>500</v>
      </c>
      <c r="H34" s="11">
        <f t="shared" si="2"/>
        <v>0.42857142857142855</v>
      </c>
      <c r="I34" s="12">
        <f>I33+Table2345345687911121514161718192021222324252627283456789101134567891011[[#This Row],[Cash]]-Table2345345687911121514161718192021222324252627283456789101134567891011[[#This Row],[Expense]]</f>
        <v>2647067</v>
      </c>
    </row>
    <row r="35" spans="1:18" x14ac:dyDescent="0.35">
      <c r="A35" s="31">
        <v>45598</v>
      </c>
      <c r="B35" s="10">
        <f t="shared" si="0"/>
        <v>2261.1</v>
      </c>
      <c r="C35" s="10">
        <f t="shared" si="1"/>
        <v>5275.9</v>
      </c>
      <c r="D35" s="10">
        <f>E35+F35+Table2345345687911121514161718192021222324252627283456789101134567891011[[#This Row],[Expense]]</f>
        <v>7537</v>
      </c>
      <c r="E35" s="17">
        <v>236</v>
      </c>
      <c r="F35" s="17">
        <v>7281</v>
      </c>
      <c r="G35" s="17">
        <v>20</v>
      </c>
      <c r="H35" s="11">
        <f t="shared" si="2"/>
        <v>0.4285714285714286</v>
      </c>
      <c r="I35" s="12">
        <f>I34+Table2345345687911121514161718192021222324252627283456789101134567891011[[#This Row],[Cash]]-Table2345345687911121514161718192021222324252627283456789101134567891011[[#This Row],[Expense]]</f>
        <v>2647283</v>
      </c>
      <c r="K35" s="19" t="s">
        <v>0</v>
      </c>
      <c r="L35" s="20"/>
      <c r="M35" s="20" t="s">
        <v>1</v>
      </c>
      <c r="N35" s="20" t="s">
        <v>2</v>
      </c>
      <c r="O35" s="20" t="s">
        <v>3</v>
      </c>
      <c r="P35" s="20" t="s">
        <v>4</v>
      </c>
      <c r="Q35" s="20" t="s">
        <v>5</v>
      </c>
      <c r="R35" s="20" t="s">
        <v>6</v>
      </c>
    </row>
    <row r="36" spans="1:18" x14ac:dyDescent="0.35">
      <c r="A36" s="31">
        <v>45599</v>
      </c>
      <c r="B36" s="10">
        <f t="shared" si="0"/>
        <v>13113</v>
      </c>
      <c r="C36" s="10">
        <f t="shared" si="1"/>
        <v>30597</v>
      </c>
      <c r="D36" s="10">
        <f>E36+F36+Table2345345687911121514161718192021222324252627283456789101134567891011[[#This Row],[Expense]]</f>
        <v>43710</v>
      </c>
      <c r="E36" s="17">
        <v>30700</v>
      </c>
      <c r="F36" s="17">
        <v>12750</v>
      </c>
      <c r="G36" s="17">
        <v>260</v>
      </c>
      <c r="H36" s="11">
        <f t="shared" si="2"/>
        <v>0.42857142857142855</v>
      </c>
      <c r="I36" s="12">
        <f>I35+Table2345345687911121514161718192021222324252627283456789101134567891011[[#This Row],[Cash]]-Table2345345687911121514161718192021222324252627283456789101134567891011[[#This Row],[Expense]]</f>
        <v>2677723</v>
      </c>
      <c r="K36" s="13">
        <f t="shared" ref="K36:K42" si="29">A23</f>
        <v>45586</v>
      </c>
      <c r="L36" s="16">
        <f>M36/3</f>
        <v>24896</v>
      </c>
      <c r="M36" s="16">
        <f>O36*0.3</f>
        <v>74688</v>
      </c>
      <c r="N36" s="16">
        <f t="shared" ref="N36:N42" si="30">O36-M36</f>
        <v>174272</v>
      </c>
      <c r="O36" s="16">
        <f>P36+Q36+R36</f>
        <v>248960</v>
      </c>
      <c r="P36" s="16">
        <f t="shared" ref="P36:P42" si="31">VLOOKUP(K36,$A$1:$H$37,5,0)</f>
        <v>134000</v>
      </c>
      <c r="Q36" s="16">
        <f t="shared" ref="Q36:Q42" si="32">VLOOKUP(K36,$A$1:$H$37,6,0)</f>
        <v>96460</v>
      </c>
      <c r="R36" s="16">
        <f t="shared" ref="R36:R42" si="33">VLOOKUP(K36,$A$1:$H$37,7,0)</f>
        <v>18500</v>
      </c>
    </row>
    <row r="37" spans="1:18" ht="15" thickBot="1" x14ac:dyDescent="0.4">
      <c r="A37" s="21" t="s">
        <v>3</v>
      </c>
      <c r="B37" s="22">
        <f>SUBTOTAL(109,Table2345345687911121514161718192021222324252627283456789101134567891011[Profit])</f>
        <v>1636442.4</v>
      </c>
      <c r="C37" s="22">
        <f>SUBTOTAL(109,Table2345345687911121514161718192021222324252627283456789101134567891011[Profit])</f>
        <v>1636442.4</v>
      </c>
      <c r="D37" s="22">
        <f>SUBTOTAL(109,Table2345345687911121514161718192021222324252627283456789101134567891011[Total])</f>
        <v>5454808</v>
      </c>
      <c r="E37" s="22">
        <f>SUBTOTAL(109,Table2345345687911121514161718192021222324252627283456789101134567891011[Profit])</f>
        <v>1636442.4</v>
      </c>
      <c r="F37" s="22">
        <f>SUBTOTAL(109,Table2345345687911121514161718192021222324252627283456789101134567891011[Profit])</f>
        <v>1636442.4</v>
      </c>
      <c r="G37" s="22">
        <f>SUM(Table2345345687911121514161718192021222324252627283456789101134567891011[Expense])</f>
        <v>317219</v>
      </c>
      <c r="H37" s="22">
        <f t="shared" ref="H37:I37" si="34">SUM(H4:H36)</f>
        <v>14.142857142857148</v>
      </c>
      <c r="I37" s="22">
        <f t="shared" si="34"/>
        <v>45576673</v>
      </c>
      <c r="K37" s="13">
        <f t="shared" si="29"/>
        <v>45587</v>
      </c>
      <c r="L37" s="14">
        <f>M37/3</f>
        <v>25149</v>
      </c>
      <c r="M37" s="14">
        <f>O37*0.3</f>
        <v>75447</v>
      </c>
      <c r="N37" s="14">
        <f t="shared" si="30"/>
        <v>176043</v>
      </c>
      <c r="O37" s="14">
        <f>P37+Q37+R37</f>
        <v>251490</v>
      </c>
      <c r="P37" s="14">
        <f t="shared" si="31"/>
        <v>171000</v>
      </c>
      <c r="Q37" s="14">
        <f t="shared" si="32"/>
        <v>66040</v>
      </c>
      <c r="R37" s="14">
        <f t="shared" si="33"/>
        <v>14450</v>
      </c>
    </row>
    <row r="38" spans="1:18" x14ac:dyDescent="0.35">
      <c r="A38" s="23"/>
      <c r="B38" s="24">
        <f>B37/3</f>
        <v>545480.79999999993</v>
      </c>
      <c r="C38" s="24"/>
      <c r="E38" s="26">
        <f>D37*0.42</f>
        <v>2291019.36</v>
      </c>
      <c r="F38" s="24"/>
      <c r="G38" s="24"/>
      <c r="H38" s="27"/>
      <c r="K38" s="15">
        <f t="shared" si="29"/>
        <v>45588</v>
      </c>
      <c r="L38" s="16">
        <f t="shared" ref="L38:L42" si="35">M38/3</f>
        <v>19004</v>
      </c>
      <c r="M38" s="16">
        <f t="shared" ref="M38:M40" si="36">O38*0.3</f>
        <v>57012</v>
      </c>
      <c r="N38" s="16">
        <f t="shared" si="30"/>
        <v>133028</v>
      </c>
      <c r="O38" s="16">
        <f t="shared" ref="O38:O42" si="37">P38+Q38+R38</f>
        <v>190040</v>
      </c>
      <c r="P38" s="16">
        <f t="shared" si="31"/>
        <v>118000</v>
      </c>
      <c r="Q38" s="16">
        <f t="shared" si="32"/>
        <v>66040</v>
      </c>
      <c r="R38" s="16">
        <f t="shared" si="33"/>
        <v>6000</v>
      </c>
    </row>
    <row r="39" spans="1:18" x14ac:dyDescent="0.35">
      <c r="A39" s="23"/>
      <c r="B39" s="24">
        <f>B38*100/D37</f>
        <v>9.9999999999999982</v>
      </c>
      <c r="C39" s="24"/>
      <c r="E39" s="24">
        <f>E38/3</f>
        <v>763673.12</v>
      </c>
      <c r="F39" s="24"/>
      <c r="G39" s="24"/>
      <c r="H39" s="27"/>
      <c r="K39" s="13">
        <f t="shared" si="29"/>
        <v>45589</v>
      </c>
      <c r="L39" s="14">
        <f t="shared" si="35"/>
        <v>27469.5</v>
      </c>
      <c r="M39" s="14">
        <f t="shared" si="36"/>
        <v>82408.5</v>
      </c>
      <c r="N39" s="14">
        <f t="shared" si="30"/>
        <v>192286.5</v>
      </c>
      <c r="O39" s="14">
        <f t="shared" si="37"/>
        <v>274695</v>
      </c>
      <c r="P39" s="14">
        <f t="shared" si="31"/>
        <v>162500</v>
      </c>
      <c r="Q39" s="14">
        <f t="shared" si="32"/>
        <v>94695</v>
      </c>
      <c r="R39" s="14">
        <f t="shared" si="33"/>
        <v>17500</v>
      </c>
    </row>
    <row r="40" spans="1:18" x14ac:dyDescent="0.35">
      <c r="A40" s="19" t="s">
        <v>0</v>
      </c>
      <c r="B40" s="20" t="s">
        <v>1</v>
      </c>
      <c r="C40" s="20" t="s">
        <v>2</v>
      </c>
      <c r="D40" s="20" t="s">
        <v>3</v>
      </c>
      <c r="E40" s="20" t="s">
        <v>4</v>
      </c>
      <c r="F40" s="20" t="s">
        <v>5</v>
      </c>
      <c r="G40" s="20" t="s">
        <v>6</v>
      </c>
      <c r="H40" s="28" t="s">
        <v>10</v>
      </c>
      <c r="K40" s="15">
        <f t="shared" si="29"/>
        <v>45590</v>
      </c>
      <c r="L40" s="16">
        <f t="shared" si="35"/>
        <v>24065</v>
      </c>
      <c r="M40" s="16">
        <f t="shared" si="36"/>
        <v>72195</v>
      </c>
      <c r="N40" s="16">
        <f t="shared" si="30"/>
        <v>168455</v>
      </c>
      <c r="O40" s="16">
        <f t="shared" si="37"/>
        <v>240650</v>
      </c>
      <c r="P40" s="16">
        <f t="shared" si="31"/>
        <v>137500</v>
      </c>
      <c r="Q40" s="16">
        <f t="shared" si="32"/>
        <v>92650</v>
      </c>
      <c r="R40" s="16">
        <f t="shared" si="33"/>
        <v>10500</v>
      </c>
    </row>
    <row r="41" spans="1:18" x14ac:dyDescent="0.35">
      <c r="A41" s="29" t="str">
        <f>CONCATENATE(TEXT(K3,"DD-MMM-YYY")," to ",TEXT(K9,"DD-MMM-YYYY"))</f>
        <v>30-Sep-2024 to 06-Oct-2024</v>
      </c>
      <c r="B41" s="16">
        <f>M10</f>
        <v>186499.20000000001</v>
      </c>
      <c r="C41" s="16">
        <f t="shared" ref="C41:G41" si="38">N10</f>
        <v>435164.80000000005</v>
      </c>
      <c r="D41" s="16">
        <f t="shared" si="38"/>
        <v>621664</v>
      </c>
      <c r="E41" s="16">
        <f t="shared" si="38"/>
        <v>330706</v>
      </c>
      <c r="F41" s="16">
        <f t="shared" si="38"/>
        <v>233078</v>
      </c>
      <c r="G41" s="16">
        <f t="shared" si="38"/>
        <v>57880</v>
      </c>
      <c r="H41" s="16">
        <f>B41/3</f>
        <v>62166.400000000001</v>
      </c>
      <c r="K41" s="13">
        <f t="shared" si="29"/>
        <v>45591</v>
      </c>
      <c r="L41" s="14">
        <f t="shared" si="35"/>
        <v>16921.399999999998</v>
      </c>
      <c r="M41" s="14">
        <f>O41*0.3</f>
        <v>50764.2</v>
      </c>
      <c r="N41" s="14">
        <f t="shared" si="30"/>
        <v>118449.8</v>
      </c>
      <c r="O41" s="14">
        <f t="shared" si="37"/>
        <v>169214</v>
      </c>
      <c r="P41" s="14">
        <f t="shared" si="31"/>
        <v>77500</v>
      </c>
      <c r="Q41" s="14">
        <f t="shared" si="32"/>
        <v>78000</v>
      </c>
      <c r="R41" s="14">
        <f t="shared" si="33"/>
        <v>13714</v>
      </c>
    </row>
    <row r="42" spans="1:18" x14ac:dyDescent="0.35">
      <c r="A42" s="29" t="str">
        <f>CONCATENATE(TEXT(K14,"DD-MMM-YYY")," to ",TEXT(K20,"DD-MMM-YYYY"))</f>
        <v>07-Oct-2024 to 13-Oct-2024</v>
      </c>
      <c r="B42" s="14">
        <f>M21</f>
        <v>297495.3</v>
      </c>
      <c r="C42" s="14">
        <f t="shared" ref="C42:G42" si="39">N21</f>
        <v>694155.7</v>
      </c>
      <c r="D42" s="14">
        <f t="shared" si="39"/>
        <v>991651</v>
      </c>
      <c r="E42" s="14">
        <f t="shared" si="39"/>
        <v>526600</v>
      </c>
      <c r="F42" s="14">
        <f t="shared" si="39"/>
        <v>412821</v>
      </c>
      <c r="G42" s="14">
        <f t="shared" si="39"/>
        <v>52230</v>
      </c>
      <c r="H42" s="16">
        <f t="shared" ref="H42:H45" si="40">B42/3</f>
        <v>99165.099999999991</v>
      </c>
      <c r="K42" s="15">
        <f t="shared" si="29"/>
        <v>45592</v>
      </c>
      <c r="L42" s="16">
        <f t="shared" si="35"/>
        <v>19267</v>
      </c>
      <c r="M42" s="16">
        <f>O42*0.3</f>
        <v>57801</v>
      </c>
      <c r="N42" s="16">
        <f t="shared" si="30"/>
        <v>134869</v>
      </c>
      <c r="O42" s="16">
        <f t="shared" si="37"/>
        <v>192670</v>
      </c>
      <c r="P42" s="16">
        <f t="shared" si="31"/>
        <v>123000</v>
      </c>
      <c r="Q42" s="16">
        <f t="shared" si="32"/>
        <v>61250</v>
      </c>
      <c r="R42" s="16">
        <f t="shared" si="33"/>
        <v>8420</v>
      </c>
    </row>
    <row r="43" spans="1:18" x14ac:dyDescent="0.35">
      <c r="A43" s="29" t="str">
        <f>CONCATENATE(TEXT(K25,"DD-MMM-YYY")," to ",TEXT(K31,"DD-MMM-YYYY"))</f>
        <v>14-Oct-2024 to 20-Oct-2024</v>
      </c>
      <c r="B43" s="16">
        <f>M32</f>
        <v>523038.29999999993</v>
      </c>
      <c r="C43" s="16">
        <f t="shared" ref="C43:G43" si="41">N32</f>
        <v>1220422.7</v>
      </c>
      <c r="D43" s="16">
        <f t="shared" si="41"/>
        <v>1743461</v>
      </c>
      <c r="E43" s="16">
        <f t="shared" si="41"/>
        <v>926000</v>
      </c>
      <c r="F43" s="16">
        <f t="shared" si="41"/>
        <v>749561</v>
      </c>
      <c r="G43" s="16">
        <f t="shared" si="41"/>
        <v>67900</v>
      </c>
      <c r="H43" s="16">
        <f t="shared" si="40"/>
        <v>174346.09999999998</v>
      </c>
      <c r="K43" s="18" t="s">
        <v>3</v>
      </c>
      <c r="L43" s="18">
        <f>SUM(L36:L42)</f>
        <v>156771.9</v>
      </c>
      <c r="M43" s="16">
        <f t="shared" ref="M43" si="42">SUM(M36:M42)</f>
        <v>470315.7</v>
      </c>
      <c r="N43" s="14">
        <f t="shared" ref="N43:R43" si="43">SUM(N36:N42)</f>
        <v>1097403.3</v>
      </c>
      <c r="O43" s="14">
        <f t="shared" si="43"/>
        <v>1567719</v>
      </c>
      <c r="P43" s="14">
        <f t="shared" si="43"/>
        <v>923500</v>
      </c>
      <c r="Q43" s="14">
        <f t="shared" si="43"/>
        <v>555135</v>
      </c>
      <c r="R43" s="14">
        <f t="shared" si="43"/>
        <v>89084</v>
      </c>
    </row>
    <row r="44" spans="1:18" x14ac:dyDescent="0.35">
      <c r="A44" s="29" t="str">
        <f>CONCATENATE(TEXT(K36,"DD-MMM-YYY")," to ",TEXT(K42,"DD-MMM-YYYY"))</f>
        <v>21-Oct-2024 to 27-Oct-2024</v>
      </c>
      <c r="B44" s="14">
        <f>M43</f>
        <v>470315.7</v>
      </c>
      <c r="C44" s="14">
        <f t="shared" ref="C44:G44" si="44">N43</f>
        <v>1097403.3</v>
      </c>
      <c r="D44" s="14">
        <f t="shared" si="44"/>
        <v>1567719</v>
      </c>
      <c r="E44" s="14">
        <f t="shared" si="44"/>
        <v>923500</v>
      </c>
      <c r="F44" s="14">
        <f t="shared" si="44"/>
        <v>555135</v>
      </c>
      <c r="G44" s="14">
        <f t="shared" si="44"/>
        <v>89084</v>
      </c>
      <c r="H44" s="16">
        <f t="shared" si="40"/>
        <v>156771.9</v>
      </c>
      <c r="K44" s="18" t="s">
        <v>10</v>
      </c>
      <c r="L44" s="16"/>
      <c r="M44" s="16">
        <f>M43/3</f>
        <v>156771.9</v>
      </c>
      <c r="N44" s="16"/>
      <c r="O44" s="16"/>
      <c r="P44" s="16"/>
      <c r="Q44" s="16"/>
      <c r="R44" s="16"/>
    </row>
    <row r="45" spans="1:18" x14ac:dyDescent="0.35">
      <c r="A45" s="29" t="str">
        <f>CONCATENATE(TEXT(K47,"DD-MMM-YYY")," to ",TEXT(K53,"DD-MMM-YYYY"))</f>
        <v>28-Oct-2024 to 03-Nov-2024</v>
      </c>
      <c r="B45" s="16">
        <f>M54</f>
        <v>159093.9</v>
      </c>
      <c r="C45" s="16">
        <f t="shared" ref="C45:G45" si="45">N54</f>
        <v>371219.10000000003</v>
      </c>
      <c r="D45" s="16">
        <f t="shared" si="45"/>
        <v>530313</v>
      </c>
      <c r="E45" s="16">
        <f t="shared" si="45"/>
        <v>283136</v>
      </c>
      <c r="F45" s="16">
        <f t="shared" si="45"/>
        <v>197052</v>
      </c>
      <c r="G45" s="16">
        <f t="shared" si="45"/>
        <v>50125</v>
      </c>
      <c r="H45" s="16">
        <f t="shared" si="40"/>
        <v>53031.299999999996</v>
      </c>
    </row>
    <row r="46" spans="1:18" x14ac:dyDescent="0.35">
      <c r="A46" s="29" t="str">
        <f>CONCATENATE(TEXT(K59,"DD-MMM-YYY")," to ",TEXT(K58,"DD-MMM-YYYY"))</f>
        <v>04-Oct-2024 to Date</v>
      </c>
      <c r="B46" s="14">
        <f>SUM(B41:B45)</f>
        <v>1636442.4</v>
      </c>
      <c r="C46" s="14">
        <f t="shared" ref="C46:H46" si="46">SUM(C41:C45)</f>
        <v>3818365.6</v>
      </c>
      <c r="D46" s="14">
        <f t="shared" si="46"/>
        <v>5454808</v>
      </c>
      <c r="E46" s="14">
        <f t="shared" si="46"/>
        <v>2989942</v>
      </c>
      <c r="F46" s="14">
        <f t="shared" si="46"/>
        <v>2147647</v>
      </c>
      <c r="G46" s="14">
        <f t="shared" si="46"/>
        <v>317219</v>
      </c>
      <c r="H46" s="14">
        <f t="shared" si="46"/>
        <v>545480.80000000005</v>
      </c>
      <c r="K46" s="19" t="s">
        <v>0</v>
      </c>
      <c r="L46" s="20"/>
      <c r="M46" s="20" t="s">
        <v>1</v>
      </c>
      <c r="N46" s="20" t="s">
        <v>2</v>
      </c>
      <c r="O46" s="20" t="s">
        <v>3</v>
      </c>
      <c r="P46" s="20" t="s">
        <v>4</v>
      </c>
      <c r="Q46" s="20" t="s">
        <v>5</v>
      </c>
      <c r="R46" s="20" t="s">
        <v>6</v>
      </c>
    </row>
    <row r="47" spans="1:18" x14ac:dyDescent="0.35">
      <c r="C47" s="65" t="s">
        <v>3</v>
      </c>
      <c r="D47" s="65"/>
      <c r="E47" s="65"/>
      <c r="F47" s="65"/>
      <c r="G47" s="66"/>
      <c r="H47" s="16"/>
      <c r="K47" s="15">
        <f t="shared" ref="K47:K53" si="47">A30</f>
        <v>45593</v>
      </c>
      <c r="L47" s="16">
        <f>M47/3</f>
        <v>15249.5</v>
      </c>
      <c r="M47" s="16">
        <f t="shared" ref="M47:M53" si="48">O47*0.3</f>
        <v>45748.5</v>
      </c>
      <c r="N47" s="16">
        <f t="shared" ref="N47:N53" si="49">O47-M47</f>
        <v>106746.5</v>
      </c>
      <c r="O47" s="16">
        <f>P47+Q47+R47</f>
        <v>152495</v>
      </c>
      <c r="P47" s="16">
        <f t="shared" ref="P47:P52" si="50">VLOOKUP(K47,$A$1:$H$37,5,0)</f>
        <v>75000</v>
      </c>
      <c r="Q47" s="16">
        <f t="shared" ref="Q47:Q53" si="51">VLOOKUP(K47,$A$1:$H$37,6,0)</f>
        <v>61750</v>
      </c>
      <c r="R47" s="16">
        <f t="shared" ref="R47:R53" si="52">VLOOKUP(K47,$A$1:$H$37,7,0)</f>
        <v>15745</v>
      </c>
    </row>
    <row r="48" spans="1:18" x14ac:dyDescent="0.35">
      <c r="K48" s="13">
        <f t="shared" si="47"/>
        <v>45594</v>
      </c>
      <c r="L48" s="14">
        <f>M48/3</f>
        <v>18790.599999999999</v>
      </c>
      <c r="M48" s="14">
        <f>O48*0.3</f>
        <v>56371.799999999996</v>
      </c>
      <c r="N48" s="14">
        <f t="shared" si="49"/>
        <v>131534.20000000001</v>
      </c>
      <c r="O48" s="14">
        <f>P48+Q48+R48</f>
        <v>187906</v>
      </c>
      <c r="P48" s="14">
        <f t="shared" si="50"/>
        <v>102000</v>
      </c>
      <c r="Q48" s="14">
        <f t="shared" si="51"/>
        <v>64406</v>
      </c>
      <c r="R48" s="14">
        <f t="shared" si="52"/>
        <v>21500</v>
      </c>
    </row>
    <row r="49" spans="11:18" x14ac:dyDescent="0.35">
      <c r="K49" s="15">
        <f t="shared" si="47"/>
        <v>45595</v>
      </c>
      <c r="L49" s="16">
        <f t="shared" ref="L49:L53" si="53">M49/3</f>
        <v>9000</v>
      </c>
      <c r="M49" s="16">
        <f t="shared" si="48"/>
        <v>27000</v>
      </c>
      <c r="N49" s="16">
        <f t="shared" si="49"/>
        <v>63000</v>
      </c>
      <c r="O49" s="16">
        <f t="shared" ref="O49:O53" si="54">P49+Q49+R49</f>
        <v>90000</v>
      </c>
      <c r="P49" s="16">
        <f t="shared" si="50"/>
        <v>53000</v>
      </c>
      <c r="Q49" s="16">
        <f t="shared" si="51"/>
        <v>30500</v>
      </c>
      <c r="R49" s="16">
        <f t="shared" si="52"/>
        <v>6500</v>
      </c>
    </row>
    <row r="50" spans="11:18" x14ac:dyDescent="0.35">
      <c r="K50" s="13">
        <f t="shared" si="47"/>
        <v>45596</v>
      </c>
      <c r="L50" s="14">
        <f t="shared" si="53"/>
        <v>3011</v>
      </c>
      <c r="M50" s="14">
        <f>O50*0.3</f>
        <v>9033</v>
      </c>
      <c r="N50" s="14">
        <f t="shared" si="49"/>
        <v>21077</v>
      </c>
      <c r="O50" s="14">
        <f t="shared" si="54"/>
        <v>30110</v>
      </c>
      <c r="P50" s="14">
        <f t="shared" si="50"/>
        <v>15200</v>
      </c>
      <c r="Q50" s="14">
        <f t="shared" si="51"/>
        <v>9310</v>
      </c>
      <c r="R50" s="14">
        <f t="shared" si="52"/>
        <v>5600</v>
      </c>
    </row>
    <row r="51" spans="11:18" x14ac:dyDescent="0.35">
      <c r="K51" s="15">
        <f t="shared" si="47"/>
        <v>45597</v>
      </c>
      <c r="L51" s="16">
        <f t="shared" si="53"/>
        <v>1855.5</v>
      </c>
      <c r="M51" s="16">
        <f t="shared" si="48"/>
        <v>5566.5</v>
      </c>
      <c r="N51" s="16">
        <f t="shared" si="49"/>
        <v>12988.5</v>
      </c>
      <c r="O51" s="16">
        <f t="shared" si="54"/>
        <v>18555</v>
      </c>
      <c r="P51" s="16">
        <f t="shared" si="50"/>
        <v>7000</v>
      </c>
      <c r="Q51" s="16">
        <f t="shared" si="51"/>
        <v>11055</v>
      </c>
      <c r="R51" s="16">
        <f t="shared" si="52"/>
        <v>500</v>
      </c>
    </row>
    <row r="52" spans="11:18" x14ac:dyDescent="0.35">
      <c r="K52" s="13">
        <f t="shared" si="47"/>
        <v>45598</v>
      </c>
      <c r="L52" s="14">
        <f t="shared" si="53"/>
        <v>753.69999999999993</v>
      </c>
      <c r="M52" s="14">
        <f>O52*0.3</f>
        <v>2261.1</v>
      </c>
      <c r="N52" s="14">
        <f t="shared" si="49"/>
        <v>5275.9</v>
      </c>
      <c r="O52" s="14">
        <f t="shared" si="54"/>
        <v>7537</v>
      </c>
      <c r="P52" s="14">
        <f t="shared" si="50"/>
        <v>236</v>
      </c>
      <c r="Q52" s="14">
        <f t="shared" si="51"/>
        <v>7281</v>
      </c>
      <c r="R52" s="14">
        <f t="shared" si="52"/>
        <v>20</v>
      </c>
    </row>
    <row r="53" spans="11:18" x14ac:dyDescent="0.35">
      <c r="K53" s="15">
        <f t="shared" si="47"/>
        <v>45599</v>
      </c>
      <c r="L53" s="16">
        <f t="shared" si="53"/>
        <v>4371</v>
      </c>
      <c r="M53" s="16">
        <f t="shared" si="48"/>
        <v>13113</v>
      </c>
      <c r="N53" s="16">
        <f t="shared" si="49"/>
        <v>30597</v>
      </c>
      <c r="O53" s="16">
        <f t="shared" si="54"/>
        <v>43710</v>
      </c>
      <c r="P53" s="16">
        <f>VLOOKUP(K53,$A$1:$H$37,5,0)</f>
        <v>30700</v>
      </c>
      <c r="Q53" s="16">
        <f t="shared" si="51"/>
        <v>12750</v>
      </c>
      <c r="R53" s="16">
        <f t="shared" si="52"/>
        <v>260</v>
      </c>
    </row>
    <row r="54" spans="11:18" x14ac:dyDescent="0.35">
      <c r="K54" s="18" t="s">
        <v>3</v>
      </c>
      <c r="L54" s="18">
        <f>SUM(L47:L53)</f>
        <v>53031.299999999996</v>
      </c>
      <c r="M54" s="14">
        <f t="shared" ref="M54:R54" si="55">SUM(M47:M53)</f>
        <v>159093.9</v>
      </c>
      <c r="N54" s="14">
        <f t="shared" si="55"/>
        <v>371219.10000000003</v>
      </c>
      <c r="O54" s="14">
        <f t="shared" si="55"/>
        <v>530313</v>
      </c>
      <c r="P54" s="14">
        <f t="shared" si="55"/>
        <v>283136</v>
      </c>
      <c r="Q54" s="14">
        <f t="shared" si="55"/>
        <v>197052</v>
      </c>
      <c r="R54" s="14">
        <f t="shared" si="55"/>
        <v>50125</v>
      </c>
    </row>
    <row r="55" spans="11:18" x14ac:dyDescent="0.35">
      <c r="K55" s="18" t="s">
        <v>10</v>
      </c>
      <c r="L55" s="16"/>
      <c r="M55" s="16">
        <f>M54/3</f>
        <v>53031.299999999996</v>
      </c>
      <c r="N55" s="16"/>
      <c r="O55" s="16"/>
      <c r="P55" s="16"/>
      <c r="Q55" s="16"/>
      <c r="R55" s="16"/>
    </row>
    <row r="58" spans="11:18" x14ac:dyDescent="0.35">
      <c r="K58" s="19" t="s">
        <v>0</v>
      </c>
      <c r="L58" s="20"/>
      <c r="M58" s="20" t="s">
        <v>1</v>
      </c>
      <c r="N58" s="20" t="s">
        <v>2</v>
      </c>
      <c r="O58" s="20" t="s">
        <v>3</v>
      </c>
      <c r="P58" s="20" t="s">
        <v>4</v>
      </c>
      <c r="Q58" s="20" t="s">
        <v>5</v>
      </c>
      <c r="R58" s="20" t="s">
        <v>6</v>
      </c>
    </row>
    <row r="59" spans="11:18" x14ac:dyDescent="0.35">
      <c r="K59" s="30">
        <f>A6</f>
        <v>45569</v>
      </c>
      <c r="L59" s="14"/>
      <c r="M59" s="14">
        <f>SUM(B7:B36)</f>
        <v>1518916.2000000002</v>
      </c>
      <c r="N59" s="14">
        <f t="shared" ref="N59:R59" si="56">SUM(C7:C36)</f>
        <v>3544137.8</v>
      </c>
      <c r="O59" s="14">
        <f t="shared" si="56"/>
        <v>5063054</v>
      </c>
      <c r="P59" s="14">
        <f t="shared" si="56"/>
        <v>2759836</v>
      </c>
      <c r="Q59" s="14">
        <f t="shared" si="56"/>
        <v>2025479</v>
      </c>
      <c r="R59" s="14">
        <f t="shared" si="56"/>
        <v>277739</v>
      </c>
    </row>
    <row r="60" spans="11:18" x14ac:dyDescent="0.35">
      <c r="K60" s="18" t="s">
        <v>10</v>
      </c>
      <c r="L60" s="16"/>
      <c r="M60" s="16">
        <f>M59/3</f>
        <v>506305.40000000008</v>
      </c>
      <c r="N60" s="16"/>
      <c r="O60" s="16"/>
      <c r="P60" s="16"/>
      <c r="Q60" s="16"/>
      <c r="R60" s="16"/>
    </row>
  </sheetData>
  <mergeCells count="1">
    <mergeCell ref="C47:G47"/>
  </mergeCells>
  <conditionalFormatting sqref="A1:H1">
    <cfRule type="dataBar" priority="10">
      <dataBar>
        <cfvo type="min"/>
        <cfvo type="max"/>
        <color rgb="FF638EC6"/>
      </dataBar>
    </cfRule>
  </conditionalFormatting>
  <conditionalFormatting sqref="A40:H40">
    <cfRule type="dataBar" priority="2">
      <dataBar>
        <cfvo type="min"/>
        <cfvo type="max"/>
        <color rgb="FF638EC6"/>
      </dataBar>
    </cfRule>
  </conditionalFormatting>
  <conditionalFormatting sqref="H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R1">
    <cfRule type="dataBar" priority="4">
      <dataBar>
        <cfvo type="min"/>
        <cfvo type="max"/>
        <color rgb="FF638EC6"/>
      </dataBar>
    </cfRule>
  </conditionalFormatting>
  <conditionalFormatting sqref="K24:R24">
    <cfRule type="dataBar" priority="7">
      <dataBar>
        <cfvo type="min"/>
        <cfvo type="max"/>
        <color rgb="FF638EC6"/>
      </dataBar>
    </cfRule>
  </conditionalFormatting>
  <conditionalFormatting sqref="K35:R35">
    <cfRule type="dataBar" priority="6">
      <dataBar>
        <cfvo type="min"/>
        <cfvo type="max"/>
        <color rgb="FF638EC6"/>
      </dataBar>
    </cfRule>
  </conditionalFormatting>
  <conditionalFormatting sqref="K46:R46">
    <cfRule type="dataBar" priority="3">
      <dataBar>
        <cfvo type="min"/>
        <cfvo type="max"/>
        <color rgb="FF638EC6"/>
      </dataBar>
    </cfRule>
  </conditionalFormatting>
  <conditionalFormatting sqref="K58:R58">
    <cfRule type="dataBar" priority="5">
      <dataBar>
        <cfvo type="min"/>
        <cfvo type="max"/>
        <color rgb="FF638EC6"/>
      </dataBar>
    </cfRule>
  </conditionalFormatting>
  <conditionalFormatting sqref="L13:M13">
    <cfRule type="dataBar" priority="1">
      <dataBar>
        <cfvo type="min"/>
        <cfvo type="max"/>
        <color rgb="FF638EC6"/>
      </dataBar>
    </cfRule>
  </conditionalFormatting>
  <conditionalFormatting sqref="N13:R13 K13">
    <cfRule type="dataBar" priority="8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4715-7D41-46B9-95CC-B75319E48BFE}">
  <dimension ref="A1:M24"/>
  <sheetViews>
    <sheetView tabSelected="1" topLeftCell="A7" workbookViewId="0">
      <selection sqref="A1:I24"/>
    </sheetView>
  </sheetViews>
  <sheetFormatPr defaultRowHeight="14.5" x14ac:dyDescent="0.35"/>
  <cols>
    <col min="1" max="1" width="23.1796875" bestFit="1" customWidth="1"/>
    <col min="2" max="2" width="13.7265625" style="40" bestFit="1" customWidth="1"/>
    <col min="3" max="3" width="4" customWidth="1"/>
    <col min="4" max="4" width="12.26953125" bestFit="1" customWidth="1"/>
    <col min="5" max="5" width="11.26953125" bestFit="1" customWidth="1"/>
    <col min="6" max="6" width="17.453125" bestFit="1" customWidth="1"/>
    <col min="7" max="7" width="2.453125" style="32" customWidth="1"/>
    <col min="8" max="8" width="19.54296875" bestFit="1" customWidth="1"/>
    <col min="9" max="9" width="13" bestFit="1" customWidth="1"/>
    <col min="10" max="10" width="12.6328125" style="32" bestFit="1" customWidth="1"/>
    <col min="12" max="12" width="16.81640625" bestFit="1" customWidth="1"/>
    <col min="13" max="13" width="12.6328125" style="48" bestFit="1" customWidth="1"/>
    <col min="14" max="14" width="10.08984375" bestFit="1" customWidth="1"/>
  </cols>
  <sheetData>
    <row r="1" spans="1:9" x14ac:dyDescent="0.35">
      <c r="A1" s="70" t="s">
        <v>90</v>
      </c>
      <c r="B1" s="70"/>
      <c r="C1" s="70"/>
      <c r="D1" s="70"/>
      <c r="E1" s="70"/>
      <c r="F1" s="70"/>
      <c r="G1" s="70"/>
      <c r="H1" s="70"/>
      <c r="I1" s="70"/>
    </row>
    <row r="2" spans="1:9" x14ac:dyDescent="0.35">
      <c r="A2" s="69" t="s">
        <v>43</v>
      </c>
      <c r="B2" s="69"/>
      <c r="D2" s="69" t="s">
        <v>142</v>
      </c>
      <c r="E2" s="69"/>
      <c r="F2" s="69"/>
      <c r="H2" s="69" t="s">
        <v>155</v>
      </c>
      <c r="I2" s="69"/>
    </row>
    <row r="3" spans="1:9" x14ac:dyDescent="0.35">
      <c r="A3" s="44" t="s">
        <v>164</v>
      </c>
      <c r="B3" s="49">
        <v>550000</v>
      </c>
      <c r="D3" s="35" t="s">
        <v>143</v>
      </c>
      <c r="E3" s="53">
        <v>249940</v>
      </c>
      <c r="F3" s="54">
        <v>45580</v>
      </c>
      <c r="H3" s="35" t="s">
        <v>156</v>
      </c>
      <c r="I3" s="36">
        <v>800000</v>
      </c>
    </row>
    <row r="4" spans="1:9" x14ac:dyDescent="0.35">
      <c r="A4" s="44" t="s">
        <v>165</v>
      </c>
      <c r="B4" s="49">
        <f>900000-B3</f>
        <v>350000</v>
      </c>
      <c r="D4" s="35" t="s">
        <v>143</v>
      </c>
      <c r="E4" s="53">
        <v>152725</v>
      </c>
      <c r="F4" s="55">
        <v>45591</v>
      </c>
      <c r="H4" s="35" t="s">
        <v>6</v>
      </c>
      <c r="I4" s="36">
        <v>160000</v>
      </c>
    </row>
    <row r="5" spans="1:9" x14ac:dyDescent="0.35">
      <c r="A5" s="44" t="s">
        <v>91</v>
      </c>
      <c r="B5" s="49">
        <f>'Octomber 2024'!D37</f>
        <v>5454808</v>
      </c>
      <c r="D5" s="35" t="s">
        <v>14</v>
      </c>
      <c r="E5" s="53">
        <v>60460</v>
      </c>
      <c r="F5" s="55">
        <v>45591</v>
      </c>
      <c r="H5" s="35" t="s">
        <v>133</v>
      </c>
      <c r="I5" s="36">
        <v>50000</v>
      </c>
    </row>
    <row r="6" spans="1:9" x14ac:dyDescent="0.35">
      <c r="A6" s="56" t="s">
        <v>92</v>
      </c>
      <c r="B6" s="57">
        <f>B4+B5</f>
        <v>5804808</v>
      </c>
      <c r="D6" s="35" t="s">
        <v>144</v>
      </c>
      <c r="E6" s="53">
        <v>30729</v>
      </c>
      <c r="F6" s="55">
        <v>45591</v>
      </c>
      <c r="H6" s="35" t="s">
        <v>48</v>
      </c>
      <c r="I6" s="36">
        <f>I3-I4-I5</f>
        <v>590000</v>
      </c>
    </row>
    <row r="7" spans="1:9" x14ac:dyDescent="0.35">
      <c r="D7" s="35" t="s">
        <v>145</v>
      </c>
      <c r="E7" s="53">
        <v>11000</v>
      </c>
      <c r="F7" s="55">
        <v>45593</v>
      </c>
    </row>
    <row r="8" spans="1:9" x14ac:dyDescent="0.35">
      <c r="D8" s="35" t="s">
        <v>50</v>
      </c>
      <c r="E8" s="53">
        <v>19640</v>
      </c>
      <c r="F8" s="55">
        <v>45593</v>
      </c>
      <c r="H8" s="69" t="s">
        <v>149</v>
      </c>
      <c r="I8" s="69"/>
    </row>
    <row r="9" spans="1:9" x14ac:dyDescent="0.35">
      <c r="A9" s="40"/>
      <c r="D9" s="35" t="s">
        <v>146</v>
      </c>
      <c r="E9" s="53">
        <v>10800</v>
      </c>
      <c r="F9" s="55">
        <v>45593</v>
      </c>
      <c r="H9" s="35" t="s">
        <v>150</v>
      </c>
      <c r="I9" s="62">
        <f>100000+16500+900</f>
        <v>117400</v>
      </c>
    </row>
    <row r="10" spans="1:9" x14ac:dyDescent="0.35">
      <c r="D10" s="35" t="s">
        <v>26</v>
      </c>
      <c r="E10" s="53">
        <v>159064</v>
      </c>
      <c r="F10" s="55">
        <v>45597</v>
      </c>
      <c r="H10" s="35" t="s">
        <v>151</v>
      </c>
      <c r="I10" s="62">
        <f>28000+2500</f>
        <v>30500</v>
      </c>
    </row>
    <row r="11" spans="1:9" x14ac:dyDescent="0.35">
      <c r="A11" s="68" t="s">
        <v>6</v>
      </c>
      <c r="B11" s="68"/>
      <c r="D11" s="35" t="s">
        <v>147</v>
      </c>
      <c r="E11" s="53">
        <f>1028000-265000</f>
        <v>763000</v>
      </c>
      <c r="F11" s="35"/>
      <c r="H11" s="35" t="s">
        <v>152</v>
      </c>
      <c r="I11" s="62">
        <f>40000+7200</f>
        <v>47200</v>
      </c>
    </row>
    <row r="12" spans="1:9" x14ac:dyDescent="0.35">
      <c r="A12" s="35" t="s">
        <v>138</v>
      </c>
      <c r="B12" s="36">
        <v>810000</v>
      </c>
      <c r="D12" s="35" t="s">
        <v>148</v>
      </c>
      <c r="E12" s="53">
        <v>189288</v>
      </c>
      <c r="F12" s="35"/>
      <c r="H12" s="35" t="s">
        <v>153</v>
      </c>
      <c r="I12" s="62">
        <v>40170</v>
      </c>
    </row>
    <row r="13" spans="1:9" x14ac:dyDescent="0.35">
      <c r="A13" s="50" t="s">
        <v>166</v>
      </c>
      <c r="B13" s="51">
        <f>'September Expense'!D44</f>
        <v>632551</v>
      </c>
      <c r="D13" s="60" t="s">
        <v>3</v>
      </c>
      <c r="E13" s="61">
        <f>SUM(E3:E12)</f>
        <v>1646646</v>
      </c>
      <c r="F13" s="44"/>
      <c r="H13" s="35" t="s">
        <v>154</v>
      </c>
      <c r="I13" s="62">
        <f>25500+4500</f>
        <v>30000</v>
      </c>
    </row>
    <row r="14" spans="1:9" x14ac:dyDescent="0.35">
      <c r="A14" s="50" t="s">
        <v>167</v>
      </c>
      <c r="B14" s="47">
        <v>1093711.5</v>
      </c>
      <c r="H14" s="35" t="s">
        <v>3</v>
      </c>
      <c r="I14" s="62">
        <f>SUM(I9:I13)</f>
        <v>265270</v>
      </c>
    </row>
    <row r="15" spans="1:9" x14ac:dyDescent="0.35">
      <c r="A15" s="50" t="s">
        <v>93</v>
      </c>
      <c r="B15" s="51">
        <v>260000</v>
      </c>
      <c r="D15" s="68" t="s">
        <v>140</v>
      </c>
      <c r="E15" s="68"/>
    </row>
    <row r="16" spans="1:9" x14ac:dyDescent="0.35">
      <c r="A16" s="50" t="s">
        <v>94</v>
      </c>
      <c r="B16" s="51">
        <v>200000</v>
      </c>
      <c r="D16" s="35" t="s">
        <v>4</v>
      </c>
      <c r="E16" s="36">
        <v>550000</v>
      </c>
      <c r="H16" s="63" t="s">
        <v>157</v>
      </c>
      <c r="I16" s="63"/>
    </row>
    <row r="17" spans="1:9" x14ac:dyDescent="0.35">
      <c r="A17" s="52" t="s">
        <v>168</v>
      </c>
      <c r="B17" s="51">
        <v>90000</v>
      </c>
      <c r="D17" s="35" t="s">
        <v>141</v>
      </c>
      <c r="E17" s="36">
        <v>140000</v>
      </c>
      <c r="H17" s="44" t="s">
        <v>158</v>
      </c>
      <c r="I17" s="49">
        <v>221000</v>
      </c>
    </row>
    <row r="18" spans="1:9" x14ac:dyDescent="0.35">
      <c r="A18" s="52" t="s">
        <v>169</v>
      </c>
      <c r="B18" s="51">
        <f>B5*0.1</f>
        <v>545480.80000000005</v>
      </c>
      <c r="D18" s="35" t="s">
        <v>95</v>
      </c>
      <c r="E18" s="36">
        <v>600000</v>
      </c>
      <c r="H18" s="44" t="s">
        <v>159</v>
      </c>
      <c r="I18" s="49">
        <v>150000</v>
      </c>
    </row>
    <row r="19" spans="1:9" x14ac:dyDescent="0.35">
      <c r="A19" s="50" t="s">
        <v>137</v>
      </c>
      <c r="B19" s="51">
        <v>83000</v>
      </c>
      <c r="D19" s="35" t="s">
        <v>139</v>
      </c>
      <c r="E19" s="36">
        <v>670000</v>
      </c>
      <c r="H19" s="44" t="s">
        <v>160</v>
      </c>
      <c r="I19" s="49">
        <v>39000</v>
      </c>
    </row>
    <row r="20" spans="1:9" x14ac:dyDescent="0.35">
      <c r="A20" s="50" t="s">
        <v>140</v>
      </c>
      <c r="B20" s="51">
        <f>E20</f>
        <v>1960000</v>
      </c>
      <c r="D20" s="35" t="s">
        <v>3</v>
      </c>
      <c r="E20" s="36">
        <f>SUM(E16:E19)</f>
        <v>1960000</v>
      </c>
      <c r="H20" s="44" t="s">
        <v>161</v>
      </c>
      <c r="I20" s="49">
        <v>60000</v>
      </c>
    </row>
    <row r="21" spans="1:9" x14ac:dyDescent="0.35">
      <c r="A21" s="50" t="s">
        <v>170</v>
      </c>
      <c r="B21" s="51">
        <f>35000+30000+18500</f>
        <v>83500</v>
      </c>
      <c r="H21" s="44" t="s">
        <v>162</v>
      </c>
      <c r="I21" s="49">
        <v>230000</v>
      </c>
    </row>
    <row r="22" spans="1:9" x14ac:dyDescent="0.35">
      <c r="A22" s="50" t="s">
        <v>171</v>
      </c>
      <c r="B22" s="51">
        <v>46564.700000000186</v>
      </c>
      <c r="H22" s="44" t="s">
        <v>163</v>
      </c>
      <c r="I22" s="49">
        <v>80000</v>
      </c>
    </row>
    <row r="23" spans="1:9" x14ac:dyDescent="0.35">
      <c r="A23" s="50"/>
      <c r="B23" s="51"/>
      <c r="H23" s="44" t="s">
        <v>3</v>
      </c>
      <c r="I23" s="49">
        <f>SUM(I17:I22)</f>
        <v>780000</v>
      </c>
    </row>
    <row r="24" spans="1:9" x14ac:dyDescent="0.35">
      <c r="A24" s="58" t="s">
        <v>3</v>
      </c>
      <c r="B24" s="59">
        <f>SUM(B12:B23)</f>
        <v>5804808</v>
      </c>
      <c r="E24" s="40"/>
    </row>
  </sheetData>
  <mergeCells count="7">
    <mergeCell ref="A11:B11"/>
    <mergeCell ref="A2:B2"/>
    <mergeCell ref="A1:I1"/>
    <mergeCell ref="D15:E15"/>
    <mergeCell ref="D2:F2"/>
    <mergeCell ref="H8:I8"/>
    <mergeCell ref="H2:I2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0B49-50A3-4EDF-A986-16FDCE9B0263}">
  <dimension ref="A1:R60"/>
  <sheetViews>
    <sheetView zoomScale="90" zoomScaleNormal="90" workbookViewId="0">
      <pane ySplit="1" topLeftCell="A2" activePane="bottomLeft" state="frozen"/>
      <selection pane="bottomLeft" activeCell="K17" sqref="K17"/>
    </sheetView>
  </sheetViews>
  <sheetFormatPr defaultColWidth="26" defaultRowHeight="14.5" x14ac:dyDescent="0.35"/>
  <cols>
    <col min="1" max="1" width="28.7265625" bestFit="1" customWidth="1"/>
    <col min="2" max="4" width="10" style="25" bestFit="1" customWidth="1"/>
    <col min="5" max="5" width="12.54296875" style="25" bestFit="1" customWidth="1"/>
    <col min="6" max="6" width="16.453125" style="25" bestFit="1" customWidth="1"/>
    <col min="7" max="7" width="9" style="25" bestFit="1" customWidth="1"/>
    <col min="8" max="8" width="10.1796875" bestFit="1" customWidth="1"/>
    <col min="9" max="9" width="11.54296875" bestFit="1" customWidth="1"/>
    <col min="10" max="10" width="6.54296875" customWidth="1"/>
    <col min="11" max="11" width="28.7265625" bestFit="1" customWidth="1"/>
    <col min="12" max="16" width="10" bestFit="1" customWidth="1"/>
    <col min="17" max="17" width="16.453125" bestFit="1" customWidth="1"/>
    <col min="18" max="18" width="9" bestFit="1" customWidth="1"/>
  </cols>
  <sheetData>
    <row r="1" spans="1:18" s="6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89</v>
      </c>
      <c r="K1" s="7" t="s">
        <v>0</v>
      </c>
      <c r="L1" s="8" t="s">
        <v>10</v>
      </c>
      <c r="M1" s="8" t="s">
        <v>1</v>
      </c>
      <c r="N1" s="8" t="s">
        <v>2</v>
      </c>
      <c r="O1" s="8" t="s">
        <v>3</v>
      </c>
      <c r="P1" s="8" t="s">
        <v>4</v>
      </c>
      <c r="Q1" s="8" t="s">
        <v>5</v>
      </c>
      <c r="R1" s="8" t="s">
        <v>6</v>
      </c>
    </row>
    <row r="2" spans="1:18" x14ac:dyDescent="0.35">
      <c r="A2" s="31">
        <v>45600</v>
      </c>
      <c r="B2" s="10">
        <f t="shared" ref="B2:B29" si="0">D2*0.3</f>
        <v>1965</v>
      </c>
      <c r="C2" s="10">
        <f t="shared" ref="C2:C29" si="1">D2-B2</f>
        <v>4585</v>
      </c>
      <c r="D2" s="10">
        <f t="shared" ref="D2:D29" si="2">E2+F2</f>
        <v>6550</v>
      </c>
      <c r="E2" s="10">
        <v>4200</v>
      </c>
      <c r="F2" s="10">
        <v>2350</v>
      </c>
      <c r="G2" s="10">
        <v>120</v>
      </c>
      <c r="H2" s="11">
        <f t="shared" ref="H2:H29" si="3">IFERROR(B2/C2,0)</f>
        <v>0.42857142857142855</v>
      </c>
      <c r="I2" s="12">
        <f>I1+Table234534568791112151416171819202122232425262728345678910113456789101112[[#This Row],[Cash]]-Table234534568791112151416171819202122232425262728345678910113456789101112[[#This Row],[Expense]]</f>
        <v>9080</v>
      </c>
      <c r="K2" s="13" t="s">
        <v>9</v>
      </c>
      <c r="L2" s="14"/>
      <c r="M2" s="14"/>
      <c r="N2" s="14"/>
      <c r="O2" s="14"/>
      <c r="P2" s="14"/>
      <c r="Q2" s="14"/>
      <c r="R2" s="14">
        <v>0</v>
      </c>
    </row>
    <row r="3" spans="1:18" x14ac:dyDescent="0.35">
      <c r="A3" s="31">
        <v>45601</v>
      </c>
      <c r="B3" s="10">
        <f t="shared" si="0"/>
        <v>7380</v>
      </c>
      <c r="C3" s="10">
        <f t="shared" si="1"/>
        <v>17220</v>
      </c>
      <c r="D3" s="10">
        <f t="shared" si="2"/>
        <v>24600</v>
      </c>
      <c r="E3" s="10">
        <v>10850</v>
      </c>
      <c r="F3" s="10">
        <v>13750</v>
      </c>
      <c r="G3" s="10">
        <v>550</v>
      </c>
      <c r="H3" s="11">
        <f t="shared" si="3"/>
        <v>0.42857142857142855</v>
      </c>
      <c r="I3" s="42">
        <f>I2+Table234534568791112151416171819202122232425262728345678910113456789101112[[#This Row],[Cash]]-Table234534568791112151416171819202122232425262728345678910113456789101112[[#This Row],[Expense]]</f>
        <v>19380</v>
      </c>
      <c r="K3" s="15">
        <f t="shared" ref="K3:K9" si="4">A2</f>
        <v>45600</v>
      </c>
      <c r="L3" s="16">
        <f>M3/3</f>
        <v>667</v>
      </c>
      <c r="M3" s="16">
        <f>O3*0.3</f>
        <v>2001</v>
      </c>
      <c r="N3" s="16">
        <f t="shared" ref="N3:N9" si="5">O3-M3</f>
        <v>4669</v>
      </c>
      <c r="O3" s="16">
        <f>P3+Q3+R3</f>
        <v>6670</v>
      </c>
      <c r="P3" s="16">
        <f t="shared" ref="P3:P9" si="6">VLOOKUP(K3,$A$1:$H$30,5,0)</f>
        <v>4200</v>
      </c>
      <c r="Q3" s="16">
        <f t="shared" ref="Q3:Q9" si="7">VLOOKUP(K3,$A$1:$H$30,6,0)</f>
        <v>2350</v>
      </c>
      <c r="R3" s="16">
        <f t="shared" ref="R3:R9" si="8">VLOOKUP(K3,$A$1:$H$30,7,0)</f>
        <v>120</v>
      </c>
    </row>
    <row r="4" spans="1:18" x14ac:dyDescent="0.35">
      <c r="A4" s="31">
        <v>45602</v>
      </c>
      <c r="B4" s="10">
        <f t="shared" si="0"/>
        <v>0</v>
      </c>
      <c r="C4" s="10">
        <f t="shared" si="1"/>
        <v>0</v>
      </c>
      <c r="D4" s="10">
        <f t="shared" si="2"/>
        <v>0</v>
      </c>
      <c r="E4" s="17"/>
      <c r="F4" s="17"/>
      <c r="G4" s="17"/>
      <c r="H4" s="11">
        <f t="shared" si="3"/>
        <v>0</v>
      </c>
      <c r="I4" s="12">
        <f>I3+Table234534568791112151416171819202122232425262728345678910113456789101112[[#This Row],[Cash]]-Table234534568791112151416171819202122232425262728345678910113456789101112[[#This Row],[Expense]]</f>
        <v>19380</v>
      </c>
      <c r="K4" s="13">
        <f t="shared" si="4"/>
        <v>45601</v>
      </c>
      <c r="L4" s="14">
        <f>M4/3</f>
        <v>2515</v>
      </c>
      <c r="M4" s="14">
        <f>O4*0.3</f>
        <v>7545</v>
      </c>
      <c r="N4" s="14">
        <f t="shared" si="5"/>
        <v>17605</v>
      </c>
      <c r="O4" s="14">
        <f>P4+Q4+R4</f>
        <v>25150</v>
      </c>
      <c r="P4" s="14">
        <f t="shared" si="6"/>
        <v>10850</v>
      </c>
      <c r="Q4" s="14">
        <f t="shared" si="7"/>
        <v>13750</v>
      </c>
      <c r="R4" s="14">
        <f t="shared" si="8"/>
        <v>550</v>
      </c>
    </row>
    <row r="5" spans="1:18" x14ac:dyDescent="0.35">
      <c r="A5" s="31">
        <v>45603</v>
      </c>
      <c r="B5" s="10">
        <f t="shared" si="0"/>
        <v>0</v>
      </c>
      <c r="C5" s="10">
        <f t="shared" si="1"/>
        <v>0</v>
      </c>
      <c r="D5" s="10">
        <f t="shared" si="2"/>
        <v>0</v>
      </c>
      <c r="E5" s="10"/>
      <c r="F5" s="10"/>
      <c r="G5" s="10"/>
      <c r="H5" s="11">
        <f t="shared" si="3"/>
        <v>0</v>
      </c>
      <c r="I5" s="12">
        <f>I4+Table234534568791112151416171819202122232425262728345678910113456789101112[[#This Row],[Cash]]-Table234534568791112151416171819202122232425262728345678910113456789101112[[#This Row],[Expense]]</f>
        <v>19380</v>
      </c>
      <c r="K5" s="15">
        <f t="shared" si="4"/>
        <v>45602</v>
      </c>
      <c r="L5" s="16">
        <f t="shared" ref="L5:L9" si="9">M5/3</f>
        <v>0</v>
      </c>
      <c r="M5" s="16">
        <f t="shared" ref="M5:M9" si="10">O5*0.3</f>
        <v>0</v>
      </c>
      <c r="N5" s="16">
        <f t="shared" si="5"/>
        <v>0</v>
      </c>
      <c r="O5" s="16">
        <f t="shared" ref="O5:O9" si="11">P5+Q5+R5</f>
        <v>0</v>
      </c>
      <c r="P5" s="16">
        <f t="shared" si="6"/>
        <v>0</v>
      </c>
      <c r="Q5" s="16">
        <f t="shared" si="7"/>
        <v>0</v>
      </c>
      <c r="R5" s="16">
        <f t="shared" si="8"/>
        <v>0</v>
      </c>
    </row>
    <row r="6" spans="1:18" x14ac:dyDescent="0.35">
      <c r="A6" s="31">
        <v>45604</v>
      </c>
      <c r="B6" s="10">
        <f t="shared" si="0"/>
        <v>0</v>
      </c>
      <c r="C6" s="10">
        <f t="shared" si="1"/>
        <v>0</v>
      </c>
      <c r="D6" s="10">
        <f t="shared" si="2"/>
        <v>0</v>
      </c>
      <c r="E6" s="10"/>
      <c r="F6" s="10"/>
      <c r="G6" s="10"/>
      <c r="H6" s="11">
        <f t="shared" si="3"/>
        <v>0</v>
      </c>
      <c r="I6" s="12">
        <f>I5+Table234534568791112151416171819202122232425262728345678910113456789101112[[#This Row],[Cash]]-Table234534568791112151416171819202122232425262728345678910113456789101112[[#This Row],[Expense]]</f>
        <v>19380</v>
      </c>
      <c r="K6" s="13">
        <f t="shared" si="4"/>
        <v>45603</v>
      </c>
      <c r="L6" s="14">
        <f t="shared" si="9"/>
        <v>0</v>
      </c>
      <c r="M6" s="14">
        <f t="shared" si="10"/>
        <v>0</v>
      </c>
      <c r="N6" s="14">
        <f t="shared" si="5"/>
        <v>0</v>
      </c>
      <c r="O6" s="14">
        <f t="shared" si="11"/>
        <v>0</v>
      </c>
      <c r="P6" s="14">
        <f t="shared" si="6"/>
        <v>0</v>
      </c>
      <c r="Q6" s="14">
        <f t="shared" si="7"/>
        <v>0</v>
      </c>
      <c r="R6" s="14">
        <f t="shared" si="8"/>
        <v>0</v>
      </c>
    </row>
    <row r="7" spans="1:18" x14ac:dyDescent="0.35">
      <c r="A7" s="31">
        <v>45605</v>
      </c>
      <c r="B7" s="10">
        <f t="shared" si="0"/>
        <v>0</v>
      </c>
      <c r="C7" s="10">
        <f t="shared" si="1"/>
        <v>0</v>
      </c>
      <c r="D7" s="10">
        <f t="shared" si="2"/>
        <v>0</v>
      </c>
      <c r="E7" s="17"/>
      <c r="F7" s="17"/>
      <c r="G7" s="17"/>
      <c r="H7" s="11">
        <f t="shared" si="3"/>
        <v>0</v>
      </c>
      <c r="I7" s="12">
        <f>I6+Table234534568791112151416171819202122232425262728345678910113456789101112[[#This Row],[Cash]]-Table234534568791112151416171819202122232425262728345678910113456789101112[[#This Row],[Expense]]</f>
        <v>19380</v>
      </c>
      <c r="K7" s="15">
        <f t="shared" si="4"/>
        <v>45604</v>
      </c>
      <c r="L7" s="16">
        <f t="shared" si="9"/>
        <v>0</v>
      </c>
      <c r="M7" s="16">
        <f t="shared" si="10"/>
        <v>0</v>
      </c>
      <c r="N7" s="16">
        <f t="shared" si="5"/>
        <v>0</v>
      </c>
      <c r="O7" s="16">
        <f t="shared" si="11"/>
        <v>0</v>
      </c>
      <c r="P7" s="16">
        <f t="shared" si="6"/>
        <v>0</v>
      </c>
      <c r="Q7" s="16">
        <f t="shared" si="7"/>
        <v>0</v>
      </c>
      <c r="R7" s="16">
        <f t="shared" si="8"/>
        <v>0</v>
      </c>
    </row>
    <row r="8" spans="1:18" x14ac:dyDescent="0.35">
      <c r="A8" s="31">
        <v>45606</v>
      </c>
      <c r="B8" s="10">
        <f t="shared" si="0"/>
        <v>0</v>
      </c>
      <c r="C8" s="10">
        <f t="shared" si="1"/>
        <v>0</v>
      </c>
      <c r="D8" s="10">
        <f t="shared" si="2"/>
        <v>0</v>
      </c>
      <c r="E8" s="10"/>
      <c r="F8" s="10"/>
      <c r="G8" s="10"/>
      <c r="H8" s="11">
        <f t="shared" si="3"/>
        <v>0</v>
      </c>
      <c r="I8" s="12">
        <f>I7+Table234534568791112151416171819202122232425262728345678910113456789101112[[#This Row],[Cash]]-Table234534568791112151416171819202122232425262728345678910113456789101112[[#This Row],[Expense]]</f>
        <v>19380</v>
      </c>
      <c r="K8" s="13">
        <f t="shared" si="4"/>
        <v>45605</v>
      </c>
      <c r="L8" s="14">
        <f t="shared" si="9"/>
        <v>0</v>
      </c>
      <c r="M8" s="14">
        <f t="shared" si="10"/>
        <v>0</v>
      </c>
      <c r="N8" s="14">
        <f t="shared" si="5"/>
        <v>0</v>
      </c>
      <c r="O8" s="14">
        <f t="shared" si="11"/>
        <v>0</v>
      </c>
      <c r="P8" s="14">
        <f t="shared" si="6"/>
        <v>0</v>
      </c>
      <c r="Q8" s="14">
        <f t="shared" si="7"/>
        <v>0</v>
      </c>
      <c r="R8" s="14">
        <f t="shared" si="8"/>
        <v>0</v>
      </c>
    </row>
    <row r="9" spans="1:18" x14ac:dyDescent="0.35">
      <c r="A9" s="31">
        <v>45607</v>
      </c>
      <c r="B9" s="10">
        <f t="shared" si="0"/>
        <v>0</v>
      </c>
      <c r="C9" s="10">
        <f t="shared" si="1"/>
        <v>0</v>
      </c>
      <c r="D9" s="10">
        <f t="shared" si="2"/>
        <v>0</v>
      </c>
      <c r="E9" s="10"/>
      <c r="F9" s="10"/>
      <c r="G9" s="10"/>
      <c r="H9" s="11">
        <f t="shared" si="3"/>
        <v>0</v>
      </c>
      <c r="I9" s="12">
        <f>I8+Table234534568791112151416171819202122232425262728345678910113456789101112[[#This Row],[Cash]]-Table234534568791112151416171819202122232425262728345678910113456789101112[[#This Row],[Expense]]</f>
        <v>19380</v>
      </c>
      <c r="K9" s="15">
        <f t="shared" si="4"/>
        <v>45606</v>
      </c>
      <c r="L9" s="16">
        <f t="shared" si="9"/>
        <v>0</v>
      </c>
      <c r="M9" s="16">
        <f t="shared" si="10"/>
        <v>0</v>
      </c>
      <c r="N9" s="16">
        <f t="shared" si="5"/>
        <v>0</v>
      </c>
      <c r="O9" s="16">
        <f t="shared" si="11"/>
        <v>0</v>
      </c>
      <c r="P9" s="16">
        <f t="shared" si="6"/>
        <v>0</v>
      </c>
      <c r="Q9" s="16">
        <f t="shared" si="7"/>
        <v>0</v>
      </c>
      <c r="R9" s="16">
        <f t="shared" si="8"/>
        <v>0</v>
      </c>
    </row>
    <row r="10" spans="1:18" x14ac:dyDescent="0.35">
      <c r="A10" s="31">
        <v>45608</v>
      </c>
      <c r="B10" s="10">
        <f t="shared" si="0"/>
        <v>0</v>
      </c>
      <c r="C10" s="10">
        <f t="shared" si="1"/>
        <v>0</v>
      </c>
      <c r="D10" s="10">
        <f t="shared" si="2"/>
        <v>0</v>
      </c>
      <c r="E10" s="10"/>
      <c r="F10" s="10"/>
      <c r="G10" s="10"/>
      <c r="H10" s="11">
        <f t="shared" si="3"/>
        <v>0</v>
      </c>
      <c r="I10" s="12">
        <f>I9+Table234534568791112151416171819202122232425262728345678910113456789101112[[#This Row],[Cash]]-Table234534568791112151416171819202122232425262728345678910113456789101112[[#This Row],[Expense]]</f>
        <v>19380</v>
      </c>
      <c r="K10" s="18" t="s">
        <v>3</v>
      </c>
      <c r="L10" s="18">
        <f>SUM(L3:L9)</f>
        <v>3182</v>
      </c>
      <c r="M10" s="18">
        <f>SUM(M3:M9)</f>
        <v>9546</v>
      </c>
      <c r="N10" s="18">
        <f>SUM(N2:N9)</f>
        <v>22274</v>
      </c>
      <c r="O10" s="18">
        <f>SUM(O2:O9)</f>
        <v>31820</v>
      </c>
      <c r="P10" s="18">
        <f>SUM(P2:P9)</f>
        <v>15050</v>
      </c>
      <c r="Q10" s="18">
        <f>SUM(Q2:Q9)</f>
        <v>16100</v>
      </c>
      <c r="R10" s="18">
        <f>SUM(R2:R9)</f>
        <v>670</v>
      </c>
    </row>
    <row r="11" spans="1:18" x14ac:dyDescent="0.35">
      <c r="A11" s="31">
        <v>45609</v>
      </c>
      <c r="B11" s="10">
        <f t="shared" si="0"/>
        <v>0</v>
      </c>
      <c r="C11" s="10">
        <f t="shared" si="1"/>
        <v>0</v>
      </c>
      <c r="D11" s="10">
        <f t="shared" si="2"/>
        <v>0</v>
      </c>
      <c r="E11" s="10"/>
      <c r="F11" s="10"/>
      <c r="G11" s="10"/>
      <c r="H11" s="11">
        <f t="shared" si="3"/>
        <v>0</v>
      </c>
      <c r="I11" s="12">
        <f>I10+Table234534568791112151416171819202122232425262728345678910113456789101112[[#This Row],[Cash]]-Table234534568791112151416171819202122232425262728345678910113456789101112[[#This Row],[Expense]]</f>
        <v>19380</v>
      </c>
      <c r="K11" s="18" t="s">
        <v>10</v>
      </c>
      <c r="L11" s="18"/>
      <c r="M11" s="18">
        <f>M10/3</f>
        <v>3182</v>
      </c>
      <c r="N11" s="18"/>
      <c r="O11" s="18"/>
      <c r="P11" s="16"/>
      <c r="Q11" s="16"/>
      <c r="R11" s="16"/>
    </row>
    <row r="12" spans="1:18" x14ac:dyDescent="0.35">
      <c r="A12" s="31">
        <v>45610</v>
      </c>
      <c r="B12" s="10">
        <f t="shared" si="0"/>
        <v>0</v>
      </c>
      <c r="C12" s="10">
        <f t="shared" si="1"/>
        <v>0</v>
      </c>
      <c r="D12" s="10">
        <f t="shared" si="2"/>
        <v>0</v>
      </c>
      <c r="E12" s="10"/>
      <c r="F12" s="10"/>
      <c r="G12" s="10"/>
      <c r="H12" s="11">
        <f t="shared" si="3"/>
        <v>0</v>
      </c>
      <c r="I12" s="12">
        <f>I11+Table234534568791112151416171819202122232425262728345678910113456789101112[[#This Row],[Cash]]-Table234534568791112151416171819202122232425262728345678910113456789101112[[#This Row],[Expense]]</f>
        <v>19380</v>
      </c>
    </row>
    <row r="13" spans="1:18" x14ac:dyDescent="0.35">
      <c r="A13" s="31">
        <v>45611</v>
      </c>
      <c r="B13" s="10">
        <f t="shared" si="0"/>
        <v>0</v>
      </c>
      <c r="C13" s="10">
        <f t="shared" si="1"/>
        <v>0</v>
      </c>
      <c r="D13" s="10">
        <f t="shared" si="2"/>
        <v>0</v>
      </c>
      <c r="E13" s="10"/>
      <c r="F13" s="10"/>
      <c r="G13" s="10"/>
      <c r="H13" s="11">
        <f t="shared" si="3"/>
        <v>0</v>
      </c>
      <c r="I13" s="12">
        <f>I12+Table234534568791112151416171819202122232425262728345678910113456789101112[[#This Row],[Cash]]-Table234534568791112151416171819202122232425262728345678910113456789101112[[#This Row],[Expense]]</f>
        <v>19380</v>
      </c>
      <c r="K13" s="19" t="s">
        <v>0</v>
      </c>
      <c r="L13" s="8"/>
      <c r="M13" s="8" t="s">
        <v>1</v>
      </c>
      <c r="N13" s="20" t="s">
        <v>2</v>
      </c>
      <c r="O13" s="20" t="s">
        <v>3</v>
      </c>
      <c r="P13" s="20" t="s">
        <v>4</v>
      </c>
      <c r="Q13" s="20" t="s">
        <v>5</v>
      </c>
      <c r="R13" s="20" t="s">
        <v>6</v>
      </c>
    </row>
    <row r="14" spans="1:18" x14ac:dyDescent="0.35">
      <c r="A14" s="31">
        <v>45612</v>
      </c>
      <c r="B14" s="10">
        <f t="shared" si="0"/>
        <v>0</v>
      </c>
      <c r="C14" s="10">
        <f t="shared" si="1"/>
        <v>0</v>
      </c>
      <c r="D14" s="10">
        <f t="shared" si="2"/>
        <v>0</v>
      </c>
      <c r="E14" s="10"/>
      <c r="F14" s="10"/>
      <c r="G14" s="10"/>
      <c r="H14" s="11">
        <f t="shared" si="3"/>
        <v>0</v>
      </c>
      <c r="I14" s="12">
        <f>I13+Table234534568791112151416171819202122232425262728345678910113456789101112[[#This Row],[Cash]]-Table234534568791112151416171819202122232425262728345678910113456789101112[[#This Row],[Expense]]</f>
        <v>19380</v>
      </c>
      <c r="K14" s="15">
        <f t="shared" ref="K14:K20" si="12">A9</f>
        <v>45607</v>
      </c>
      <c r="L14" s="16">
        <f>M14/3</f>
        <v>0</v>
      </c>
      <c r="M14" s="16">
        <f>O14*0.3</f>
        <v>0</v>
      </c>
      <c r="N14" s="16">
        <f t="shared" ref="N14:N20" si="13">O14-M14</f>
        <v>0</v>
      </c>
      <c r="O14" s="16">
        <f>P14+Q14+R14</f>
        <v>0</v>
      </c>
      <c r="P14" s="16">
        <f t="shared" ref="P14:P20" si="14">VLOOKUP(K14,$A$1:$H$30,5,0)</f>
        <v>0</v>
      </c>
      <c r="Q14" s="16">
        <f t="shared" ref="Q14:Q20" si="15">VLOOKUP(K14,$A$1:$H$30,6,0)</f>
        <v>0</v>
      </c>
      <c r="R14" s="16">
        <f t="shared" ref="R14:R20" si="16">VLOOKUP(K14,$A$1:$H$30,7,0)</f>
        <v>0</v>
      </c>
    </row>
    <row r="15" spans="1:18" x14ac:dyDescent="0.35">
      <c r="A15" s="31">
        <v>45613</v>
      </c>
      <c r="B15" s="10">
        <f t="shared" si="0"/>
        <v>0</v>
      </c>
      <c r="C15" s="10">
        <f t="shared" si="1"/>
        <v>0</v>
      </c>
      <c r="D15" s="10">
        <f t="shared" si="2"/>
        <v>0</v>
      </c>
      <c r="E15" s="10"/>
      <c r="F15" s="10"/>
      <c r="G15" s="10"/>
      <c r="H15" s="11">
        <f t="shared" si="3"/>
        <v>0</v>
      </c>
      <c r="I15" s="12">
        <f>I14+Table234534568791112151416171819202122232425262728345678910113456789101112[[#This Row],[Cash]]-Table234534568791112151416171819202122232425262728345678910113456789101112[[#This Row],[Expense]]</f>
        <v>19380</v>
      </c>
      <c r="K15" s="13">
        <f t="shared" si="12"/>
        <v>45608</v>
      </c>
      <c r="L15" s="14">
        <f>M15/3</f>
        <v>0</v>
      </c>
      <c r="M15" s="14">
        <f>O15*0.3</f>
        <v>0</v>
      </c>
      <c r="N15" s="14">
        <f t="shared" si="13"/>
        <v>0</v>
      </c>
      <c r="O15" s="14">
        <f>P15+Q15+R15</f>
        <v>0</v>
      </c>
      <c r="P15" s="14">
        <f t="shared" si="14"/>
        <v>0</v>
      </c>
      <c r="Q15" s="14">
        <f t="shared" si="15"/>
        <v>0</v>
      </c>
      <c r="R15" s="14">
        <f t="shared" si="16"/>
        <v>0</v>
      </c>
    </row>
    <row r="16" spans="1:18" x14ac:dyDescent="0.35">
      <c r="A16" s="31">
        <v>45614</v>
      </c>
      <c r="B16" s="10">
        <f t="shared" si="0"/>
        <v>0</v>
      </c>
      <c r="C16" s="10">
        <f t="shared" si="1"/>
        <v>0</v>
      </c>
      <c r="D16" s="10">
        <f t="shared" si="2"/>
        <v>0</v>
      </c>
      <c r="E16" s="10"/>
      <c r="F16" s="10"/>
      <c r="G16" s="10"/>
      <c r="H16" s="11">
        <f t="shared" si="3"/>
        <v>0</v>
      </c>
      <c r="I16" s="12">
        <f>I15+Table234534568791112151416171819202122232425262728345678910113456789101112[[#This Row],[Cash]]-Table234534568791112151416171819202122232425262728345678910113456789101112[[#This Row],[Expense]]</f>
        <v>19380</v>
      </c>
      <c r="K16" s="15">
        <f t="shared" si="12"/>
        <v>45609</v>
      </c>
      <c r="L16" s="16">
        <f t="shared" ref="L16:L20" si="17">M16/3</f>
        <v>0</v>
      </c>
      <c r="M16" s="16">
        <f t="shared" ref="M16:M20" si="18">O16*0.3</f>
        <v>0</v>
      </c>
      <c r="N16" s="16">
        <f t="shared" si="13"/>
        <v>0</v>
      </c>
      <c r="O16" s="16">
        <f t="shared" ref="O16:O20" si="19">P16+Q16+R16</f>
        <v>0</v>
      </c>
      <c r="P16" s="16">
        <f t="shared" si="14"/>
        <v>0</v>
      </c>
      <c r="Q16" s="16">
        <f t="shared" si="15"/>
        <v>0</v>
      </c>
      <c r="R16" s="16">
        <f t="shared" si="16"/>
        <v>0</v>
      </c>
    </row>
    <row r="17" spans="1:18" x14ac:dyDescent="0.35">
      <c r="A17" s="31">
        <v>45615</v>
      </c>
      <c r="B17" s="10">
        <f t="shared" si="0"/>
        <v>0</v>
      </c>
      <c r="C17" s="10">
        <f t="shared" si="1"/>
        <v>0</v>
      </c>
      <c r="D17" s="10">
        <f t="shared" si="2"/>
        <v>0</v>
      </c>
      <c r="E17" s="10"/>
      <c r="F17" s="10"/>
      <c r="G17" s="10"/>
      <c r="H17" s="11">
        <f t="shared" si="3"/>
        <v>0</v>
      </c>
      <c r="I17" s="12">
        <f>I16+Table234534568791112151416171819202122232425262728345678910113456789101112[[#This Row],[Cash]]-Table234534568791112151416171819202122232425262728345678910113456789101112[[#This Row],[Expense]]</f>
        <v>19380</v>
      </c>
      <c r="K17" s="13">
        <f t="shared" si="12"/>
        <v>45610</v>
      </c>
      <c r="L17" s="14">
        <f t="shared" si="17"/>
        <v>0</v>
      </c>
      <c r="M17" s="14">
        <f t="shared" si="18"/>
        <v>0</v>
      </c>
      <c r="N17" s="14">
        <f t="shared" si="13"/>
        <v>0</v>
      </c>
      <c r="O17" s="14">
        <f t="shared" si="19"/>
        <v>0</v>
      </c>
      <c r="P17" s="14">
        <f t="shared" si="14"/>
        <v>0</v>
      </c>
      <c r="Q17" s="14">
        <f t="shared" si="15"/>
        <v>0</v>
      </c>
      <c r="R17" s="14">
        <f t="shared" si="16"/>
        <v>0</v>
      </c>
    </row>
    <row r="18" spans="1:18" x14ac:dyDescent="0.35">
      <c r="A18" s="31">
        <v>45616</v>
      </c>
      <c r="B18" s="10">
        <f t="shared" si="0"/>
        <v>0</v>
      </c>
      <c r="C18" s="10">
        <f t="shared" si="1"/>
        <v>0</v>
      </c>
      <c r="D18" s="10">
        <f t="shared" si="2"/>
        <v>0</v>
      </c>
      <c r="E18" s="10"/>
      <c r="F18" s="10"/>
      <c r="G18" s="10"/>
      <c r="H18" s="11">
        <f t="shared" si="3"/>
        <v>0</v>
      </c>
      <c r="I18" s="12">
        <f>I17+Table234534568791112151416171819202122232425262728345678910113456789101112[[#This Row],[Cash]]-Table234534568791112151416171819202122232425262728345678910113456789101112[[#This Row],[Expense]]</f>
        <v>19380</v>
      </c>
      <c r="K18" s="15">
        <f t="shared" si="12"/>
        <v>45611</v>
      </c>
      <c r="L18" s="16">
        <f t="shared" si="17"/>
        <v>0</v>
      </c>
      <c r="M18" s="16">
        <f t="shared" si="18"/>
        <v>0</v>
      </c>
      <c r="N18" s="16">
        <f t="shared" si="13"/>
        <v>0</v>
      </c>
      <c r="O18" s="16">
        <f t="shared" si="19"/>
        <v>0</v>
      </c>
      <c r="P18" s="16">
        <f t="shared" si="14"/>
        <v>0</v>
      </c>
      <c r="Q18" s="16">
        <f t="shared" si="15"/>
        <v>0</v>
      </c>
      <c r="R18" s="16">
        <f t="shared" si="16"/>
        <v>0</v>
      </c>
    </row>
    <row r="19" spans="1:18" x14ac:dyDescent="0.35">
      <c r="A19" s="31">
        <v>45617</v>
      </c>
      <c r="B19" s="10">
        <f t="shared" si="0"/>
        <v>0</v>
      </c>
      <c r="C19" s="10">
        <f t="shared" si="1"/>
        <v>0</v>
      </c>
      <c r="D19" s="10">
        <f t="shared" si="2"/>
        <v>0</v>
      </c>
      <c r="E19" s="10"/>
      <c r="F19" s="10"/>
      <c r="G19" s="10"/>
      <c r="H19" s="11">
        <f t="shared" si="3"/>
        <v>0</v>
      </c>
      <c r="I19" s="12">
        <f>I18+Table234534568791112151416171819202122232425262728345678910113456789101112[[#This Row],[Cash]]-Table234534568791112151416171819202122232425262728345678910113456789101112[[#This Row],[Expense]]</f>
        <v>19380</v>
      </c>
      <c r="K19" s="13">
        <f t="shared" si="12"/>
        <v>45612</v>
      </c>
      <c r="L19" s="14">
        <f t="shared" si="17"/>
        <v>0</v>
      </c>
      <c r="M19" s="14">
        <f t="shared" si="18"/>
        <v>0</v>
      </c>
      <c r="N19" s="14">
        <f t="shared" si="13"/>
        <v>0</v>
      </c>
      <c r="O19" s="14">
        <f t="shared" si="19"/>
        <v>0</v>
      </c>
      <c r="P19" s="14">
        <f t="shared" si="14"/>
        <v>0</v>
      </c>
      <c r="Q19" s="14">
        <f t="shared" si="15"/>
        <v>0</v>
      </c>
      <c r="R19" s="14">
        <f t="shared" si="16"/>
        <v>0</v>
      </c>
    </row>
    <row r="20" spans="1:18" x14ac:dyDescent="0.35">
      <c r="A20" s="31">
        <v>45618</v>
      </c>
      <c r="B20" s="10">
        <f t="shared" si="0"/>
        <v>0</v>
      </c>
      <c r="C20" s="10">
        <f t="shared" si="1"/>
        <v>0</v>
      </c>
      <c r="D20" s="10">
        <f t="shared" si="2"/>
        <v>0</v>
      </c>
      <c r="E20" s="10"/>
      <c r="F20" s="10"/>
      <c r="G20" s="10"/>
      <c r="H20" s="11">
        <f t="shared" si="3"/>
        <v>0</v>
      </c>
      <c r="I20" s="12">
        <f>I19+Table234534568791112151416171819202122232425262728345678910113456789101112[[#This Row],[Cash]]-Table234534568791112151416171819202122232425262728345678910113456789101112[[#This Row],[Expense]]</f>
        <v>19380</v>
      </c>
      <c r="K20" s="15">
        <f t="shared" si="12"/>
        <v>45613</v>
      </c>
      <c r="L20" s="16">
        <f t="shared" si="17"/>
        <v>0</v>
      </c>
      <c r="M20" s="16">
        <f t="shared" si="18"/>
        <v>0</v>
      </c>
      <c r="N20" s="16">
        <f t="shared" si="13"/>
        <v>0</v>
      </c>
      <c r="O20" s="16">
        <f t="shared" si="19"/>
        <v>0</v>
      </c>
      <c r="P20" s="16">
        <f t="shared" si="14"/>
        <v>0</v>
      </c>
      <c r="Q20" s="16">
        <f t="shared" si="15"/>
        <v>0</v>
      </c>
      <c r="R20" s="16">
        <f t="shared" si="16"/>
        <v>0</v>
      </c>
    </row>
    <row r="21" spans="1:18" x14ac:dyDescent="0.35">
      <c r="A21" s="31">
        <v>45619</v>
      </c>
      <c r="B21" s="10">
        <f t="shared" si="0"/>
        <v>0</v>
      </c>
      <c r="C21" s="10">
        <f t="shared" si="1"/>
        <v>0</v>
      </c>
      <c r="D21" s="10">
        <f t="shared" si="2"/>
        <v>0</v>
      </c>
      <c r="E21" s="10"/>
      <c r="F21" s="10"/>
      <c r="G21" s="10"/>
      <c r="H21" s="11">
        <f t="shared" si="3"/>
        <v>0</v>
      </c>
      <c r="I21" s="12">
        <f>I20+Table234534568791112151416171819202122232425262728345678910113456789101112[[#This Row],[Cash]]-Table234534568791112151416171819202122232425262728345678910113456789101112[[#This Row],[Expense]]</f>
        <v>19380</v>
      </c>
      <c r="K21" s="18" t="s">
        <v>3</v>
      </c>
      <c r="L21" s="18">
        <f>SUM(L14:L20)</f>
        <v>0</v>
      </c>
      <c r="M21" s="18">
        <f t="shared" ref="M21:R21" si="20">SUM(M14:M20)</f>
        <v>0</v>
      </c>
      <c r="N21" s="18">
        <f t="shared" si="20"/>
        <v>0</v>
      </c>
      <c r="O21" s="18">
        <f t="shared" si="20"/>
        <v>0</v>
      </c>
      <c r="P21" s="18">
        <f t="shared" si="20"/>
        <v>0</v>
      </c>
      <c r="Q21" s="18">
        <f t="shared" si="20"/>
        <v>0</v>
      </c>
      <c r="R21" s="18">
        <f t="shared" si="20"/>
        <v>0</v>
      </c>
    </row>
    <row r="22" spans="1:18" x14ac:dyDescent="0.35">
      <c r="A22" s="31">
        <v>45620</v>
      </c>
      <c r="B22" s="10">
        <f t="shared" si="0"/>
        <v>0</v>
      </c>
      <c r="C22" s="10">
        <f t="shared" si="1"/>
        <v>0</v>
      </c>
      <c r="D22" s="10">
        <f t="shared" si="2"/>
        <v>0</v>
      </c>
      <c r="E22" s="10"/>
      <c r="F22" s="10"/>
      <c r="G22" s="10"/>
      <c r="H22" s="11">
        <f t="shared" si="3"/>
        <v>0</v>
      </c>
      <c r="I22" s="12">
        <f>I21+Table234534568791112151416171819202122232425262728345678910113456789101112[[#This Row],[Cash]]-Table234534568791112151416171819202122232425262728345678910113456789101112[[#This Row],[Expense]]</f>
        <v>19380</v>
      </c>
      <c r="K22" s="18" t="s">
        <v>10</v>
      </c>
      <c r="L22" s="18"/>
      <c r="M22" s="18">
        <f>M21/3</f>
        <v>0</v>
      </c>
      <c r="N22" s="18"/>
      <c r="O22" s="18">
        <f>N22+M22</f>
        <v>0</v>
      </c>
      <c r="P22" s="16"/>
      <c r="Q22" s="16"/>
      <c r="R22" s="16"/>
    </row>
    <row r="23" spans="1:18" x14ac:dyDescent="0.35">
      <c r="A23" s="31">
        <v>45621</v>
      </c>
      <c r="B23" s="10">
        <f t="shared" si="0"/>
        <v>0</v>
      </c>
      <c r="C23" s="10">
        <f t="shared" si="1"/>
        <v>0</v>
      </c>
      <c r="D23" s="10">
        <f t="shared" si="2"/>
        <v>0</v>
      </c>
      <c r="E23" s="10"/>
      <c r="F23" s="10"/>
      <c r="G23" s="10"/>
      <c r="H23" s="11">
        <f t="shared" si="3"/>
        <v>0</v>
      </c>
      <c r="I23" s="12">
        <f>I22+Table234534568791112151416171819202122232425262728345678910113456789101112[[#This Row],[Cash]]-Table234534568791112151416171819202122232425262728345678910113456789101112[[#This Row],[Expense]]</f>
        <v>19380</v>
      </c>
    </row>
    <row r="24" spans="1:18" x14ac:dyDescent="0.35">
      <c r="A24" s="31">
        <v>45622</v>
      </c>
      <c r="B24" s="10">
        <f t="shared" si="0"/>
        <v>0</v>
      </c>
      <c r="C24" s="10">
        <f t="shared" si="1"/>
        <v>0</v>
      </c>
      <c r="D24" s="10">
        <f t="shared" si="2"/>
        <v>0</v>
      </c>
      <c r="E24" s="10"/>
      <c r="F24" s="10"/>
      <c r="G24" s="10"/>
      <c r="H24" s="11">
        <f t="shared" si="3"/>
        <v>0</v>
      </c>
      <c r="I24" s="12">
        <f>I23+Table234534568791112151416171819202122232425262728345678910113456789101112[[#This Row],[Cash]]-Table234534568791112151416171819202122232425262728345678910113456789101112[[#This Row],[Expense]]</f>
        <v>19380</v>
      </c>
      <c r="K24" s="19" t="s">
        <v>0</v>
      </c>
      <c r="L24" s="20"/>
      <c r="M24" s="20" t="s">
        <v>1</v>
      </c>
      <c r="N24" s="20" t="s">
        <v>2</v>
      </c>
      <c r="O24" s="20" t="s">
        <v>3</v>
      </c>
      <c r="P24" s="20" t="s">
        <v>4</v>
      </c>
      <c r="Q24" s="20" t="s">
        <v>5</v>
      </c>
      <c r="R24" s="20" t="s">
        <v>6</v>
      </c>
    </row>
    <row r="25" spans="1:18" x14ac:dyDescent="0.35">
      <c r="A25" s="31">
        <v>45623</v>
      </c>
      <c r="B25" s="10">
        <f t="shared" si="0"/>
        <v>0</v>
      </c>
      <c r="C25" s="10">
        <f t="shared" si="1"/>
        <v>0</v>
      </c>
      <c r="D25" s="10">
        <f t="shared" si="2"/>
        <v>0</v>
      </c>
      <c r="E25" s="10"/>
      <c r="F25" s="10"/>
      <c r="G25" s="10"/>
      <c r="H25" s="11">
        <f t="shared" si="3"/>
        <v>0</v>
      </c>
      <c r="I25" s="12">
        <f>I24+Table234534568791112151416171819202122232425262728345678910113456789101112[[#This Row],[Cash]]-Table234534568791112151416171819202122232425262728345678910113456789101112[[#This Row],[Expense]]</f>
        <v>19380</v>
      </c>
      <c r="K25" s="15">
        <f t="shared" ref="K25:K31" si="21">A16</f>
        <v>45614</v>
      </c>
      <c r="L25" s="16">
        <f>M25/3</f>
        <v>0</v>
      </c>
      <c r="M25" s="16">
        <f>O25*0.3</f>
        <v>0</v>
      </c>
      <c r="N25" s="16">
        <f t="shared" ref="N25:N31" si="22">O25-M25</f>
        <v>0</v>
      </c>
      <c r="O25" s="16">
        <f>P25+Q25+R25</f>
        <v>0</v>
      </c>
      <c r="P25" s="16">
        <f t="shared" ref="P25:P31" si="23">VLOOKUP(K25,$A$1:$H$30,5,0)</f>
        <v>0</v>
      </c>
      <c r="Q25" s="16">
        <f t="shared" ref="Q25:Q31" si="24">VLOOKUP(K25,$A$1:$H$30,6,0)</f>
        <v>0</v>
      </c>
      <c r="R25" s="16">
        <f t="shared" ref="R25:R31" si="25">VLOOKUP(K25,$A$1:$H$30,7,0)</f>
        <v>0</v>
      </c>
    </row>
    <row r="26" spans="1:18" x14ac:dyDescent="0.35">
      <c r="A26" s="31">
        <v>45624</v>
      </c>
      <c r="B26" s="10">
        <f t="shared" si="0"/>
        <v>0</v>
      </c>
      <c r="C26" s="10">
        <f t="shared" si="1"/>
        <v>0</v>
      </c>
      <c r="D26" s="10">
        <f t="shared" si="2"/>
        <v>0</v>
      </c>
      <c r="E26" s="10"/>
      <c r="F26" s="10"/>
      <c r="G26" s="10"/>
      <c r="H26" s="11">
        <f t="shared" si="3"/>
        <v>0</v>
      </c>
      <c r="I26" s="12">
        <f>I25+Table234534568791112151416171819202122232425262728345678910113456789101112[[#This Row],[Cash]]-Table234534568791112151416171819202122232425262728345678910113456789101112[[#This Row],[Expense]]</f>
        <v>19380</v>
      </c>
      <c r="K26" s="13">
        <f t="shared" si="21"/>
        <v>45615</v>
      </c>
      <c r="L26" s="14">
        <f>M26/3</f>
        <v>0</v>
      </c>
      <c r="M26" s="14">
        <f>O26*0.3</f>
        <v>0</v>
      </c>
      <c r="N26" s="14">
        <f t="shared" si="22"/>
        <v>0</v>
      </c>
      <c r="O26" s="14">
        <f>P26+Q26+R26</f>
        <v>0</v>
      </c>
      <c r="P26" s="14">
        <f t="shared" si="23"/>
        <v>0</v>
      </c>
      <c r="Q26" s="14">
        <f t="shared" si="24"/>
        <v>0</v>
      </c>
      <c r="R26" s="14">
        <f t="shared" si="25"/>
        <v>0</v>
      </c>
    </row>
    <row r="27" spans="1:18" x14ac:dyDescent="0.35">
      <c r="A27" s="31">
        <v>45625</v>
      </c>
      <c r="B27" s="10">
        <f t="shared" si="0"/>
        <v>0</v>
      </c>
      <c r="C27" s="10">
        <f t="shared" si="1"/>
        <v>0</v>
      </c>
      <c r="D27" s="10">
        <f t="shared" si="2"/>
        <v>0</v>
      </c>
      <c r="E27" s="10"/>
      <c r="F27" s="10"/>
      <c r="G27" s="10"/>
      <c r="H27" s="11">
        <f t="shared" si="3"/>
        <v>0</v>
      </c>
      <c r="I27" s="12">
        <f>I26+Table234534568791112151416171819202122232425262728345678910113456789101112[[#This Row],[Cash]]-Table234534568791112151416171819202122232425262728345678910113456789101112[[#This Row],[Expense]]</f>
        <v>19380</v>
      </c>
      <c r="K27" s="15">
        <f t="shared" si="21"/>
        <v>45616</v>
      </c>
      <c r="L27" s="16">
        <f t="shared" ref="L27:L31" si="26">M27/3</f>
        <v>0</v>
      </c>
      <c r="M27" s="16">
        <f t="shared" ref="M27:M31" si="27">O27*0.3</f>
        <v>0</v>
      </c>
      <c r="N27" s="16">
        <f t="shared" si="22"/>
        <v>0</v>
      </c>
      <c r="O27" s="16">
        <f t="shared" ref="O27:O31" si="28">P27+Q27+R27</f>
        <v>0</v>
      </c>
      <c r="P27" s="16">
        <f t="shared" si="23"/>
        <v>0</v>
      </c>
      <c r="Q27" s="16">
        <f t="shared" si="24"/>
        <v>0</v>
      </c>
      <c r="R27" s="16">
        <f t="shared" si="25"/>
        <v>0</v>
      </c>
    </row>
    <row r="28" spans="1:18" x14ac:dyDescent="0.35">
      <c r="A28" s="31">
        <v>45626</v>
      </c>
      <c r="B28" s="10">
        <f t="shared" si="0"/>
        <v>0</v>
      </c>
      <c r="C28" s="10">
        <f t="shared" si="1"/>
        <v>0</v>
      </c>
      <c r="D28" s="10">
        <f t="shared" si="2"/>
        <v>0</v>
      </c>
      <c r="E28" s="10"/>
      <c r="F28" s="10"/>
      <c r="G28" s="10"/>
      <c r="H28" s="11">
        <f t="shared" si="3"/>
        <v>0</v>
      </c>
      <c r="I28" s="12">
        <f>I27+Table234534568791112151416171819202122232425262728345678910113456789101112[[#This Row],[Cash]]-Table234534568791112151416171819202122232425262728345678910113456789101112[[#This Row],[Expense]]</f>
        <v>19380</v>
      </c>
      <c r="K28" s="13">
        <f t="shared" si="21"/>
        <v>45617</v>
      </c>
      <c r="L28" s="14">
        <f t="shared" si="26"/>
        <v>0</v>
      </c>
      <c r="M28" s="14">
        <f>O28*0.3</f>
        <v>0</v>
      </c>
      <c r="N28" s="14">
        <f t="shared" si="22"/>
        <v>0</v>
      </c>
      <c r="O28" s="14">
        <f t="shared" si="28"/>
        <v>0</v>
      </c>
      <c r="P28" s="14">
        <f t="shared" si="23"/>
        <v>0</v>
      </c>
      <c r="Q28" s="14">
        <f t="shared" si="24"/>
        <v>0</v>
      </c>
      <c r="R28" s="14">
        <f t="shared" si="25"/>
        <v>0</v>
      </c>
    </row>
    <row r="29" spans="1:18" x14ac:dyDescent="0.35">
      <c r="A29" s="31">
        <v>45627</v>
      </c>
      <c r="B29" s="10">
        <f t="shared" si="0"/>
        <v>0</v>
      </c>
      <c r="C29" s="10">
        <f t="shared" si="1"/>
        <v>0</v>
      </c>
      <c r="D29" s="10">
        <f t="shared" si="2"/>
        <v>0</v>
      </c>
      <c r="E29" s="10"/>
      <c r="F29" s="10"/>
      <c r="G29" s="10"/>
      <c r="H29" s="11">
        <f t="shared" si="3"/>
        <v>0</v>
      </c>
      <c r="I29" s="12">
        <f>I28+Table234534568791112151416171819202122232425262728345678910113456789101112[[#This Row],[Cash]]-Table234534568791112151416171819202122232425262728345678910113456789101112[[#This Row],[Expense]]</f>
        <v>19380</v>
      </c>
      <c r="K29" s="15">
        <f t="shared" si="21"/>
        <v>45618</v>
      </c>
      <c r="L29" s="16">
        <f t="shared" si="26"/>
        <v>0</v>
      </c>
      <c r="M29" s="16">
        <f t="shared" si="27"/>
        <v>0</v>
      </c>
      <c r="N29" s="16">
        <f t="shared" si="22"/>
        <v>0</v>
      </c>
      <c r="O29" s="16">
        <f t="shared" si="28"/>
        <v>0</v>
      </c>
      <c r="P29" s="16">
        <f t="shared" si="23"/>
        <v>0</v>
      </c>
      <c r="Q29" s="16">
        <f t="shared" si="24"/>
        <v>0</v>
      </c>
      <c r="R29" s="16">
        <f t="shared" si="25"/>
        <v>0</v>
      </c>
    </row>
    <row r="30" spans="1:18" ht="15" thickBot="1" x14ac:dyDescent="0.4">
      <c r="A30" s="21" t="s">
        <v>3</v>
      </c>
      <c r="B30" s="22">
        <f>SUBTOTAL(109,Table234534568791112151416171819202122232425262728345678910113456789101112[Profit])</f>
        <v>9345</v>
      </c>
      <c r="C30" s="22">
        <f>SUBTOTAL(109,Table234534568791112151416171819202122232425262728345678910113456789101112[Profit])</f>
        <v>9345</v>
      </c>
      <c r="D30" s="22">
        <f>SUBTOTAL(109,Table234534568791112151416171819202122232425262728345678910113456789101112[Total])</f>
        <v>31150</v>
      </c>
      <c r="E30" s="22">
        <f>SUBTOTAL(109,Table234534568791112151416171819202122232425262728345678910113456789101112[Profit])</f>
        <v>9345</v>
      </c>
      <c r="F30" s="22">
        <f>SUBTOTAL(109,Table234534568791112151416171819202122232425262728345678910113456789101112[Profit])</f>
        <v>9345</v>
      </c>
      <c r="G30" s="22">
        <f>SUM(G4:G29)</f>
        <v>0</v>
      </c>
      <c r="H30" s="22">
        <f>SUM(H4:H29)</f>
        <v>0</v>
      </c>
      <c r="I30" s="22">
        <f>SUM(I4:I29)</f>
        <v>503880</v>
      </c>
      <c r="K30" s="13">
        <f t="shared" si="21"/>
        <v>45619</v>
      </c>
      <c r="L30" s="14">
        <f t="shared" si="26"/>
        <v>0</v>
      </c>
      <c r="M30" s="14">
        <f t="shared" si="27"/>
        <v>0</v>
      </c>
      <c r="N30" s="14">
        <f t="shared" si="22"/>
        <v>0</v>
      </c>
      <c r="O30" s="14">
        <f t="shared" si="28"/>
        <v>0</v>
      </c>
      <c r="P30" s="14">
        <f t="shared" si="23"/>
        <v>0</v>
      </c>
      <c r="Q30" s="14">
        <f t="shared" si="24"/>
        <v>0</v>
      </c>
      <c r="R30" s="14">
        <f t="shared" si="25"/>
        <v>0</v>
      </c>
    </row>
    <row r="31" spans="1:18" x14ac:dyDescent="0.35">
      <c r="A31" s="23"/>
      <c r="B31" s="24">
        <f>B30/3</f>
        <v>3115</v>
      </c>
      <c r="C31" s="24"/>
      <c r="E31" s="26">
        <f>D30*0.42</f>
        <v>13083</v>
      </c>
      <c r="F31" s="24"/>
      <c r="G31" s="24"/>
      <c r="H31" s="27"/>
      <c r="K31" s="15">
        <f t="shared" si="21"/>
        <v>45620</v>
      </c>
      <c r="L31" s="16">
        <f t="shared" si="26"/>
        <v>0</v>
      </c>
      <c r="M31" s="16">
        <f t="shared" si="27"/>
        <v>0</v>
      </c>
      <c r="N31" s="16">
        <f t="shared" si="22"/>
        <v>0</v>
      </c>
      <c r="O31" s="16">
        <f t="shared" si="28"/>
        <v>0</v>
      </c>
      <c r="P31" s="16">
        <f t="shared" si="23"/>
        <v>0</v>
      </c>
      <c r="Q31" s="16">
        <f t="shared" si="24"/>
        <v>0</v>
      </c>
      <c r="R31" s="16">
        <f t="shared" si="25"/>
        <v>0</v>
      </c>
    </row>
    <row r="32" spans="1:18" x14ac:dyDescent="0.35">
      <c r="A32" s="23"/>
      <c r="B32" s="24">
        <f>B31*100/D30</f>
        <v>10</v>
      </c>
      <c r="C32" s="24"/>
      <c r="E32" s="24">
        <f>E31/3</f>
        <v>4361</v>
      </c>
      <c r="F32" s="24"/>
      <c r="G32" s="24"/>
      <c r="H32" s="27"/>
      <c r="K32" s="18" t="s">
        <v>3</v>
      </c>
      <c r="L32" s="18">
        <f>SUM(L25:L31)</f>
        <v>0</v>
      </c>
      <c r="M32" s="16">
        <f t="shared" ref="M32:R32" si="29">SUM(M25:M31)</f>
        <v>0</v>
      </c>
      <c r="N32" s="16">
        <f t="shared" si="29"/>
        <v>0</v>
      </c>
      <c r="O32" s="16">
        <f t="shared" si="29"/>
        <v>0</v>
      </c>
      <c r="P32" s="16">
        <f t="shared" si="29"/>
        <v>0</v>
      </c>
      <c r="Q32" s="16">
        <f t="shared" si="29"/>
        <v>0</v>
      </c>
      <c r="R32" s="16">
        <f t="shared" si="29"/>
        <v>0</v>
      </c>
    </row>
    <row r="33" spans="1:18" x14ac:dyDescent="0.35">
      <c r="A33" s="19" t="s">
        <v>0</v>
      </c>
      <c r="B33" s="20" t="s">
        <v>1</v>
      </c>
      <c r="C33" s="20" t="s">
        <v>2</v>
      </c>
      <c r="D33" s="20" t="s">
        <v>3</v>
      </c>
      <c r="E33" s="20" t="s">
        <v>4</v>
      </c>
      <c r="F33" s="20" t="s">
        <v>5</v>
      </c>
      <c r="G33" s="20" t="s">
        <v>6</v>
      </c>
      <c r="H33" s="28" t="s">
        <v>10</v>
      </c>
      <c r="K33" s="18" t="s">
        <v>10</v>
      </c>
      <c r="L33" s="14"/>
      <c r="M33" s="14">
        <f>M32/3</f>
        <v>0</v>
      </c>
      <c r="N33" s="14"/>
      <c r="O33" s="14"/>
      <c r="P33" s="14"/>
      <c r="Q33" s="14"/>
      <c r="R33" s="14"/>
    </row>
    <row r="34" spans="1:18" x14ac:dyDescent="0.35">
      <c r="A34" s="29" t="str">
        <f>CONCATENATE(TEXT(K3,"DD-MMM-YYY")," to ",TEXT(K9,"DD-MMM-YYYY"))</f>
        <v>04-Nov-2024 to 10-Nov-2024</v>
      </c>
      <c r="B34" s="16">
        <f>M10</f>
        <v>9546</v>
      </c>
      <c r="C34" s="16">
        <f t="shared" ref="C34:G34" si="30">N10</f>
        <v>22274</v>
      </c>
      <c r="D34" s="16">
        <f t="shared" si="30"/>
        <v>31820</v>
      </c>
      <c r="E34" s="16">
        <f t="shared" si="30"/>
        <v>15050</v>
      </c>
      <c r="F34" s="16">
        <f t="shared" si="30"/>
        <v>16100</v>
      </c>
      <c r="G34" s="16">
        <f t="shared" si="30"/>
        <v>670</v>
      </c>
      <c r="H34" s="16">
        <f>B34/3</f>
        <v>3182</v>
      </c>
    </row>
    <row r="35" spans="1:18" x14ac:dyDescent="0.35">
      <c r="A35" s="29" t="str">
        <f>CONCATENATE(TEXT(K14,"DD-MMM-YYY")," to ",TEXT(K20,"DD-MMM-YYYY"))</f>
        <v>11-Nov-2024 to 17-Nov-2024</v>
      </c>
      <c r="B35" s="14">
        <f>M21</f>
        <v>0</v>
      </c>
      <c r="C35" s="14">
        <f t="shared" ref="C35:G35" si="31">N21</f>
        <v>0</v>
      </c>
      <c r="D35" s="14">
        <f t="shared" si="31"/>
        <v>0</v>
      </c>
      <c r="E35" s="14">
        <f t="shared" si="31"/>
        <v>0</v>
      </c>
      <c r="F35" s="14">
        <f t="shared" si="31"/>
        <v>0</v>
      </c>
      <c r="G35" s="14">
        <f t="shared" si="31"/>
        <v>0</v>
      </c>
      <c r="H35" s="16">
        <f t="shared" ref="H35:H37" si="32">B35/3</f>
        <v>0</v>
      </c>
      <c r="K35" s="19" t="s">
        <v>0</v>
      </c>
      <c r="L35" s="20"/>
      <c r="M35" s="20" t="s">
        <v>1</v>
      </c>
      <c r="N35" s="20" t="s">
        <v>2</v>
      </c>
      <c r="O35" s="20" t="s">
        <v>3</v>
      </c>
      <c r="P35" s="20" t="s">
        <v>4</v>
      </c>
      <c r="Q35" s="20" t="s">
        <v>5</v>
      </c>
      <c r="R35" s="20" t="s">
        <v>6</v>
      </c>
    </row>
    <row r="36" spans="1:18" x14ac:dyDescent="0.35">
      <c r="A36" s="29" t="str">
        <f>CONCATENATE(TEXT(K25,"DD-MMM-YYY")," to ",TEXT(K31,"DD-MMM-YYYY"))</f>
        <v>18-Nov-2024 to 24-Nov-2024</v>
      </c>
      <c r="B36" s="16">
        <f>M32</f>
        <v>0</v>
      </c>
      <c r="C36" s="16">
        <f t="shared" ref="C36:G36" si="33">N32</f>
        <v>0</v>
      </c>
      <c r="D36" s="16">
        <f t="shared" si="33"/>
        <v>0</v>
      </c>
      <c r="E36" s="16">
        <f t="shared" si="33"/>
        <v>0</v>
      </c>
      <c r="F36" s="16">
        <f t="shared" si="33"/>
        <v>0</v>
      </c>
      <c r="G36" s="16">
        <f t="shared" si="33"/>
        <v>0</v>
      </c>
      <c r="H36" s="16">
        <f t="shared" si="32"/>
        <v>0</v>
      </c>
      <c r="K36" s="13">
        <f t="shared" ref="K36:K42" si="34">A23</f>
        <v>45621</v>
      </c>
      <c r="L36" s="16">
        <f>M36/3</f>
        <v>0</v>
      </c>
      <c r="M36" s="16">
        <f>O36*0.3</f>
        <v>0</v>
      </c>
      <c r="N36" s="16">
        <f t="shared" ref="N36:N42" si="35">O36-M36</f>
        <v>0</v>
      </c>
      <c r="O36" s="16">
        <f>P36+Q36+R36</f>
        <v>0</v>
      </c>
      <c r="P36" s="16">
        <f t="shared" ref="P36:P42" si="36">VLOOKUP(K36,$A$1:$H$30,5,0)</f>
        <v>0</v>
      </c>
      <c r="Q36" s="16">
        <f t="shared" ref="Q36:Q42" si="37">VLOOKUP(K36,$A$1:$H$30,6,0)</f>
        <v>0</v>
      </c>
      <c r="R36" s="16">
        <f t="shared" ref="R36:R42" si="38">VLOOKUP(K36,$A$1:$H$30,7,0)</f>
        <v>0</v>
      </c>
    </row>
    <row r="37" spans="1:18" x14ac:dyDescent="0.35">
      <c r="A37" s="29" t="str">
        <f>CONCATENATE(TEXT(K36,"DD-MMM-YYY")," to ",TEXT(K42,"DD-MMM-YYYY"))</f>
        <v>25-Nov-2024 to 01-Dec-2024</v>
      </c>
      <c r="B37" s="14">
        <f>M43</f>
        <v>0</v>
      </c>
      <c r="C37" s="14">
        <f t="shared" ref="C37:G37" si="39">N43</f>
        <v>0</v>
      </c>
      <c r="D37" s="14">
        <f t="shared" si="39"/>
        <v>0</v>
      </c>
      <c r="E37" s="14">
        <f t="shared" si="39"/>
        <v>0</v>
      </c>
      <c r="F37" s="14">
        <f t="shared" si="39"/>
        <v>0</v>
      </c>
      <c r="G37" s="14">
        <f t="shared" si="39"/>
        <v>0</v>
      </c>
      <c r="H37" s="16">
        <f t="shared" si="32"/>
        <v>0</v>
      </c>
      <c r="K37" s="13">
        <f t="shared" si="34"/>
        <v>45622</v>
      </c>
      <c r="L37" s="14">
        <f>M37/3</f>
        <v>0</v>
      </c>
      <c r="M37" s="14">
        <f>O37*0.3</f>
        <v>0</v>
      </c>
      <c r="N37" s="14">
        <f t="shared" si="35"/>
        <v>0</v>
      </c>
      <c r="O37" s="14">
        <f>P37+Q37+R37</f>
        <v>0</v>
      </c>
      <c r="P37" s="14">
        <f t="shared" si="36"/>
        <v>0</v>
      </c>
      <c r="Q37" s="14">
        <f t="shared" si="37"/>
        <v>0</v>
      </c>
      <c r="R37" s="14">
        <f t="shared" si="38"/>
        <v>0</v>
      </c>
    </row>
    <row r="38" spans="1:18" x14ac:dyDescent="0.35">
      <c r="A38" s="29" t="str">
        <f>CONCATENATE(TEXT(K59,"DD-MMM-YYY")," to ",TEXT(K58,"DD-MMM-YYYY"))</f>
        <v>08-Nov-2024 to Date</v>
      </c>
      <c r="B38" s="14">
        <f t="shared" ref="B38:H38" si="40">SUM(B34:B37)</f>
        <v>9546</v>
      </c>
      <c r="C38" s="14">
        <f t="shared" si="40"/>
        <v>22274</v>
      </c>
      <c r="D38" s="14">
        <f t="shared" si="40"/>
        <v>31820</v>
      </c>
      <c r="E38" s="14">
        <f t="shared" si="40"/>
        <v>15050</v>
      </c>
      <c r="F38" s="14">
        <f t="shared" si="40"/>
        <v>16100</v>
      </c>
      <c r="G38" s="14">
        <f t="shared" si="40"/>
        <v>670</v>
      </c>
      <c r="H38" s="14">
        <f t="shared" si="40"/>
        <v>3182</v>
      </c>
      <c r="K38" s="15">
        <f t="shared" si="34"/>
        <v>45623</v>
      </c>
      <c r="L38" s="16">
        <f t="shared" ref="L38:L42" si="41">M38/3</f>
        <v>0</v>
      </c>
      <c r="M38" s="16">
        <f t="shared" ref="M38:M40" si="42">O38*0.3</f>
        <v>0</v>
      </c>
      <c r="N38" s="16">
        <f t="shared" si="35"/>
        <v>0</v>
      </c>
      <c r="O38" s="16">
        <f t="shared" ref="O38:O42" si="43">P38+Q38+R38</f>
        <v>0</v>
      </c>
      <c r="P38" s="16">
        <f t="shared" si="36"/>
        <v>0</v>
      </c>
      <c r="Q38" s="16">
        <f t="shared" si="37"/>
        <v>0</v>
      </c>
      <c r="R38" s="16">
        <f t="shared" si="38"/>
        <v>0</v>
      </c>
    </row>
    <row r="39" spans="1:18" x14ac:dyDescent="0.35">
      <c r="C39" s="65" t="s">
        <v>3</v>
      </c>
      <c r="D39" s="65"/>
      <c r="E39" s="65"/>
      <c r="F39" s="65"/>
      <c r="G39" s="66"/>
      <c r="H39" s="16"/>
      <c r="K39" s="13">
        <f t="shared" si="34"/>
        <v>45624</v>
      </c>
      <c r="L39" s="14">
        <f t="shared" si="41"/>
        <v>0</v>
      </c>
      <c r="M39" s="14">
        <f t="shared" si="42"/>
        <v>0</v>
      </c>
      <c r="N39" s="14">
        <f t="shared" si="35"/>
        <v>0</v>
      </c>
      <c r="O39" s="14">
        <f t="shared" si="43"/>
        <v>0</v>
      </c>
      <c r="P39" s="14">
        <f t="shared" si="36"/>
        <v>0</v>
      </c>
      <c r="Q39" s="14">
        <f t="shared" si="37"/>
        <v>0</v>
      </c>
      <c r="R39" s="14">
        <f t="shared" si="38"/>
        <v>0</v>
      </c>
    </row>
    <row r="40" spans="1:18" x14ac:dyDescent="0.35">
      <c r="K40" s="15">
        <f t="shared" si="34"/>
        <v>45625</v>
      </c>
      <c r="L40" s="16">
        <f t="shared" si="41"/>
        <v>0</v>
      </c>
      <c r="M40" s="16">
        <f t="shared" si="42"/>
        <v>0</v>
      </c>
      <c r="N40" s="16">
        <f t="shared" si="35"/>
        <v>0</v>
      </c>
      <c r="O40" s="16">
        <f t="shared" si="43"/>
        <v>0</v>
      </c>
      <c r="P40" s="16">
        <f t="shared" si="36"/>
        <v>0</v>
      </c>
      <c r="Q40" s="16">
        <f t="shared" si="37"/>
        <v>0</v>
      </c>
      <c r="R40" s="16">
        <f t="shared" si="38"/>
        <v>0</v>
      </c>
    </row>
    <row r="41" spans="1:18" x14ac:dyDescent="0.35">
      <c r="K41" s="13">
        <f t="shared" si="34"/>
        <v>45626</v>
      </c>
      <c r="L41" s="14">
        <f t="shared" si="41"/>
        <v>0</v>
      </c>
      <c r="M41" s="14">
        <f>O41*0.3</f>
        <v>0</v>
      </c>
      <c r="N41" s="14">
        <f t="shared" si="35"/>
        <v>0</v>
      </c>
      <c r="O41" s="14">
        <f t="shared" si="43"/>
        <v>0</v>
      </c>
      <c r="P41" s="14">
        <f t="shared" si="36"/>
        <v>0</v>
      </c>
      <c r="Q41" s="14">
        <f t="shared" si="37"/>
        <v>0</v>
      </c>
      <c r="R41" s="14">
        <f t="shared" si="38"/>
        <v>0</v>
      </c>
    </row>
    <row r="42" spans="1:18" x14ac:dyDescent="0.35">
      <c r="K42" s="15">
        <f t="shared" si="34"/>
        <v>45627</v>
      </c>
      <c r="L42" s="16">
        <f t="shared" si="41"/>
        <v>0</v>
      </c>
      <c r="M42" s="16">
        <f>O42*0.3</f>
        <v>0</v>
      </c>
      <c r="N42" s="16">
        <f t="shared" si="35"/>
        <v>0</v>
      </c>
      <c r="O42" s="16">
        <f t="shared" si="43"/>
        <v>0</v>
      </c>
      <c r="P42" s="16">
        <f t="shared" si="36"/>
        <v>0</v>
      </c>
      <c r="Q42" s="16">
        <f t="shared" si="37"/>
        <v>0</v>
      </c>
      <c r="R42" s="16">
        <f t="shared" si="38"/>
        <v>0</v>
      </c>
    </row>
    <row r="43" spans="1:18" x14ac:dyDescent="0.35">
      <c r="K43" s="18" t="s">
        <v>3</v>
      </c>
      <c r="L43" s="18">
        <f>SUM(L36:L42)</f>
        <v>0</v>
      </c>
      <c r="M43" s="16">
        <f t="shared" ref="M43" si="44">SUM(M36:M42)</f>
        <v>0</v>
      </c>
      <c r="N43" s="14">
        <f t="shared" ref="N43:R43" si="45">SUM(N36:N42)</f>
        <v>0</v>
      </c>
      <c r="O43" s="14">
        <f t="shared" si="45"/>
        <v>0</v>
      </c>
      <c r="P43" s="14">
        <f t="shared" si="45"/>
        <v>0</v>
      </c>
      <c r="Q43" s="14">
        <f t="shared" si="45"/>
        <v>0</v>
      </c>
      <c r="R43" s="14">
        <f t="shared" si="45"/>
        <v>0</v>
      </c>
    </row>
    <row r="44" spans="1:18" x14ac:dyDescent="0.35">
      <c r="K44" s="18" t="s">
        <v>10</v>
      </c>
      <c r="L44" s="16"/>
      <c r="M44" s="16">
        <f>M43/3</f>
        <v>0</v>
      </c>
      <c r="N44" s="16"/>
      <c r="O44" s="16"/>
      <c r="P44" s="16"/>
      <c r="Q44" s="16"/>
      <c r="R44" s="16"/>
    </row>
    <row r="46" spans="1:18" x14ac:dyDescent="0.35">
      <c r="K46" s="19" t="s">
        <v>0</v>
      </c>
      <c r="L46" s="20"/>
      <c r="M46" s="20" t="s">
        <v>1</v>
      </c>
      <c r="N46" s="20" t="s">
        <v>2</v>
      </c>
      <c r="O46" s="20" t="s">
        <v>3</v>
      </c>
      <c r="P46" s="20" t="s">
        <v>4</v>
      </c>
      <c r="Q46" s="20" t="s">
        <v>5</v>
      </c>
      <c r="R46" s="20" t="s">
        <v>6</v>
      </c>
    </row>
    <row r="47" spans="1:18" x14ac:dyDescent="0.35">
      <c r="K47" s="15" t="e">
        <f>#REF!</f>
        <v>#REF!</v>
      </c>
      <c r="L47" s="16" t="e">
        <f>M47/3</f>
        <v>#REF!</v>
      </c>
      <c r="M47" s="16" t="e">
        <f t="shared" ref="M47:M53" si="46">O47*0.3</f>
        <v>#REF!</v>
      </c>
      <c r="N47" s="16" t="e">
        <f t="shared" ref="N47:N53" si="47">O47-M47</f>
        <v>#REF!</v>
      </c>
      <c r="O47" s="16" t="e">
        <f>P47+Q47+R47</f>
        <v>#REF!</v>
      </c>
      <c r="P47" s="16" t="e">
        <f t="shared" ref="P47:P53" si="48">VLOOKUP(K47,$A$1:$H$30,5,0)</f>
        <v>#REF!</v>
      </c>
      <c r="Q47" s="16" t="e">
        <f t="shared" ref="Q47:Q53" si="49">VLOOKUP(K47,$A$1:$H$30,6,0)</f>
        <v>#REF!</v>
      </c>
      <c r="R47" s="16" t="e">
        <f t="shared" ref="R47:R53" si="50">VLOOKUP(K47,$A$1:$H$30,7,0)</f>
        <v>#REF!</v>
      </c>
    </row>
    <row r="48" spans="1:18" x14ac:dyDescent="0.35">
      <c r="K48" s="13" t="e">
        <f>#REF!</f>
        <v>#REF!</v>
      </c>
      <c r="L48" s="14" t="e">
        <f>M48/3</f>
        <v>#REF!</v>
      </c>
      <c r="M48" s="14" t="e">
        <f>O48*0.3</f>
        <v>#REF!</v>
      </c>
      <c r="N48" s="14" t="e">
        <f t="shared" si="47"/>
        <v>#REF!</v>
      </c>
      <c r="O48" s="14" t="e">
        <f>P48+Q48+R48</f>
        <v>#REF!</v>
      </c>
      <c r="P48" s="14" t="e">
        <f t="shared" si="48"/>
        <v>#REF!</v>
      </c>
      <c r="Q48" s="14" t="e">
        <f t="shared" si="49"/>
        <v>#REF!</v>
      </c>
      <c r="R48" s="14" t="e">
        <f t="shared" si="50"/>
        <v>#REF!</v>
      </c>
    </row>
    <row r="49" spans="11:18" x14ac:dyDescent="0.35">
      <c r="K49" s="15" t="e">
        <f>#REF!</f>
        <v>#REF!</v>
      </c>
      <c r="L49" s="16" t="e">
        <f t="shared" ref="L49:L53" si="51">M49/3</f>
        <v>#REF!</v>
      </c>
      <c r="M49" s="16" t="e">
        <f t="shared" si="46"/>
        <v>#REF!</v>
      </c>
      <c r="N49" s="16" t="e">
        <f t="shared" si="47"/>
        <v>#REF!</v>
      </c>
      <c r="O49" s="16" t="e">
        <f t="shared" ref="O49:O53" si="52">P49+Q49+R49</f>
        <v>#REF!</v>
      </c>
      <c r="P49" s="16" t="e">
        <f t="shared" si="48"/>
        <v>#REF!</v>
      </c>
      <c r="Q49" s="16" t="e">
        <f t="shared" si="49"/>
        <v>#REF!</v>
      </c>
      <c r="R49" s="16" t="e">
        <f t="shared" si="50"/>
        <v>#REF!</v>
      </c>
    </row>
    <row r="50" spans="11:18" x14ac:dyDescent="0.35">
      <c r="K50" s="13" t="e">
        <f>#REF!</f>
        <v>#REF!</v>
      </c>
      <c r="L50" s="14" t="e">
        <f t="shared" si="51"/>
        <v>#REF!</v>
      </c>
      <c r="M50" s="14" t="e">
        <f>O50*0.3</f>
        <v>#REF!</v>
      </c>
      <c r="N50" s="14" t="e">
        <f t="shared" si="47"/>
        <v>#REF!</v>
      </c>
      <c r="O50" s="14" t="e">
        <f t="shared" si="52"/>
        <v>#REF!</v>
      </c>
      <c r="P50" s="14" t="e">
        <f t="shared" si="48"/>
        <v>#REF!</v>
      </c>
      <c r="Q50" s="14" t="e">
        <f t="shared" si="49"/>
        <v>#REF!</v>
      </c>
      <c r="R50" s="14" t="e">
        <f t="shared" si="50"/>
        <v>#REF!</v>
      </c>
    </row>
    <row r="51" spans="11:18" x14ac:dyDescent="0.35">
      <c r="K51" s="15" t="e">
        <f>#REF!</f>
        <v>#REF!</v>
      </c>
      <c r="L51" s="16" t="e">
        <f t="shared" si="51"/>
        <v>#REF!</v>
      </c>
      <c r="M51" s="16" t="e">
        <f t="shared" si="46"/>
        <v>#REF!</v>
      </c>
      <c r="N51" s="16" t="e">
        <f t="shared" si="47"/>
        <v>#REF!</v>
      </c>
      <c r="O51" s="16" t="e">
        <f t="shared" si="52"/>
        <v>#REF!</v>
      </c>
      <c r="P51" s="16" t="e">
        <f t="shared" si="48"/>
        <v>#REF!</v>
      </c>
      <c r="Q51" s="16" t="e">
        <f t="shared" si="49"/>
        <v>#REF!</v>
      </c>
      <c r="R51" s="16" t="e">
        <f t="shared" si="50"/>
        <v>#REF!</v>
      </c>
    </row>
    <row r="52" spans="11:18" x14ac:dyDescent="0.35">
      <c r="K52" s="13" t="e">
        <f>#REF!</f>
        <v>#REF!</v>
      </c>
      <c r="L52" s="14" t="e">
        <f t="shared" si="51"/>
        <v>#REF!</v>
      </c>
      <c r="M52" s="14" t="e">
        <f>O52*0.3</f>
        <v>#REF!</v>
      </c>
      <c r="N52" s="14" t="e">
        <f t="shared" si="47"/>
        <v>#REF!</v>
      </c>
      <c r="O52" s="14" t="e">
        <f t="shared" si="52"/>
        <v>#REF!</v>
      </c>
      <c r="P52" s="14" t="e">
        <f t="shared" si="48"/>
        <v>#REF!</v>
      </c>
      <c r="Q52" s="14" t="e">
        <f t="shared" si="49"/>
        <v>#REF!</v>
      </c>
      <c r="R52" s="14" t="e">
        <f t="shared" si="50"/>
        <v>#REF!</v>
      </c>
    </row>
    <row r="53" spans="11:18" x14ac:dyDescent="0.35">
      <c r="K53" s="15" t="e">
        <f>#REF!</f>
        <v>#REF!</v>
      </c>
      <c r="L53" s="16" t="e">
        <f t="shared" si="51"/>
        <v>#REF!</v>
      </c>
      <c r="M53" s="16" t="e">
        <f t="shared" si="46"/>
        <v>#REF!</v>
      </c>
      <c r="N53" s="16" t="e">
        <f t="shared" si="47"/>
        <v>#REF!</v>
      </c>
      <c r="O53" s="16" t="e">
        <f t="shared" si="52"/>
        <v>#REF!</v>
      </c>
      <c r="P53" s="16" t="e">
        <f t="shared" si="48"/>
        <v>#REF!</v>
      </c>
      <c r="Q53" s="16" t="e">
        <f t="shared" si="49"/>
        <v>#REF!</v>
      </c>
      <c r="R53" s="16" t="e">
        <f t="shared" si="50"/>
        <v>#REF!</v>
      </c>
    </row>
    <row r="54" spans="11:18" x14ac:dyDescent="0.35">
      <c r="K54" s="18" t="s">
        <v>3</v>
      </c>
      <c r="L54" s="18" t="e">
        <f>SUM(L47:L53)</f>
        <v>#REF!</v>
      </c>
      <c r="M54" s="14" t="e">
        <f t="shared" ref="M54:R54" si="53">SUM(M47:M53)</f>
        <v>#REF!</v>
      </c>
      <c r="N54" s="14" t="e">
        <f t="shared" si="53"/>
        <v>#REF!</v>
      </c>
      <c r="O54" s="14" t="e">
        <f t="shared" si="53"/>
        <v>#REF!</v>
      </c>
      <c r="P54" s="14" t="e">
        <f t="shared" si="53"/>
        <v>#REF!</v>
      </c>
      <c r="Q54" s="14" t="e">
        <f t="shared" si="53"/>
        <v>#REF!</v>
      </c>
      <c r="R54" s="14" t="e">
        <f t="shared" si="53"/>
        <v>#REF!</v>
      </c>
    </row>
    <row r="55" spans="11:18" x14ac:dyDescent="0.35">
      <c r="K55" s="18" t="s">
        <v>10</v>
      </c>
      <c r="L55" s="16"/>
      <c r="M55" s="16" t="e">
        <f>M54/3</f>
        <v>#REF!</v>
      </c>
      <c r="N55" s="16"/>
      <c r="O55" s="16"/>
      <c r="P55" s="16"/>
      <c r="Q55" s="16"/>
      <c r="R55" s="16"/>
    </row>
    <row r="58" spans="11:18" x14ac:dyDescent="0.35">
      <c r="K58" s="19" t="s">
        <v>0</v>
      </c>
      <c r="L58" s="20"/>
      <c r="M58" s="20" t="s">
        <v>1</v>
      </c>
      <c r="N58" s="20" t="s">
        <v>2</v>
      </c>
      <c r="O58" s="20" t="s">
        <v>3</v>
      </c>
      <c r="P58" s="20" t="s">
        <v>4</v>
      </c>
      <c r="Q58" s="20" t="s">
        <v>5</v>
      </c>
      <c r="R58" s="20" t="s">
        <v>6</v>
      </c>
    </row>
    <row r="59" spans="11:18" x14ac:dyDescent="0.35">
      <c r="K59" s="30">
        <f>A6</f>
        <v>45604</v>
      </c>
      <c r="L59" s="14"/>
      <c r="M59" s="14">
        <f t="shared" ref="M59:R59" si="54">SUM(B7:B29)</f>
        <v>0</v>
      </c>
      <c r="N59" s="14">
        <f t="shared" si="54"/>
        <v>0</v>
      </c>
      <c r="O59" s="14">
        <f t="shared" si="54"/>
        <v>0</v>
      </c>
      <c r="P59" s="14">
        <f t="shared" si="54"/>
        <v>0</v>
      </c>
      <c r="Q59" s="14">
        <f t="shared" si="54"/>
        <v>0</v>
      </c>
      <c r="R59" s="14">
        <f t="shared" si="54"/>
        <v>0</v>
      </c>
    </row>
    <row r="60" spans="11:18" x14ac:dyDescent="0.35">
      <c r="K60" s="18" t="s">
        <v>10</v>
      </c>
      <c r="L60" s="16"/>
      <c r="M60" s="16">
        <f>M59/3</f>
        <v>0</v>
      </c>
      <c r="N60" s="16"/>
      <c r="O60" s="16"/>
      <c r="P60" s="16"/>
      <c r="Q60" s="16"/>
      <c r="R60" s="16"/>
    </row>
  </sheetData>
  <mergeCells count="1">
    <mergeCell ref="C39:G39"/>
  </mergeCells>
  <conditionalFormatting sqref="A1:H1">
    <cfRule type="dataBar" priority="10">
      <dataBar>
        <cfvo type="min"/>
        <cfvo type="max"/>
        <color rgb="FF638EC6"/>
      </dataBar>
    </cfRule>
  </conditionalFormatting>
  <conditionalFormatting sqref="A33:H33">
    <cfRule type="dataBar" priority="2">
      <dataBar>
        <cfvo type="min"/>
        <cfvo type="max"/>
        <color rgb="FF638EC6"/>
      </dataBar>
    </cfRule>
  </conditionalFormatting>
  <conditionalFormatting sqref="H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R1">
    <cfRule type="dataBar" priority="4">
      <dataBar>
        <cfvo type="min"/>
        <cfvo type="max"/>
        <color rgb="FF638EC6"/>
      </dataBar>
    </cfRule>
  </conditionalFormatting>
  <conditionalFormatting sqref="K24:R24">
    <cfRule type="dataBar" priority="7">
      <dataBar>
        <cfvo type="min"/>
        <cfvo type="max"/>
        <color rgb="FF638EC6"/>
      </dataBar>
    </cfRule>
  </conditionalFormatting>
  <conditionalFormatting sqref="K35:R35">
    <cfRule type="dataBar" priority="6">
      <dataBar>
        <cfvo type="min"/>
        <cfvo type="max"/>
        <color rgb="FF638EC6"/>
      </dataBar>
    </cfRule>
  </conditionalFormatting>
  <conditionalFormatting sqref="K46:R46">
    <cfRule type="dataBar" priority="3">
      <dataBar>
        <cfvo type="min"/>
        <cfvo type="max"/>
        <color rgb="FF638EC6"/>
      </dataBar>
    </cfRule>
  </conditionalFormatting>
  <conditionalFormatting sqref="K58:R58">
    <cfRule type="dataBar" priority="5">
      <dataBar>
        <cfvo type="min"/>
        <cfvo type="max"/>
        <color rgb="FF638EC6"/>
      </dataBar>
    </cfRule>
  </conditionalFormatting>
  <conditionalFormatting sqref="L13:M13">
    <cfRule type="dataBar" priority="1">
      <dataBar>
        <cfvo type="min"/>
        <cfvo type="max"/>
        <color rgb="FF638EC6"/>
      </dataBar>
    </cfRule>
  </conditionalFormatting>
  <conditionalFormatting sqref="N13:R13 K13">
    <cfRule type="dataBar" priority="8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January 2024</vt:lpstr>
      <vt:lpstr>Febuary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September Expense</vt:lpstr>
      <vt:lpstr>October Exepenses</vt:lpstr>
      <vt:lpstr>Octomber 2024</vt:lpstr>
      <vt:lpstr>Diwali P&amp;L 2024</vt:lpstr>
      <vt:lpstr>November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 Dharmesh</dc:creator>
  <cp:lastModifiedBy>Maru, Dharmesh</cp:lastModifiedBy>
  <cp:lastPrinted>2024-11-05T10:13:05Z</cp:lastPrinted>
  <dcterms:created xsi:type="dcterms:W3CDTF">2024-01-03T04:48:40Z</dcterms:created>
  <dcterms:modified xsi:type="dcterms:W3CDTF">2025-10-23T14:13:51Z</dcterms:modified>
</cp:coreProperties>
</file>