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"/>
    </mc:Choice>
  </mc:AlternateContent>
  <xr:revisionPtr revIDLastSave="19" documentId="13_ncr:1_{DD1A7D4D-FE43-4E1F-B300-9B6FD7945DFF}" xr6:coauthVersionLast="47" xr6:coauthVersionMax="47" xr10:uidLastSave="{710472E4-9D07-4545-91FD-9B836D8DE62C}"/>
  <bookViews>
    <workbookView xWindow="-110" yWindow="-110" windowWidth="19420" windowHeight="11500" tabRatio="693" firstSheet="8" activeTab="12" xr2:uid="{00000000-000D-0000-FFFF-FFFF00000000}"/>
  </bookViews>
  <sheets>
    <sheet name="Sheet1" sheetId="17" r:id="rId1"/>
    <sheet name="January 2023" sheetId="14" r:id="rId2"/>
    <sheet name="Febuary 2023" sheetId="13" r:id="rId3"/>
    <sheet name="March 2023" sheetId="16" r:id="rId4"/>
    <sheet name="April 2023" sheetId="18" r:id="rId5"/>
    <sheet name="May 2023" sheetId="19" r:id="rId6"/>
    <sheet name="June 2023" sheetId="20" r:id="rId7"/>
    <sheet name="July 2023" sheetId="21" r:id="rId8"/>
    <sheet name="August 2023" sheetId="22" r:id="rId9"/>
    <sheet name="September 2023" sheetId="23" r:id="rId10"/>
    <sheet name="October 2023" sheetId="24" r:id="rId11"/>
    <sheet name="November 2023" sheetId="30" r:id="rId12"/>
    <sheet name="December 2023" sheetId="26" r:id="rId13"/>
    <sheet name="Diwali 2023" sheetId="27" r:id="rId14"/>
    <sheet name="Expense(online)" sheetId="28" r:id="rId15"/>
    <sheet name="Sheet4" sheetId="29" r:id="rId16"/>
  </sheet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3" i="26" l="1"/>
  <c r="G19" i="26"/>
  <c r="G12" i="26"/>
  <c r="G10" i="26"/>
  <c r="Q59" i="30"/>
  <c r="K59" i="30"/>
  <c r="K53" i="30"/>
  <c r="O53" i="30" s="1"/>
  <c r="Q52" i="30"/>
  <c r="P52" i="30"/>
  <c r="K52" i="30"/>
  <c r="O52" i="30" s="1"/>
  <c r="N52" i="30" s="1"/>
  <c r="K51" i="30"/>
  <c r="K50" i="30"/>
  <c r="Q50" i="30" s="1"/>
  <c r="Q49" i="30"/>
  <c r="P49" i="30"/>
  <c r="O49" i="30"/>
  <c r="N49" i="30"/>
  <c r="L49" i="30" s="1"/>
  <c r="K49" i="30"/>
  <c r="K48" i="30"/>
  <c r="Q48" i="30" s="1"/>
  <c r="Q47" i="30"/>
  <c r="P47" i="30"/>
  <c r="O47" i="30"/>
  <c r="N47" i="30" s="1"/>
  <c r="K47" i="30"/>
  <c r="A46" i="30"/>
  <c r="A43" i="30"/>
  <c r="Q42" i="30"/>
  <c r="P42" i="30"/>
  <c r="O42" i="30"/>
  <c r="N42" i="30"/>
  <c r="L42" i="30" s="1"/>
  <c r="M42" i="30"/>
  <c r="K42" i="30"/>
  <c r="A42" i="30"/>
  <c r="Q41" i="30"/>
  <c r="P41" i="30"/>
  <c r="K41" i="30"/>
  <c r="O41" i="30" s="1"/>
  <c r="N41" i="30" s="1"/>
  <c r="K40" i="30"/>
  <c r="Q40" i="30" s="1"/>
  <c r="Q39" i="30"/>
  <c r="P39" i="30"/>
  <c r="O39" i="30"/>
  <c r="N39" i="30"/>
  <c r="K39" i="30"/>
  <c r="K38" i="30"/>
  <c r="K37" i="30"/>
  <c r="Q37" i="30" s="1"/>
  <c r="G37" i="30"/>
  <c r="K36" i="30"/>
  <c r="D36" i="30"/>
  <c r="C36" i="30" s="1"/>
  <c r="B36" i="30"/>
  <c r="H36" i="30" s="1"/>
  <c r="D35" i="30"/>
  <c r="B35" i="30"/>
  <c r="D34" i="30"/>
  <c r="D33" i="30"/>
  <c r="B33" i="30"/>
  <c r="C33" i="30" s="1"/>
  <c r="D32" i="30"/>
  <c r="B32" i="30"/>
  <c r="C32" i="30" s="1"/>
  <c r="Q31" i="30"/>
  <c r="P31" i="30"/>
  <c r="O31" i="30"/>
  <c r="N31" i="30"/>
  <c r="K31" i="30"/>
  <c r="D31" i="30"/>
  <c r="B31" i="30"/>
  <c r="C31" i="30" s="1"/>
  <c r="Q30" i="30"/>
  <c r="P30" i="30"/>
  <c r="O30" i="30"/>
  <c r="N30" i="30"/>
  <c r="K30" i="30"/>
  <c r="D30" i="30"/>
  <c r="B30" i="30"/>
  <c r="C30" i="30" s="1"/>
  <c r="Q29" i="30"/>
  <c r="P29" i="30"/>
  <c r="O29" i="30"/>
  <c r="N29" i="30" s="1"/>
  <c r="K29" i="30"/>
  <c r="F29" i="30"/>
  <c r="F37" i="30" s="1"/>
  <c r="D29" i="30"/>
  <c r="B29" i="30"/>
  <c r="C29" i="30" s="1"/>
  <c r="Q28" i="30"/>
  <c r="P28" i="30"/>
  <c r="O28" i="30"/>
  <c r="N28" i="30" s="1"/>
  <c r="K28" i="30"/>
  <c r="D28" i="30"/>
  <c r="B28" i="30"/>
  <c r="Q27" i="30"/>
  <c r="P27" i="30"/>
  <c r="O27" i="30"/>
  <c r="K27" i="30"/>
  <c r="D27" i="30"/>
  <c r="B27" i="30"/>
  <c r="Q26" i="30"/>
  <c r="P26" i="30"/>
  <c r="O26" i="30"/>
  <c r="N26" i="30" s="1"/>
  <c r="K26" i="30"/>
  <c r="D26" i="30"/>
  <c r="B26" i="30"/>
  <c r="Q25" i="30"/>
  <c r="Q32" i="30" s="1"/>
  <c r="G43" i="30" s="1"/>
  <c r="P25" i="30"/>
  <c r="N25" i="30" s="1"/>
  <c r="K25" i="30"/>
  <c r="D25" i="30"/>
  <c r="B25" i="30"/>
  <c r="D24" i="30"/>
  <c r="B24" i="30" s="1"/>
  <c r="C24" i="30"/>
  <c r="D23" i="30"/>
  <c r="B23" i="30"/>
  <c r="D22" i="30"/>
  <c r="B22" i="30" s="1"/>
  <c r="C22" i="30"/>
  <c r="D21" i="30"/>
  <c r="C21" i="30"/>
  <c r="B21" i="30"/>
  <c r="K20" i="30"/>
  <c r="Q20" i="30" s="1"/>
  <c r="D20" i="30"/>
  <c r="B20" i="30"/>
  <c r="C20" i="30" s="1"/>
  <c r="K19" i="30"/>
  <c r="Q19" i="30" s="1"/>
  <c r="D19" i="30"/>
  <c r="B19" i="30"/>
  <c r="K18" i="30"/>
  <c r="Q18" i="30" s="1"/>
  <c r="D18" i="30"/>
  <c r="C18" i="30"/>
  <c r="B18" i="30"/>
  <c r="K17" i="30"/>
  <c r="Q17" i="30" s="1"/>
  <c r="D17" i="30"/>
  <c r="B17" i="30"/>
  <c r="C17" i="30" s="1"/>
  <c r="K16" i="30"/>
  <c r="Q16" i="30" s="1"/>
  <c r="D16" i="30"/>
  <c r="B16" i="30"/>
  <c r="K15" i="30"/>
  <c r="Q15" i="30" s="1"/>
  <c r="D15" i="30"/>
  <c r="C15" i="30"/>
  <c r="B15" i="30"/>
  <c r="K14" i="30"/>
  <c r="Q14" i="30" s="1"/>
  <c r="E14" i="30"/>
  <c r="D14" i="30"/>
  <c r="B14" i="30" s="1"/>
  <c r="C14" i="30"/>
  <c r="E13" i="30"/>
  <c r="D13" i="30"/>
  <c r="B13" i="30"/>
  <c r="E12" i="30"/>
  <c r="D12" i="30"/>
  <c r="B12" i="30" s="1"/>
  <c r="C12" i="30"/>
  <c r="E11" i="30"/>
  <c r="D11" i="30"/>
  <c r="B11" i="30"/>
  <c r="C11" i="30" s="1"/>
  <c r="E10" i="30"/>
  <c r="D10" i="30"/>
  <c r="B10" i="30"/>
  <c r="Q9" i="30"/>
  <c r="P9" i="30"/>
  <c r="O9" i="30"/>
  <c r="N9" i="30"/>
  <c r="K9" i="30"/>
  <c r="E9" i="30"/>
  <c r="E37" i="30" s="1"/>
  <c r="D9" i="30"/>
  <c r="B9" i="30"/>
  <c r="C9" i="30" s="1"/>
  <c r="Q8" i="30"/>
  <c r="P8" i="30"/>
  <c r="O8" i="30"/>
  <c r="N8" i="30" s="1"/>
  <c r="K8" i="30"/>
  <c r="D8" i="30"/>
  <c r="B8" i="30"/>
  <c r="Q7" i="30"/>
  <c r="P7" i="30"/>
  <c r="O7" i="30"/>
  <c r="K7" i="30"/>
  <c r="D7" i="30"/>
  <c r="B7" i="30"/>
  <c r="Q6" i="30"/>
  <c r="P6" i="30"/>
  <c r="O6" i="30"/>
  <c r="N6" i="30" s="1"/>
  <c r="K6" i="30"/>
  <c r="D6" i="30"/>
  <c r="B6" i="30"/>
  <c r="Q5" i="30"/>
  <c r="P5" i="30"/>
  <c r="O5" i="30"/>
  <c r="K5" i="30"/>
  <c r="D5" i="30"/>
  <c r="B5" i="30"/>
  <c r="C5" i="30" s="1"/>
  <c r="Q4" i="30"/>
  <c r="P4" i="30"/>
  <c r="O4" i="30"/>
  <c r="N4" i="30" s="1"/>
  <c r="K4" i="30"/>
  <c r="D4" i="30"/>
  <c r="B4" i="30"/>
  <c r="Q3" i="30"/>
  <c r="Q10" i="30" s="1"/>
  <c r="G41" i="30" s="1"/>
  <c r="P3" i="30"/>
  <c r="P10" i="30" s="1"/>
  <c r="F41" i="30" s="1"/>
  <c r="O3" i="30"/>
  <c r="O10" i="30" s="1"/>
  <c r="E41" i="30" s="1"/>
  <c r="K3" i="30"/>
  <c r="A41" i="30" s="1"/>
  <c r="D3" i="30"/>
  <c r="B3" i="30"/>
  <c r="C3" i="30" s="1"/>
  <c r="D2" i="30"/>
  <c r="C31" i="17"/>
  <c r="B31" i="17"/>
  <c r="C30" i="17"/>
  <c r="B30" i="17"/>
  <c r="C29" i="17"/>
  <c r="B29" i="17"/>
  <c r="C28" i="17"/>
  <c r="D28" i="17" s="1"/>
  <c r="E28" i="17" s="1"/>
  <c r="B28" i="17"/>
  <c r="C27" i="17"/>
  <c r="D27" i="17" s="1"/>
  <c r="E27" i="17" s="1"/>
  <c r="B27" i="17"/>
  <c r="C26" i="17"/>
  <c r="B26" i="17"/>
  <c r="D26" i="17"/>
  <c r="E26" i="17" s="1"/>
  <c r="C24" i="17"/>
  <c r="B24" i="17"/>
  <c r="B25" i="17"/>
  <c r="C25" i="17"/>
  <c r="C23" i="17"/>
  <c r="D23" i="17" s="1"/>
  <c r="E23" i="17" s="1"/>
  <c r="B23" i="17"/>
  <c r="C21" i="17"/>
  <c r="D21" i="17"/>
  <c r="E21" i="17" s="1"/>
  <c r="B21" i="17"/>
  <c r="C22" i="17"/>
  <c r="B22" i="17"/>
  <c r="C20" i="17"/>
  <c r="B20" i="17"/>
  <c r="B19" i="17"/>
  <c r="C19" i="17"/>
  <c r="D19" i="17" s="1"/>
  <c r="E19" i="17" s="1"/>
  <c r="L5" i="17"/>
  <c r="L10" i="17" s="1"/>
  <c r="K3" i="17"/>
  <c r="C3" i="17"/>
  <c r="D3" i="17" s="1"/>
  <c r="C2" i="17"/>
  <c r="D2" i="17"/>
  <c r="L29" i="30" l="1"/>
  <c r="M29" i="30" s="1"/>
  <c r="N32" i="30"/>
  <c r="D43" i="30" s="1"/>
  <c r="M25" i="30"/>
  <c r="L25" i="30"/>
  <c r="H26" i="30"/>
  <c r="L31" i="30"/>
  <c r="M31" i="30" s="1"/>
  <c r="H6" i="30"/>
  <c r="H22" i="30"/>
  <c r="L39" i="30"/>
  <c r="M39" i="30" s="1"/>
  <c r="O51" i="30"/>
  <c r="Q51" i="30"/>
  <c r="P51" i="30"/>
  <c r="H10" i="30"/>
  <c r="L28" i="30"/>
  <c r="M28" i="30" s="1"/>
  <c r="L4" i="30"/>
  <c r="M4" i="30" s="1"/>
  <c r="H24" i="30"/>
  <c r="Q36" i="30"/>
  <c r="O36" i="30"/>
  <c r="A44" i="30"/>
  <c r="P36" i="30"/>
  <c r="H14" i="30"/>
  <c r="H25" i="30"/>
  <c r="H27" i="30"/>
  <c r="O32" i="30"/>
  <c r="E43" i="30" s="1"/>
  <c r="N53" i="30"/>
  <c r="H35" i="30"/>
  <c r="L6" i="30"/>
  <c r="M6" i="30" s="1"/>
  <c r="H20" i="30"/>
  <c r="L30" i="30"/>
  <c r="M30" i="30" s="1"/>
  <c r="L59" i="30"/>
  <c r="L60" i="30" s="1"/>
  <c r="P32" i="30"/>
  <c r="F43" i="30" s="1"/>
  <c r="M49" i="30"/>
  <c r="L9" i="30"/>
  <c r="M9" i="30" s="1"/>
  <c r="H4" i="30"/>
  <c r="H8" i="30"/>
  <c r="D37" i="30"/>
  <c r="E38" i="30" s="1"/>
  <c r="E39" i="30" s="1"/>
  <c r="C16" i="30"/>
  <c r="H16" i="30" s="1"/>
  <c r="L47" i="30"/>
  <c r="L26" i="30"/>
  <c r="M26" i="30" s="1"/>
  <c r="L52" i="30"/>
  <c r="M52" i="30" s="1"/>
  <c r="L8" i="30"/>
  <c r="M8" i="30" s="1"/>
  <c r="Q54" i="30"/>
  <c r="G45" i="30" s="1"/>
  <c r="I36" i="30"/>
  <c r="I5" i="30"/>
  <c r="I24" i="30"/>
  <c r="I23" i="30"/>
  <c r="I13" i="30"/>
  <c r="B2" i="30"/>
  <c r="I4" i="30"/>
  <c r="I35" i="30"/>
  <c r="I21" i="30"/>
  <c r="I18" i="30"/>
  <c r="I16" i="30"/>
  <c r="I14" i="30"/>
  <c r="I2" i="30"/>
  <c r="I11" i="30"/>
  <c r="I10" i="30"/>
  <c r="I6" i="30"/>
  <c r="I32" i="30"/>
  <c r="I31" i="30"/>
  <c r="I30" i="30"/>
  <c r="I29" i="30"/>
  <c r="I25" i="30"/>
  <c r="I9" i="30"/>
  <c r="I8" i="30"/>
  <c r="I33" i="30"/>
  <c r="I28" i="30"/>
  <c r="I27" i="30"/>
  <c r="I26" i="30"/>
  <c r="I7" i="30"/>
  <c r="I3" i="30"/>
  <c r="I20" i="30"/>
  <c r="I19" i="30"/>
  <c r="I17" i="30"/>
  <c r="I15" i="30"/>
  <c r="I12" i="30"/>
  <c r="I22" i="30"/>
  <c r="H17" i="30"/>
  <c r="N59" i="30"/>
  <c r="Q21" i="30"/>
  <c r="G42" i="30" s="1"/>
  <c r="L41" i="30"/>
  <c r="M41" i="30" s="1"/>
  <c r="H15" i="30"/>
  <c r="H18" i="30"/>
  <c r="H21" i="30"/>
  <c r="N27" i="30"/>
  <c r="H12" i="30"/>
  <c r="I34" i="30"/>
  <c r="C19" i="30"/>
  <c r="H19" i="30" s="1"/>
  <c r="N3" i="30"/>
  <c r="N5" i="30"/>
  <c r="N7" i="30"/>
  <c r="C34" i="30"/>
  <c r="P38" i="30"/>
  <c r="O38" i="30"/>
  <c r="N38" i="30" s="1"/>
  <c r="Q38" i="30"/>
  <c r="C35" i="30"/>
  <c r="C4" i="30"/>
  <c r="C6" i="30"/>
  <c r="C8" i="30"/>
  <c r="C26" i="30"/>
  <c r="C28" i="30"/>
  <c r="H28" i="30" s="1"/>
  <c r="C10" i="30"/>
  <c r="C25" i="30"/>
  <c r="H5" i="30"/>
  <c r="H9" i="30"/>
  <c r="C23" i="30"/>
  <c r="H23" i="30" s="1"/>
  <c r="H29" i="30"/>
  <c r="H30" i="30"/>
  <c r="H31" i="30"/>
  <c r="H32" i="30"/>
  <c r="B37" i="30"/>
  <c r="B38" i="30" s="1"/>
  <c r="O37" i="30"/>
  <c r="O48" i="30"/>
  <c r="P53" i="30"/>
  <c r="C13" i="30"/>
  <c r="H13" i="30" s="1"/>
  <c r="H11" i="30"/>
  <c r="P37" i="30"/>
  <c r="O40" i="30"/>
  <c r="N40" i="30" s="1"/>
  <c r="P48" i="30"/>
  <c r="P54" i="30" s="1"/>
  <c r="F45" i="30" s="1"/>
  <c r="Q53" i="30"/>
  <c r="O59" i="30"/>
  <c r="H3" i="30"/>
  <c r="H33" i="30"/>
  <c r="O14" i="30"/>
  <c r="O15" i="30"/>
  <c r="O16" i="30"/>
  <c r="O17" i="30"/>
  <c r="O18" i="30"/>
  <c r="O19" i="30"/>
  <c r="N19" i="30" s="1"/>
  <c r="O20" i="30"/>
  <c r="N20" i="30" s="1"/>
  <c r="B34" i="30"/>
  <c r="P40" i="30"/>
  <c r="O50" i="30"/>
  <c r="N50" i="30" s="1"/>
  <c r="P59" i="30"/>
  <c r="C7" i="30"/>
  <c r="H7" i="30" s="1"/>
  <c r="C27" i="30"/>
  <c r="A45" i="30"/>
  <c r="P14" i="30"/>
  <c r="P15" i="30"/>
  <c r="P16" i="30"/>
  <c r="P17" i="30"/>
  <c r="P18" i="30"/>
  <c r="P19" i="30"/>
  <c r="P20" i="30"/>
  <c r="P50" i="30"/>
  <c r="D31" i="17"/>
  <c r="E31" i="17" s="1"/>
  <c r="D30" i="17"/>
  <c r="E30" i="17" s="1"/>
  <c r="D29" i="17"/>
  <c r="E29" i="17" s="1"/>
  <c r="H3" i="17"/>
  <c r="D25" i="17"/>
  <c r="E25" i="17" s="1"/>
  <c r="D22" i="17"/>
  <c r="E22" i="17" s="1"/>
  <c r="D24" i="17"/>
  <c r="E24" i="17" s="1"/>
  <c r="D20" i="17"/>
  <c r="E20" i="17" s="1"/>
  <c r="H2" i="17"/>
  <c r="L40" i="30" l="1"/>
  <c r="M40" i="30"/>
  <c r="L53" i="30"/>
  <c r="M53" i="30" s="1"/>
  <c r="L19" i="30"/>
  <c r="M19" i="30"/>
  <c r="L38" i="30"/>
  <c r="M38" i="30" s="1"/>
  <c r="N17" i="30"/>
  <c r="M47" i="30"/>
  <c r="N16" i="30"/>
  <c r="M7" i="30"/>
  <c r="L7" i="30"/>
  <c r="N51" i="30"/>
  <c r="L50" i="30"/>
  <c r="M50" i="30"/>
  <c r="P43" i="30"/>
  <c r="F44" i="30" s="1"/>
  <c r="O21" i="30"/>
  <c r="E42" i="30" s="1"/>
  <c r="E46" i="30" s="1"/>
  <c r="N14" i="30"/>
  <c r="L3" i="30"/>
  <c r="N10" i="30"/>
  <c r="D41" i="30" s="1"/>
  <c r="M59" i="30"/>
  <c r="O43" i="30"/>
  <c r="E44" i="30" s="1"/>
  <c r="N36" i="30"/>
  <c r="B39" i="30"/>
  <c r="Q43" i="30"/>
  <c r="G44" i="30" s="1"/>
  <c r="G46" i="30" s="1"/>
  <c r="C37" i="30"/>
  <c r="L27" i="30"/>
  <c r="L32" i="30" s="1"/>
  <c r="L20" i="30"/>
  <c r="M20" i="30" s="1"/>
  <c r="N18" i="30"/>
  <c r="P21" i="30"/>
  <c r="F42" i="30" s="1"/>
  <c r="N15" i="30"/>
  <c r="M5" i="30"/>
  <c r="L5" i="30"/>
  <c r="C2" i="30"/>
  <c r="H2" i="30" s="1"/>
  <c r="N48" i="30"/>
  <c r="N37" i="30"/>
  <c r="H34" i="30"/>
  <c r="H37" i="30" s="1"/>
  <c r="I37" i="30"/>
  <c r="O54" i="30"/>
  <c r="E45" i="30" s="1"/>
  <c r="C5" i="17"/>
  <c r="H5" i="17" s="1"/>
  <c r="C6" i="17"/>
  <c r="H6" i="17" s="1"/>
  <c r="C7" i="17"/>
  <c r="D7" i="17" s="1"/>
  <c r="C8" i="17"/>
  <c r="H8" i="17" s="1"/>
  <c r="C11" i="17"/>
  <c r="H11" i="17" s="1"/>
  <c r="C12" i="17"/>
  <c r="H12" i="17" s="1"/>
  <c r="C13" i="17"/>
  <c r="H13" i="17" s="1"/>
  <c r="C14" i="17"/>
  <c r="H14" i="17" s="1"/>
  <c r="C4" i="17"/>
  <c r="E37" i="26"/>
  <c r="F37" i="26"/>
  <c r="G37" i="26"/>
  <c r="C37" i="24"/>
  <c r="D37" i="24"/>
  <c r="E37" i="24"/>
  <c r="F37" i="24"/>
  <c r="G37" i="24"/>
  <c r="H37" i="24"/>
  <c r="I37" i="24"/>
  <c r="B37" i="24"/>
  <c r="C37" i="23"/>
  <c r="D37" i="23"/>
  <c r="E37" i="23"/>
  <c r="F37" i="23"/>
  <c r="G37" i="23"/>
  <c r="H37" i="23"/>
  <c r="I37" i="23"/>
  <c r="B37" i="23"/>
  <c r="C37" i="22"/>
  <c r="D37" i="22"/>
  <c r="E37" i="22"/>
  <c r="F37" i="22"/>
  <c r="G37" i="22"/>
  <c r="H37" i="22"/>
  <c r="I37" i="22"/>
  <c r="B37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2" i="22"/>
  <c r="B3" i="22"/>
  <c r="E10" i="17"/>
  <c r="C10" i="17" s="1"/>
  <c r="F10" i="17"/>
  <c r="G10" i="17"/>
  <c r="C41" i="21"/>
  <c r="D41" i="21"/>
  <c r="E41" i="21"/>
  <c r="F41" i="21"/>
  <c r="G41" i="21"/>
  <c r="H41" i="21"/>
  <c r="I41" i="21"/>
  <c r="B41" i="21"/>
  <c r="E9" i="17"/>
  <c r="F9" i="17"/>
  <c r="G9" i="17"/>
  <c r="C49" i="19"/>
  <c r="D49" i="19"/>
  <c r="E49" i="19"/>
  <c r="F49" i="19"/>
  <c r="G49" i="19"/>
  <c r="H49" i="19"/>
  <c r="B49" i="19"/>
  <c r="B30" i="20"/>
  <c r="C37" i="19"/>
  <c r="D37" i="19"/>
  <c r="E37" i="19"/>
  <c r="F37" i="19"/>
  <c r="G37" i="19"/>
  <c r="H37" i="19"/>
  <c r="I37" i="19"/>
  <c r="B37" i="19"/>
  <c r="C37" i="18"/>
  <c r="D37" i="18"/>
  <c r="E37" i="18"/>
  <c r="F37" i="18"/>
  <c r="G37" i="18"/>
  <c r="H37" i="18"/>
  <c r="I37" i="18"/>
  <c r="B37" i="18"/>
  <c r="C37" i="16"/>
  <c r="D37" i="16"/>
  <c r="E37" i="16"/>
  <c r="F37" i="16"/>
  <c r="G37" i="16"/>
  <c r="H37" i="16"/>
  <c r="I37" i="16"/>
  <c r="B37" i="16"/>
  <c r="H7" i="17"/>
  <c r="C37" i="13"/>
  <c r="D37" i="13"/>
  <c r="E37" i="13"/>
  <c r="F37" i="13"/>
  <c r="G37" i="13"/>
  <c r="H37" i="13"/>
  <c r="I37" i="13"/>
  <c r="B37" i="13"/>
  <c r="C37" i="14"/>
  <c r="D37" i="14"/>
  <c r="E37" i="14"/>
  <c r="F37" i="14"/>
  <c r="G37" i="14"/>
  <c r="H37" i="14"/>
  <c r="I37" i="14"/>
  <c r="B37" i="14"/>
  <c r="D29" i="26"/>
  <c r="B29" i="26" s="1"/>
  <c r="C296" i="28"/>
  <c r="C295" i="28"/>
  <c r="C294" i="28"/>
  <c r="C293" i="28"/>
  <c r="C292" i="28"/>
  <c r="C291" i="28"/>
  <c r="C290" i="28"/>
  <c r="C289" i="28"/>
  <c r="C288" i="28"/>
  <c r="C287" i="28"/>
  <c r="C286" i="28"/>
  <c r="C285" i="28"/>
  <c r="C284" i="28"/>
  <c r="C283" i="28"/>
  <c r="C282" i="28"/>
  <c r="C281" i="28"/>
  <c r="C280" i="28"/>
  <c r="C279" i="28"/>
  <c r="C278" i="28"/>
  <c r="C277" i="28"/>
  <c r="C276" i="28"/>
  <c r="C275" i="28"/>
  <c r="C274" i="28"/>
  <c r="C273" i="28"/>
  <c r="C272" i="28"/>
  <c r="C271" i="28"/>
  <c r="C270" i="28"/>
  <c r="C269" i="28"/>
  <c r="C268" i="28"/>
  <c r="C267" i="28"/>
  <c r="C266" i="28"/>
  <c r="C265" i="28"/>
  <c r="C264" i="28"/>
  <c r="C263" i="28"/>
  <c r="C262" i="28"/>
  <c r="C261" i="28"/>
  <c r="C260" i="28"/>
  <c r="C259" i="28"/>
  <c r="C258" i="28"/>
  <c r="C257" i="28"/>
  <c r="C256" i="28"/>
  <c r="C255" i="28"/>
  <c r="C254" i="28"/>
  <c r="C253" i="28"/>
  <c r="C252" i="28"/>
  <c r="C251" i="28"/>
  <c r="C250" i="28"/>
  <c r="C249" i="28"/>
  <c r="C248" i="28"/>
  <c r="C247" i="28"/>
  <c r="C246" i="28"/>
  <c r="C245" i="28"/>
  <c r="C244" i="28"/>
  <c r="C243" i="28"/>
  <c r="C242" i="28"/>
  <c r="C241" i="28"/>
  <c r="C240" i="28"/>
  <c r="C239" i="28"/>
  <c r="C238" i="28"/>
  <c r="C237" i="28"/>
  <c r="C236" i="28"/>
  <c r="C235" i="28"/>
  <c r="C234" i="28"/>
  <c r="C233" i="28"/>
  <c r="C232" i="28"/>
  <c r="C231" i="28"/>
  <c r="C230" i="28"/>
  <c r="C229" i="28"/>
  <c r="C228" i="28"/>
  <c r="C227" i="28"/>
  <c r="C226" i="28"/>
  <c r="C225" i="28"/>
  <c r="C224" i="28"/>
  <c r="C223" i="28"/>
  <c r="C222" i="28"/>
  <c r="C221" i="28"/>
  <c r="C220" i="28"/>
  <c r="C219" i="28"/>
  <c r="C218" i="28"/>
  <c r="C217" i="28"/>
  <c r="C216" i="28"/>
  <c r="C215" i="28"/>
  <c r="C214" i="28"/>
  <c r="C213" i="28"/>
  <c r="C212" i="28"/>
  <c r="C211" i="28"/>
  <c r="C210" i="28"/>
  <c r="C209" i="28"/>
  <c r="C208" i="28"/>
  <c r="C207" i="28"/>
  <c r="C206" i="28"/>
  <c r="C205" i="28"/>
  <c r="C204" i="28"/>
  <c r="C203" i="28"/>
  <c r="C202" i="28"/>
  <c r="C201" i="28"/>
  <c r="C200" i="28"/>
  <c r="C199" i="28"/>
  <c r="C198" i="28"/>
  <c r="C197" i="28"/>
  <c r="C196" i="28"/>
  <c r="C195" i="28"/>
  <c r="C194" i="28"/>
  <c r="C193" i="28"/>
  <c r="C192" i="28"/>
  <c r="C191" i="28"/>
  <c r="C190" i="28"/>
  <c r="C189" i="28"/>
  <c r="C188" i="28"/>
  <c r="C187" i="28"/>
  <c r="C186" i="28"/>
  <c r="C185" i="28"/>
  <c r="C184" i="28"/>
  <c r="C183" i="28"/>
  <c r="C182" i="28"/>
  <c r="C181" i="28"/>
  <c r="C180" i="28"/>
  <c r="C179" i="28"/>
  <c r="C178" i="28"/>
  <c r="C177" i="28"/>
  <c r="C176" i="28"/>
  <c r="C175" i="28"/>
  <c r="C174" i="28"/>
  <c r="C173" i="28"/>
  <c r="C172" i="28"/>
  <c r="C171" i="28"/>
  <c r="C170" i="28"/>
  <c r="C169" i="28"/>
  <c r="C168" i="28"/>
  <c r="C167" i="28"/>
  <c r="C166" i="28"/>
  <c r="C165" i="28"/>
  <c r="C164" i="28"/>
  <c r="C163" i="28"/>
  <c r="C162" i="28"/>
  <c r="C161" i="28"/>
  <c r="C160" i="28"/>
  <c r="C159" i="28"/>
  <c r="C158" i="28"/>
  <c r="C157" i="28"/>
  <c r="C156" i="28"/>
  <c r="C155" i="28"/>
  <c r="C154" i="28"/>
  <c r="C153" i="28"/>
  <c r="C152" i="28"/>
  <c r="C151" i="28"/>
  <c r="C150" i="28"/>
  <c r="C149" i="28"/>
  <c r="C148" i="28"/>
  <c r="C147" i="28"/>
  <c r="C146" i="28"/>
  <c r="C145" i="28"/>
  <c r="C144" i="28"/>
  <c r="C143" i="28"/>
  <c r="C142" i="28"/>
  <c r="C141" i="28"/>
  <c r="C140" i="28"/>
  <c r="C139" i="28"/>
  <c r="C138" i="28"/>
  <c r="C137" i="28"/>
  <c r="C136" i="28"/>
  <c r="C135" i="28"/>
  <c r="C134" i="28"/>
  <c r="C133" i="28"/>
  <c r="C132" i="28"/>
  <c r="C131" i="28"/>
  <c r="C130" i="28"/>
  <c r="C129" i="28"/>
  <c r="C128" i="28"/>
  <c r="C127" i="28"/>
  <c r="C126" i="28"/>
  <c r="C125" i="28"/>
  <c r="C124" i="28"/>
  <c r="C123" i="28"/>
  <c r="C122" i="28"/>
  <c r="C121" i="28"/>
  <c r="C120" i="28"/>
  <c r="C119" i="28"/>
  <c r="C118" i="28"/>
  <c r="C117" i="28"/>
  <c r="C116" i="28"/>
  <c r="C115" i="28"/>
  <c r="C114" i="28"/>
  <c r="C113" i="28"/>
  <c r="C112" i="28"/>
  <c r="C111" i="28"/>
  <c r="C110" i="28"/>
  <c r="C109" i="28"/>
  <c r="C108" i="28"/>
  <c r="C107" i="28"/>
  <c r="C106" i="28"/>
  <c r="C105" i="28"/>
  <c r="C104" i="28"/>
  <c r="C103" i="28"/>
  <c r="C102" i="28"/>
  <c r="C101" i="28"/>
  <c r="C100" i="28"/>
  <c r="C99" i="28"/>
  <c r="C98" i="28"/>
  <c r="C97" i="28"/>
  <c r="C96" i="28"/>
  <c r="C95" i="28"/>
  <c r="C94" i="28"/>
  <c r="C93" i="28"/>
  <c r="C92" i="28"/>
  <c r="C91" i="28"/>
  <c r="C90" i="28"/>
  <c r="C89" i="28"/>
  <c r="C88" i="28"/>
  <c r="C87" i="28"/>
  <c r="C86" i="28"/>
  <c r="C85" i="28"/>
  <c r="C84" i="28"/>
  <c r="C83" i="28"/>
  <c r="C82" i="28"/>
  <c r="C81" i="28"/>
  <c r="C80" i="28"/>
  <c r="C79" i="28"/>
  <c r="C78" i="28"/>
  <c r="C77" i="28"/>
  <c r="C76" i="28"/>
  <c r="C75" i="28"/>
  <c r="C74" i="28"/>
  <c r="C73" i="28"/>
  <c r="C72" i="28"/>
  <c r="C71" i="28"/>
  <c r="C70" i="28"/>
  <c r="C69" i="28"/>
  <c r="C68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C2" i="28"/>
  <c r="K13" i="27"/>
  <c r="H12" i="27"/>
  <c r="B28" i="27"/>
  <c r="E3" i="27"/>
  <c r="D14" i="26"/>
  <c r="B14" i="26" s="1"/>
  <c r="D12" i="26"/>
  <c r="D11" i="26"/>
  <c r="B11" i="26" s="1"/>
  <c r="D2" i="26"/>
  <c r="B2" i="26" s="1"/>
  <c r="D3" i="26"/>
  <c r="D4" i="26"/>
  <c r="D5" i="26"/>
  <c r="B5" i="26" s="1"/>
  <c r="D6" i="26"/>
  <c r="D7" i="26"/>
  <c r="D8" i="26"/>
  <c r="D9" i="26"/>
  <c r="D10" i="26"/>
  <c r="D13" i="26"/>
  <c r="D15" i="26"/>
  <c r="D16" i="26"/>
  <c r="D17" i="26"/>
  <c r="D18" i="26"/>
  <c r="B18" i="26" s="1"/>
  <c r="D19" i="26"/>
  <c r="D20" i="26"/>
  <c r="B20" i="26" s="1"/>
  <c r="D21" i="26"/>
  <c r="D22" i="26"/>
  <c r="B22" i="26" s="1"/>
  <c r="D23" i="26"/>
  <c r="B23" i="26" s="1"/>
  <c r="C23" i="26" s="1"/>
  <c r="H23" i="26" s="1"/>
  <c r="D24" i="26"/>
  <c r="D25" i="26"/>
  <c r="D26" i="26"/>
  <c r="D27" i="26"/>
  <c r="D28" i="26"/>
  <c r="D30" i="26"/>
  <c r="D31" i="26"/>
  <c r="B31" i="26" s="1"/>
  <c r="D32" i="26"/>
  <c r="D33" i="26"/>
  <c r="B33" i="26" s="1"/>
  <c r="C33" i="26" s="1"/>
  <c r="H33" i="26" s="1"/>
  <c r="D34" i="26"/>
  <c r="D35" i="26"/>
  <c r="B35" i="26" s="1"/>
  <c r="C35" i="26" s="1"/>
  <c r="D36" i="26"/>
  <c r="B36" i="26" s="1"/>
  <c r="C36" i="26" s="1"/>
  <c r="H36" i="26" s="1"/>
  <c r="Q59" i="26"/>
  <c r="K59" i="26"/>
  <c r="A46" i="26" s="1"/>
  <c r="K53" i="26"/>
  <c r="P53" i="26" s="1"/>
  <c r="K52" i="26"/>
  <c r="O52" i="26" s="1"/>
  <c r="Q51" i="26"/>
  <c r="P51" i="26"/>
  <c r="K51" i="26"/>
  <c r="O51" i="26" s="1"/>
  <c r="K50" i="26"/>
  <c r="Q50" i="26" s="1"/>
  <c r="K49" i="26"/>
  <c r="Q49" i="26" s="1"/>
  <c r="K48" i="26"/>
  <c r="Q48" i="26" s="1"/>
  <c r="K47" i="26"/>
  <c r="Q47" i="26" s="1"/>
  <c r="K42" i="26"/>
  <c r="Q42" i="26" s="1"/>
  <c r="K41" i="26"/>
  <c r="O41" i="26" s="1"/>
  <c r="K40" i="26"/>
  <c r="P40" i="26" s="1"/>
  <c r="K39" i="26"/>
  <c r="O39" i="26" s="1"/>
  <c r="K38" i="26"/>
  <c r="O38" i="26" s="1"/>
  <c r="K37" i="26"/>
  <c r="O37" i="26" s="1"/>
  <c r="K36" i="26"/>
  <c r="Q36" i="26" s="1"/>
  <c r="K31" i="26"/>
  <c r="A43" i="26" s="1"/>
  <c r="K30" i="26"/>
  <c r="P30" i="26" s="1"/>
  <c r="K29" i="26"/>
  <c r="O29" i="26" s="1"/>
  <c r="K28" i="26"/>
  <c r="P28" i="26" s="1"/>
  <c r="K27" i="26"/>
  <c r="O27" i="26" s="1"/>
  <c r="B27" i="26"/>
  <c r="K26" i="26"/>
  <c r="P26" i="26" s="1"/>
  <c r="K25" i="26"/>
  <c r="Q25" i="26" s="1"/>
  <c r="B25" i="26"/>
  <c r="K20" i="26"/>
  <c r="P20" i="26" s="1"/>
  <c r="K19" i="26"/>
  <c r="P19" i="26" s="1"/>
  <c r="Q18" i="26"/>
  <c r="P18" i="26"/>
  <c r="O18" i="26"/>
  <c r="K18" i="26"/>
  <c r="Q17" i="26"/>
  <c r="K17" i="26"/>
  <c r="P17" i="26" s="1"/>
  <c r="K16" i="26"/>
  <c r="Q16" i="26" s="1"/>
  <c r="K15" i="26"/>
  <c r="P15" i="26" s="1"/>
  <c r="Q14" i="26"/>
  <c r="P14" i="26"/>
  <c r="O14" i="26"/>
  <c r="K14" i="26"/>
  <c r="K9" i="26"/>
  <c r="Q9" i="26" s="1"/>
  <c r="B9" i="26"/>
  <c r="K8" i="26"/>
  <c r="P8" i="26" s="1"/>
  <c r="K7" i="26"/>
  <c r="P7" i="26" s="1"/>
  <c r="K6" i="26"/>
  <c r="P6" i="26" s="1"/>
  <c r="K5" i="26"/>
  <c r="P5" i="26" s="1"/>
  <c r="K4" i="26"/>
  <c r="P4" i="26" s="1"/>
  <c r="K3" i="26"/>
  <c r="P3" i="26" s="1"/>
  <c r="D2" i="24"/>
  <c r="D3" i="24"/>
  <c r="D4" i="24"/>
  <c r="D5" i="24"/>
  <c r="D6" i="24"/>
  <c r="D7" i="24"/>
  <c r="D8" i="24"/>
  <c r="D9" i="24"/>
  <c r="B9" i="24" s="1"/>
  <c r="D10" i="24"/>
  <c r="D11" i="24"/>
  <c r="D12" i="24"/>
  <c r="D13" i="24"/>
  <c r="D14" i="24"/>
  <c r="D15" i="24"/>
  <c r="D16" i="24"/>
  <c r="D17" i="24"/>
  <c r="B17" i="24" s="1"/>
  <c r="D18" i="24"/>
  <c r="D19" i="24"/>
  <c r="D20" i="24"/>
  <c r="D21" i="24"/>
  <c r="B21" i="24" s="1"/>
  <c r="D22" i="24"/>
  <c r="D23" i="24"/>
  <c r="D24" i="24"/>
  <c r="D25" i="24"/>
  <c r="D26" i="24"/>
  <c r="B26" i="24" s="1"/>
  <c r="D27" i="24"/>
  <c r="D28" i="24"/>
  <c r="D29" i="24"/>
  <c r="D30" i="24"/>
  <c r="D31" i="24"/>
  <c r="D32" i="24"/>
  <c r="D33" i="24"/>
  <c r="B33" i="24" s="1"/>
  <c r="D34" i="24"/>
  <c r="B34" i="24" s="1"/>
  <c r="D35" i="24"/>
  <c r="B35" i="24" s="1"/>
  <c r="D36" i="24"/>
  <c r="B36" i="24" s="1"/>
  <c r="B14" i="24"/>
  <c r="B30" i="24"/>
  <c r="B4" i="24"/>
  <c r="B7" i="24"/>
  <c r="B12" i="24"/>
  <c r="B15" i="24"/>
  <c r="C15" i="24" s="1"/>
  <c r="H15" i="24" s="1"/>
  <c r="B19" i="24"/>
  <c r="B20" i="24"/>
  <c r="B11" i="24"/>
  <c r="K36" i="24"/>
  <c r="A44" i="24"/>
  <c r="E11" i="24"/>
  <c r="G3" i="24"/>
  <c r="E3" i="24"/>
  <c r="Q59" i="24"/>
  <c r="K59" i="24"/>
  <c r="K53" i="24"/>
  <c r="P53" i="24" s="1"/>
  <c r="K52" i="24"/>
  <c r="O52" i="24" s="1"/>
  <c r="K51" i="24"/>
  <c r="Q51" i="24" s="1"/>
  <c r="K50" i="24"/>
  <c r="Q50" i="24" s="1"/>
  <c r="K49" i="24"/>
  <c r="O49" i="24" s="1"/>
  <c r="Q48" i="24"/>
  <c r="P48" i="24"/>
  <c r="O48" i="24"/>
  <c r="K48" i="24"/>
  <c r="P47" i="24"/>
  <c r="K47" i="24"/>
  <c r="O47" i="24" s="1"/>
  <c r="A46" i="24"/>
  <c r="O42" i="24"/>
  <c r="K42" i="24"/>
  <c r="P42" i="24" s="1"/>
  <c r="K41" i="24"/>
  <c r="K40" i="24"/>
  <c r="Q40" i="24" s="1"/>
  <c r="Q39" i="24"/>
  <c r="K39" i="24"/>
  <c r="P39" i="24" s="1"/>
  <c r="K38" i="24"/>
  <c r="Q38" i="24" s="1"/>
  <c r="K37" i="24"/>
  <c r="B32" i="24"/>
  <c r="C32" i="24" s="1"/>
  <c r="Q31" i="24"/>
  <c r="K31" i="24"/>
  <c r="P31" i="24" s="1"/>
  <c r="P30" i="24"/>
  <c r="K30" i="24"/>
  <c r="Q30" i="24" s="1"/>
  <c r="K29" i="24"/>
  <c r="Q29" i="24" s="1"/>
  <c r="O28" i="24"/>
  <c r="K28" i="24"/>
  <c r="Q28" i="24" s="1"/>
  <c r="Q27" i="24"/>
  <c r="K27" i="24"/>
  <c r="K26" i="24"/>
  <c r="Q26" i="24" s="1"/>
  <c r="Q25" i="24"/>
  <c r="K25" i="24"/>
  <c r="P25" i="24" s="1"/>
  <c r="N25" i="24" s="1"/>
  <c r="B24" i="24"/>
  <c r="C24" i="24" s="1"/>
  <c r="B23" i="24"/>
  <c r="O59" i="24"/>
  <c r="K20" i="24"/>
  <c r="Q20" i="24" s="1"/>
  <c r="Q19" i="24"/>
  <c r="K19" i="24"/>
  <c r="P19" i="24" s="1"/>
  <c r="K18" i="24"/>
  <c r="Q18" i="24" s="1"/>
  <c r="B18" i="24"/>
  <c r="Q17" i="24"/>
  <c r="P17" i="24"/>
  <c r="O17" i="24"/>
  <c r="K17" i="24"/>
  <c r="K16" i="24"/>
  <c r="Q16" i="24" s="1"/>
  <c r="B16" i="24"/>
  <c r="Q15" i="24"/>
  <c r="K15" i="24"/>
  <c r="P15" i="24" s="1"/>
  <c r="K14" i="24"/>
  <c r="B10" i="24"/>
  <c r="K9" i="24"/>
  <c r="Q9" i="24" s="1"/>
  <c r="Q8" i="24"/>
  <c r="K8" i="24"/>
  <c r="P8" i="24" s="1"/>
  <c r="B8" i="24"/>
  <c r="K7" i="24"/>
  <c r="Q6" i="24"/>
  <c r="P6" i="24"/>
  <c r="O6" i="24"/>
  <c r="K6" i="24"/>
  <c r="K5" i="24"/>
  <c r="B5" i="24"/>
  <c r="P4" i="24"/>
  <c r="O4" i="24"/>
  <c r="K4" i="24"/>
  <c r="K3" i="24"/>
  <c r="B3" i="24"/>
  <c r="H23" i="23"/>
  <c r="E22" i="23"/>
  <c r="F21" i="23"/>
  <c r="G16" i="23"/>
  <c r="Q59" i="23" s="1"/>
  <c r="D7" i="23"/>
  <c r="D17" i="23"/>
  <c r="B17" i="23" s="1"/>
  <c r="D19" i="23"/>
  <c r="D23" i="23"/>
  <c r="D24" i="23"/>
  <c r="B24" i="23" s="1"/>
  <c r="C24" i="23" s="1"/>
  <c r="D25" i="23"/>
  <c r="D27" i="23"/>
  <c r="D33" i="23"/>
  <c r="D35" i="23"/>
  <c r="B35" i="23" s="1"/>
  <c r="P59" i="23"/>
  <c r="K59" i="23"/>
  <c r="K53" i="23"/>
  <c r="P53" i="23" s="1"/>
  <c r="O52" i="23"/>
  <c r="K52" i="23"/>
  <c r="Q52" i="23" s="1"/>
  <c r="O51" i="23"/>
  <c r="K51" i="23"/>
  <c r="Q51" i="23" s="1"/>
  <c r="K50" i="23"/>
  <c r="K49" i="23"/>
  <c r="P49" i="23" s="1"/>
  <c r="K48" i="23"/>
  <c r="Q48" i="23" s="1"/>
  <c r="K47" i="23"/>
  <c r="P47" i="23" s="1"/>
  <c r="A46" i="23"/>
  <c r="Q42" i="23"/>
  <c r="O42" i="23"/>
  <c r="K42" i="23"/>
  <c r="A42" i="23"/>
  <c r="K41" i="23"/>
  <c r="Q41" i="23" s="1"/>
  <c r="Q40" i="23"/>
  <c r="K40" i="23"/>
  <c r="P40" i="23" s="1"/>
  <c r="K39" i="23"/>
  <c r="O39" i="23" s="1"/>
  <c r="K38" i="23"/>
  <c r="P38" i="23" s="1"/>
  <c r="K37" i="23"/>
  <c r="Q37" i="23" s="1"/>
  <c r="K36" i="23"/>
  <c r="P36" i="23" s="1"/>
  <c r="D36" i="23"/>
  <c r="D34" i="23"/>
  <c r="B34" i="23" s="1"/>
  <c r="C34" i="23" s="1"/>
  <c r="D32" i="23"/>
  <c r="P31" i="23"/>
  <c r="K31" i="23"/>
  <c r="O31" i="23" s="1"/>
  <c r="D31" i="23"/>
  <c r="Q30" i="23"/>
  <c r="P30" i="23"/>
  <c r="K30" i="23"/>
  <c r="O30" i="23" s="1"/>
  <c r="D30" i="23"/>
  <c r="Q29" i="23"/>
  <c r="P29" i="23"/>
  <c r="O29" i="23"/>
  <c r="K29" i="23"/>
  <c r="D29" i="23"/>
  <c r="B29" i="23" s="1"/>
  <c r="P28" i="23"/>
  <c r="K28" i="23"/>
  <c r="O41" i="23"/>
  <c r="K27" i="23"/>
  <c r="Q27" i="23" s="1"/>
  <c r="K26" i="23"/>
  <c r="D26" i="23"/>
  <c r="B26" i="23" s="1"/>
  <c r="P25" i="23"/>
  <c r="K25" i="23"/>
  <c r="A43" i="23" s="1"/>
  <c r="D22" i="23"/>
  <c r="B22" i="23" s="1"/>
  <c r="C22" i="23" s="1"/>
  <c r="D21" i="23"/>
  <c r="B21" i="23" s="1"/>
  <c r="K20" i="23"/>
  <c r="Q20" i="23" s="1"/>
  <c r="D20" i="23"/>
  <c r="K19" i="23"/>
  <c r="Q19" i="23" s="1"/>
  <c r="K18" i="23"/>
  <c r="Q18" i="23" s="1"/>
  <c r="D18" i="23"/>
  <c r="B18" i="23" s="1"/>
  <c r="C18" i="23" s="1"/>
  <c r="O17" i="23"/>
  <c r="K17" i="23"/>
  <c r="Q17" i="23" s="1"/>
  <c r="K16" i="23"/>
  <c r="D16" i="23"/>
  <c r="K15" i="23"/>
  <c r="Q15" i="23" s="1"/>
  <c r="D15" i="23"/>
  <c r="Q14" i="23"/>
  <c r="P14" i="23"/>
  <c r="K14" i="23"/>
  <c r="D14" i="23"/>
  <c r="D13" i="23"/>
  <c r="D12" i="23"/>
  <c r="B12" i="23" s="1"/>
  <c r="D11" i="23"/>
  <c r="D10" i="23"/>
  <c r="B10" i="23" s="1"/>
  <c r="K9" i="23"/>
  <c r="P8" i="23"/>
  <c r="K8" i="23"/>
  <c r="Q8" i="23" s="1"/>
  <c r="D8" i="23"/>
  <c r="B8" i="23"/>
  <c r="K7" i="23"/>
  <c r="Q6" i="23"/>
  <c r="P6" i="23"/>
  <c r="K6" i="23"/>
  <c r="O6" i="23" s="1"/>
  <c r="D6" i="23"/>
  <c r="B6" i="23" s="1"/>
  <c r="K5" i="23"/>
  <c r="D5" i="23"/>
  <c r="Q4" i="23"/>
  <c r="P4" i="23"/>
  <c r="O4" i="23"/>
  <c r="K4" i="23"/>
  <c r="D4" i="23"/>
  <c r="B4" i="23" s="1"/>
  <c r="C4" i="23" s="1"/>
  <c r="K3" i="23"/>
  <c r="D3" i="23"/>
  <c r="D2" i="23"/>
  <c r="I5" i="23" s="1"/>
  <c r="Q7" i="26" l="1"/>
  <c r="Q15" i="26"/>
  <c r="Q19" i="26"/>
  <c r="A45" i="26"/>
  <c r="Q8" i="26"/>
  <c r="O16" i="26"/>
  <c r="Q5" i="26"/>
  <c r="P9" i="26"/>
  <c r="P10" i="26" s="1"/>
  <c r="F41" i="26" s="1"/>
  <c r="Q20" i="26"/>
  <c r="P37" i="26"/>
  <c r="N37" i="26" s="1"/>
  <c r="L37" i="26" s="1"/>
  <c r="M37" i="26" s="1"/>
  <c r="O7" i="26"/>
  <c r="N7" i="26" s="1"/>
  <c r="L7" i="26" s="1"/>
  <c r="M7" i="26" s="1"/>
  <c r="O5" i="26"/>
  <c r="N5" i="26" s="1"/>
  <c r="L5" i="26" s="1"/>
  <c r="M5" i="26" s="1"/>
  <c r="P16" i="26"/>
  <c r="P21" i="26" s="1"/>
  <c r="F42" i="26" s="1"/>
  <c r="O20" i="26"/>
  <c r="N20" i="26" s="1"/>
  <c r="L20" i="26" s="1"/>
  <c r="M20" i="26" s="1"/>
  <c r="O9" i="26"/>
  <c r="Q6" i="26"/>
  <c r="A42" i="26"/>
  <c r="Q4" i="26"/>
  <c r="B43" i="30"/>
  <c r="H43" i="30" s="1"/>
  <c r="L33" i="30"/>
  <c r="M27" i="30"/>
  <c r="M32" i="30" s="1"/>
  <c r="C43" i="30" s="1"/>
  <c r="M37" i="30"/>
  <c r="L37" i="30"/>
  <c r="N43" i="30"/>
  <c r="D44" i="30" s="1"/>
  <c r="L36" i="30"/>
  <c r="L43" i="30" s="1"/>
  <c r="L51" i="30"/>
  <c r="M51" i="30" s="1"/>
  <c r="L14" i="30"/>
  <c r="L21" i="30" s="1"/>
  <c r="N21" i="30"/>
  <c r="D42" i="30" s="1"/>
  <c r="D46" i="30" s="1"/>
  <c r="L48" i="30"/>
  <c r="M48" i="30"/>
  <c r="M54" i="30" s="1"/>
  <c r="C45" i="30" s="1"/>
  <c r="N54" i="30"/>
  <c r="D45" i="30" s="1"/>
  <c r="M15" i="30"/>
  <c r="L15" i="30"/>
  <c r="F46" i="30"/>
  <c r="L16" i="30"/>
  <c r="M16" i="30"/>
  <c r="L18" i="30"/>
  <c r="M18" i="30"/>
  <c r="L10" i="30"/>
  <c r="M3" i="30"/>
  <c r="M10" i="30" s="1"/>
  <c r="C41" i="30" s="1"/>
  <c r="L17" i="30"/>
  <c r="M17" i="30" s="1"/>
  <c r="D37" i="26"/>
  <c r="G15" i="17"/>
  <c r="F15" i="17"/>
  <c r="K2" i="17"/>
  <c r="L2" i="17" s="1"/>
  <c r="N2" i="17" s="1"/>
  <c r="E15" i="17"/>
  <c r="H4" i="17"/>
  <c r="D11" i="17"/>
  <c r="H10" i="17"/>
  <c r="D10" i="17"/>
  <c r="D8" i="17"/>
  <c r="D4" i="17"/>
  <c r="D14" i="17"/>
  <c r="D6" i="17"/>
  <c r="D13" i="17"/>
  <c r="D5" i="17"/>
  <c r="D12" i="17"/>
  <c r="C9" i="17"/>
  <c r="C15" i="17" s="1"/>
  <c r="P49" i="24"/>
  <c r="N49" i="24" s="1"/>
  <c r="L49" i="24" s="1"/>
  <c r="M49" i="24" s="1"/>
  <c r="P59" i="26"/>
  <c r="B16" i="26"/>
  <c r="B29" i="27"/>
  <c r="E5" i="27"/>
  <c r="N59" i="26"/>
  <c r="O59" i="26"/>
  <c r="B12" i="26"/>
  <c r="C12" i="26" s="1"/>
  <c r="H12" i="26" s="1"/>
  <c r="B26" i="26"/>
  <c r="B28" i="26"/>
  <c r="C28" i="26" s="1"/>
  <c r="B30" i="26"/>
  <c r="B32" i="26"/>
  <c r="C32" i="26" s="1"/>
  <c r="B24" i="26"/>
  <c r="C24" i="26" s="1"/>
  <c r="B13" i="26"/>
  <c r="C11" i="26"/>
  <c r="H11" i="26" s="1"/>
  <c r="C22" i="26"/>
  <c r="H22" i="26" s="1"/>
  <c r="C27" i="26"/>
  <c r="C29" i="26"/>
  <c r="H29" i="26" s="1"/>
  <c r="C31" i="26"/>
  <c r="O49" i="26"/>
  <c r="Q27" i="26"/>
  <c r="Q31" i="26"/>
  <c r="P36" i="26"/>
  <c r="P38" i="26"/>
  <c r="N38" i="26" s="1"/>
  <c r="L38" i="26" s="1"/>
  <c r="M38" i="26" s="1"/>
  <c r="Q40" i="26"/>
  <c r="Q28" i="26"/>
  <c r="O36" i="26"/>
  <c r="P49" i="26"/>
  <c r="Q38" i="26"/>
  <c r="O50" i="26"/>
  <c r="O26" i="26"/>
  <c r="N26" i="26" s="1"/>
  <c r="O30" i="26"/>
  <c r="N30" i="26" s="1"/>
  <c r="L30" i="26" s="1"/>
  <c r="M30" i="26" s="1"/>
  <c r="P41" i="26"/>
  <c r="N41" i="26" s="1"/>
  <c r="O48" i="26"/>
  <c r="P50" i="26"/>
  <c r="O28" i="26"/>
  <c r="N28" i="26" s="1"/>
  <c r="P31" i="26"/>
  <c r="P25" i="26"/>
  <c r="N25" i="26" s="1"/>
  <c r="Q26" i="26"/>
  <c r="P29" i="26"/>
  <c r="N29" i="26" s="1"/>
  <c r="L29" i="26" s="1"/>
  <c r="M29" i="26" s="1"/>
  <c r="Q30" i="26"/>
  <c r="P39" i="26"/>
  <c r="N39" i="26" s="1"/>
  <c r="L39" i="26" s="1"/>
  <c r="M39" i="26" s="1"/>
  <c r="P48" i="26"/>
  <c r="O40" i="26"/>
  <c r="N40" i="26" s="1"/>
  <c r="L40" i="26" s="1"/>
  <c r="M40" i="26" s="1"/>
  <c r="P27" i="26"/>
  <c r="N27" i="26" s="1"/>
  <c r="L27" i="26" s="1"/>
  <c r="M27" i="26" s="1"/>
  <c r="N18" i="26"/>
  <c r="L18" i="26" s="1"/>
  <c r="M18" i="26" s="1"/>
  <c r="Q29" i="26"/>
  <c r="Q39" i="26"/>
  <c r="A44" i="26"/>
  <c r="N51" i="26"/>
  <c r="L51" i="26" s="1"/>
  <c r="M51" i="26" s="1"/>
  <c r="Q3" i="26"/>
  <c r="A41" i="26"/>
  <c r="O3" i="26"/>
  <c r="N3" i="26" s="1"/>
  <c r="I35" i="26"/>
  <c r="C25" i="26"/>
  <c r="H25" i="26" s="1"/>
  <c r="C5" i="26"/>
  <c r="H5" i="26" s="1"/>
  <c r="C9" i="26"/>
  <c r="H9" i="26" s="1"/>
  <c r="C14" i="26"/>
  <c r="H14" i="26" s="1"/>
  <c r="C16" i="26"/>
  <c r="H16" i="26" s="1"/>
  <c r="C18" i="26"/>
  <c r="H18" i="26" s="1"/>
  <c r="C20" i="26"/>
  <c r="H20" i="26"/>
  <c r="H27" i="26"/>
  <c r="H31" i="26"/>
  <c r="P52" i="26"/>
  <c r="N52" i="26" s="1"/>
  <c r="Q53" i="26"/>
  <c r="I17" i="26"/>
  <c r="I4" i="26"/>
  <c r="B7" i="26"/>
  <c r="I8" i="26"/>
  <c r="I10" i="26"/>
  <c r="N14" i="26"/>
  <c r="I15" i="26"/>
  <c r="I19" i="26"/>
  <c r="O31" i="26"/>
  <c r="I34" i="26"/>
  <c r="Q37" i="26"/>
  <c r="Q41" i="26"/>
  <c r="Q52" i="26"/>
  <c r="I22" i="26"/>
  <c r="I27" i="26"/>
  <c r="I29" i="26"/>
  <c r="I31" i="26"/>
  <c r="O47" i="26"/>
  <c r="C2" i="26"/>
  <c r="H2" i="26" s="1"/>
  <c r="B4" i="26"/>
  <c r="B6" i="26"/>
  <c r="C6" i="26" s="1"/>
  <c r="B8" i="26"/>
  <c r="C8" i="26" s="1"/>
  <c r="I9" i="26"/>
  <c r="B10" i="26"/>
  <c r="I14" i="26"/>
  <c r="B15" i="26"/>
  <c r="I16" i="26"/>
  <c r="B17" i="26"/>
  <c r="I18" i="26"/>
  <c r="B19" i="26"/>
  <c r="C19" i="26" s="1"/>
  <c r="I20" i="26"/>
  <c r="B21" i="26"/>
  <c r="C21" i="26" s="1"/>
  <c r="I25" i="26"/>
  <c r="B34" i="26"/>
  <c r="H35" i="26"/>
  <c r="P47" i="26"/>
  <c r="I2" i="26"/>
  <c r="O4" i="26"/>
  <c r="N4" i="26" s="1"/>
  <c r="O6" i="26"/>
  <c r="N6" i="26" s="1"/>
  <c r="O8" i="26"/>
  <c r="N8" i="26" s="1"/>
  <c r="O15" i="26"/>
  <c r="N15" i="26" s="1"/>
  <c r="O17" i="26"/>
  <c r="N17" i="26" s="1"/>
  <c r="O19" i="26"/>
  <c r="N19" i="26" s="1"/>
  <c r="O42" i="26"/>
  <c r="O53" i="26"/>
  <c r="N53" i="26" s="1"/>
  <c r="P42" i="26"/>
  <c r="Q4" i="24"/>
  <c r="I3" i="24"/>
  <c r="N4" i="24"/>
  <c r="L4" i="24" s="1"/>
  <c r="M4" i="24" s="1"/>
  <c r="O8" i="24"/>
  <c r="N8" i="24" s="1"/>
  <c r="L8" i="24" s="1"/>
  <c r="O15" i="24"/>
  <c r="N15" i="24" s="1"/>
  <c r="L15" i="24" s="1"/>
  <c r="M15" i="24" s="1"/>
  <c r="O19" i="24"/>
  <c r="N19" i="24" s="1"/>
  <c r="L19" i="24" s="1"/>
  <c r="M19" i="24" s="1"/>
  <c r="O26" i="24"/>
  <c r="P28" i="24"/>
  <c r="N28" i="24" s="1"/>
  <c r="Q47" i="24"/>
  <c r="Q49" i="24"/>
  <c r="P26" i="24"/>
  <c r="O30" i="24"/>
  <c r="N30" i="24" s="1"/>
  <c r="N48" i="24"/>
  <c r="L48" i="24" s="1"/>
  <c r="M48" i="24" s="1"/>
  <c r="N47" i="24"/>
  <c r="L47" i="24" s="1"/>
  <c r="M47" i="24" s="1"/>
  <c r="N6" i="24"/>
  <c r="L6" i="24" s="1"/>
  <c r="M6" i="24" s="1"/>
  <c r="N17" i="24"/>
  <c r="L17" i="24" s="1"/>
  <c r="M17" i="24" s="1"/>
  <c r="C30" i="24"/>
  <c r="C3" i="24"/>
  <c r="H3" i="24" s="1"/>
  <c r="H32" i="24"/>
  <c r="I7" i="24"/>
  <c r="C14" i="24"/>
  <c r="H14" i="24" s="1"/>
  <c r="C16" i="24"/>
  <c r="H16" i="24" s="1"/>
  <c r="N42" i="24"/>
  <c r="L42" i="24" s="1"/>
  <c r="M42" i="24" s="1"/>
  <c r="I9" i="24"/>
  <c r="C8" i="24"/>
  <c r="H8" i="24" s="1"/>
  <c r="C11" i="24"/>
  <c r="H11" i="24" s="1"/>
  <c r="C12" i="24"/>
  <c r="H12" i="24" s="1"/>
  <c r="C26" i="24"/>
  <c r="H26" i="24" s="1"/>
  <c r="B28" i="24"/>
  <c r="C35" i="24"/>
  <c r="I19" i="24"/>
  <c r="I17" i="24"/>
  <c r="I10" i="24"/>
  <c r="I8" i="24"/>
  <c r="I6" i="24"/>
  <c r="I4" i="24"/>
  <c r="I15" i="24"/>
  <c r="I2" i="24"/>
  <c r="I14" i="24"/>
  <c r="I11" i="24"/>
  <c r="B2" i="24"/>
  <c r="I21" i="24"/>
  <c r="I12" i="24"/>
  <c r="I13" i="24"/>
  <c r="C23" i="24"/>
  <c r="H23" i="24" s="1"/>
  <c r="Q32" i="24"/>
  <c r="G43" i="24" s="1"/>
  <c r="Q3" i="24"/>
  <c r="P3" i="24"/>
  <c r="O3" i="24"/>
  <c r="B13" i="24"/>
  <c r="C13" i="24" s="1"/>
  <c r="C5" i="24"/>
  <c r="H5" i="24" s="1"/>
  <c r="C4" i="24"/>
  <c r="I5" i="24"/>
  <c r="I18" i="24"/>
  <c r="H24" i="24"/>
  <c r="P27" i="24"/>
  <c r="O27" i="24"/>
  <c r="O37" i="24"/>
  <c r="Q37" i="24"/>
  <c r="P37" i="24"/>
  <c r="O41" i="24"/>
  <c r="Q41" i="24"/>
  <c r="P41" i="24"/>
  <c r="L25" i="24"/>
  <c r="M25" i="24" s="1"/>
  <c r="C21" i="24"/>
  <c r="H21" i="24" s="1"/>
  <c r="A41" i="24"/>
  <c r="Q5" i="24"/>
  <c r="P5" i="24"/>
  <c r="O5" i="24"/>
  <c r="C17" i="24"/>
  <c r="H17" i="24" s="1"/>
  <c r="C9" i="24"/>
  <c r="H9" i="24" s="1"/>
  <c r="C18" i="24"/>
  <c r="H18" i="24" s="1"/>
  <c r="O14" i="24"/>
  <c r="A42" i="24"/>
  <c r="Q14" i="24"/>
  <c r="Q21" i="24" s="1"/>
  <c r="G42" i="24" s="1"/>
  <c r="P14" i="24"/>
  <c r="H35" i="24"/>
  <c r="I16" i="24"/>
  <c r="C29" i="24"/>
  <c r="C20" i="24"/>
  <c r="H20" i="24" s="1"/>
  <c r="B6" i="24"/>
  <c r="C6" i="24" s="1"/>
  <c r="C7" i="24"/>
  <c r="H7" i="24" s="1"/>
  <c r="I20" i="24"/>
  <c r="B25" i="24"/>
  <c r="C25" i="24" s="1"/>
  <c r="P29" i="24"/>
  <c r="O29" i="24"/>
  <c r="C36" i="24"/>
  <c r="H36" i="24" s="1"/>
  <c r="Q7" i="24"/>
  <c r="P7" i="24"/>
  <c r="O7" i="24"/>
  <c r="C33" i="24"/>
  <c r="H33" i="24" s="1"/>
  <c r="H4" i="24"/>
  <c r="C10" i="24"/>
  <c r="H10" i="24" s="1"/>
  <c r="C19" i="24"/>
  <c r="H19" i="24" s="1"/>
  <c r="C34" i="24"/>
  <c r="H34" i="24" s="1"/>
  <c r="O9" i="24"/>
  <c r="O16" i="24"/>
  <c r="O18" i="24"/>
  <c r="O20" i="24"/>
  <c r="B27" i="24"/>
  <c r="B29" i="24"/>
  <c r="B31" i="24"/>
  <c r="C31" i="24" s="1"/>
  <c r="O36" i="24"/>
  <c r="O38" i="24"/>
  <c r="O40" i="24"/>
  <c r="Q42" i="24"/>
  <c r="A45" i="24"/>
  <c r="Q53" i="24"/>
  <c r="O51" i="24"/>
  <c r="P52" i="24"/>
  <c r="N52" i="24" s="1"/>
  <c r="P9" i="24"/>
  <c r="P16" i="24"/>
  <c r="P18" i="24"/>
  <c r="P20" i="24"/>
  <c r="I29" i="24"/>
  <c r="O31" i="24"/>
  <c r="N31" i="24" s="1"/>
  <c r="P36" i="24"/>
  <c r="P38" i="24"/>
  <c r="O39" i="24"/>
  <c r="N39" i="24" s="1"/>
  <c r="P40" i="24"/>
  <c r="A43" i="24"/>
  <c r="O50" i="24"/>
  <c r="P51" i="24"/>
  <c r="Q52" i="24"/>
  <c r="Q36" i="24"/>
  <c r="P50" i="24"/>
  <c r="P59" i="24"/>
  <c r="O53" i="24"/>
  <c r="N53" i="24" s="1"/>
  <c r="H34" i="23"/>
  <c r="O59" i="23"/>
  <c r="C27" i="23"/>
  <c r="B27" i="23"/>
  <c r="B19" i="23"/>
  <c r="C19" i="23" s="1"/>
  <c r="H19" i="23" s="1"/>
  <c r="O8" i="23"/>
  <c r="N8" i="23" s="1"/>
  <c r="L8" i="23" s="1"/>
  <c r="M8" i="23" s="1"/>
  <c r="D9" i="23"/>
  <c r="I26" i="23" s="1"/>
  <c r="O16" i="23"/>
  <c r="O50" i="23"/>
  <c r="O14" i="23"/>
  <c r="N14" i="23" s="1"/>
  <c r="L14" i="23" s="1"/>
  <c r="C8" i="23"/>
  <c r="O28" i="23"/>
  <c r="N28" i="23" s="1"/>
  <c r="L28" i="23" s="1"/>
  <c r="M28" i="23" s="1"/>
  <c r="C10" i="23"/>
  <c r="N31" i="23"/>
  <c r="L31" i="23" s="1"/>
  <c r="M31" i="23" s="1"/>
  <c r="B25" i="23"/>
  <c r="B36" i="23"/>
  <c r="C36" i="23" s="1"/>
  <c r="H36" i="23" s="1"/>
  <c r="B33" i="23"/>
  <c r="C33" i="23" s="1"/>
  <c r="H33" i="23" s="1"/>
  <c r="H18" i="23"/>
  <c r="B13" i="23"/>
  <c r="C13" i="23" s="1"/>
  <c r="H13" i="23" s="1"/>
  <c r="C29" i="23"/>
  <c r="H29" i="23" s="1"/>
  <c r="B31" i="23"/>
  <c r="C31" i="23" s="1"/>
  <c r="H31" i="23" s="1"/>
  <c r="Q16" i="23"/>
  <c r="Q21" i="23" s="1"/>
  <c r="G42" i="23" s="1"/>
  <c r="O20" i="23"/>
  <c r="Q25" i="23"/>
  <c r="Q28" i="23"/>
  <c r="Q31" i="23"/>
  <c r="P39" i="23"/>
  <c r="N39" i="23" s="1"/>
  <c r="L39" i="23" s="1"/>
  <c r="M39" i="23" s="1"/>
  <c r="A44" i="23"/>
  <c r="P52" i="23"/>
  <c r="N52" i="23" s="1"/>
  <c r="L52" i="23" s="1"/>
  <c r="M52" i="23" s="1"/>
  <c r="P20" i="23"/>
  <c r="Q39" i="23"/>
  <c r="O15" i="23"/>
  <c r="O27" i="23"/>
  <c r="O37" i="23"/>
  <c r="P50" i="23"/>
  <c r="O53" i="23"/>
  <c r="N53" i="23" s="1"/>
  <c r="P15" i="23"/>
  <c r="P27" i="23"/>
  <c r="P37" i="23"/>
  <c r="O40" i="23"/>
  <c r="N40" i="23" s="1"/>
  <c r="A45" i="23"/>
  <c r="Q50" i="23"/>
  <c r="Q53" i="23"/>
  <c r="P16" i="23"/>
  <c r="O36" i="23"/>
  <c r="N36" i="23" s="1"/>
  <c r="O38" i="23"/>
  <c r="N38" i="23" s="1"/>
  <c r="Q36" i="23"/>
  <c r="Q38" i="23"/>
  <c r="P41" i="23"/>
  <c r="N41" i="23" s="1"/>
  <c r="L41" i="23" s="1"/>
  <c r="M41" i="23" s="1"/>
  <c r="Q47" i="23"/>
  <c r="N4" i="23"/>
  <c r="L4" i="23" s="1"/>
  <c r="M4" i="23" s="1"/>
  <c r="N29" i="23"/>
  <c r="L29" i="23" s="1"/>
  <c r="M29" i="23" s="1"/>
  <c r="N6" i="23"/>
  <c r="L6" i="23" s="1"/>
  <c r="M6" i="23" s="1"/>
  <c r="N30" i="23"/>
  <c r="L30" i="23" s="1"/>
  <c r="M30" i="23" s="1"/>
  <c r="H22" i="23"/>
  <c r="I9" i="23"/>
  <c r="B2" i="23"/>
  <c r="I12" i="23"/>
  <c r="I17" i="23"/>
  <c r="I10" i="23"/>
  <c r="I8" i="23"/>
  <c r="I6" i="23"/>
  <c r="I4" i="23"/>
  <c r="I25" i="23"/>
  <c r="I13" i="23"/>
  <c r="I2" i="23"/>
  <c r="I18" i="23"/>
  <c r="Q5" i="23"/>
  <c r="P5" i="23"/>
  <c r="O5" i="23"/>
  <c r="Q9" i="23"/>
  <c r="P9" i="23"/>
  <c r="O9" i="23"/>
  <c r="Q26" i="23"/>
  <c r="P26" i="23"/>
  <c r="O26" i="23"/>
  <c r="H10" i="23"/>
  <c r="I14" i="23"/>
  <c r="I3" i="23"/>
  <c r="C6" i="23"/>
  <c r="H6" i="23" s="1"/>
  <c r="I7" i="23"/>
  <c r="P18" i="23"/>
  <c r="O18" i="23"/>
  <c r="N25" i="23"/>
  <c r="C12" i="23"/>
  <c r="H12" i="23" s="1"/>
  <c r="Q3" i="23"/>
  <c r="P3" i="23"/>
  <c r="O3" i="23"/>
  <c r="A41" i="23"/>
  <c r="Q7" i="23"/>
  <c r="P7" i="23"/>
  <c r="O7" i="23"/>
  <c r="C17" i="23"/>
  <c r="H17" i="23" s="1"/>
  <c r="B20" i="23"/>
  <c r="H24" i="23"/>
  <c r="C21" i="23"/>
  <c r="H21" i="23" s="1"/>
  <c r="C26" i="23"/>
  <c r="H26" i="23" s="1"/>
  <c r="H4" i="23"/>
  <c r="H8" i="23"/>
  <c r="B15" i="23"/>
  <c r="C15" i="23" s="1"/>
  <c r="P51" i="23"/>
  <c r="N51" i="23" s="1"/>
  <c r="O49" i="23"/>
  <c r="N49" i="23" s="1"/>
  <c r="P17" i="23"/>
  <c r="N17" i="23" s="1"/>
  <c r="O19" i="23"/>
  <c r="C35" i="23"/>
  <c r="H35" i="23" s="1"/>
  <c r="O48" i="23"/>
  <c r="B7" i="23"/>
  <c r="C7" i="23" s="1"/>
  <c r="B11" i="23"/>
  <c r="C11" i="23" s="1"/>
  <c r="B14" i="23"/>
  <c r="B16" i="23"/>
  <c r="P19" i="23"/>
  <c r="B23" i="23"/>
  <c r="C23" i="23" s="1"/>
  <c r="B30" i="23"/>
  <c r="C30" i="23" s="1"/>
  <c r="B32" i="23"/>
  <c r="O47" i="23"/>
  <c r="P48" i="23"/>
  <c r="Q49" i="23"/>
  <c r="B3" i="23"/>
  <c r="B5" i="23"/>
  <c r="C3" i="23"/>
  <c r="D28" i="23"/>
  <c r="I30" i="23" s="1"/>
  <c r="P42" i="23"/>
  <c r="N16" i="26" l="1"/>
  <c r="L16" i="26" s="1"/>
  <c r="N9" i="26"/>
  <c r="L9" i="26" s="1"/>
  <c r="M9" i="26" s="1"/>
  <c r="Q21" i="26"/>
  <c r="G42" i="26" s="1"/>
  <c r="Q10" i="26"/>
  <c r="G41" i="26" s="1"/>
  <c r="B44" i="30"/>
  <c r="H44" i="30" s="1"/>
  <c r="L44" i="30"/>
  <c r="B42" i="30"/>
  <c r="H42" i="30" s="1"/>
  <c r="L22" i="30"/>
  <c r="N22" i="30" s="1"/>
  <c r="L54" i="30"/>
  <c r="M36" i="30"/>
  <c r="M43" i="30" s="1"/>
  <c r="C44" i="30" s="1"/>
  <c r="L11" i="30"/>
  <c r="B41" i="30"/>
  <c r="M14" i="30"/>
  <c r="M21" i="30" s="1"/>
  <c r="C42" i="30" s="1"/>
  <c r="C46" i="30" s="1"/>
  <c r="B37" i="26"/>
  <c r="C30" i="26"/>
  <c r="H9" i="17"/>
  <c r="H15" i="17" s="1"/>
  <c r="D9" i="17"/>
  <c r="D15" i="17" s="1"/>
  <c r="H30" i="24"/>
  <c r="C15" i="26"/>
  <c r="Q54" i="26"/>
  <c r="G45" i="26" s="1"/>
  <c r="N50" i="26"/>
  <c r="L50" i="26" s="1"/>
  <c r="M50" i="26" s="1"/>
  <c r="N48" i="26"/>
  <c r="L48" i="26" s="1"/>
  <c r="M48" i="26" s="1"/>
  <c r="O43" i="26"/>
  <c r="E44" i="26" s="1"/>
  <c r="P32" i="26"/>
  <c r="F43" i="26" s="1"/>
  <c r="N31" i="26"/>
  <c r="L31" i="26" s="1"/>
  <c r="M31" i="26" s="1"/>
  <c r="H24" i="26"/>
  <c r="C13" i="26"/>
  <c r="H13" i="26" s="1"/>
  <c r="H32" i="26"/>
  <c r="H28" i="26"/>
  <c r="Q32" i="26"/>
  <c r="G43" i="26" s="1"/>
  <c r="H30" i="26"/>
  <c r="C26" i="26"/>
  <c r="H26" i="26" s="1"/>
  <c r="P43" i="26"/>
  <c r="F44" i="26" s="1"/>
  <c r="N36" i="26"/>
  <c r="L36" i="26" s="1"/>
  <c r="M36" i="26" s="1"/>
  <c r="N49" i="26"/>
  <c r="L49" i="26" s="1"/>
  <c r="M49" i="26" s="1"/>
  <c r="Q43" i="26"/>
  <c r="G44" i="26" s="1"/>
  <c r="L41" i="26"/>
  <c r="M41" i="26" s="1"/>
  <c r="L52" i="26"/>
  <c r="M52" i="26" s="1"/>
  <c r="L3" i="26"/>
  <c r="L15" i="26"/>
  <c r="M15" i="26" s="1"/>
  <c r="O54" i="26"/>
  <c r="E45" i="26" s="1"/>
  <c r="N47" i="26"/>
  <c r="B3" i="26"/>
  <c r="I32" i="26"/>
  <c r="I30" i="26"/>
  <c r="I26" i="26"/>
  <c r="I13" i="26"/>
  <c r="I28" i="26"/>
  <c r="I24" i="26"/>
  <c r="E38" i="26"/>
  <c r="E39" i="26" s="1"/>
  <c r="I7" i="26"/>
  <c r="I5" i="26"/>
  <c r="I3" i="26"/>
  <c r="I33" i="26"/>
  <c r="I23" i="26"/>
  <c r="I12" i="26"/>
  <c r="I36" i="26"/>
  <c r="L8" i="26"/>
  <c r="M8" i="26" s="1"/>
  <c r="H21" i="26"/>
  <c r="I11" i="26"/>
  <c r="L14" i="26"/>
  <c r="M14" i="26" s="1"/>
  <c r="L6" i="26"/>
  <c r="M6" i="26" s="1"/>
  <c r="O21" i="26"/>
  <c r="E42" i="26" s="1"/>
  <c r="C10" i="26"/>
  <c r="H10" i="26" s="1"/>
  <c r="H19" i="26"/>
  <c r="L17" i="26"/>
  <c r="M17" i="26" s="1"/>
  <c r="L4" i="26"/>
  <c r="M4" i="26" s="1"/>
  <c r="L53" i="26"/>
  <c r="M53" i="26" s="1"/>
  <c r="H8" i="26"/>
  <c r="L25" i="26"/>
  <c r="M25" i="26" s="1"/>
  <c r="C7" i="26"/>
  <c r="L59" i="26"/>
  <c r="L60" i="26" s="1"/>
  <c r="L28" i="26"/>
  <c r="M28" i="26" s="1"/>
  <c r="N42" i="26"/>
  <c r="P54" i="26"/>
  <c r="F45" i="26" s="1"/>
  <c r="H6" i="26"/>
  <c r="L26" i="26"/>
  <c r="M26" i="26" s="1"/>
  <c r="I21" i="26"/>
  <c r="I6" i="26"/>
  <c r="O10" i="26"/>
  <c r="E41" i="26" s="1"/>
  <c r="C17" i="26"/>
  <c r="H17" i="26" s="1"/>
  <c r="L19" i="26"/>
  <c r="M19" i="26" s="1"/>
  <c r="C34" i="26"/>
  <c r="H34" i="26" s="1"/>
  <c r="O32" i="26"/>
  <c r="E43" i="26" s="1"/>
  <c r="C4" i="26"/>
  <c r="H4" i="26" s="1"/>
  <c r="N26" i="24"/>
  <c r="L26" i="24" s="1"/>
  <c r="M26" i="24" s="1"/>
  <c r="N29" i="24"/>
  <c r="L29" i="24" s="1"/>
  <c r="M29" i="24" s="1"/>
  <c r="L28" i="24"/>
  <c r="M28" i="24" s="1"/>
  <c r="P54" i="24"/>
  <c r="F45" i="24" s="1"/>
  <c r="N38" i="24"/>
  <c r="L38" i="24" s="1"/>
  <c r="M38" i="24" s="1"/>
  <c r="P32" i="24"/>
  <c r="F43" i="24" s="1"/>
  <c r="N27" i="24"/>
  <c r="L27" i="24" s="1"/>
  <c r="Q54" i="24"/>
  <c r="G45" i="24" s="1"/>
  <c r="N41" i="24"/>
  <c r="L41" i="24" s="1"/>
  <c r="M41" i="24" s="1"/>
  <c r="N50" i="24"/>
  <c r="L50" i="24" s="1"/>
  <c r="M50" i="24" s="1"/>
  <c r="N20" i="24"/>
  <c r="L20" i="24" s="1"/>
  <c r="M20" i="24" s="1"/>
  <c r="N37" i="24"/>
  <c r="L37" i="24" s="1"/>
  <c r="M37" i="24" s="1"/>
  <c r="M8" i="24"/>
  <c r="N7" i="24"/>
  <c r="L7" i="24" s="1"/>
  <c r="M7" i="24" s="1"/>
  <c r="P10" i="24"/>
  <c r="F41" i="24" s="1"/>
  <c r="N18" i="24"/>
  <c r="L18" i="24" s="1"/>
  <c r="M18" i="24" s="1"/>
  <c r="C28" i="24"/>
  <c r="H28" i="24" s="1"/>
  <c r="N9" i="24"/>
  <c r="L9" i="24" s="1"/>
  <c r="M9" i="24" s="1"/>
  <c r="L30" i="24"/>
  <c r="M30" i="24" s="1"/>
  <c r="N40" i="24"/>
  <c r="N16" i="24"/>
  <c r="I23" i="24"/>
  <c r="Q10" i="24"/>
  <c r="G41" i="24" s="1"/>
  <c r="I32" i="24"/>
  <c r="I31" i="24"/>
  <c r="L52" i="24"/>
  <c r="M52" i="24" s="1"/>
  <c r="I30" i="24"/>
  <c r="I35" i="24"/>
  <c r="N14" i="24"/>
  <c r="O21" i="24"/>
  <c r="E42" i="24" s="1"/>
  <c r="I34" i="24"/>
  <c r="L39" i="24"/>
  <c r="M39" i="24" s="1"/>
  <c r="N36" i="24"/>
  <c r="O43" i="24"/>
  <c r="E44" i="24" s="1"/>
  <c r="N5" i="24"/>
  <c r="I33" i="24"/>
  <c r="C2" i="24"/>
  <c r="H2" i="24" s="1"/>
  <c r="L31" i="24"/>
  <c r="M31" i="24" s="1"/>
  <c r="I36" i="24"/>
  <c r="B22" i="24"/>
  <c r="C22" i="24" s="1"/>
  <c r="O54" i="24"/>
  <c r="E45" i="24" s="1"/>
  <c r="L53" i="24"/>
  <c r="M53" i="24" s="1"/>
  <c r="N59" i="24"/>
  <c r="Q43" i="24"/>
  <c r="G44" i="24" s="1"/>
  <c r="H31" i="24"/>
  <c r="O32" i="24"/>
  <c r="E43" i="24" s="1"/>
  <c r="H6" i="24"/>
  <c r="P43" i="24"/>
  <c r="F44" i="24" s="1"/>
  <c r="N51" i="24"/>
  <c r="H29" i="24"/>
  <c r="I25" i="24"/>
  <c r="P21" i="24"/>
  <c r="F42" i="24" s="1"/>
  <c r="H13" i="24"/>
  <c r="C27" i="24"/>
  <c r="H27" i="24" s="1"/>
  <c r="I24" i="24"/>
  <c r="H25" i="24"/>
  <c r="E38" i="24"/>
  <c r="E39" i="24" s="1"/>
  <c r="I26" i="24"/>
  <c r="I22" i="24"/>
  <c r="N3" i="24"/>
  <c r="O10" i="24"/>
  <c r="E41" i="24" s="1"/>
  <c r="I28" i="24"/>
  <c r="I27" i="24"/>
  <c r="I19" i="23"/>
  <c r="N37" i="23"/>
  <c r="L37" i="23" s="1"/>
  <c r="M37" i="23" s="1"/>
  <c r="I21" i="23"/>
  <c r="I16" i="23"/>
  <c r="I11" i="23"/>
  <c r="I27" i="23"/>
  <c r="I20" i="23"/>
  <c r="I24" i="23"/>
  <c r="I23" i="23"/>
  <c r="B9" i="23"/>
  <c r="C9" i="23" s="1"/>
  <c r="I22" i="23"/>
  <c r="I15" i="23"/>
  <c r="N20" i="23"/>
  <c r="L20" i="23" s="1"/>
  <c r="M20" i="23" s="1"/>
  <c r="P32" i="23"/>
  <c r="F43" i="23" s="1"/>
  <c r="N16" i="23"/>
  <c r="L16" i="23" s="1"/>
  <c r="M16" i="23" s="1"/>
  <c r="N50" i="23"/>
  <c r="L50" i="23" s="1"/>
  <c r="M50" i="23" s="1"/>
  <c r="N9" i="23"/>
  <c r="L9" i="23" s="1"/>
  <c r="M9" i="23" s="1"/>
  <c r="H27" i="23"/>
  <c r="P43" i="23"/>
  <c r="F44" i="23" s="1"/>
  <c r="Q32" i="23"/>
  <c r="G43" i="23" s="1"/>
  <c r="N27" i="23"/>
  <c r="L27" i="23" s="1"/>
  <c r="M27" i="23" s="1"/>
  <c r="O43" i="23"/>
  <c r="E44" i="23" s="1"/>
  <c r="Q43" i="23"/>
  <c r="G44" i="23" s="1"/>
  <c r="C25" i="23"/>
  <c r="H25" i="23" s="1"/>
  <c r="Q54" i="23"/>
  <c r="G45" i="23" s="1"/>
  <c r="P54" i="23"/>
  <c r="F45" i="23" s="1"/>
  <c r="N15" i="23"/>
  <c r="L15" i="23" s="1"/>
  <c r="M15" i="23" s="1"/>
  <c r="N19" i="23"/>
  <c r="L19" i="23" s="1"/>
  <c r="M19" i="23" s="1"/>
  <c r="Q10" i="23"/>
  <c r="G41" i="23" s="1"/>
  <c r="N5" i="23"/>
  <c r="L5" i="23" s="1"/>
  <c r="M5" i="23" s="1"/>
  <c r="N48" i="23"/>
  <c r="L48" i="23" s="1"/>
  <c r="M48" i="23" s="1"/>
  <c r="M14" i="23"/>
  <c r="L51" i="23"/>
  <c r="M51" i="23" s="1"/>
  <c r="L17" i="23"/>
  <c r="M17" i="23" s="1"/>
  <c r="N3" i="23"/>
  <c r="O10" i="23"/>
  <c r="E41" i="23" s="1"/>
  <c r="L53" i="23"/>
  <c r="M53" i="23" s="1"/>
  <c r="I34" i="23"/>
  <c r="H11" i="23"/>
  <c r="L49" i="23"/>
  <c r="M49" i="23" s="1"/>
  <c r="C20" i="23"/>
  <c r="H20" i="23" s="1"/>
  <c r="P10" i="23"/>
  <c r="F41" i="23" s="1"/>
  <c r="I32" i="23"/>
  <c r="E38" i="23"/>
  <c r="E39" i="23" s="1"/>
  <c r="L38" i="23"/>
  <c r="M38" i="23" s="1"/>
  <c r="O21" i="23"/>
  <c r="E42" i="23" s="1"/>
  <c r="P21" i="23"/>
  <c r="F42" i="23" s="1"/>
  <c r="I28" i="23"/>
  <c r="C32" i="23"/>
  <c r="H32" i="23" s="1"/>
  <c r="I29" i="23"/>
  <c r="I35" i="23"/>
  <c r="N47" i="23"/>
  <c r="O54" i="23"/>
  <c r="E45" i="23" s="1"/>
  <c r="H15" i="23"/>
  <c r="H7" i="23"/>
  <c r="H30" i="23"/>
  <c r="N42" i="23"/>
  <c r="N7" i="23"/>
  <c r="I31" i="23"/>
  <c r="C2" i="23"/>
  <c r="H2" i="23" s="1"/>
  <c r="L36" i="23"/>
  <c r="M36" i="23" s="1"/>
  <c r="B28" i="23"/>
  <c r="L40" i="23"/>
  <c r="M40" i="23" s="1"/>
  <c r="C5" i="23"/>
  <c r="H5" i="23" s="1"/>
  <c r="C16" i="23"/>
  <c r="H16" i="23" s="1"/>
  <c r="L25" i="23"/>
  <c r="M25" i="23" s="1"/>
  <c r="I33" i="23"/>
  <c r="H3" i="23"/>
  <c r="N59" i="23"/>
  <c r="N18" i="23"/>
  <c r="C14" i="23"/>
  <c r="I36" i="23"/>
  <c r="O32" i="23"/>
  <c r="E43" i="23" s="1"/>
  <c r="N26" i="23"/>
  <c r="M16" i="26" l="1"/>
  <c r="M21" i="26" s="1"/>
  <c r="C42" i="26" s="1"/>
  <c r="N21" i="26"/>
  <c r="D42" i="26" s="1"/>
  <c r="N10" i="26"/>
  <c r="D41" i="26" s="1"/>
  <c r="C37" i="26"/>
  <c r="H41" i="30"/>
  <c r="B45" i="30"/>
  <c r="H45" i="30" s="1"/>
  <c r="L55" i="30"/>
  <c r="I37" i="26"/>
  <c r="H15" i="26"/>
  <c r="N32" i="26"/>
  <c r="D43" i="26" s="1"/>
  <c r="G46" i="26"/>
  <c r="F46" i="26"/>
  <c r="M59" i="26"/>
  <c r="L10" i="26"/>
  <c r="L11" i="26" s="1"/>
  <c r="L21" i="26"/>
  <c r="H7" i="26"/>
  <c r="M3" i="26"/>
  <c r="M10" i="26" s="1"/>
  <c r="C41" i="26" s="1"/>
  <c r="M32" i="26"/>
  <c r="C43" i="26" s="1"/>
  <c r="E46" i="26"/>
  <c r="L42" i="26"/>
  <c r="N43" i="26"/>
  <c r="D44" i="26" s="1"/>
  <c r="L32" i="26"/>
  <c r="C3" i="26"/>
  <c r="N54" i="26"/>
  <c r="D45" i="26" s="1"/>
  <c r="L47" i="26"/>
  <c r="L54" i="26" s="1"/>
  <c r="B38" i="24"/>
  <c r="B39" i="24" s="1"/>
  <c r="N54" i="24"/>
  <c r="D45" i="24" s="1"/>
  <c r="N32" i="24"/>
  <c r="D43" i="24" s="1"/>
  <c r="F46" i="24"/>
  <c r="L32" i="24"/>
  <c r="L33" i="24" s="1"/>
  <c r="M59" i="24"/>
  <c r="E46" i="24"/>
  <c r="L36" i="24"/>
  <c r="N43" i="24"/>
  <c r="D44" i="24" s="1"/>
  <c r="N10" i="24"/>
  <c r="D41" i="24" s="1"/>
  <c r="L3" i="24"/>
  <c r="M27" i="24"/>
  <c r="M32" i="24" s="1"/>
  <c r="C43" i="24" s="1"/>
  <c r="G46" i="24"/>
  <c r="L5" i="24"/>
  <c r="M5" i="24" s="1"/>
  <c r="L51" i="24"/>
  <c r="L54" i="24" s="1"/>
  <c r="H22" i="24"/>
  <c r="L59" i="24"/>
  <c r="L60" i="24" s="1"/>
  <c r="L14" i="24"/>
  <c r="M14" i="24" s="1"/>
  <c r="N21" i="24"/>
  <c r="D42" i="24" s="1"/>
  <c r="L16" i="24"/>
  <c r="M16" i="24" s="1"/>
  <c r="L40" i="24"/>
  <c r="M40" i="24" s="1"/>
  <c r="L59" i="23"/>
  <c r="L60" i="23" s="1"/>
  <c r="G46" i="23"/>
  <c r="C28" i="23"/>
  <c r="N21" i="23"/>
  <c r="D42" i="23" s="1"/>
  <c r="B38" i="23"/>
  <c r="B39" i="23" s="1"/>
  <c r="H14" i="23"/>
  <c r="L26" i="23"/>
  <c r="M26" i="23" s="1"/>
  <c r="M32" i="23" s="1"/>
  <c r="C43" i="23" s="1"/>
  <c r="N32" i="23"/>
  <c r="D43" i="23" s="1"/>
  <c r="F46" i="23"/>
  <c r="L7" i="23"/>
  <c r="M7" i="23" s="1"/>
  <c r="L42" i="23"/>
  <c r="L43" i="23" s="1"/>
  <c r="L18" i="23"/>
  <c r="L21" i="23" s="1"/>
  <c r="N43" i="23"/>
  <c r="D44" i="23" s="1"/>
  <c r="H9" i="23"/>
  <c r="E46" i="23"/>
  <c r="N54" i="23"/>
  <c r="D45" i="23" s="1"/>
  <c r="L47" i="23"/>
  <c r="L54" i="23" s="1"/>
  <c r="N10" i="23"/>
  <c r="D41" i="23" s="1"/>
  <c r="L3" i="23"/>
  <c r="H37" i="26" l="1"/>
  <c r="B46" i="30"/>
  <c r="H46" i="30"/>
  <c r="H3" i="26"/>
  <c r="B41" i="26"/>
  <c r="H41" i="26" s="1"/>
  <c r="D46" i="26"/>
  <c r="M42" i="26"/>
  <c r="M43" i="26" s="1"/>
  <c r="C44" i="26" s="1"/>
  <c r="M47" i="26"/>
  <c r="M54" i="26" s="1"/>
  <c r="C45" i="26" s="1"/>
  <c r="L22" i="26"/>
  <c r="N22" i="26" s="1"/>
  <c r="B42" i="26"/>
  <c r="H42" i="26" s="1"/>
  <c r="L33" i="26"/>
  <c r="B43" i="26"/>
  <c r="H43" i="26" s="1"/>
  <c r="L44" i="26"/>
  <c r="B44" i="26"/>
  <c r="H44" i="26" s="1"/>
  <c r="B38" i="26"/>
  <c r="B39" i="26" s="1"/>
  <c r="L55" i="26"/>
  <c r="B45" i="26"/>
  <c r="H45" i="26" s="1"/>
  <c r="B43" i="24"/>
  <c r="H43" i="24" s="1"/>
  <c r="D46" i="24"/>
  <c r="L43" i="24"/>
  <c r="L44" i="24" s="1"/>
  <c r="M51" i="24"/>
  <c r="M54" i="24" s="1"/>
  <c r="C45" i="24" s="1"/>
  <c r="M21" i="24"/>
  <c r="C42" i="24" s="1"/>
  <c r="M36" i="24"/>
  <c r="M43" i="24" s="1"/>
  <c r="C44" i="24" s="1"/>
  <c r="L21" i="24"/>
  <c r="L10" i="24"/>
  <c r="L55" i="24"/>
  <c r="B45" i="24"/>
  <c r="H45" i="24" s="1"/>
  <c r="M3" i="24"/>
  <c r="M10" i="24" s="1"/>
  <c r="C41" i="24" s="1"/>
  <c r="L10" i="23"/>
  <c r="L11" i="23" s="1"/>
  <c r="H28" i="23"/>
  <c r="M59" i="23"/>
  <c r="L32" i="23"/>
  <c r="L33" i="23" s="1"/>
  <c r="M3" i="23"/>
  <c r="M10" i="23" s="1"/>
  <c r="C41" i="23" s="1"/>
  <c r="D46" i="23"/>
  <c r="M47" i="23"/>
  <c r="M54" i="23" s="1"/>
  <c r="C45" i="23" s="1"/>
  <c r="L44" i="23"/>
  <c r="B44" i="23"/>
  <c r="H44" i="23" s="1"/>
  <c r="M42" i="23"/>
  <c r="M43" i="23" s="1"/>
  <c r="C44" i="23" s="1"/>
  <c r="B42" i="23"/>
  <c r="H42" i="23" s="1"/>
  <c r="L22" i="23"/>
  <c r="N22" i="23" s="1"/>
  <c r="L55" i="23"/>
  <c r="B45" i="23"/>
  <c r="H45" i="23" s="1"/>
  <c r="M18" i="23"/>
  <c r="M21" i="23" s="1"/>
  <c r="C42" i="23" s="1"/>
  <c r="C46" i="26" l="1"/>
  <c r="B46" i="26"/>
  <c r="H46" i="26"/>
  <c r="C46" i="24"/>
  <c r="B44" i="24"/>
  <c r="H44" i="24" s="1"/>
  <c r="B41" i="24"/>
  <c r="L11" i="24"/>
  <c r="L22" i="24"/>
  <c r="N22" i="24" s="1"/>
  <c r="B42" i="24"/>
  <c r="H42" i="24" s="1"/>
  <c r="B41" i="23"/>
  <c r="H41" i="23" s="1"/>
  <c r="B43" i="23"/>
  <c r="H43" i="23" s="1"/>
  <c r="C46" i="23"/>
  <c r="O53" i="22"/>
  <c r="E28" i="22"/>
  <c r="G26" i="22"/>
  <c r="E24" i="22"/>
  <c r="E19" i="22"/>
  <c r="E17" i="22"/>
  <c r="E10" i="22"/>
  <c r="P59" i="22"/>
  <c r="K59" i="22"/>
  <c r="A46" i="22" s="1"/>
  <c r="K53" i="22"/>
  <c r="Q53" i="22" s="1"/>
  <c r="K52" i="22"/>
  <c r="Q52" i="22" s="1"/>
  <c r="Q51" i="22"/>
  <c r="O51" i="22"/>
  <c r="K51" i="22"/>
  <c r="P51" i="22" s="1"/>
  <c r="K50" i="22"/>
  <c r="Q50" i="22" s="1"/>
  <c r="K49" i="22"/>
  <c r="Q49" i="22" s="1"/>
  <c r="K48" i="22"/>
  <c r="P48" i="22" s="1"/>
  <c r="K47" i="22"/>
  <c r="O47" i="22" s="1"/>
  <c r="Q42" i="22"/>
  <c r="P42" i="22"/>
  <c r="O42" i="22"/>
  <c r="K42" i="22"/>
  <c r="K41" i="22"/>
  <c r="Q41" i="22" s="1"/>
  <c r="Q40" i="22"/>
  <c r="P40" i="22"/>
  <c r="O40" i="22"/>
  <c r="K40" i="22"/>
  <c r="K39" i="22"/>
  <c r="Q39" i="22" s="1"/>
  <c r="K38" i="22"/>
  <c r="Q38" i="22" s="1"/>
  <c r="K37" i="22"/>
  <c r="P36" i="22"/>
  <c r="K36" i="22"/>
  <c r="O36" i="22" s="1"/>
  <c r="D36" i="22"/>
  <c r="C36" i="22" s="1"/>
  <c r="D35" i="22"/>
  <c r="D34" i="22"/>
  <c r="D33" i="22"/>
  <c r="D32" i="22"/>
  <c r="K31" i="22"/>
  <c r="Q31" i="22" s="1"/>
  <c r="D31" i="22"/>
  <c r="K30" i="22"/>
  <c r="P30" i="22" s="1"/>
  <c r="D30" i="22"/>
  <c r="K29" i="22"/>
  <c r="Q29" i="22" s="1"/>
  <c r="D29" i="22"/>
  <c r="K28" i="22"/>
  <c r="P28" i="22" s="1"/>
  <c r="D28" i="22"/>
  <c r="K27" i="22"/>
  <c r="Q27" i="22" s="1"/>
  <c r="D27" i="22"/>
  <c r="K26" i="22"/>
  <c r="P26" i="22" s="1"/>
  <c r="D26" i="22"/>
  <c r="P25" i="22"/>
  <c r="N25" i="22" s="1"/>
  <c r="L25" i="22" s="1"/>
  <c r="M25" i="22" s="1"/>
  <c r="K25" i="22"/>
  <c r="Q25" i="22" s="1"/>
  <c r="D25" i="22"/>
  <c r="Q59" i="22"/>
  <c r="D24" i="22"/>
  <c r="D23" i="22"/>
  <c r="D22" i="22"/>
  <c r="C22" i="22"/>
  <c r="D21" i="22"/>
  <c r="K20" i="22"/>
  <c r="Q20" i="22" s="1"/>
  <c r="D20" i="22"/>
  <c r="K19" i="22"/>
  <c r="O19" i="22" s="1"/>
  <c r="D19" i="22"/>
  <c r="K18" i="22"/>
  <c r="Q18" i="22" s="1"/>
  <c r="D18" i="22"/>
  <c r="K17" i="22"/>
  <c r="O17" i="22" s="1"/>
  <c r="D17" i="22"/>
  <c r="K16" i="22"/>
  <c r="Q16" i="22" s="1"/>
  <c r="D16" i="22"/>
  <c r="C16" i="22"/>
  <c r="P15" i="22"/>
  <c r="K15" i="22"/>
  <c r="O15" i="22" s="1"/>
  <c r="D15" i="22"/>
  <c r="K14" i="22"/>
  <c r="A42" i="22" s="1"/>
  <c r="D14" i="22"/>
  <c r="D13" i="22"/>
  <c r="C13" i="22" s="1"/>
  <c r="H13" i="22" s="1"/>
  <c r="D12" i="22"/>
  <c r="D11" i="22"/>
  <c r="D10" i="22"/>
  <c r="K9" i="22"/>
  <c r="Q9" i="22" s="1"/>
  <c r="D9" i="22"/>
  <c r="C9" i="22"/>
  <c r="K8" i="22"/>
  <c r="P8" i="22" s="1"/>
  <c r="D8" i="22"/>
  <c r="K7" i="22"/>
  <c r="Q7" i="22" s="1"/>
  <c r="D7" i="22"/>
  <c r="C7" i="22" s="1"/>
  <c r="K6" i="22"/>
  <c r="P6" i="22" s="1"/>
  <c r="D6" i="22"/>
  <c r="C6" i="22" s="1"/>
  <c r="K5" i="22"/>
  <c r="P5" i="22" s="1"/>
  <c r="D5" i="22"/>
  <c r="K4" i="22"/>
  <c r="P4" i="22" s="1"/>
  <c r="D4" i="22"/>
  <c r="K3" i="22"/>
  <c r="O3" i="22" s="1"/>
  <c r="D3" i="22"/>
  <c r="I2" i="22"/>
  <c r="D2" i="22"/>
  <c r="G24" i="21"/>
  <c r="E21" i="21"/>
  <c r="H41" i="24" l="1"/>
  <c r="H46" i="24" s="1"/>
  <c r="B46" i="24"/>
  <c r="B46" i="23"/>
  <c r="H46" i="23"/>
  <c r="O37" i="22"/>
  <c r="O59" i="22"/>
  <c r="O16" i="22"/>
  <c r="P14" i="22"/>
  <c r="P16" i="22"/>
  <c r="O52" i="22"/>
  <c r="P37" i="22"/>
  <c r="O38" i="22"/>
  <c r="P52" i="22"/>
  <c r="P38" i="22"/>
  <c r="P17" i="22"/>
  <c r="N17" i="22" s="1"/>
  <c r="N40" i="22"/>
  <c r="L40" i="22" s="1"/>
  <c r="M40" i="22" s="1"/>
  <c r="C35" i="22"/>
  <c r="H35" i="22" s="1"/>
  <c r="N59" i="22"/>
  <c r="I15" i="22"/>
  <c r="I31" i="22"/>
  <c r="I17" i="22"/>
  <c r="N51" i="22"/>
  <c r="L51" i="22" s="1"/>
  <c r="M51" i="22" s="1"/>
  <c r="O30" i="22"/>
  <c r="N30" i="22" s="1"/>
  <c r="Q36" i="22"/>
  <c r="O6" i="22"/>
  <c r="N6" i="22" s="1"/>
  <c r="Q30" i="22"/>
  <c r="O41" i="22"/>
  <c r="A45" i="22"/>
  <c r="Q6" i="22"/>
  <c r="N15" i="22"/>
  <c r="L15" i="22" s="1"/>
  <c r="M15" i="22" s="1"/>
  <c r="P18" i="22"/>
  <c r="O20" i="22"/>
  <c r="O26" i="22"/>
  <c r="N26" i="22" s="1"/>
  <c r="Q28" i="22"/>
  <c r="P41" i="22"/>
  <c r="O8" i="22"/>
  <c r="N8" i="22" s="1"/>
  <c r="L8" i="22" s="1"/>
  <c r="M8" i="22" s="1"/>
  <c r="A44" i="22"/>
  <c r="Q8" i="22"/>
  <c r="O18" i="22"/>
  <c r="P20" i="22"/>
  <c r="Q26" i="22"/>
  <c r="P53" i="22"/>
  <c r="Q14" i="22"/>
  <c r="O28" i="22"/>
  <c r="N28" i="22" s="1"/>
  <c r="O14" i="22"/>
  <c r="P19" i="22"/>
  <c r="N19" i="22" s="1"/>
  <c r="P47" i="22"/>
  <c r="Q4" i="22"/>
  <c r="O4" i="22"/>
  <c r="N4" i="22" s="1"/>
  <c r="N36" i="22"/>
  <c r="L36" i="22" s="1"/>
  <c r="M36" i="22" s="1"/>
  <c r="N42" i="22"/>
  <c r="L42" i="22" s="1"/>
  <c r="M42" i="22" s="1"/>
  <c r="C8" i="22"/>
  <c r="H8" i="22" s="1"/>
  <c r="C32" i="22"/>
  <c r="H32" i="22" s="1"/>
  <c r="C10" i="22"/>
  <c r="H10" i="22" s="1"/>
  <c r="C30" i="22"/>
  <c r="H30" i="22" s="1"/>
  <c r="C23" i="22"/>
  <c r="H23" i="22" s="1"/>
  <c r="C28" i="22"/>
  <c r="H28" i="22" s="1"/>
  <c r="C26" i="22"/>
  <c r="H26" i="22" s="1"/>
  <c r="C4" i="22"/>
  <c r="H4" i="22" s="1"/>
  <c r="H6" i="22"/>
  <c r="C34" i="22"/>
  <c r="I19" i="22"/>
  <c r="C12" i="22"/>
  <c r="I25" i="22"/>
  <c r="E38" i="22"/>
  <c r="E39" i="22" s="1"/>
  <c r="Q48" i="22"/>
  <c r="I13" i="22"/>
  <c r="Q15" i="22"/>
  <c r="Q17" i="22"/>
  <c r="Q19" i="22"/>
  <c r="I35" i="22"/>
  <c r="Q47" i="22"/>
  <c r="Q54" i="22" s="1"/>
  <c r="G45" i="22" s="1"/>
  <c r="I6" i="22"/>
  <c r="I8" i="22"/>
  <c r="C14" i="22"/>
  <c r="H14" i="22" s="1"/>
  <c r="C18" i="22"/>
  <c r="H18" i="22" s="1"/>
  <c r="I24" i="22"/>
  <c r="I26" i="22"/>
  <c r="C5" i="22"/>
  <c r="H5" i="22" s="1"/>
  <c r="O7" i="22"/>
  <c r="I12" i="22"/>
  <c r="C27" i="22"/>
  <c r="H27" i="22" s="1"/>
  <c r="O27" i="22"/>
  <c r="C29" i="22"/>
  <c r="H29" i="22" s="1"/>
  <c r="O29" i="22"/>
  <c r="C31" i="22"/>
  <c r="H31" i="22" s="1"/>
  <c r="O31" i="22"/>
  <c r="I34" i="22"/>
  <c r="Q37" i="22"/>
  <c r="O39" i="22"/>
  <c r="A43" i="22"/>
  <c r="O50" i="22"/>
  <c r="I10" i="22"/>
  <c r="I21" i="22"/>
  <c r="C33" i="22"/>
  <c r="H33" i="22" s="1"/>
  <c r="O9" i="22"/>
  <c r="P7" i="22"/>
  <c r="H16" i="22"/>
  <c r="H22" i="22"/>
  <c r="P27" i="22"/>
  <c r="P29" i="22"/>
  <c r="P31" i="22"/>
  <c r="H36" i="22"/>
  <c r="P39" i="22"/>
  <c r="O49" i="22"/>
  <c r="P50" i="22"/>
  <c r="I4" i="22"/>
  <c r="C11" i="22"/>
  <c r="H11" i="22" s="1"/>
  <c r="C20" i="22"/>
  <c r="H20" i="22" s="1"/>
  <c r="I30" i="22"/>
  <c r="I32" i="22"/>
  <c r="C3" i="22"/>
  <c r="H3" i="22" s="1"/>
  <c r="O5" i="22"/>
  <c r="N5" i="22" s="1"/>
  <c r="P3" i="22"/>
  <c r="P9" i="22"/>
  <c r="C25" i="22"/>
  <c r="H25" i="22" s="1"/>
  <c r="Q3" i="22"/>
  <c r="Q5" i="22"/>
  <c r="H7" i="22"/>
  <c r="H9" i="22"/>
  <c r="I11" i="22"/>
  <c r="I14" i="22"/>
  <c r="C15" i="22"/>
  <c r="I16" i="22"/>
  <c r="C17" i="22"/>
  <c r="I18" i="22"/>
  <c r="C19" i="22"/>
  <c r="I20" i="22"/>
  <c r="I22" i="22"/>
  <c r="C24" i="22"/>
  <c r="I33" i="22"/>
  <c r="I36" i="22"/>
  <c r="A41" i="22"/>
  <c r="O48" i="22"/>
  <c r="N48" i="22" s="1"/>
  <c r="P49" i="22"/>
  <c r="I28" i="22"/>
  <c r="I23" i="22"/>
  <c r="C2" i="22"/>
  <c r="I3" i="22"/>
  <c r="I5" i="22"/>
  <c r="I7" i="22"/>
  <c r="I9" i="22"/>
  <c r="I27" i="22"/>
  <c r="I29" i="22"/>
  <c r="P59" i="21"/>
  <c r="O59" i="21"/>
  <c r="K59" i="21"/>
  <c r="A39" i="21" s="1"/>
  <c r="K53" i="21"/>
  <c r="Q53" i="21" s="1"/>
  <c r="K52" i="21"/>
  <c r="Q52" i="21" s="1"/>
  <c r="K51" i="21"/>
  <c r="Q51" i="21" s="1"/>
  <c r="K50" i="21"/>
  <c r="P50" i="21" s="1"/>
  <c r="P49" i="21"/>
  <c r="O49" i="21"/>
  <c r="K49" i="21"/>
  <c r="Q49" i="21" s="1"/>
  <c r="K48" i="21"/>
  <c r="Q48" i="21" s="1"/>
  <c r="K47" i="21"/>
  <c r="Q47" i="21" s="1"/>
  <c r="K42" i="21"/>
  <c r="Q42" i="21" s="1"/>
  <c r="K41" i="21"/>
  <c r="Q41" i="21" s="1"/>
  <c r="Q40" i="21"/>
  <c r="K40" i="21"/>
  <c r="P40" i="21" s="1"/>
  <c r="K39" i="21"/>
  <c r="O39" i="21" s="1"/>
  <c r="K38" i="21"/>
  <c r="P38" i="21" s="1"/>
  <c r="K37" i="21"/>
  <c r="Q37" i="21" s="1"/>
  <c r="F31" i="21"/>
  <c r="E31" i="21"/>
  <c r="K36" i="21"/>
  <c r="P36" i="21" s="1"/>
  <c r="P31" i="21"/>
  <c r="K31" i="21"/>
  <c r="O31" i="21" s="1"/>
  <c r="O30" i="21"/>
  <c r="K30" i="21"/>
  <c r="Q30" i="21" s="1"/>
  <c r="D30" i="21"/>
  <c r="B30" i="21" s="1"/>
  <c r="K29" i="21"/>
  <c r="O29" i="21" s="1"/>
  <c r="D29" i="21"/>
  <c r="K28" i="21"/>
  <c r="Q28" i="21" s="1"/>
  <c r="D28" i="21"/>
  <c r="B28" i="21" s="1"/>
  <c r="K27" i="21"/>
  <c r="O27" i="21" s="1"/>
  <c r="D27" i="21"/>
  <c r="K26" i="21"/>
  <c r="Q26" i="21" s="1"/>
  <c r="D26" i="21"/>
  <c r="B26" i="21" s="1"/>
  <c r="K25" i="21"/>
  <c r="A37" i="21" s="1"/>
  <c r="D25" i="21"/>
  <c r="B25" i="21" s="1"/>
  <c r="D24" i="21"/>
  <c r="D23" i="21"/>
  <c r="B23" i="21" s="1"/>
  <c r="D22" i="21"/>
  <c r="D21" i="21"/>
  <c r="B21" i="21" s="1"/>
  <c r="K20" i="21"/>
  <c r="Q20" i="21" s="1"/>
  <c r="D20" i="21"/>
  <c r="B20" i="21" s="1"/>
  <c r="K19" i="21"/>
  <c r="Q19" i="21" s="1"/>
  <c r="D19" i="21"/>
  <c r="B19" i="21" s="1"/>
  <c r="K18" i="21"/>
  <c r="Q18" i="21" s="1"/>
  <c r="D18" i="21"/>
  <c r="B18" i="21" s="1"/>
  <c r="K17" i="21"/>
  <c r="Q17" i="21" s="1"/>
  <c r="D17" i="21"/>
  <c r="B17" i="21" s="1"/>
  <c r="K16" i="21"/>
  <c r="Q16" i="21" s="1"/>
  <c r="D16" i="21"/>
  <c r="B16" i="21" s="1"/>
  <c r="K15" i="21"/>
  <c r="Q15" i="21" s="1"/>
  <c r="D15" i="21"/>
  <c r="K14" i="21"/>
  <c r="Q14" i="21" s="1"/>
  <c r="Q59" i="21"/>
  <c r="D14" i="21"/>
  <c r="D13" i="21"/>
  <c r="B13" i="21" s="1"/>
  <c r="D12" i="21"/>
  <c r="D11" i="21"/>
  <c r="D10" i="21"/>
  <c r="B10" i="21" s="1"/>
  <c r="K9" i="21"/>
  <c r="O9" i="21" s="1"/>
  <c r="D9" i="21"/>
  <c r="B9" i="21" s="1"/>
  <c r="K8" i="21"/>
  <c r="Q8" i="21" s="1"/>
  <c r="D8" i="21"/>
  <c r="B8" i="21" s="1"/>
  <c r="P7" i="21"/>
  <c r="K7" i="21"/>
  <c r="O7" i="21" s="1"/>
  <c r="D7" i="21"/>
  <c r="B7" i="21" s="1"/>
  <c r="K6" i="21"/>
  <c r="Q6" i="21" s="1"/>
  <c r="D6" i="21"/>
  <c r="B6" i="21" s="1"/>
  <c r="K5" i="21"/>
  <c r="O5" i="21" s="1"/>
  <c r="D5" i="21"/>
  <c r="B5" i="21" s="1"/>
  <c r="K4" i="21"/>
  <c r="Q4" i="21" s="1"/>
  <c r="D4" i="21"/>
  <c r="B4" i="21" s="1"/>
  <c r="O3" i="21"/>
  <c r="K3" i="21"/>
  <c r="D3" i="21"/>
  <c r="B3" i="21" s="1"/>
  <c r="D2" i="21"/>
  <c r="G14" i="20"/>
  <c r="Q59" i="20" s="1"/>
  <c r="E2" i="20"/>
  <c r="D3" i="20"/>
  <c r="B34" i="19"/>
  <c r="C34" i="19" s="1"/>
  <c r="E35" i="19"/>
  <c r="P59" i="20"/>
  <c r="K59" i="20"/>
  <c r="A38" i="20" s="1"/>
  <c r="K53" i="20"/>
  <c r="K52" i="20"/>
  <c r="Q52" i="20" s="1"/>
  <c r="K51" i="20"/>
  <c r="Q51" i="20" s="1"/>
  <c r="K50" i="20"/>
  <c r="O50" i="20" s="1"/>
  <c r="K49" i="20"/>
  <c r="Q49" i="20" s="1"/>
  <c r="K48" i="20"/>
  <c r="P48" i="20" s="1"/>
  <c r="K47" i="20"/>
  <c r="Q47" i="20" s="1"/>
  <c r="K42" i="20"/>
  <c r="Q42" i="20" s="1"/>
  <c r="K41" i="20"/>
  <c r="P41" i="20" s="1"/>
  <c r="K40" i="20"/>
  <c r="P40" i="20" s="1"/>
  <c r="K39" i="20"/>
  <c r="Q39" i="20" s="1"/>
  <c r="K38" i="20"/>
  <c r="O38" i="20" s="1"/>
  <c r="K37" i="20"/>
  <c r="P37" i="20" s="1"/>
  <c r="F30" i="20"/>
  <c r="E30" i="20"/>
  <c r="K36" i="20"/>
  <c r="P36" i="20" s="1"/>
  <c r="K31" i="20"/>
  <c r="Q31" i="20" s="1"/>
  <c r="K30" i="20"/>
  <c r="P30" i="20" s="1"/>
  <c r="K29" i="20"/>
  <c r="P29" i="20" s="1"/>
  <c r="D29" i="20"/>
  <c r="B29" i="20" s="1"/>
  <c r="K28" i="20"/>
  <c r="Q28" i="20" s="1"/>
  <c r="D28" i="20"/>
  <c r="B28" i="20" s="1"/>
  <c r="K27" i="20"/>
  <c r="Q27" i="20" s="1"/>
  <c r="D27" i="20"/>
  <c r="B27" i="20" s="1"/>
  <c r="K26" i="20"/>
  <c r="Q26" i="20" s="1"/>
  <c r="D26" i="20"/>
  <c r="B26" i="20" s="1"/>
  <c r="C26" i="20" s="1"/>
  <c r="H26" i="20" s="1"/>
  <c r="K25" i="20"/>
  <c r="Q25" i="20" s="1"/>
  <c r="D25" i="20"/>
  <c r="B25" i="20" s="1"/>
  <c r="C25" i="20" s="1"/>
  <c r="D24" i="20"/>
  <c r="D23" i="20"/>
  <c r="B23" i="20" s="1"/>
  <c r="D22" i="20"/>
  <c r="B22" i="20" s="1"/>
  <c r="D21" i="20"/>
  <c r="B21" i="20" s="1"/>
  <c r="K20" i="20"/>
  <c r="O59" i="20"/>
  <c r="K19" i="20"/>
  <c r="O19" i="20" s="1"/>
  <c r="D19" i="20"/>
  <c r="B19" i="20" s="1"/>
  <c r="K18" i="20"/>
  <c r="Q18" i="20" s="1"/>
  <c r="D18" i="20"/>
  <c r="B18" i="20" s="1"/>
  <c r="K17" i="20"/>
  <c r="D17" i="20"/>
  <c r="K16" i="20"/>
  <c r="O16" i="20" s="1"/>
  <c r="D16" i="20"/>
  <c r="B16" i="20" s="1"/>
  <c r="K15" i="20"/>
  <c r="Q15" i="20" s="1"/>
  <c r="D15" i="20"/>
  <c r="B15" i="20" s="1"/>
  <c r="K14" i="20"/>
  <c r="Q14" i="20" s="1"/>
  <c r="D14" i="20"/>
  <c r="D13" i="20"/>
  <c r="B13" i="20" s="1"/>
  <c r="D12" i="20"/>
  <c r="B12" i="20" s="1"/>
  <c r="D11" i="20"/>
  <c r="B11" i="20" s="1"/>
  <c r="D10" i="20"/>
  <c r="K9" i="20"/>
  <c r="O9" i="20" s="1"/>
  <c r="D9" i="20"/>
  <c r="K8" i="20"/>
  <c r="P8" i="20" s="1"/>
  <c r="D8" i="20"/>
  <c r="B8" i="20" s="1"/>
  <c r="K7" i="20"/>
  <c r="P7" i="20" s="1"/>
  <c r="D7" i="20"/>
  <c r="B7" i="20" s="1"/>
  <c r="K6" i="20"/>
  <c r="Q6" i="20" s="1"/>
  <c r="D6" i="20"/>
  <c r="B6" i="20" s="1"/>
  <c r="K5" i="20"/>
  <c r="P5" i="20" s="1"/>
  <c r="D5" i="20"/>
  <c r="B5" i="20" s="1"/>
  <c r="K4" i="20"/>
  <c r="D4" i="20"/>
  <c r="B4" i="20" s="1"/>
  <c r="K3" i="20"/>
  <c r="A34" i="20" s="1"/>
  <c r="D2" i="20"/>
  <c r="B2" i="20" s="1"/>
  <c r="G23" i="19"/>
  <c r="E20" i="19"/>
  <c r="M16" i="19"/>
  <c r="K16" i="19" s="1"/>
  <c r="G11" i="19"/>
  <c r="U59" i="19" s="1"/>
  <c r="G4" i="19"/>
  <c r="E3" i="19"/>
  <c r="T59" i="19"/>
  <c r="O59" i="19"/>
  <c r="O53" i="19"/>
  <c r="U53" i="19" s="1"/>
  <c r="U52" i="19"/>
  <c r="T52" i="19"/>
  <c r="O52" i="19"/>
  <c r="S52" i="19" s="1"/>
  <c r="O51" i="19"/>
  <c r="U51" i="19" s="1"/>
  <c r="T50" i="19"/>
  <c r="S50" i="19"/>
  <c r="O50" i="19"/>
  <c r="U50" i="19" s="1"/>
  <c r="O49" i="19"/>
  <c r="U49" i="19" s="1"/>
  <c r="O48" i="19"/>
  <c r="T48" i="19" s="1"/>
  <c r="O47" i="19"/>
  <c r="A46" i="19"/>
  <c r="M45" i="19"/>
  <c r="L45" i="19"/>
  <c r="K45" i="19"/>
  <c r="M44" i="19"/>
  <c r="L44" i="19"/>
  <c r="K44" i="19"/>
  <c r="M43" i="19"/>
  <c r="L43" i="19"/>
  <c r="L46" i="19" s="1"/>
  <c r="K43" i="19"/>
  <c r="O42" i="19"/>
  <c r="U42" i="19" s="1"/>
  <c r="M42" i="19"/>
  <c r="M46" i="19" s="1"/>
  <c r="L42" i="19"/>
  <c r="K42" i="19"/>
  <c r="U41" i="19"/>
  <c r="T41" i="19"/>
  <c r="S41" i="19"/>
  <c r="O41" i="19"/>
  <c r="M41" i="19"/>
  <c r="L41" i="19"/>
  <c r="K41" i="19"/>
  <c r="U40" i="19"/>
  <c r="T40" i="19"/>
  <c r="O40" i="19"/>
  <c r="U39" i="19"/>
  <c r="T39" i="19"/>
  <c r="S39" i="19"/>
  <c r="O39" i="19"/>
  <c r="O38" i="19"/>
  <c r="U38" i="19" s="1"/>
  <c r="O37" i="19"/>
  <c r="T37" i="19" s="1"/>
  <c r="M37" i="19"/>
  <c r="L37" i="19"/>
  <c r="O36" i="19"/>
  <c r="K36" i="19"/>
  <c r="S53" i="19"/>
  <c r="D36" i="19"/>
  <c r="K35" i="19"/>
  <c r="D35" i="19"/>
  <c r="B35" i="19" s="1"/>
  <c r="C35" i="19" s="1"/>
  <c r="K34" i="19"/>
  <c r="D34" i="19"/>
  <c r="K33" i="19"/>
  <c r="D33" i="19"/>
  <c r="B33" i="19"/>
  <c r="K32" i="19"/>
  <c r="D32" i="19"/>
  <c r="U31" i="19"/>
  <c r="T31" i="19"/>
  <c r="S31" i="19"/>
  <c r="O31" i="19"/>
  <c r="K31" i="19"/>
  <c r="D31" i="19"/>
  <c r="B31" i="19" s="1"/>
  <c r="O30" i="19"/>
  <c r="U30" i="19" s="1"/>
  <c r="K30" i="19"/>
  <c r="D30" i="19"/>
  <c r="B30" i="19" s="1"/>
  <c r="O29" i="19"/>
  <c r="K29" i="19"/>
  <c r="D29" i="19"/>
  <c r="B29" i="19" s="1"/>
  <c r="C29" i="19" s="1"/>
  <c r="H29" i="19" s="1"/>
  <c r="U28" i="19"/>
  <c r="T28" i="19"/>
  <c r="S28" i="19"/>
  <c r="O28" i="19"/>
  <c r="K28" i="19"/>
  <c r="D28" i="19"/>
  <c r="T27" i="19"/>
  <c r="O27" i="19"/>
  <c r="U27" i="19" s="1"/>
  <c r="K27" i="19"/>
  <c r="O26" i="19"/>
  <c r="U26" i="19" s="1"/>
  <c r="K26" i="19"/>
  <c r="D26" i="19"/>
  <c r="B26" i="19" s="1"/>
  <c r="C26" i="19"/>
  <c r="T25" i="19"/>
  <c r="O25" i="19"/>
  <c r="A43" i="19" s="1"/>
  <c r="K25" i="19"/>
  <c r="D25" i="19"/>
  <c r="K24" i="19"/>
  <c r="D24" i="19"/>
  <c r="B24" i="19" s="1"/>
  <c r="K23" i="19"/>
  <c r="D23" i="19"/>
  <c r="K22" i="19"/>
  <c r="D22" i="19"/>
  <c r="K21" i="19"/>
  <c r="D21" i="19"/>
  <c r="B21" i="19" s="1"/>
  <c r="U20" i="19"/>
  <c r="T20" i="19"/>
  <c r="S20" i="19"/>
  <c r="O20" i="19"/>
  <c r="K20" i="19"/>
  <c r="D20" i="19"/>
  <c r="B20" i="19" s="1"/>
  <c r="O19" i="19"/>
  <c r="K19" i="19"/>
  <c r="D19" i="19"/>
  <c r="B19" i="19"/>
  <c r="O18" i="19"/>
  <c r="U18" i="19" s="1"/>
  <c r="K18" i="19"/>
  <c r="D18" i="19"/>
  <c r="U17" i="19"/>
  <c r="T17" i="19"/>
  <c r="O17" i="19"/>
  <c r="S17" i="19" s="1"/>
  <c r="K17" i="19"/>
  <c r="D17" i="19"/>
  <c r="U16" i="19"/>
  <c r="O16" i="19"/>
  <c r="T16" i="19" s="1"/>
  <c r="D16" i="19"/>
  <c r="B16" i="19" s="1"/>
  <c r="O15" i="19"/>
  <c r="U15" i="19" s="1"/>
  <c r="K15" i="19"/>
  <c r="D15" i="19"/>
  <c r="B15" i="19" s="1"/>
  <c r="O14" i="19"/>
  <c r="K14" i="19"/>
  <c r="D14" i="19"/>
  <c r="B14" i="19" s="1"/>
  <c r="C14" i="19" s="1"/>
  <c r="K13" i="19"/>
  <c r="D13" i="19"/>
  <c r="B13" i="19" s="1"/>
  <c r="K12" i="19"/>
  <c r="D12" i="19"/>
  <c r="K11" i="19"/>
  <c r="D11" i="19"/>
  <c r="B11" i="19" s="1"/>
  <c r="K10" i="19"/>
  <c r="D10" i="19"/>
  <c r="B10" i="19" s="1"/>
  <c r="T9" i="19"/>
  <c r="S9" i="19"/>
  <c r="O9" i="19"/>
  <c r="K9" i="19"/>
  <c r="D9" i="19"/>
  <c r="T8" i="19"/>
  <c r="O8" i="19"/>
  <c r="U8" i="19" s="1"/>
  <c r="K8" i="19"/>
  <c r="D8" i="19"/>
  <c r="B8" i="19" s="1"/>
  <c r="O7" i="19"/>
  <c r="T7" i="19" s="1"/>
  <c r="K7" i="19"/>
  <c r="D7" i="19"/>
  <c r="B7" i="19"/>
  <c r="U6" i="19"/>
  <c r="T6" i="19"/>
  <c r="S6" i="19"/>
  <c r="O6" i="19"/>
  <c r="K6" i="19"/>
  <c r="D6" i="19"/>
  <c r="B6" i="19" s="1"/>
  <c r="O5" i="19"/>
  <c r="K5" i="19"/>
  <c r="D5" i="19"/>
  <c r="B5" i="19" s="1"/>
  <c r="C5" i="19" s="1"/>
  <c r="O4" i="19"/>
  <c r="S4" i="19" s="1"/>
  <c r="K4" i="19"/>
  <c r="D4" i="19"/>
  <c r="B4" i="19" s="1"/>
  <c r="T3" i="19"/>
  <c r="S3" i="19"/>
  <c r="O3" i="19"/>
  <c r="U3" i="19" s="1"/>
  <c r="K3" i="19"/>
  <c r="D3" i="19"/>
  <c r="K2" i="19"/>
  <c r="D2" i="19"/>
  <c r="E36" i="18"/>
  <c r="D36" i="18" s="1"/>
  <c r="E35" i="18"/>
  <c r="E34" i="18"/>
  <c r="E33" i="18"/>
  <c r="E32" i="18"/>
  <c r="S49" i="18" s="1"/>
  <c r="E26" i="18"/>
  <c r="E28" i="18"/>
  <c r="D28" i="18" s="1"/>
  <c r="B28" i="18" s="1"/>
  <c r="E27" i="18"/>
  <c r="S40" i="18" s="1"/>
  <c r="E29" i="18"/>
  <c r="D29" i="18" s="1"/>
  <c r="B29" i="18" s="1"/>
  <c r="E30" i="18"/>
  <c r="D30" i="18" s="1"/>
  <c r="B30" i="18" s="1"/>
  <c r="E31" i="18"/>
  <c r="S48" i="18" s="1"/>
  <c r="M45" i="18"/>
  <c r="L45" i="18"/>
  <c r="K45" i="18"/>
  <c r="M44" i="18"/>
  <c r="L44" i="18"/>
  <c r="K44" i="18"/>
  <c r="M43" i="18"/>
  <c r="L43" i="18"/>
  <c r="K43" i="18"/>
  <c r="M42" i="18"/>
  <c r="M41" i="18"/>
  <c r="M46" i="18"/>
  <c r="L42" i="18"/>
  <c r="K42" i="18"/>
  <c r="K41" i="18"/>
  <c r="K46" i="18"/>
  <c r="L41" i="18"/>
  <c r="L46" i="18"/>
  <c r="M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L37" i="18"/>
  <c r="K4" i="18"/>
  <c r="K3" i="18"/>
  <c r="K37" i="18"/>
  <c r="L38" i="18"/>
  <c r="L39" i="18"/>
  <c r="K2" i="18"/>
  <c r="T59" i="18"/>
  <c r="U59" i="18"/>
  <c r="D8" i="18"/>
  <c r="D7" i="18"/>
  <c r="D6" i="18"/>
  <c r="B6" i="18"/>
  <c r="C6" i="18"/>
  <c r="D5" i="18"/>
  <c r="B5" i="18"/>
  <c r="E4" i="18"/>
  <c r="D4" i="18"/>
  <c r="G3" i="18"/>
  <c r="D3" i="18"/>
  <c r="B3" i="18"/>
  <c r="D2" i="18"/>
  <c r="I8" i="18"/>
  <c r="B4" i="16"/>
  <c r="C4" i="16"/>
  <c r="B5" i="16"/>
  <c r="C5" i="16"/>
  <c r="B6" i="16"/>
  <c r="C6" i="16"/>
  <c r="B7" i="16"/>
  <c r="C7" i="16"/>
  <c r="B8" i="16"/>
  <c r="C8" i="16"/>
  <c r="D9" i="16"/>
  <c r="B9" i="16"/>
  <c r="C9" i="16"/>
  <c r="D10" i="16"/>
  <c r="B10" i="16"/>
  <c r="C10" i="16"/>
  <c r="F11" i="16"/>
  <c r="D11" i="16"/>
  <c r="B11" i="16"/>
  <c r="C11" i="16"/>
  <c r="D12" i="16"/>
  <c r="B12" i="16"/>
  <c r="C12" i="16"/>
  <c r="D13" i="16"/>
  <c r="B13" i="16"/>
  <c r="C13" i="16"/>
  <c r="D14" i="16"/>
  <c r="B14" i="16"/>
  <c r="C14" i="16"/>
  <c r="D15" i="16"/>
  <c r="B15" i="16"/>
  <c r="C15" i="16"/>
  <c r="D16" i="16"/>
  <c r="B16" i="16"/>
  <c r="C16" i="16"/>
  <c r="D17" i="16"/>
  <c r="B17" i="16"/>
  <c r="C17" i="16"/>
  <c r="D18" i="16"/>
  <c r="B18" i="16"/>
  <c r="C18" i="16"/>
  <c r="D19" i="16"/>
  <c r="B19" i="16"/>
  <c r="C19" i="16"/>
  <c r="E20" i="16"/>
  <c r="F20" i="16"/>
  <c r="D20" i="16"/>
  <c r="B20" i="16"/>
  <c r="C20" i="16"/>
  <c r="E21" i="16"/>
  <c r="D21" i="16"/>
  <c r="B21" i="16"/>
  <c r="C21" i="16"/>
  <c r="E22" i="16"/>
  <c r="D22" i="16"/>
  <c r="B22" i="16"/>
  <c r="C22" i="16"/>
  <c r="D23" i="16"/>
  <c r="B23" i="16"/>
  <c r="C23" i="16"/>
  <c r="D24" i="16"/>
  <c r="B24" i="16"/>
  <c r="C24" i="16"/>
  <c r="D25" i="16"/>
  <c r="B25" i="16"/>
  <c r="C25" i="16"/>
  <c r="D26" i="16"/>
  <c r="B26" i="16"/>
  <c r="C26" i="16"/>
  <c r="D27" i="16"/>
  <c r="B27" i="16"/>
  <c r="C27" i="16"/>
  <c r="D28" i="16"/>
  <c r="B28" i="16"/>
  <c r="C28" i="16"/>
  <c r="D29" i="16"/>
  <c r="B29" i="16"/>
  <c r="C29" i="16"/>
  <c r="D30" i="16"/>
  <c r="B30" i="16"/>
  <c r="C30" i="16"/>
  <c r="D31" i="16"/>
  <c r="B31" i="16"/>
  <c r="C31" i="16"/>
  <c r="E32" i="16"/>
  <c r="D32" i="16"/>
  <c r="B32" i="16"/>
  <c r="C32" i="16"/>
  <c r="D33" i="16"/>
  <c r="B33" i="16"/>
  <c r="C33" i="16"/>
  <c r="D34" i="16"/>
  <c r="B34" i="16"/>
  <c r="C34" i="16"/>
  <c r="M59" i="16"/>
  <c r="L59" i="16"/>
  <c r="O59" i="16"/>
  <c r="P59" i="16"/>
  <c r="G31" i="16"/>
  <c r="Q59" i="16"/>
  <c r="N59" i="16"/>
  <c r="K47" i="16"/>
  <c r="O47" i="16"/>
  <c r="N47" i="16" s="1"/>
  <c r="L47" i="16" s="1"/>
  <c r="P47" i="16"/>
  <c r="K48" i="16"/>
  <c r="O48" i="16"/>
  <c r="P48" i="16"/>
  <c r="K49" i="16"/>
  <c r="O49" i="16"/>
  <c r="P49" i="16"/>
  <c r="N49" i="16" s="1"/>
  <c r="L49" i="16" s="1"/>
  <c r="K50" i="16"/>
  <c r="O50" i="16"/>
  <c r="P50" i="16"/>
  <c r="K51" i="16"/>
  <c r="O51" i="16"/>
  <c r="P51" i="16"/>
  <c r="K52" i="16"/>
  <c r="O52" i="16"/>
  <c r="N52" i="16" s="1"/>
  <c r="P52" i="16"/>
  <c r="K53" i="16"/>
  <c r="O53" i="16"/>
  <c r="N53" i="16" s="1"/>
  <c r="L53" i="16" s="1"/>
  <c r="P53" i="16"/>
  <c r="Q47" i="16"/>
  <c r="Q48" i="16"/>
  <c r="Q49" i="16"/>
  <c r="Q50" i="16"/>
  <c r="Q51" i="16"/>
  <c r="Q52" i="16"/>
  <c r="Q53" i="16"/>
  <c r="O59" i="18"/>
  <c r="O53" i="18"/>
  <c r="U53" i="18"/>
  <c r="O52" i="18"/>
  <c r="U52" i="18"/>
  <c r="T52" i="18"/>
  <c r="O51" i="18"/>
  <c r="S51" i="18"/>
  <c r="U51" i="18"/>
  <c r="O50" i="18"/>
  <c r="U50" i="18"/>
  <c r="T50" i="18"/>
  <c r="O49" i="18"/>
  <c r="U49" i="18"/>
  <c r="O48" i="18"/>
  <c r="O47" i="18"/>
  <c r="A45" i="18"/>
  <c r="A46" i="18"/>
  <c r="O25" i="18"/>
  <c r="O31" i="18"/>
  <c r="A43" i="18"/>
  <c r="O42" i="18"/>
  <c r="U42" i="18"/>
  <c r="T42" i="18"/>
  <c r="S42" i="18"/>
  <c r="O41" i="18"/>
  <c r="S41" i="18"/>
  <c r="O40" i="18"/>
  <c r="O39" i="18"/>
  <c r="U39" i="18"/>
  <c r="O38" i="18"/>
  <c r="U38" i="18"/>
  <c r="T38" i="18"/>
  <c r="S38" i="18"/>
  <c r="O37" i="18"/>
  <c r="U37" i="18"/>
  <c r="O36" i="18"/>
  <c r="U36" i="18"/>
  <c r="D35" i="18"/>
  <c r="B35" i="18"/>
  <c r="C35" i="18" s="1"/>
  <c r="H35" i="18" s="1"/>
  <c r="D34" i="18"/>
  <c r="B34" i="18" s="1"/>
  <c r="D33" i="18"/>
  <c r="B33" i="18" s="1"/>
  <c r="D32" i="18"/>
  <c r="U31" i="18"/>
  <c r="T31" i="18"/>
  <c r="D31" i="18"/>
  <c r="B31" i="18" s="1"/>
  <c r="O30" i="18"/>
  <c r="O29" i="18"/>
  <c r="U29" i="18"/>
  <c r="T29" i="18"/>
  <c r="O28" i="18"/>
  <c r="O27" i="18"/>
  <c r="U27" i="18"/>
  <c r="T27" i="18"/>
  <c r="S27" i="18"/>
  <c r="O26" i="18"/>
  <c r="D26" i="18"/>
  <c r="B26" i="18" s="1"/>
  <c r="C26" i="18" s="1"/>
  <c r="H26" i="18" s="1"/>
  <c r="U25" i="18"/>
  <c r="T25" i="18"/>
  <c r="D25" i="18"/>
  <c r="B25" i="18" s="1"/>
  <c r="D24" i="18"/>
  <c r="B24" i="18"/>
  <c r="D23" i="18"/>
  <c r="B23" i="18" s="1"/>
  <c r="S31" i="18"/>
  <c r="D22" i="18"/>
  <c r="B22" i="18"/>
  <c r="D21" i="18"/>
  <c r="B21" i="18" s="1"/>
  <c r="O20" i="18"/>
  <c r="T20" i="18"/>
  <c r="U20" i="18"/>
  <c r="D20" i="18"/>
  <c r="B20" i="18" s="1"/>
  <c r="O19" i="18"/>
  <c r="U19" i="18"/>
  <c r="D19" i="18"/>
  <c r="B19" i="18" s="1"/>
  <c r="O18" i="18"/>
  <c r="D18" i="18"/>
  <c r="B18" i="18" s="1"/>
  <c r="O17" i="18"/>
  <c r="U17" i="18"/>
  <c r="D17" i="18"/>
  <c r="C17" i="18" s="1"/>
  <c r="H17" i="18" s="1"/>
  <c r="B17" i="18"/>
  <c r="O16" i="18"/>
  <c r="T16" i="18"/>
  <c r="S16" i="18"/>
  <c r="D16" i="18"/>
  <c r="B16" i="18" s="1"/>
  <c r="O15" i="18"/>
  <c r="U15" i="18"/>
  <c r="S15" i="18"/>
  <c r="T15" i="18"/>
  <c r="D15" i="18"/>
  <c r="B15" i="18"/>
  <c r="C15" i="18"/>
  <c r="O14" i="18"/>
  <c r="S14" i="18"/>
  <c r="D14" i="18"/>
  <c r="D13" i="18"/>
  <c r="B13" i="18" s="1"/>
  <c r="D12" i="18"/>
  <c r="B12" i="18" s="1"/>
  <c r="D11" i="18"/>
  <c r="B11" i="18"/>
  <c r="D10" i="18"/>
  <c r="I11" i="18" s="1"/>
  <c r="O9" i="18"/>
  <c r="S9" i="18"/>
  <c r="D9" i="18"/>
  <c r="B9" i="18"/>
  <c r="B7" i="18"/>
  <c r="B8" i="18"/>
  <c r="O8" i="18"/>
  <c r="U8" i="18"/>
  <c r="S8" i="18"/>
  <c r="T8" i="18"/>
  <c r="O7" i="18"/>
  <c r="T7" i="18"/>
  <c r="S7" i="18"/>
  <c r="U7" i="18"/>
  <c r="O6" i="18"/>
  <c r="U6" i="18"/>
  <c r="O5" i="18"/>
  <c r="T5" i="18"/>
  <c r="O4" i="18"/>
  <c r="T4" i="18"/>
  <c r="S4" i="18"/>
  <c r="O3" i="18"/>
  <c r="T3" i="18"/>
  <c r="S3" i="18"/>
  <c r="K3" i="16"/>
  <c r="O3" i="16"/>
  <c r="K4" i="16"/>
  <c r="O4" i="16"/>
  <c r="P4" i="16"/>
  <c r="Q4" i="16"/>
  <c r="K5" i="16"/>
  <c r="O5" i="16"/>
  <c r="Q5" i="16"/>
  <c r="K6" i="16"/>
  <c r="O6" i="16"/>
  <c r="K7" i="16"/>
  <c r="P7" i="16"/>
  <c r="O7" i="16"/>
  <c r="K8" i="16"/>
  <c r="Q8" i="16"/>
  <c r="O8" i="16"/>
  <c r="P8" i="16"/>
  <c r="K9" i="16"/>
  <c r="O9" i="16"/>
  <c r="P9" i="16"/>
  <c r="Q9" i="16"/>
  <c r="D2" i="16"/>
  <c r="B2" i="16"/>
  <c r="B3" i="16"/>
  <c r="K59" i="16"/>
  <c r="A46" i="16"/>
  <c r="K42" i="16"/>
  <c r="O42" i="16"/>
  <c r="K41" i="16"/>
  <c r="P41" i="16"/>
  <c r="K40" i="16"/>
  <c r="Q40" i="16"/>
  <c r="K39" i="16"/>
  <c r="Q39" i="16"/>
  <c r="K38" i="16"/>
  <c r="Q38" i="16"/>
  <c r="K37" i="16"/>
  <c r="O37" i="16"/>
  <c r="K36" i="16"/>
  <c r="A44" i="16"/>
  <c r="D36" i="16"/>
  <c r="B36" i="16"/>
  <c r="D35" i="16"/>
  <c r="B35" i="16"/>
  <c r="K31" i="16"/>
  <c r="Q31" i="16"/>
  <c r="K30" i="16"/>
  <c r="K29" i="16"/>
  <c r="Q29" i="16"/>
  <c r="K28" i="16"/>
  <c r="O28" i="16"/>
  <c r="K27" i="16"/>
  <c r="O27" i="16"/>
  <c r="K26" i="16"/>
  <c r="O26" i="16"/>
  <c r="K25" i="16"/>
  <c r="A43" i="16"/>
  <c r="K20" i="16"/>
  <c r="Q20" i="16"/>
  <c r="K19" i="16"/>
  <c r="P19" i="16"/>
  <c r="N19" i="16" s="1"/>
  <c r="L19" i="16" s="1"/>
  <c r="K18" i="16"/>
  <c r="Q18" i="16"/>
  <c r="K17" i="16"/>
  <c r="P17" i="16"/>
  <c r="K16" i="16"/>
  <c r="Q16" i="16"/>
  <c r="K15" i="16"/>
  <c r="P15" i="16"/>
  <c r="K14" i="16"/>
  <c r="Q14" i="16"/>
  <c r="I2" i="16"/>
  <c r="E29" i="13"/>
  <c r="T14" i="18"/>
  <c r="T36" i="18"/>
  <c r="U40" i="18"/>
  <c r="T51" i="18"/>
  <c r="S36" i="18"/>
  <c r="U14" i="18"/>
  <c r="S17" i="18"/>
  <c r="S19" i="18"/>
  <c r="T49" i="18"/>
  <c r="T17" i="18"/>
  <c r="T19" i="18"/>
  <c r="S25" i="18"/>
  <c r="S39" i="18"/>
  <c r="T41" i="18"/>
  <c r="S37" i="18"/>
  <c r="T39" i="18"/>
  <c r="U41" i="18"/>
  <c r="S50" i="18"/>
  <c r="S52" i="18"/>
  <c r="T40" i="18"/>
  <c r="A42" i="18"/>
  <c r="C11" i="18"/>
  <c r="H11" i="18"/>
  <c r="C7" i="18"/>
  <c r="C5" i="18"/>
  <c r="H5" i="18"/>
  <c r="H6" i="18"/>
  <c r="C8" i="18"/>
  <c r="I7" i="18"/>
  <c r="C3" i="18"/>
  <c r="H3" i="18"/>
  <c r="I9" i="18"/>
  <c r="B2" i="18"/>
  <c r="I4" i="18"/>
  <c r="I5" i="18"/>
  <c r="U3" i="18"/>
  <c r="C2" i="18"/>
  <c r="I3" i="18"/>
  <c r="I6" i="18"/>
  <c r="S6" i="18"/>
  <c r="B4" i="18"/>
  <c r="I2" i="18"/>
  <c r="S18" i="18"/>
  <c r="U18" i="18"/>
  <c r="T18" i="18"/>
  <c r="A41" i="18"/>
  <c r="U5" i="18"/>
  <c r="C9" i="18"/>
  <c r="U9" i="18"/>
  <c r="U47" i="18"/>
  <c r="T47" i="18"/>
  <c r="S47" i="18"/>
  <c r="T6" i="18"/>
  <c r="U16" i="18"/>
  <c r="S20" i="18"/>
  <c r="C24" i="18"/>
  <c r="U28" i="18"/>
  <c r="T28" i="18"/>
  <c r="S28" i="18"/>
  <c r="U48" i="18"/>
  <c r="T48" i="18"/>
  <c r="A44" i="18"/>
  <c r="I10" i="18"/>
  <c r="U30" i="18"/>
  <c r="T30" i="18"/>
  <c r="S30" i="18"/>
  <c r="U4" i="18"/>
  <c r="S5" i="18"/>
  <c r="T37" i="18"/>
  <c r="U26" i="18"/>
  <c r="T26" i="18"/>
  <c r="S26" i="18"/>
  <c r="T9" i="18"/>
  <c r="S29" i="18"/>
  <c r="T53" i="18"/>
  <c r="H24" i="16"/>
  <c r="P30" i="16"/>
  <c r="H9" i="16"/>
  <c r="A41" i="16"/>
  <c r="Q3" i="16"/>
  <c r="P3" i="16"/>
  <c r="Q6" i="16"/>
  <c r="P5" i="16"/>
  <c r="N5" i="16"/>
  <c r="L5" i="16" s="1"/>
  <c r="M5" i="16" s="1"/>
  <c r="Q7" i="16"/>
  <c r="P6" i="16"/>
  <c r="C35" i="16"/>
  <c r="H35" i="16"/>
  <c r="P42" i="16"/>
  <c r="E38" i="16"/>
  <c r="E39" i="16" s="1"/>
  <c r="I6" i="16"/>
  <c r="I8" i="16"/>
  <c r="I34" i="16"/>
  <c r="I32" i="16"/>
  <c r="I4" i="16"/>
  <c r="I31" i="16"/>
  <c r="H13" i="16"/>
  <c r="I10" i="16"/>
  <c r="P37" i="16"/>
  <c r="Q41" i="16"/>
  <c r="P25" i="16"/>
  <c r="P27" i="16"/>
  <c r="P29" i="16"/>
  <c r="O36" i="16"/>
  <c r="O25" i="16"/>
  <c r="O32" i="16" s="1"/>
  <c r="E43" i="16" s="1"/>
  <c r="Q27" i="16"/>
  <c r="P31" i="16"/>
  <c r="O41" i="16"/>
  <c r="N41" i="16" s="1"/>
  <c r="L41" i="16" s="1"/>
  <c r="M41" i="16" s="1"/>
  <c r="Q25" i="16"/>
  <c r="Q32" i="16" s="1"/>
  <c r="G43" i="16" s="1"/>
  <c r="P36" i="16"/>
  <c r="Q36" i="16"/>
  <c r="P39" i="16"/>
  <c r="N39" i="16" s="1"/>
  <c r="L39" i="16" s="1"/>
  <c r="M39" i="16" s="1"/>
  <c r="A45" i="16"/>
  <c r="O40" i="16"/>
  <c r="O14" i="16"/>
  <c r="N14" i="16" s="1"/>
  <c r="L14" i="16" s="1"/>
  <c r="O16" i="16"/>
  <c r="O18" i="16"/>
  <c r="N18" i="16" s="1"/>
  <c r="O20" i="16"/>
  <c r="Q30" i="16"/>
  <c r="Q37" i="16"/>
  <c r="P16" i="16"/>
  <c r="P21" i="16" s="1"/>
  <c r="F42" i="16" s="1"/>
  <c r="P20" i="16"/>
  <c r="O38" i="16"/>
  <c r="P40" i="16"/>
  <c r="N40" i="16" s="1"/>
  <c r="L40" i="16" s="1"/>
  <c r="M40" i="16" s="1"/>
  <c r="Q42" i="16"/>
  <c r="P14" i="16"/>
  <c r="P18" i="16"/>
  <c r="P38" i="16"/>
  <c r="Q15" i="16"/>
  <c r="Q17" i="16"/>
  <c r="Q19" i="16"/>
  <c r="O29" i="16"/>
  <c r="O31" i="16"/>
  <c r="N31" i="16" s="1"/>
  <c r="O39" i="16"/>
  <c r="H11" i="16"/>
  <c r="H14" i="16"/>
  <c r="I21" i="16"/>
  <c r="H33" i="16"/>
  <c r="C36" i="16"/>
  <c r="H36" i="16"/>
  <c r="H7" i="16"/>
  <c r="H4" i="16"/>
  <c r="H6" i="16"/>
  <c r="H8" i="16"/>
  <c r="H10" i="16"/>
  <c r="H15" i="16"/>
  <c r="O15" i="16"/>
  <c r="H17" i="16"/>
  <c r="O17" i="16"/>
  <c r="N17" i="16" s="1"/>
  <c r="L17" i="16" s="1"/>
  <c r="M17" i="16" s="1"/>
  <c r="H19" i="16"/>
  <c r="O19" i="16"/>
  <c r="H21" i="16"/>
  <c r="P26" i="16"/>
  <c r="P28" i="16"/>
  <c r="N28" i="16" s="1"/>
  <c r="H30" i="16"/>
  <c r="O30" i="16"/>
  <c r="H32" i="16"/>
  <c r="I26" i="16"/>
  <c r="I19" i="16"/>
  <c r="H29" i="16"/>
  <c r="I12" i="16"/>
  <c r="H20" i="16"/>
  <c r="H22" i="16"/>
  <c r="I13" i="16"/>
  <c r="I24" i="16"/>
  <c r="Q26" i="16"/>
  <c r="Q28" i="16"/>
  <c r="I35" i="16"/>
  <c r="I15" i="16"/>
  <c r="I17" i="16"/>
  <c r="H25" i="16"/>
  <c r="H27" i="16"/>
  <c r="I30" i="16"/>
  <c r="H18" i="16"/>
  <c r="I23" i="16"/>
  <c r="A42" i="16"/>
  <c r="I28" i="16"/>
  <c r="C3" i="16"/>
  <c r="H3" i="16"/>
  <c r="H5" i="16"/>
  <c r="H16" i="16"/>
  <c r="C2" i="16"/>
  <c r="I11" i="16"/>
  <c r="I22" i="16"/>
  <c r="I25" i="16"/>
  <c r="I27" i="16"/>
  <c r="H31" i="16"/>
  <c r="I33" i="16"/>
  <c r="I36" i="16"/>
  <c r="I3" i="16"/>
  <c r="I5" i="16"/>
  <c r="I7" i="16"/>
  <c r="I9" i="16"/>
  <c r="I14" i="16"/>
  <c r="I16" i="16"/>
  <c r="I18" i="16"/>
  <c r="I20" i="16"/>
  <c r="I29" i="16"/>
  <c r="Q59" i="13"/>
  <c r="P59" i="13"/>
  <c r="Q59" i="14"/>
  <c r="O59" i="14"/>
  <c r="H9" i="18"/>
  <c r="H7" i="18"/>
  <c r="H8" i="18"/>
  <c r="H2" i="18"/>
  <c r="C4" i="18"/>
  <c r="H4" i="18"/>
  <c r="N20" i="16"/>
  <c r="N36" i="16"/>
  <c r="L36" i="16" s="1"/>
  <c r="H12" i="16"/>
  <c r="H2" i="16"/>
  <c r="H34" i="16"/>
  <c r="L60" i="16"/>
  <c r="H26" i="16"/>
  <c r="E14" i="13"/>
  <c r="O59" i="13"/>
  <c r="E45" i="13"/>
  <c r="F45" i="13"/>
  <c r="G45" i="13"/>
  <c r="H59" i="14"/>
  <c r="K59" i="14"/>
  <c r="H58" i="14"/>
  <c r="H57" i="14"/>
  <c r="H56" i="14"/>
  <c r="H55" i="14"/>
  <c r="K53" i="14"/>
  <c r="Q53" i="14"/>
  <c r="H54" i="14"/>
  <c r="K52" i="14"/>
  <c r="Q52" i="14"/>
  <c r="K51" i="14"/>
  <c r="Q51" i="14"/>
  <c r="K50" i="14"/>
  <c r="P50" i="14"/>
  <c r="G50" i="14"/>
  <c r="F50" i="14"/>
  <c r="E50" i="14"/>
  <c r="K49" i="14"/>
  <c r="Q49" i="14"/>
  <c r="K48" i="14"/>
  <c r="Q48" i="14"/>
  <c r="K47" i="14"/>
  <c r="P47" i="14"/>
  <c r="K42" i="14"/>
  <c r="O42" i="14"/>
  <c r="K41" i="14"/>
  <c r="Q41" i="14"/>
  <c r="K40" i="14"/>
  <c r="P40" i="14"/>
  <c r="K39" i="14"/>
  <c r="Q39" i="14"/>
  <c r="K38" i="14"/>
  <c r="Q38" i="14"/>
  <c r="Q43" i="14" s="1"/>
  <c r="K37" i="14"/>
  <c r="Q37" i="14"/>
  <c r="K36" i="14"/>
  <c r="Q36" i="14"/>
  <c r="D36" i="14"/>
  <c r="B36" i="14"/>
  <c r="D35" i="14"/>
  <c r="B35" i="14"/>
  <c r="D34" i="14"/>
  <c r="B34" i="14"/>
  <c r="D33" i="14"/>
  <c r="B33" i="14"/>
  <c r="D32" i="14"/>
  <c r="K31" i="14"/>
  <c r="Q31" i="14"/>
  <c r="D31" i="14"/>
  <c r="B31" i="14"/>
  <c r="K30" i="14"/>
  <c r="O30" i="14"/>
  <c r="D30" i="14"/>
  <c r="K29" i="14"/>
  <c r="Q29" i="14"/>
  <c r="D29" i="14"/>
  <c r="B29" i="14"/>
  <c r="K28" i="14"/>
  <c r="O28" i="14"/>
  <c r="D28" i="14"/>
  <c r="K27" i="14"/>
  <c r="Q27" i="14"/>
  <c r="D27" i="14"/>
  <c r="B27" i="14"/>
  <c r="K26" i="14"/>
  <c r="O26" i="14"/>
  <c r="D26" i="14"/>
  <c r="K25" i="14"/>
  <c r="Q25" i="14"/>
  <c r="D25" i="14"/>
  <c r="B25" i="14"/>
  <c r="D24" i="14"/>
  <c r="D23" i="14"/>
  <c r="B23" i="14"/>
  <c r="D22" i="14"/>
  <c r="B22" i="14"/>
  <c r="C22" i="14"/>
  <c r="D21" i="14"/>
  <c r="B21" i="14"/>
  <c r="K20" i="14"/>
  <c r="O20" i="14"/>
  <c r="D20" i="14"/>
  <c r="B20" i="14"/>
  <c r="K19" i="14"/>
  <c r="Q19" i="14"/>
  <c r="D19" i="14"/>
  <c r="B19" i="14"/>
  <c r="K18" i="14"/>
  <c r="Q18" i="14"/>
  <c r="D18" i="14"/>
  <c r="B18" i="14"/>
  <c r="C18" i="14"/>
  <c r="K17" i="14"/>
  <c r="Q17" i="14"/>
  <c r="D17" i="14"/>
  <c r="B17" i="14"/>
  <c r="K16" i="14"/>
  <c r="O16" i="14"/>
  <c r="D16" i="14"/>
  <c r="B16" i="14"/>
  <c r="K15" i="14"/>
  <c r="Q15" i="14"/>
  <c r="D15" i="14"/>
  <c r="B15" i="14"/>
  <c r="K14" i="14"/>
  <c r="Q14" i="14"/>
  <c r="D14" i="14"/>
  <c r="B14" i="14"/>
  <c r="D13" i="14"/>
  <c r="D12" i="14"/>
  <c r="B12" i="14"/>
  <c r="D11" i="14"/>
  <c r="B11" i="14"/>
  <c r="D10" i="14"/>
  <c r="B10" i="14"/>
  <c r="K9" i="14"/>
  <c r="Q9" i="14"/>
  <c r="F9" i="14"/>
  <c r="K8" i="14"/>
  <c r="Q8" i="14"/>
  <c r="D8" i="14"/>
  <c r="B8" i="14"/>
  <c r="K7" i="14"/>
  <c r="O7" i="14"/>
  <c r="D7" i="14"/>
  <c r="B7" i="14"/>
  <c r="K6" i="14"/>
  <c r="P6" i="14"/>
  <c r="N6" i="14" s="1"/>
  <c r="L6" i="14" s="1"/>
  <c r="M6" i="14" s="1"/>
  <c r="D6" i="14"/>
  <c r="B6" i="14"/>
  <c r="K5" i="14"/>
  <c r="O5" i="14"/>
  <c r="D5" i="14"/>
  <c r="B5" i="14"/>
  <c r="K4" i="14"/>
  <c r="P4" i="14"/>
  <c r="N4" i="14" s="1"/>
  <c r="D4" i="14"/>
  <c r="B4" i="14"/>
  <c r="K3" i="14"/>
  <c r="Q3" i="14"/>
  <c r="D3" i="14"/>
  <c r="B3" i="14"/>
  <c r="D2" i="14"/>
  <c r="L20" i="16"/>
  <c r="M20" i="16" s="1"/>
  <c r="H23" i="16"/>
  <c r="H28" i="16"/>
  <c r="B38" i="16"/>
  <c r="B39" i="16" s="1"/>
  <c r="P31" i="14"/>
  <c r="P59" i="14"/>
  <c r="P39" i="14"/>
  <c r="O31" i="14"/>
  <c r="N31" i="14" s="1"/>
  <c r="P29" i="14"/>
  <c r="P26" i="14"/>
  <c r="D9" i="14"/>
  <c r="B9" i="14"/>
  <c r="Q47" i="14"/>
  <c r="O4" i="14"/>
  <c r="O8" i="14"/>
  <c r="P8" i="14"/>
  <c r="N8" i="14" s="1"/>
  <c r="O36" i="14"/>
  <c r="N36" i="14" s="1"/>
  <c r="P36" i="14"/>
  <c r="O37" i="14"/>
  <c r="Q4" i="14"/>
  <c r="Q6" i="14"/>
  <c r="C33" i="14"/>
  <c r="H33" i="14"/>
  <c r="P37" i="14"/>
  <c r="P43" i="14" s="1"/>
  <c r="O41" i="14"/>
  <c r="N41" i="14" s="1"/>
  <c r="H60" i="14"/>
  <c r="P41" i="14"/>
  <c r="C36" i="14"/>
  <c r="H36" i="14"/>
  <c r="O6" i="14"/>
  <c r="O29" i="14"/>
  <c r="N29" i="14" s="1"/>
  <c r="P28" i="14"/>
  <c r="N28" i="14" s="1"/>
  <c r="L28" i="14" s="1"/>
  <c r="O40" i="14"/>
  <c r="N40" i="14"/>
  <c r="P42" i="14"/>
  <c r="N42" i="14"/>
  <c r="L42" i="14" s="1"/>
  <c r="O15" i="14"/>
  <c r="N15" i="14" s="1"/>
  <c r="Q40" i="14"/>
  <c r="Q42" i="14"/>
  <c r="P15" i="14"/>
  <c r="P17" i="14"/>
  <c r="P19" i="14"/>
  <c r="O25" i="14"/>
  <c r="P30" i="14"/>
  <c r="N30" i="14"/>
  <c r="L30" i="14" s="1"/>
  <c r="O38" i="14"/>
  <c r="Q50" i="14"/>
  <c r="C12" i="14"/>
  <c r="H12" i="14"/>
  <c r="O17" i="14"/>
  <c r="N17" i="14" s="1"/>
  <c r="C23" i="14"/>
  <c r="H23" i="14"/>
  <c r="P38" i="14"/>
  <c r="O27" i="14"/>
  <c r="O32" i="14" s="1"/>
  <c r="O19" i="14"/>
  <c r="N19" i="14" s="1"/>
  <c r="P25" i="14"/>
  <c r="C10" i="14"/>
  <c r="H10" i="14"/>
  <c r="P27" i="14"/>
  <c r="C34" i="14"/>
  <c r="H34" i="14"/>
  <c r="C21" i="14"/>
  <c r="H21" i="14"/>
  <c r="C15" i="14"/>
  <c r="H15" i="14"/>
  <c r="C17" i="14"/>
  <c r="H17" i="14"/>
  <c r="C19" i="14"/>
  <c r="H19" i="14"/>
  <c r="C6" i="14"/>
  <c r="H6" i="14"/>
  <c r="C4" i="14"/>
  <c r="H4" i="14"/>
  <c r="C8" i="14"/>
  <c r="H8" i="14"/>
  <c r="Q26" i="14"/>
  <c r="Q32" i="14" s="1"/>
  <c r="Q28" i="14"/>
  <c r="Q30" i="14"/>
  <c r="I2" i="14"/>
  <c r="I8" i="14"/>
  <c r="C25" i="14"/>
  <c r="H25" i="14"/>
  <c r="C27" i="14"/>
  <c r="H27" i="14"/>
  <c r="C29" i="14"/>
  <c r="H29" i="14"/>
  <c r="C31" i="14"/>
  <c r="H31" i="14"/>
  <c r="O39" i="14"/>
  <c r="N39" i="14"/>
  <c r="C5" i="14"/>
  <c r="H5" i="14"/>
  <c r="C7" i="14"/>
  <c r="H7" i="14"/>
  <c r="C14" i="14"/>
  <c r="H14" i="14"/>
  <c r="C16" i="14"/>
  <c r="H16" i="14"/>
  <c r="O18" i="14"/>
  <c r="O49" i="14"/>
  <c r="N49" i="14" s="1"/>
  <c r="L49" i="14" s="1"/>
  <c r="M49" i="14" s="1"/>
  <c r="O52" i="14"/>
  <c r="O53" i="14"/>
  <c r="I4" i="14"/>
  <c r="C3" i="14"/>
  <c r="H3" i="14"/>
  <c r="P3" i="14"/>
  <c r="P5" i="14"/>
  <c r="N5" i="14"/>
  <c r="P7" i="14"/>
  <c r="N7" i="14" s="1"/>
  <c r="L7" i="14" s="1"/>
  <c r="M7" i="14" s="1"/>
  <c r="O9" i="14"/>
  <c r="P14" i="14"/>
  <c r="P16" i="14"/>
  <c r="N16" i="14"/>
  <c r="L16" i="14" s="1"/>
  <c r="M16" i="14" s="1"/>
  <c r="P18" i="14"/>
  <c r="P20" i="14"/>
  <c r="N20" i="14" s="1"/>
  <c r="H22" i="14"/>
  <c r="B24" i="14"/>
  <c r="C24" i="14"/>
  <c r="C35" i="14"/>
  <c r="H35" i="14"/>
  <c r="O48" i="14"/>
  <c r="P49" i="14"/>
  <c r="O51" i="14"/>
  <c r="N51" i="14" s="1"/>
  <c r="P52" i="14"/>
  <c r="N52" i="14" s="1"/>
  <c r="P53" i="14"/>
  <c r="I6" i="14"/>
  <c r="O3" i="14"/>
  <c r="C11" i="14"/>
  <c r="H11" i="14"/>
  <c r="O14" i="14"/>
  <c r="C20" i="14"/>
  <c r="H20" i="14"/>
  <c r="B2" i="14"/>
  <c r="Q5" i="14"/>
  <c r="Q7" i="14"/>
  <c r="P9" i="14"/>
  <c r="B13" i="14"/>
  <c r="Q16" i="14"/>
  <c r="H18" i="14"/>
  <c r="Q20" i="14"/>
  <c r="B26" i="14"/>
  <c r="B28" i="14"/>
  <c r="C28" i="14"/>
  <c r="B30" i="14"/>
  <c r="C30" i="14"/>
  <c r="B32" i="14"/>
  <c r="O47" i="14"/>
  <c r="N47" i="14" s="1"/>
  <c r="P48" i="14"/>
  <c r="O50" i="14"/>
  <c r="P51" i="14"/>
  <c r="I3" i="14"/>
  <c r="I5" i="14"/>
  <c r="I7" i="14"/>
  <c r="I11" i="14"/>
  <c r="D2" i="13"/>
  <c r="B2" i="13"/>
  <c r="D3" i="13"/>
  <c r="K3" i="13"/>
  <c r="D4" i="13"/>
  <c r="B4" i="13"/>
  <c r="C4" i="13"/>
  <c r="K4" i="13"/>
  <c r="O4" i="13"/>
  <c r="D5" i="13"/>
  <c r="B5" i="13"/>
  <c r="K5" i="13"/>
  <c r="O5" i="13"/>
  <c r="D6" i="13"/>
  <c r="K6" i="13"/>
  <c r="O6" i="13"/>
  <c r="D7" i="13"/>
  <c r="B7" i="13"/>
  <c r="K7" i="13"/>
  <c r="O7" i="13"/>
  <c r="D8" i="13"/>
  <c r="B8" i="13"/>
  <c r="C8" i="13"/>
  <c r="K8" i="13"/>
  <c r="P8" i="13"/>
  <c r="D9" i="13"/>
  <c r="B9" i="13"/>
  <c r="K9" i="13"/>
  <c r="O9" i="13"/>
  <c r="D10" i="13"/>
  <c r="B10" i="13"/>
  <c r="D11" i="13"/>
  <c r="B11" i="13"/>
  <c r="D12" i="13"/>
  <c r="B12" i="13"/>
  <c r="D13" i="13"/>
  <c r="B13" i="13"/>
  <c r="D14" i="13"/>
  <c r="B14" i="13"/>
  <c r="K14" i="13"/>
  <c r="D15" i="13"/>
  <c r="B15" i="13"/>
  <c r="C15" i="13"/>
  <c r="K15" i="13"/>
  <c r="O15" i="13"/>
  <c r="D16" i="13"/>
  <c r="K16" i="13"/>
  <c r="O16" i="13"/>
  <c r="D17" i="13"/>
  <c r="B17" i="13"/>
  <c r="C17" i="13"/>
  <c r="K17" i="13"/>
  <c r="O17" i="13"/>
  <c r="D18" i="13"/>
  <c r="B18" i="13"/>
  <c r="K18" i="13"/>
  <c r="O18" i="13"/>
  <c r="D19" i="13"/>
  <c r="B19" i="13"/>
  <c r="C19" i="13"/>
  <c r="K19" i="13"/>
  <c r="Q19" i="13"/>
  <c r="D20" i="13"/>
  <c r="B20" i="13"/>
  <c r="K20" i="13"/>
  <c r="O20" i="13"/>
  <c r="D21" i="13"/>
  <c r="B21" i="13"/>
  <c r="C21" i="13"/>
  <c r="D22" i="13"/>
  <c r="B22" i="13"/>
  <c r="D23" i="13"/>
  <c r="B23" i="13"/>
  <c r="D24" i="13"/>
  <c r="D25" i="13"/>
  <c r="K25" i="13"/>
  <c r="D26" i="13"/>
  <c r="B26" i="13"/>
  <c r="K26" i="13"/>
  <c r="P26" i="13"/>
  <c r="D27" i="13"/>
  <c r="K27" i="13"/>
  <c r="O27" i="13"/>
  <c r="D28" i="13"/>
  <c r="K28" i="13"/>
  <c r="P28" i="13"/>
  <c r="D29" i="13"/>
  <c r="K29" i="13"/>
  <c r="O29" i="13"/>
  <c r="D30" i="13"/>
  <c r="B30" i="13"/>
  <c r="K30" i="13"/>
  <c r="P30" i="13"/>
  <c r="D31" i="13"/>
  <c r="B31" i="13"/>
  <c r="K31" i="13"/>
  <c r="O31" i="13"/>
  <c r="D32" i="13"/>
  <c r="B32" i="13"/>
  <c r="D33" i="13"/>
  <c r="B33" i="13"/>
  <c r="D34" i="13"/>
  <c r="B34" i="13"/>
  <c r="C34" i="13"/>
  <c r="D35" i="13"/>
  <c r="B35" i="13"/>
  <c r="D36" i="13"/>
  <c r="B36" i="13"/>
  <c r="K36" i="13"/>
  <c r="P36" i="13"/>
  <c r="K37" i="13"/>
  <c r="O37" i="13"/>
  <c r="K38" i="13"/>
  <c r="O38" i="13"/>
  <c r="K39" i="13"/>
  <c r="O39" i="13"/>
  <c r="K40" i="13"/>
  <c r="O40" i="13"/>
  <c r="K41" i="13"/>
  <c r="O41" i="13"/>
  <c r="K42" i="13"/>
  <c r="O42" i="13"/>
  <c r="K47" i="13"/>
  <c r="K48" i="13"/>
  <c r="O48" i="13"/>
  <c r="K49" i="13"/>
  <c r="O49" i="13"/>
  <c r="K50" i="13"/>
  <c r="O50" i="13"/>
  <c r="K51" i="13"/>
  <c r="O51" i="13"/>
  <c r="K52" i="13"/>
  <c r="O52" i="13"/>
  <c r="K53" i="13"/>
  <c r="P53" i="13"/>
  <c r="K59" i="13"/>
  <c r="A46" i="13"/>
  <c r="L59" i="14"/>
  <c r="I13" i="14"/>
  <c r="I33" i="14"/>
  <c r="B28" i="13"/>
  <c r="N59" i="13"/>
  <c r="I25" i="14"/>
  <c r="O3" i="13"/>
  <c r="A41" i="13"/>
  <c r="I22" i="14"/>
  <c r="C2" i="14"/>
  <c r="I9" i="14"/>
  <c r="I17" i="14"/>
  <c r="Q39" i="13"/>
  <c r="O36" i="13"/>
  <c r="A44" i="13"/>
  <c r="I31" i="14"/>
  <c r="I21" i="14"/>
  <c r="I23" i="14"/>
  <c r="I32" i="14"/>
  <c r="I24" i="14"/>
  <c r="O25" i="13"/>
  <c r="A43" i="13"/>
  <c r="I18" i="14"/>
  <c r="I10" i="14"/>
  <c r="I29" i="14"/>
  <c r="I19" i="14"/>
  <c r="I34" i="14"/>
  <c r="I30" i="14"/>
  <c r="I16" i="14"/>
  <c r="C9" i="14"/>
  <c r="H9" i="14"/>
  <c r="I36" i="14"/>
  <c r="I15" i="14"/>
  <c r="I28" i="14"/>
  <c r="I35" i="14"/>
  <c r="E38" i="14"/>
  <c r="E39" i="14"/>
  <c r="Q47" i="13"/>
  <c r="A45" i="13"/>
  <c r="O14" i="13"/>
  <c r="N14" i="13" s="1"/>
  <c r="A42" i="13"/>
  <c r="I14" i="14"/>
  <c r="I27" i="14"/>
  <c r="I12" i="14"/>
  <c r="I26" i="14"/>
  <c r="N59" i="14"/>
  <c r="I20" i="14"/>
  <c r="Q54" i="14"/>
  <c r="N48" i="14"/>
  <c r="L48" i="14"/>
  <c r="Q10" i="14"/>
  <c r="N38" i="14"/>
  <c r="L38" i="14" s="1"/>
  <c r="N25" i="14"/>
  <c r="L25" i="14" s="1"/>
  <c r="P14" i="13"/>
  <c r="P15" i="13"/>
  <c r="P40" i="13"/>
  <c r="Q20" i="13"/>
  <c r="P20" i="13"/>
  <c r="N20" i="13" s="1"/>
  <c r="Q48" i="13"/>
  <c r="O30" i="13"/>
  <c r="P48" i="13"/>
  <c r="Q8" i="13"/>
  <c r="O8" i="13"/>
  <c r="N8" i="13" s="1"/>
  <c r="Q4" i="13"/>
  <c r="P4" i="13"/>
  <c r="P10" i="13" s="1"/>
  <c r="F41" i="13" s="1"/>
  <c r="C32" i="14"/>
  <c r="H32" i="14"/>
  <c r="L39" i="14"/>
  <c r="O43" i="14"/>
  <c r="H30" i="14"/>
  <c r="C13" i="14"/>
  <c r="H13" i="14"/>
  <c r="H2" i="14"/>
  <c r="H24" i="14"/>
  <c r="N18" i="14"/>
  <c r="L18" i="14" s="1"/>
  <c r="H28" i="14"/>
  <c r="N3" i="14"/>
  <c r="C26" i="14"/>
  <c r="H26" i="14"/>
  <c r="L40" i="14"/>
  <c r="P51" i="13"/>
  <c r="Q42" i="13"/>
  <c r="P38" i="13"/>
  <c r="P42" i="13"/>
  <c r="Q14" i="13"/>
  <c r="Q25" i="13"/>
  <c r="Q16" i="13"/>
  <c r="B29" i="13"/>
  <c r="C29" i="13"/>
  <c r="H29" i="13"/>
  <c r="C30" i="13"/>
  <c r="H30" i="13"/>
  <c r="C28" i="13"/>
  <c r="C32" i="13"/>
  <c r="H32" i="13"/>
  <c r="P19" i="13"/>
  <c r="Q7" i="13"/>
  <c r="Q50" i="13"/>
  <c r="O28" i="13"/>
  <c r="O26" i="13"/>
  <c r="N26" i="13" s="1"/>
  <c r="O19" i="13"/>
  <c r="P7" i="13"/>
  <c r="N7" i="13" s="1"/>
  <c r="P49" i="13"/>
  <c r="N49" i="13"/>
  <c r="L49" i="13" s="1"/>
  <c r="P16" i="13"/>
  <c r="N16" i="13" s="1"/>
  <c r="O53" i="13"/>
  <c r="N53" i="13" s="1"/>
  <c r="L53" i="13" s="1"/>
  <c r="C31" i="13"/>
  <c r="H31" i="13"/>
  <c r="Q27" i="13"/>
  <c r="Q17" i="13"/>
  <c r="P17" i="13"/>
  <c r="B27" i="13"/>
  <c r="C26" i="13"/>
  <c r="H26" i="13"/>
  <c r="B25" i="13"/>
  <c r="B24" i="13"/>
  <c r="C24" i="13"/>
  <c r="H24" i="13"/>
  <c r="C22" i="13"/>
  <c r="H22" i="13"/>
  <c r="I33" i="13"/>
  <c r="E38" i="13"/>
  <c r="E39" i="13"/>
  <c r="I12" i="13"/>
  <c r="I36" i="13"/>
  <c r="C2" i="13"/>
  <c r="H2" i="13"/>
  <c r="B6" i="13"/>
  <c r="I2" i="13"/>
  <c r="I22" i="13"/>
  <c r="C13" i="13"/>
  <c r="H13" i="13"/>
  <c r="Q5" i="13"/>
  <c r="Q31" i="13"/>
  <c r="Q15" i="13"/>
  <c r="P5" i="13"/>
  <c r="Q6" i="13"/>
  <c r="Q53" i="13"/>
  <c r="Q18" i="13"/>
  <c r="P9" i="13"/>
  <c r="P6" i="13"/>
  <c r="N6" i="13" s="1"/>
  <c r="L6" i="13" s="1"/>
  <c r="Q9" i="13"/>
  <c r="P47" i="13"/>
  <c r="Q49" i="13"/>
  <c r="O47" i="13"/>
  <c r="Q29" i="13"/>
  <c r="P18" i="13"/>
  <c r="N18" i="13" s="1"/>
  <c r="Q3" i="13"/>
  <c r="P3" i="13"/>
  <c r="N3" i="13" s="1"/>
  <c r="C35" i="13"/>
  <c r="H35" i="13"/>
  <c r="Q51" i="13"/>
  <c r="P50" i="13"/>
  <c r="N50" i="13" s="1"/>
  <c r="Q40" i="13"/>
  <c r="P39" i="13"/>
  <c r="N39" i="13" s="1"/>
  <c r="L39" i="13" s="1"/>
  <c r="M39" i="13" s="1"/>
  <c r="Q38" i="13"/>
  <c r="Q36" i="13"/>
  <c r="P31" i="13"/>
  <c r="N31" i="13" s="1"/>
  <c r="P29" i="13"/>
  <c r="N29" i="13" s="1"/>
  <c r="P27" i="13"/>
  <c r="N27" i="13" s="1"/>
  <c r="L27" i="13" s="1"/>
  <c r="P25" i="13"/>
  <c r="I23" i="13"/>
  <c r="C20" i="13"/>
  <c r="H20" i="13"/>
  <c r="C18" i="13"/>
  <c r="H18" i="13"/>
  <c r="C14" i="13"/>
  <c r="H14" i="13"/>
  <c r="C11" i="13"/>
  <c r="H11" i="13"/>
  <c r="I10" i="13"/>
  <c r="C9" i="13"/>
  <c r="H9" i="13"/>
  <c r="C7" i="13"/>
  <c r="H7" i="13"/>
  <c r="C5" i="13"/>
  <c r="H5" i="13"/>
  <c r="Q52" i="13"/>
  <c r="Q41" i="13"/>
  <c r="Q37" i="13"/>
  <c r="I34" i="13"/>
  <c r="I21" i="13"/>
  <c r="I19" i="13"/>
  <c r="I17" i="13"/>
  <c r="B16" i="13"/>
  <c r="C16" i="13"/>
  <c r="I15" i="13"/>
  <c r="I8" i="13"/>
  <c r="I6" i="13"/>
  <c r="I4" i="13"/>
  <c r="B3" i="13"/>
  <c r="C3" i="13"/>
  <c r="P52" i="13"/>
  <c r="N52" i="13" s="1"/>
  <c r="P41" i="13"/>
  <c r="N41" i="13" s="1"/>
  <c r="P37" i="13"/>
  <c r="N37" i="13" s="1"/>
  <c r="L37" i="13" s="1"/>
  <c r="C36" i="13"/>
  <c r="H36" i="13"/>
  <c r="H34" i="13"/>
  <c r="C33" i="13"/>
  <c r="H33" i="13"/>
  <c r="I32" i="13"/>
  <c r="I30" i="13"/>
  <c r="I28" i="13"/>
  <c r="I26" i="13"/>
  <c r="H21" i="13"/>
  <c r="H19" i="13"/>
  <c r="H17" i="13"/>
  <c r="H15" i="13"/>
  <c r="I13" i="13"/>
  <c r="C12" i="13"/>
  <c r="H12" i="13"/>
  <c r="H8" i="13"/>
  <c r="H4" i="13"/>
  <c r="Q30" i="13"/>
  <c r="Q28" i="13"/>
  <c r="Q26" i="13"/>
  <c r="I24" i="13"/>
  <c r="C23" i="13"/>
  <c r="H23" i="13"/>
  <c r="C10" i="13"/>
  <c r="H10" i="13"/>
  <c r="I35" i="13"/>
  <c r="I9" i="13"/>
  <c r="I20" i="13"/>
  <c r="I18" i="13"/>
  <c r="I16" i="13"/>
  <c r="I14" i="13"/>
  <c r="I11" i="13"/>
  <c r="I7" i="13"/>
  <c r="I5" i="13"/>
  <c r="I3" i="13"/>
  <c r="I31" i="13"/>
  <c r="I29" i="13"/>
  <c r="I27" i="13"/>
  <c r="I25" i="13"/>
  <c r="M59" i="14"/>
  <c r="L59" i="13"/>
  <c r="H28" i="13"/>
  <c r="B38" i="14"/>
  <c r="B39" i="14" s="1"/>
  <c r="N19" i="13"/>
  <c r="L19" i="13" s="1"/>
  <c r="C27" i="13"/>
  <c r="H27" i="13"/>
  <c r="C25" i="13"/>
  <c r="H25" i="13"/>
  <c r="C6" i="13"/>
  <c r="H6" i="13"/>
  <c r="H16" i="13"/>
  <c r="H3" i="13"/>
  <c r="M59" i="13"/>
  <c r="B38" i="13"/>
  <c r="B39" i="13" s="1"/>
  <c r="L60" i="14"/>
  <c r="L60" i="13"/>
  <c r="N47" i="22" l="1"/>
  <c r="L47" i="22" s="1"/>
  <c r="P54" i="22"/>
  <c r="F45" i="22" s="1"/>
  <c r="O54" i="22"/>
  <c r="E45" i="22" s="1"/>
  <c r="T54" i="18"/>
  <c r="F45" i="18" s="1"/>
  <c r="U54" i="18"/>
  <c r="G45" i="18" s="1"/>
  <c r="N16" i="16"/>
  <c r="L16" i="16" s="1"/>
  <c r="M16" i="16" s="1"/>
  <c r="Q21" i="16"/>
  <c r="G42" i="16" s="1"/>
  <c r="N26" i="16"/>
  <c r="N37" i="16"/>
  <c r="L37" i="16" s="1"/>
  <c r="P54" i="16"/>
  <c r="F45" i="16" s="1"/>
  <c r="P43" i="16"/>
  <c r="F44" i="16" s="1"/>
  <c r="N3" i="16"/>
  <c r="Q54" i="16"/>
  <c r="G45" i="16" s="1"/>
  <c r="N9" i="16"/>
  <c r="L9" i="16" s="1"/>
  <c r="N4" i="16"/>
  <c r="N51" i="16"/>
  <c r="L51" i="16" s="1"/>
  <c r="N27" i="16"/>
  <c r="N30" i="16"/>
  <c r="L30" i="16" s="1"/>
  <c r="M30" i="16" s="1"/>
  <c r="N8" i="16"/>
  <c r="L8" i="16" s="1"/>
  <c r="M8" i="16" s="1"/>
  <c r="L4" i="16"/>
  <c r="M4" i="16" s="1"/>
  <c r="P32" i="16"/>
  <c r="F43" i="16" s="1"/>
  <c r="O21" i="16"/>
  <c r="E42" i="16" s="1"/>
  <c r="N38" i="16"/>
  <c r="L38" i="16" s="1"/>
  <c r="N6" i="16"/>
  <c r="Q43" i="16"/>
  <c r="G44" i="16" s="1"/>
  <c r="N48" i="16"/>
  <c r="N25" i="16"/>
  <c r="L25" i="16" s="1"/>
  <c r="N29" i="16"/>
  <c r="N32" i="16" s="1"/>
  <c r="D43" i="16" s="1"/>
  <c r="N42" i="16"/>
  <c r="L42" i="16" s="1"/>
  <c r="M42" i="16" s="1"/>
  <c r="N7" i="16"/>
  <c r="Q10" i="16"/>
  <c r="G41" i="16" s="1"/>
  <c r="G46" i="16" s="1"/>
  <c r="O54" i="16"/>
  <c r="E45" i="16" s="1"/>
  <c r="L31" i="16"/>
  <c r="M31" i="16" s="1"/>
  <c r="L27" i="16"/>
  <c r="M27" i="16" s="1"/>
  <c r="L3" i="16"/>
  <c r="M3" i="16"/>
  <c r="L52" i="16"/>
  <c r="M52" i="16" s="1"/>
  <c r="L28" i="16"/>
  <c r="M28" i="16" s="1"/>
  <c r="L26" i="16"/>
  <c r="M26" i="16" s="1"/>
  <c r="L18" i="16"/>
  <c r="M18" i="16" s="1"/>
  <c r="M36" i="16"/>
  <c r="L48" i="16"/>
  <c r="M48" i="16" s="1"/>
  <c r="L7" i="16"/>
  <c r="M7" i="16" s="1"/>
  <c r="O43" i="16"/>
  <c r="E44" i="16" s="1"/>
  <c r="N15" i="16"/>
  <c r="M53" i="16"/>
  <c r="M49" i="16"/>
  <c r="M19" i="16"/>
  <c r="O10" i="16"/>
  <c r="E41" i="16" s="1"/>
  <c r="M14" i="16"/>
  <c r="M37" i="16"/>
  <c r="M51" i="16"/>
  <c r="N50" i="16"/>
  <c r="M47" i="16"/>
  <c r="P10" i="16"/>
  <c r="F41" i="16" s="1"/>
  <c r="N40" i="13"/>
  <c r="L40" i="13" s="1"/>
  <c r="N17" i="13"/>
  <c r="N9" i="13"/>
  <c r="N5" i="13"/>
  <c r="N51" i="13"/>
  <c r="L51" i="13" s="1"/>
  <c r="Q43" i="13"/>
  <c r="G44" i="13" s="1"/>
  <c r="N25" i="13"/>
  <c r="N42" i="13"/>
  <c r="L42" i="13" s="1"/>
  <c r="M42" i="13" s="1"/>
  <c r="N28" i="13"/>
  <c r="M28" i="13" s="1"/>
  <c r="L25" i="13"/>
  <c r="M25" i="13" s="1"/>
  <c r="L5" i="13"/>
  <c r="M5" i="13" s="1"/>
  <c r="L14" i="13"/>
  <c r="M14" i="13"/>
  <c r="L31" i="13"/>
  <c r="M31" i="13"/>
  <c r="N38" i="13"/>
  <c r="O21" i="13"/>
  <c r="E42" i="13" s="1"/>
  <c r="N30" i="13"/>
  <c r="L30" i="13" s="1"/>
  <c r="P21" i="13"/>
  <c r="F42" i="13" s="1"/>
  <c r="F46" i="13" s="1"/>
  <c r="P32" i="13"/>
  <c r="F43" i="13" s="1"/>
  <c r="Q21" i="13"/>
  <c r="G42" i="13" s="1"/>
  <c r="N47" i="13"/>
  <c r="N54" i="13" s="1"/>
  <c r="D45" i="13" s="1"/>
  <c r="N4" i="13"/>
  <c r="N10" i="13" s="1"/>
  <c r="D41" i="13" s="1"/>
  <c r="Q10" i="13"/>
  <c r="G41" i="13" s="1"/>
  <c r="Q32" i="13"/>
  <c r="G43" i="13" s="1"/>
  <c r="N48" i="13"/>
  <c r="L48" i="13" s="1"/>
  <c r="M48" i="13" s="1"/>
  <c r="O43" i="13"/>
  <c r="E44" i="13" s="1"/>
  <c r="P43" i="13"/>
  <c r="F44" i="13" s="1"/>
  <c r="L52" i="13"/>
  <c r="M52" i="13" s="1"/>
  <c r="L9" i="13"/>
  <c r="M9" i="13" s="1"/>
  <c r="L16" i="13"/>
  <c r="M16" i="13" s="1"/>
  <c r="L38" i="13"/>
  <c r="M38" i="13" s="1"/>
  <c r="L17" i="13"/>
  <c r="M17" i="13" s="1"/>
  <c r="L18" i="13"/>
  <c r="M18" i="13" s="1"/>
  <c r="L20" i="13"/>
  <c r="M20" i="13" s="1"/>
  <c r="L29" i="13"/>
  <c r="M29" i="13" s="1"/>
  <c r="L50" i="13"/>
  <c r="M50" i="13" s="1"/>
  <c r="L47" i="13"/>
  <c r="M47" i="13" s="1"/>
  <c r="L7" i="13"/>
  <c r="M7" i="13" s="1"/>
  <c r="L4" i="13"/>
  <c r="M4" i="13" s="1"/>
  <c r="L3" i="13"/>
  <c r="M3" i="13"/>
  <c r="L26" i="13"/>
  <c r="M26" i="13" s="1"/>
  <c r="L8" i="13"/>
  <c r="M8" i="13" s="1"/>
  <c r="L41" i="13"/>
  <c r="M41" i="13" s="1"/>
  <c r="L28" i="13"/>
  <c r="O10" i="13"/>
  <c r="E41" i="13" s="1"/>
  <c r="M37" i="13"/>
  <c r="M6" i="13"/>
  <c r="M53" i="13"/>
  <c r="M49" i="13"/>
  <c r="N15" i="13"/>
  <c r="O32" i="13"/>
  <c r="E43" i="13" s="1"/>
  <c r="M27" i="13"/>
  <c r="M19" i="13"/>
  <c r="N36" i="13"/>
  <c r="M51" i="13"/>
  <c r="M8" i="14"/>
  <c r="L8" i="14"/>
  <c r="M4" i="14"/>
  <c r="L4" i="14"/>
  <c r="L47" i="14"/>
  <c r="M47" i="14"/>
  <c r="L51" i="14"/>
  <c r="M51" i="14"/>
  <c r="M41" i="14"/>
  <c r="L41" i="14"/>
  <c r="P21" i="14"/>
  <c r="O21" i="14"/>
  <c r="N27" i="14"/>
  <c r="P10" i="14"/>
  <c r="M39" i="14"/>
  <c r="P32" i="14"/>
  <c r="M5" i="14"/>
  <c r="Q21" i="14"/>
  <c r="N14" i="14"/>
  <c r="L14" i="14" s="1"/>
  <c r="M40" i="14"/>
  <c r="M18" i="14"/>
  <c r="L5" i="14"/>
  <c r="O10" i="14"/>
  <c r="O54" i="14"/>
  <c r="P54" i="14"/>
  <c r="N53" i="14"/>
  <c r="M48" i="14"/>
  <c r="N26" i="14"/>
  <c r="M26" i="14" s="1"/>
  <c r="L17" i="14"/>
  <c r="M17" i="14" s="1"/>
  <c r="L53" i="14"/>
  <c r="M53" i="14"/>
  <c r="L52" i="14"/>
  <c r="M52" i="14"/>
  <c r="L19" i="14"/>
  <c r="M19" i="14" s="1"/>
  <c r="L20" i="14"/>
  <c r="M20" i="14" s="1"/>
  <c r="L29" i="14"/>
  <c r="M29" i="14"/>
  <c r="L36" i="14"/>
  <c r="M36" i="14"/>
  <c r="L26" i="14"/>
  <c r="L15" i="14"/>
  <c r="L21" i="14" s="1"/>
  <c r="L22" i="14" s="1"/>
  <c r="L31" i="14"/>
  <c r="M31" i="14" s="1"/>
  <c r="M25" i="14"/>
  <c r="M30" i="14"/>
  <c r="M38" i="14"/>
  <c r="N37" i="14"/>
  <c r="N50" i="14"/>
  <c r="M28" i="14"/>
  <c r="L3" i="14"/>
  <c r="M42" i="14"/>
  <c r="N32" i="14"/>
  <c r="N9" i="14"/>
  <c r="Q32" i="22"/>
  <c r="G43" i="22" s="1"/>
  <c r="N37" i="22"/>
  <c r="L37" i="22" s="1"/>
  <c r="M37" i="22" s="1"/>
  <c r="N14" i="22"/>
  <c r="L14" i="22" s="1"/>
  <c r="N52" i="22"/>
  <c r="L52" i="22" s="1"/>
  <c r="M52" i="22" s="1"/>
  <c r="N16" i="22"/>
  <c r="L16" i="22" s="1"/>
  <c r="M16" i="22" s="1"/>
  <c r="N38" i="22"/>
  <c r="L38" i="22" s="1"/>
  <c r="M38" i="22" s="1"/>
  <c r="O43" i="22"/>
  <c r="E44" i="22" s="1"/>
  <c r="N18" i="22"/>
  <c r="L18" i="22" s="1"/>
  <c r="M18" i="22" s="1"/>
  <c r="A35" i="21"/>
  <c r="P25" i="21"/>
  <c r="N25" i="21" s="1"/>
  <c r="L25" i="21" s="1"/>
  <c r="M25" i="21" s="1"/>
  <c r="Q25" i="21"/>
  <c r="P5" i="21"/>
  <c r="N5" i="21" s="1"/>
  <c r="L5" i="21" s="1"/>
  <c r="M5" i="21" s="1"/>
  <c r="O26" i="21"/>
  <c r="P9" i="21"/>
  <c r="P27" i="21"/>
  <c r="N27" i="21" s="1"/>
  <c r="L27" i="21" s="1"/>
  <c r="M27" i="21" s="1"/>
  <c r="O47" i="21"/>
  <c r="Q43" i="22"/>
  <c r="G44" i="22" s="1"/>
  <c r="P43" i="22"/>
  <c r="F44" i="22" s="1"/>
  <c r="N53" i="22"/>
  <c r="L53" i="22" s="1"/>
  <c r="M53" i="22" s="1"/>
  <c r="P21" i="22"/>
  <c r="F42" i="22" s="1"/>
  <c r="O21" i="22"/>
  <c r="E42" i="22" s="1"/>
  <c r="N41" i="22"/>
  <c r="L41" i="22" s="1"/>
  <c r="M41" i="22" s="1"/>
  <c r="L19" i="22"/>
  <c r="M19" i="22" s="1"/>
  <c r="N20" i="22"/>
  <c r="L20" i="22" s="1"/>
  <c r="M20" i="22" s="1"/>
  <c r="L17" i="22"/>
  <c r="M17" i="22" s="1"/>
  <c r="Q21" i="22"/>
  <c r="G42" i="22" s="1"/>
  <c r="N31" i="22"/>
  <c r="L31" i="22" s="1"/>
  <c r="M31" i="22" s="1"/>
  <c r="N49" i="22"/>
  <c r="L49" i="22" s="1"/>
  <c r="M49" i="22" s="1"/>
  <c r="P32" i="22"/>
  <c r="F43" i="22" s="1"/>
  <c r="L30" i="22"/>
  <c r="M30" i="22" s="1"/>
  <c r="N27" i="22"/>
  <c r="L4" i="22"/>
  <c r="M4" i="22" s="1"/>
  <c r="N50" i="22"/>
  <c r="H12" i="22"/>
  <c r="N29" i="22"/>
  <c r="L6" i="22"/>
  <c r="M6" i="22" s="1"/>
  <c r="O32" i="22"/>
  <c r="E43" i="22" s="1"/>
  <c r="L26" i="22"/>
  <c r="M26" i="22" s="1"/>
  <c r="P10" i="22"/>
  <c r="F41" i="22" s="1"/>
  <c r="N39" i="22"/>
  <c r="L48" i="22"/>
  <c r="M48" i="22" s="1"/>
  <c r="H19" i="22"/>
  <c r="L5" i="22"/>
  <c r="M5" i="22" s="1"/>
  <c r="H2" i="22"/>
  <c r="N9" i="22"/>
  <c r="H34" i="22"/>
  <c r="N3" i="22"/>
  <c r="H15" i="22"/>
  <c r="L28" i="22"/>
  <c r="M28" i="22" s="1"/>
  <c r="H17" i="22"/>
  <c r="Q10" i="22"/>
  <c r="G41" i="22" s="1"/>
  <c r="O10" i="22"/>
  <c r="E41" i="22" s="1"/>
  <c r="C21" i="22"/>
  <c r="M59" i="22" s="1"/>
  <c r="H24" i="22"/>
  <c r="N7" i="22"/>
  <c r="L59" i="22"/>
  <c r="L60" i="22" s="1"/>
  <c r="C28" i="21"/>
  <c r="H28" i="21" s="1"/>
  <c r="C26" i="21"/>
  <c r="H26" i="21" s="1"/>
  <c r="Q50" i="20"/>
  <c r="G30" i="20"/>
  <c r="N9" i="21"/>
  <c r="L9" i="21" s="1"/>
  <c r="M9" i="21" s="1"/>
  <c r="N7" i="21"/>
  <c r="L7" i="21" s="1"/>
  <c r="M7" i="21" s="1"/>
  <c r="C30" i="21"/>
  <c r="H30" i="21" s="1"/>
  <c r="C19" i="21"/>
  <c r="H19" i="21" s="1"/>
  <c r="B24" i="21"/>
  <c r="C24" i="21" s="1"/>
  <c r="C8" i="21"/>
  <c r="H8" i="21" s="1"/>
  <c r="C6" i="21"/>
  <c r="H6" i="21" s="1"/>
  <c r="C13" i="21"/>
  <c r="H13" i="21" s="1"/>
  <c r="C4" i="21"/>
  <c r="H4" i="21" s="1"/>
  <c r="C17" i="21"/>
  <c r="H17" i="21" s="1"/>
  <c r="B2" i="21"/>
  <c r="C10" i="21"/>
  <c r="H10" i="21" s="1"/>
  <c r="B15" i="21"/>
  <c r="C21" i="21"/>
  <c r="H21" i="21" s="1"/>
  <c r="Q21" i="21"/>
  <c r="G36" i="21" s="1"/>
  <c r="Q5" i="21"/>
  <c r="Q7" i="21"/>
  <c r="Q9" i="21"/>
  <c r="Q27" i="21"/>
  <c r="P29" i="21"/>
  <c r="N29" i="21" s="1"/>
  <c r="L29" i="21" s="1"/>
  <c r="M29" i="21" s="1"/>
  <c r="N31" i="21"/>
  <c r="L31" i="21" s="1"/>
  <c r="M31" i="21" s="1"/>
  <c r="P47" i="21"/>
  <c r="O14" i="21"/>
  <c r="O16" i="21"/>
  <c r="O18" i="21"/>
  <c r="O20" i="21"/>
  <c r="Q31" i="21"/>
  <c r="Q38" i="21"/>
  <c r="O48" i="21"/>
  <c r="Q50" i="21"/>
  <c r="P14" i="21"/>
  <c r="P16" i="21"/>
  <c r="P18" i="21"/>
  <c r="P20" i="21"/>
  <c r="P48" i="21"/>
  <c r="Q29" i="21"/>
  <c r="A36" i="21"/>
  <c r="P39" i="21"/>
  <c r="N39" i="21" s="1"/>
  <c r="L39" i="21" s="1"/>
  <c r="M39" i="21" s="1"/>
  <c r="O28" i="21"/>
  <c r="O32" i="21" s="1"/>
  <c r="E37" i="21" s="1"/>
  <c r="Q36" i="21"/>
  <c r="Q39" i="21"/>
  <c r="N49" i="21"/>
  <c r="L49" i="21" s="1"/>
  <c r="M49" i="21" s="1"/>
  <c r="P3" i="21"/>
  <c r="N3" i="21" s="1"/>
  <c r="L3" i="21" s="1"/>
  <c r="Q3" i="21"/>
  <c r="C3" i="21"/>
  <c r="C5" i="21"/>
  <c r="H5" i="21" s="1"/>
  <c r="C7" i="21"/>
  <c r="H7" i="21" s="1"/>
  <c r="C9" i="21"/>
  <c r="H9" i="21" s="1"/>
  <c r="C25" i="21"/>
  <c r="H25" i="21" s="1"/>
  <c r="C16" i="21"/>
  <c r="H16" i="21" s="1"/>
  <c r="C18" i="21"/>
  <c r="H18" i="21" s="1"/>
  <c r="C23" i="21"/>
  <c r="H23" i="21" s="1"/>
  <c r="C20" i="21"/>
  <c r="H20" i="21" s="1"/>
  <c r="I23" i="21"/>
  <c r="D31" i="21"/>
  <c r="E32" i="21" s="1"/>
  <c r="E33" i="21" s="1"/>
  <c r="I18" i="21"/>
  <c r="I20" i="21"/>
  <c r="O4" i="21"/>
  <c r="O6" i="21"/>
  <c r="O8" i="21"/>
  <c r="B12" i="21"/>
  <c r="C12" i="21" s="1"/>
  <c r="O15" i="21"/>
  <c r="O17" i="21"/>
  <c r="O19" i="21"/>
  <c r="P26" i="21"/>
  <c r="P28" i="21"/>
  <c r="P30" i="21"/>
  <c r="N30" i="21" s="1"/>
  <c r="O42" i="21"/>
  <c r="O53" i="21"/>
  <c r="I12" i="21"/>
  <c r="I3" i="21"/>
  <c r="I7" i="21"/>
  <c r="I14" i="21"/>
  <c r="I16" i="21"/>
  <c r="I25" i="21"/>
  <c r="P4" i="21"/>
  <c r="P6" i="21"/>
  <c r="P8" i="21"/>
  <c r="I13" i="21"/>
  <c r="P15" i="21"/>
  <c r="P17" i="21"/>
  <c r="P19" i="21"/>
  <c r="O37" i="21"/>
  <c r="O41" i="21"/>
  <c r="P42" i="21"/>
  <c r="A38" i="21"/>
  <c r="O52" i="21"/>
  <c r="P53" i="21"/>
  <c r="I5" i="21"/>
  <c r="I9" i="21"/>
  <c r="I2" i="21"/>
  <c r="B11" i="21"/>
  <c r="C11" i="21" s="1"/>
  <c r="B14" i="21"/>
  <c r="C14" i="21" s="1"/>
  <c r="B22" i="21"/>
  <c r="C22" i="21" s="1"/>
  <c r="I24" i="21"/>
  <c r="I26" i="21"/>
  <c r="B27" i="21"/>
  <c r="C27" i="21" s="1"/>
  <c r="I28" i="21"/>
  <c r="B29" i="21"/>
  <c r="I30" i="21"/>
  <c r="O36" i="21"/>
  <c r="G31" i="21"/>
  <c r="P37" i="21"/>
  <c r="O38" i="21"/>
  <c r="N38" i="21" s="1"/>
  <c r="O40" i="21"/>
  <c r="N40" i="21" s="1"/>
  <c r="P41" i="21"/>
  <c r="O51" i="21"/>
  <c r="P52" i="21"/>
  <c r="N59" i="21"/>
  <c r="I4" i="21"/>
  <c r="I6" i="21"/>
  <c r="I8" i="21"/>
  <c r="I10" i="21"/>
  <c r="I15" i="21"/>
  <c r="I17" i="21"/>
  <c r="I19" i="21"/>
  <c r="I21" i="21"/>
  <c r="H31" i="21"/>
  <c r="O50" i="21"/>
  <c r="N50" i="21" s="1"/>
  <c r="P51" i="21"/>
  <c r="C2" i="21"/>
  <c r="H2" i="21" s="1"/>
  <c r="I11" i="21"/>
  <c r="I22" i="21"/>
  <c r="I27" i="21"/>
  <c r="I29" i="21"/>
  <c r="P9" i="20"/>
  <c r="N9" i="20" s="1"/>
  <c r="L9" i="20" s="1"/>
  <c r="M9" i="20" s="1"/>
  <c r="Q9" i="20"/>
  <c r="P50" i="20"/>
  <c r="N50" i="20" s="1"/>
  <c r="L50" i="20" s="1"/>
  <c r="M50" i="20" s="1"/>
  <c r="O18" i="20"/>
  <c r="Q41" i="20"/>
  <c r="O15" i="20"/>
  <c r="O47" i="20"/>
  <c r="O52" i="20"/>
  <c r="Q37" i="20"/>
  <c r="A36" i="20"/>
  <c r="C8" i="20"/>
  <c r="H8" i="20" s="1"/>
  <c r="Q53" i="20"/>
  <c r="Q4" i="20"/>
  <c r="Q17" i="20"/>
  <c r="Q40" i="20"/>
  <c r="Q20" i="20"/>
  <c r="C21" i="20"/>
  <c r="H21" i="20" s="1"/>
  <c r="H25" i="20"/>
  <c r="C13" i="20"/>
  <c r="H13" i="20" s="1"/>
  <c r="C19" i="20"/>
  <c r="H19" i="20" s="1"/>
  <c r="C16" i="20"/>
  <c r="H16" i="20" s="1"/>
  <c r="C18" i="20"/>
  <c r="H18" i="20" s="1"/>
  <c r="C15" i="20"/>
  <c r="H15" i="20" s="1"/>
  <c r="Q8" i="20"/>
  <c r="P16" i="20"/>
  <c r="N16" i="20" s="1"/>
  <c r="L16" i="20" s="1"/>
  <c r="Q19" i="20"/>
  <c r="O26" i="20"/>
  <c r="O31" i="20"/>
  <c r="Q38" i="20"/>
  <c r="P47" i="20"/>
  <c r="P19" i="20"/>
  <c r="N19" i="20" s="1"/>
  <c r="P38" i="20"/>
  <c r="N38" i="20" s="1"/>
  <c r="P26" i="20"/>
  <c r="P31" i="20"/>
  <c r="Q7" i="20"/>
  <c r="P28" i="20"/>
  <c r="O39" i="20"/>
  <c r="O53" i="20"/>
  <c r="O14" i="20"/>
  <c r="O17" i="20"/>
  <c r="O20" i="20"/>
  <c r="Q30" i="20"/>
  <c r="P53" i="20"/>
  <c r="P6" i="20"/>
  <c r="Q29" i="20"/>
  <c r="O42" i="20"/>
  <c r="P4" i="20"/>
  <c r="O4" i="20"/>
  <c r="P3" i="20"/>
  <c r="C22" i="20"/>
  <c r="H22" i="20" s="1"/>
  <c r="C4" i="20"/>
  <c r="H4" i="20" s="1"/>
  <c r="C23" i="20"/>
  <c r="H23" i="20" s="1"/>
  <c r="C6" i="20"/>
  <c r="H6" i="20" s="1"/>
  <c r="C29" i="20"/>
  <c r="H29" i="20" s="1"/>
  <c r="C12" i="20"/>
  <c r="H12" i="20" s="1"/>
  <c r="C11" i="20"/>
  <c r="H11" i="20" s="1"/>
  <c r="C7" i="20"/>
  <c r="H7" i="20" s="1"/>
  <c r="C28" i="20"/>
  <c r="H28" i="20" s="1"/>
  <c r="Q48" i="20"/>
  <c r="C2" i="20"/>
  <c r="H2" i="20" s="1"/>
  <c r="O3" i="20"/>
  <c r="I4" i="20"/>
  <c r="O6" i="20"/>
  <c r="I13" i="20"/>
  <c r="I16" i="20"/>
  <c r="I19" i="20"/>
  <c r="O28" i="20"/>
  <c r="O40" i="20"/>
  <c r="N40" i="20" s="1"/>
  <c r="A37" i="20"/>
  <c r="I7" i="20"/>
  <c r="I9" i="20"/>
  <c r="I3" i="20"/>
  <c r="Q3" i="20"/>
  <c r="C5" i="20"/>
  <c r="H5" i="20" s="1"/>
  <c r="I6" i="20"/>
  <c r="O8" i="20"/>
  <c r="N8" i="20" s="1"/>
  <c r="B10" i="20"/>
  <c r="C10" i="20" s="1"/>
  <c r="I12" i="20"/>
  <c r="B14" i="20"/>
  <c r="C14" i="20" s="1"/>
  <c r="P15" i="20"/>
  <c r="B17" i="20"/>
  <c r="P18" i="20"/>
  <c r="B24" i="20"/>
  <c r="P25" i="20"/>
  <c r="C27" i="20"/>
  <c r="H27" i="20" s="1"/>
  <c r="O30" i="20"/>
  <c r="N30" i="20" s="1"/>
  <c r="P39" i="20"/>
  <c r="O41" i="20"/>
  <c r="N41" i="20" s="1"/>
  <c r="O51" i="20"/>
  <c r="P52" i="20"/>
  <c r="Q16" i="20"/>
  <c r="I2" i="20"/>
  <c r="O5" i="20"/>
  <c r="N5" i="20" s="1"/>
  <c r="I11" i="20"/>
  <c r="I15" i="20"/>
  <c r="I18" i="20"/>
  <c r="D20" i="20"/>
  <c r="O27" i="20"/>
  <c r="O36" i="20"/>
  <c r="P51" i="20"/>
  <c r="O49" i="20"/>
  <c r="P27" i="20"/>
  <c r="H30" i="20"/>
  <c r="B3" i="20"/>
  <c r="C3" i="20" s="1"/>
  <c r="I5" i="20"/>
  <c r="Q5" i="20"/>
  <c r="O7" i="20"/>
  <c r="N7" i="20" s="1"/>
  <c r="B9" i="20"/>
  <c r="P14" i="20"/>
  <c r="P17" i="20"/>
  <c r="P20" i="20"/>
  <c r="O29" i="20"/>
  <c r="N29" i="20" s="1"/>
  <c r="Q36" i="20"/>
  <c r="O37" i="20"/>
  <c r="N37" i="20" s="1"/>
  <c r="A35" i="20"/>
  <c r="P42" i="20"/>
  <c r="O48" i="20"/>
  <c r="N48" i="20" s="1"/>
  <c r="P49" i="20"/>
  <c r="I8" i="20"/>
  <c r="I10" i="20"/>
  <c r="I14" i="20"/>
  <c r="I17" i="20"/>
  <c r="I11" i="19"/>
  <c r="I4" i="19"/>
  <c r="B2" i="19"/>
  <c r="R41" i="19"/>
  <c r="P41" i="19" s="1"/>
  <c r="C4" i="19"/>
  <c r="H4" i="19" s="1"/>
  <c r="C20" i="19"/>
  <c r="H20" i="19" s="1"/>
  <c r="I2" i="19"/>
  <c r="C6" i="19"/>
  <c r="H6" i="19" s="1"/>
  <c r="C21" i="19"/>
  <c r="H21" i="19" s="1"/>
  <c r="B25" i="19"/>
  <c r="C25" i="19" s="1"/>
  <c r="S8" i="19"/>
  <c r="R8" i="19" s="1"/>
  <c r="P8" i="19" s="1"/>
  <c r="Q8" i="19" s="1"/>
  <c r="S27" i="19"/>
  <c r="R27" i="19" s="1"/>
  <c r="U37" i="19"/>
  <c r="S15" i="19"/>
  <c r="S38" i="19"/>
  <c r="S51" i="19"/>
  <c r="T53" i="19"/>
  <c r="R53" i="19" s="1"/>
  <c r="P53" i="19" s="1"/>
  <c r="Q53" i="19" s="1"/>
  <c r="U7" i="19"/>
  <c r="T15" i="19"/>
  <c r="S18" i="19"/>
  <c r="T38" i="19"/>
  <c r="T51" i="19"/>
  <c r="T18" i="19"/>
  <c r="R39" i="19"/>
  <c r="P39" i="19" s="1"/>
  <c r="R50" i="19"/>
  <c r="P50" i="19" s="1"/>
  <c r="R6" i="19"/>
  <c r="P6" i="19" s="1"/>
  <c r="Q6" i="19" s="1"/>
  <c r="R28" i="19"/>
  <c r="A41" i="19"/>
  <c r="R17" i="19"/>
  <c r="P17" i="19" s="1"/>
  <c r="Q17" i="19" s="1"/>
  <c r="R52" i="19"/>
  <c r="P52" i="19" s="1"/>
  <c r="R20" i="19"/>
  <c r="R31" i="19"/>
  <c r="P31" i="19" s="1"/>
  <c r="C10" i="19"/>
  <c r="H10" i="19" s="1"/>
  <c r="I24" i="19"/>
  <c r="B3" i="19"/>
  <c r="I20" i="19"/>
  <c r="I25" i="19"/>
  <c r="I21" i="19"/>
  <c r="T4" i="19"/>
  <c r="R4" i="19" s="1"/>
  <c r="B12" i="19"/>
  <c r="I16" i="19"/>
  <c r="B22" i="19"/>
  <c r="H26" i="19"/>
  <c r="C33" i="19"/>
  <c r="H33" i="19" s="1"/>
  <c r="U4" i="19"/>
  <c r="C8" i="19"/>
  <c r="H8" i="19" s="1"/>
  <c r="B9" i="19"/>
  <c r="C9" i="19" s="1"/>
  <c r="S36" i="19"/>
  <c r="U36" i="19"/>
  <c r="T36" i="19"/>
  <c r="A44" i="19"/>
  <c r="I15" i="19"/>
  <c r="U19" i="19"/>
  <c r="T19" i="19"/>
  <c r="S19" i="19"/>
  <c r="I3" i="19"/>
  <c r="I6" i="19"/>
  <c r="A42" i="19"/>
  <c r="U14" i="19"/>
  <c r="S14" i="19"/>
  <c r="T14" i="19"/>
  <c r="K46" i="19"/>
  <c r="C17" i="19"/>
  <c r="B18" i="19"/>
  <c r="H14" i="19"/>
  <c r="K37" i="19"/>
  <c r="L38" i="19" s="1"/>
  <c r="L39" i="19" s="1"/>
  <c r="H5" i="19"/>
  <c r="I7" i="19"/>
  <c r="B23" i="19"/>
  <c r="S29" i="19"/>
  <c r="U29" i="19"/>
  <c r="B32" i="19"/>
  <c r="H35" i="19"/>
  <c r="C11" i="19"/>
  <c r="H11" i="19" s="1"/>
  <c r="C19" i="19"/>
  <c r="H19" i="19" s="1"/>
  <c r="T29" i="19"/>
  <c r="C31" i="19"/>
  <c r="H31" i="19" s="1"/>
  <c r="S59" i="19"/>
  <c r="D27" i="19"/>
  <c r="I28" i="19" s="1"/>
  <c r="S40" i="19"/>
  <c r="R40" i="19" s="1"/>
  <c r="B36" i="19"/>
  <c r="S47" i="19"/>
  <c r="A45" i="19"/>
  <c r="U47" i="19"/>
  <c r="T47" i="19"/>
  <c r="R3" i="19"/>
  <c r="U5" i="19"/>
  <c r="T5" i="19"/>
  <c r="S5" i="19"/>
  <c r="R9" i="19"/>
  <c r="I13" i="19"/>
  <c r="C15" i="19"/>
  <c r="H15" i="19" s="1"/>
  <c r="B17" i="19"/>
  <c r="C24" i="19"/>
  <c r="H24" i="19" s="1"/>
  <c r="U25" i="19"/>
  <c r="B28" i="19"/>
  <c r="C28" i="19" s="1"/>
  <c r="C30" i="19"/>
  <c r="H30" i="19" s="1"/>
  <c r="H34" i="19"/>
  <c r="U48" i="19"/>
  <c r="I9" i="19"/>
  <c r="U9" i="19"/>
  <c r="I12" i="19"/>
  <c r="I18" i="19"/>
  <c r="C7" i="19"/>
  <c r="H7" i="19" s="1"/>
  <c r="I8" i="19"/>
  <c r="C13" i="19"/>
  <c r="H13" i="19" s="1"/>
  <c r="C16" i="19"/>
  <c r="H16" i="19" s="1"/>
  <c r="I17" i="19"/>
  <c r="I22" i="19"/>
  <c r="I23" i="19"/>
  <c r="S26" i="19"/>
  <c r="S30" i="19"/>
  <c r="S42" i="19"/>
  <c r="S49" i="19"/>
  <c r="I5" i="19"/>
  <c r="S7" i="19"/>
  <c r="R7" i="19" s="1"/>
  <c r="I14" i="19"/>
  <c r="S16" i="19"/>
  <c r="R16" i="19" s="1"/>
  <c r="T26" i="19"/>
  <c r="T30" i="19"/>
  <c r="S37" i="19"/>
  <c r="R37" i="19" s="1"/>
  <c r="T42" i="19"/>
  <c r="S48" i="19"/>
  <c r="R48" i="19" s="1"/>
  <c r="T49" i="19"/>
  <c r="I10" i="19"/>
  <c r="I19" i="19"/>
  <c r="I26" i="19"/>
  <c r="S53" i="18"/>
  <c r="S54" i="18" s="1"/>
  <c r="E45" i="18" s="1"/>
  <c r="B36" i="18"/>
  <c r="C36" i="18" s="1"/>
  <c r="H36" i="18" s="1"/>
  <c r="C34" i="18"/>
  <c r="H34" i="18" s="1"/>
  <c r="C33" i="18"/>
  <c r="H33" i="18" s="1"/>
  <c r="B32" i="18"/>
  <c r="C32" i="18" s="1"/>
  <c r="H32" i="18" s="1"/>
  <c r="D27" i="18"/>
  <c r="H31" i="18"/>
  <c r="S59" i="18"/>
  <c r="C31" i="18"/>
  <c r="C30" i="18"/>
  <c r="H30" i="18"/>
  <c r="C29" i="18"/>
  <c r="H29" i="18"/>
  <c r="C28" i="18"/>
  <c r="H28" i="18" s="1"/>
  <c r="C25" i="18"/>
  <c r="H25" i="18" s="1"/>
  <c r="H24" i="18"/>
  <c r="C23" i="18"/>
  <c r="H23" i="18" s="1"/>
  <c r="C22" i="18"/>
  <c r="H22" i="18"/>
  <c r="C21" i="18"/>
  <c r="H21" i="18"/>
  <c r="C20" i="18"/>
  <c r="H20" i="18" s="1"/>
  <c r="C19" i="18"/>
  <c r="H19" i="18" s="1"/>
  <c r="C18" i="18"/>
  <c r="H18" i="18" s="1"/>
  <c r="I18" i="18"/>
  <c r="R16" i="18"/>
  <c r="P16" i="18" s="1"/>
  <c r="Q16" i="18" s="1"/>
  <c r="C16" i="18"/>
  <c r="H16" i="18"/>
  <c r="H15" i="18"/>
  <c r="B14" i="18"/>
  <c r="R42" i="18"/>
  <c r="P42" i="18" s="1"/>
  <c r="C14" i="18"/>
  <c r="R18" i="18"/>
  <c r="P18" i="18" s="1"/>
  <c r="Q18" i="18" s="1"/>
  <c r="H13" i="18"/>
  <c r="C13" i="18"/>
  <c r="R4" i="18"/>
  <c r="P4" i="18" s="1"/>
  <c r="Q4" i="18" s="1"/>
  <c r="R7" i="18"/>
  <c r="P7" i="18" s="1"/>
  <c r="Q7" i="18" s="1"/>
  <c r="R38" i="18"/>
  <c r="P38" i="18" s="1"/>
  <c r="R15" i="18"/>
  <c r="P15" i="18" s="1"/>
  <c r="Q15" i="18" s="1"/>
  <c r="R27" i="18"/>
  <c r="P27" i="18" s="1"/>
  <c r="Q27" i="18" s="1"/>
  <c r="R14" i="18"/>
  <c r="P14" i="18" s="1"/>
  <c r="R20" i="18"/>
  <c r="P20" i="18" s="1"/>
  <c r="Q20" i="18" s="1"/>
  <c r="R19" i="18"/>
  <c r="P19" i="18" s="1"/>
  <c r="Q19" i="18" s="1"/>
  <c r="S10" i="18"/>
  <c r="E41" i="18" s="1"/>
  <c r="R59" i="18"/>
  <c r="R39" i="18"/>
  <c r="P39" i="18" s="1"/>
  <c r="Q39" i="18" s="1"/>
  <c r="R52" i="18"/>
  <c r="P52" i="18" s="1"/>
  <c r="Q52" i="18" s="1"/>
  <c r="I19" i="18"/>
  <c r="C12" i="18"/>
  <c r="H12" i="18" s="1"/>
  <c r="R9" i="18"/>
  <c r="P9" i="18" s="1"/>
  <c r="Q9" i="18" s="1"/>
  <c r="R48" i="18"/>
  <c r="P48" i="18" s="1"/>
  <c r="Q48" i="18" s="1"/>
  <c r="R17" i="18"/>
  <c r="R3" i="18"/>
  <c r="P3" i="18" s="1"/>
  <c r="R36" i="18"/>
  <c r="P36" i="18" s="1"/>
  <c r="I23" i="18"/>
  <c r="I15" i="18"/>
  <c r="I20" i="18"/>
  <c r="R8" i="18"/>
  <c r="P8" i="18" s="1"/>
  <c r="R50" i="18"/>
  <c r="P50" i="18" s="1"/>
  <c r="Q50" i="18" s="1"/>
  <c r="R37" i="18"/>
  <c r="P37" i="18" s="1"/>
  <c r="U21" i="18"/>
  <c r="G42" i="18" s="1"/>
  <c r="R47" i="18"/>
  <c r="T21" i="18"/>
  <c r="F42" i="18" s="1"/>
  <c r="R40" i="18"/>
  <c r="P40" i="18" s="1"/>
  <c r="R25" i="18"/>
  <c r="P25" i="18" s="1"/>
  <c r="Q25" i="18" s="1"/>
  <c r="R51" i="18"/>
  <c r="P51" i="18" s="1"/>
  <c r="Q51" i="18" s="1"/>
  <c r="R5" i="18"/>
  <c r="P5" i="18" s="1"/>
  <c r="Q5" i="18" s="1"/>
  <c r="R26" i="18"/>
  <c r="P26" i="18" s="1"/>
  <c r="Q26" i="18" s="1"/>
  <c r="S43" i="18"/>
  <c r="E44" i="18" s="1"/>
  <c r="R31" i="18"/>
  <c r="S32" i="18"/>
  <c r="E43" i="18" s="1"/>
  <c r="R30" i="18"/>
  <c r="I30" i="18"/>
  <c r="I12" i="18"/>
  <c r="I13" i="18"/>
  <c r="I25" i="18"/>
  <c r="R49" i="18"/>
  <c r="U43" i="18"/>
  <c r="G44" i="18" s="1"/>
  <c r="I17" i="18"/>
  <c r="I14" i="18"/>
  <c r="I21" i="18"/>
  <c r="I27" i="18"/>
  <c r="B10" i="18"/>
  <c r="I22" i="18"/>
  <c r="R28" i="18"/>
  <c r="T10" i="18"/>
  <c r="F41" i="18" s="1"/>
  <c r="I24" i="18"/>
  <c r="R41" i="18"/>
  <c r="P41" i="18" s="1"/>
  <c r="Q41" i="18" s="1"/>
  <c r="U32" i="18"/>
  <c r="G43" i="18" s="1"/>
  <c r="I16" i="18"/>
  <c r="U10" i="18"/>
  <c r="G41" i="18" s="1"/>
  <c r="I33" i="18"/>
  <c r="I31" i="18"/>
  <c r="I26" i="18"/>
  <c r="T32" i="18"/>
  <c r="F43" i="18" s="1"/>
  <c r="R6" i="18"/>
  <c r="R29" i="18"/>
  <c r="P29" i="18" s="1"/>
  <c r="Q29" i="18" s="1"/>
  <c r="S21" i="18"/>
  <c r="E42" i="18" s="1"/>
  <c r="T43" i="18"/>
  <c r="F44" i="18" s="1"/>
  <c r="M47" i="22" l="1"/>
  <c r="T54" i="19"/>
  <c r="F45" i="19" s="1"/>
  <c r="U54" i="19"/>
  <c r="G45" i="19" s="1"/>
  <c r="S54" i="19"/>
  <c r="E45" i="19" s="1"/>
  <c r="P47" i="18"/>
  <c r="Q47" i="18" s="1"/>
  <c r="R53" i="18"/>
  <c r="P53" i="18" s="1"/>
  <c r="Q53" i="18" s="1"/>
  <c r="L29" i="16"/>
  <c r="M29" i="16" s="1"/>
  <c r="F46" i="16"/>
  <c r="M9" i="16"/>
  <c r="M38" i="16"/>
  <c r="M43" i="16" s="1"/>
  <c r="C44" i="16" s="1"/>
  <c r="L43" i="16"/>
  <c r="L44" i="16" s="1"/>
  <c r="N43" i="16"/>
  <c r="D44" i="16" s="1"/>
  <c r="L6" i="16"/>
  <c r="L10" i="16" s="1"/>
  <c r="B41" i="16" s="1"/>
  <c r="N10" i="16"/>
  <c r="D41" i="16" s="1"/>
  <c r="L50" i="16"/>
  <c r="L54" i="16" s="1"/>
  <c r="M25" i="16"/>
  <c r="B44" i="16"/>
  <c r="H44" i="16" s="1"/>
  <c r="L15" i="16"/>
  <c r="L21" i="16" s="1"/>
  <c r="E46" i="16"/>
  <c r="N54" i="16"/>
  <c r="D45" i="16" s="1"/>
  <c r="N21" i="16"/>
  <c r="D42" i="16" s="1"/>
  <c r="M40" i="13"/>
  <c r="G46" i="13"/>
  <c r="N32" i="13"/>
  <c r="D43" i="13" s="1"/>
  <c r="M30" i="13"/>
  <c r="M32" i="13" s="1"/>
  <c r="C43" i="13" s="1"/>
  <c r="E46" i="13"/>
  <c r="L15" i="13"/>
  <c r="L21" i="13" s="1"/>
  <c r="N21" i="13"/>
  <c r="D42" i="13" s="1"/>
  <c r="D46" i="13" s="1"/>
  <c r="M15" i="13"/>
  <c r="M21" i="13" s="1"/>
  <c r="C42" i="13" s="1"/>
  <c r="L54" i="13"/>
  <c r="M10" i="13"/>
  <c r="C41" i="13" s="1"/>
  <c r="M54" i="13"/>
  <c r="C45" i="13" s="1"/>
  <c r="L36" i="13"/>
  <c r="L43" i="13" s="1"/>
  <c r="N43" i="13"/>
  <c r="D44" i="13" s="1"/>
  <c r="L10" i="13"/>
  <c r="L32" i="13"/>
  <c r="N21" i="14"/>
  <c r="L27" i="14"/>
  <c r="L32" i="14" s="1"/>
  <c r="L33" i="14" s="1"/>
  <c r="M15" i="14"/>
  <c r="M14" i="14"/>
  <c r="L9" i="14"/>
  <c r="M9" i="14" s="1"/>
  <c r="M21" i="14"/>
  <c r="L37" i="14"/>
  <c r="L43" i="14" s="1"/>
  <c r="L44" i="14" s="1"/>
  <c r="N10" i="14"/>
  <c r="L50" i="14"/>
  <c r="L54" i="14" s="1"/>
  <c r="L55" i="14" s="1"/>
  <c r="N54" i="14"/>
  <c r="M3" i="14"/>
  <c r="N43" i="14"/>
  <c r="M14" i="22"/>
  <c r="M21" i="22" s="1"/>
  <c r="C42" i="22" s="1"/>
  <c r="N47" i="21"/>
  <c r="L47" i="21" s="1"/>
  <c r="N21" i="22"/>
  <c r="D42" i="22" s="1"/>
  <c r="N32" i="22"/>
  <c r="D43" i="22" s="1"/>
  <c r="H21" i="22"/>
  <c r="G46" i="22"/>
  <c r="L21" i="22"/>
  <c r="L22" i="22" s="1"/>
  <c r="N22" i="22" s="1"/>
  <c r="L27" i="22"/>
  <c r="M27" i="22" s="1"/>
  <c r="F46" i="22"/>
  <c r="L7" i="22"/>
  <c r="M7" i="22" s="1"/>
  <c r="L50" i="22"/>
  <c r="L54" i="22" s="1"/>
  <c r="N10" i="22"/>
  <c r="D41" i="22" s="1"/>
  <c r="L3" i="22"/>
  <c r="M3" i="22" s="1"/>
  <c r="B38" i="22"/>
  <c r="B39" i="22" s="1"/>
  <c r="E46" i="22"/>
  <c r="L39" i="22"/>
  <c r="L43" i="22" s="1"/>
  <c r="N43" i="22"/>
  <c r="D44" i="22" s="1"/>
  <c r="L29" i="22"/>
  <c r="M29" i="22" s="1"/>
  <c r="N54" i="22"/>
  <c r="D45" i="22" s="1"/>
  <c r="L9" i="22"/>
  <c r="M9" i="22" s="1"/>
  <c r="N28" i="21"/>
  <c r="L28" i="21" s="1"/>
  <c r="M28" i="21" s="1"/>
  <c r="Q32" i="21"/>
  <c r="G37" i="21" s="1"/>
  <c r="C15" i="21"/>
  <c r="H15" i="21" s="1"/>
  <c r="L59" i="21"/>
  <c r="L60" i="21" s="1"/>
  <c r="H24" i="21"/>
  <c r="Q10" i="21"/>
  <c r="G35" i="21" s="1"/>
  <c r="N48" i="21"/>
  <c r="L48" i="21" s="1"/>
  <c r="M48" i="21" s="1"/>
  <c r="O10" i="21"/>
  <c r="E35" i="21" s="1"/>
  <c r="N20" i="21"/>
  <c r="L20" i="21" s="1"/>
  <c r="M20" i="21" s="1"/>
  <c r="N18" i="21"/>
  <c r="L18" i="21" s="1"/>
  <c r="M18" i="21" s="1"/>
  <c r="Q43" i="21"/>
  <c r="G38" i="21" s="1"/>
  <c r="N16" i="21"/>
  <c r="L16" i="21" s="1"/>
  <c r="M16" i="21" s="1"/>
  <c r="N14" i="21"/>
  <c r="L14" i="21" s="1"/>
  <c r="M14" i="21" s="1"/>
  <c r="N17" i="21"/>
  <c r="L17" i="21" s="1"/>
  <c r="M17" i="21" s="1"/>
  <c r="N37" i="21"/>
  <c r="L37" i="21" s="1"/>
  <c r="M37" i="21" s="1"/>
  <c r="N53" i="21"/>
  <c r="L53" i="21" s="1"/>
  <c r="M53" i="21" s="1"/>
  <c r="N15" i="21"/>
  <c r="L15" i="21" s="1"/>
  <c r="M15" i="21" s="1"/>
  <c r="N42" i="21"/>
  <c r="L42" i="21" s="1"/>
  <c r="M42" i="21" s="1"/>
  <c r="N51" i="21"/>
  <c r="L51" i="21" s="1"/>
  <c r="M51" i="21" s="1"/>
  <c r="P32" i="21"/>
  <c r="F37" i="21" s="1"/>
  <c r="N26" i="21"/>
  <c r="L26" i="21" s="1"/>
  <c r="P43" i="21"/>
  <c r="F38" i="21" s="1"/>
  <c r="P21" i="21"/>
  <c r="F36" i="21" s="1"/>
  <c r="P10" i="21"/>
  <c r="F35" i="21" s="1"/>
  <c r="L38" i="21"/>
  <c r="M38" i="21" s="1"/>
  <c r="C29" i="21"/>
  <c r="H29" i="21" s="1"/>
  <c r="B31" i="21"/>
  <c r="H12" i="21"/>
  <c r="H3" i="21"/>
  <c r="N8" i="21"/>
  <c r="H27" i="21"/>
  <c r="O43" i="21"/>
  <c r="E38" i="21" s="1"/>
  <c r="N36" i="21"/>
  <c r="N52" i="21"/>
  <c r="N6" i="21"/>
  <c r="N4" i="21"/>
  <c r="H14" i="21"/>
  <c r="O21" i="21"/>
  <c r="E36" i="21" s="1"/>
  <c r="M3" i="21"/>
  <c r="L30" i="21"/>
  <c r="M30" i="21" s="1"/>
  <c r="H22" i="21"/>
  <c r="L50" i="21"/>
  <c r="M50" i="21" s="1"/>
  <c r="H11" i="21"/>
  <c r="N41" i="21"/>
  <c r="N19" i="21"/>
  <c r="L40" i="21"/>
  <c r="M40" i="21" s="1"/>
  <c r="N47" i="20"/>
  <c r="L47" i="20" s="1"/>
  <c r="M47" i="20" s="1"/>
  <c r="N52" i="20"/>
  <c r="N15" i="20"/>
  <c r="L15" i="20" s="1"/>
  <c r="M15" i="20" s="1"/>
  <c r="N18" i="20"/>
  <c r="L18" i="20" s="1"/>
  <c r="M18" i="20" s="1"/>
  <c r="N28" i="20"/>
  <c r="L28" i="20" s="1"/>
  <c r="M28" i="20" s="1"/>
  <c r="N31" i="20"/>
  <c r="L31" i="20" s="1"/>
  <c r="N20" i="20"/>
  <c r="L20" i="20" s="1"/>
  <c r="M20" i="20" s="1"/>
  <c r="N14" i="20"/>
  <c r="L14" i="20" s="1"/>
  <c r="M14" i="20" s="1"/>
  <c r="N42" i="20"/>
  <c r="L42" i="20" s="1"/>
  <c r="M42" i="20" s="1"/>
  <c r="O21" i="20"/>
  <c r="E35" i="20" s="1"/>
  <c r="N17" i="20"/>
  <c r="N53" i="20"/>
  <c r="L53" i="20" s="1"/>
  <c r="M53" i="20" s="1"/>
  <c r="Q32" i="20"/>
  <c r="G36" i="20" s="1"/>
  <c r="N4" i="20"/>
  <c r="L4" i="20" s="1"/>
  <c r="M4" i="20" s="1"/>
  <c r="I25" i="20"/>
  <c r="Q21" i="20"/>
  <c r="G35" i="20" s="1"/>
  <c r="N26" i="20"/>
  <c r="L26" i="20" s="1"/>
  <c r="M26" i="20" s="1"/>
  <c r="L19" i="20"/>
  <c r="M19" i="20" s="1"/>
  <c r="L38" i="20"/>
  <c r="M38" i="20" s="1"/>
  <c r="N39" i="20"/>
  <c r="L39" i="20" s="1"/>
  <c r="Q43" i="20"/>
  <c r="G37" i="20" s="1"/>
  <c r="N6" i="20"/>
  <c r="L6" i="20" s="1"/>
  <c r="M6" i="20" s="1"/>
  <c r="M16" i="20"/>
  <c r="P10" i="20"/>
  <c r="F34" i="20" s="1"/>
  <c r="P43" i="20"/>
  <c r="F37" i="20" s="1"/>
  <c r="N27" i="20"/>
  <c r="L27" i="20" s="1"/>
  <c r="M27" i="20" s="1"/>
  <c r="N51" i="20"/>
  <c r="L51" i="20" s="1"/>
  <c r="M51" i="20" s="1"/>
  <c r="L52" i="20"/>
  <c r="M52" i="20" s="1"/>
  <c r="B20" i="20"/>
  <c r="N59" i="20"/>
  <c r="I28" i="20"/>
  <c r="I29" i="20"/>
  <c r="L7" i="20"/>
  <c r="M7" i="20" s="1"/>
  <c r="N49" i="20"/>
  <c r="H10" i="20"/>
  <c r="I22" i="20"/>
  <c r="L48" i="20"/>
  <c r="M48" i="20" s="1"/>
  <c r="L29" i="20"/>
  <c r="M29" i="20" s="1"/>
  <c r="L41" i="20"/>
  <c r="M41" i="20" s="1"/>
  <c r="L40" i="20"/>
  <c r="M40" i="20" s="1"/>
  <c r="P32" i="20"/>
  <c r="F36" i="20" s="1"/>
  <c r="N25" i="20"/>
  <c r="L8" i="20"/>
  <c r="M8" i="20" s="1"/>
  <c r="I24" i="20"/>
  <c r="I27" i="20"/>
  <c r="H3" i="20"/>
  <c r="L5" i="20"/>
  <c r="M5" i="20" s="1"/>
  <c r="D30" i="20"/>
  <c r="E31" i="20" s="1"/>
  <c r="E32" i="20" s="1"/>
  <c r="O32" i="20"/>
  <c r="E36" i="20" s="1"/>
  <c r="O43" i="20"/>
  <c r="E37" i="20" s="1"/>
  <c r="N36" i="20"/>
  <c r="H17" i="20"/>
  <c r="Q10" i="20"/>
  <c r="G34" i="20" s="1"/>
  <c r="I20" i="20"/>
  <c r="L37" i="20"/>
  <c r="M37" i="20" s="1"/>
  <c r="O10" i="20"/>
  <c r="E34" i="20" s="1"/>
  <c r="N3" i="20"/>
  <c r="C17" i="20"/>
  <c r="C9" i="20"/>
  <c r="H9" i="20" s="1"/>
  <c r="I26" i="20"/>
  <c r="P21" i="20"/>
  <c r="F35" i="20" s="1"/>
  <c r="I21" i="20"/>
  <c r="L30" i="20"/>
  <c r="M30" i="20" s="1"/>
  <c r="H14" i="20"/>
  <c r="I23" i="20"/>
  <c r="C24" i="20"/>
  <c r="H24" i="20" s="1"/>
  <c r="P28" i="19"/>
  <c r="Q28" i="19" s="1"/>
  <c r="R5" i="19"/>
  <c r="P5" i="19" s="1"/>
  <c r="Q5" i="19" s="1"/>
  <c r="R51" i="19"/>
  <c r="P51" i="19" s="1"/>
  <c r="Q51" i="19" s="1"/>
  <c r="Q41" i="19"/>
  <c r="R38" i="19"/>
  <c r="P38" i="19" s="1"/>
  <c r="Q38" i="19" s="1"/>
  <c r="P27" i="19"/>
  <c r="Q27" i="19" s="1"/>
  <c r="R18" i="19"/>
  <c r="P18" i="19" s="1"/>
  <c r="Q18" i="19" s="1"/>
  <c r="R15" i="19"/>
  <c r="P15" i="19" s="1"/>
  <c r="Q15" i="19" s="1"/>
  <c r="C2" i="19"/>
  <c r="H2" i="19" s="1"/>
  <c r="I34" i="19"/>
  <c r="U43" i="19"/>
  <c r="G44" i="19" s="1"/>
  <c r="H25" i="19"/>
  <c r="Q31" i="19"/>
  <c r="Q39" i="19"/>
  <c r="Q52" i="19"/>
  <c r="Q50" i="19"/>
  <c r="T32" i="19"/>
  <c r="F43" i="19" s="1"/>
  <c r="U21" i="19"/>
  <c r="G42" i="19" s="1"/>
  <c r="P20" i="19"/>
  <c r="Q20" i="19" s="1"/>
  <c r="U10" i="19"/>
  <c r="G41" i="19" s="1"/>
  <c r="R26" i="19"/>
  <c r="P26" i="19" s="1"/>
  <c r="Q26" i="19" s="1"/>
  <c r="P4" i="19"/>
  <c r="Q4" i="19" s="1"/>
  <c r="S10" i="19"/>
  <c r="E41" i="19" s="1"/>
  <c r="I29" i="19"/>
  <c r="I33" i="19"/>
  <c r="T43" i="19"/>
  <c r="F44" i="19" s="1"/>
  <c r="C22" i="19"/>
  <c r="H22" i="19" s="1"/>
  <c r="E38" i="19"/>
  <c r="E39" i="19" s="1"/>
  <c r="H9" i="19"/>
  <c r="P7" i="19"/>
  <c r="Q7" i="19" s="1"/>
  <c r="I30" i="19"/>
  <c r="I31" i="19"/>
  <c r="P9" i="19"/>
  <c r="Q9" i="19" s="1"/>
  <c r="R47" i="19"/>
  <c r="T10" i="19"/>
  <c r="F41" i="19" s="1"/>
  <c r="P40" i="19"/>
  <c r="Q40" i="19" s="1"/>
  <c r="P48" i="19"/>
  <c r="Q48" i="19" s="1"/>
  <c r="P3" i="19"/>
  <c r="Q3" i="19" s="1"/>
  <c r="R29" i="19"/>
  <c r="R49" i="19"/>
  <c r="I36" i="19"/>
  <c r="R30" i="19"/>
  <c r="U32" i="19"/>
  <c r="G43" i="19" s="1"/>
  <c r="I35" i="19"/>
  <c r="C32" i="19"/>
  <c r="H32" i="19" s="1"/>
  <c r="T21" i="19"/>
  <c r="F42" i="19" s="1"/>
  <c r="S43" i="19"/>
  <c r="E44" i="19" s="1"/>
  <c r="R36" i="19"/>
  <c r="H17" i="19"/>
  <c r="C27" i="19"/>
  <c r="B27" i="19"/>
  <c r="I32" i="19"/>
  <c r="R59" i="19"/>
  <c r="P37" i="19"/>
  <c r="Q37" i="19" s="1"/>
  <c r="C23" i="19"/>
  <c r="H23" i="19" s="1"/>
  <c r="R42" i="19"/>
  <c r="H28" i="19"/>
  <c r="P16" i="19"/>
  <c r="Q16" i="19" s="1"/>
  <c r="I27" i="19"/>
  <c r="R25" i="19"/>
  <c r="S32" i="19"/>
  <c r="E43" i="19" s="1"/>
  <c r="C36" i="19"/>
  <c r="H36" i="19" s="1"/>
  <c r="C18" i="19"/>
  <c r="H18" i="19" s="1"/>
  <c r="S21" i="19"/>
  <c r="E42" i="19" s="1"/>
  <c r="R14" i="19"/>
  <c r="R19" i="19"/>
  <c r="C12" i="19"/>
  <c r="H12" i="19" s="1"/>
  <c r="C3" i="19"/>
  <c r="B27" i="18"/>
  <c r="I28" i="18"/>
  <c r="I32" i="18"/>
  <c r="I34" i="18"/>
  <c r="I36" i="18"/>
  <c r="I35" i="18"/>
  <c r="I29" i="18"/>
  <c r="E38" i="18"/>
  <c r="E39" i="18" s="1"/>
  <c r="P31" i="18"/>
  <c r="Q31" i="18" s="1"/>
  <c r="P30" i="18"/>
  <c r="Q30" i="18" s="1"/>
  <c r="P28" i="18"/>
  <c r="Q28" i="18" s="1"/>
  <c r="H14" i="18"/>
  <c r="Q42" i="18"/>
  <c r="Q38" i="18"/>
  <c r="R21" i="18"/>
  <c r="D42" i="18" s="1"/>
  <c r="Q14" i="18"/>
  <c r="P17" i="18"/>
  <c r="Q17" i="18" s="1"/>
  <c r="Q3" i="18"/>
  <c r="Q37" i="18"/>
  <c r="Q40" i="18"/>
  <c r="P49" i="18"/>
  <c r="Q49" i="18" s="1"/>
  <c r="Q54" i="18" s="1"/>
  <c r="C45" i="18" s="1"/>
  <c r="E46" i="18"/>
  <c r="Q8" i="18"/>
  <c r="R43" i="18"/>
  <c r="D44" i="18" s="1"/>
  <c r="G46" i="18"/>
  <c r="R32" i="18"/>
  <c r="D43" i="18" s="1"/>
  <c r="F46" i="18"/>
  <c r="C10" i="18"/>
  <c r="B38" i="18"/>
  <c r="P6" i="18"/>
  <c r="P10" i="18" s="1"/>
  <c r="P43" i="18"/>
  <c r="R10" i="18"/>
  <c r="D41" i="18" s="1"/>
  <c r="Q36" i="18"/>
  <c r="R54" i="19" l="1"/>
  <c r="D45" i="19" s="1"/>
  <c r="R54" i="18"/>
  <c r="D45" i="18" s="1"/>
  <c r="M32" i="16"/>
  <c r="C43" i="16" s="1"/>
  <c r="L32" i="16"/>
  <c r="M6" i="16"/>
  <c r="M10" i="16" s="1"/>
  <c r="C41" i="16" s="1"/>
  <c r="L11" i="16"/>
  <c r="D46" i="16"/>
  <c r="M50" i="16"/>
  <c r="M54" i="16" s="1"/>
  <c r="C45" i="16" s="1"/>
  <c r="M15" i="16"/>
  <c r="M21" i="16" s="1"/>
  <c r="C42" i="16" s="1"/>
  <c r="L22" i="16"/>
  <c r="B42" i="16"/>
  <c r="H42" i="16" s="1"/>
  <c r="L33" i="16"/>
  <c r="B43" i="16"/>
  <c r="H43" i="16" s="1"/>
  <c r="H41" i="16"/>
  <c r="B45" i="16"/>
  <c r="H45" i="16" s="1"/>
  <c r="L55" i="16"/>
  <c r="B44" i="13"/>
  <c r="H44" i="13" s="1"/>
  <c r="L44" i="13"/>
  <c r="L11" i="13"/>
  <c r="B41" i="13"/>
  <c r="L55" i="13"/>
  <c r="B45" i="13"/>
  <c r="H45" i="13" s="1"/>
  <c r="L33" i="13"/>
  <c r="B43" i="13"/>
  <c r="H43" i="13" s="1"/>
  <c r="M36" i="13"/>
  <c r="M43" i="13" s="1"/>
  <c r="C44" i="13" s="1"/>
  <c r="C46" i="13" s="1"/>
  <c r="B42" i="13"/>
  <c r="H42" i="13" s="1"/>
  <c r="L22" i="13"/>
  <c r="M27" i="14"/>
  <c r="M32" i="14" s="1"/>
  <c r="M37" i="14"/>
  <c r="M43" i="14" s="1"/>
  <c r="M50" i="14"/>
  <c r="M54" i="14" s="1"/>
  <c r="L10" i="14"/>
  <c r="L11" i="14" s="1"/>
  <c r="M10" i="14"/>
  <c r="M47" i="21"/>
  <c r="M32" i="22"/>
  <c r="C43" i="22" s="1"/>
  <c r="B42" i="22"/>
  <c r="H42" i="22" s="1"/>
  <c r="L32" i="22"/>
  <c r="L33" i="22" s="1"/>
  <c r="L10" i="22"/>
  <c r="L11" i="22" s="1"/>
  <c r="M10" i="22"/>
  <c r="C41" i="22" s="1"/>
  <c r="M39" i="22"/>
  <c r="M43" i="22" s="1"/>
  <c r="C44" i="22" s="1"/>
  <c r="D46" i="22"/>
  <c r="M50" i="22"/>
  <c r="M54" i="22" s="1"/>
  <c r="C45" i="22" s="1"/>
  <c r="B44" i="22"/>
  <c r="H44" i="22" s="1"/>
  <c r="L44" i="22"/>
  <c r="L55" i="22"/>
  <c r="B45" i="22"/>
  <c r="H45" i="22" s="1"/>
  <c r="G39" i="21"/>
  <c r="N32" i="21"/>
  <c r="D37" i="21" s="1"/>
  <c r="N21" i="21"/>
  <c r="D36" i="21" s="1"/>
  <c r="F39" i="21"/>
  <c r="L32" i="21"/>
  <c r="L33" i="21" s="1"/>
  <c r="N54" i="21"/>
  <c r="E39" i="21"/>
  <c r="M26" i="21"/>
  <c r="M32" i="21" s="1"/>
  <c r="C37" i="21" s="1"/>
  <c r="M59" i="21"/>
  <c r="L19" i="21"/>
  <c r="M19" i="21" s="1"/>
  <c r="M21" i="21" s="1"/>
  <c r="C36" i="21" s="1"/>
  <c r="C31" i="21"/>
  <c r="I31" i="21" s="1"/>
  <c r="L4" i="21"/>
  <c r="M4" i="21" s="1"/>
  <c r="N10" i="21"/>
  <c r="D35" i="21" s="1"/>
  <c r="L52" i="21"/>
  <c r="L54" i="21" s="1"/>
  <c r="L41" i="21"/>
  <c r="M41" i="21" s="1"/>
  <c r="L6" i="21"/>
  <c r="M6" i="21" s="1"/>
  <c r="N43" i="21"/>
  <c r="D38" i="21" s="1"/>
  <c r="L36" i="21"/>
  <c r="M36" i="21" s="1"/>
  <c r="L8" i="21"/>
  <c r="M8" i="21" s="1"/>
  <c r="B32" i="21"/>
  <c r="B33" i="21" s="1"/>
  <c r="N54" i="20"/>
  <c r="M31" i="20"/>
  <c r="N21" i="20"/>
  <c r="D35" i="20" s="1"/>
  <c r="L17" i="20"/>
  <c r="M17" i="20" s="1"/>
  <c r="M21" i="20" s="1"/>
  <c r="C35" i="20" s="1"/>
  <c r="M39" i="20"/>
  <c r="G38" i="20"/>
  <c r="E38" i="20"/>
  <c r="L49" i="20"/>
  <c r="L54" i="20" s="1"/>
  <c r="F38" i="20"/>
  <c r="C20" i="20"/>
  <c r="H20" i="20" s="1"/>
  <c r="L3" i="20"/>
  <c r="L10" i="20" s="1"/>
  <c r="N10" i="20"/>
  <c r="D34" i="20" s="1"/>
  <c r="N32" i="20"/>
  <c r="D36" i="20" s="1"/>
  <c r="L25" i="20"/>
  <c r="L32" i="20" s="1"/>
  <c r="B31" i="20"/>
  <c r="B32" i="20" s="1"/>
  <c r="L59" i="20"/>
  <c r="L60" i="20" s="1"/>
  <c r="N43" i="20"/>
  <c r="D37" i="20" s="1"/>
  <c r="L36" i="20"/>
  <c r="L43" i="20" s="1"/>
  <c r="R10" i="19"/>
  <c r="D41" i="19" s="1"/>
  <c r="P59" i="19"/>
  <c r="P60" i="19" s="1"/>
  <c r="G46" i="19"/>
  <c r="Q59" i="19"/>
  <c r="P19" i="19"/>
  <c r="Q19" i="19" s="1"/>
  <c r="B38" i="19"/>
  <c r="B39" i="19" s="1"/>
  <c r="P29" i="19"/>
  <c r="Q29" i="19" s="1"/>
  <c r="R21" i="19"/>
  <c r="D42" i="19" s="1"/>
  <c r="P14" i="19"/>
  <c r="Q14" i="19" s="1"/>
  <c r="H3" i="19"/>
  <c r="H27" i="19"/>
  <c r="R43" i="19"/>
  <c r="D44" i="19" s="1"/>
  <c r="P36" i="19"/>
  <c r="P10" i="19"/>
  <c r="F46" i="19"/>
  <c r="Q10" i="19"/>
  <c r="C41" i="19" s="1"/>
  <c r="E46" i="19"/>
  <c r="R32" i="19"/>
  <c r="D43" i="19" s="1"/>
  <c r="P25" i="19"/>
  <c r="P49" i="19"/>
  <c r="Q49" i="19" s="1"/>
  <c r="P42" i="19"/>
  <c r="Q42" i="19" s="1"/>
  <c r="P30" i="19"/>
  <c r="Q30" i="19" s="1"/>
  <c r="P47" i="19"/>
  <c r="B39" i="18"/>
  <c r="P59" i="18"/>
  <c r="P60" i="18" s="1"/>
  <c r="C27" i="18"/>
  <c r="P21" i="18"/>
  <c r="B42" i="18" s="1"/>
  <c r="H42" i="18" s="1"/>
  <c r="Q21" i="18"/>
  <c r="C42" i="18" s="1"/>
  <c r="D46" i="18"/>
  <c r="P54" i="18"/>
  <c r="P55" i="18" s="1"/>
  <c r="Q43" i="18"/>
  <c r="C44" i="18" s="1"/>
  <c r="P32" i="18"/>
  <c r="P33" i="18" s="1"/>
  <c r="Q32" i="18"/>
  <c r="C43" i="18" s="1"/>
  <c r="Q6" i="18"/>
  <c r="Q10" i="18" s="1"/>
  <c r="C41" i="18" s="1"/>
  <c r="H10" i="18"/>
  <c r="P44" i="18"/>
  <c r="B44" i="18"/>
  <c r="H44" i="18" s="1"/>
  <c r="B41" i="18"/>
  <c r="P11" i="18"/>
  <c r="C46" i="16" l="1"/>
  <c r="B46" i="16"/>
  <c r="H46" i="16"/>
  <c r="B46" i="13"/>
  <c r="H41" i="13"/>
  <c r="H46" i="13" s="1"/>
  <c r="B41" i="22"/>
  <c r="H41" i="22" s="1"/>
  <c r="B43" i="22"/>
  <c r="H43" i="22" s="1"/>
  <c r="C46" i="22"/>
  <c r="M52" i="21"/>
  <c r="M54" i="21" s="1"/>
  <c r="B37" i="21"/>
  <c r="H37" i="21" s="1"/>
  <c r="L21" i="21"/>
  <c r="L22" i="21" s="1"/>
  <c r="N22" i="21" s="1"/>
  <c r="M43" i="21"/>
  <c r="C38" i="21" s="1"/>
  <c r="D39" i="21"/>
  <c r="L55" i="21"/>
  <c r="M10" i="21"/>
  <c r="C35" i="21" s="1"/>
  <c r="L43" i="21"/>
  <c r="L10" i="21"/>
  <c r="L21" i="20"/>
  <c r="L22" i="20" s="1"/>
  <c r="N22" i="20" s="1"/>
  <c r="C30" i="20"/>
  <c r="I30" i="20" s="1"/>
  <c r="M59" i="20"/>
  <c r="B34" i="20"/>
  <c r="L11" i="20"/>
  <c r="M36" i="20"/>
  <c r="M43" i="20" s="1"/>
  <c r="C37" i="20" s="1"/>
  <c r="L55" i="20"/>
  <c r="M3" i="20"/>
  <c r="M10" i="20" s="1"/>
  <c r="C34" i="20" s="1"/>
  <c r="L33" i="20"/>
  <c r="B36" i="20"/>
  <c r="H36" i="20" s="1"/>
  <c r="L44" i="20"/>
  <c r="B37" i="20"/>
  <c r="H37" i="20" s="1"/>
  <c r="M25" i="20"/>
  <c r="M32" i="20" s="1"/>
  <c r="C36" i="20" s="1"/>
  <c r="D38" i="20"/>
  <c r="M49" i="20"/>
  <c r="M54" i="20" s="1"/>
  <c r="D46" i="19"/>
  <c r="P54" i="19"/>
  <c r="B45" i="19" s="1"/>
  <c r="H45" i="19" s="1"/>
  <c r="P21" i="19"/>
  <c r="B42" i="19" s="1"/>
  <c r="H42" i="19" s="1"/>
  <c r="Q21" i="19"/>
  <c r="C42" i="19" s="1"/>
  <c r="P43" i="19"/>
  <c r="P44" i="19" s="1"/>
  <c r="B41" i="19"/>
  <c r="P11" i="19"/>
  <c r="Q47" i="19"/>
  <c r="Q54" i="19" s="1"/>
  <c r="C45" i="19" s="1"/>
  <c r="P32" i="19"/>
  <c r="Q36" i="19"/>
  <c r="Q43" i="19" s="1"/>
  <c r="C44" i="19" s="1"/>
  <c r="Q25" i="19"/>
  <c r="Q32" i="19" s="1"/>
  <c r="C43" i="19" s="1"/>
  <c r="H27" i="18"/>
  <c r="Q59" i="18"/>
  <c r="P22" i="18"/>
  <c r="R22" i="18" s="1"/>
  <c r="B43" i="18"/>
  <c r="H43" i="18" s="1"/>
  <c r="B45" i="18"/>
  <c r="H45" i="18" s="1"/>
  <c r="C46" i="18"/>
  <c r="H41" i="18"/>
  <c r="H46" i="22" l="1"/>
  <c r="B46" i="22"/>
  <c r="C39" i="21"/>
  <c r="B36" i="21"/>
  <c r="H36" i="21" s="1"/>
  <c r="B35" i="21"/>
  <c r="L11" i="21"/>
  <c r="B38" i="21"/>
  <c r="H38" i="21" s="1"/>
  <c r="L44" i="21"/>
  <c r="B35" i="20"/>
  <c r="H35" i="20" s="1"/>
  <c r="C38" i="20"/>
  <c r="H34" i="20"/>
  <c r="B44" i="19"/>
  <c r="H44" i="19" s="1"/>
  <c r="P22" i="19"/>
  <c r="R22" i="19" s="1"/>
  <c r="P55" i="19"/>
  <c r="C46" i="19"/>
  <c r="P33" i="19"/>
  <c r="B43" i="19"/>
  <c r="H43" i="19" s="1"/>
  <c r="H41" i="19"/>
  <c r="B46" i="18"/>
  <c r="H46" i="18"/>
  <c r="H35" i="21" l="1"/>
  <c r="H39" i="21" s="1"/>
  <c r="B39" i="21"/>
  <c r="B38" i="20"/>
  <c r="B39" i="20" s="1"/>
  <c r="H38" i="20"/>
  <c r="H46" i="19"/>
  <c r="B46" i="19"/>
  <c r="B47" i="19" s="1"/>
</calcChain>
</file>

<file path=xl/sharedStrings.xml><?xml version="1.0" encoding="utf-8"?>
<sst xmlns="http://schemas.openxmlformats.org/spreadsheetml/2006/main" count="2062" uniqueCount="504">
  <si>
    <t>Mul Bhag</t>
  </si>
  <si>
    <t>Expense</t>
  </si>
  <si>
    <t>Account Transfer</t>
  </si>
  <si>
    <t>Cash</t>
  </si>
  <si>
    <t>Total</t>
  </si>
  <si>
    <t>Actual</t>
  </si>
  <si>
    <t>Profit</t>
  </si>
  <si>
    <t>Date</t>
  </si>
  <si>
    <t>Cash In Hand</t>
  </si>
  <si>
    <t>Percentage</t>
  </si>
  <si>
    <t>Export</t>
  </si>
  <si>
    <t>02-01-2023 to 08-01-2023</t>
  </si>
  <si>
    <t>09-01-2023 to15-01-2023</t>
  </si>
  <si>
    <t>16-01-2023 to 22-01-2023</t>
  </si>
  <si>
    <t>23-01-2023 to 29-01-2023</t>
  </si>
  <si>
    <t>30-01-2023 to 05-02-2023</t>
  </si>
  <si>
    <t>26-01-2023 to 01-01-2023</t>
  </si>
  <si>
    <t>Glass</t>
  </si>
  <si>
    <t>Transport</t>
  </si>
  <si>
    <t>ser</t>
  </si>
  <si>
    <t>T0,T00</t>
  </si>
  <si>
    <t>30th Sept 2023 to 
13th Nov 2023</t>
  </si>
  <si>
    <t>02-Oct to 31-Oct</t>
  </si>
  <si>
    <t>01- Nov to 13- Nov</t>
  </si>
  <si>
    <t>30-sept to 01-oct</t>
  </si>
  <si>
    <t>Naottam bhai</t>
  </si>
  <si>
    <t>Naresh from  Arun bhai</t>
  </si>
  <si>
    <t>Dilip from Arun bhai</t>
  </si>
  <si>
    <t>Gold</t>
  </si>
  <si>
    <t>Sajid bhai</t>
  </si>
  <si>
    <t xml:space="preserve">Mahendra bhai </t>
  </si>
  <si>
    <t>Amadbhai from narotam bhai</t>
  </si>
  <si>
    <t>rent</t>
  </si>
  <si>
    <t>Rent</t>
  </si>
  <si>
    <t>Jameel bhai</t>
  </si>
  <si>
    <t>Owais</t>
  </si>
  <si>
    <t>Mul bhag Apr-Sept 2023</t>
  </si>
  <si>
    <t>Mul bhag Oct-Nov 2023</t>
  </si>
  <si>
    <t>Online</t>
  </si>
  <si>
    <t>Moin bhai</t>
  </si>
  <si>
    <t>05011610165174-TPT-CASH-D---MESH DEVJI MARU</t>
  </si>
  <si>
    <t>HARESH  RAMJI TANK-HARESH---833-HARESH TANK</t>
  </si>
  <si>
    <t>IMPS-327712319193-NAROTTA---9-HEENA TANK HL</t>
  </si>
  <si>
    <t>IMPS-330617375423-NAROTTA---XXXXXX9429-CASH</t>
  </si>
  <si>
    <t>IMPS-331017374339-DILIP M---X8552-DILIP INT</t>
  </si>
  <si>
    <t>IMPS-331017395348-DHARMES---XXXXXX7507-CASH</t>
  </si>
  <si>
    <t>VIDHI CREATION-JAYU.MEWAD---511-MAHARAJ INT</t>
  </si>
  <si>
    <t>VIVIFI INDIA FINANCE-VIVI---27349576985-UPI</t>
  </si>
  <si>
    <t>XXXXXX3340-UTIB0001177-33---31061308261-UPI</t>
  </si>
  <si>
    <t>EMI</t>
  </si>
  <si>
    <t>Narration</t>
  </si>
  <si>
    <t>Description</t>
  </si>
  <si>
    <t>Withdrawal Amt.</t>
  </si>
  <si>
    <t>Type</t>
  </si>
  <si>
    <t>salary</t>
  </si>
  <si>
    <t>29/09/23</t>
  </si>
  <si>
    <t>AARIF ABDUL RAHIM SH-SAYYEDARIF011@OKICICI-KKBK0001382-327297118026-THUM UP</t>
  </si>
  <si>
    <t>Home</t>
  </si>
  <si>
    <t>NOORJAHAN ABDUL KADA-ZAIBUNNISAK8@IBL-AUBL0002563-327297905523-UPI</t>
  </si>
  <si>
    <t>Sum of Withdrawal Amt.</t>
  </si>
  <si>
    <t>NEW VISHAL CHEMIST-PAYTMQRG2WUMIQYUZ@PAYTM-PYTM0123456-327243983147-UPI</t>
  </si>
  <si>
    <t>30/09/23</t>
  </si>
  <si>
    <t>ROBINSON  NADAR-Q612302292@YBL-YESB0YBL327348939551-UPI</t>
  </si>
  <si>
    <t>VIVIFI INDIA FINANCE-VIVIFI@KOTAK-KKBK0000958-327349576985-UPI</t>
  </si>
  <si>
    <t>GANJI HARSHAL HITEND-HARSHAL.3555@OKICICI-ABHY0065013-327364879847-UPI</t>
  </si>
  <si>
    <t>Vendor</t>
  </si>
  <si>
    <t>MOHAMMAD SALIM-8791824432@IBL-UBIN0538558-327367903024-SALT AND PEPPER</t>
  </si>
  <si>
    <t>MAURYA BEAUTY STORES-GPAY-11176506793@OKBIZAXIS-UTIB0000000-327372958528-UPI</t>
  </si>
  <si>
    <t>01/10/23</t>
  </si>
  <si>
    <t>AKLESH-AKLESHKUMARSAKLESHKUMARS21@OKHDFCBANK-IPOS0000001-327412767992-UPI</t>
  </si>
  <si>
    <t>PRASHANT KUMAR PAREK-PRASHANTPAREKH918@OKICICI-UBIN0914657-327420739133-PARTICAL BOARD CUP</t>
  </si>
  <si>
    <t>SHREENATH ENTERPRISE-PAYTMQR281005050101U8NDQPX9J3ZC@PAYTM-PYTM0123456-327421140071-UPI</t>
  </si>
  <si>
    <t>SHAIKH NOOR BANU  MO-NOORSHAIKH8097-1@OKAXIS-CNRB0000033-327428618659-UMAR</t>
  </si>
  <si>
    <t>SHAIKH NOOR BANU  MO-NOORSHAIKH8097-1@OKAXIS-CNRB0000033-327428643991-UMAR</t>
  </si>
  <si>
    <t>AARIF ABDUL RAHIM SH-SAYYEDARIF011@OKICICI-KKBK0001382-327428746285-SAMEER DANGO</t>
  </si>
  <si>
    <t>SAVARAM PUNAJI MEROT-PAYTMQR281005050101GK03OF2Q2G5P@PAYTM-PYTM0123456-327433366539-UPI</t>
  </si>
  <si>
    <t>SHIPRASAD GUPTA-GPAY-11204745398@OKBIZAXIS-UTIB0000000-327433576077-UPI</t>
  </si>
  <si>
    <t>MAHAVIR SANDWICH-GPAY-11226547186@OKBIZAXIS-UTIB0000000-327433775885-UPI</t>
  </si>
  <si>
    <t>AMAR AUTOMOBILES-PAYTMQR281005050101V3X2B3DHWY0L@PAYTM-PYTM0123456-327434008221-UPI</t>
  </si>
  <si>
    <t>02/10/23</t>
  </si>
  <si>
    <t>MOHMMAD DANISH-6398977034@IBL-PYTM0123456-327554077803-CERAMIC DIYA</t>
  </si>
  <si>
    <t>KHALID SHAIKH-9930565343@YBL-TMBL0000233-327554809335-UPI</t>
  </si>
  <si>
    <t>NATULAL SO RUPAJI PA-PATELNATHULAL282@OKSBI-UCBA0002370-327555160381-UPI</t>
  </si>
  <si>
    <t>MRS TARUNA VIMAL BHA-BHANUSHALITARUNA3-1@OKICICI-IDIB000D049-327558172451-UPI</t>
  </si>
  <si>
    <t>shop</t>
  </si>
  <si>
    <t>03/10/23</t>
  </si>
  <si>
    <t>STELLA PONSELVI-Q999914132@YBL-YESB0YBL327679812109-UPI</t>
  </si>
  <si>
    <t>MURUGAN D-Q775514402@YBL-YESB0YBL327680088878-UPI</t>
  </si>
  <si>
    <t>MOHAMMAD SALIM-8791824432@IBL-UBIN0538558-327690327006-SALIM BHAI SALT AN</t>
  </si>
  <si>
    <t>SUNIL VAISYA-Q125058520@YBL-PUNB0106710-327692573576-UPI</t>
  </si>
  <si>
    <t>DHARMENDRA TULSIRAM -DHARMENDRAYADAV37534-1@OKSBI-KKBK0000627-327694815866-DEPAK BHAI</t>
  </si>
  <si>
    <t>ME DC SI 514834XXXXXX0214 GOOGLEWORKSP</t>
  </si>
  <si>
    <t>work</t>
  </si>
  <si>
    <t>THAMOTHARAN V-PAYTMQR2810050501011DPCEWZMUU3E@PAYTM-PYTM0123456-327615133559-UPI</t>
  </si>
  <si>
    <t>VIKAS STORE-Q249422682@YBL-TMBL0000233-327615620066-UPI</t>
  </si>
  <si>
    <t>XXXXXX3340-UTIB0001177-327621917945-HUKUMPAL KHURJA TR</t>
  </si>
  <si>
    <t>NITIN KANJI VALA-SADGURUSAHEB02-1@OKSBI-SBIN0040243-327622470689-GARBA</t>
  </si>
  <si>
    <t>Garba</t>
  </si>
  <si>
    <t>KHALID SHAIKH-9930565343@AXL-TMBL0000233-327622553746-UPI</t>
  </si>
  <si>
    <t>AMAR AUTOMOBILES-PAYTMQR28100505010111MFMYB4BV85@PAYTM-PYTM0123456-327626109501-UPI</t>
  </si>
  <si>
    <t>04/10/23</t>
  </si>
  <si>
    <t>IMPS-327712319193-NAROTTAM TANK BHARAT  BANK KANDIVALI-BCBM-XXXXXXXXXXX9429-HEENA TANK HL</t>
  </si>
  <si>
    <t>NATULAL SO RUPAJI PA-PATELNATHULAL282@OKSBI-UCBA0002370-327748973644-UPI</t>
  </si>
  <si>
    <t>YESU PLASTIC-GPAY-11191419646@OKBIZAXIS-UTIB0000000-327766892765-UPI</t>
  </si>
  <si>
    <t>05/10/23</t>
  </si>
  <si>
    <t>IMPS-327810389138-RAJA RAMJI MARU-UBIN-XXXXXXXXXXX0382-RAJUKAKA MATALA BILL</t>
  </si>
  <si>
    <t>NOORJAHAN ABDUL KADA-ZAIBUNNISAK8@IBL-AUBL0002563-327879558101-REHMAN SALARY</t>
  </si>
  <si>
    <t>Grand Total</t>
  </si>
  <si>
    <t>SHIVSHANKAR-PAIGHANSHIVSHANKAR007@OKICICI-MAHG0000001-327888651833-UPI</t>
  </si>
  <si>
    <t>MR DHARMESH BHUPATRA-DHARMESH.JANI106@OKICICI-IDIB000M049-327891517251-CASH</t>
  </si>
  <si>
    <t>SARVESH KUMAR MISHRA-PAYTMQR1VQS329OZ7@PAYTM-PYTM0123456-327893536833-UPI</t>
  </si>
  <si>
    <t>MAMAJI-PAYTMQRMGBTPUXWCY@PAYTM-PYTM0123456-327810013260-UPI</t>
  </si>
  <si>
    <t>MAMAJI-PAYTMQRMGBTPUXWCY@PAYTM-PYTM0123456-327810165875-UPI</t>
  </si>
  <si>
    <t>SHARAMMA-VIKASBOUDHE571@OKICICI-AIRP0000001-327815840599-UPI</t>
  </si>
  <si>
    <t>FARIDA BANO MOHD AKA-SEYYEDFARIDA@OKHDFCBANK-HDFC0001120-327815986741-SAMEER SAL</t>
  </si>
  <si>
    <t>BHEEM SINGH RAJPUT-BHIMSINGHRAJPUT67@YBL-SBIN0031535-327819767865-UPI</t>
  </si>
  <si>
    <t>MAWALI BHAI DOSA-9869001827@OKBIZAXIS-UTIB0000000-327820295096-UPI</t>
  </si>
  <si>
    <t>SARVESH KUMAR MISHRA-PAYTMQR1VQS329OZ7@PAYTM-PYTM0123456-327820552573-UPI</t>
  </si>
  <si>
    <t>06/10/23</t>
  </si>
  <si>
    <t>AKLESH-AKLESHKUMARSAKLESHKUMARS21@OKHDFCBANK-IPOS0000001-327944384737-BOX</t>
  </si>
  <si>
    <t>SHRI SIDHHI SNACKS-9930670914@OKBIZAXIS-UTIB0000000-327947739352-UPI</t>
  </si>
  <si>
    <t>07/10/23</t>
  </si>
  <si>
    <t>PRASHANT KUMAR PAREK-PRASHANTPAREKH918@OKICICI-UBIN0914657-328074724752-UPI</t>
  </si>
  <si>
    <t>MOHAMMAD ASIF-KHANASIF72721@OKHDFCBANK-PYTM0123456-328082725486-SALIM BHAI MADIN</t>
  </si>
  <si>
    <t>NITIN KANJI VALA-SADGURUSAHEB02@OKICICI-SBIN0040243-328095980013-NITIN BHAI GARBA</t>
  </si>
  <si>
    <t>SHAIKH AHMED RAHAMAT-Q263529261@YBL-YESB0YBL328010822303-UPI</t>
  </si>
  <si>
    <t>08/10/23</t>
  </si>
  <si>
    <t>VINOD PRANLAL VORA-PAYTMQR2810050501011WVLO9W9JTG7@PAYTM-PYTM0123456-328144757277-VINOD PRANLAL VORA</t>
  </si>
  <si>
    <t>NOORJAHAN ABDUL KADA-ZAIBUNNISAK8@IBL-AUBL0002563-328154761773-REHMAN NIGHT</t>
  </si>
  <si>
    <t>SHRISUNILKUMARMOHANL-Q836687016@YBL-YESB0YBL328155354057-UPI</t>
  </si>
  <si>
    <t>09/10/23</t>
  </si>
  <si>
    <t>VIKAS STORE-Q249422682@YBL-TMBL0000233-328266201256-UPI</t>
  </si>
  <si>
    <t>VIKAS STORE-Q249422682@YBL-TMBL0000233-328266282599-UPI</t>
  </si>
  <si>
    <t>MATHESHWAR BALACHAND-BALAMATHESWSR@OKHDFCBANK-TMBL0000233-328266485949-UPI</t>
  </si>
  <si>
    <t>KRISHNAKUMAR PRAMOD -BHARATPE.90060076199@FBPE-FDRL0001382-328266986737-PAY TO BHARATPE ME</t>
  </si>
  <si>
    <t>BAGZA SHEERIN BILAL -BAGZASHIRINM@OKSBI-DBSS0IN0811-328268966631-MOIN BHAI</t>
  </si>
  <si>
    <t>10/10/23</t>
  </si>
  <si>
    <t>RAMA  SHANKER SHARMA-RAMASHANKAR.SHARMA8080@OKHDFCBANK-PUNB0082600-328311896664-LED</t>
  </si>
  <si>
    <t>SHRI SIDHHI SNACKS-9930670914@OKBIZAXIS-UTIB0000000-328313703833-UPI</t>
  </si>
  <si>
    <t>SHRI SIDHHI SNACKS-9930670914@OKBIZAXIS-UTIB0000000-328313860588-UPI</t>
  </si>
  <si>
    <t>SHARAMMA-VIKASBOUDHE571@OKICICI-AIRP0000001-328317612643-UPI</t>
  </si>
  <si>
    <t>NWD-514834XXXXXX0214-YMN8003-MUMBAI</t>
  </si>
  <si>
    <t>SUPER STATIONERY   X-9930688656@AXL-BARB0DBMATU-328330465867-UPI</t>
  </si>
  <si>
    <t>ROYAL MEDICAL AND GE-PAYTMQR281005050101E5GBVG8FCFUC@PAYTM-PYTM0123456-328339140947-UPI</t>
  </si>
  <si>
    <t>HARISH VIJAY TETGURE-Q721900043@YBL-YESB0YBL328339958265-UPI</t>
  </si>
  <si>
    <t>BINDIYA-PAYTMQRS7V52KW7O7@PAYTM-PYTM0123456-328346250241-UPI</t>
  </si>
  <si>
    <t>11/10/23</t>
  </si>
  <si>
    <t>VIKAS STORE-Q249422682@YBL-TMBL0000233-328459656504-UPI</t>
  </si>
  <si>
    <t>GANJI HARSHAL HITEND-HARSHAL.3555@OKICICI-ABHY0065013-328470192916-HARSH FOR HYDROLIC</t>
  </si>
  <si>
    <t>RAJESH VISANJI  SAVL-RAJURSAVLA@OKAXIS-SBIN0003671-328482755642-UPI</t>
  </si>
  <si>
    <t>MH TRAFFIC POLICE-HSBIMOPAD.20810983-02PLE0000014473@SBI-SBIN0001154-328490135190-UPI</t>
  </si>
  <si>
    <t>TABASSUM NAUSHAD ANS-Q340109066@YBL-YESB0YBL328491843348-UPI</t>
  </si>
  <si>
    <t>RAMJANAM SHANKAR GUP-Q204353878@YBL-YESB0YBL328492169396-UPI</t>
  </si>
  <si>
    <t>ASHOK D VORA-Q831701224@YBL-YESB0YBL328492211393-UPI</t>
  </si>
  <si>
    <t>ARVIND HAKMICHAND PA-ARVINDPAREKH1122-1@OKSBI-KKBK0001398-328492244221-GUJRAT GARBA DELIV</t>
  </si>
  <si>
    <t>12/10/23</t>
  </si>
  <si>
    <t>MRS HIRAL CHETAN MER-GETHIRALMERCHANT-1@OKICICI-SCBL0036046-328514954699-GARBA</t>
  </si>
  <si>
    <t>HUKAM PAL SINGH-9759352892@YBL-SBIN0050632-328515699675-HUKUMPAL KHURJA TR</t>
  </si>
  <si>
    <t>HUKAM PAL SINGH-9759352892@YBL-SBIN0050632-328515797724-HUKUMPAL KHURJA TR</t>
  </si>
  <si>
    <t>UMRA KHAN-8439090455@PAYTM-UBIN0562386-328528305765-SALIM BHAI KHURJA</t>
  </si>
  <si>
    <t>PRIYADARSHANI C KOPA-RANIKOPADE12@OKHDFCBANK-ICIC0000323-328536036387-UPI</t>
  </si>
  <si>
    <t>ARSH CONSTRUCTION  P-9319127785@OKBIZAXIS-UTIB0000000-328539472110-SALIM BHAI</t>
  </si>
  <si>
    <t>ARSH CONSTRUCTION  P-9319127785@OKBIZAXIS-UTIB0000000-328543018170-SALIM BHAI  KHURJA</t>
  </si>
  <si>
    <t>IMRAN AHMAD IMAM UDD-PAYTMQRDRNG6DVAI9@PAYTM-PYTM0123456-328544143080-UPI</t>
  </si>
  <si>
    <t>13/10/23</t>
  </si>
  <si>
    <t>ARBAJ JAMSHED KHAN-AKHAN257846@OKICICI-KKBK0000635-328647072768-UPI</t>
  </si>
  <si>
    <t>ARBAJ JAMSHED KHAN-AKHAN257846@OKICICI-KKBK0000635-328647223385-ARBAZ ISAHAD NIGHT</t>
  </si>
  <si>
    <t>ARBAJ JAMSHED KHAN-AKHAN257846@OKICICI-KKBK0000635-328647230150-SAMEER AYAN TABARA</t>
  </si>
  <si>
    <t>AARIF ABDUL RAHIM SH-SAYYEDARIF011@OKICICI-KKBK0001382-328647270190-UPI</t>
  </si>
  <si>
    <t>.IMPS P2P 326316151327#20/09/2023 200923-CDT2328619412402</t>
  </si>
  <si>
    <t>BILLDESKTEZ-BILLDESK.RECHARGE@ICICI-ICIC0DC0099-328664553099-UPI</t>
  </si>
  <si>
    <t>IMITYAZ MODH SAID QU-IMTIYAZQURESHI784@OKICICI-UBIN0541303-328664786678-UPI</t>
  </si>
  <si>
    <t>MANISHA VISHAL BHOGA-9867441713@POSTBANK-IPOS0000001-328668058636-TIRUPATI TRANSPORT</t>
  </si>
  <si>
    <t>MANISHA VISHAL BHOGA-9867441713@POSTBANK-IPOS0000001-328668157475-TIRUPATI TRANSPORT</t>
  </si>
  <si>
    <t>P AYYASAMY SHASHI  A-PAYTMQR281005050101SK9HMELN6O9R@PAYTM-PYTM0123456-328674695120-UPI</t>
  </si>
  <si>
    <t>AMRAPALI KITCHEN-SNEHALT1974-2@OKSBI-SBIN0040243-328687336224-UPI</t>
  </si>
  <si>
    <t>KURBAN   ALI-Q073429199@YBL-YESB0YBL328687790076-UPI</t>
  </si>
  <si>
    <t>14/10/23</t>
  </si>
  <si>
    <t>MOHAMMAD SALMAN-SALMANRYIY@OKICICI-AIRP0000001-328789432235-SALMAN DANISH SOHA</t>
  </si>
  <si>
    <t>SANJAYBHAI GANSHYAMB-9909383820@IBL-SBIN0060310-328797651363-SANJAY BHAI CHOTIL</t>
  </si>
  <si>
    <t>SAYYED SAIF ALI-7459099216@YBL-KKBK0001382-365321747057-UPI</t>
  </si>
  <si>
    <t>A RAMA NAYAKS UDIPI -PAYTMQRMV7Q09PVXG@PAYTM-PYTM0123456-328719259015-UPI</t>
  </si>
  <si>
    <t>INDIAN OIL PETROL PU-Q844718278@YBL-YESB0YBL328730937751-UPI</t>
  </si>
  <si>
    <t>PARESH MARU-PMARU84@OKHDFCBANK-HDFC0000424-328732245052-FINE</t>
  </si>
  <si>
    <t>15/10/23</t>
  </si>
  <si>
    <t>GIRI MATUNGA-PAYTMQR1Q773O8GTS@PAYTM-PYTM0123456-328840151181-UPI</t>
  </si>
  <si>
    <t>ARIHANT-0790635A0116600.BQR@KOTAK-KKBK0000635-328840687327-UPI</t>
  </si>
  <si>
    <t>JAISWAL CHIKKI-GPAY-11194474552@OKBIZAXIS-UTIB0000000-328842605419-UPI</t>
  </si>
  <si>
    <t>SANJAYBHAI GANSHYAMB-9909383820@IBL-SBIN0060310-328858879411-UPI</t>
  </si>
  <si>
    <t>GOOGLE INDIA DIGITAL-GPAYBILLPAY.RCHG2@AXISBANK-UTIB0000553-328871461791-UPI</t>
  </si>
  <si>
    <t>MYNACHIKETA KNOWLEDG-RZPVXRMYNACHIKETAKNOWLEDGEFOUNDATION@YESBANK-YESB0000022-328877256608-MYNACHIKETAKNOWLED</t>
  </si>
  <si>
    <t>16/10/23</t>
  </si>
  <si>
    <t>SANJAY VITTAL BHAGAT-Q941351632@YBL-YESB0YBL328993764867-UPI</t>
  </si>
  <si>
    <t>SHYAMBAHADUR SINGH-8052426415@AXL-UTIB0002478-328993909089-UPI</t>
  </si>
  <si>
    <t>ARVIND HAKMICHAND PA-ARVINDPAREKH1122@OKICICI-KKBK0001398-328995280674-UPI</t>
  </si>
  <si>
    <t>GANJI HARSHAL HITEND-HARSHAL.3555@OKICICI-ABHY0065013-328998983617-HARSH GANJI</t>
  </si>
  <si>
    <t>SHAISTA SAJID QADRI-IBRAHIMQADRI1112014@OKHDFCBANK-BARB0MCMAHI-328990374675-SAJID BHAI METRO F</t>
  </si>
  <si>
    <t>05011610165174-TPT-CASH-DHARMESH DEVJI MARU</t>
  </si>
  <si>
    <t>emi</t>
  </si>
  <si>
    <t>17/10/23</t>
  </si>
  <si>
    <t>MOHMMAD DANISH-6398977034@IBL-PYTM0123456-329052933692-DANISH CERAMIC DIY</t>
  </si>
  <si>
    <t>SHAHIN-SALIMKHAN29031@OKICICI-UBIN0538558-329057622255-SALIM BHAI ADVANCE</t>
  </si>
  <si>
    <t>18/10/23</t>
  </si>
  <si>
    <t>THAMOTHARAN V-PAYTMQR2810050501011DPCEWZMUU3E@PAYTM-PYTM0123456-329187452536-PAYMENT FROM PHONE</t>
  </si>
  <si>
    <t>MAHENDRAKUMAR SAHEBL-MP976974@OKICICI-BARB0BHAUDA-329185239374-UPI</t>
  </si>
  <si>
    <t>SHREE HARDEV EARTHAN-MANOJMTANK@OKSBI-UBIN0803642-329191221949-UPI</t>
  </si>
  <si>
    <t>MOHD OWAIS-OWAISALI9520@OKSBI-INDB0000049-329191333830-OWAIS BHAI</t>
  </si>
  <si>
    <t>HINDAUTOMOBILES-OMBK.AACK56848EZKR4DV71N@MBK-PPIW0881822-329111132541-UPI</t>
  </si>
  <si>
    <t>19/10/23</t>
  </si>
  <si>
    <t>KIRAN DILIP BHARADWA-JHALAK1717@OKICICI-BARB0CHARKO-329243256586-GARBA NA UDHAR PAI</t>
  </si>
  <si>
    <t>ARBAJ JAMSHED KHAN-AKHAN257846@OKICICI-KKBK0000635-329258326088-UPI</t>
  </si>
  <si>
    <t>CHIDURALA SHREENIVAS-Q701379382@YBL-YESB0YBL329262013709-UPI</t>
  </si>
  <si>
    <t>20/10/23</t>
  </si>
  <si>
    <t>LIFE CARE HOSPITAL-LIFECAREHOSPITAL.67072874@HDFCBANK-HDFC0000001-329365680148-UPI</t>
  </si>
  <si>
    <t>NARGIS JAHAN-NARGISJAHAN123123@OKICICI-UBIN0538558-329304745979-PAYMENT FROM PHONE</t>
  </si>
  <si>
    <t>MANOJ RAJNARAYANRAM-BHARATPE90726107911@YESBANKLTD-YESB0YES329378571494-PAY TO BHARATPE ME</t>
  </si>
  <si>
    <t>MATUNGA-SHIVASMATUNGA@ICICI-ICIC0DC0099-329379300736-UPI</t>
  </si>
  <si>
    <t>SHYJU  V  P-Q040373035@YBL-CNRB0000033-329379856111-UPI</t>
  </si>
  <si>
    <t>porter</t>
  </si>
  <si>
    <t>DHARMENDRA TULSIRAM -DHARMENDRAYADAV37534-1@OKSBI-KKBK0000627-329380047543-DEEPAK BHAI</t>
  </si>
  <si>
    <t>SHREEJI SUPER MARKET-PAYTMQR1RFZVKEYS2@PAYTM-PYTM0123456-329380150522-UPI</t>
  </si>
  <si>
    <t>IMPS-329317349582-HARESH BACHOO WAGHADIA-BARB-XXXXXXXXXX6338-SADHANA RENT OCT 2023</t>
  </si>
  <si>
    <t>HARESH  RAMJI TANK-HARESHTANK84@OKHDFCBANK-BCBM0000031-329388856833-HARESH TANK</t>
  </si>
  <si>
    <t>FAROOQUI JUNAID AHME-FARUKIJ933@OKHDFCBANK-ABHY0065020-329393992001-KANCHAN BHABHI REP</t>
  </si>
  <si>
    <t>FAROOQUI JUNAID AHME-FARUKIJ933@OKHDFCBANK-ABHY0065020-329387070066-PAYMENT FROM PHONE</t>
  </si>
  <si>
    <t>LA PINOZ PIZZA-PAYTMQR5T8JY8GCV6@PAYTM-PYTM0123456-329312893769-UPI</t>
  </si>
  <si>
    <t>21/10/23</t>
  </si>
  <si>
    <t>SHAHIN-SALIMKHAN29031@OKICICI-UBIN0538558-329425394794-SALIM BHAI</t>
  </si>
  <si>
    <t>MOHAMMAD SALIM-8791824432@IBL-UBIN0538558-329425501610-SALIM BHAI</t>
  </si>
  <si>
    <t>CHIDURALA SHREENIVAS-Q701379382@YBL-YESB0YBL329451983506-UPI</t>
  </si>
  <si>
    <t>BAGZA SHEERIN BILAL -BAGZASHIRINM@OKSBI-DBSS0IN0811-329453297286-MOIN BHAI</t>
  </si>
  <si>
    <t>22/10/23</t>
  </si>
  <si>
    <t>XXXXXX3340-UTIB0001177-329568006348-UPI</t>
  </si>
  <si>
    <t>MANSUKHLAL RAYSHI ME-PAYTMQR1LYBGNHJEF@PAYTM-PYTM0123456-329568501847-UPI</t>
  </si>
  <si>
    <t>DMART READY-DMARTREADY.42242756@HDFCBANK-HDFC0000001-329511050640-PAYMENT FROM PHONE</t>
  </si>
  <si>
    <t>23/10/23</t>
  </si>
  <si>
    <t>NEHA FLOWER STALL-9075677479@OKBIZAXIS-UTIB0000000-329617213045-UPI</t>
  </si>
  <si>
    <t>CHANDRASHEKHAR-CHANDRSHAKER644@OKSBI-IPOS0000001-329634266763-UPI</t>
  </si>
  <si>
    <t>24/10/23</t>
  </si>
  <si>
    <t>PRITESH PANKAJ CHOTH-PAYTMQR2810050501011ROIJ4ZH5SLJ@PAYTM-PYTM0123456-329744400596-UPI</t>
  </si>
  <si>
    <t>CHHEDA DRY FRUITS-PAYTMQR281005050101QEYXZAFWN8JF@PAYTM-PYTM0123456-329744557151-UPI</t>
  </si>
  <si>
    <t>MATUNGAAUTOSERVICE-OMBK.AACJ702494DI99PMRMM@MBK-PPIW0881822-329759048960-UPI</t>
  </si>
  <si>
    <t>VI-VI586.RZP@ICICI-ICIC0DC0099-329762251425-UPI</t>
  </si>
  <si>
    <t>ANSHUL GOYAL-8881115999@AXL-HDFC0000738-329762474872-SOMANY 6PCS</t>
  </si>
  <si>
    <t>ANSHUL GOYAL-8881115999@AXL-HDFC0000738-329762507277-SOMANY 6PCS</t>
  </si>
  <si>
    <t>25/10/23</t>
  </si>
  <si>
    <t>MOHAMMAD SALMAN-SALMANRYIY@OKICICI-AIRP0000001-329884731316-SALMAN NIGHT</t>
  </si>
  <si>
    <t>JETHWA POTS-GPAY-11235736632@OKBIZAXIS-UTIB0000000-329885974972-PRAKASH BHAI FOR C</t>
  </si>
  <si>
    <t>JETHWA POTS-7738846057@OKBIZAXIS-UTIB0000000-329886086498-UPI</t>
  </si>
  <si>
    <t>NITIN KANJI VALA-SADGURUSAHEB02-1@OKSBI-SBIN0040243-329886392477-NITIN</t>
  </si>
  <si>
    <t>NARGIS JAHAN-NARGISJAHAN123123@OKICICI-UBIN0538558-329873948565-SALIM BHAI FOR SOM</t>
  </si>
  <si>
    <t>CHOUDHARY PRADEEP VA-PC573257-1@OKHDFCBANK-ASBL0000011-329892182881-UPI</t>
  </si>
  <si>
    <t>UBER INDIA SYSTEMS P-UBERRIDES@HDFCBANK-HDFC0000499-329896045618-UBERRIDE</t>
  </si>
  <si>
    <t>UBER INDIA SYSTEMS P-UBERRIDES@HDFCBANK-HDFC0000499-329896258801-UBERRIDE</t>
  </si>
  <si>
    <t>CHANDRASHEKHAR-CHANDRSHAKER644@OKSBI-IPOS0000001-329816963083-UPI</t>
  </si>
  <si>
    <t>ADIL SHAIKH-8425885974@FAM-PPIW0884509-329818965815-UPI</t>
  </si>
  <si>
    <t>26/10/23</t>
  </si>
  <si>
    <t>NAVNIRMAN GROUPS-PAYTMQRY58TQHG88O@PAYTM-PYTM0123456-329944850455-UPI</t>
  </si>
  <si>
    <t>JAIN ADARSH-9833415559@OKBIZAXIS-UTIB0000000-329945023000-UPI</t>
  </si>
  <si>
    <t>CHEMIST-9892144974@OKBIZAXIS-UTIB0000000-329945333391-MEDICINES</t>
  </si>
  <si>
    <t>ABDUL REHMAN ABDUL K-7738207443@AXL-KKBK0000958-329915307326-PAYMENT FROM PHONE</t>
  </si>
  <si>
    <t>MAMAJI-PAYTMQRMGBTPUXWCY@PAYTM-PYTM0123456-329953522678-UPI</t>
  </si>
  <si>
    <t>CHIDURALA SHREENIVAS-Q701379382@YBL-YESB0YBL329964610512-MEDICINE</t>
  </si>
  <si>
    <t>27/10/23</t>
  </si>
  <si>
    <t>IMPS-330009310067-RAJA RAMJI MARU-UBIN-XXXXXXXXXXX0382-RAJUKAKA MATALA</t>
  </si>
  <si>
    <t>CBDT/BANK REFERENCE NO:K2330010185047/CIN NO:23102700079119HDFC/ONLINE</t>
  </si>
  <si>
    <t>Tax</t>
  </si>
  <si>
    <t>MR UMESH RAJUBHAI VA-UMESHRAJUBHAI7@OKSBI-CBIN0280516-330081163276-UPI</t>
  </si>
  <si>
    <t>RIYAZUDDIN  -PAYTMQR2810050501011169J216HEJ4@PAYTM-PYTM0123456-330082742787-UPI</t>
  </si>
  <si>
    <t>ABDUL REHMAN ABDUL K-7738207443@AXL-KKBK0000958-330041568643-PAYMENT FROM PHONE</t>
  </si>
  <si>
    <t>DEVI NATH YOGI-BHARATPE09915409003@YESBANKLTD-YESB0YES330013305384-PAY TO DEVI NATH Y</t>
  </si>
  <si>
    <t>DEVI NATH YOGI-BHARATPE09915409003@YESBANKLTD-YESB0YES330013476329-UPI</t>
  </si>
  <si>
    <t>28/10/23</t>
  </si>
  <si>
    <t>ARBAJ JAMSHED KHAN-AKHAN257846@OKICICI-KKBK0000635-330114806800-UPI</t>
  </si>
  <si>
    <t>MOHAMMAD SALMAN-SALMANRYIY@OKICICI-AIRP0000001-330115155285-UPI</t>
  </si>
  <si>
    <t>NARGIS JAHAN-NARGISJAHAN123123@OKICICI-UBIN0538558-330126818550-SALIM BHAI</t>
  </si>
  <si>
    <t>SANJAY KUMAR CHAURAS-PAYTMQRIUEQX4WX9F@PAYTM-PYTM0123456-330130456313-UPI</t>
  </si>
  <si>
    <t>KMLESH RAJ BHAR-Q745111365@YBL-UBIN0547581-330130484895-UPI</t>
  </si>
  <si>
    <t>SHREEJI SUPER MARKET-PAYTMQR1RFZVKEYS2@PAYTM-PYTM0123456-330147333508-UPI</t>
  </si>
  <si>
    <t>MR SHAIKH SAMEER SAL-SAMEERSHAIKH86550@OKICICI-IDIB000D049-330152755092-UPI</t>
  </si>
  <si>
    <t>SAYYED SAIF ALI-7459099216@YBL-KKBK0001382-330152795206-UPI</t>
  </si>
  <si>
    <t>29/10/23</t>
  </si>
  <si>
    <t>ABDUL REHMAN ABDUL K-7738207443@AXL-KKBK0000958-330273646523-PAYMENT FROM PHONE</t>
  </si>
  <si>
    <t>SHRISUNILKUMARMOHANL-Q836687016@YBL-YESB0YBL330269586125-UPI</t>
  </si>
  <si>
    <t>SAYYED SAIF ALI-7459099216@IBL-KKBK0001382-330275514997-UPI</t>
  </si>
  <si>
    <t>CHANDRASHEKHAR-CHANDRSHAKER644@OKSBI-IPOS0000001-330282977216-UPI</t>
  </si>
  <si>
    <t>ADD MONEY TO WALLET-ADD-MONEY@PAYTM-PYTM0123456-366867809986-OID202310292042300</t>
  </si>
  <si>
    <t>ADIL ABDUL SHARIF SH-8291069123@KOTAK-KKBK0000811-330290938525-UPI</t>
  </si>
  <si>
    <t>MRS HAZRA RIYAZ SHAI-SAMIRSAMIR11S1E@OKAXIS-IDIB000D049-330290944271-UPI</t>
  </si>
  <si>
    <t>AARIF ABDUL RAHIM SH-SAYYEDARIF011@OKICICI-KKBK0001382-330290948709-SUFIYAN NIGHT</t>
  </si>
  <si>
    <t>30/10/23</t>
  </si>
  <si>
    <t>MOHAMMAD AYAN KHAN-9137080642@FAM-PPIW0884509-330312695368-UPI</t>
  </si>
  <si>
    <t>SADHANA CRAFT LLP  M-8898727888@OKBIZAXIS-UTIB0000000-330315160003-UPI</t>
  </si>
  <si>
    <t>SADHANA CRAFT LLP  M-8898727888@OKBIZAXIS-UTIB0000000-330315253623-UPI</t>
  </si>
  <si>
    <t>MAHESH MANIKAVASAGAM-MAHESHPILLAI175@OKSBI-BARB0BHAUDA-330323492622-GONI</t>
  </si>
  <si>
    <t>CREDCLUB-CREDCLUB@ICICI-ICIC0DC0099-330326331640-CRED</t>
  </si>
  <si>
    <t>31/10/23</t>
  </si>
  <si>
    <t>.IMPS P2P 327712319193#04/10/2023 041023-CDT2328619412402</t>
  </si>
  <si>
    <t>.IMPS P2P 327810389138#05/10/2023 051023-CDT2328619412402</t>
  </si>
  <si>
    <t>AMRIN-7668574540@IBL-HDFC0000738-330478824876-SOHAIL</t>
  </si>
  <si>
    <t>AMRIN-7668574540@IBL-HDFC0000738-330477561104-PAYMENT FROM PHONE</t>
  </si>
  <si>
    <t>RAJESH KARSAN ANAVAD-RAJANAVADIYA2910@OKICICI-PYTM0123456-330454339413-CHHANI RETURNS</t>
  </si>
  <si>
    <t>ARBAJ JAMSHED KHAN-AKHAN257846@OKICICI-KKBK0000635-330455123446-NIGHT</t>
  </si>
  <si>
    <t>JETHVA NARESH MANSUK-NJETHVA72@OKICICI-KARB0000085-330475231972-ARUN TO NARESH</t>
  </si>
  <si>
    <t>Loan</t>
  </si>
  <si>
    <t>IMPS-330421395295-NARESH MANUBHAI JETHWA-KARB-XXXXXXXXXXXX2701-ARUN TO NARESH BACK</t>
  </si>
  <si>
    <t>01/11/23</t>
  </si>
  <si>
    <t>MOHAMMAD LATIF BASHI-LATIFSHAIKH70587-1@OKSBI-UBIN0914657-330597764257-UPI</t>
  </si>
  <si>
    <t>XXXXXX3340-UTIB0001177-330524529395-HUKUMPAL KHURJA TR</t>
  </si>
  <si>
    <t>IMPS-330521327570-NARESH MANUBHAI JETHWA-KARB-XXXXXXXXXXXX2701-ARUN TO NARESH RETURN</t>
  </si>
  <si>
    <t>CHEMIST-9892144974@OKBIZAXIS-UTIB0000000-330534843047-UPI</t>
  </si>
  <si>
    <t>home</t>
  </si>
  <si>
    <t>02/11/23</t>
  </si>
  <si>
    <t>UMESH KUMAR YADAV-GPAY-11219042567@OKBIZICICI-ICIC0DC0099-330622682499-PAYMENT FROM PHONE</t>
  </si>
  <si>
    <t>Shop</t>
  </si>
  <si>
    <t>SADHANA CRAFT LLP  M-8898727888@OKBIZAXIS-UTIB0000000-330654666589-UPI</t>
  </si>
  <si>
    <t>AMAR AUTOMOBILES-PAYTMQR28100505010111MFMYB4BV85@PAYTM-PYTM0123456-330656960813-UPI</t>
  </si>
  <si>
    <t>YASH ART-KAVITA18481@OKICICI-TMBL0000168-330658554193-UPI</t>
  </si>
  <si>
    <t>IMPS-330617375423-NAROTTAM TANK BHARAT  BANK KANDIVALI-BCBM-XXXXXXXXXXX9429-CASH</t>
  </si>
  <si>
    <t>NAYAKS SWEETS AND SN-PAYTMQR281005050101T8MDJNL5QSPY@PAYTM-PYTM0123456-330666725656-UPI</t>
  </si>
  <si>
    <t>MAMAJI-PAYTMQRMGBTPUXWCY@PAYTM-PYTM0123456-330666979417-UPI</t>
  </si>
  <si>
    <t>SANTOSH SONI-SANTOSHSONI82880@OKICICI-JIOP0000001-330676794994-UPI</t>
  </si>
  <si>
    <t>SARVESH KUMAR MISHRA-PAYTMQR1VQS329OZ7@PAYTM-PYTM0123456-330677013487-UPI</t>
  </si>
  <si>
    <t>03/11/23</t>
  </si>
  <si>
    <t>MOHAMMAD SALMAN-SALMANRYIY@OKICICI-AIRP0000001-330778993312-UPI</t>
  </si>
  <si>
    <t>SUNITA CHOUHAN POTTE-RC2195351@OKSBI-BARB0BHAUDA-330783293868-T9 GLASS</t>
  </si>
  <si>
    <t>ASHOK D VORA-Q831701224@YBL-YESB0YBL330790894641-UPI</t>
  </si>
  <si>
    <t>ABDUL REHMAN ABDUL K-7738207443@AXL-KKBK0000958-330771581433-PAYMENT FROM PHONE</t>
  </si>
  <si>
    <t>AKASH KAMLESH KAKKAR-AKASH.KKAKKAR@OKHDFCBANK-HDFC0000501-330799514856-UPI</t>
  </si>
  <si>
    <t>IZHAR  AHMED  SIDDIQ-IZHARSIDDIQUI76745-1@OKICICI-UBIN0556408-330713147300-UPI</t>
  </si>
  <si>
    <t>IZHAR  AHMED  SIDDIQ-IZHARSIDDIQUI76745-1@OKICICI-UBIN0556408-330713291565-UPI</t>
  </si>
  <si>
    <t>04/11/23</t>
  </si>
  <si>
    <t>SHRISUNILKUMARMOHANL-Q951458140@YBL-YESB0YBL330843063678-UPI</t>
  </si>
  <si>
    <t>HARENDRA KUMAR  DUBE-HKDUBEY58@OKSBI-SBIN0010124-330845783469-UPI</t>
  </si>
  <si>
    <t>IMPS-330813372542-DHARMESH MARU ICICI-ICIC-XXXXXXXX7507-DHARMESH</t>
  </si>
  <si>
    <t>ABDUL REHMAN ABDUL K-7738207443@AXL-KKBK0000958-330884759162-PAYMENT FROM PHONE</t>
  </si>
  <si>
    <t>VINAY DEVACHAND MALD-VINAYMALDE-1@OKSBI-HDFC0001019-330870204410-9 PCS MATAKI RETUR</t>
  </si>
  <si>
    <t>SHARAMMA-VIKASBOUDHE571@OKICICI-AIRP0000001-330872894378-VIKAS ADVANCE</t>
  </si>
  <si>
    <t>ABDUL REHMAN ABDUL K-7738207443@AXL-KKBK0000958-330849340249-PAYMENT FROM PHONE</t>
  </si>
  <si>
    <t>SAYYED SAIF ALI-7459099216@YBL-KKBK0001382-330873125913-SAIF NIGHT</t>
  </si>
  <si>
    <t>SAYYED SAIF ALI-7459099216@YBL-KKBK0001382-330873618468-RAHIL REHAN SUFIYA</t>
  </si>
  <si>
    <t>05/11/23</t>
  </si>
  <si>
    <t>SHARAMMA-VIKASBOUDHE571@OKICICI-AIRP0000001-330984080917-UPI</t>
  </si>
  <si>
    <t>IMPS-330914306491-DHARMESH MARU ICICI-ICIC-XXXXXXXX7507-YAG HDFC</t>
  </si>
  <si>
    <t>ABDUL REHMAN ABDUL K-7738207443@AXL-KKBK0000958-330988344352-PAYMENT FROM PHONE</t>
  </si>
  <si>
    <t>CHANDRASHEKHAR-CHANDRSHAKER644@OKSBI-IPOS0000001-330921179204-UPI</t>
  </si>
  <si>
    <t>HEALTH DOSA POINT-BHARATPE.9050006557@FBPE-FDRL0001382-330929310197-PAY TO HEALTH DOSA</t>
  </si>
  <si>
    <t>06/11/23</t>
  </si>
  <si>
    <t>SARVESH KUMAR MISHRA-PAYTMQR2810050501011AJMJ6XSBEW5@PAYTM-PYTM0123456-331044732945-LUNCH</t>
  </si>
  <si>
    <t>IMPS-331017374339-DILIP M BHARDAWA-BARB-XXXXXXXXXX8552-DILIP INT</t>
  </si>
  <si>
    <t>IMPS-331017395348-DHARMESH MARU ICICI-ICIC-XXXXXXXX7507-CASH</t>
  </si>
  <si>
    <t>VIDHI CREATION-JAYU.MEWADA2020-2@OKHDFCBANK-HDFC0000321-331056779511-MAHARAJ INT</t>
  </si>
  <si>
    <t>XXXXXX3340-UTIB0001177-331061308261-UPI</t>
  </si>
  <si>
    <t>NITESH ASHOK RANAVAT-9833622560@PAYTM-SBIN0020634-331068579107-UPI</t>
  </si>
  <si>
    <t>07/11/23</t>
  </si>
  <si>
    <t>.IMPS P2P 329317349582#20/10/2023 201023-CDT2331020141444</t>
  </si>
  <si>
    <t>MANOJ KUMAR-Q994873405@YBL-YESB0YBL331190171036-UPI</t>
  </si>
  <si>
    <t>SHARAMMA-VIKASBOUDHE571@OKICICI-AIRP0000001-331113709663-VIKAS SALARY</t>
  </si>
  <si>
    <t>NEW VISHAL CHEMIST-PAYTMQRG2WUMIQYUZ@PAYTM-PYTM0123456-331116244303-UPI</t>
  </si>
  <si>
    <t>08/11/23</t>
  </si>
  <si>
    <t>IRCTC UTS-PAYTM-8727353@PAYTM-PYTM0123456-331242427183-UPI</t>
  </si>
  <si>
    <t>XXXXXX4245-PUNB0682100-331251551669-SALIM BHAI MADINA</t>
  </si>
  <si>
    <t>50100135989797-TPT-CASH-SONAL DHARMESH MARU</t>
  </si>
  <si>
    <t>MOHAMMAD SALMAN-SALMANRYIY@OKICICI-AIRP0000001-331256771661-SALMAN DANISH ARBA</t>
  </si>
  <si>
    <t>SANTOSH ASHOK KHADE-9967385611@PAYTM-UTIB0000447-331264616933-UPI</t>
  </si>
  <si>
    <t>09/11/23</t>
  </si>
  <si>
    <t>VODAFONE IDEA LIMITE-VIPOSVF@HSBC-HSBC0400002-331379581572-UPI</t>
  </si>
  <si>
    <t>50100135989797-TPT-OWAIS BHAI-SONAL DHARMESH MARU</t>
  </si>
  <si>
    <t>DHARMENDRA TULSIRAM -DHARMENDRAYADAV37534-1@OKHDFCBANK-KKBK0000627-331389360233-DEEPAK BHAI DADAR</t>
  </si>
  <si>
    <t>NEW VISHAL CHEMIST-PAYTMQRG2WUMIQYUZ@PAYTM-PYTM0123456-331392445098-UPI</t>
  </si>
  <si>
    <t>BHAVANA JAYANTI CHIT-JAYANTICHITRODA1304@OKHDFCBANK-UBIN0803642-331317042369-JAYANTI BHAI</t>
  </si>
  <si>
    <t>MOHAMMAD SALMAN-SALMANRYIY@OKICICI-AIRP0000001-331318404863-SOHAIL SAHIL TABAR</t>
  </si>
  <si>
    <t>CHIDURALA SHREENIVAS-Q701379382@YBL-YESB0YBL331321646373-UPI</t>
  </si>
  <si>
    <t>SHAIKH YUNUS SALIM-SHAIKHYUNUSSALIM.39133165@HDFCBANK-HDFC0000001-331322063500-UPI</t>
  </si>
  <si>
    <t>ROYAL CHEMIST-PAYTMQR281005050101KP6YU855DTKS@PAYTM-PYTM0123456-331322394993-UPI</t>
  </si>
  <si>
    <t>10/11/23</t>
  </si>
  <si>
    <t>KOLIWADA KAPOLE STOR-BHARATPE09907052301@YESBANKLTD-YESB0YES331440462325-PAY TO KOLIWADA KA</t>
  </si>
  <si>
    <t>LOREX SALON AND ACAD-PAYTMQR1I7E6YEEI5@PAYTM-PYTM0123456-331468461121-LOREX</t>
  </si>
  <si>
    <t>KHAN JAFAR AHMED-JAFARAHMADKHAN88-3@OKHDFCBANK-ABHY0065020-331468544852-UPI</t>
  </si>
  <si>
    <t>FAIZAN A FAROOQUI-PAYTMQR281005050101XXTN2C7CANE6@PAYTM-PYTM0123456-331470770523-UPI</t>
  </si>
  <si>
    <t>11/11/23</t>
  </si>
  <si>
    <t>50100135989797-TPT-WARIS MUGAL-SONAL DHARMESH MARU</t>
  </si>
  <si>
    <t>NEELAM JABARKUMAR MA-BHARATPE09913279250@YESBANKLTD-YESB0YES331591084100-PAY TO NEELAM JABA</t>
  </si>
  <si>
    <t>SHREE GANESH CHUNARI-GPAY-11194239733@OKBIZAXIS-UTIB0000000-331593424591-UPI</t>
  </si>
  <si>
    <t>SHRI VINDRAVAN BHUVA-Q281725874@YBL-YESB0YBL331595854596-UPI</t>
  </si>
  <si>
    <t>HELLY CREATIONS HELL-7021234162@OKBIZAXIS-UTIB0000000-331596666776-UPI</t>
  </si>
  <si>
    <t>AJAY RAMLAL KEWAT-AJAYKEWAT0986@OKHDFCBANK-BARB0CPTANK-331596949667-UPI</t>
  </si>
  <si>
    <t>SHAMSUDDIN MOHAMMED -PAYTMQRTF31880LFJ@PAYTM-PYTM0123456-331597883065-UPI</t>
  </si>
  <si>
    <t>ADITI ASHOK PAREKH-PAREKHADITI13@OKICICI-BARB0CHANDA-331514167073-VED TRUSHA 3RD INS</t>
  </si>
  <si>
    <t>POONAM MANOJ BHAI JE-POONAMJETHWA345@OKHDFCBANK-KKBK0000635-331514252557-VED TRUSHA TUTION</t>
  </si>
  <si>
    <t>MOHAMMAD SALMAN-SALMANRYIY@OKICICI-AIRP0000001-331520294447-TABARAK SAHIL</t>
  </si>
  <si>
    <t>12/11/23</t>
  </si>
  <si>
    <t>JAYESH KHIMJI JETHWA-JJETHWA9833@OKSBI-BARB0DBMATU-331645125663-ELECTRIC CHILD ROO</t>
  </si>
  <si>
    <t>AKASH RAM RATHOD-AKASHRATHODRAM5500-1@OKHDFCBANK-UBIN0803642-331650299082-UPI</t>
  </si>
  <si>
    <t>DAUDAYAL S AGARWAL-PAYTMQR2810050501011E6386VWWPFL@PAYTM-PYTM0123456-331652619069-UPI</t>
  </si>
  <si>
    <t>DAUDAYAL S AGARWAL-PAYTMQR2810050501011E6386VWWPFL@PAYTM-PYTM0123456-331652630933-UPI</t>
  </si>
  <si>
    <t>KHALID SHAIKH-9930565343@AXL-TMBL0000233-331661496160-SADRA</t>
  </si>
  <si>
    <t>NEW VISHAL CHEMIST-PAYTMQRG2WUMIQYUZ@PAYTM-PYTM0123456-331662355503-UPI</t>
  </si>
  <si>
    <t>KHALID SHAIKH-9930565343@AXL-TMBL0000233-331662994768-UPI</t>
  </si>
  <si>
    <t>ASHOK D VORA-Q831701224@YBL-YESB0YBL331666653687-UPI</t>
  </si>
  <si>
    <t>KOLIWADA KAPOLE STOR-BHARATPE09907052301@YESBANKLTD-YESB0YES331669270580-PAY TO KOLIWADA KA</t>
  </si>
  <si>
    <t>other Misc payment</t>
  </si>
  <si>
    <t>Khurja Transport</t>
  </si>
  <si>
    <t>50100135989797-TPT-CASH-S---L DHARMESH MARU</t>
  </si>
  <si>
    <t>50100135989797-TPT-OWAIS ---L DHARMESH MARU</t>
  </si>
  <si>
    <t>50100135989797-TPT-WARIS ---L DHARMESH MARU</t>
  </si>
  <si>
    <t>AKLESH-AKLESHKUMARSAKLESH---27944384737-BOX</t>
  </si>
  <si>
    <t>AMRIN-7668574540@IBL-HDFC---78824876-SOHAIL</t>
  </si>
  <si>
    <t>AMRIN-7668574540@IBL-HDFC---MENT FROM PHONE</t>
  </si>
  <si>
    <t>ANSHUL GOYAL-8881115999@A---277-SOMANY 6PCS</t>
  </si>
  <si>
    <t>ANSHUL GOYAL-8881115999@A---872-SOMANY 6PCS</t>
  </si>
  <si>
    <t>ARSH CONSTRUCTION  P-9319---IM BHAI  KHURJA</t>
  </si>
  <si>
    <t>BAGZA SHEERIN BILAL -BAGZ---97286-MOIN BHAI</t>
  </si>
  <si>
    <t>BHAVANA JAYANTI CHIT-JAYA---69-JAYANTI BHAI</t>
  </si>
  <si>
    <t>DHARMENDRA TULSIRAM -DHAR---543-DEEPAK BHAI</t>
  </si>
  <si>
    <t>DHARMENDRA TULSIRAM -DHAR---5866-DEPAK BHAI</t>
  </si>
  <si>
    <t>DHARMENDRA TULSIRAM -DHAR---EPAK BHAI DADAR</t>
  </si>
  <si>
    <t>GANJI HARSHAL HITEND-HARS---27364879847-UPI</t>
  </si>
  <si>
    <t>GANJI HARSHAL HITEND-HARS---617-HARSH GANJI</t>
  </si>
  <si>
    <t>GANJI HARSHAL HITEND-HARS---SH FOR HYDROLIC</t>
  </si>
  <si>
    <t>HINDAUTOMOBILES-OMBK.AACK---29111132541-UPI</t>
  </si>
  <si>
    <t>IMPS-327810389138-RAJA RA---AKA MATALA BILL</t>
  </si>
  <si>
    <t>IMPS-330009310067-RAJA RA---RAJUKAKA MATALA</t>
  </si>
  <si>
    <t>JETHWA POTS-7738846057@OK---29886086498-UPI</t>
  </si>
  <si>
    <t>JETHWA POTS-GPAY-11235736---KASH BHAI FOR C</t>
  </si>
  <si>
    <t>KHALID SHAIKH-9930565343@---27554809335-UPI</t>
  </si>
  <si>
    <t>KHALID SHAIKH-9930565343@---27622553746-UPI</t>
  </si>
  <si>
    <t>MAHENDRAKUMAR SAHEBL-MP97---29185239374-UPI</t>
  </si>
  <si>
    <t>MH TRAFFIC POLICE-HSBIMOP---28490135190-UPI</t>
  </si>
  <si>
    <t>MOHAMMAD ASIF-KHANASIF727---ALIM BHAI MADIN</t>
  </si>
  <si>
    <t>MOHAMMAD SALIM-8791824432---1610-SALIM BHAI</t>
  </si>
  <si>
    <t>MOHAMMAD SALIM-8791824432---IM BHAI SALT AN</t>
  </si>
  <si>
    <t>MOHAMMAD SALIM-8791824432---SALT AND PEPPER</t>
  </si>
  <si>
    <t>MOHAMMAD SALMAN-SALMANRYI---MAN DANISH SOHA</t>
  </si>
  <si>
    <t>MOHD OWAIS-OWAISALI9520@O---3830-OWAIS BHAI</t>
  </si>
  <si>
    <t>MOHMMAD DANISH-6398977034---03-CERAMIC DIYA</t>
  </si>
  <si>
    <t>MOHMMAD DANISH-6398977034---ISH CERAMIC DIY</t>
  </si>
  <si>
    <t>MR DHARMESH BHUPATRA-DHAR---7891517251-CASH</t>
  </si>
  <si>
    <t>NARGIS JAHAN-NARGISJAHAN1---8550-SALIM BHAI</t>
  </si>
  <si>
    <t>NARGIS JAHAN-NARGISJAHAN1---IM BHAI FOR SOM</t>
  </si>
  <si>
    <t>NARGIS JAHAN-NARGISJAHAN1---MENT FROM PHONE</t>
  </si>
  <si>
    <t>NATULAL SO RUPAJI PA-PATE---27555160381-UPI</t>
  </si>
  <si>
    <t>NATULAL SO RUPAJI PA-PATE---27748973644-UPI</t>
  </si>
  <si>
    <t>PARESH MARU-PMARU84@OKHDF---8732245052-FINE</t>
  </si>
  <si>
    <t>PRASHANT KUMAR PAREK-PRAS---TICAL BOARD CUP</t>
  </si>
  <si>
    <t>RAJESH VISANJI  SAVL-RAJU---28482755642-UPI</t>
  </si>
  <si>
    <t>RAMA  SHANKER SHARMA-RAMA---28311896664-LED</t>
  </si>
  <si>
    <t>SANJAYBHAI GANSHYAMB-9909---28858879411-UPI</t>
  </si>
  <si>
    <t>SANJAYBHAI GANSHYAMB-9909---JAY BHAI CHOTIL</t>
  </si>
  <si>
    <t>SHAHIN-SALIMKHAN29031@OKI---4794-SALIM BHAI</t>
  </si>
  <si>
    <t>SHAHIN-SALIMKHAN29031@OKI---IM BHAI ADVANCE</t>
  </si>
  <si>
    <t>SHAISTA SAJID QADRI-IBRAH---ID BHAI METRO F</t>
  </si>
  <si>
    <t>SUNITA CHOUHAN POTTE-RC21---293868-T9 GLASS</t>
  </si>
  <si>
    <t>THAMOTHARAN V-PAYTMQR2810---27615133559-UPI</t>
  </si>
  <si>
    <t>THAMOTHARAN V-PAYTMQR2810---MENT FROM PHONE</t>
  </si>
  <si>
    <t>VIKAS STORE-Q249422682@YB---27615620066-UPI</t>
  </si>
  <si>
    <t>VIKAS STORE-Q249422682@YB---28266201256-UPI</t>
  </si>
  <si>
    <t>VIKAS STORE-Q249422682@YB---28266282599-UPI</t>
  </si>
  <si>
    <t>VIKAS STORE-Q249422682@YB---28459656504-UPI</t>
  </si>
  <si>
    <t>XXXXXX3340-UTIB0001177-32---29568006348-UPI</t>
  </si>
  <si>
    <t>XXXXXX4245-PUNB0682100-33---LIM BHAI MADINA</t>
  </si>
  <si>
    <t>YASH ART-KAVITA18481@OKIC---30658554193-UPI</t>
  </si>
  <si>
    <t>YESU PLASTIC-GPAY-1119141---27766892765-UPI</t>
  </si>
  <si>
    <t>Matal wada</t>
  </si>
  <si>
    <t>Deepak bhai dadar</t>
  </si>
  <si>
    <t>Harshal Ganji</t>
  </si>
  <si>
    <t>Raju Kaka</t>
  </si>
  <si>
    <t>DK Chhani</t>
  </si>
  <si>
    <t>Tlight</t>
  </si>
  <si>
    <t>Shaeblala Tempo</t>
  </si>
  <si>
    <t>Ceramic Diya</t>
  </si>
  <si>
    <t>taxi</t>
  </si>
  <si>
    <t>Bottle Payment</t>
  </si>
  <si>
    <t>Vendor Payment</t>
  </si>
  <si>
    <t>Salary(online)</t>
  </si>
  <si>
    <t>Salary(cash)</t>
  </si>
  <si>
    <t>Diwali 2023</t>
  </si>
  <si>
    <t>Start Date</t>
  </si>
  <si>
    <t>End Date</t>
  </si>
  <si>
    <t>Mul bhag</t>
  </si>
  <si>
    <t>Avg business Before diwali</t>
  </si>
  <si>
    <t>Avg business on diwali</t>
  </si>
  <si>
    <t>Fixed Cost</t>
  </si>
  <si>
    <t>Avg Salary</t>
  </si>
  <si>
    <t>Light bill</t>
  </si>
  <si>
    <t>Breakage</t>
  </si>
  <si>
    <t>T0(180)</t>
  </si>
  <si>
    <t>T0(200)</t>
  </si>
  <si>
    <t>T00(195)</t>
  </si>
  <si>
    <t>T00(200)</t>
  </si>
  <si>
    <t>T3(100)</t>
  </si>
  <si>
    <t>Chai Kulhad small(180)</t>
  </si>
  <si>
    <t>Chai Kulhad big(100)</t>
  </si>
  <si>
    <t>T5(90)</t>
  </si>
  <si>
    <t>T9(63)</t>
  </si>
  <si>
    <t>Item(Packing)</t>
  </si>
  <si>
    <t>Actual Rate</t>
  </si>
  <si>
    <t>Sell Price</t>
  </si>
  <si>
    <t>Profit Per box</t>
  </si>
  <si>
    <t>Profit(%)</t>
  </si>
  <si>
    <t>Handi(500gms)</t>
  </si>
  <si>
    <t>Handi(1000gms)</t>
  </si>
  <si>
    <t>Handi(1500gms)</t>
  </si>
  <si>
    <t>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</si>
</sst>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mmmm/yyyy"/>
    <numFmt numFmtId="166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164" fontId="0" fillId="0" borderId="0" xfId="1" applyNumberFormat="1" applyFont="1"/>
    <xf numFmtId="164" fontId="0" fillId="2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6" fontId="0" fillId="2" borderId="2" xfId="0" applyNumberFormat="1" applyFill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0" fontId="2" fillId="5" borderId="3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4" fontId="0" fillId="5" borderId="4" xfId="1" applyNumberFormat="1" applyFont="1" applyFill="1" applyBorder="1" applyAlignment="1">
      <alignment horizontal="center" vertical="center"/>
    </xf>
    <xf numFmtId="166" fontId="2" fillId="5" borderId="5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 applyProtection="1">
      <alignment horizontal="center" vertical="center"/>
      <protection locked="0"/>
    </xf>
    <xf numFmtId="10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1" applyNumberFormat="1" applyFont="1" applyBorder="1" applyAlignment="1" applyProtection="1">
      <alignment horizontal="center" vertical="center"/>
      <protection locked="0"/>
    </xf>
    <xf numFmtId="166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1" quotePrefix="1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164" fontId="3" fillId="4" borderId="1" xfId="1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0" fillId="4" borderId="6" xfId="0" applyNumberFormat="1" applyFill="1" applyBorder="1" applyAlignment="1" applyProtection="1">
      <alignment horizontal="center" vertical="center" wrapText="1"/>
      <protection locked="0"/>
    </xf>
    <xf numFmtId="1" fontId="0" fillId="4" borderId="7" xfId="0" applyNumberFormat="1" applyFill="1" applyBorder="1" applyAlignment="1" applyProtection="1">
      <alignment horizontal="center" vertical="center" wrapText="1"/>
      <protection locked="0"/>
    </xf>
    <xf numFmtId="164" fontId="0" fillId="4" borderId="8" xfId="1" applyNumberFormat="1" applyFont="1" applyFill="1" applyBorder="1" applyAlignment="1" applyProtection="1">
      <alignment horizontal="center" vertical="center" wrapText="1"/>
      <protection locked="0"/>
    </xf>
    <xf numFmtId="164" fontId="0" fillId="4" borderId="7" xfId="1" applyNumberFormat="1" applyFont="1" applyFill="1" applyBorder="1" applyAlignment="1" applyProtection="1">
      <alignment horizontal="center" vertical="center" wrapText="1"/>
      <protection locked="0"/>
    </xf>
    <xf numFmtId="1" fontId="0" fillId="4" borderId="9" xfId="0" applyNumberFormat="1" applyFill="1" applyBorder="1" applyAlignment="1" applyProtection="1">
      <alignment horizontal="center" vertical="center" wrapText="1"/>
      <protection locked="0"/>
    </xf>
    <xf numFmtId="164" fontId="3" fillId="4" borderId="8" xfId="1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0" fontId="2" fillId="5" borderId="0" xfId="0" applyNumberFormat="1" applyFont="1" applyFill="1" applyAlignment="1">
      <alignment horizontal="center" vertical="center"/>
    </xf>
    <xf numFmtId="1" fontId="0" fillId="0" borderId="1" xfId="1" applyNumberFormat="1" applyFont="1" applyBorder="1" applyAlignment="1" applyProtection="1">
      <alignment horizontal="center" vertical="center"/>
      <protection locked="0"/>
    </xf>
    <xf numFmtId="1" fontId="0" fillId="0" borderId="6" xfId="1" applyNumberFormat="1" applyFont="1" applyBorder="1" applyAlignment="1" applyProtection="1">
      <alignment horizontal="center" vertical="center"/>
      <protection locked="0"/>
    </xf>
    <xf numFmtId="1" fontId="0" fillId="0" borderId="12" xfId="1" applyNumberFormat="1" applyFont="1" applyBorder="1" applyAlignment="1" applyProtection="1">
      <alignment horizontal="center" vertical="center"/>
      <protection locked="0"/>
    </xf>
    <xf numFmtId="1" fontId="4" fillId="4" borderId="13" xfId="0" applyNumberFormat="1" applyFont="1" applyFill="1" applyBorder="1" applyAlignment="1" applyProtection="1">
      <alignment horizontal="center" vertical="center" wrapText="1"/>
      <protection locked="0"/>
    </xf>
    <xf numFmtId="1" fontId="3" fillId="4" borderId="14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7" fontId="0" fillId="0" borderId="0" xfId="0" applyNumberForma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5" fillId="0" borderId="0" xfId="2"/>
    <xf numFmtId="0" fontId="0" fillId="0" borderId="15" xfId="0" pivotButton="1" applyBorder="1"/>
    <xf numFmtId="0" fontId="0" fillId="0" borderId="20" xfId="0" applyBorder="1"/>
    <xf numFmtId="0" fontId="0" fillId="0" borderId="19" xfId="0" applyBorder="1"/>
    <xf numFmtId="0" fontId="0" fillId="0" borderId="19" xfId="0" pivotButton="1" applyBorder="1"/>
    <xf numFmtId="0" fontId="0" fillId="0" borderId="18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" fontId="3" fillId="4" borderId="23" xfId="0" applyNumberFormat="1" applyFont="1" applyFill="1" applyBorder="1" applyAlignment="1">
      <alignment horizontal="center" vertical="center" wrapText="1"/>
    </xf>
    <xf numFmtId="164" fontId="3" fillId="4" borderId="21" xfId="1" applyNumberFormat="1" applyFont="1" applyFill="1" applyBorder="1" applyAlignment="1">
      <alignment horizontal="center" vertical="center" wrapText="1"/>
    </xf>
    <xf numFmtId="164" fontId="3" fillId="4" borderId="22" xfId="1" applyNumberFormat="1" applyFont="1" applyFill="1" applyBorder="1" applyAlignment="1">
      <alignment horizontal="center" vertical="center" wrapText="1"/>
    </xf>
    <xf numFmtId="166" fontId="0" fillId="2" borderId="24" xfId="0" applyNumberForma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 wrapText="1"/>
    </xf>
    <xf numFmtId="9" fontId="0" fillId="0" borderId="0" xfId="3" applyFont="1"/>
    <xf numFmtId="166" fontId="0" fillId="2" borderId="0" xfId="0" applyNumberFormat="1" applyFill="1" applyAlignment="1">
      <alignment horizontal="center" vertical="center"/>
    </xf>
    <xf numFmtId="164" fontId="0" fillId="5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9" fontId="0" fillId="0" borderId="0" xfId="3" applyFont="1" applyAlignment="1">
      <alignment horizontal="center"/>
    </xf>
    <xf numFmtId="166" fontId="0" fillId="2" borderId="25" xfId="0" applyNumberFormat="1" applyFill="1" applyBorder="1" applyAlignment="1">
      <alignment horizontal="center" vertical="center"/>
    </xf>
    <xf numFmtId="166" fontId="0" fillId="2" borderId="26" xfId="0" applyNumberFormat="1" applyFill="1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Comma" xfId="1" builtinId="3"/>
    <cellStyle name="Normal" xfId="0" builtinId="0"/>
    <cellStyle name="Normal 2" xfId="2" xr:uid="{4BF71A78-A853-454A-9935-818ED05AB942}"/>
    <cellStyle name="Percent" xfId="3" builtinId="5"/>
  </cellStyles>
  <dxfs count="170"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_ * #,##0_ ;_ * \-#,##0_ ;_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6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hamaru/Downloads/50200043587575_1699882970077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5243.861122800925" createdVersion="1" refreshedVersion="8" recordCount="295" xr:uid="{4D8F32AE-E608-40C7-BE23-7FED8BCCBE53}">
  <cacheSource type="worksheet">
    <worksheetSource ref="A1:E296" sheet="Expense(online)" r:id="rId2"/>
  </cacheSource>
  <cacheFields count="5">
    <cacheField name="Date" numFmtId="0">
      <sharedItems count="45">
        <s v="29/09/23"/>
        <s v="30/09/23"/>
        <s v="01/10/23"/>
        <s v="02/10/23"/>
        <s v="03/10/23"/>
        <s v="04/10/23"/>
        <s v="05/10/23"/>
        <s v="06/10/23"/>
        <s v="07/10/23"/>
        <s v="08/10/23"/>
        <s v="09/10/23"/>
        <s v="10/10/23"/>
        <s v="11/10/23"/>
        <s v="12/10/23"/>
        <s v="13/10/23"/>
        <s v="14/10/23"/>
        <s v="15/10/23"/>
        <s v="16/10/23"/>
        <s v="17/10/23"/>
        <s v="18/10/23"/>
        <s v="19/10/23"/>
        <s v="20/10/23"/>
        <s v="21/10/23"/>
        <s v="22/10/23"/>
        <s v="23/10/23"/>
        <s v="24/10/23"/>
        <s v="25/10/23"/>
        <s v="26/10/23"/>
        <s v="27/10/23"/>
        <s v="28/10/23"/>
        <s v="29/10/23"/>
        <s v="30/10/23"/>
        <s v="31/10/23"/>
        <s v="01/11/23"/>
        <s v="02/11/23"/>
        <s v="03/11/23"/>
        <s v="04/11/23"/>
        <s v="05/11/23"/>
        <s v="06/11/23"/>
        <s v="07/11/23"/>
        <s v="08/11/23"/>
        <s v="09/11/23"/>
        <s v="10/11/23"/>
        <s v="11/11/23"/>
        <s v="12/11/23"/>
      </sharedItems>
    </cacheField>
    <cacheField name="Narration" numFmtId="0">
      <sharedItems count="554">
        <s v="AARIF ABDUL RAHIM SH-SAYYEDARIF011@OKICICI-KKBK0001382-327297118026-THUM UP"/>
        <s v="NOORJAHAN ABDUL KADA-ZAIBUNNISAK8@IBL-AUBL0002563-327297905523-UPI"/>
        <s v="NEW VISHAL CHEMIST-PAYTMQRG2WUMIQYUZ@PAYTM-PYTM0123456-327243983147-UPI"/>
        <s v="ROBINSON  NADAR-Q612302292@YBL-YESB0YBL327348939551-UPI"/>
        <s v="VIVIFI INDIA FINANCE-VIVIFI@KOTAK-KKBK0000958-327349576985-UPI"/>
        <s v="GANJI HARSHAL HITEND-HARSHAL.3555@OKICICI-ABHY0065013-327364879847-UPI"/>
        <s v="MOHAMMAD SALIM-8791824432@IBL-UBIN0538558-327367903024-SALT AND PEPPER"/>
        <s v="MAURYA BEAUTY STORES-GPAY-11176506793@OKBIZAXIS-UTIB0000000-327372958528-UPI"/>
        <s v="AKLESH-AKLESHKUMARSAKLESHKUMARS21@OKHDFCBANK-IPOS0000001-327412767992-UPI"/>
        <s v="PRASHANT KUMAR PAREK-PRASHANTPAREKH918@OKICICI-UBIN0914657-327420739133-PARTICAL BOARD CUP"/>
        <s v="SHREENATH ENTERPRISE-PAYTMQR281005050101U8NDQPX9J3ZC@PAYTM-PYTM0123456-327421140071-UPI"/>
        <s v="SHAIKH NOOR BANU  MO-NOORSHAIKH8097-1@OKAXIS-CNRB0000033-327428618659-UMAR"/>
        <s v="SHAIKH NOOR BANU  MO-NOORSHAIKH8097-1@OKAXIS-CNRB0000033-327428643991-UMAR"/>
        <s v="AARIF ABDUL RAHIM SH-SAYYEDARIF011@OKICICI-KKBK0001382-327428746285-SAMEER DANGO"/>
        <s v="SAVARAM PUNAJI MEROT-PAYTMQR281005050101GK03OF2Q2G5P@PAYTM-PYTM0123456-327433366539-UPI"/>
        <s v="SHIPRASAD GUPTA-GPAY-11204745398@OKBIZAXIS-UTIB0000000-327433576077-UPI"/>
        <s v="MAHAVIR SANDWICH-GPAY-11226547186@OKBIZAXIS-UTIB0000000-327433775885-UPI"/>
        <s v="AMAR AUTOMOBILES-PAYTMQR281005050101V3X2B3DHWY0L@PAYTM-PYTM0123456-327434008221-UPI"/>
        <s v="MOHMMAD DANISH-6398977034@IBL-PYTM0123456-327554077803-CERAMIC DIYA"/>
        <s v="KHALID SHAIKH-9930565343@YBL-TMBL0000233-327554809335-UPI"/>
        <s v="NATULAL SO RUPAJI PA-PATELNATHULAL282@OKSBI-UCBA0002370-327555160381-UPI"/>
        <s v="MRS TARUNA VIMAL BHA-BHANUSHALITARUNA3-1@OKICICI-IDIB000D049-327558172451-UPI"/>
        <s v="STELLA PONSELVI-Q999914132@YBL-YESB0YBL327679812109-UPI"/>
        <s v="MURUGAN D-Q775514402@YBL-YESB0YBL327680088878-UPI"/>
        <s v="MOHAMMAD SALIM-8791824432@IBL-UBIN0538558-327690327006-SALIM BHAI SALT AN"/>
        <s v="SUNIL VAISYA-Q125058520@YBL-PUNB0106710-327692573576-UPI"/>
        <s v="DHARMENDRA TULSIRAM -DHARMENDRAYADAV37534-1@OKSBI-KKBK0000627-327694815866-DEPAK BHAI"/>
        <s v="ME DC SI 514834XXXXXX0214 GOOGLEWORKSP"/>
        <s v="THAMOTHARAN V-PAYTMQR2810050501011DPCEWZMUU3E@PAYTM-PYTM0123456-327615133559-UPI"/>
        <s v="VIKAS STORE-Q249422682@YBL-TMBL0000233-327615620066-UPI"/>
        <s v="XXXXXX3340-UTIB0001177-327621917945-HUKUMPAL KHURJA TR"/>
        <s v="NITIN KANJI VALA-SADGURUSAHEB02-1@OKSBI-SBIN0040243-327622470689-GARBA"/>
        <s v="KHALID SHAIKH-9930565343@AXL-TMBL0000233-327622553746-UPI"/>
        <s v="AMAR AUTOMOBILES-PAYTMQR28100505010111MFMYB4BV85@PAYTM-PYTM0123456-327626109501-UPI"/>
        <s v="IMPS-327712319193-NAROTTAM TANK BHARAT  BANK KANDIVALI-BCBM-XXXXXXXXXXX9429-HEENA TANK HL"/>
        <s v="NATULAL SO RUPAJI PA-PATELNATHULAL282@OKSBI-UCBA0002370-327748973644-UPI"/>
        <s v="YESU PLASTIC-GPAY-11191419646@OKBIZAXIS-UTIB0000000-327766892765-UPI"/>
        <s v="IMPS-327810389138-RAJA RAMJI MARU-UBIN-XXXXXXXXXXX0382-RAJUKAKA MATALA BILL"/>
        <s v="NOORJAHAN ABDUL KADA-ZAIBUNNISAK8@IBL-AUBL0002563-327879558101-REHMAN SALARY"/>
        <s v="SHIVSHANKAR-PAIGHANSHIVSHANKAR007@OKICICI-MAHG0000001-327888651833-UPI"/>
        <s v="MR DHARMESH BHUPATRA-DHARMESH.JANI106@OKICICI-IDIB000M049-327891517251-CASH"/>
        <s v="SARVESH KUMAR MISHRA-PAYTMQR1VQS329OZ7@PAYTM-PYTM0123456-327893536833-UPI"/>
        <s v="MAMAJI-PAYTMQRMGBTPUXWCY@PAYTM-PYTM0123456-327810013260-UPI"/>
        <s v="MAMAJI-PAYTMQRMGBTPUXWCY@PAYTM-PYTM0123456-327810165875-UPI"/>
        <s v="SHARAMMA-VIKASBOUDHE571@OKICICI-AIRP0000001-327815840599-UPI"/>
        <s v="FARIDA BANO MOHD AKA-SEYYEDFARIDA@OKHDFCBANK-HDFC0001120-327815986741-SAMEER SAL"/>
        <s v="BHEEM SINGH RAJPUT-BHIMSINGHRAJPUT67@YBL-SBIN0031535-327819767865-UPI"/>
        <s v="MAWALI BHAI DOSA-9869001827@OKBIZAXIS-UTIB0000000-327820295096-UPI"/>
        <s v="SARVESH KUMAR MISHRA-PAYTMQR1VQS329OZ7@PAYTM-PYTM0123456-327820552573-UPI"/>
        <s v="AKLESH-AKLESHKUMARSAKLESHKUMARS21@OKHDFCBANK-IPOS0000001-327944384737-BOX"/>
        <s v="SHRI SIDHHI SNACKS-9930670914@OKBIZAXIS-UTIB0000000-327947739352-UPI"/>
        <s v="PRASHANT KUMAR PAREK-PRASHANTPAREKH918@OKICICI-UBIN0914657-328074724752-UPI"/>
        <s v="MOHAMMAD ASIF-KHANASIF72721@OKHDFCBANK-PYTM0123456-328082725486-SALIM BHAI MADIN"/>
        <s v="NITIN KANJI VALA-SADGURUSAHEB02@OKICICI-SBIN0040243-328095980013-NITIN BHAI GARBA"/>
        <s v="SHAIKH AHMED RAHAMAT-Q263529261@YBL-YESB0YBL328010822303-UPI"/>
        <s v="VINOD PRANLAL VORA-PAYTMQR2810050501011WVLO9W9JTG7@PAYTM-PYTM0123456-328144757277-VINOD PRANLAL VORA"/>
        <s v="NOORJAHAN ABDUL KADA-ZAIBUNNISAK8@IBL-AUBL0002563-328154761773-REHMAN NIGHT"/>
        <s v="SHRISUNILKUMARMOHANL-Q836687016@YBL-YESB0YBL328155354057-UPI"/>
        <s v="VIKAS STORE-Q249422682@YBL-TMBL0000233-328266201256-UPI"/>
        <s v="VIKAS STORE-Q249422682@YBL-TMBL0000233-328266282599-UPI"/>
        <s v="MATHESHWAR BALACHAND-BALAMATHESWSR@OKHDFCBANK-TMBL0000233-328266485949-UPI"/>
        <s v="KRISHNAKUMAR PRAMOD -BHARATPE.90060076199@FBPE-FDRL0001382-328266986737-PAY TO BHARATPE ME"/>
        <s v="BAGZA SHEERIN BILAL -BAGZASHIRINM@OKSBI-DBSS0IN0811-328268966631-MOIN BHAI"/>
        <s v="RAMA  SHANKER SHARMA-RAMASHANKAR.SHARMA8080@OKHDFCBANK-PUNB0082600-328311896664-LED"/>
        <s v="SHRI SIDHHI SNACKS-9930670914@OKBIZAXIS-UTIB0000000-328313703833-UPI"/>
        <s v="SHRI SIDHHI SNACKS-9930670914@OKBIZAXIS-UTIB0000000-328313860588-UPI"/>
        <s v="SHARAMMA-VIKASBOUDHE571@OKICICI-AIRP0000001-328317612643-UPI"/>
        <s v="NWD-514834XXXXXX0214-YMN8003-MUMBAI"/>
        <s v="SUPER STATIONERY   X-9930688656@AXL-BARB0DBMATU-328330465867-UPI"/>
        <s v="ROYAL MEDICAL AND GE-PAYTMQR281005050101E5GBVG8FCFUC@PAYTM-PYTM0123456-328339140947-UPI"/>
        <s v="HARISH VIJAY TETGURE-Q721900043@YBL-YESB0YBL328339958265-UPI"/>
        <s v="BINDIYA-PAYTMQRS7V52KW7O7@PAYTM-PYTM0123456-328346250241-UPI"/>
        <s v="VIKAS STORE-Q249422682@YBL-TMBL0000233-328459656504-UPI"/>
        <s v="GANJI HARSHAL HITEND-HARSHAL.3555@OKICICI-ABHY0065013-328470192916-HARSH FOR HYDROLIC"/>
        <s v="RAJESH VISANJI  SAVL-RAJURSAVLA@OKAXIS-SBIN0003671-328482755642-UPI"/>
        <s v="MH TRAFFIC POLICE-HSBIMOPAD.20810983-02PLE0000014473@SBI-SBIN0001154-328490135190-UPI"/>
        <s v="TABASSUM NAUSHAD ANS-Q340109066@YBL-YESB0YBL328491843348-UPI"/>
        <s v="RAMJANAM SHANKAR GUP-Q204353878@YBL-YESB0YBL328492169396-UPI"/>
        <s v="ASHOK D VORA-Q831701224@YBL-YESB0YBL328492211393-UPI"/>
        <s v="ARVIND HAKMICHAND PA-ARVINDPAREKH1122-1@OKSBI-KKBK0001398-328492244221-GUJRAT GARBA DELIV"/>
        <s v="MRS HIRAL CHETAN MER-GETHIRALMERCHANT-1@OKICICI-SCBL0036046-328514954699-GARBA"/>
        <s v="HUKAM PAL SINGH-9759352892@YBL-SBIN0050632-328515699675-HUKUMPAL KHURJA TR"/>
        <s v="HUKAM PAL SINGH-9759352892@YBL-SBIN0050632-328515797724-HUKUMPAL KHURJA TR"/>
        <s v="UMRA KHAN-8439090455@PAYTM-UBIN0562386-328528305765-SALIM BHAI KHURJA"/>
        <s v="PRIYADARSHANI C KOPA-RANIKOPADE12@OKHDFCBANK-ICIC0000323-328536036387-UPI"/>
        <s v="ARSH CONSTRUCTION  P-9319127785@OKBIZAXIS-UTIB0000000-328539472110-SALIM BHAI"/>
        <s v="ARSH CONSTRUCTION  P-9319127785@OKBIZAXIS-UTIB0000000-328543018170-SALIM BHAI  KHURJA"/>
        <s v="IMRAN AHMAD IMAM UDD-PAYTMQRDRNG6DVAI9@PAYTM-PYTM0123456-328544143080-UPI"/>
        <s v="ARBAJ JAMSHED KHAN-AKHAN257846@OKICICI-KKBK0000635-328647072768-UPI"/>
        <s v="ARBAJ JAMSHED KHAN-AKHAN257846@OKICICI-KKBK0000635-328647223385-ARBAZ ISAHAD NIGHT"/>
        <s v="ARBAJ JAMSHED KHAN-AKHAN257846@OKICICI-KKBK0000635-328647230150-SAMEER AYAN TABARA"/>
        <s v="AARIF ABDUL RAHIM SH-SAYYEDARIF011@OKICICI-KKBK0001382-328647270190-UPI"/>
        <s v=".IMPS P2P 326316151327#20/09/2023 200923-CDT2328619412402"/>
        <s v="BILLDESKTEZ-BILLDESK.RECHARGE@ICICI-ICIC0DC0099-328664553099-UPI"/>
        <s v="IMITYAZ MODH SAID QU-IMTIYAZQURESHI784@OKICICI-UBIN0541303-328664786678-UPI"/>
        <s v="MANISHA VISHAL BHOGA-9867441713@POSTBANK-IPOS0000001-328668058636-TIRUPATI TRANSPORT"/>
        <s v="MANISHA VISHAL BHOGA-9867441713@POSTBANK-IPOS0000001-328668157475-TIRUPATI TRANSPORT"/>
        <s v="P AYYASAMY SHASHI  A-PAYTMQR281005050101SK9HMELN6O9R@PAYTM-PYTM0123456-328674695120-UPI"/>
        <s v="AMRAPALI KITCHEN-SNEHALT1974-2@OKSBI-SBIN0040243-328687336224-UPI"/>
        <s v="KURBAN   ALI-Q073429199@YBL-YESB0YBL328687790076-UPI"/>
        <s v="MOHAMMAD SALMAN-SALMANRYIY@OKICICI-AIRP0000001-328789432235-SALMAN DANISH SOHA"/>
        <s v="SANJAYBHAI GANSHYAMB-9909383820@IBL-SBIN0060310-328797651363-SANJAY BHAI CHOTIL"/>
        <s v="SAYYED SAIF ALI-7459099216@YBL-KKBK0001382-365321747057-UPI"/>
        <s v="A RAMA NAYAKS UDIPI -PAYTMQRMV7Q09PVXG@PAYTM-PYTM0123456-328719259015-UPI"/>
        <s v="INDIAN OIL PETROL PU-Q844718278@YBL-YESB0YBL328730937751-UPI"/>
        <s v="PARESH MARU-PMARU84@OKHDFCBANK-HDFC0000424-328732245052-FINE"/>
        <s v="GIRI MATUNGA-PAYTMQR1Q773O8GTS@PAYTM-PYTM0123456-328840151181-UPI"/>
        <s v="ARIHANT-0790635A0116600.BQR@KOTAK-KKBK0000635-328840687327-UPI"/>
        <s v="JAISWAL CHIKKI-GPAY-11194474552@OKBIZAXIS-UTIB0000000-328842605419-UPI"/>
        <s v="SANJAYBHAI GANSHYAMB-9909383820@IBL-SBIN0060310-328858879411-UPI"/>
        <s v="GOOGLE INDIA DIGITAL-GPAYBILLPAY.RCHG2@AXISBANK-UTIB0000553-328871461791-UPI"/>
        <s v="MYNACHIKETA KNOWLEDG-RZPVXRMYNACHIKETAKNOWLEDGEFOUNDATION@YESBANK-YESB0000022-328877256608-MYNACHIKETAKNOWLED"/>
        <s v="SANJAY VITTAL BHAGAT-Q941351632@YBL-YESB0YBL328993764867-UPI"/>
        <s v="SHYAMBAHADUR SINGH-8052426415@AXL-UTIB0002478-328993909089-UPI"/>
        <s v="ARVIND HAKMICHAND PA-ARVINDPAREKH1122@OKICICI-KKBK0001398-328995280674-UPI"/>
        <s v="GANJI HARSHAL HITEND-HARSHAL.3555@OKICICI-ABHY0065013-328998983617-HARSH GANJI"/>
        <s v="SHAISTA SAJID QADRI-IBRAHIMQADRI1112014@OKHDFCBANK-BARB0MCMAHI-328990374675-SAJID BHAI METRO F"/>
        <s v="05011610165174-TPT-CASH-DHARMESH DEVJI MARU"/>
        <s v="MOHMMAD DANISH-6398977034@IBL-PYTM0123456-329052933692-DANISH CERAMIC DIY"/>
        <s v="SHAHIN-SALIMKHAN29031@OKICICI-UBIN0538558-329057622255-SALIM BHAI ADVANCE"/>
        <s v="THAMOTHARAN V-PAYTMQR2810050501011DPCEWZMUU3E@PAYTM-PYTM0123456-329187452536-PAYMENT FROM PHONE"/>
        <s v="MAHENDRAKUMAR SAHEBL-MP976974@OKICICI-BARB0BHAUDA-329185239374-UPI"/>
        <s v="SHREE HARDEV EARTHAN-MANOJMTANK@OKSBI-UBIN0803642-329191221949-UPI"/>
        <s v="MOHD OWAIS-OWAISALI9520@OKSBI-INDB0000049-329191333830-OWAIS BHAI"/>
        <s v="HINDAUTOMOBILES-OMBK.AACK56848EZKR4DV71N@MBK-PPIW0881822-329111132541-UPI"/>
        <s v="KIRAN DILIP BHARADWA-JHALAK1717@OKICICI-BARB0CHARKO-329243256586-GARBA NA UDHAR PAI"/>
        <s v="ARBAJ JAMSHED KHAN-AKHAN257846@OKICICI-KKBK0000635-329258326088-UPI"/>
        <s v="CHIDURALA SHREENIVAS-Q701379382@YBL-YESB0YBL329262013709-UPI"/>
        <s v="LIFE CARE HOSPITAL-LIFECAREHOSPITAL.67072874@HDFCBANK-HDFC0000001-329365680148-UPI"/>
        <s v="NARGIS JAHAN-NARGISJAHAN123123@OKICICI-UBIN0538558-329304745979-PAYMENT FROM PHONE"/>
        <s v="MANOJ RAJNARAYANRAM-BHARATPE90726107911@YESBANKLTD-YESB0YES329378571494-PAY TO BHARATPE ME"/>
        <s v="MATUNGA-SHIVASMATUNGA@ICICI-ICIC0DC0099-329379300736-UPI"/>
        <s v="SHYJU  V  P-Q040373035@YBL-CNRB0000033-329379856111-UPI"/>
        <s v="DHARMENDRA TULSIRAM -DHARMENDRAYADAV37534-1@OKSBI-KKBK0000627-329380047543-DEEPAK BHAI"/>
        <s v="SHREEJI SUPER MARKET-PAYTMQR1RFZVKEYS2@PAYTM-PYTM0123456-329380150522-UPI"/>
        <s v="IMPS-329317349582-HARESH BACHOO WAGHADIA-BARB-XXXXXXXXXX6338-SADHANA RENT OCT 2023"/>
        <s v="HARESH  RAMJI TANK-HARESHTANK84@OKHDFCBANK-BCBM0000031-329388856833-HARESH TANK"/>
        <s v="FAROOQUI JUNAID AHME-FARUKIJ933@OKHDFCBANK-ABHY0065020-329393992001-KANCHAN BHABHI REP"/>
        <s v="FAROOQUI JUNAID AHME-FARUKIJ933@OKHDFCBANK-ABHY0065020-329387070066-PAYMENT FROM PHONE"/>
        <s v="LA PINOZ PIZZA-PAYTMQR5T8JY8GCV6@PAYTM-PYTM0123456-329312893769-UPI"/>
        <s v="SHAHIN-SALIMKHAN29031@OKICICI-UBIN0538558-329425394794-SALIM BHAI"/>
        <s v="MOHAMMAD SALIM-8791824432@IBL-UBIN0538558-329425501610-SALIM BHAI"/>
        <s v="CHIDURALA SHREENIVAS-Q701379382@YBL-YESB0YBL329451983506-UPI"/>
        <s v="BAGZA SHEERIN BILAL -BAGZASHIRINM@OKSBI-DBSS0IN0811-329453297286-MOIN BHAI"/>
        <s v="XXXXXX3340-UTIB0001177-329568006348-UPI"/>
        <s v="MANSUKHLAL RAYSHI ME-PAYTMQR1LYBGNHJEF@PAYTM-PYTM0123456-329568501847-UPI"/>
        <s v="DMART READY-DMARTREADY.42242756@HDFCBANK-HDFC0000001-329511050640-PAYMENT FROM PHONE"/>
        <s v="NEHA FLOWER STALL-9075677479@OKBIZAXIS-UTIB0000000-329617213045-UPI"/>
        <s v="CHANDRASHEKHAR-CHANDRSHAKER644@OKSBI-IPOS0000001-329634266763-UPI"/>
        <s v="PRITESH PANKAJ CHOTH-PAYTMQR2810050501011ROIJ4ZH5SLJ@PAYTM-PYTM0123456-329744400596-UPI"/>
        <s v="CHHEDA DRY FRUITS-PAYTMQR281005050101QEYXZAFWN8JF@PAYTM-PYTM0123456-329744557151-UPI"/>
        <s v="MATUNGAAUTOSERVICE-OMBK.AACJ702494DI99PMRMM@MBK-PPIW0881822-329759048960-UPI"/>
        <s v="VI-VI586.RZP@ICICI-ICIC0DC0099-329762251425-UPI"/>
        <s v="ANSHUL GOYAL-8881115999@AXL-HDFC0000738-329762474872-SOMANY 6PCS"/>
        <s v="ANSHUL GOYAL-8881115999@AXL-HDFC0000738-329762507277-SOMANY 6PCS"/>
        <s v="MOHAMMAD SALMAN-SALMANRYIY@OKICICI-AIRP0000001-329884731316-SALMAN NIGHT"/>
        <s v="JETHWA POTS-GPAY-11235736632@OKBIZAXIS-UTIB0000000-329885974972-PRAKASH BHAI FOR C"/>
        <s v="JETHWA POTS-7738846057@OKBIZAXIS-UTIB0000000-329886086498-UPI"/>
        <s v="NITIN KANJI VALA-SADGURUSAHEB02-1@OKSBI-SBIN0040243-329886392477-NITIN"/>
        <s v="NARGIS JAHAN-NARGISJAHAN123123@OKICICI-UBIN0538558-329873948565-SALIM BHAI FOR SOM"/>
        <s v="CHOUDHARY PRADEEP VA-PC573257-1@OKHDFCBANK-ASBL0000011-329892182881-UPI"/>
        <s v="UBER INDIA SYSTEMS P-UBERRIDES@HDFCBANK-HDFC0000499-329896045618-UBERRIDE"/>
        <s v="UBER INDIA SYSTEMS P-UBERRIDES@HDFCBANK-HDFC0000499-329896258801-UBERRIDE"/>
        <s v="CHANDRASHEKHAR-CHANDRSHAKER644@OKSBI-IPOS0000001-329816963083-UPI"/>
        <s v="ADIL SHAIKH-8425885974@FAM-PPIW0884509-329818965815-UPI"/>
        <s v="NAVNIRMAN GROUPS-PAYTMQRY58TQHG88O@PAYTM-PYTM0123456-329944850455-UPI"/>
        <s v="JAIN ADARSH-9833415559@OKBIZAXIS-UTIB0000000-329945023000-UPI"/>
        <s v="CHEMIST-9892144974@OKBIZAXIS-UTIB0000000-329945333391-MEDICINES"/>
        <s v="ABDUL REHMAN ABDUL K-7738207443@AXL-KKBK0000958-329915307326-PAYMENT FROM PHONE"/>
        <s v="MAMAJI-PAYTMQRMGBTPUXWCY@PAYTM-PYTM0123456-329953522678-UPI"/>
        <s v="CHIDURALA SHREENIVAS-Q701379382@YBL-YESB0YBL329964610512-MEDICINE"/>
        <s v="IMPS-330009310067-RAJA RAMJI MARU-UBIN-XXXXXXXXXXX0382-RAJUKAKA MATALA"/>
        <s v="CBDT/BANK REFERENCE NO:K2330010185047/CIN NO:23102700079119HDFC/ONLINE"/>
        <s v="MR UMESH RAJUBHAI VA-UMESHRAJUBHAI7@OKSBI-CBIN0280516-330081163276-UPI"/>
        <s v="RIYAZUDDIN  -PAYTMQR2810050501011169J216HEJ4@PAYTM-PYTM0123456-330082742787-UPI"/>
        <s v="ABDUL REHMAN ABDUL K-7738207443@AXL-KKBK0000958-330041568643-PAYMENT FROM PHONE"/>
        <s v="DEVI NATH YOGI-BHARATPE09915409003@YESBANKLTD-YESB0YES330013305384-PAY TO DEVI NATH Y"/>
        <s v="DEVI NATH YOGI-BHARATPE09915409003@YESBANKLTD-YESB0YES330013476329-UPI"/>
        <s v="ARBAJ JAMSHED KHAN-AKHAN257846@OKICICI-KKBK0000635-330114806800-UPI"/>
        <s v="MOHAMMAD SALMAN-SALMANRYIY@OKICICI-AIRP0000001-330115155285-UPI"/>
        <s v="NARGIS JAHAN-NARGISJAHAN123123@OKICICI-UBIN0538558-330126818550-SALIM BHAI"/>
        <s v="SANJAY KUMAR CHAURAS-PAYTMQRIUEQX4WX9F@PAYTM-PYTM0123456-330130456313-UPI"/>
        <s v="KMLESH RAJ BHAR-Q745111365@YBL-UBIN0547581-330130484895-UPI"/>
        <s v="SHREEJI SUPER MARKET-PAYTMQR1RFZVKEYS2@PAYTM-PYTM0123456-330147333508-UPI"/>
        <s v="MR SHAIKH SAMEER SAL-SAMEERSHAIKH86550@OKICICI-IDIB000D049-330152755092-UPI"/>
        <s v="SAYYED SAIF ALI-7459099216@YBL-KKBK0001382-330152795206-UPI"/>
        <s v="ABDUL REHMAN ABDUL K-7738207443@AXL-KKBK0000958-330273646523-PAYMENT FROM PHONE"/>
        <s v="SHRISUNILKUMARMOHANL-Q836687016@YBL-YESB0YBL330269586125-UPI"/>
        <s v="SAYYED SAIF ALI-7459099216@IBL-KKBK0001382-330275514997-UPI"/>
        <s v="CHANDRASHEKHAR-CHANDRSHAKER644@OKSBI-IPOS0000001-330282977216-UPI"/>
        <s v="ADD MONEY TO WALLET-ADD-MONEY@PAYTM-PYTM0123456-366867809986-OID202310292042300"/>
        <s v="ADIL ABDUL SHARIF SH-8291069123@KOTAK-KKBK0000811-330290938525-UPI"/>
        <s v="MRS HAZRA RIYAZ SHAI-SAMIRSAMIR11S1E@OKAXIS-IDIB000D049-330290944271-UPI"/>
        <s v="AARIF ABDUL RAHIM SH-SAYYEDARIF011@OKICICI-KKBK0001382-330290948709-SUFIYAN NIGHT"/>
        <s v="MOHAMMAD AYAN KHAN-9137080642@FAM-PPIW0884509-330312695368-UPI"/>
        <s v="SADHANA CRAFT LLP  M-8898727888@OKBIZAXIS-UTIB0000000-330315160003-UPI"/>
        <s v="SADHANA CRAFT LLP  M-8898727888@OKBIZAXIS-UTIB0000000-330315253623-UPI"/>
        <s v="MAHESH MANIKAVASAGAM-MAHESHPILLAI175@OKSBI-BARB0BHAUDA-330323492622-GONI"/>
        <s v="CREDCLUB-CREDCLUB@ICICI-ICIC0DC0099-330326331640-CRED"/>
        <s v=".IMPS P2P 327712319193#04/10/2023 041023-CDT2328619412402"/>
        <s v=".IMPS P2P 327810389138#05/10/2023 051023-CDT2328619412402"/>
        <s v="AMRIN-7668574540@IBL-HDFC0000738-330478824876-SOHAIL"/>
        <s v="AMRIN-7668574540@IBL-HDFC0000738-330477561104-PAYMENT FROM PHONE"/>
        <s v="RAJESH KARSAN ANAVAD-RAJANAVADIYA2910@OKICICI-PYTM0123456-330454339413-CHHANI RETURNS"/>
        <s v="ARBAJ JAMSHED KHAN-AKHAN257846@OKICICI-KKBK0000635-330455123446-NIGHT"/>
        <s v="JETHVA NARESH MANSUK-NJETHVA72@OKICICI-KARB0000085-330475231972-ARUN TO NARESH"/>
        <s v="IMPS-330421395295-NARESH MANUBHAI JETHWA-KARB-XXXXXXXXXXXX2701-ARUN TO NARESH BACK"/>
        <s v="MOHAMMAD LATIF BASHI-LATIFSHAIKH70587-1@OKSBI-UBIN0914657-330597764257-UPI"/>
        <s v="XXXXXX3340-UTIB0001177-330524529395-HUKUMPAL KHURJA TR"/>
        <s v="IMPS-330521327570-NARESH MANUBHAI JETHWA-KARB-XXXXXXXXXXXX2701-ARUN TO NARESH RETURN"/>
        <s v="CHEMIST-9892144974@OKBIZAXIS-UTIB0000000-330534843047-UPI"/>
        <s v="UMESH KUMAR YADAV-GPAY-11219042567@OKBIZICICI-ICIC0DC0099-330622682499-PAYMENT FROM PHONE"/>
        <s v="SADHANA CRAFT LLP  M-8898727888@OKBIZAXIS-UTIB0000000-330654666589-UPI"/>
        <s v="AMAR AUTOMOBILES-PAYTMQR28100505010111MFMYB4BV85@PAYTM-PYTM0123456-330656960813-UPI"/>
        <s v="YASH ART-KAVITA18481@OKICICI-TMBL0000168-330658554193-UPI"/>
        <s v="IMPS-330617375423-NAROTTAM TANK BHARAT  BANK KANDIVALI-BCBM-XXXXXXXXXXX9429-CASH"/>
        <s v="NAYAKS SWEETS AND SN-PAYTMQR281005050101T8MDJNL5QSPY@PAYTM-PYTM0123456-330666725656-UPI"/>
        <s v="MAMAJI-PAYTMQRMGBTPUXWCY@PAYTM-PYTM0123456-330666979417-UPI"/>
        <s v="SANTOSH SONI-SANTOSHSONI82880@OKICICI-JIOP0000001-330676794994-UPI"/>
        <s v="SARVESH KUMAR MISHRA-PAYTMQR1VQS329OZ7@PAYTM-PYTM0123456-330677013487-UPI"/>
        <s v="MOHAMMAD SALMAN-SALMANRYIY@OKICICI-AIRP0000001-330778993312-UPI"/>
        <s v="SUNITA CHOUHAN POTTE-RC2195351@OKSBI-BARB0BHAUDA-330783293868-T9 GLASS"/>
        <s v="ASHOK D VORA-Q831701224@YBL-YESB0YBL330790894641-UPI"/>
        <s v="ABDUL REHMAN ABDUL K-7738207443@AXL-KKBK0000958-330771581433-PAYMENT FROM PHONE"/>
        <s v="AKASH KAMLESH KAKKAR-AKASH.KKAKKAR@OKHDFCBANK-HDFC0000501-330799514856-UPI"/>
        <s v="IZHAR  AHMED  SIDDIQ-IZHARSIDDIQUI76745-1@OKICICI-UBIN0556408-330713147300-UPI"/>
        <s v="IZHAR  AHMED  SIDDIQ-IZHARSIDDIQUI76745-1@OKICICI-UBIN0556408-330713291565-UPI"/>
        <s v="SHRISUNILKUMARMOHANL-Q951458140@YBL-YESB0YBL330843063678-UPI"/>
        <s v="HARENDRA KUMAR  DUBE-HKDUBEY58@OKSBI-SBIN0010124-330845783469-UPI"/>
        <s v="IMPS-330813372542-DHARMESH MARU ICICI-ICIC-XXXXXXXX7507-DHARMESH"/>
        <s v="ABDUL REHMAN ABDUL K-7738207443@AXL-KKBK0000958-330884759162-PAYMENT FROM PHONE"/>
        <s v="VINAY DEVACHAND MALD-VINAYMALDE-1@OKSBI-HDFC0001019-330870204410-9 PCS MATAKI RETUR"/>
        <s v="SHARAMMA-VIKASBOUDHE571@OKICICI-AIRP0000001-330872894378-VIKAS ADVANCE"/>
        <s v="ABDUL REHMAN ABDUL K-7738207443@AXL-KKBK0000958-330849340249-PAYMENT FROM PHONE"/>
        <s v="SAYYED SAIF ALI-7459099216@YBL-KKBK0001382-330873125913-SAIF NIGHT"/>
        <s v="SAYYED SAIF ALI-7459099216@YBL-KKBK0001382-330873618468-RAHIL REHAN SUFIYA"/>
        <s v="SHARAMMA-VIKASBOUDHE571@OKICICI-AIRP0000001-330984080917-UPI"/>
        <s v="IMPS-330914306491-DHARMESH MARU ICICI-ICIC-XXXXXXXX7507-YAG HDFC"/>
        <s v="ABDUL REHMAN ABDUL K-7738207443@AXL-KKBK0000958-330988344352-PAYMENT FROM PHONE"/>
        <s v="CHANDRASHEKHAR-CHANDRSHAKER644@OKSBI-IPOS0000001-330921179204-UPI"/>
        <s v="HEALTH DOSA POINT-BHARATPE.9050006557@FBPE-FDRL0001382-330929310197-PAY TO HEALTH DOSA"/>
        <s v="SARVESH KUMAR MISHRA-PAYTMQR2810050501011AJMJ6XSBEW5@PAYTM-PYTM0123456-331044732945-LUNCH"/>
        <s v="IMPS-331017374339-DILIP M BHARDAWA-BARB-XXXXXXXXXX8552-DILIP INT"/>
        <s v="IMPS-331017395348-DHARMESH MARU ICICI-ICIC-XXXXXXXX7507-CASH"/>
        <s v="VIDHI CREATION-JAYU.MEWADA2020-2@OKHDFCBANK-HDFC0000321-331056779511-MAHARAJ INT"/>
        <s v="XXXXXX3340-UTIB0001177-331061308261-UPI"/>
        <s v="NITESH ASHOK RANAVAT-9833622560@PAYTM-SBIN0020634-331068579107-UPI"/>
        <s v=".IMPS P2P 329317349582#20/10/2023 201023-CDT2331020141444"/>
        <s v="MANOJ KUMAR-Q994873405@YBL-YESB0YBL331190171036-UPI"/>
        <s v="SHARAMMA-VIKASBOUDHE571@OKICICI-AIRP0000001-331113709663-VIKAS SALARY"/>
        <s v="NEW VISHAL CHEMIST-PAYTMQRG2WUMIQYUZ@PAYTM-PYTM0123456-331116244303-UPI"/>
        <s v="IRCTC UTS-PAYTM-8727353@PAYTM-PYTM0123456-331242427183-UPI"/>
        <s v="XXXXXX4245-PUNB0682100-331251551669-SALIM BHAI MADINA"/>
        <s v="50100135989797-TPT-CASH-SONAL DHARMESH MARU"/>
        <s v="MOHAMMAD SALMAN-SALMANRYIY@OKICICI-AIRP0000001-331256771661-SALMAN DANISH ARBA"/>
        <s v="SANTOSH ASHOK KHADE-9967385611@PAYTM-UTIB0000447-331264616933-UPI"/>
        <s v="VODAFONE IDEA LIMITE-VIPOSVF@HSBC-HSBC0400002-331379581572-UPI"/>
        <s v="50100135989797-TPT-OWAIS BHAI-SONAL DHARMESH MARU"/>
        <s v="DHARMENDRA TULSIRAM -DHARMENDRAYADAV37534-1@OKHDFCBANK-KKBK0000627-331389360233-DEEPAK BHAI DADAR"/>
        <s v="NEW VISHAL CHEMIST-PAYTMQRG2WUMIQYUZ@PAYTM-PYTM0123456-331392445098-UPI"/>
        <s v="BHAVANA JAYANTI CHIT-JAYANTICHITRODA1304@OKHDFCBANK-UBIN0803642-331317042369-JAYANTI BHAI"/>
        <s v="MOHAMMAD SALMAN-SALMANRYIY@OKICICI-AIRP0000001-331318404863-SOHAIL SAHIL TABAR"/>
        <s v="CHIDURALA SHREENIVAS-Q701379382@YBL-YESB0YBL331321646373-UPI"/>
        <s v="SHAIKH YUNUS SALIM-SHAIKHYUNUSSALIM.39133165@HDFCBANK-HDFC0000001-331322063500-UPI"/>
        <s v="ROYAL CHEMIST-PAYTMQR281005050101KP6YU855DTKS@PAYTM-PYTM0123456-331322394993-UPI"/>
        <s v="KOLIWADA KAPOLE STOR-BHARATPE09907052301@YESBANKLTD-YESB0YES331440462325-PAY TO KOLIWADA KA"/>
        <s v="LOREX SALON AND ACAD-PAYTMQR1I7E6YEEI5@PAYTM-PYTM0123456-331468461121-LOREX"/>
        <s v="KHAN JAFAR AHMED-JAFARAHMADKHAN88-3@OKHDFCBANK-ABHY0065020-331468544852-UPI"/>
        <s v="FAIZAN A FAROOQUI-PAYTMQR281005050101XXTN2C7CANE6@PAYTM-PYTM0123456-331470770523-UPI"/>
        <s v="50100135989797-TPT-WARIS MUGAL-SONAL DHARMESH MARU"/>
        <s v="NEELAM JABARKUMAR MA-BHARATPE09913279250@YESBANKLTD-YESB0YES331591084100-PAY TO NEELAM JABA"/>
        <s v="SHREE GANESH CHUNARI-GPAY-11194239733@OKBIZAXIS-UTIB0000000-331593424591-UPI"/>
        <s v="SHRI VINDRAVAN BHUVA-Q281725874@YBL-YESB0YBL331595854596-UPI"/>
        <s v="HELLY CREATIONS HELL-7021234162@OKBIZAXIS-UTIB0000000-331596666776-UPI"/>
        <s v="AJAY RAMLAL KEWAT-AJAYKEWAT0986@OKHDFCBANK-BARB0CPTANK-331596949667-UPI"/>
        <s v="SHAMSUDDIN MOHAMMED -PAYTMQRTF31880LFJ@PAYTM-PYTM0123456-331597883065-UPI"/>
        <s v="ADITI ASHOK PAREKH-PAREKHADITI13@OKICICI-BARB0CHANDA-331514167073-VED TRUSHA 3RD INS"/>
        <s v="POONAM MANOJ BHAI JE-POONAMJETHWA345@OKHDFCBANK-KKBK0000635-331514252557-VED TRUSHA TUTION"/>
        <s v="MOHAMMAD SALMAN-SALMANRYIY@OKICICI-AIRP0000001-331520294447-TABARAK SAHIL"/>
        <s v="JAYESH KHIMJI JETHWA-JJETHWA9833@OKSBI-BARB0DBMATU-331645125663-ELECTRIC CHILD ROO"/>
        <s v="AKASH RAM RATHOD-AKASHRATHODRAM5500-1@OKHDFCBANK-UBIN0803642-331650299082-UPI"/>
        <s v="DAUDAYAL S AGARWAL-PAYTMQR2810050501011E6386VWWPFL@PAYTM-PYTM0123456-331652619069-UPI"/>
        <s v="DAUDAYAL S AGARWAL-PAYTMQR2810050501011E6386VWWPFL@PAYTM-PYTM0123456-331652630933-UPI"/>
        <s v="KHALID SHAIKH-9930565343@AXL-TMBL0000233-331661496160-SADRA"/>
        <s v="NEW VISHAL CHEMIST-PAYTMQRG2WUMIQYUZ@PAYTM-PYTM0123456-331662355503-UPI"/>
        <s v="KHALID SHAIKH-9930565343@AXL-TMBL0000233-331662994768-UPI"/>
        <s v="ASHOK D VORA-Q831701224@YBL-YESB0YBL331666653687-UPI"/>
        <s v="KOLIWADA KAPOLE STOR-BHARATPE09907052301@YESBANKLTD-YESB0YES331669270580-PAY TO KOLIWADA KA"/>
        <s v="UPI-BINDIYA-PAYTMQRS7V52KW7O7@PAYTM-PYTM0123456-328346250241-UPI" u="1"/>
        <s v="UPI-ANSHUL GOYAL-8881115999@AXL-HDFC0000738-329762474872-SOMANY 6PCS" u="1"/>
        <s v="UPI-ANSHUL GOYAL-8881115999@AXL-HDFC0000738-329762507277-SOMANY 6PCS" u="1"/>
        <s v="UPI-ASHOK D VORA-Q831701224@YBL-YESB0YBLUPI-330790894641-UPI" u="1"/>
        <s v="UPI-MOHAMMAD SALIM-8791824432@IBL-UBIN0538558-327690327006-SALIM BHAI SALT AN" u="1"/>
        <s v="UPI-MATUNGAAUTOSERVICE-OMBK.AACJ702494DI99PMRMM@MBK-PPIW0881822-329759048960-UPI" u="1"/>
        <s v="UPI-CHIDURALA SHREENIVAS-Q701379382@YBL-YESB0YBLUPI-329262013709-UPI" u="1"/>
        <s v="UPI-SANTOSH SONI-SANTOSHSONI82880@OKICICI-JIOP0000001-330676794994-UPI" u="1"/>
        <s v="UPI-VI-VI586.RZP@ICICI-ICIC0DC0099-329762251425-UPI" u="1"/>
        <s v="UPI-MAMAJI-PAYTMQRMGBTPUXWCY@PAYTM-PYTM0123456-327810013260-UPI" u="1"/>
        <s v="UPI-SANJAY VITTAL BHAGAT-Q941351632@YBL-YESB0YBLUPI-328993764867-UPI" u="1"/>
        <s v="UPI-LA PINOZ PIZZA-PAYTMQR5T8JY8GCV6@PAYTM-PYTM0123456-329312893769-UPI" u="1"/>
        <s v="UPI-SHAHIN-SALIMKHAN29031@OKICICI-UBIN0538558-329057622255-SALIM BHAI ADVANCE" u="1"/>
        <s v="UPI-SHAIKH NOOR BANU  MO-NOORSHAIKH8097-1@OKAXIS-CNRB0000033-327428618659-UMAR" u="1"/>
        <s v="UPI-MH TRAFFIC POLICE-HSBIMOPAD.20810983-02PLE0000014473@SBI-SBIN0001154-328490135190-UPI" u="1"/>
        <s v="UPI-KHALID SHAIKH-9930565343@AXL-TMBL0000233-327622553746-UPI" u="1"/>
        <s v="UPI-MOHAMMAD SALMAN-SALMANRYIY@OKICICI-AIRP0000001-330115155285-UPI" u="1"/>
        <s v="UPI-ARBAJ JAMSHED KHAN-AKHAN257846@OKICICI-KKBK0000635-328647230150-SAMEER AYAN TABARA" u="1"/>
        <s v="UPI-FAIZAN A FAROOQUI-PAYTMQR281005050101XXTN2C7CANE6@PAYTM-PYTM0123456-331470770523-UPI" u="1"/>
        <s v="UPI-FAROOQUI JUNAID AHME-FARUKIJ933@OKHDFCBANK-ABHY0065020-329393992001-KANCHAN BHABHI REP" u="1"/>
        <s v="UPI-SHAISTA SAJID QADRI-IBRAHIMQADRI1112014@OKHDFCBANK-BARB0MCMAHI-328990374675-SAJID BHAI METRO F" u="1"/>
        <s v="UPI-SHARAMMA-VIKASBOUDHE571@OKICICI-AIRP0000001-327815840599-UPI" u="1"/>
        <s v="UPI-AARIF ABDUL RAHIM SH-SAYYEDARIF011@OKICICI-KKBK0001382-327297118026-THUM UP" u="1"/>
        <s v="UPI-PRASHANT KUMAR PAREK-PRASHANTPAREKH918@OKICICI-UBIN0914657-328074724752-UPI" u="1"/>
        <s v="UPI-ROYAL CHEMIST-PAYTMQR281005050101KP6YU855DTKS@PAYTM-PYTM0123456-331322394993-UPI" u="1"/>
        <s v="UPI-ROBINSON  NADAR-Q612302292@YBL-YESB0YBLUPI-327348939551-UPI" u="1"/>
        <s v="UPI-SADHANA CRAFT LLP  M-8898727888@OKBIZAXIS-UTIB0000000-330315253623-UPI" u="1"/>
        <s v="UPI-MATUNGA-SHIVASMATUNGA@ICICI-ICIC0DC0099-329379300736-UPI" u="1"/>
        <s v="UPI-KHALID SHAIKH-9930565343@AXL-TMBL0000233-331662994768-UPI" u="1"/>
        <s v="UPI-JETHWA POTS-7738846057@OKBIZAXIS-UTIB0000000-329886086498-UPI" u="1"/>
        <s v="UPI-CHOUDHARY PRADEEP VA-PC573257-1@OKHDFCBANK-ASBL0000011-329892182881-UPI" u="1"/>
        <s v="UPI-MOHMMAD DANISH-6398977034@IBL-PYTM0123456-329052933692-DANISH CERAMIC DIY" u="1"/>
        <s v="UPI-UBER INDIA SYSTEMS P-UBERRIDES@HDFCBANK-HDFC0000499-329896045618-UBERRIDE" u="1"/>
        <s v="UPI-UBER INDIA SYSTEMS P-UBERRIDES@HDFCBANK-HDFC0000499-329896258801-UBERRIDE" u="1"/>
        <s v="UPI-BAGZA SHEERIN BILAL -BAGZASHIRINM@OKSBI-DBSS0IN0811-328268966631-MOIN BHAI" u="1"/>
        <s v="UPI-BAGZA SHEERIN BILAL -BAGZASHIRINM@OKSBI-DBSS0IN0811-329453297286-MOIN BHAI" u="1"/>
        <s v="UPI-JAYESH KHIMJI JETHWA-JJETHWA9833@OKSBI-BARB0DBMATU-331645125663-ELECTRIC CHILD ROO" u="1"/>
        <s v="UPI-MAMAJI-PAYTMQRMGBTPUXWCY@PAYTM-PYTM0123456-330666979417-UPI" u="1"/>
        <s v="UPI-SAYYED SAIF ALI-7459099216@IBL-KKBK0001382-330275514997-UPI" u="1"/>
        <s v="UPI-SHRI SIDHHI SNACKS-9930670914@OKBIZAXIS-UTIB0000000-328313703833-UPI" u="1"/>
        <s v="UPI-MANSUKHLAL RAYSHI ME-PAYTMQR1LYBGNHJEF@PAYTM-PYTM0123456-329568501847-UPI" u="1"/>
        <s v="UPI-MOHD OWAIS-OWAISALI9520@OKSBI-INDB0000049-329191333830-OWAIS BHAI" u="1"/>
        <s v="UPI-UMRA KHAN-8439090455@PAYTM-UBIN0562386-328528305765-SALIM BHAI KHURJA" u="1"/>
        <s v="UPI-SHREE GANESH CHUNARI-GPAY-11194239733@OKBIZAXIS-UTIB0000000-331593424591-UPI" u="1"/>
        <s v="UPI-THAMOTHARAN V-PAYTMQR2810050501011DPCEWZMUU3E@PAYTM-PYTM0123456-327615133559-UPI" u="1"/>
        <s v="UPI-NARGIS JAHAN-NARGISJAHAN123123@OKICICI-UBIN0538558-329873948565-SALIM BHAI FOR SOM" u="1"/>
        <s v="UPI-ASHOK D VORA-Q831701224@YBL-YESB0YBLUPI-328492211393-UPI" u="1"/>
        <s v="UPI-MAMAJI-PAYTMQRMGBTPUXWCY@PAYTM-PYTM0123456-329953522678-UPI" u="1"/>
        <s v="UPI-MRS HAZRA RIYAZ SHAI-SAMIRSAMIR11S1E@OKAXIS-IDIB000D049-330290944271-UPI" u="1"/>
        <s v="UPI-AMAR AUTOMOBILES-PAYTMQR281005050101V3X2B3DHWY0L@PAYTM-PYTM0123456-327434008221-UPI" u="1"/>
        <s v="UPI-ARSH CONSTRUCTION  P-9319127785@OKBIZAXIS-UTIB0000000-328543018170-SALIM BHAI  KHURJA" u="1"/>
        <s v="UPI-POONAM MANOJ BHAI JE-POONAMJETHWA345@OKHDFCBANK-KKBK0000635-331514252557-VED TRUSHA TUTION" u="1"/>
        <s v="UPI-KURBAN   ALI-Q073429199@YBL-YESB0YBLUPI-328687790076-UPI" u="1"/>
        <s v="UPI-PARESH MARU-PMARU84@OKHDFCBANK-HDFC0000424-328732245052-FINE" u="1"/>
        <s v="UPI-CHIDURALA SHREENIVAS-Q701379382@YBL-YESB0YBLUPI-329964610512-MEDICINE" u="1"/>
        <s v="UPI-KHALID SHAIKH-9930565343@AXL-TMBL0000233-331661496160-SADRA" u="1"/>
        <s v="UPI-MOHAMMAD ASIF-KHANASIF72721@OKHDFCBANK-PYTM0123456-328082725486-SALIM BHAI MADIN" u="1"/>
        <s v="UPI-UMESH KUMAR YADAV-GPAY-11219042567@OKBIZICICI-ICIC0DC0099-330622682499-PAYMENT FROM PHONE" u="1"/>
        <s v="UPI-PRASHANT KUMAR PAREK-PRASHANTPAREKH918@OKICICI-UBIN0914657-327420739133-PARTICAL BOARD CUP" u="1"/>
        <s v="UPI-SHRISUNILKUMARMOHANL-Q836687016@YBL-YESB0YBLUPI-328155354057-UPI" u="1"/>
        <s v="UPI-MAHENDRAKUMAR SAHEBL-MP976974@OKICICI-BARB0BHAUDA-329185239374-UPI" u="1"/>
        <s v="UPI-RAJESH VISANJI  SAVL-RAJURSAVLA@OKAXIS-SBIN0003671-328482755642-UPI" u="1"/>
        <s v="UPI-LOREX SALON AND ACAD-PAYTMQR1I7E6YEEI5@PAYTM-PYTM0123456-331468461121-LOREX" u="1"/>
        <s v="UPI-MRS HIRAL CHETAN MER-GETHIRALMERCHANT-1@OKICICI-SCBL0036046-328514954699-GARBA" u="1"/>
        <s v="UPI-ASHOK D VORA-Q831701224@YBL-YESB0YBLUPI-331666653687-UPI" u="1"/>
        <s v="UPI-HARENDRA KUMAR  DUBE-HKDUBEY58@OKSBI-SBIN0010124-330845783469-UPI" u="1"/>
        <s v="UPI-SANJAYBHAI GANSHYAMB-9909383820@IBL-SBIN0060310-328797651363-SANJAY BHAI CHOTIL" u="1"/>
        <s v="UPI-AARIF ABDUL RAHIM SH-SAYYEDARIF011@OKICICI-KKBK0001382-327428746285-SAMEER DANGO" u="1"/>
        <s v="UPI-MANISHA VISHAL BHOGA-9867441713@POSTBANK-IPOS0000001-328668058636-TIRUPATI TRANSPORT" u="1"/>
        <s v="UPI-MANISHA VISHAL BHOGA-9867441713@POSTBANK-IPOS0000001-328668157475-TIRUPATI TRANSPORT" u="1"/>
        <s v="UPI-NAYAKS SWEETS AND SN-PAYTMQR281005050101T8MDJNL5QSPY@PAYTM-PYTM0123456-330666725656-UPI" u="1"/>
        <s v="UPI-SARVESH KUMAR MISHRA-PAYTMQR2810050501011AJMJ6XSBEW5@PAYTM-PYTM0123456-331044732945-LUNCH" u="1"/>
        <s v="UPI-VIKAS STORE-Q249422682@YBL-TMBL0000233-327615620066-UPI" u="1"/>
        <s v="UPI-JAISWAL CHIKKI-GPAY-11194474552@OKBIZAXIS-UTIB0000000-328842605419-UPI" u="1"/>
        <s v="UPI-NEW VISHAL CHEMIST-PAYTMQRG2WUMIQYUZ@PAYTM-PYTM0123456-331116244303-UPI" u="1"/>
        <s v="UPI-SHIPRASAD GUPTA-GPAY-11204745398@OKBIZAXIS-UTIB0000000-327433576077-UPI" u="1"/>
        <s v="UPI-P AYYASAMY SHASHI  A-PAYTMQR281005050101SK9HMELN6O9R@PAYTM-PYTM0123456-328674695120-UPI" u="1"/>
        <s v="UPI-CHANDRASHEKHAR-CHANDRSHAKER644@OKSBI-IPOS0000001-329634266763-UPI" u="1"/>
        <s v="UPI-MOHAMMAD SALMAN-SALMANRYIY@OKICICI-AIRP0000001-329884731316-SALMAN NIGHT" u="1"/>
        <s v="UPI-FARIDA BANO MOHD AKA-SEYYEDFARIDA@OKHDFCBANK-HDFC0001120-327815986741-SAMEER SAL" u="1"/>
        <s v="UPI-AMAR AUTOMOBILES-PAYTMQR28100505010111MFMYB4BV85@PAYTM-PYTM0123456-330656960813-UPI" u="1"/>
        <s v="UPI-DAUDAYAL S AGARWAL-PAYTMQR2810050501011E6386VWWPFL@PAYTM-PYTM0123456-331652619069-UPI" u="1"/>
        <s v="UPI-MOHAMMAD SALIM-8791824432@IBL-UBIN0538558-329425501610-SALIM BHAI" u="1"/>
        <s v="UPI-SHAHIN-SALIMKHAN29031@OKICICI-UBIN0538558-329425394794-SALIM BHAI" u="1"/>
        <s v="UPI-AKLESH-AKLESHKUMARSAKLESHKUMARS21@OKHDFCBANK-IPOS0000001-327412767992-UPI" u="1"/>
        <s v="UPI-ADD MONEY TO WALLET-ADD-MONEY@PAYTM-PYTM0123456-366867809986-OID202310292042300" u="1"/>
        <s v="UPI-SHARAMMA-VIKASBOUDHE571@OKICICI-AIRP0000001-331113709663-VIKAS SALARY" u="1"/>
        <s v="UPI-HARESH  RAMJI TANK-HARESHTANK84@OKHDFCBANK-BCBM0000031-329388856833-HARESH TANK" u="1"/>
        <s v="UPI-AMRIN-7668574540@IBL-HDFC0000738-330477561104-PAYMENT FROM PHONE" u="1"/>
        <s v="UPI-NAVNIRMAN GROUPS-PAYTMQRY58TQHG88O@PAYTM-PYTM0123456-329944850455-UPI" u="1"/>
        <s v="UPI-HELLY CREATIONS HELL-7021234162@OKBIZAXIS-UTIB0000000-331596666776-UPI" u="1"/>
        <s v="UPI-MAHESH MANIKAVASAGAM-MAHESHPILLAI175@OKSBI-BARB0BHAUDA-330323492622-GONI" u="1"/>
        <s v="UPI-IZHAR  AHMED  SIDDIQ-IZHARSIDDIQUI76745-1@OKICICI-UBIN0556408-330713291565-UPI" u="1"/>
        <s v="UPI-JETHVA NARESH MANSUK-NJETHVA72@OKICICI-KARB0000085-330475231972-ARUN TO NARESH" u="1"/>
        <s v="UPI-ARBAJ JAMSHED KHAN-AKHAN257846@OKICICI-KKBK0000635-328647223385-ARBAZ ISAHAD NIGHT" u="1"/>
        <s v="UPI-HUKAM PAL SINGH-9759352892@YBL-SBIN0050632-328515699675-HUKUMPAL KHURJA TR" u="1"/>
        <s v="UPI-HUKAM PAL SINGH-9759352892@YBL-SBIN0050632-328515797724-HUKUMPAL KHURJA TR" u="1"/>
        <s v="UPI-VINAY DEVACHAND MALD-VINAYMALDE-1@OKSBI-HDFC0001019-330870204410-9 PCS MATAKI RETUR" u="1"/>
        <s v="UPI-AKLESH-AKLESHKUMARSAKLESHKUMARS21@OKHDFCBANK-IPOS0000001-327944384737-BOX" u="1"/>
        <s v="UPI-FAROOQUI JUNAID AHME-FARUKIJ933@OKHDFCBANK-ABHY0065020-329387070066-PAYMENT FROM PHONE" u="1"/>
        <s v="UPI-CHIDURALA SHREENIVAS-Q701379382@YBL-YESB0YBLUPI-329451983506-UPI" u="1"/>
        <s v="UPI-NARGIS JAHAN-NARGISJAHAN123123@OKICICI-UBIN0538558-329304745979-PAYMENT FROM PHONE" u="1"/>
        <s v="UPI-DMART READY-DMARTREADY.42242756@HDFCBANK-HDFC0000001-329511050640-PAYMENT FROM PHONE" u="1"/>
        <s v="UPI-NEHA FLOWER STALL-9075677479@OKBIZAXIS-UTIB0000000-329617213045-UPI" u="1"/>
        <s v="UPI-SUNITA CHOUHAN POTTE-RC2195351@OKSBI-BARB0BHAUDA-330783293868-T9 GLASS" u="1"/>
        <s v="UPI-MR SHAIKH SAMEER SAL-SAMEERSHAIKH86550@OKICICI-IDIB000D049-330152755092-UPI" u="1"/>
        <s v="UPI-MOHAMMAD SALMAN-SALMANRYIY@OKICICI-AIRP0000001-328789432235-SALMAN DANISH SOHA" u="1"/>
        <s v="UPI-CHIDURALA SHREENIVAS-Q701379382@YBL-YESB0YBLUPI-331321646373-UPI" u="1"/>
        <s v="UPI-IMRAN AHMAD IMAM UDD-PAYTMQRDRNG6DVAI9@PAYTM-PYTM0123456-328544143080-UPI" u="1"/>
        <s v="UPI-RAMJANAM SHANKAR GUP-Q204353878@YBL-YESB0YBLUPI-328492169396-UPI" u="1"/>
        <s v="UPI-GIRI MATUNGA-PAYTMQR1Q773O8GTS@PAYTM-PYTM0123456-328840151181-UPI" u="1"/>
        <s v="UPI-SAYYED SAIF ALI-7459099216@YBL-KKBK0001382-330873125913-SAIF NIGHT" u="1"/>
        <s v="UPI-BHEEM SINGH RAJPUT-BHIMSINGHRAJPUT67@YBL-SBIN0031535-327819767865-UPI" u="1"/>
        <s v="UPI-HEALTH DOSA POINT-BHARATPE.9050006557@FBPE-FDRL0001382-330929310197-PAY TO HEALTH DOSA" u="1"/>
        <s v="UPI-VINOD PRANLAL VORA-PAYTMQR2810050501011WVLO9W9JTG7@PAYTM-PYTM0123456-328144757277-VINOD PRANLAL VORA" u="1"/>
        <s v="UPI-CREDCLUB-CREDCLUB@ICICI-ICIC0DC0099-330326331640-CRED" u="1"/>
        <s v="UPI-CHEMIST-9892144974@OKBIZAXIS-UTIB0000000-329945333391-MEDICINES" u="1"/>
        <s v="UPI-SHREE HARDEV EARTHAN-MANOJMTANK@OKSBI-UBIN0803642-329191221949-UPI" u="1"/>
        <s v="UPI-SHAMSUDDIN MOHAMMED -PAYTMQRTF31880LFJ@PAYTM-PYTM0123456-331597883065-UPI" u="1"/>
        <s v="UPI-AKASH KAMLESH KAKKAR-AKASH.KKAKKAR@OKHDFCBANK-HDFC0000501-330799514856-UPI" u="1"/>
        <s v="UPI-YASH ART-KAVITA18481@OKICICI-TMBL0000168-330658554193-UPI" u="1"/>
        <s v="UPI-SHYAMBAHADUR SINGH-8052426415@AXL-UTIB0002478-328993909089-UPI" u="1"/>
        <s v="UPI-SHAIKH AHMED RAHAMAT-Q263529261@YBL-YESB0YBLUPI-328010822303-UPI" u="1"/>
        <s v="UPI-MOHAMMAD SALMAN-SALMANRYIY@OKICICI-AIRP0000001-331318404863-SOHAIL SAHIL TABAR" u="1"/>
        <s v="UPI-HARISH VIJAY TETGURE-Q721900043@YBL-YESB0YBLUPI-328339958265-UPI" u="1"/>
        <s v="UPI-INDIAN OIL PETROL PU-Q844718278@YBL-YESB0YBLUPI-328730937751-UPI" u="1"/>
        <s v="UPI-AKASH RAM RATHOD-AKASHRATHODRAM5500-1@OKHDFCBANK-UBIN0803642-331650299082-UPI" u="1"/>
        <s v="UPI-ROYAL MEDICAL AND GE-PAYTMQR281005050101E5GBVG8FCFUC@PAYTM-PYTM0123456-328339140947-UPI" u="1"/>
        <s v="UPI-AMRIN-7668574540@IBL-HDFC0000738-330478824876-SOHAIL" u="1"/>
        <s v="UPI-ABDUL REHMAN ABDUL K-7738207443@AXL-KKBK0000958-329915307326-PAYMENT FROM PHONE" u="1"/>
        <s v="UPI-ABDUL REHMAN ABDUL K-7738207443@AXL-KKBK0000958-330041568643-PAYMENT FROM PHONE" u="1"/>
        <s v="UPI-ABDUL REHMAN ABDUL K-7738207443@AXL-KKBK0000958-330273646523-PAYMENT FROM PHONE" u="1"/>
        <s v="UPI-ABDUL REHMAN ABDUL K-7738207443@AXL-KKBK0000958-330771581433-PAYMENT FROM PHONE" u="1"/>
        <s v="UPI-ABDUL REHMAN ABDUL K-7738207443@AXL-KKBK0000958-330849340249-PAYMENT FROM PHONE" u="1"/>
        <s v="UPI-ABDUL REHMAN ABDUL K-7738207443@AXL-KKBK0000958-330884759162-PAYMENT FROM PHONE" u="1"/>
        <s v="UPI-ABDUL REHMAN ABDUL K-7738207443@AXL-KKBK0000958-330988344352-PAYMENT FROM PHONE" u="1"/>
        <s v="UPI-BHAVANA JAYANTI CHIT-JAYANTICHITRODA1304@OKHDFCBANK-UBIN0803642-331317042369-JAYANTI BHAI" u="1"/>
        <s v="UPI-NEW VISHAL CHEMIST-PAYTMQRG2WUMIQYUZ@PAYTM-PYTM0123456-327243983147-UPI" u="1"/>
        <s v="UPI-MAHAVIR SANDWICH-GPAY-11226547186@OKBIZAXIS-UTIB0000000-327433775885-UPI" u="1"/>
        <s v="UPI-ARBAJ JAMSHED KHAN-AKHAN257846@OKICICI-KKBK0000635-330455123446-NIGHT" u="1"/>
        <s v="UPI-DEVI NATH YOGI-BHARATPE09915409003@YESBANKLTD-YESB0YESUPI-330013305384-PAY TO DEVI NATH Y" u="1"/>
        <s v="UPI-XXXXXX3340-UTIB0001177-329568006348-UPI" u="1"/>
        <s v="UPI-MR UMESH RAJUBHAI VA-UMESHRAJUBHAI7@OKSBI-CBIN0280516-330081163276-UPI" u="1"/>
        <s v="UPI-MOHAMMAD SALMAN-SALMANRYIY@OKICICI-AIRP0000001-331256771661-SALMAN DANISH ARBA" u="1"/>
        <s v="UPI-MANOJ RAJNARAYANRAM-BHARATPE90726107911@YESBANKLTD-YESB0YESUPI-329378571494-PAY TO BHARATPE ME" u="1"/>
        <s v="UPI-SHREEJI SUPER MARKET-PAYTMQR1RFZVKEYS2@PAYTM-PYTM0123456-330147333508-UPI" u="1"/>
        <s v="UPI-RIYAZUDDIN  -PAYTMQR2810050501011169J216HEJ4@PAYTM-PYTM0123456-330082742787-UPI" u="1"/>
        <s v="UPI-NATULAL SO RUPAJI PA-PATELNATHULAL282@OKSBI-UCBA0002370-327555160381-UPI" u="1"/>
        <s v="UPI-SHAIKH YUNUS SALIM-SHAIKHYUNUSSALIM.39133165@HDFCBANK-HDFC0000001-331322063500-UPI" u="1"/>
        <s v="UPI-AMAR AUTOMOBILES-PAYTMQR28100505010111MFMYB4BV85@PAYTM-PYTM0123456-327626109501-UPI" u="1"/>
        <s v="UPI-MATHESHWAR BALACHAND-BALAMATHESWSR@OKHDFCBANK-TMBL0000233-328266485949-UPI" u="1"/>
        <s v="UPI-VIDHI CREATION-JAYU.MEWADA2020-2@OKHDFCBANK-HDFC0000321-331056779511-MAHARAJ INT" u="1"/>
        <s v="UPI-DAUDAYAL S AGARWAL-PAYTMQR2810050501011E6386VWWPFL@PAYTM-PYTM0123456-331652630933-UPI" u="1"/>
        <s v="UPI-SHRI VINDRAVAN BHUVA-Q281725874@YBL-YESB0YBLUPI-331595854596-UPI" u="1"/>
        <s v="UPI-SHRISUNILKUMARMOHANL-Q951458140@YBL-YESB0YBLUPI-330843063678-UPI" u="1"/>
        <s v="UPI-CHANDRASHEKHAR-CHANDRSHAKER644@OKSBI-IPOS0000001-329816963083-UPI" u="1"/>
        <s v="UPI-MOHMMAD DANISH-6398977034@IBL-PYTM0123456-327554077803-CERAMIC DIYA" u="1"/>
        <s v="UPI-HINDAUTOMOBILES-OMBK.AACK56848EZKR4DV71N@MBK-PPIW0881822-329111132541-UPI" u="1"/>
        <s v="UPI-DEVI NATH YOGI-BHARATPE09915409003@YESBANKLTD-YESB0YESUPI-330013476329-UPI" u="1"/>
        <s v="UPI-IZHAR  AHMED  SIDDIQ-IZHARSIDDIQUI76745-1@OKICICI-UBIN0556408-330713147300-UPI" u="1"/>
        <s v="UPI-MOHAMMAD SALMAN-SALMANRYIY@OKICICI-AIRP0000001-331520294447-TABARAK SAHIL" u="1"/>
        <s v="UPI-CHHEDA DRY FRUITS-PAYTMQR281005050101QEYXZAFWN8JF@PAYTM-PYTM0123456-329744557151-UPI" u="1"/>
        <s v="UPI-SUNIL VAISYA-Q125058520@YBL-PUNB0106710-327692573576-UPI" u="1"/>
        <s v="UPI-SHARAMMA-VIKASBOUDHE571@OKICICI-AIRP0000001-328317612643-UPI" u="1"/>
        <s v="UPI-JAIN ADARSH-9833415559@OKBIZAXIS-UTIB0000000-329945023000-UPI" u="1"/>
        <s v="UPI-MOHAMMAD AYAN KHAN-9137080642@FAM-PPIW0884509-330312695368-UPI" u="1"/>
        <s v="UPI-MAMAJI-PAYTMQRMGBTPUXWCY@PAYTM-PYTM0123456-327810165875-UPI" u="1"/>
        <s v="UPI-SHARAMMA-VIKASBOUDHE571@OKICICI-AIRP0000001-330984080917-UPI" u="1"/>
        <s v="UPI-BILLDESKTEZ-BILLDESK.RECHARGE@ICICI-ICIC0DC0099-328664553099-UPI" u="1"/>
        <s v="UPI-ARBAJ JAMSHED KHAN-AKHAN257846@OKICICI-KKBK0000635-329258326088-UPI" u="1"/>
        <s v="UPI-AJAY RAMLAL KEWAT-AJAYKEWAT0986@OKHDFCBANK-BARB0CPTANK-331596949667-UPI" u="1"/>
        <s v="UPI-NATULAL SO RUPAJI PA-PATELNATHULAL282@OKSBI-UCBA0002370-327748973644-UPI" u="1"/>
        <s v="UPI-LIFE CARE HOSPITAL-LIFECAREHOSPITAL.67072874@HDFCBANK-HDFC0000001-329365680148-UPI" u="1"/>
        <s v="UPI-ADIL SHAIKH-8425885974@FAM-PPIW0884509-329818965815-UPI" u="1"/>
        <s v="UPI-IRCTC UTS-PAYTM-8727353@PAYTM-PYTM0123456-331242427183-UPI" u="1"/>
        <s v="UPI-JETHWA POTS-GPAY-11235736632@OKBIZAXIS-UTIB0000000-329885974972-PRAKASH BHAI FOR C" u="1"/>
        <s v="UPI-YESU PLASTIC-GPAY-11191419646@OKBIZAXIS-UTIB0000000-327766892765-UPI" u="1"/>
        <s v="UPI-MOHAMMAD SALIM-8791824432@IBL-UBIN0538558-327367903024-SALT AND PEPPER" u="1"/>
        <s v="UPI-KHAN JAFAR AHMED-JAFARAHMADKHAN88-3@OKHDFCBANK-ABHY0065020-331468544852-UPI" u="1"/>
        <s v="UPI-MURUGAN D-Q775514402@YBL-YESB0YBLUPI-327680088878-UPI" u="1"/>
        <s v="UPI-SADHANA CRAFT LLP  M-8898727888@OKBIZAXIS-UTIB0000000-330315160003-UPI" u="1"/>
        <s v="UPI-GANJI HARSHAL HITEND-HARSHAL.3555@OKICICI-ABHY0065013-328998983617-HARSH GANJI" u="1"/>
        <s v="UPI-RAMA  SHANKER SHARMA-RAMASHANKAR.SHARMA8080@OKHDFCBANK-PUNB0082600-328311896664-LED" u="1"/>
        <s v="UPI-SANJAYBHAI GANSHYAMB-9909383820@IBL-SBIN0060310-328858879411-UPI" u="1"/>
        <s v="UPI-SHARAMMA-VIKASBOUDHE571@OKICICI-AIRP0000001-330872894378-VIKAS ADVANCE" u="1"/>
        <s v="UPI-DHARMENDRA TULSIRAM -DHARMENDRAYADAV37534-1@OKSBI-KKBK0000627-329380047543-DEEPAK BHAI" u="1"/>
        <s v="UPI-XXXXXX4245-PUNB0682100-331251551669-SALIM BHAI MADINA" u="1"/>
        <s v="UPI-NEW VISHAL CHEMIST-PAYTMQRG2WUMIQYUZ@PAYTM-PYTM0123456-331662355503-UPI" u="1"/>
        <s v="UPI-SANTOSH ASHOK KHADE-9967385611@PAYTM-UTIB0000447-331264616933-UPI" u="1"/>
        <s v="UPI-GANJI HARSHAL HITEND-HARSHAL.3555@OKICICI-ABHY0065013-328470192916-HARSH FOR HYDROLIC" u="1"/>
        <s v="UPI-MANOJ KUMAR-Q994873405@YBL-YESB0YBLUPI-331190171036-UPI" u="1"/>
        <s v="UPI-KHALID SHAIKH-9930565343@YBL-TMBL0000233-327554809335-UPI" u="1"/>
        <s v="UPI-SAYYED SAIF ALI-7459099216@YBL-KKBK0001382-365321747057-UPI" u="1"/>
        <s v="UPI-VIVIFI INDIA FINANCE-VIVIFI@KOTAK-KKBK0000958-327349576985-UPI" u="1"/>
        <s v="UPI-SANJAY KUMAR CHAURAS-PAYTMQRIUEQX4WX9F@PAYTM-PYTM0123456-330130456313-UPI" u="1"/>
        <s v="UPI-NOORJAHAN ABDUL KADA-ZAIBUNNISAK8@IBL-AUBL0002563-328154761773-REHMAN NIGHT" u="1"/>
        <s v="UPI-DHARMENDRA TULSIRAM -DHARMENDRAYADAV37534-1@OKHDFCBANK-KKBK0000627-331389360233-DEEPAK BHAI DADAR" u="1"/>
        <s v="UPI-XXXXXX3340-UTIB0001177-327621917945-HUKUMPAL KHURJA TR" u="1"/>
        <s v="UPI-XXXXXX3340-UTIB0001177-330524529395-HUKUMPAL KHURJA TR" u="1"/>
        <s v="UPI-SHRISUNILKUMARMOHANL-Q836687016@YBL-YESB0YBLUPI-330269586125-UPI" u="1"/>
        <s v="UPI-AARIF ABDUL RAHIM SH-SAYYEDARIF011@OKICICI-KKBK0001382-330290948709-SUFIYAN NIGHT" u="1"/>
        <s v="UPI-STELLA PONSELVI-Q999914132@YBL-YESB0YBLUPI-327679812109-UPI" u="1"/>
        <s v="UPI-SHRI SIDHHI SNACKS-9930670914@OKBIZAXIS-UTIB0000000-327947739352-UPI" u="1"/>
        <s v="UPI-SARVESH KUMAR MISHRA-PAYTMQR1VQS329OZ7@PAYTM-PYTM0123456-330677013487-UPI" u="1"/>
        <s v="UPI-MOHAMMAD LATIF BASHI-LATIFSHAIKH70587-1@OKSBI-UBIN0914657-330597764257-UPI" u="1"/>
        <s v="UPI-RAJESH KARSAN ANAVAD-RAJANAVADIYA2910@OKICICI-PYTM0123456-330454339413-CHHANI RETURNS" u="1"/>
        <s v="UPI-SAYYED SAIF ALI-7459099216@YBL-KKBK0001382-330152795206-UPI" u="1"/>
        <s v="UPI-ARBAJ JAMSHED KHAN-AKHAN257846@OKICICI-KKBK0000635-330114806800-UPI" u="1"/>
        <s v="UPI-MAURYA BEAUTY STORES-GPAY-11176506793@OKBIZAXIS-UTIB0000000-327372958528-UPI" u="1"/>
        <s v="UPI-KOLIWADA KAPOLE STOR-BHARATPE09907052301@YESBANKLTD-YESB0YESUPI-331440462325-PAY TO KOLIWADA KA" u="1"/>
        <s v="UPI-KOLIWADA KAPOLE STOR-BHARATPE09907052301@YESBANKLTD-YESB0YESUPI-331669270580-PAY TO KOLIWADA KA" u="1"/>
        <s v="UPI-VIKAS STORE-Q249422682@YBL-TMBL0000233-328459656504-UPI" u="1"/>
        <s v="UPI-ARIHANT-0790635A0116600.BQR@KOTAK-KKBK0000635-328840687327-UPI" u="1"/>
        <s v="UPI-SHIVSHANKAR-PAIGHANSHIVSHANKAR007@OKICICI-MAHG0000001-327888651833-UPI" u="1"/>
        <s v="UPI-A RAMA NAYAKS UDIPI -PAYTMQRMV7Q09PVXG@PAYTM-PYTM0123456-328719259015-UPI" u="1"/>
        <s v="UPI-SAVARAM PUNAJI MEROT-PAYTMQR281005050101GK03OF2Q2G5P@PAYTM-PYTM0123456-327433366539-UPI" u="1"/>
        <s v="UPI-NEELAM JABARKUMAR MA-BHARATPE09913279250@YESBANKLTD-YESB0YESUPI-331591084100-PAY TO NEELAM JABA" u="1"/>
        <s v="UPI-AARIF ABDUL RAHIM SH-SAYYEDARIF011@OKICICI-KKBK0001382-328647270190-UPI" u="1"/>
        <s v="UPI-SHREEJI SUPER MARKET-PAYTMQR1RFZVKEYS2@PAYTM-PYTM0123456-329380150522-UPI" u="1"/>
        <s v="UPI-ADITI ASHOK PAREKH-PAREKHADITI13@OKICICI-BARB0CHANDA-331514167073-VED TRUSHA 3RD INS" u="1"/>
        <s v="UPI-PRITESH PANKAJ CHOTH-PAYTMQR2810050501011ROIJ4ZH5SLJ@PAYTM-PYTM0123456-329744400596-UPI" u="1"/>
        <s v="UPI-MYNACHIKETA KNOWLEDG-RZPVXRMYNACHIKETAKNOWLEDGEFOUNDATION@YESBANK-YESB0000022-328877256608-MYNACHIKETAKNOWLED" u="1"/>
        <s v="UPI-SHYJU  V  P-Q040373035@YBL-CNRB0000033-329379856111-UPI" u="1"/>
        <s v="UPI-NITIN KANJI VALA-SADGURUSAHEB02-1@OKSBI-SBIN0040243-327622470689-GARBA" u="1"/>
        <s v="UPI-SARVESH KUMAR MISHRA-PAYTMQR1VQS329OZ7@PAYTM-PYTM0123456-327893536833-UPI" u="1"/>
        <s v="UPI-NOORJAHAN ABDUL KADA-ZAIBUNNISAK8@IBL-AUBL0002563-327879558101-REHMAN SALARY" u="1"/>
        <s v="UPI-SHREENATH ENTERPRISE-PAYTMQR281005050101U8NDQPX9J3ZC@PAYTM-PYTM0123456-327421140071-UPI" u="1"/>
        <s v="UPI-ARBAJ JAMSHED KHAN-AKHAN257846@OKICICI-KKBK0000635-328647072768-UPI" u="1"/>
        <s v="UPI-NEW VISHAL CHEMIST-PAYTMQRG2WUMIQYUZ@PAYTM-PYTM0123456-331392445098-UPI" u="1"/>
        <s v="UPI-NARGIS JAHAN-NARGISJAHAN123123@OKICICI-UBIN0538558-330126818550-SALIM BHAI" u="1"/>
        <s v="UPI-NITIN KANJI VALA-SADGURUSAHEB02@OKICICI-SBIN0040243-328095980013-NITIN BHAI GARBA" u="1"/>
        <s v="UPI-TABASSUM NAUSHAD ANS-Q340109066@YBL-YESB0YBLUPI-328491843348-UPI" u="1"/>
        <s v="UPI-SADHANA CRAFT LLP  M-8898727888@OKBIZAXIS-UTIB0000000-330654666589-UPI" u="1"/>
        <s v="UPI-THAMOTHARAN V-PAYTMQR2810050501011DPCEWZMUU3E@PAYTM-PYTM0123456-329187452536-PAYMENT FROM PHONE" u="1"/>
        <s v="UPI-ARVIND HAKMICHAND PA-ARVINDPAREKH1122@OKICICI-KKBK0001398-328995280674-UPI" u="1"/>
        <s v="UPI-ARSH CONSTRUCTION  P-9319127785@OKBIZAXIS-UTIB0000000-328539472110-SALIM BHAI" u="1"/>
        <s v="UPI-SARVESH KUMAR MISHRA-PAYTMQR1VQS329OZ7@PAYTM-PYTM0123456-327820552573-UPI" u="1"/>
        <s v="UPI-SHAIKH NOOR BANU  MO-NOORSHAIKH8097-1@OKAXIS-CNRB0000033-327428643991-UMAR" u="1"/>
        <s v="UPI-ARVIND HAKMICHAND PA-ARVINDPAREKH1122-1@OKSBI-KKBK0001398-328492244221-GUJRAT GARBA DELIV" u="1"/>
        <s v="UPI-VIKAS STORE-Q249422682@YBL-TMBL0000233-328266201256-UPI" u="1"/>
        <s v="UPI-PRIYADARSHANI C KOPA-RANIKOPADE12@OKHDFCBANK-ICIC0000323-328536036387-UPI" u="1"/>
        <s v="UPI-VIKAS STORE-Q249422682@YBL-TMBL0000233-328266282599-UPI" u="1"/>
        <s v="UPI-NOORJAHAN ABDUL KADA-ZAIBUNNISAK8@IBL-AUBL0002563-327297905523-UPI" u="1"/>
        <s v="UPI-NITIN KANJI VALA-SADGURUSAHEB02-1@OKSBI-SBIN0040243-329886392477-NITIN" u="1"/>
        <s v="UPI-AMRAPALI KITCHEN-SNEHALT1974-2@OKSBI-SBIN0040243-328687336224-UPI" u="1"/>
        <s v="UPI-CHANDRASHEKHAR-CHANDRSHAKER644@OKSBI-IPOS0000001-330282977216-UPI" u="1"/>
        <s v="UPI-MAWALI BHAI DOSA-9869001827@OKBIZAXIS-UTIB0000000-327820295096-UPI" u="1"/>
        <s v="UPI-NITESH ASHOK RANAVAT-9833622560@PAYTM-SBIN0020634-331068579107-UPI" u="1"/>
        <s v="UPI-GANJI HARSHAL HITEND-HARSHAL.3555@OKICICI-ABHY0065013-327364879847-UPI" u="1"/>
        <s v="UPI-IMITYAZ MODH SAID QU-IMTIYAZQURESHI784@OKICICI-UBIN0541303-328664786678-UPI" u="1"/>
        <s v="UPI-MR DHARMESH BHUPATRA-DHARMESH.JANI106@OKICICI-IDIB000M049-327891517251-CASH" u="1"/>
        <s v="UPI-DHARMENDRA TULSIRAM -DHARMENDRAYADAV37534-1@OKSBI-KKBK0000627-327694815866-DEPAK BHAI" u="1"/>
        <s v="UPI-XXXXXX3340-UTIB0001177-331061308261-UPI" u="1"/>
        <s v="UPI-KMLESH RAJ BHAR-Q745111365@YBL-UBIN0547581-330130484895-UPI" u="1"/>
        <s v="UPI-MOHAMMAD SALMAN-SALMANRYIY@OKICICI-AIRP0000001-330778993312-UPI" u="1"/>
        <s v="UPI-SUPER STATIONERY   X-9930688656@AXL-BARB0DBMATU-328330465867-UPI" u="1"/>
        <s v="UPI-GOOGLE INDIA DIGITAL-GPAYBILLPAY.RCHG2@AXISBANK-UTIB0000553-328871461791-UPI" u="1"/>
        <s v="UPI-KRISHNAKUMAR PRAMOD -BHARATPE.90060076199@FBPE-FDRL0001382-328266986737-PAY TO BHARATPE ME" u="1"/>
        <s v="UPI-CHEMIST-9892144974@OKBIZAXIS-UTIB0000000-330534843047-UPI" u="1"/>
        <s v="UPI-VODAFONE IDEA LIMITE-VIPOSVF@HSBC-HSBC0400002-331379581572-UPI" u="1"/>
        <s v="UPI-CHANDRASHEKHAR-CHANDRSHAKER644@OKSBI-IPOS0000001-330921179204-UPI" u="1"/>
        <s v="UPI-ADIL ABDUL SHARIF SH-8291069123@KOTAK-KKBK0000811-330290938525-UPI" u="1"/>
        <s v="UPI-KIRAN DILIP BHARADWA-JHALAK1717@OKICICI-BARB0CHARKO-329243256586-GARBA NA UDHAR PAI" u="1"/>
        <s v="UPI-SHRI SIDHHI SNACKS-9930670914@OKBIZAXIS-UTIB0000000-328313860588-UPI" u="1"/>
        <s v="UPI-SAYYED SAIF ALI-7459099216@YBL-KKBK0001382-330873618468-RAHIL REHAN SUFIYA" u="1"/>
        <s v="UPI-MRS TARUNA VIMAL BHA-BHANUSHALITARUNA3-1@OKICICI-IDIB000D049-327558172451-UPI" u="1"/>
      </sharedItems>
    </cacheField>
    <cacheField name="Description" numFmtId="0">
      <sharedItems count="279">
        <s v="AARIF ABDUL RAHIM SH-SAYY---7118026-THUM UP"/>
        <s v="NOORJAHAN ABDUL KADA-ZAIB---27297905523-UPI"/>
        <s v="NEW VISHAL CHEMIST-PAYTMQ---27243983147-UPI"/>
        <s v="ROBINSON  NADAR-Q61230229---27348939551-UPI"/>
        <s v="VIVIFI INDIA FINANCE-VIVI---27349576985-UPI"/>
        <s v="GANJI HARSHAL HITEND-HARS---27364879847-UPI"/>
        <s v="MOHAMMAD SALIM-8791824432---SALT AND PEPPER"/>
        <s v="MAURYA BEAUTY STORES-GPAY---27372958528-UPI"/>
        <s v="AKLESH-AKLESHKUMARSAKLESH---27412767992-UPI"/>
        <s v="PRASHANT KUMAR PAREK-PRAS---TICAL BOARD CUP"/>
        <s v="SHREENATH ENTERPRISE-PAYT---27421140071-UPI"/>
        <s v="SHAIKH NOOR BANU  MO-NOOR---7428618659-UMAR"/>
        <s v="SHAIKH NOOR BANU  MO-NOOR---7428643991-UMAR"/>
        <s v="AARIF ABDUL RAHIM SH-SAYY---85-SAMEER DANGO"/>
        <s v="SAVARAM PUNAJI MEROT-PAYT---27433366539-UPI"/>
        <s v="SHIPRASAD GUPTA-GPAY-1120---27433576077-UPI"/>
        <s v="MAHAVIR SANDWICH-GPAY-112---27433775885-UPI"/>
        <s v="AMAR AUTOMOBILES-PAYTMQR2---27434008221-UPI"/>
        <s v="MOHMMAD DANISH-6398977034---03-CERAMIC DIYA"/>
        <s v="KHALID SHAIKH-9930565343@---27554809335-UPI"/>
        <s v="NATULAL SO RUPAJI PA-PATE---27555160381-UPI"/>
        <s v="MRS TARUNA VIMAL BHA-BHAN---27558172451-UPI"/>
        <s v="STELLA PONSELVI-Q99991413---27679812109-UPI"/>
        <s v="MURUGAN D-Q775514402@YBL----27680088878-UPI"/>
        <s v="MOHAMMAD SALIM-8791824432---IM BHAI SALT AN"/>
        <s v="SUNIL VAISYA-Q125058520@Y---27692573576-UPI"/>
        <s v="DHARMENDRA TULSIRAM -DHAR---5866-DEPAK BHAI"/>
        <s v="ME DC SI 514834XXXXXX0214---14 GOOGLEWORKSP"/>
        <s v="THAMOTHARAN V-PAYTMQR2810---27615133559-UPI"/>
        <s v="VIKAS STORE-Q249422682@YB---27615620066-UPI"/>
        <s v="XXXXXX3340-UTIB0001177-32---UMPAL KHURJA TR"/>
        <s v="NITIN KANJI VALA-SADGURUS---622470689-GARBA"/>
        <s v="KHALID SHAIKH-9930565343@---27622553746-UPI"/>
        <s v="AMAR AUTOMOBILES-PAYTMQR2---27626109501-UPI"/>
        <s v="IMPS-327712319193-NAROTTA---9-HEENA TANK HL"/>
        <s v="NATULAL SO RUPAJI PA-PATE---27748973644-UPI"/>
        <s v="YESU PLASTIC-GPAY-1119141---27766892765-UPI"/>
        <s v="IMPS-327810389138-RAJA RA---AKA MATALA BILL"/>
        <s v="NOORJAHAN ABDUL KADA-ZAIB---1-REHMAN SALARY"/>
        <s v="SHIVSHANKAR-PAIGHANSHIVSH---27888651833-UPI"/>
        <s v="MR DHARMESH BHUPATRA-DHAR---7891517251-CASH"/>
        <s v="SARVESH KUMAR MISHRA-PAYT---27893536833-UPI"/>
        <s v="MAMAJI-PAYTMQRMGBTPUXWCY@---27810013260-UPI"/>
        <s v="MAMAJI-PAYTMQRMGBTPUXWCY@---27810165875-UPI"/>
        <s v="SHARAMMA-VIKASBOUDHE571@O---27815840599-UPI"/>
        <s v="FARIDA BANO MOHD AKA-SEYY---6741-SAMEER SAL"/>
        <s v="BHEEM SINGH RAJPUT-BHIMSI---27819767865-UPI"/>
        <s v="MAWALI BHAI DOSA-98690018---27820295096-UPI"/>
        <s v="SARVESH KUMAR MISHRA-PAYT---27820552573-UPI"/>
        <s v="AKLESH-AKLESHKUMARSAKLESH---27944384737-BOX"/>
        <s v="SHRI SIDHHI SNACKS-993067---27947739352-UPI"/>
        <s v="PRASHANT KUMAR PAREK-PRAS---28074724752-UPI"/>
        <s v="MOHAMMAD ASIF-KHANASIF727---ALIM BHAI MADIN"/>
        <s v="NITIN KANJI VALA-SADGURUS---ITIN BHAI GARBA"/>
        <s v="SHAIKH AHMED RAHAMAT-Q263---28010822303-UPI"/>
        <s v="VINOD PRANLAL VORA-PAYTMQ---OD PRANLAL VORA"/>
        <s v="NOORJAHAN ABDUL KADA-ZAIB---73-REHMAN NIGHT"/>
        <s v="SHRISUNILKUMARMOHANL-Q836---28155354057-UPI"/>
        <s v="VIKAS STORE-Q249422682@YB---28266201256-UPI"/>
        <s v="VIKAS STORE-Q249422682@YB---28266282599-UPI"/>
        <s v="MATHESHWAR BALACHAND-BALA---28266485949-UPI"/>
        <s v="KRISHNAKUMAR PRAMOD -BHAR--- TO BHARATPE ME"/>
        <s v="BAGZA SHEERIN BILAL -BAGZ---66631-MOIN BHAI"/>
        <s v="RAMA  SHANKER SHARMA-RAMA---28311896664-LED"/>
        <s v="SHRI SIDHHI SNACKS-993067---28313703833-UPI"/>
        <s v="SHRI SIDHHI SNACKS-993067---28313860588-UPI"/>
        <s v="SHARAMMA-VIKASBOUDHE571@O---28317612643-UPI"/>
        <s v="NWD-514834XXXXXX0214-YMN8----YMN8003-MUMBAI"/>
        <s v="SUPER STATIONERY   X-9930---28330465867-UPI"/>
        <s v="ROYAL MEDICAL AND GE-PAYT---28339140947-UPI"/>
        <s v="HARISH VIJAY TETGURE-Q721---28339958265-UPI"/>
        <s v="BINDIYA-PAYTMQRS7V52KW7O7---28346250241-UPI"/>
        <s v="VIKAS STORE-Q249422682@YB---28459656504-UPI"/>
        <s v="GANJI HARSHAL HITEND-HARS---SH FOR HYDROLIC"/>
        <s v="RAJESH VISANJI  SAVL-RAJU---28482755642-UPI"/>
        <s v="MH TRAFFIC POLICE-HSBIMOP---28490135190-UPI"/>
        <s v="TABASSUM NAUSHAD ANS-Q340---28491843348-UPI"/>
        <s v="RAMJANAM SHANKAR GUP-Q204---28492169396-UPI"/>
        <s v="ASHOK D VORA-Q831701224@Y---28492211393-UPI"/>
        <s v="ARVIND HAKMICHAND PA-ARVI---RAT GARBA DELIV"/>
        <s v="MRS HIRAL CHETAN MER-GETH---514954699-GARBA"/>
        <s v="HUKAM PAL SINGH-975935289---UMPAL KHURJA TR"/>
        <s v="UMRA KHAN-8439090455@PAYT---LIM BHAI KHURJA"/>
        <s v="PRIYADARSHANI C KOPA-RANI---28536036387-UPI"/>
        <s v="ARSH CONSTRUCTION  P-9319---2110-SALIM BHAI"/>
        <s v="ARSH CONSTRUCTION  P-9319---IM BHAI  KHURJA"/>
        <s v="IMRAN AHMAD IMAM UDD-PAYT---28544143080-UPI"/>
        <s v="ARBAJ JAMSHED KHAN-AKHAN2---28647072768-UPI"/>
        <s v="ARBAJ JAMSHED KHAN-AKHAN2---AZ ISAHAD NIGHT"/>
        <s v="ARBAJ JAMSHED KHAN-AKHAN2---EER AYAN TABARA"/>
        <s v="AARIF ABDUL RAHIM SH-SAYY---28647270190-UPI"/>
        <s v=".IMPS P2P 326316151327#20---DT2328619412402"/>
        <s v="BILLDESKTEZ-BILLDESK.RECH---28664553099-UPI"/>
        <s v="IMITYAZ MODH SAID QU-IMTI---28664786678-UPI"/>
        <s v="MANISHA VISHAL BHOGA-9867---UPATI TRANSPORT"/>
        <s v="P AYYASAMY SHASHI  A-PAYT---28674695120-UPI"/>
        <s v="AMRAPALI KITCHEN-SNEHALT1---28687336224-UPI"/>
        <s v="KURBAN   ALI-Q073429199@Y---28687790076-UPI"/>
        <s v="MOHAMMAD SALMAN-SALMANRYI---MAN DANISH SOHA"/>
        <s v="SANJAYBHAI GANSHYAMB-9909---JAY BHAI CHOTIL"/>
        <s v="SAYYED SAIF ALI-745909921---65321747057-UPI"/>
        <s v="A RAMA NAYAKS UDIPI -PAYT---28719259015-UPI"/>
        <s v="INDIAN OIL PETROL PU-Q844---28730937751-UPI"/>
        <s v="PARESH MARU-PMARU84@OKHDF---8732245052-FINE"/>
        <s v="GIRI MATUNGA-PAYTMQR1Q773---28840151181-UPI"/>
        <s v="ARIHANT-0790635A0116600.B---28840687327-UPI"/>
        <s v="JAISWAL CHIKKI-GPAY-11194---28842605419-UPI"/>
        <s v="SANJAYBHAI GANSHYAMB-9909---28858879411-UPI"/>
        <s v="GOOGLE INDIA DIGITAL-GPAY---28871461791-UPI"/>
        <s v="MYNACHIKETA KNOWLEDG-RZPV---ACHIKETAKNOWLED"/>
        <s v="SANJAY VITTAL BHAGAT-Q941---28993764867-UPI"/>
        <s v="SHYAMBAHADUR SINGH-805242---28993909089-UPI"/>
        <s v="ARVIND HAKMICHAND PA-ARVI---28995280674-UPI"/>
        <s v="GANJI HARSHAL HITEND-HARS---617-HARSH GANJI"/>
        <s v="SHAISTA SAJID QADRI-IBRAH---ID BHAI METRO F"/>
        <s v="05011610165174-TPT-CASH-D---MESH DEVJI MARU"/>
        <s v="MOHMMAD DANISH-6398977034---ISH CERAMIC DIY"/>
        <s v="SHAHIN-SALIMKHAN29031@OKI---IM BHAI ADVANCE"/>
        <s v="THAMOTHARAN V-PAYTMQR2810---MENT FROM PHONE"/>
        <s v="MAHENDRAKUMAR SAHEBL-MP97---29185239374-UPI"/>
        <s v="SHREE HARDEV EARTHAN-MANO---29191221949-UPI"/>
        <s v="MOHD OWAIS-OWAISALI9520@O---3830-OWAIS BHAI"/>
        <s v="HINDAUTOMOBILES-OMBK.AACK---29111132541-UPI"/>
        <s v="KIRAN DILIP BHARADWA-JHAL---BA NA UDHAR PAI"/>
        <s v="ARBAJ JAMSHED KHAN-AKHAN2---29258326088-UPI"/>
        <s v="CHIDURALA SHREENIVAS-Q701---29262013709-UPI"/>
        <s v="LIFE CARE HOSPITAL-LIFECA---29365680148-UPI"/>
        <s v="NARGIS JAHAN-NARGISJAHAN1---MENT FROM PHONE"/>
        <s v="MANOJ RAJNARAYANRAM-BHARA--- TO BHARATPE ME"/>
        <s v="MATUNGA-SHIVASMATUNGA@ICI---29379300736-UPI"/>
        <s v="SHYJU  V  P-Q040373035@YB---29379856111-UPI"/>
        <s v="DHARMENDRA TULSIRAM -DHAR---543-DEEPAK BHAI"/>
        <s v="SHREEJI SUPER MARKET-PAYT---29380150522-UPI"/>
        <s v="IMPS-329317349582-HARESH ---A RENT OCT 2023"/>
        <s v="HARESH  RAMJI TANK-HARESH---833-HARESH TANK"/>
        <s v="FAROOQUI JUNAID AHME-FARU---CHAN BHABHI REP"/>
        <s v="FAROOQUI JUNAID AHME-FARU---MENT FROM PHONE"/>
        <s v="LA PINOZ PIZZA-PAYTMQR5T8---29312893769-UPI"/>
        <s v="SHAHIN-SALIMKHAN29031@OKI---4794-SALIM BHAI"/>
        <s v="MOHAMMAD SALIM-8791824432---1610-SALIM BHAI"/>
        <s v="CHIDURALA SHREENIVAS-Q701---29451983506-UPI"/>
        <s v="BAGZA SHEERIN BILAL -BAGZ---97286-MOIN BHAI"/>
        <s v="XXXXXX3340-UTIB0001177-32---29568006348-UPI"/>
        <s v="MANSUKHLAL RAYSHI ME-PAYT---29568501847-UPI"/>
        <s v="DMART READY-DMARTREADY.42---MENT FROM PHONE"/>
        <s v="NEHA FLOWER STALL-9075677---29617213045-UPI"/>
        <s v="CHANDRASHEKHAR-CHANDRSHAK---29634266763-UPI"/>
        <s v="PRITESH PANKAJ CHOTH-PAYT---29744400596-UPI"/>
        <s v="CHHEDA DRY FRUITS-PAYTMQR---29744557151-UPI"/>
        <s v="MATUNGAAUTOSERVICE-OMBK.A---29759048960-UPI"/>
        <s v="VI-VI586.RZP@ICICI-ICIC0D---29762251425-UPI"/>
        <s v="ANSHUL GOYAL-8881115999@A---872-SOMANY 6PCS"/>
        <s v="ANSHUL GOYAL-8881115999@A---277-SOMANY 6PCS"/>
        <s v="MOHAMMAD SALMAN-SALMANRYI---16-SALMAN NIGHT"/>
        <s v="JETHWA POTS-GPAY-11235736---KASH BHAI FOR C"/>
        <s v="JETHWA POTS-7738846057@OK---29886086498-UPI"/>
        <s v="NITIN KANJI VALA-SADGURUS---886392477-NITIN"/>
        <s v="NARGIS JAHAN-NARGISJAHAN1---IM BHAI FOR SOM"/>
        <s v="CHOUDHARY PRADEEP VA-PC57---29892182881-UPI"/>
        <s v="UBER INDIA SYSTEMS P-UBER---045618-UBERRIDE"/>
        <s v="UBER INDIA SYSTEMS P-UBER---258801-UBERRIDE"/>
        <s v="CHANDRASHEKHAR-CHANDRSHAK---29816963083-UPI"/>
        <s v="ADIL SHAIKH-8425885974@FA---29818965815-UPI"/>
        <s v="NAVNIRMAN GROUPS-PAYTMQRY---29944850455-UPI"/>
        <s v="JAIN ADARSH-9833415559@OK---29945023000-UPI"/>
        <s v="CHEMIST-9892144974@OKBIZA---33391-MEDICINES"/>
        <s v="ABDUL REHMAN ABDUL K-7738---MENT FROM PHONE"/>
        <s v="MAMAJI-PAYTMQRMGBTPUXWCY@---29953522678-UPI"/>
        <s v="CHIDURALA SHREENIVAS-Q701---610512-MEDICINE"/>
        <s v="IMPS-330009310067-RAJA RA---RAJUKAKA MATALA"/>
        <s v="CBDT/BANK REFERENCE NO:K2---9119HDFC/ONLINE"/>
        <s v="MR UMESH RAJUBHAI VA-UMES---30081163276-UPI"/>
        <s v="RIYAZUDDIN  -PAYTMQR28100---30082742787-UPI"/>
        <s v="DEVI NATH YOGI-BHARATPE09--- TO DEVI NATH Y"/>
        <s v="DEVI NATH YOGI-BHARATPE09---30013476329-UPI"/>
        <s v="ARBAJ JAMSHED KHAN-AKHAN2---30114806800-UPI"/>
        <s v="MOHAMMAD SALMAN-SALMANRYI---30115155285-UPI"/>
        <s v="NARGIS JAHAN-NARGISJAHAN1---8550-SALIM BHAI"/>
        <s v="SANJAY KUMAR CHAURAS-PAYT---30130456313-UPI"/>
        <s v="KMLESH RAJ BHAR-Q74511136---30130484895-UPI"/>
        <s v="SHREEJI SUPER MARKET-PAYT---30147333508-UPI"/>
        <s v="MR SHAIKH SAMEER SAL-SAME---30152755092-UPI"/>
        <s v="SAYYED SAIF ALI-745909921---30152795206-UPI"/>
        <s v="SHRISUNILKUMARMOHANL-Q836---30269586125-UPI"/>
        <s v="SAYYED SAIF ALI-745909921---30275514997-UPI"/>
        <s v="CHANDRASHEKHAR-CHANDRSHAK---30282977216-UPI"/>
        <s v="ADD MONEY TO WALLET-ADD-M---202310292042300"/>
        <s v="ADIL ABDUL SHARIF SH-8291---30290938525-UPI"/>
        <s v="MRS HAZRA RIYAZ SHAI-SAMI---30290944271-UPI"/>
        <s v="AARIF ABDUL RAHIM SH-SAYY---9-SUFIYAN NIGHT"/>
        <s v="MOHAMMAD AYAN KHAN-913708---30312695368-UPI"/>
        <s v="SADHANA CRAFT LLP  M-8898---30315160003-UPI"/>
        <s v="SADHANA CRAFT LLP  M-8898---30315253623-UPI"/>
        <s v="MAHESH MANIKAVASAGAM-MAHE---0323492622-GONI"/>
        <s v="CREDCLUB-CREDCLUB@ICICI-I---0326331640-CRED"/>
        <s v=".IMPS P2P 327712319193#04---DT2328619412402"/>
        <s v=".IMPS P2P 327810389138#05---DT2328619412402"/>
        <s v="AMRIN-7668574540@IBL-HDFC---78824876-SOHAIL"/>
        <s v="AMRIN-7668574540@IBL-HDFC---MENT FROM PHONE"/>
        <s v="RAJESH KARSAN ANAVAD-RAJA----CHHANI RETURNS"/>
        <s v="ARBAJ JAMSHED KHAN-AKHAN2---455123446-NIGHT"/>
        <s v="JETHVA NARESH MANSUK-NJET----ARUN TO NARESH"/>
        <s v="IMPS-330421395295-NARESH --- TO NARESH BACK"/>
        <s v="MOHAMMAD LATIF BASHI-LATI---30597764257-UPI"/>
        <s v="XXXXXX3340-UTIB0001177-33---UMPAL KHURJA TR"/>
        <s v="IMPS-330521327570-NARESH ---O NARESH RETURN"/>
        <s v="CHEMIST-9892144974@OKBIZA---30534843047-UPI"/>
        <s v="UMESH KUMAR YADAV-GPAY-11---MENT FROM PHONE"/>
        <s v="SADHANA CRAFT LLP  M-8898---30654666589-UPI"/>
        <s v="AMAR AUTOMOBILES-PAYTMQR2---30656960813-UPI"/>
        <s v="YASH ART-KAVITA18481@OKIC---30658554193-UPI"/>
        <s v="IMPS-330617375423-NAROTTA---XXXXXX9429-CASH"/>
        <s v="NAYAKS SWEETS AND SN-PAYT---30666725656-UPI"/>
        <s v="MAMAJI-PAYTMQRMGBTPUXWCY@---30666979417-UPI"/>
        <s v="SANTOSH SONI-SANTOSHSONI8---30676794994-UPI"/>
        <s v="SARVESH KUMAR MISHRA-PAYT---30677013487-UPI"/>
        <s v="MOHAMMAD SALMAN-SALMANRYI---30778993312-UPI"/>
        <s v="SUNITA CHOUHAN POTTE-RC21---293868-T9 GLASS"/>
        <s v="ASHOK D VORA-Q831701224@Y---30790894641-UPI"/>
        <s v="AKASH KAMLESH KAKKAR-AKAS---30799514856-UPI"/>
        <s v="IZHAR  AHMED  SIDDIQ-IZHA---30713147300-UPI"/>
        <s v="IZHAR  AHMED  SIDDIQ-IZHA---30713291565-UPI"/>
        <s v="SHRISUNILKUMARMOHANL-Q951---30843063678-UPI"/>
        <s v="HARENDRA KUMAR  DUBE-HKDU---30845783469-UPI"/>
        <s v="IMPS-330813372542-DHARMES---XX7507-DHARMESH"/>
        <s v="VINAY DEVACHAND MALD-VINA---CS MATAKI RETUR"/>
        <s v="SHARAMMA-VIKASBOUDHE571@O---8-VIKAS ADVANCE"/>
        <s v="SAYYED SAIF ALI-745909921---5913-SAIF NIGHT"/>
        <s v="SAYYED SAIF ALI-745909921---IL REHAN SUFIYA"/>
        <s v="SHARAMMA-VIKASBOUDHE571@O---30984080917-UPI"/>
        <s v="IMPS-330914306491-DHARMES---XX7507-YAG HDFC"/>
        <s v="CHANDRASHEKHAR-CHANDRSHAK---30921179204-UPI"/>
        <s v="HEALTH DOSA POINT-BHARATP--- TO HEALTH DOSA"/>
        <s v="SARVESH KUMAR MISHRA-PAYT---044732945-LUNCH"/>
        <s v="IMPS-331017374339-DILIP M---X8552-DILIP INT"/>
        <s v="IMPS-331017395348-DHARMES---XXXXXX7507-CASH"/>
        <s v="VIDHI CREATION-JAYU.MEWAD---511-MAHARAJ INT"/>
        <s v="XXXXXX3340-UTIB0001177-33---31061308261-UPI"/>
        <s v="NITESH ASHOK RANAVAT-9833---31068579107-UPI"/>
        <s v=".IMPS P2P 329317349582#20---DT2331020141444"/>
        <s v="MANOJ KUMAR-Q994873405@YB---31190171036-UPI"/>
        <s v="SHARAMMA-VIKASBOUDHE571@O---63-VIKAS SALARY"/>
        <s v="NEW VISHAL CHEMIST-PAYTMQ---31116244303-UPI"/>
        <s v="IRCTC UTS-PAYTM-8727353@P---31242427183-UPI"/>
        <s v="XXXXXX4245-PUNB0682100-33---LIM BHAI MADINA"/>
        <s v="50100135989797-TPT-CASH-S---L DHARMESH MARU"/>
        <s v="MOHAMMAD SALMAN-SALMANRYI---MAN DANISH ARBA"/>
        <s v="SANTOSH ASHOK KHADE-99673---31264616933-UPI"/>
        <s v="VODAFONE IDEA LIMITE-VIPO---31379581572-UPI"/>
        <s v="50100135989797-TPT-OWAIS ---L DHARMESH MARU"/>
        <s v="DHARMENDRA TULSIRAM -DHAR---EPAK BHAI DADAR"/>
        <s v="NEW VISHAL CHEMIST-PAYTMQ---31392445098-UPI"/>
        <s v="BHAVANA JAYANTI CHIT-JAYA---69-JAYANTI BHAI"/>
        <s v="MOHAMMAD SALMAN-SALMANRYI---AIL SAHIL TABAR"/>
        <s v="CHIDURALA SHREENIVAS-Q701---31321646373-UPI"/>
        <s v="SHAIKH YUNUS SALIM-SHAIKH---31322063500-UPI"/>
        <s v="ROYAL CHEMIST-PAYTMQR2810---31322394993-UPI"/>
        <s v="KOLIWADA KAPOLE STOR-BHAR--- TO KOLIWADA KA"/>
        <s v="LOREX SALON AND ACAD-PAYT---468461121-LOREX"/>
        <s v="KHAN JAFAR AHMED-JAFARAHM---31468544852-UPI"/>
        <s v="FAIZAN A FAROOQUI-PAYTMQR---31470770523-UPI"/>
        <s v="50100135989797-TPT-WARIS ---L DHARMESH MARU"/>
        <s v="NEELAM JABARKUMAR MA-BHAR--- TO NEELAM JABA"/>
        <s v="SHREE GANESH CHUNARI-GPAY---31593424591-UPI"/>
        <s v="SHRI VINDRAVAN BHUVA-Q281---31595854596-UPI"/>
        <s v="HELLY CREATIONS HELL-7021---31596666776-UPI"/>
        <s v="AJAY RAMLAL KEWAT-AJAYKEW---31596949667-UPI"/>
        <s v="SHAMSUDDIN MOHAMMED -PAYT---31597883065-UPI"/>
        <s v="ADITI ASHOK PAREKH-PAREKH--- TRUSHA 3RD INS"/>
        <s v="POONAM MANOJ BHAI JE-POON---D TRUSHA TUTION"/>
        <s v="MOHAMMAD SALMAN-SALMANRYI---7-TABARAK SAHIL"/>
        <s v="JAYESH KHIMJI JETHWA-JJET---CTRIC CHILD ROO"/>
        <s v="AKASH RAM RATHOD-AKASHRAT---31650299082-UPI"/>
        <s v="DAUDAYAL S AGARWAL-PAYTMQ---31652619069-UPI"/>
        <s v="DAUDAYAL S AGARWAL-PAYTMQ---31652630933-UPI"/>
        <s v="KHALID SHAIKH-9930565343@---661496160-SADRA"/>
        <s v="NEW VISHAL CHEMIST-PAYTMQ---31662355503-UPI"/>
        <s v="KHALID SHAIKH-9930565343@---31662994768-UPI"/>
        <s v="ASHOK D VORA-Q831701224@Y---31666653687-UPI"/>
      </sharedItems>
    </cacheField>
    <cacheField name="Withdrawal Amt." numFmtId="0">
      <sharedItems containsSemiMixedTypes="0" containsString="0" containsNumber="1" minValue="5.9" maxValue="175000"/>
    </cacheField>
    <cacheField name="Type" numFmtId="0">
      <sharedItems count="14">
        <s v="Home"/>
        <s v="EMI"/>
        <s v="Vendor"/>
        <s v="salary"/>
        <s v="shop"/>
        <s v="work"/>
        <s v="Transport"/>
        <s v="Garba"/>
        <s v="Moin bhai"/>
        <s v="porter"/>
        <s v="rent"/>
        <s v="Tax"/>
        <s v="Loan"/>
        <s v="custome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n v="110"/>
    <x v="0"/>
  </r>
  <r>
    <x v="0"/>
    <x v="1"/>
    <x v="1"/>
    <n v="1500"/>
    <x v="0"/>
  </r>
  <r>
    <x v="0"/>
    <x v="2"/>
    <x v="2"/>
    <n v="50"/>
    <x v="0"/>
  </r>
  <r>
    <x v="1"/>
    <x v="3"/>
    <x v="3"/>
    <n v="190"/>
    <x v="0"/>
  </r>
  <r>
    <x v="1"/>
    <x v="4"/>
    <x v="4"/>
    <n v="4224"/>
    <x v="1"/>
  </r>
  <r>
    <x v="1"/>
    <x v="5"/>
    <x v="5"/>
    <n v="5000"/>
    <x v="2"/>
  </r>
  <r>
    <x v="1"/>
    <x v="6"/>
    <x v="6"/>
    <n v="3000"/>
    <x v="2"/>
  </r>
  <r>
    <x v="1"/>
    <x v="7"/>
    <x v="7"/>
    <n v="200"/>
    <x v="0"/>
  </r>
  <r>
    <x v="2"/>
    <x v="8"/>
    <x v="8"/>
    <n v="1350"/>
    <x v="0"/>
  </r>
  <r>
    <x v="2"/>
    <x v="9"/>
    <x v="9"/>
    <n v="1400"/>
    <x v="2"/>
  </r>
  <r>
    <x v="2"/>
    <x v="10"/>
    <x v="10"/>
    <n v="280"/>
    <x v="0"/>
  </r>
  <r>
    <x v="2"/>
    <x v="11"/>
    <x v="11"/>
    <n v="2000"/>
    <x v="3"/>
  </r>
  <r>
    <x v="2"/>
    <x v="12"/>
    <x v="12"/>
    <n v="1000"/>
    <x v="3"/>
  </r>
  <r>
    <x v="2"/>
    <x v="13"/>
    <x v="13"/>
    <n v="1000"/>
    <x v="3"/>
  </r>
  <r>
    <x v="2"/>
    <x v="14"/>
    <x v="14"/>
    <n v="110"/>
    <x v="0"/>
  </r>
  <r>
    <x v="2"/>
    <x v="15"/>
    <x v="15"/>
    <n v="40"/>
    <x v="0"/>
  </r>
  <r>
    <x v="2"/>
    <x v="16"/>
    <x v="16"/>
    <n v="80"/>
    <x v="0"/>
  </r>
  <r>
    <x v="2"/>
    <x v="17"/>
    <x v="17"/>
    <n v="200"/>
    <x v="0"/>
  </r>
  <r>
    <x v="3"/>
    <x v="18"/>
    <x v="18"/>
    <n v="20000"/>
    <x v="2"/>
  </r>
  <r>
    <x v="3"/>
    <x v="19"/>
    <x v="19"/>
    <n v="10000"/>
    <x v="2"/>
  </r>
  <r>
    <x v="3"/>
    <x v="20"/>
    <x v="20"/>
    <n v="125"/>
    <x v="2"/>
  </r>
  <r>
    <x v="3"/>
    <x v="21"/>
    <x v="21"/>
    <n v="2100"/>
    <x v="4"/>
  </r>
  <r>
    <x v="4"/>
    <x v="22"/>
    <x v="22"/>
    <n v="70"/>
    <x v="0"/>
  </r>
  <r>
    <x v="4"/>
    <x v="23"/>
    <x v="23"/>
    <n v="118"/>
    <x v="0"/>
  </r>
  <r>
    <x v="4"/>
    <x v="24"/>
    <x v="24"/>
    <n v="10000"/>
    <x v="2"/>
  </r>
  <r>
    <x v="4"/>
    <x v="25"/>
    <x v="25"/>
    <n v="300"/>
    <x v="0"/>
  </r>
  <r>
    <x v="4"/>
    <x v="26"/>
    <x v="26"/>
    <n v="14182"/>
    <x v="2"/>
  </r>
  <r>
    <x v="4"/>
    <x v="27"/>
    <x v="27"/>
    <n v="247.8"/>
    <x v="5"/>
  </r>
  <r>
    <x v="4"/>
    <x v="28"/>
    <x v="28"/>
    <n v="150"/>
    <x v="2"/>
  </r>
  <r>
    <x v="4"/>
    <x v="29"/>
    <x v="29"/>
    <n v="550"/>
    <x v="2"/>
  </r>
  <r>
    <x v="4"/>
    <x v="30"/>
    <x v="30"/>
    <n v="20000"/>
    <x v="6"/>
  </r>
  <r>
    <x v="4"/>
    <x v="31"/>
    <x v="31"/>
    <n v="3700"/>
    <x v="7"/>
  </r>
  <r>
    <x v="4"/>
    <x v="32"/>
    <x v="32"/>
    <n v="700"/>
    <x v="2"/>
  </r>
  <r>
    <x v="4"/>
    <x v="33"/>
    <x v="33"/>
    <n v="200"/>
    <x v="0"/>
  </r>
  <r>
    <x v="5"/>
    <x v="34"/>
    <x v="34"/>
    <n v="37000"/>
    <x v="1"/>
  </r>
  <r>
    <x v="5"/>
    <x v="35"/>
    <x v="35"/>
    <n v="500"/>
    <x v="2"/>
  </r>
  <r>
    <x v="5"/>
    <x v="36"/>
    <x v="36"/>
    <n v="35"/>
    <x v="2"/>
  </r>
  <r>
    <x v="6"/>
    <x v="37"/>
    <x v="37"/>
    <n v="10000"/>
    <x v="2"/>
  </r>
  <r>
    <x v="6"/>
    <x v="38"/>
    <x v="38"/>
    <n v="8000"/>
    <x v="3"/>
  </r>
  <r>
    <x v="6"/>
    <x v="39"/>
    <x v="39"/>
    <n v="212"/>
    <x v="0"/>
  </r>
  <r>
    <x v="6"/>
    <x v="40"/>
    <x v="40"/>
    <n v="3000"/>
    <x v="2"/>
  </r>
  <r>
    <x v="6"/>
    <x v="41"/>
    <x v="41"/>
    <n v="50"/>
    <x v="0"/>
  </r>
  <r>
    <x v="6"/>
    <x v="42"/>
    <x v="42"/>
    <n v="240"/>
    <x v="0"/>
  </r>
  <r>
    <x v="6"/>
    <x v="43"/>
    <x v="43"/>
    <n v="60"/>
    <x v="0"/>
  </r>
  <r>
    <x v="6"/>
    <x v="44"/>
    <x v="44"/>
    <n v="400"/>
    <x v="3"/>
  </r>
  <r>
    <x v="6"/>
    <x v="45"/>
    <x v="45"/>
    <n v="2500"/>
    <x v="3"/>
  </r>
  <r>
    <x v="6"/>
    <x v="46"/>
    <x v="46"/>
    <n v="240"/>
    <x v="0"/>
  </r>
  <r>
    <x v="6"/>
    <x v="47"/>
    <x v="47"/>
    <n v="140"/>
    <x v="0"/>
  </r>
  <r>
    <x v="6"/>
    <x v="48"/>
    <x v="48"/>
    <n v="40"/>
    <x v="0"/>
  </r>
  <r>
    <x v="7"/>
    <x v="49"/>
    <x v="49"/>
    <n v="650"/>
    <x v="2"/>
  </r>
  <r>
    <x v="7"/>
    <x v="50"/>
    <x v="50"/>
    <n v="180"/>
    <x v="0"/>
  </r>
  <r>
    <x v="8"/>
    <x v="51"/>
    <x v="51"/>
    <n v="1000"/>
    <x v="0"/>
  </r>
  <r>
    <x v="8"/>
    <x v="52"/>
    <x v="52"/>
    <n v="20000"/>
    <x v="2"/>
  </r>
  <r>
    <x v="8"/>
    <x v="53"/>
    <x v="53"/>
    <n v="1000"/>
    <x v="7"/>
  </r>
  <r>
    <x v="8"/>
    <x v="54"/>
    <x v="54"/>
    <n v="668"/>
    <x v="0"/>
  </r>
  <r>
    <x v="9"/>
    <x v="55"/>
    <x v="55"/>
    <n v="22193"/>
    <x v="0"/>
  </r>
  <r>
    <x v="9"/>
    <x v="56"/>
    <x v="56"/>
    <n v="400"/>
    <x v="3"/>
  </r>
  <r>
    <x v="9"/>
    <x v="57"/>
    <x v="57"/>
    <n v="80"/>
    <x v="0"/>
  </r>
  <r>
    <x v="10"/>
    <x v="58"/>
    <x v="58"/>
    <n v="1100"/>
    <x v="2"/>
  </r>
  <r>
    <x v="10"/>
    <x v="59"/>
    <x v="59"/>
    <n v="1100"/>
    <x v="2"/>
  </r>
  <r>
    <x v="10"/>
    <x v="60"/>
    <x v="60"/>
    <n v="700"/>
    <x v="0"/>
  </r>
  <r>
    <x v="10"/>
    <x v="61"/>
    <x v="61"/>
    <n v="200"/>
    <x v="0"/>
  </r>
  <r>
    <x v="10"/>
    <x v="62"/>
    <x v="62"/>
    <n v="25000"/>
    <x v="8"/>
  </r>
  <r>
    <x v="11"/>
    <x v="63"/>
    <x v="63"/>
    <n v="3000"/>
    <x v="2"/>
  </r>
  <r>
    <x v="11"/>
    <x v="64"/>
    <x v="64"/>
    <n v="60"/>
    <x v="0"/>
  </r>
  <r>
    <x v="11"/>
    <x v="65"/>
    <x v="65"/>
    <n v="40"/>
    <x v="0"/>
  </r>
  <r>
    <x v="11"/>
    <x v="66"/>
    <x v="66"/>
    <n v="300"/>
    <x v="3"/>
  </r>
  <r>
    <x v="11"/>
    <x v="67"/>
    <x v="67"/>
    <n v="10000"/>
    <x v="0"/>
  </r>
  <r>
    <x v="11"/>
    <x v="67"/>
    <x v="67"/>
    <n v="5000"/>
    <x v="0"/>
  </r>
  <r>
    <x v="11"/>
    <x v="68"/>
    <x v="68"/>
    <n v="22"/>
    <x v="0"/>
  </r>
  <r>
    <x v="11"/>
    <x v="69"/>
    <x v="69"/>
    <n v="90"/>
    <x v="0"/>
  </r>
  <r>
    <x v="11"/>
    <x v="70"/>
    <x v="70"/>
    <n v="115"/>
    <x v="0"/>
  </r>
  <r>
    <x v="11"/>
    <x v="71"/>
    <x v="71"/>
    <n v="390"/>
    <x v="0"/>
  </r>
  <r>
    <x v="12"/>
    <x v="72"/>
    <x v="72"/>
    <n v="150"/>
    <x v="2"/>
  </r>
  <r>
    <x v="12"/>
    <x v="73"/>
    <x v="73"/>
    <n v="15000"/>
    <x v="2"/>
  </r>
  <r>
    <x v="12"/>
    <x v="74"/>
    <x v="74"/>
    <n v="250"/>
    <x v="2"/>
  </r>
  <r>
    <x v="12"/>
    <x v="75"/>
    <x v="75"/>
    <n v="1200"/>
    <x v="2"/>
  </r>
  <r>
    <x v="12"/>
    <x v="76"/>
    <x v="76"/>
    <n v="630"/>
    <x v="0"/>
  </r>
  <r>
    <x v="12"/>
    <x v="77"/>
    <x v="77"/>
    <n v="20"/>
    <x v="0"/>
  </r>
  <r>
    <x v="12"/>
    <x v="78"/>
    <x v="78"/>
    <n v="25"/>
    <x v="0"/>
  </r>
  <r>
    <x v="12"/>
    <x v="79"/>
    <x v="79"/>
    <n v="700"/>
    <x v="7"/>
  </r>
  <r>
    <x v="13"/>
    <x v="80"/>
    <x v="80"/>
    <n v="801"/>
    <x v="7"/>
  </r>
  <r>
    <x v="13"/>
    <x v="81"/>
    <x v="81"/>
    <n v="700"/>
    <x v="6"/>
  </r>
  <r>
    <x v="13"/>
    <x v="82"/>
    <x v="81"/>
    <n v="20000"/>
    <x v="6"/>
  </r>
  <r>
    <x v="13"/>
    <x v="83"/>
    <x v="82"/>
    <n v="25000"/>
    <x v="6"/>
  </r>
  <r>
    <x v="13"/>
    <x v="84"/>
    <x v="83"/>
    <n v="50"/>
    <x v="0"/>
  </r>
  <r>
    <x v="13"/>
    <x v="85"/>
    <x v="84"/>
    <n v="10"/>
    <x v="0"/>
  </r>
  <r>
    <x v="13"/>
    <x v="86"/>
    <x v="85"/>
    <n v="25000"/>
    <x v="2"/>
  </r>
  <r>
    <x v="13"/>
    <x v="87"/>
    <x v="86"/>
    <n v="250"/>
    <x v="0"/>
  </r>
  <r>
    <x v="14"/>
    <x v="88"/>
    <x v="87"/>
    <n v="200"/>
    <x v="0"/>
  </r>
  <r>
    <x v="14"/>
    <x v="89"/>
    <x v="88"/>
    <n v="2080"/>
    <x v="3"/>
  </r>
  <r>
    <x v="14"/>
    <x v="90"/>
    <x v="89"/>
    <n v="2400"/>
    <x v="3"/>
  </r>
  <r>
    <x v="14"/>
    <x v="91"/>
    <x v="90"/>
    <n v="300"/>
    <x v="3"/>
  </r>
  <r>
    <x v="14"/>
    <x v="92"/>
    <x v="91"/>
    <n v="17.7"/>
    <x v="0"/>
  </r>
  <r>
    <x v="14"/>
    <x v="93"/>
    <x v="92"/>
    <n v="259"/>
    <x v="0"/>
  </r>
  <r>
    <x v="14"/>
    <x v="94"/>
    <x v="93"/>
    <n v="243"/>
    <x v="0"/>
  </r>
  <r>
    <x v="14"/>
    <x v="95"/>
    <x v="94"/>
    <n v="1500"/>
    <x v="6"/>
  </r>
  <r>
    <x v="14"/>
    <x v="96"/>
    <x v="94"/>
    <n v="7000"/>
    <x v="6"/>
  </r>
  <r>
    <x v="14"/>
    <x v="97"/>
    <x v="95"/>
    <n v="700"/>
    <x v="0"/>
  </r>
  <r>
    <x v="14"/>
    <x v="98"/>
    <x v="96"/>
    <n v="300"/>
    <x v="0"/>
  </r>
  <r>
    <x v="14"/>
    <x v="99"/>
    <x v="97"/>
    <n v="160"/>
    <x v="0"/>
  </r>
  <r>
    <x v="15"/>
    <x v="100"/>
    <x v="98"/>
    <n v="1600"/>
    <x v="2"/>
  </r>
  <r>
    <x v="15"/>
    <x v="101"/>
    <x v="99"/>
    <n v="1300"/>
    <x v="2"/>
  </r>
  <r>
    <x v="15"/>
    <x v="102"/>
    <x v="100"/>
    <n v="400"/>
    <x v="3"/>
  </r>
  <r>
    <x v="15"/>
    <x v="103"/>
    <x v="101"/>
    <n v="16"/>
    <x v="0"/>
  </r>
  <r>
    <x v="15"/>
    <x v="104"/>
    <x v="102"/>
    <n v="200"/>
    <x v="0"/>
  </r>
  <r>
    <x v="15"/>
    <x v="105"/>
    <x v="103"/>
    <n v="500"/>
    <x v="2"/>
  </r>
  <r>
    <x v="16"/>
    <x v="106"/>
    <x v="104"/>
    <n v="70"/>
    <x v="0"/>
  </r>
  <r>
    <x v="16"/>
    <x v="107"/>
    <x v="105"/>
    <n v="1750"/>
    <x v="0"/>
  </r>
  <r>
    <x v="16"/>
    <x v="108"/>
    <x v="106"/>
    <n v="390"/>
    <x v="0"/>
  </r>
  <r>
    <x v="16"/>
    <x v="109"/>
    <x v="107"/>
    <n v="7000"/>
    <x v="2"/>
  </r>
  <r>
    <x v="16"/>
    <x v="110"/>
    <x v="108"/>
    <n v="719"/>
    <x v="0"/>
  </r>
  <r>
    <x v="16"/>
    <x v="111"/>
    <x v="109"/>
    <n v="186"/>
    <x v="0"/>
  </r>
  <r>
    <x v="17"/>
    <x v="112"/>
    <x v="110"/>
    <n v="80"/>
    <x v="0"/>
  </r>
  <r>
    <x v="17"/>
    <x v="113"/>
    <x v="111"/>
    <n v="160"/>
    <x v="0"/>
  </r>
  <r>
    <x v="17"/>
    <x v="114"/>
    <x v="112"/>
    <n v="175"/>
    <x v="0"/>
  </r>
  <r>
    <x v="17"/>
    <x v="115"/>
    <x v="113"/>
    <n v="10000"/>
    <x v="2"/>
  </r>
  <r>
    <x v="17"/>
    <x v="116"/>
    <x v="114"/>
    <n v="50000"/>
    <x v="2"/>
  </r>
  <r>
    <x v="17"/>
    <x v="117"/>
    <x v="115"/>
    <n v="110000"/>
    <x v="1"/>
  </r>
  <r>
    <x v="17"/>
    <x v="117"/>
    <x v="115"/>
    <n v="10000"/>
    <x v="1"/>
  </r>
  <r>
    <x v="18"/>
    <x v="118"/>
    <x v="116"/>
    <n v="16000"/>
    <x v="2"/>
  </r>
  <r>
    <x v="18"/>
    <x v="119"/>
    <x v="117"/>
    <n v="30000"/>
    <x v="2"/>
  </r>
  <r>
    <x v="19"/>
    <x v="120"/>
    <x v="118"/>
    <n v="1400"/>
    <x v="2"/>
  </r>
  <r>
    <x v="19"/>
    <x v="121"/>
    <x v="119"/>
    <n v="100"/>
    <x v="2"/>
  </r>
  <r>
    <x v="19"/>
    <x v="122"/>
    <x v="120"/>
    <n v="550"/>
    <x v="7"/>
  </r>
  <r>
    <x v="19"/>
    <x v="123"/>
    <x v="121"/>
    <n v="50000"/>
    <x v="2"/>
  </r>
  <r>
    <x v="19"/>
    <x v="124"/>
    <x v="122"/>
    <n v="230"/>
    <x v="2"/>
  </r>
  <r>
    <x v="20"/>
    <x v="125"/>
    <x v="123"/>
    <n v="4440"/>
    <x v="0"/>
  </r>
  <r>
    <x v="20"/>
    <x v="126"/>
    <x v="124"/>
    <n v="400"/>
    <x v="3"/>
  </r>
  <r>
    <x v="20"/>
    <x v="127"/>
    <x v="125"/>
    <n v="230"/>
    <x v="0"/>
  </r>
  <r>
    <x v="21"/>
    <x v="128"/>
    <x v="126"/>
    <n v="756"/>
    <x v="0"/>
  </r>
  <r>
    <x v="21"/>
    <x v="129"/>
    <x v="127"/>
    <n v="30000"/>
    <x v="2"/>
  </r>
  <r>
    <x v="21"/>
    <x v="130"/>
    <x v="128"/>
    <n v="20"/>
    <x v="0"/>
  </r>
  <r>
    <x v="21"/>
    <x v="131"/>
    <x v="129"/>
    <n v="80"/>
    <x v="0"/>
  </r>
  <r>
    <x v="21"/>
    <x v="132"/>
    <x v="130"/>
    <n v="850"/>
    <x v="9"/>
  </r>
  <r>
    <x v="21"/>
    <x v="133"/>
    <x v="131"/>
    <n v="2470"/>
    <x v="2"/>
  </r>
  <r>
    <x v="21"/>
    <x v="134"/>
    <x v="132"/>
    <n v="574"/>
    <x v="0"/>
  </r>
  <r>
    <x v="21"/>
    <x v="135"/>
    <x v="133"/>
    <n v="105000"/>
    <x v="10"/>
  </r>
  <r>
    <x v="21"/>
    <x v="136"/>
    <x v="134"/>
    <n v="35000"/>
    <x v="1"/>
  </r>
  <r>
    <x v="21"/>
    <x v="137"/>
    <x v="135"/>
    <n v="2000"/>
    <x v="0"/>
  </r>
  <r>
    <x v="21"/>
    <x v="138"/>
    <x v="136"/>
    <n v="200"/>
    <x v="0"/>
  </r>
  <r>
    <x v="21"/>
    <x v="139"/>
    <x v="137"/>
    <n v="213"/>
    <x v="0"/>
  </r>
  <r>
    <x v="22"/>
    <x v="140"/>
    <x v="138"/>
    <n v="20000"/>
    <x v="2"/>
  </r>
  <r>
    <x v="22"/>
    <x v="141"/>
    <x v="139"/>
    <n v="20000"/>
    <x v="2"/>
  </r>
  <r>
    <x v="22"/>
    <x v="142"/>
    <x v="140"/>
    <n v="300"/>
    <x v="0"/>
  </r>
  <r>
    <x v="22"/>
    <x v="143"/>
    <x v="141"/>
    <n v="25000"/>
    <x v="2"/>
  </r>
  <r>
    <x v="23"/>
    <x v="144"/>
    <x v="142"/>
    <n v="13100"/>
    <x v="2"/>
  </r>
  <r>
    <x v="23"/>
    <x v="145"/>
    <x v="143"/>
    <n v="1160"/>
    <x v="0"/>
  </r>
  <r>
    <x v="23"/>
    <x v="146"/>
    <x v="144"/>
    <n v="695"/>
    <x v="4"/>
  </r>
  <r>
    <x v="24"/>
    <x v="147"/>
    <x v="145"/>
    <n v="720"/>
    <x v="4"/>
  </r>
  <r>
    <x v="24"/>
    <x v="148"/>
    <x v="146"/>
    <n v="3800"/>
    <x v="4"/>
  </r>
  <r>
    <x v="25"/>
    <x v="149"/>
    <x v="147"/>
    <n v="960"/>
    <x v="4"/>
  </r>
  <r>
    <x v="25"/>
    <x v="150"/>
    <x v="148"/>
    <n v="1080"/>
    <x v="4"/>
  </r>
  <r>
    <x v="25"/>
    <x v="151"/>
    <x v="149"/>
    <n v="250"/>
    <x v="0"/>
  </r>
  <r>
    <x v="25"/>
    <x v="152"/>
    <x v="150"/>
    <n v="719"/>
    <x v="0"/>
  </r>
  <r>
    <x v="25"/>
    <x v="153"/>
    <x v="151"/>
    <n v="76"/>
    <x v="2"/>
  </r>
  <r>
    <x v="25"/>
    <x v="154"/>
    <x v="152"/>
    <n v="18000"/>
    <x v="2"/>
  </r>
  <r>
    <x v="26"/>
    <x v="155"/>
    <x v="153"/>
    <n v="800"/>
    <x v="3"/>
  </r>
  <r>
    <x v="26"/>
    <x v="156"/>
    <x v="154"/>
    <n v="2000"/>
    <x v="2"/>
  </r>
  <r>
    <x v="26"/>
    <x v="157"/>
    <x v="155"/>
    <n v="8000"/>
    <x v="2"/>
  </r>
  <r>
    <x v="26"/>
    <x v="158"/>
    <x v="156"/>
    <n v="1000"/>
    <x v="7"/>
  </r>
  <r>
    <x v="26"/>
    <x v="159"/>
    <x v="157"/>
    <n v="25000"/>
    <x v="2"/>
  </r>
  <r>
    <x v="26"/>
    <x v="160"/>
    <x v="158"/>
    <n v="1120"/>
    <x v="0"/>
  </r>
  <r>
    <x v="26"/>
    <x v="161"/>
    <x v="159"/>
    <n v="159.44"/>
    <x v="4"/>
  </r>
  <r>
    <x v="26"/>
    <x v="162"/>
    <x v="160"/>
    <n v="416"/>
    <x v="4"/>
  </r>
  <r>
    <x v="26"/>
    <x v="163"/>
    <x v="161"/>
    <n v="4800"/>
    <x v="4"/>
  </r>
  <r>
    <x v="26"/>
    <x v="164"/>
    <x v="162"/>
    <n v="275"/>
    <x v="4"/>
  </r>
  <r>
    <x v="27"/>
    <x v="165"/>
    <x v="163"/>
    <n v="50"/>
    <x v="0"/>
  </r>
  <r>
    <x v="27"/>
    <x v="166"/>
    <x v="164"/>
    <n v="10"/>
    <x v="0"/>
  </r>
  <r>
    <x v="27"/>
    <x v="167"/>
    <x v="165"/>
    <n v="40"/>
    <x v="0"/>
  </r>
  <r>
    <x v="27"/>
    <x v="168"/>
    <x v="166"/>
    <n v="500"/>
    <x v="0"/>
  </r>
  <r>
    <x v="27"/>
    <x v="169"/>
    <x v="167"/>
    <n v="210"/>
    <x v="0"/>
  </r>
  <r>
    <x v="27"/>
    <x v="170"/>
    <x v="168"/>
    <n v="600"/>
    <x v="0"/>
  </r>
  <r>
    <x v="28"/>
    <x v="171"/>
    <x v="169"/>
    <n v="10000"/>
    <x v="2"/>
  </r>
  <r>
    <x v="28"/>
    <x v="172"/>
    <x v="170"/>
    <n v="63360"/>
    <x v="11"/>
  </r>
  <r>
    <x v="28"/>
    <x v="173"/>
    <x v="171"/>
    <n v="100"/>
    <x v="4"/>
  </r>
  <r>
    <x v="28"/>
    <x v="174"/>
    <x v="172"/>
    <n v="140"/>
    <x v="0"/>
  </r>
  <r>
    <x v="28"/>
    <x v="175"/>
    <x v="166"/>
    <n v="600"/>
    <x v="4"/>
  </r>
  <r>
    <x v="28"/>
    <x v="176"/>
    <x v="173"/>
    <n v="360"/>
    <x v="4"/>
  </r>
  <r>
    <x v="28"/>
    <x v="177"/>
    <x v="174"/>
    <n v="30"/>
    <x v="4"/>
  </r>
  <r>
    <x v="29"/>
    <x v="178"/>
    <x v="175"/>
    <n v="160"/>
    <x v="3"/>
  </r>
  <r>
    <x v="29"/>
    <x v="179"/>
    <x v="176"/>
    <n v="500"/>
    <x v="3"/>
  </r>
  <r>
    <x v="29"/>
    <x v="180"/>
    <x v="177"/>
    <n v="25000"/>
    <x v="2"/>
  </r>
  <r>
    <x v="29"/>
    <x v="181"/>
    <x v="178"/>
    <n v="15"/>
    <x v="0"/>
  </r>
  <r>
    <x v="29"/>
    <x v="182"/>
    <x v="179"/>
    <n v="10"/>
    <x v="0"/>
  </r>
  <r>
    <x v="29"/>
    <x v="117"/>
    <x v="115"/>
    <n v="100000"/>
    <x v="1"/>
  </r>
  <r>
    <x v="29"/>
    <x v="183"/>
    <x v="180"/>
    <n v="250"/>
    <x v="0"/>
  </r>
  <r>
    <x v="29"/>
    <x v="184"/>
    <x v="181"/>
    <n v="300"/>
    <x v="0"/>
  </r>
  <r>
    <x v="29"/>
    <x v="185"/>
    <x v="182"/>
    <n v="5000"/>
    <x v="3"/>
  </r>
  <r>
    <x v="30"/>
    <x v="186"/>
    <x v="166"/>
    <n v="200"/>
    <x v="4"/>
  </r>
  <r>
    <x v="30"/>
    <x v="187"/>
    <x v="183"/>
    <n v="360"/>
    <x v="4"/>
  </r>
  <r>
    <x v="30"/>
    <x v="188"/>
    <x v="184"/>
    <n v="2500"/>
    <x v="3"/>
  </r>
  <r>
    <x v="30"/>
    <x v="189"/>
    <x v="185"/>
    <n v="4800"/>
    <x v="3"/>
  </r>
  <r>
    <x v="30"/>
    <x v="190"/>
    <x v="186"/>
    <n v="250"/>
    <x v="4"/>
  </r>
  <r>
    <x v="30"/>
    <x v="191"/>
    <x v="187"/>
    <n v="400"/>
    <x v="4"/>
  </r>
  <r>
    <x v="30"/>
    <x v="192"/>
    <x v="188"/>
    <n v="1200"/>
    <x v="3"/>
  </r>
  <r>
    <x v="30"/>
    <x v="193"/>
    <x v="189"/>
    <n v="800"/>
    <x v="3"/>
  </r>
  <r>
    <x v="31"/>
    <x v="194"/>
    <x v="190"/>
    <n v="150"/>
    <x v="3"/>
  </r>
  <r>
    <x v="31"/>
    <x v="195"/>
    <x v="191"/>
    <n v="10"/>
    <x v="0"/>
  </r>
  <r>
    <x v="31"/>
    <x v="196"/>
    <x v="192"/>
    <n v="10"/>
    <x v="0"/>
  </r>
  <r>
    <x v="31"/>
    <x v="197"/>
    <x v="193"/>
    <n v="1000"/>
    <x v="3"/>
  </r>
  <r>
    <x v="31"/>
    <x v="198"/>
    <x v="194"/>
    <n v="2303"/>
    <x v="1"/>
  </r>
  <r>
    <x v="31"/>
    <x v="117"/>
    <x v="115"/>
    <n v="145900"/>
    <x v="1"/>
  </r>
  <r>
    <x v="32"/>
    <x v="199"/>
    <x v="195"/>
    <n v="5.9"/>
    <x v="4"/>
  </r>
  <r>
    <x v="32"/>
    <x v="200"/>
    <x v="196"/>
    <n v="5.9"/>
    <x v="4"/>
  </r>
  <r>
    <x v="32"/>
    <x v="201"/>
    <x v="197"/>
    <n v="1710"/>
    <x v="2"/>
  </r>
  <r>
    <x v="32"/>
    <x v="202"/>
    <x v="198"/>
    <n v="16000"/>
    <x v="2"/>
  </r>
  <r>
    <x v="32"/>
    <x v="203"/>
    <x v="199"/>
    <n v="600"/>
    <x v="4"/>
  </r>
  <r>
    <x v="32"/>
    <x v="204"/>
    <x v="200"/>
    <n v="800"/>
    <x v="3"/>
  </r>
  <r>
    <x v="32"/>
    <x v="205"/>
    <x v="201"/>
    <n v="75000"/>
    <x v="12"/>
  </r>
  <r>
    <x v="32"/>
    <x v="206"/>
    <x v="202"/>
    <n v="50000"/>
    <x v="12"/>
  </r>
  <r>
    <x v="33"/>
    <x v="207"/>
    <x v="203"/>
    <n v="341"/>
    <x v="6"/>
  </r>
  <r>
    <x v="33"/>
    <x v="208"/>
    <x v="204"/>
    <n v="20900"/>
    <x v="6"/>
  </r>
  <r>
    <x v="33"/>
    <x v="209"/>
    <x v="205"/>
    <n v="175000"/>
    <x v="12"/>
  </r>
  <r>
    <x v="33"/>
    <x v="210"/>
    <x v="206"/>
    <n v="48"/>
    <x v="0"/>
  </r>
  <r>
    <x v="34"/>
    <x v="211"/>
    <x v="207"/>
    <n v="1600"/>
    <x v="4"/>
  </r>
  <r>
    <x v="34"/>
    <x v="117"/>
    <x v="115"/>
    <n v="150000"/>
    <x v="1"/>
  </r>
  <r>
    <x v="34"/>
    <x v="212"/>
    <x v="208"/>
    <n v="10"/>
    <x v="4"/>
  </r>
  <r>
    <x v="34"/>
    <x v="213"/>
    <x v="209"/>
    <n v="499.38"/>
    <x v="0"/>
  </r>
  <r>
    <x v="34"/>
    <x v="214"/>
    <x v="210"/>
    <n v="8000"/>
    <x v="2"/>
  </r>
  <r>
    <x v="34"/>
    <x v="215"/>
    <x v="211"/>
    <n v="37000"/>
    <x v="1"/>
  </r>
  <r>
    <x v="34"/>
    <x v="216"/>
    <x v="212"/>
    <n v="275"/>
    <x v="0"/>
  </r>
  <r>
    <x v="34"/>
    <x v="217"/>
    <x v="213"/>
    <n v="420"/>
    <x v="0"/>
  </r>
  <r>
    <x v="34"/>
    <x v="218"/>
    <x v="214"/>
    <n v="100"/>
    <x v="4"/>
  </r>
  <r>
    <x v="34"/>
    <x v="219"/>
    <x v="215"/>
    <n v="60"/>
    <x v="0"/>
  </r>
  <r>
    <x v="35"/>
    <x v="220"/>
    <x v="216"/>
    <n v="800"/>
    <x v="3"/>
  </r>
  <r>
    <x v="35"/>
    <x v="221"/>
    <x v="217"/>
    <n v="4200"/>
    <x v="2"/>
  </r>
  <r>
    <x v="35"/>
    <x v="222"/>
    <x v="218"/>
    <n v="165"/>
    <x v="4"/>
  </r>
  <r>
    <x v="35"/>
    <x v="223"/>
    <x v="166"/>
    <n v="50"/>
    <x v="4"/>
  </r>
  <r>
    <x v="35"/>
    <x v="224"/>
    <x v="219"/>
    <n v="200"/>
    <x v="4"/>
  </r>
  <r>
    <x v="35"/>
    <x v="225"/>
    <x v="220"/>
    <n v="421"/>
    <x v="4"/>
  </r>
  <r>
    <x v="35"/>
    <x v="226"/>
    <x v="221"/>
    <n v="40"/>
    <x v="4"/>
  </r>
  <r>
    <x v="35"/>
    <x v="27"/>
    <x v="27"/>
    <n v="247.8"/>
    <x v="4"/>
  </r>
  <r>
    <x v="36"/>
    <x v="227"/>
    <x v="222"/>
    <n v="60"/>
    <x v="4"/>
  </r>
  <r>
    <x v="36"/>
    <x v="228"/>
    <x v="223"/>
    <n v="120"/>
    <x v="4"/>
  </r>
  <r>
    <x v="36"/>
    <x v="229"/>
    <x v="224"/>
    <n v="130000"/>
    <x v="1"/>
  </r>
  <r>
    <x v="36"/>
    <x v="230"/>
    <x v="166"/>
    <n v="330"/>
    <x v="4"/>
  </r>
  <r>
    <x v="36"/>
    <x v="231"/>
    <x v="225"/>
    <n v="715"/>
    <x v="4"/>
  </r>
  <r>
    <x v="36"/>
    <x v="232"/>
    <x v="226"/>
    <n v="400"/>
    <x v="3"/>
  </r>
  <r>
    <x v="36"/>
    <x v="233"/>
    <x v="166"/>
    <n v="11000"/>
    <x v="3"/>
  </r>
  <r>
    <x v="36"/>
    <x v="234"/>
    <x v="227"/>
    <n v="2550"/>
    <x v="3"/>
  </r>
  <r>
    <x v="36"/>
    <x v="235"/>
    <x v="228"/>
    <n v="2800"/>
    <x v="3"/>
  </r>
  <r>
    <x v="37"/>
    <x v="236"/>
    <x v="229"/>
    <n v="200"/>
    <x v="3"/>
  </r>
  <r>
    <x v="37"/>
    <x v="237"/>
    <x v="230"/>
    <n v="100000"/>
    <x v="1"/>
  </r>
  <r>
    <x v="37"/>
    <x v="238"/>
    <x v="166"/>
    <n v="700"/>
    <x v="4"/>
  </r>
  <r>
    <x v="37"/>
    <x v="239"/>
    <x v="231"/>
    <n v="4000"/>
    <x v="3"/>
  </r>
  <r>
    <x v="37"/>
    <x v="240"/>
    <x v="232"/>
    <n v="367"/>
    <x v="0"/>
  </r>
  <r>
    <x v="38"/>
    <x v="241"/>
    <x v="233"/>
    <n v="50"/>
    <x v="0"/>
  </r>
  <r>
    <x v="38"/>
    <x v="242"/>
    <x v="234"/>
    <n v="60000"/>
    <x v="1"/>
  </r>
  <r>
    <x v="38"/>
    <x v="243"/>
    <x v="235"/>
    <n v="1000"/>
    <x v="1"/>
  </r>
  <r>
    <x v="38"/>
    <x v="244"/>
    <x v="236"/>
    <n v="25000"/>
    <x v="1"/>
  </r>
  <r>
    <x v="38"/>
    <x v="117"/>
    <x v="115"/>
    <n v="100000"/>
    <x v="1"/>
  </r>
  <r>
    <x v="38"/>
    <x v="245"/>
    <x v="237"/>
    <n v="32500"/>
    <x v="1"/>
  </r>
  <r>
    <x v="38"/>
    <x v="246"/>
    <x v="238"/>
    <n v="1000"/>
    <x v="4"/>
  </r>
  <r>
    <x v="39"/>
    <x v="247"/>
    <x v="239"/>
    <n v="17.7"/>
    <x v="4"/>
  </r>
  <r>
    <x v="39"/>
    <x v="248"/>
    <x v="240"/>
    <n v="80"/>
    <x v="4"/>
  </r>
  <r>
    <x v="39"/>
    <x v="249"/>
    <x v="241"/>
    <n v="15000"/>
    <x v="3"/>
  </r>
  <r>
    <x v="39"/>
    <x v="250"/>
    <x v="242"/>
    <n v="25"/>
    <x v="0"/>
  </r>
  <r>
    <x v="40"/>
    <x v="251"/>
    <x v="243"/>
    <n v="200"/>
    <x v="0"/>
  </r>
  <r>
    <x v="40"/>
    <x v="252"/>
    <x v="244"/>
    <n v="80000"/>
    <x v="2"/>
  </r>
  <r>
    <x v="40"/>
    <x v="253"/>
    <x v="245"/>
    <n v="20000"/>
    <x v="2"/>
  </r>
  <r>
    <x v="40"/>
    <x v="254"/>
    <x v="246"/>
    <n v="3600"/>
    <x v="3"/>
  </r>
  <r>
    <x v="40"/>
    <x v="255"/>
    <x v="247"/>
    <n v="120"/>
    <x v="4"/>
  </r>
  <r>
    <x v="41"/>
    <x v="256"/>
    <x v="248"/>
    <n v="1355.82"/>
    <x v="0"/>
  </r>
  <r>
    <x v="41"/>
    <x v="257"/>
    <x v="249"/>
    <n v="50000"/>
    <x v="2"/>
  </r>
  <r>
    <x v="41"/>
    <x v="258"/>
    <x v="250"/>
    <n v="5500"/>
    <x v="2"/>
  </r>
  <r>
    <x v="41"/>
    <x v="259"/>
    <x v="251"/>
    <n v="64"/>
    <x v="0"/>
  </r>
  <r>
    <x v="41"/>
    <x v="260"/>
    <x v="252"/>
    <n v="11000"/>
    <x v="2"/>
  </r>
  <r>
    <x v="41"/>
    <x v="261"/>
    <x v="253"/>
    <n v="4000"/>
    <x v="3"/>
  </r>
  <r>
    <x v="41"/>
    <x v="262"/>
    <x v="254"/>
    <n v="550"/>
    <x v="0"/>
  </r>
  <r>
    <x v="41"/>
    <x v="263"/>
    <x v="255"/>
    <n v="115"/>
    <x v="4"/>
  </r>
  <r>
    <x v="41"/>
    <x v="264"/>
    <x v="256"/>
    <n v="155"/>
    <x v="4"/>
  </r>
  <r>
    <x v="42"/>
    <x v="265"/>
    <x v="257"/>
    <n v="2850"/>
    <x v="4"/>
  </r>
  <r>
    <x v="42"/>
    <x v="266"/>
    <x v="258"/>
    <n v="1800"/>
    <x v="0"/>
  </r>
  <r>
    <x v="42"/>
    <x v="267"/>
    <x v="259"/>
    <n v="1500"/>
    <x v="4"/>
  </r>
  <r>
    <x v="42"/>
    <x v="268"/>
    <x v="260"/>
    <n v="60"/>
    <x v="4"/>
  </r>
  <r>
    <x v="43"/>
    <x v="269"/>
    <x v="261"/>
    <n v="9751"/>
    <x v="2"/>
  </r>
  <r>
    <x v="43"/>
    <x v="270"/>
    <x v="262"/>
    <n v="2200"/>
    <x v="0"/>
  </r>
  <r>
    <x v="43"/>
    <x v="271"/>
    <x v="263"/>
    <n v="2400"/>
    <x v="0"/>
  </r>
  <r>
    <x v="43"/>
    <x v="272"/>
    <x v="264"/>
    <n v="595"/>
    <x v="0"/>
  </r>
  <r>
    <x v="43"/>
    <x v="273"/>
    <x v="265"/>
    <n v="1800"/>
    <x v="0"/>
  </r>
  <r>
    <x v="43"/>
    <x v="274"/>
    <x v="266"/>
    <n v="800"/>
    <x v="4"/>
  </r>
  <r>
    <x v="43"/>
    <x v="275"/>
    <x v="267"/>
    <n v="420"/>
    <x v="4"/>
  </r>
  <r>
    <x v="43"/>
    <x v="276"/>
    <x v="268"/>
    <n v="10000"/>
    <x v="0"/>
  </r>
  <r>
    <x v="43"/>
    <x v="277"/>
    <x v="269"/>
    <n v="6000"/>
    <x v="0"/>
  </r>
  <r>
    <x v="43"/>
    <x v="278"/>
    <x v="270"/>
    <n v="800"/>
    <x v="3"/>
  </r>
  <r>
    <x v="44"/>
    <x v="279"/>
    <x v="271"/>
    <n v="1800"/>
    <x v="0"/>
  </r>
  <r>
    <x v="44"/>
    <x v="280"/>
    <x v="272"/>
    <n v="627"/>
    <x v="4"/>
  </r>
  <r>
    <x v="44"/>
    <x v="281"/>
    <x v="273"/>
    <n v="2000"/>
    <x v="4"/>
  </r>
  <r>
    <x v="44"/>
    <x v="282"/>
    <x v="274"/>
    <n v="1140"/>
    <x v="4"/>
  </r>
  <r>
    <x v="44"/>
    <x v="283"/>
    <x v="275"/>
    <n v="1500"/>
    <x v="4"/>
  </r>
  <r>
    <x v="44"/>
    <x v="284"/>
    <x v="276"/>
    <n v="30"/>
    <x v="0"/>
  </r>
  <r>
    <x v="44"/>
    <x v="285"/>
    <x v="277"/>
    <n v="550"/>
    <x v="4"/>
  </r>
  <r>
    <x v="44"/>
    <x v="286"/>
    <x v="278"/>
    <n v="100"/>
    <x v="0"/>
  </r>
  <r>
    <x v="44"/>
    <x v="287"/>
    <x v="257"/>
    <n v="397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0137A-90E6-4230-8E37-0EB3C79CFFE4}" name="PivotTable1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G3:H65" firstHeaderRow="2" firstDataRow="2" firstDataCol="1" rowPageCount="1" colPageCount="1"/>
  <pivotFields count="5">
    <pivotField compact="0" outline="0" showAll="0" includeNewItemsInFilter="1">
      <items count="46">
        <item x="2"/>
        <item x="33"/>
        <item x="3"/>
        <item x="34"/>
        <item x="4"/>
        <item x="35"/>
        <item x="5"/>
        <item x="36"/>
        <item x="6"/>
        <item x="37"/>
        <item x="7"/>
        <item x="38"/>
        <item x="8"/>
        <item x="39"/>
        <item x="9"/>
        <item x="40"/>
        <item x="10"/>
        <item x="41"/>
        <item x="11"/>
        <item x="42"/>
        <item x="12"/>
        <item x="43"/>
        <item x="13"/>
        <item x="44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30"/>
        <item x="1"/>
        <item x="31"/>
        <item x="32"/>
        <item t="default"/>
      </items>
    </pivotField>
    <pivotField compact="0" outline="0" showAll="0" includeNewItemsInFilter="1">
      <items count="555">
        <item x="92"/>
        <item x="199"/>
        <item x="200"/>
        <item x="247"/>
        <item x="117"/>
        <item x="253"/>
        <item x="257"/>
        <item x="269"/>
        <item x="172"/>
        <item x="34"/>
        <item x="37"/>
        <item x="135"/>
        <item x="171"/>
        <item x="206"/>
        <item x="209"/>
        <item x="215"/>
        <item x="229"/>
        <item x="237"/>
        <item x="242"/>
        <item x="243"/>
        <item x="27"/>
        <item x="67"/>
        <item m="1" x="502"/>
        <item m="1" x="310"/>
        <item m="1" x="355"/>
        <item m="1" x="505"/>
        <item m="1" x="488"/>
        <item m="1" x="417"/>
        <item m="1" x="418"/>
        <item m="1" x="419"/>
        <item m="1" x="420"/>
        <item m="1" x="421"/>
        <item m="1" x="422"/>
        <item m="1" x="423"/>
        <item m="1" x="373"/>
        <item m="1" x="549"/>
        <item m="1" x="461"/>
        <item m="1" x="507"/>
        <item m="1" x="458"/>
        <item m="1" x="407"/>
        <item m="1" x="414"/>
        <item m="1" x="372"/>
        <item m="1" x="386"/>
        <item m="1" x="437"/>
        <item m="1" x="368"/>
        <item m="1" x="337"/>
        <item m="1" x="532"/>
        <item m="1" x="376"/>
        <item m="1" x="416"/>
        <item m="1" x="289"/>
        <item m="1" x="290"/>
        <item m="1" x="515"/>
        <item m="1" x="382"/>
        <item m="1" x="305"/>
        <item m="1" x="457"/>
        <item m="1" x="495"/>
        <item m="1" x="427"/>
        <item m="1" x="500"/>
        <item m="1" x="523"/>
        <item m="1" x="338"/>
        <item m="1" x="522"/>
        <item m="1" x="526"/>
        <item m="1" x="334"/>
        <item m="1" x="291"/>
        <item m="1" x="352"/>
        <item m="1" x="322"/>
        <item m="1" x="323"/>
        <item m="1" x="424"/>
        <item m="1" x="400"/>
        <item m="1" x="456"/>
        <item m="1" x="288"/>
        <item m="1" x="365"/>
        <item m="1" x="443"/>
        <item m="1" x="533"/>
        <item m="1" x="548"/>
        <item m="1" x="404"/>
        <item m="1" x="546"/>
        <item m="1" x="449"/>
        <item m="1" x="294"/>
        <item m="1" x="388"/>
        <item m="1" x="342"/>
        <item m="1" x="395"/>
        <item m="1" x="318"/>
        <item m="1" x="403"/>
        <item m="1" x="369"/>
        <item m="1" x="440"/>
        <item m="1" x="428"/>
        <item m="1" x="446"/>
        <item m="1" x="484"/>
        <item m="1" x="539"/>
        <item m="1" x="473"/>
        <item m="1" x="390"/>
        <item m="1" x="306"/>
        <item m="1" x="367"/>
        <item m="1" x="387"/>
        <item m="1" x="307"/>
        <item m="1" x="536"/>
        <item m="1" x="477"/>
        <item m="1" x="469"/>
        <item m="1" x="398"/>
        <item m="1" x="544"/>
        <item m="1" x="353"/>
        <item m="1" x="375"/>
        <item m="1" x="412"/>
        <item m="1" x="401"/>
        <item m="1" x="378"/>
        <item m="1" x="445"/>
        <item m="1" x="383"/>
        <item m="1" x="384"/>
        <item m="1" x="537"/>
        <item m="1" x="396"/>
        <item m="1" x="413"/>
        <item m="1" x="462"/>
        <item m="1" x="447"/>
        <item m="1" x="380"/>
        <item m="1" x="452"/>
        <item m="1" x="361"/>
        <item m="1" x="324"/>
        <item m="1" x="381"/>
        <item m="1" x="317"/>
        <item m="1" x="463"/>
        <item m="1" x="303"/>
        <item m="1" x="343"/>
        <item m="1" x="316"/>
        <item m="1" x="479"/>
        <item m="1" x="466"/>
        <item m="1" x="550"/>
        <item m="1" x="541"/>
        <item m="1" x="497"/>
        <item m="1" x="498"/>
        <item m="1" x="545"/>
        <item m="1" x="340"/>
        <item m="1" x="299"/>
        <item m="1" x="460"/>
        <item m="1" x="350"/>
        <item m="1" x="426"/>
        <item m="1" x="348"/>
        <item m="1" x="379"/>
        <item m="1" x="297"/>
        <item m="1" x="454"/>
        <item m="1" x="335"/>
        <item m="1" x="325"/>
        <item m="1" x="356"/>
        <item m="1" x="357"/>
        <item m="1" x="478"/>
        <item m="1" x="432"/>
        <item m="1" x="328"/>
        <item m="1" x="438"/>
        <item m="1" x="293"/>
        <item m="1" x="315"/>
        <item m="1" x="496"/>
        <item m="1" x="534"/>
        <item m="1" x="302"/>
        <item m="1" x="344"/>
        <item m="1" x="453"/>
        <item m="1" x="492"/>
        <item m="1" x="465"/>
        <item m="1" x="292"/>
        <item m="1" x="370"/>
        <item m="1" x="394"/>
        <item m="1" x="366"/>
        <item m="1" x="304"/>
        <item m="1" x="542"/>
        <item m="1" x="431"/>
        <item m="1" x="411"/>
        <item m="1" x="448"/>
        <item m="1" x="329"/>
        <item m="1" x="444"/>
        <item m="1" x="319"/>
        <item m="1" x="538"/>
        <item m="1" x="393"/>
        <item m="1" x="430"/>
        <item m="1" x="336"/>
        <item m="1" x="351"/>
        <item m="1" x="553"/>
        <item m="1" x="467"/>
        <item m="1" x="509"/>
        <item m="1" x="389"/>
        <item m="1" x="333"/>
        <item m="1" x="517"/>
        <item m="1" x="435"/>
        <item m="1" x="459"/>
        <item m="1" x="377"/>
        <item m="1" x="358"/>
        <item m="1" x="504"/>
        <item m="1" x="391"/>
        <item m="1" x="425"/>
        <item m="1" x="362"/>
        <item m="1" x="516"/>
        <item m="1" x="475"/>
        <item m="1" x="535"/>
        <item m="1" x="518"/>
        <item m="1" x="511"/>
        <item m="1" x="531"/>
        <item m="1" x="530"/>
        <item m="1" x="513"/>
        <item m="1" x="483"/>
        <item m="1" x="364"/>
        <item m="1" x="341"/>
        <item m="1" x="339"/>
        <item m="1" x="346"/>
        <item m="1" x="311"/>
        <item m="1" x="508"/>
        <item m="1" x="528"/>
        <item m="1" x="493"/>
        <item m="1" x="349"/>
        <item m="1" x="470"/>
        <item m="1" x="397"/>
        <item m="1" x="434"/>
        <item m="1" x="313"/>
        <item m="1" x="312"/>
        <item m="1" x="415"/>
        <item m="1" x="468"/>
        <item m="1" x="314"/>
        <item m="1" x="520"/>
        <item m="1" x="482"/>
        <item m="1" x="298"/>
        <item m="1" x="354"/>
        <item m="1" x="471"/>
        <item m="1" x="476"/>
        <item m="1" x="295"/>
        <item m="1" x="524"/>
        <item m="1" x="512"/>
        <item m="1" x="491"/>
        <item m="1" x="359"/>
        <item m="1" x="503"/>
        <item m="1" x="326"/>
        <item m="1" x="494"/>
        <item m="1" x="399"/>
        <item m="1" x="552"/>
        <item m="1" x="480"/>
        <item m="1" x="300"/>
        <item m="1" x="371"/>
        <item m="1" x="410"/>
        <item m="1" x="301"/>
        <item m="1" x="525"/>
        <item m="1" x="436"/>
        <item m="1" x="308"/>
        <item m="1" x="406"/>
        <item m="1" x="309"/>
        <item m="1" x="451"/>
        <item m="1" x="472"/>
        <item m="1" x="455"/>
        <item m="1" x="374"/>
        <item m="1" x="363"/>
        <item m="1" x="501"/>
        <item m="1" x="331"/>
        <item m="1" x="405"/>
        <item m="1" x="506"/>
        <item m="1" x="433"/>
        <item m="1" x="514"/>
        <item m="1" x="490"/>
        <item m="1" x="327"/>
        <item m="1" x="551"/>
        <item m="1" x="441"/>
        <item m="1" x="347"/>
        <item m="1" x="487"/>
        <item m="1" x="442"/>
        <item m="1" x="409"/>
        <item m="1" x="510"/>
        <item m="1" x="489"/>
        <item m="1" x="450"/>
        <item m="1" x="392"/>
        <item m="1" x="543"/>
        <item m="1" x="519"/>
        <item m="1" x="332"/>
        <item m="1" x="521"/>
        <item m="1" x="320"/>
        <item m="1" x="321"/>
        <item m="1" x="345"/>
        <item m="1" x="330"/>
        <item m="1" x="439"/>
        <item m="1" x="360"/>
        <item m="1" x="527"/>
        <item m="1" x="529"/>
        <item m="1" x="499"/>
        <item m="1" x="385"/>
        <item m="1" x="402"/>
        <item m="1" x="296"/>
        <item m="1" x="481"/>
        <item m="1" x="547"/>
        <item m="1" x="485"/>
        <item m="1" x="429"/>
        <item m="1" x="486"/>
        <item m="1" x="540"/>
        <item m="1" x="474"/>
        <item m="1" x="408"/>
        <item m="1" x="4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1"/>
        <item x="202"/>
        <item x="203"/>
        <item x="204"/>
        <item x="205"/>
        <item x="207"/>
        <item x="208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8"/>
        <item x="239"/>
        <item x="240"/>
        <item x="241"/>
        <item x="244"/>
        <item x="245"/>
        <item x="246"/>
        <item x="248"/>
        <item x="249"/>
        <item x="250"/>
        <item x="251"/>
        <item x="252"/>
        <item x="254"/>
        <item x="255"/>
        <item x="256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axis="axisRow" compact="0" outline="0" showAll="0" includeNewItemsInFilter="1">
      <items count="280">
        <item x="91"/>
        <item x="195"/>
        <item x="196"/>
        <item x="239"/>
        <item x="115"/>
        <item x="245"/>
        <item x="249"/>
        <item x="261"/>
        <item x="101"/>
        <item x="90"/>
        <item x="0"/>
        <item x="13"/>
        <item x="189"/>
        <item x="166"/>
        <item x="186"/>
        <item x="187"/>
        <item x="162"/>
        <item x="268"/>
        <item x="266"/>
        <item x="219"/>
        <item x="272"/>
        <item x="8"/>
        <item x="49"/>
        <item x="17"/>
        <item x="33"/>
        <item x="209"/>
        <item x="96"/>
        <item x="197"/>
        <item x="198"/>
        <item x="152"/>
        <item x="151"/>
        <item x="87"/>
        <item x="124"/>
        <item x="175"/>
        <item x="200"/>
        <item x="88"/>
        <item x="89"/>
        <item x="105"/>
        <item x="84"/>
        <item x="85"/>
        <item x="112"/>
        <item x="79"/>
        <item x="78"/>
        <item x="218"/>
        <item x="278"/>
        <item x="62"/>
        <item x="141"/>
        <item x="252"/>
        <item x="46"/>
        <item x="92"/>
        <item x="71"/>
        <item x="170"/>
        <item x="146"/>
        <item x="161"/>
        <item x="185"/>
        <item x="231"/>
        <item x="206"/>
        <item x="165"/>
        <item x="148"/>
        <item x="125"/>
        <item x="140"/>
        <item x="254"/>
        <item x="168"/>
        <item x="158"/>
        <item x="194"/>
        <item x="273"/>
        <item x="274"/>
        <item x="173"/>
        <item x="174"/>
        <item x="131"/>
        <item x="26"/>
        <item x="250"/>
        <item x="144"/>
        <item x="260"/>
        <item x="45"/>
        <item x="135"/>
        <item x="136"/>
        <item x="5"/>
        <item x="113"/>
        <item x="73"/>
        <item x="104"/>
        <item x="108"/>
        <item x="223"/>
        <item x="134"/>
        <item x="70"/>
        <item x="232"/>
        <item x="265"/>
        <item x="122"/>
        <item x="81"/>
        <item x="93"/>
        <item x="34"/>
        <item x="37"/>
        <item x="133"/>
        <item x="169"/>
        <item x="202"/>
        <item x="205"/>
        <item x="211"/>
        <item x="224"/>
        <item x="230"/>
        <item x="234"/>
        <item x="235"/>
        <item x="86"/>
        <item x="102"/>
        <item x="243"/>
        <item x="220"/>
        <item x="221"/>
        <item x="164"/>
        <item x="106"/>
        <item x="271"/>
        <item x="201"/>
        <item x="155"/>
        <item x="154"/>
        <item x="19"/>
        <item x="32"/>
        <item x="277"/>
        <item x="275"/>
        <item x="259"/>
        <item x="123"/>
        <item x="179"/>
        <item x="257"/>
        <item x="61"/>
        <item x="97"/>
        <item x="137"/>
        <item x="126"/>
        <item x="258"/>
        <item x="16"/>
        <item x="119"/>
        <item x="193"/>
        <item x="42"/>
        <item x="43"/>
        <item x="167"/>
        <item x="213"/>
        <item x="94"/>
        <item x="240"/>
        <item x="128"/>
        <item x="143"/>
        <item x="60"/>
        <item x="149"/>
        <item x="129"/>
        <item x="7"/>
        <item x="47"/>
        <item x="27"/>
        <item x="75"/>
        <item x="52"/>
        <item x="190"/>
        <item x="203"/>
        <item x="139"/>
        <item x="24"/>
        <item x="6"/>
        <item x="153"/>
        <item x="176"/>
        <item x="216"/>
        <item x="270"/>
        <item x="253"/>
        <item x="246"/>
        <item x="98"/>
        <item x="121"/>
        <item x="18"/>
        <item x="116"/>
        <item x="40"/>
        <item x="181"/>
        <item x="171"/>
        <item x="188"/>
        <item x="80"/>
        <item x="21"/>
        <item x="23"/>
        <item x="109"/>
        <item x="177"/>
        <item x="157"/>
        <item x="127"/>
        <item x="20"/>
        <item x="35"/>
        <item x="163"/>
        <item x="212"/>
        <item x="262"/>
        <item x="145"/>
        <item x="2"/>
        <item x="242"/>
        <item x="251"/>
        <item x="276"/>
        <item x="238"/>
        <item x="31"/>
        <item x="156"/>
        <item x="53"/>
        <item x="38"/>
        <item x="1"/>
        <item x="56"/>
        <item x="67"/>
        <item x="95"/>
        <item x="103"/>
        <item x="269"/>
        <item x="51"/>
        <item x="9"/>
        <item x="147"/>
        <item x="83"/>
        <item x="199"/>
        <item x="74"/>
        <item x="63"/>
        <item x="77"/>
        <item x="172"/>
        <item x="3"/>
        <item x="256"/>
        <item x="69"/>
        <item x="191"/>
        <item x="192"/>
        <item x="208"/>
        <item x="178"/>
        <item x="110"/>
        <item x="107"/>
        <item x="99"/>
        <item x="247"/>
        <item x="214"/>
        <item x="233"/>
        <item x="48"/>
        <item x="41"/>
        <item x="215"/>
        <item x="14"/>
        <item x="182"/>
        <item x="184"/>
        <item x="227"/>
        <item x="100"/>
        <item x="228"/>
        <item x="138"/>
        <item x="117"/>
        <item x="54"/>
        <item x="11"/>
        <item x="12"/>
        <item x="255"/>
        <item x="114"/>
        <item x="267"/>
        <item x="44"/>
        <item x="66"/>
        <item x="229"/>
        <item x="241"/>
        <item x="226"/>
        <item x="15"/>
        <item x="39"/>
        <item x="263"/>
        <item x="120"/>
        <item x="132"/>
        <item x="180"/>
        <item x="10"/>
        <item x="50"/>
        <item x="64"/>
        <item x="65"/>
        <item x="264"/>
        <item x="57"/>
        <item x="183"/>
        <item x="222"/>
        <item x="111"/>
        <item x="130"/>
        <item x="22"/>
        <item x="25"/>
        <item x="217"/>
        <item x="68"/>
        <item x="76"/>
        <item x="28"/>
        <item x="118"/>
        <item x="159"/>
        <item x="160"/>
        <item x="207"/>
        <item x="82"/>
        <item x="236"/>
        <item x="29"/>
        <item x="58"/>
        <item x="59"/>
        <item x="72"/>
        <item x="225"/>
        <item x="55"/>
        <item x="150"/>
        <item x="4"/>
        <item x="248"/>
        <item x="142"/>
        <item x="30"/>
        <item x="237"/>
        <item x="204"/>
        <item x="244"/>
        <item x="210"/>
        <item x="36"/>
        <item t="default"/>
      </items>
    </pivotField>
    <pivotField dataField="1" compact="0" outline="0" showAll="0" includeNewItemsInFilter="1"/>
    <pivotField axis="axisPage" compact="0" outline="0" showAll="0" includeNewItemsInFilter="1">
      <items count="15">
        <item m="1" x="13"/>
        <item x="1"/>
        <item x="7"/>
        <item x="0"/>
        <item x="12"/>
        <item x="8"/>
        <item x="9"/>
        <item x="10"/>
        <item x="3"/>
        <item x="4"/>
        <item x="11"/>
        <item x="6"/>
        <item x="2"/>
        <item x="5"/>
        <item t="default"/>
      </items>
    </pivotField>
  </pivotFields>
  <rowFields count="1">
    <field x="2"/>
  </rowFields>
  <rowItems count="61">
    <i>
      <x v="5"/>
    </i>
    <i>
      <x v="6"/>
    </i>
    <i>
      <x v="7"/>
    </i>
    <i>
      <x v="22"/>
    </i>
    <i>
      <x v="27"/>
    </i>
    <i>
      <x v="28"/>
    </i>
    <i>
      <x v="29"/>
    </i>
    <i>
      <x v="30"/>
    </i>
    <i>
      <x v="39"/>
    </i>
    <i>
      <x v="46"/>
    </i>
    <i>
      <x v="47"/>
    </i>
    <i>
      <x v="69"/>
    </i>
    <i>
      <x v="70"/>
    </i>
    <i>
      <x v="71"/>
    </i>
    <i>
      <x v="77"/>
    </i>
    <i>
      <x v="78"/>
    </i>
    <i>
      <x v="79"/>
    </i>
    <i>
      <x v="87"/>
    </i>
    <i>
      <x v="91"/>
    </i>
    <i>
      <x v="93"/>
    </i>
    <i>
      <x v="110"/>
    </i>
    <i>
      <x v="111"/>
    </i>
    <i>
      <x v="112"/>
    </i>
    <i>
      <x v="113"/>
    </i>
    <i>
      <x v="126"/>
    </i>
    <i>
      <x v="142"/>
    </i>
    <i>
      <x v="143"/>
    </i>
    <i>
      <x v="146"/>
    </i>
    <i>
      <x v="147"/>
    </i>
    <i>
      <x v="148"/>
    </i>
    <i>
      <x v="155"/>
    </i>
    <i>
      <x v="156"/>
    </i>
    <i>
      <x v="157"/>
    </i>
    <i>
      <x v="158"/>
    </i>
    <i>
      <x v="159"/>
    </i>
    <i>
      <x v="167"/>
    </i>
    <i>
      <x v="168"/>
    </i>
    <i>
      <x v="169"/>
    </i>
    <i>
      <x v="170"/>
    </i>
    <i>
      <x v="171"/>
    </i>
    <i>
      <x v="189"/>
    </i>
    <i>
      <x v="192"/>
    </i>
    <i>
      <x v="196"/>
    </i>
    <i>
      <x v="197"/>
    </i>
    <i>
      <x v="208"/>
    </i>
    <i>
      <x v="209"/>
    </i>
    <i>
      <x v="222"/>
    </i>
    <i>
      <x v="223"/>
    </i>
    <i>
      <x v="228"/>
    </i>
    <i>
      <x v="253"/>
    </i>
    <i>
      <x v="256"/>
    </i>
    <i>
      <x v="257"/>
    </i>
    <i>
      <x v="263"/>
    </i>
    <i>
      <x v="264"/>
    </i>
    <i>
      <x v="265"/>
    </i>
    <i>
      <x v="266"/>
    </i>
    <i>
      <x v="272"/>
    </i>
    <i>
      <x v="276"/>
    </i>
    <i>
      <x v="277"/>
    </i>
    <i>
      <x v="278"/>
    </i>
    <i t="grand">
      <x/>
    </i>
  </rowItems>
  <colItems count="1">
    <i/>
  </colItems>
  <pageFields count="1">
    <pageField fld="4" item="12" hier="-1"/>
  </pageFields>
  <dataFields count="1">
    <dataField name="Sum of Withdrawal Amt." fld="3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692C6-70B4-4C3B-A845-FAFCDB55CE94}" name="Table2345345687911121514161718192021222324252627282" displayName="Table2345345687911121514161718192021222324252627282" ref="A1:I36" totalsRowShown="0" headerRowDxfId="169" dataDxfId="167" headerRowBorderDxfId="168" tableBorderDxfId="166" totalsRowBorderDxfId="165">
  <tableColumns count="9">
    <tableColumn id="1" xr3:uid="{A88E9AD4-CEDE-499C-80BD-4E8D2A1948B9}" name="Date" dataDxfId="164"/>
    <tableColumn id="2" xr3:uid="{E91EB640-1AF6-493A-A45E-9A245D91E161}" name="Profit" dataDxfId="163" dataCellStyle="Comma">
      <calculatedColumnFormula>D2*0.3</calculatedColumnFormula>
    </tableColumn>
    <tableColumn id="3" xr3:uid="{C05E22A5-493C-42B2-A69D-C7D1CA839FAC}" name="Actual" dataDxfId="162" dataCellStyle="Comma">
      <calculatedColumnFormula>D2-B2</calculatedColumnFormula>
    </tableColumn>
    <tableColumn id="5" xr3:uid="{D972D265-44E8-44D0-B90F-CD456BB6F783}" name="Total" dataDxfId="161" dataCellStyle="Comma">
      <calculatedColumnFormula>E2+F2</calculatedColumnFormula>
    </tableColumn>
    <tableColumn id="11" xr3:uid="{5B594CE8-31D9-4C82-B422-9ACB94138232}" name="Cash" dataDxfId="160" dataCellStyle="Comma"/>
    <tableColumn id="10" xr3:uid="{D86549C1-8647-46BB-8547-F3609FD3DA72}" name="Account Transfer" dataDxfId="159" dataCellStyle="Comma"/>
    <tableColumn id="4" xr3:uid="{A4B6CCEF-299E-4FD7-A3E6-40A0B8B7E471}" name="Expense" dataDxfId="158" dataCellStyle="Comma"/>
    <tableColumn id="6" xr3:uid="{1028D3E3-215E-4673-AD16-4DD20490F5DD}" name="Percentage" dataDxfId="157">
      <calculatedColumnFormula>IFERROR(B2/C2,0)</calculatedColumnFormula>
    </tableColumn>
    <tableColumn id="7" xr3:uid="{5F6A2C28-8C27-4E28-B1C5-8D11E355A086}" name="Cash In Hand" dataDxfId="156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B226172-195E-494A-A256-6A8E8A445695}" name="Table234534568791112151416171819202122232425262728" displayName="Table234534568791112151416171819202122232425262728" ref="A1:I36" totalsRowShown="0" headerRowDxfId="155" dataDxfId="153" headerRowBorderDxfId="154" tableBorderDxfId="152" totalsRowBorderDxfId="151">
  <tableColumns count="9">
    <tableColumn id="1" xr3:uid="{B52B5865-5F29-4840-9355-5C7D354C698F}" name="Date" dataDxfId="150"/>
    <tableColumn id="2" xr3:uid="{7ECC69E6-F60E-44EA-BC21-CCFB7F82BA4A}" name="Profit" dataDxfId="149" dataCellStyle="Comma">
      <calculatedColumnFormula>D2*0.3</calculatedColumnFormula>
    </tableColumn>
    <tableColumn id="3" xr3:uid="{7143593C-36C6-4A3D-877D-9909DD1224A4}" name="Actual" dataDxfId="148" dataCellStyle="Comma">
      <calculatedColumnFormula>D2-B2</calculatedColumnFormula>
    </tableColumn>
    <tableColumn id="5" xr3:uid="{106E69A8-642C-4C70-B1C0-0CAA9F3445EF}" name="Total" dataDxfId="147" dataCellStyle="Comma">
      <calculatedColumnFormula>E2+F2</calculatedColumnFormula>
    </tableColumn>
    <tableColumn id="11" xr3:uid="{6CBAEB38-4D84-4D03-880B-916F8F510E52}" name="Cash" dataDxfId="146" dataCellStyle="Comma"/>
    <tableColumn id="10" xr3:uid="{A8421C00-A253-4889-B1A4-F36F2D3FAB2B}" name="Account Transfer" dataDxfId="145" dataCellStyle="Comma"/>
    <tableColumn id="4" xr3:uid="{2E48A404-CAB1-404C-8A5D-F035ADE7F194}" name="Expense" dataDxfId="144" dataCellStyle="Comma"/>
    <tableColumn id="6" xr3:uid="{A21F34B3-0117-4912-8E23-417E994493F2}" name="Percentage" dataDxfId="143">
      <calculatedColumnFormula>IFERROR(B2/C2,0)</calculatedColumnFormula>
    </tableColumn>
    <tableColumn id="7" xr3:uid="{A2940697-33D9-48B9-B3D6-AAEB976AF82C}" name="Cash In Hand" dataDxfId="142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96088C-92AE-4191-BEDD-E13233B67EB2}" name="Table2345345687911121514161718192021222324252627283" displayName="Table2345345687911121514161718192021222324252627283" ref="A1:I36" totalsRowShown="0" headerRowDxfId="141" dataDxfId="139" headerRowBorderDxfId="140" tableBorderDxfId="138" totalsRowBorderDxfId="137">
  <tableColumns count="9">
    <tableColumn id="1" xr3:uid="{E33696D4-55DA-41BB-B3C6-721CDEFE741B}" name="Date" dataDxfId="136"/>
    <tableColumn id="2" xr3:uid="{33688B74-3F1F-410B-AB61-9D1FAF6FD500}" name="Profit" dataDxfId="135" dataCellStyle="Comma">
      <calculatedColumnFormula>D2*0.39</calculatedColumnFormula>
    </tableColumn>
    <tableColumn id="3" xr3:uid="{381742BC-2441-4651-B511-AD7330F3A1D3}" name="Actual" dataDxfId="134" dataCellStyle="Comma">
      <calculatedColumnFormula>D2-B2</calculatedColumnFormula>
    </tableColumn>
    <tableColumn id="5" xr3:uid="{EB4B1A6C-23D8-420B-9BA0-5DE2CAD9CA96}" name="Total" dataDxfId="133" dataCellStyle="Comma">
      <calculatedColumnFormula>E2+F2</calculatedColumnFormula>
    </tableColumn>
    <tableColumn id="11" xr3:uid="{D251DB30-BF9B-45FC-B03B-EC942C05E53A}" name="Cash" dataDxfId="132" dataCellStyle="Comma"/>
    <tableColumn id="10" xr3:uid="{37311C35-9902-4F04-84F0-09A96452FEC7}" name="Account Transfer" dataDxfId="131" dataCellStyle="Comma"/>
    <tableColumn id="4" xr3:uid="{21BDE7AF-ABDB-41CE-9F4E-D6A037432804}" name="Expense" dataDxfId="130" dataCellStyle="Comma"/>
    <tableColumn id="6" xr3:uid="{E87F9D9A-6FFB-4535-8D48-0EECFD92FE2C}" name="Percentage" dataDxfId="129">
      <calculatedColumnFormula>IFERROR(B2/C2,0)</calculatedColumnFormula>
    </tableColumn>
    <tableColumn id="7" xr3:uid="{3AB2149B-E3F1-4612-9923-BE91760F5B94}" name="Cash In Hand" dataDxfId="128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31BB2C-9172-4110-AAAC-F755D8D782AE}" name="Table23453456879111215141617181920212223242526272834" displayName="Table23453456879111215141617181920212223242526272834" ref="A1:J36" totalsRowShown="0" headerRowDxfId="127" dataDxfId="125" headerRowBorderDxfId="126" tableBorderDxfId="124" totalsRowBorderDxfId="123">
  <tableColumns count="10">
    <tableColumn id="1" xr3:uid="{3BBA9D4D-729F-4C76-8411-5414AA00B38F}" name="Date" dataDxfId="122"/>
    <tableColumn id="2" xr3:uid="{C3F19E42-10DB-4B08-B06D-58ED9E00E8B3}" name="Profit" dataDxfId="121" dataCellStyle="Comma">
      <calculatedColumnFormula>D2*0.39</calculatedColumnFormula>
    </tableColumn>
    <tableColumn id="3" xr3:uid="{3DB62407-91DD-4203-8C42-BE7A99193A28}" name="Actual" dataDxfId="120" dataCellStyle="Comma">
      <calculatedColumnFormula>D2-B2</calculatedColumnFormula>
    </tableColumn>
    <tableColumn id="5" xr3:uid="{D104E10C-7537-48B3-8542-C79CC3943CF4}" name="Total" dataDxfId="119" dataCellStyle="Comma">
      <calculatedColumnFormula>E2+F2</calculatedColumnFormula>
    </tableColumn>
    <tableColumn id="11" xr3:uid="{6DB44F65-E921-43D8-AE6E-58CFAD994A04}" name="Cash" dataDxfId="118" dataCellStyle="Comma"/>
    <tableColumn id="10" xr3:uid="{145E78DE-6F90-4515-A220-D8EFB332BCB7}" name="Account Transfer" dataDxfId="117" dataCellStyle="Comma"/>
    <tableColumn id="4" xr3:uid="{315B79D9-9706-4814-ACF5-3CFB63FE458E}" name="Expense" dataDxfId="116" dataCellStyle="Comma"/>
    <tableColumn id="6" xr3:uid="{CA22336D-352C-43DD-8B64-8581E243188A}" name="Percentage" dataDxfId="115">
      <calculatedColumnFormula>IFERROR(B2/C2,0)</calculatedColumnFormula>
    </tableColumn>
    <tableColumn id="7" xr3:uid="{BD0B638D-BF4D-4C0C-BBC0-6C920E6B835E}" name="Cash In Hand" dataDxfId="114">
      <calculatedColumnFormula>SUM($D$2:D2)-SUM($G$2:G2)</calculatedColumnFormula>
    </tableColumn>
    <tableColumn id="8" xr3:uid="{E14F692A-CD57-4A8D-85E0-7AA7292D9E1C}" name="Glass" dataDxfId="113" dataCellStyle="Comma"/>
  </tableColumns>
  <tableStyleInfo name="TableStyleDark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8A2EDC-54A6-4FB1-90D9-40DD770D1357}" name="Table234534568791112151416171819202122232425262728345" displayName="Table234534568791112151416171819202122232425262728345" ref="A1:J36" totalsRowShown="0" headerRowDxfId="112" dataDxfId="110" headerRowBorderDxfId="111" tableBorderDxfId="109" totalsRowBorderDxfId="108">
  <tableColumns count="10">
    <tableColumn id="1" xr3:uid="{D2EC584D-65D5-4C4C-A977-3A55AF5172CE}" name="Date" dataDxfId="107"/>
    <tableColumn id="2" xr3:uid="{6F546197-56B7-4E8E-AC7B-6E89256143E7}" name="Profit" dataDxfId="106" dataCellStyle="Comma">
      <calculatedColumnFormula>D2*0.39</calculatedColumnFormula>
    </tableColumn>
    <tableColumn id="3" xr3:uid="{B705DB17-6EEC-4B7A-9C3A-81DFD2582D6E}" name="Actual" dataDxfId="105" dataCellStyle="Comma">
      <calculatedColumnFormula>D2-B2</calculatedColumnFormula>
    </tableColumn>
    <tableColumn id="5" xr3:uid="{F65AB0E8-F628-4307-9EA9-7AD56D6B1AA3}" name="Total" dataDxfId="104" dataCellStyle="Comma">
      <calculatedColumnFormula>E2+F2</calculatedColumnFormula>
    </tableColumn>
    <tableColumn id="11" xr3:uid="{540EF9AC-69FB-4E40-995A-11F39A474F02}" name="Cash" dataDxfId="103" dataCellStyle="Comma"/>
    <tableColumn id="10" xr3:uid="{09DEABE4-6412-48EF-91AB-8A2F4467C35A}" name="Account Transfer" dataDxfId="102" dataCellStyle="Comma"/>
    <tableColumn id="4" xr3:uid="{63070BC5-BAD8-473B-BE75-CDCF7B962712}" name="Expense" dataDxfId="101" dataCellStyle="Comma"/>
    <tableColumn id="6" xr3:uid="{0701B55C-75B2-45DE-A3D7-9DB0BB5BFCDA}" name="Percentage" dataDxfId="100">
      <calculatedColumnFormula>IFERROR(B2/C2,0)</calculatedColumnFormula>
    </tableColumn>
    <tableColumn id="7" xr3:uid="{3193E9A8-F17F-4131-AC35-948E3E820D62}" name="Cash In Hand" dataDxfId="99">
      <calculatedColumnFormula>SUM($D$2:D2)-SUM($G$2:G2)</calculatedColumnFormula>
    </tableColumn>
    <tableColumn id="8" xr3:uid="{F2F86DA3-6EE3-4D8C-AC0A-4D1802B52273}" name="Glass" dataDxfId="98" dataCellStyle="Comma"/>
  </tableColumns>
  <tableStyleInfo name="TableStyleDark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025416-9D0E-48CB-B949-6E2243BA91DC}" name="Table2345345687911121514161718192021222324252627283456" displayName="Table2345345687911121514161718192021222324252627283456" ref="A1:I29" totalsRowShown="0" headerRowDxfId="97" dataDxfId="95" headerRowBorderDxfId="96" tableBorderDxfId="94" totalsRowBorderDxfId="93">
  <tableColumns count="9">
    <tableColumn id="1" xr3:uid="{472BCE3A-F9E9-47A1-814D-45C57D25DF85}" name="Date" dataDxfId="92"/>
    <tableColumn id="2" xr3:uid="{6DAE2F5F-E406-4DB3-807D-05F5EE214437}" name="Profit" dataDxfId="91" dataCellStyle="Comma">
      <calculatedColumnFormula>D2*0.39</calculatedColumnFormula>
    </tableColumn>
    <tableColumn id="3" xr3:uid="{6D2B36FB-42EB-4341-B7A5-B0B6423A56E5}" name="Actual" dataDxfId="90" dataCellStyle="Comma">
      <calculatedColumnFormula>D2-B2</calculatedColumnFormula>
    </tableColumn>
    <tableColumn id="5" xr3:uid="{F962C6F9-7973-4D0D-B49D-4E10FD49C4B4}" name="Total" dataDxfId="89" dataCellStyle="Comma">
      <calculatedColumnFormula>E2+F2</calculatedColumnFormula>
    </tableColumn>
    <tableColumn id="11" xr3:uid="{E6AA3C01-8784-4D6E-9BDC-9E69D89A4CD8}" name="Cash" dataDxfId="88" dataCellStyle="Comma"/>
    <tableColumn id="10" xr3:uid="{3802550A-4E37-407D-8D00-E44C63D2CE05}" name="Account Transfer" dataDxfId="87" dataCellStyle="Comma"/>
    <tableColumn id="4" xr3:uid="{044C2896-95E2-48FE-8352-CFC8362F5144}" name="Expense" dataDxfId="86" dataCellStyle="Comma"/>
    <tableColumn id="6" xr3:uid="{32E7C677-32FA-414E-9A20-08305A0438EA}" name="Percentage" dataDxfId="85">
      <calculatedColumnFormula>IFERROR(B2/C2,0)</calculatedColumnFormula>
    </tableColumn>
    <tableColumn id="7" xr3:uid="{2C755487-B703-48C0-A0C2-2731675271C6}" name="Cash In Hand" dataDxfId="84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35CA9C-0BAF-4E52-93FB-D7B6C827D52B}" name="Table23453456879111215141617181920212223242526272834567" displayName="Table23453456879111215141617181920212223242526272834567" ref="A1:I30" totalsRowShown="0" headerRowDxfId="83" dataDxfId="81" headerRowBorderDxfId="82" tableBorderDxfId="80" totalsRowBorderDxfId="79">
  <tableColumns count="9">
    <tableColumn id="1" xr3:uid="{76C8819A-3D4E-4B11-AE7F-35FF121CC846}" name="Date" dataDxfId="78"/>
    <tableColumn id="2" xr3:uid="{6C130B4F-6DE4-4BAB-B08B-1D874C8EC10B}" name="Profit" dataDxfId="77" dataCellStyle="Comma">
      <calculatedColumnFormula>D2*0.39</calculatedColumnFormula>
    </tableColumn>
    <tableColumn id="3" xr3:uid="{FF44414B-DFB6-4C50-B554-929F4ACF8418}" name="Actual" dataDxfId="76" dataCellStyle="Comma">
      <calculatedColumnFormula>D2-B2</calculatedColumnFormula>
    </tableColumn>
    <tableColumn id="5" xr3:uid="{BE942A0E-9DA7-485F-B400-4B576DD4B6F6}" name="Total" dataDxfId="75" dataCellStyle="Comma">
      <calculatedColumnFormula>E2+F2</calculatedColumnFormula>
    </tableColumn>
    <tableColumn id="11" xr3:uid="{5E420817-52AD-49C3-9E15-7CD52F6C84C1}" name="Cash" dataDxfId="74" dataCellStyle="Comma"/>
    <tableColumn id="10" xr3:uid="{A601A094-C5BE-4B14-B5FE-D2B232954210}" name="Account Transfer" dataDxfId="73" dataCellStyle="Comma"/>
    <tableColumn id="4" xr3:uid="{7F812A26-ABAA-455D-BD95-57A89F323327}" name="Expense" dataDxfId="72" dataCellStyle="Comma"/>
    <tableColumn id="6" xr3:uid="{41371B49-1D8B-40D4-B374-B9BC02A78389}" name="Percentage" dataDxfId="71">
      <calculatedColumnFormula>IFERROR(B2/C2,0)</calculatedColumnFormula>
    </tableColumn>
    <tableColumn id="7" xr3:uid="{83DFCA3A-75D6-436F-B6C0-79A69854A3F2}" name="Cash In Hand" dataDxfId="70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A38C62-713B-4165-B834-6ECFD1D99BED}" name="Table234534568791112151416171819202122232425262728345678" displayName="Table234534568791112151416171819202122232425262728345678" ref="A1:I36" totalsRowShown="0" headerRowDxfId="69" dataDxfId="67" headerRowBorderDxfId="68" tableBorderDxfId="66" totalsRowBorderDxfId="65">
  <tableColumns count="9">
    <tableColumn id="1" xr3:uid="{406D99F1-3D31-4CFB-8A69-5D86751B1BC8}" name="Date" dataDxfId="64"/>
    <tableColumn id="2" xr3:uid="{115DCA22-D43B-4745-8F09-BFB53D718051}" name="Profit" dataDxfId="63" dataCellStyle="Comma">
      <calculatedColumnFormula>D2*0.3</calculatedColumnFormula>
    </tableColumn>
    <tableColumn id="3" xr3:uid="{2FDA1DA4-7290-40EB-BF11-040BA1F13EC8}" name="Actual" dataDxfId="62" dataCellStyle="Comma">
      <calculatedColumnFormula>D2-B2</calculatedColumnFormula>
    </tableColumn>
    <tableColumn id="5" xr3:uid="{C38C2F7E-73E6-4292-9604-37DA89AB960A}" name="Total" dataDxfId="61" dataCellStyle="Comma">
      <calculatedColumnFormula>E2+F2</calculatedColumnFormula>
    </tableColumn>
    <tableColumn id="11" xr3:uid="{ABA75D93-0DA3-4B97-9A8E-800B8A21AF15}" name="Cash" dataDxfId="60" dataCellStyle="Comma"/>
    <tableColumn id="10" xr3:uid="{AC9A692D-E374-45BE-A8B9-5F1D7B1D7E45}" name="Account Transfer" dataDxfId="59" dataCellStyle="Comma"/>
    <tableColumn id="4" xr3:uid="{0F14E0BD-AD23-4310-968D-F14812B7ABC5}" name="Expense" dataDxfId="58" dataCellStyle="Comma"/>
    <tableColumn id="6" xr3:uid="{B5B6A686-7B39-4630-AEE5-A40C471D8274}" name="Percentage" dataDxfId="57">
      <calculatedColumnFormula>IFERROR(B2/C2,0)</calculatedColumnFormula>
    </tableColumn>
    <tableColumn id="7" xr3:uid="{3E9AA76F-93D0-40F7-A400-454EA9C81241}" name="Cash In Hand" dataDxfId="56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85F684-8F62-4AE6-8817-181950CCFFDF}" name="Table2345345687911121514161718192021222324252627283456789" displayName="Table2345345687911121514161718192021222324252627283456789" ref="A1:I36" totalsRowShown="0" headerRowDxfId="55" dataDxfId="53" headerRowBorderDxfId="54" tableBorderDxfId="52" totalsRowBorderDxfId="51">
  <tableColumns count="9">
    <tableColumn id="1" xr3:uid="{936DD811-6203-4E47-B311-E71609C57DE2}" name="Date" dataDxfId="50"/>
    <tableColumn id="2" xr3:uid="{B0829C43-E861-481A-94F8-BB0ACEA6A9F5}" name="Profit" dataDxfId="49" dataCellStyle="Comma">
      <calculatedColumnFormula>D2*0.39</calculatedColumnFormula>
    </tableColumn>
    <tableColumn id="3" xr3:uid="{46A30DDC-0475-4818-B40B-DCAD132B651D}" name="Actual" dataDxfId="48" dataCellStyle="Comma">
      <calculatedColumnFormula>D2-B2</calculatedColumnFormula>
    </tableColumn>
    <tableColumn id="5" xr3:uid="{196E1826-51B8-49B5-A67C-B7C03AEF4B53}" name="Total" dataDxfId="47" dataCellStyle="Comma">
      <calculatedColumnFormula>E2+F2</calculatedColumnFormula>
    </tableColumn>
    <tableColumn id="11" xr3:uid="{D25B1806-D249-4ADE-9F6A-BE7AE9573E53}" name="Cash" dataDxfId="46" dataCellStyle="Comma">
      <calculatedColumnFormula>F2+G2</calculatedColumnFormula>
    </tableColumn>
    <tableColumn id="10" xr3:uid="{3801FF9C-455C-40BF-B225-C5CDB36AE4BD}" name="Account Transfer" dataDxfId="45" dataCellStyle="Comma"/>
    <tableColumn id="4" xr3:uid="{F5AC2BA4-81EF-48E5-825C-F83E6DD8E0D5}" name="Expense" dataDxfId="44" dataCellStyle="Comma"/>
    <tableColumn id="6" xr3:uid="{0A94CDE6-4F6B-4F8F-949B-310EEF307AAB}" name="Percentage" dataDxfId="43">
      <calculatedColumnFormula>IFERROR(B2/C2,0)</calculatedColumnFormula>
    </tableColumn>
    <tableColumn id="7" xr3:uid="{FE12FD7E-39F8-4770-9081-787736561BBB}" name="Cash In Hand" dataDxfId="42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9D807D-0F41-4B80-82B1-5FDE82F4A611}" name="Table234534568791112151416171819202122232425262728345678910" displayName="Table234534568791112151416171819202122232425262728345678910" ref="A1:I36" totalsRowShown="0" headerRowDxfId="41" dataDxfId="39" headerRowBorderDxfId="40" tableBorderDxfId="38" totalsRowBorderDxfId="37">
  <tableColumns count="9">
    <tableColumn id="1" xr3:uid="{FB1ABBC5-8ED0-4AF2-94E8-B82123B49449}" name="Date" dataDxfId="36"/>
    <tableColumn id="2" xr3:uid="{EAE15ACD-D0B8-4D75-AFEF-A84358192433}" name="Profit" dataDxfId="35" dataCellStyle="Comma">
      <calculatedColumnFormula>D2*0.39</calculatedColumnFormula>
    </tableColumn>
    <tableColumn id="3" xr3:uid="{28444940-0500-4F7E-BDF4-FCD8A1531322}" name="Actual" dataDxfId="34" dataCellStyle="Comma">
      <calculatedColumnFormula>D2-B2</calculatedColumnFormula>
    </tableColumn>
    <tableColumn id="5" xr3:uid="{8474EB7E-2E9E-4606-905C-2908D12C812E}" name="Total" dataDxfId="33" dataCellStyle="Comma">
      <calculatedColumnFormula>E2+F2+G2</calculatedColumnFormula>
    </tableColumn>
    <tableColumn id="11" xr3:uid="{87038B04-C041-47CF-8A11-9AD64D51F2EC}" name="Cash" dataDxfId="32" dataCellStyle="Comma"/>
    <tableColumn id="10" xr3:uid="{768A08FE-DA40-43A2-B230-4A5C5436EBD2}" name="Account Transfer" dataDxfId="31" dataCellStyle="Comma"/>
    <tableColumn id="4" xr3:uid="{BC02FBFA-385C-486E-BA0B-71F22D33E28A}" name="Expense" dataDxfId="30" dataCellStyle="Comma"/>
    <tableColumn id="6" xr3:uid="{85AD2528-84E2-47C7-8E08-6C934C85B8F4}" name="Percentage" dataDxfId="29">
      <calculatedColumnFormula>IFERROR(B2/C2,0)</calculatedColumnFormula>
    </tableColumn>
    <tableColumn id="7" xr3:uid="{282746D5-A899-4845-93CA-FEF7B670287A}" name="Cash In Hand" dataDxfId="28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1F3E4B-37D1-4AB4-8896-A3EBEDCE9B92}" name="Table2345345687911121514161718192021222324252627283456789101112" displayName="Table2345345687911121514161718192021222324252627283456789101112" ref="A1:I36" totalsRowShown="0" headerRowDxfId="27" dataDxfId="25" headerRowBorderDxfId="26" tableBorderDxfId="24" totalsRowBorderDxfId="23">
  <tableColumns count="9">
    <tableColumn id="1" xr3:uid="{906EF969-8D3A-4CE8-8953-69BFD7386584}" name="Date" dataDxfId="22"/>
    <tableColumn id="2" xr3:uid="{E3F5C5C7-EAB2-4480-B5D2-064EB0FD0D76}" name="Profit" dataDxfId="21" dataCellStyle="Comma">
      <calculatedColumnFormula>D2*0.39</calculatedColumnFormula>
    </tableColumn>
    <tableColumn id="3" xr3:uid="{CAC8A3E2-839A-489A-B77E-5B965276BA4D}" name="Actual" dataDxfId="20" dataCellStyle="Comma">
      <calculatedColumnFormula>D2-B2</calculatedColumnFormula>
    </tableColumn>
    <tableColumn id="5" xr3:uid="{691C6968-62D4-4E91-9F14-F46205E1CCC9}" name="Total" dataDxfId="19" dataCellStyle="Comma">
      <calculatedColumnFormula>E2+F2</calculatedColumnFormula>
    </tableColumn>
    <tableColumn id="11" xr3:uid="{815B2B5E-E10E-4501-A199-32BDFA994AC9}" name="Cash" dataDxfId="18" dataCellStyle="Comma"/>
    <tableColumn id="10" xr3:uid="{A7507BE8-7077-44BF-BC3B-F0FBA919572F}" name="Account Transfer" dataDxfId="17" dataCellStyle="Comma"/>
    <tableColumn id="4" xr3:uid="{14F4E61C-2F26-4DAB-8CD1-03F8D5600F5D}" name="Expense" dataDxfId="16" dataCellStyle="Comma"/>
    <tableColumn id="6" xr3:uid="{5D384929-EC67-486B-8489-87EC913523AC}" name="Percentage" dataDxfId="15">
      <calculatedColumnFormula>IFERROR(B2/C2,0)</calculatedColumnFormula>
    </tableColumn>
    <tableColumn id="7" xr3:uid="{9CF522FF-26CB-4156-AB6D-FBCFAF46ECC3}" name="Cash In Hand" dataDxfId="14">
      <calculatedColumnFormula>SUM($D$2:D2)-SUM($G$2:G2)</calculatedColumnFormula>
    </tableColumn>
  </tableColumns>
  <tableStyleInfo name="TableStyleDark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42F055-A1C6-4190-B890-59844778E073}" name="Table23453456879111215141617181920212223242526272834567891011" displayName="Table23453456879111215141617181920212223242526272834567891011" ref="A1:I36" totalsRowShown="0" headerRowDxfId="13" dataDxfId="11" headerRowBorderDxfId="12" tableBorderDxfId="10" totalsRowBorderDxfId="9">
  <tableColumns count="9">
    <tableColumn id="1" xr3:uid="{43E6F102-F07F-43B2-9461-B8C92EAEE670}" name="Date" dataDxfId="8"/>
    <tableColumn id="2" xr3:uid="{4EDE28DA-4F56-454A-AE34-B28C8644D86A}" name="Profit" dataDxfId="7" dataCellStyle="Comma">
      <calculatedColumnFormula>D2*0.39</calculatedColumnFormula>
    </tableColumn>
    <tableColumn id="3" xr3:uid="{7BDCF05E-CD83-406A-B27B-A721E2DD8049}" name="Actual" dataDxfId="6" dataCellStyle="Comma">
      <calculatedColumnFormula>D2-B2</calculatedColumnFormula>
    </tableColumn>
    <tableColumn id="5" xr3:uid="{489561B3-80B2-4213-9472-82E9BBFE7D67}" name="Total" dataDxfId="5" dataCellStyle="Comma">
      <calculatedColumnFormula>E2+F2</calculatedColumnFormula>
    </tableColumn>
    <tableColumn id="11" xr3:uid="{0BCB4FA4-F8DB-425D-9CA6-89968DFC6C12}" name="Cash" dataDxfId="4" dataCellStyle="Comma"/>
    <tableColumn id="10" xr3:uid="{014D7428-19FD-4E73-B111-0CD5B5EE3121}" name="Account Transfer" dataDxfId="3" dataCellStyle="Comma"/>
    <tableColumn id="4" xr3:uid="{E3E8B3F1-7103-4392-BBC9-87A43A19FD0D}" name="Expense" dataDxfId="2" dataCellStyle="Comma"/>
    <tableColumn id="6" xr3:uid="{F5114F57-9359-45CE-92EA-2080229D7235}" name="Percentage" dataDxfId="1">
      <calculatedColumnFormula>IFERROR(B2/C2,0)</calculatedColumnFormula>
    </tableColumn>
    <tableColumn id="7" xr3:uid="{87D840DC-F9D5-4AD3-8DF2-401FAC043443}" name="Cash In Hand" dataDxfId="0">
      <calculatedColumnFormula>SUM($D$2:D2)-SUM($G$2:G2)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8ED0-545A-4D93-8EAA-35F61CA28E76}">
  <dimension ref="A1:N31"/>
  <sheetViews>
    <sheetView workbookViewId="0">
      <selection activeCell="K17" sqref="K17"/>
    </sheetView>
  </sheetViews>
  <sheetFormatPr defaultRowHeight="14.5" x14ac:dyDescent="0.35"/>
  <cols>
    <col min="1" max="1" width="19.90625" bestFit="1" customWidth="1"/>
    <col min="2" max="2" width="17" bestFit="1" customWidth="1"/>
    <col min="3" max="3" width="9.6328125" bestFit="1" customWidth="1"/>
    <col min="4" max="4" width="12.08984375" bestFit="1" customWidth="1"/>
    <col min="5" max="5" width="11.08984375" bestFit="1" customWidth="1"/>
    <col min="6" max="6" width="9.6328125" bestFit="1" customWidth="1"/>
    <col min="7" max="7" width="9.6328125" style="1" bestFit="1" customWidth="1"/>
    <col min="8" max="8" width="9.6328125" bestFit="1" customWidth="1"/>
    <col min="10" max="10" width="23.08984375" bestFit="1" customWidth="1"/>
    <col min="11" max="12" width="9.6328125" bestFit="1" customWidth="1"/>
  </cols>
  <sheetData>
    <row r="1" spans="1:14" ht="29" x14ac:dyDescent="0.35">
      <c r="A1" s="55" t="s">
        <v>477</v>
      </c>
      <c r="B1" s="55" t="s">
        <v>478</v>
      </c>
      <c r="C1" s="56" t="s">
        <v>6</v>
      </c>
      <c r="D1" s="56" t="s">
        <v>5</v>
      </c>
      <c r="E1" s="56" t="s">
        <v>4</v>
      </c>
      <c r="F1" s="57" t="s">
        <v>3</v>
      </c>
      <c r="G1" s="57" t="s">
        <v>2</v>
      </c>
      <c r="H1" s="59" t="s">
        <v>479</v>
      </c>
    </row>
    <row r="2" spans="1:14" ht="15" thickBot="1" x14ac:dyDescent="0.4">
      <c r="A2" s="58">
        <v>44866</v>
      </c>
      <c r="B2" s="58">
        <v>44895</v>
      </c>
      <c r="C2" s="16">
        <f>E2*0.3</f>
        <v>242775.59999999998</v>
      </c>
      <c r="D2" s="16">
        <f>E2-C2</f>
        <v>566476.4</v>
      </c>
      <c r="E2" s="16">
        <v>809252</v>
      </c>
      <c r="F2" s="16">
        <v>441624</v>
      </c>
      <c r="G2" s="16">
        <v>367628</v>
      </c>
      <c r="H2" s="16">
        <f t="shared" ref="H2:H14" si="0">C2/3</f>
        <v>80925.2</v>
      </c>
      <c r="J2" t="s">
        <v>480</v>
      </c>
      <c r="K2" s="16">
        <f>AVERAGE(E2:E12)</f>
        <v>614454</v>
      </c>
      <c r="L2" s="39">
        <f>K2*10</f>
        <v>6144540</v>
      </c>
      <c r="N2" s="60">
        <f>L10*12/L2</f>
        <v>0.30856662988604516</v>
      </c>
    </row>
    <row r="3" spans="1:14" ht="15" thickBot="1" x14ac:dyDescent="0.4">
      <c r="A3" s="58">
        <v>44896</v>
      </c>
      <c r="B3" s="58">
        <v>45261</v>
      </c>
      <c r="C3" s="16">
        <f>E3*0.3</f>
        <v>206920.5</v>
      </c>
      <c r="D3" s="16">
        <f>E3-C3</f>
        <v>482814.5</v>
      </c>
      <c r="E3" s="16">
        <v>689735</v>
      </c>
      <c r="F3" s="16">
        <v>331694</v>
      </c>
      <c r="G3" s="16">
        <v>358041</v>
      </c>
      <c r="H3" s="16">
        <f t="shared" si="0"/>
        <v>68973.5</v>
      </c>
      <c r="J3" t="s">
        <v>481</v>
      </c>
      <c r="K3" s="39">
        <f>SUM(E13:E14)</f>
        <v>6840033.0999999996</v>
      </c>
    </row>
    <row r="4" spans="1:14" ht="15" thickBot="1" x14ac:dyDescent="0.4">
      <c r="A4" s="58">
        <v>44928</v>
      </c>
      <c r="B4" s="58">
        <v>44957</v>
      </c>
      <c r="C4" s="16">
        <f>E4*0.3</f>
        <v>173440.5</v>
      </c>
      <c r="D4" s="16">
        <f>E4-C4</f>
        <v>404694.5</v>
      </c>
      <c r="E4" s="16">
        <v>578135</v>
      </c>
      <c r="F4" s="16">
        <v>300478</v>
      </c>
      <c r="G4" s="16">
        <v>277657</v>
      </c>
      <c r="H4" s="16">
        <f t="shared" si="0"/>
        <v>57813.5</v>
      </c>
    </row>
    <row r="5" spans="1:14" ht="15" thickBot="1" x14ac:dyDescent="0.4">
      <c r="A5" s="58">
        <v>44958</v>
      </c>
      <c r="B5" s="58">
        <v>44985</v>
      </c>
      <c r="C5" s="16">
        <f t="shared" ref="C5:C14" si="1">E5*0.3</f>
        <v>226772.69999999998</v>
      </c>
      <c r="D5" s="16">
        <f t="shared" ref="D5:D14" si="2">E5-C5</f>
        <v>529136.30000000005</v>
      </c>
      <c r="E5" s="16">
        <v>755909</v>
      </c>
      <c r="F5" s="16">
        <v>382322</v>
      </c>
      <c r="G5" s="16">
        <v>373587</v>
      </c>
      <c r="H5" s="16">
        <f t="shared" si="0"/>
        <v>75590.899999999994</v>
      </c>
      <c r="J5" t="s">
        <v>482</v>
      </c>
      <c r="K5" t="s">
        <v>33</v>
      </c>
      <c r="L5">
        <f>105000</f>
        <v>105000</v>
      </c>
    </row>
    <row r="6" spans="1:14" ht="15" thickBot="1" x14ac:dyDescent="0.4">
      <c r="A6" s="58">
        <v>44986</v>
      </c>
      <c r="B6" s="58">
        <v>45016</v>
      </c>
      <c r="C6" s="16">
        <f t="shared" si="1"/>
        <v>201082.8</v>
      </c>
      <c r="D6" s="16">
        <f t="shared" si="2"/>
        <v>469193.2</v>
      </c>
      <c r="E6" s="16">
        <v>670276</v>
      </c>
      <c r="F6" s="16">
        <v>288155</v>
      </c>
      <c r="G6" s="16">
        <v>382121</v>
      </c>
      <c r="H6" s="16">
        <f t="shared" si="0"/>
        <v>67027.599999999991</v>
      </c>
      <c r="K6" t="s">
        <v>483</v>
      </c>
      <c r="L6">
        <v>36000</v>
      </c>
    </row>
    <row r="7" spans="1:14" ht="15" thickBot="1" x14ac:dyDescent="0.4">
      <c r="A7" s="58">
        <v>45017</v>
      </c>
      <c r="B7" s="58">
        <v>45046</v>
      </c>
      <c r="C7" s="16">
        <f t="shared" si="1"/>
        <v>159962.4</v>
      </c>
      <c r="D7" s="16">
        <f t="shared" si="2"/>
        <v>373245.6</v>
      </c>
      <c r="E7" s="16">
        <v>533208</v>
      </c>
      <c r="F7" s="16">
        <v>314141</v>
      </c>
      <c r="G7" s="16">
        <v>219067</v>
      </c>
      <c r="H7" s="16">
        <f t="shared" si="0"/>
        <v>53320.799999999996</v>
      </c>
      <c r="K7" t="s">
        <v>484</v>
      </c>
      <c r="L7">
        <v>10000</v>
      </c>
    </row>
    <row r="8" spans="1:14" ht="15" thickBot="1" x14ac:dyDescent="0.4">
      <c r="A8" s="58">
        <v>45047</v>
      </c>
      <c r="B8" s="58">
        <v>45077</v>
      </c>
      <c r="C8" s="16">
        <f t="shared" si="1"/>
        <v>165549</v>
      </c>
      <c r="D8" s="16">
        <f t="shared" si="2"/>
        <v>386281</v>
      </c>
      <c r="E8" s="16">
        <v>551830</v>
      </c>
      <c r="F8" s="16">
        <v>266235</v>
      </c>
      <c r="G8" s="16">
        <v>285595</v>
      </c>
      <c r="H8" s="16">
        <f t="shared" si="0"/>
        <v>55183</v>
      </c>
      <c r="K8" t="s">
        <v>485</v>
      </c>
      <c r="L8">
        <v>7000</v>
      </c>
    </row>
    <row r="9" spans="1:14" ht="15" thickBot="1" x14ac:dyDescent="0.4">
      <c r="A9" s="58">
        <v>45078</v>
      </c>
      <c r="B9" s="58">
        <v>45107</v>
      </c>
      <c r="C9" s="16">
        <f t="shared" si="1"/>
        <v>138583.5</v>
      </c>
      <c r="D9" s="16">
        <f t="shared" si="2"/>
        <v>323361.5</v>
      </c>
      <c r="E9" s="16">
        <f>'June 2023'!D30+'May 2023'!D49</f>
        <v>461945</v>
      </c>
      <c r="F9" s="16">
        <f>'June 2023'!E30+'May 2023'!E49</f>
        <v>190800</v>
      </c>
      <c r="G9" s="16">
        <f>'June 2023'!F30+'May 2023'!F49</f>
        <v>271145</v>
      </c>
      <c r="H9" s="16">
        <f t="shared" si="0"/>
        <v>46194.5</v>
      </c>
    </row>
    <row r="10" spans="1:14" ht="15" thickBot="1" x14ac:dyDescent="0.4">
      <c r="A10" s="58">
        <v>45108</v>
      </c>
      <c r="B10" s="58">
        <v>45138</v>
      </c>
      <c r="C10" s="16">
        <f t="shared" si="1"/>
        <v>106491</v>
      </c>
      <c r="D10" s="16">
        <f t="shared" si="2"/>
        <v>248479</v>
      </c>
      <c r="E10" s="16">
        <f>'July 2023'!D31+'July 2023'!D41</f>
        <v>354970</v>
      </c>
      <c r="F10" s="16">
        <f>'July 2023'!E31+'July 2023'!E41</f>
        <v>125790</v>
      </c>
      <c r="G10" s="16">
        <f>'July 2023'!F31+'July 2023'!F41</f>
        <v>229180</v>
      </c>
      <c r="H10" s="16">
        <f t="shared" si="0"/>
        <v>35497</v>
      </c>
      <c r="L10">
        <f>SUM(L5:L9)</f>
        <v>158000</v>
      </c>
    </row>
    <row r="11" spans="1:14" ht="15" thickBot="1" x14ac:dyDescent="0.4">
      <c r="A11" s="58">
        <v>45139</v>
      </c>
      <c r="B11" s="58">
        <v>45169</v>
      </c>
      <c r="C11" s="16">
        <f t="shared" si="1"/>
        <v>185762.1</v>
      </c>
      <c r="D11" s="16">
        <f t="shared" si="2"/>
        <v>433444.9</v>
      </c>
      <c r="E11" s="16">
        <v>619207</v>
      </c>
      <c r="F11" s="16">
        <v>220841</v>
      </c>
      <c r="G11" s="16">
        <v>398366</v>
      </c>
      <c r="H11" s="16">
        <f t="shared" si="0"/>
        <v>61920.700000000004</v>
      </c>
    </row>
    <row r="12" spans="1:14" ht="15" thickBot="1" x14ac:dyDescent="0.4">
      <c r="A12" s="58">
        <v>45170</v>
      </c>
      <c r="B12" s="58">
        <v>45199</v>
      </c>
      <c r="C12" s="16">
        <f t="shared" si="1"/>
        <v>220358.1</v>
      </c>
      <c r="D12" s="16">
        <f t="shared" si="2"/>
        <v>514168.9</v>
      </c>
      <c r="E12" s="16">
        <v>734527</v>
      </c>
      <c r="F12" s="16">
        <v>262189</v>
      </c>
      <c r="G12" s="16">
        <v>472338</v>
      </c>
      <c r="H12" s="16">
        <f t="shared" si="0"/>
        <v>73452.7</v>
      </c>
    </row>
    <row r="13" spans="1:14" ht="15" thickBot="1" x14ac:dyDescent="0.4">
      <c r="A13" s="58">
        <v>45200</v>
      </c>
      <c r="B13" s="58">
        <v>45230</v>
      </c>
      <c r="C13" s="16">
        <f t="shared" si="1"/>
        <v>1281118.2299999997</v>
      </c>
      <c r="D13" s="16">
        <f t="shared" si="2"/>
        <v>2989275.87</v>
      </c>
      <c r="E13" s="16">
        <v>4270394.0999999996</v>
      </c>
      <c r="F13" s="16">
        <v>2496280</v>
      </c>
      <c r="G13" s="16">
        <v>1326204.1000000001</v>
      </c>
      <c r="H13" s="16">
        <f t="shared" si="0"/>
        <v>427039.40999999992</v>
      </c>
    </row>
    <row r="14" spans="1:14" ht="15" thickBot="1" x14ac:dyDescent="0.4">
      <c r="A14" s="58">
        <v>45231</v>
      </c>
      <c r="B14" s="58">
        <v>45256</v>
      </c>
      <c r="C14" s="16">
        <f t="shared" si="1"/>
        <v>770891.7</v>
      </c>
      <c r="D14" s="16">
        <f t="shared" si="2"/>
        <v>1798747.3</v>
      </c>
      <c r="E14" s="16">
        <v>2569639</v>
      </c>
      <c r="F14" s="16">
        <v>1719140</v>
      </c>
      <c r="G14" s="16">
        <v>850499</v>
      </c>
      <c r="H14" s="16">
        <f t="shared" si="0"/>
        <v>256963.9</v>
      </c>
    </row>
    <row r="15" spans="1:14" ht="15" thickBot="1" x14ac:dyDescent="0.4">
      <c r="A15" s="65" t="s">
        <v>4</v>
      </c>
      <c r="B15" s="66"/>
      <c r="C15" s="16">
        <f>SUM(C2:C14)</f>
        <v>4079708.13</v>
      </c>
      <c r="D15" s="16">
        <f t="shared" ref="D15:H15" si="3">SUM(D2:D14)</f>
        <v>9519318.9700000007</v>
      </c>
      <c r="E15" s="16">
        <f t="shared" si="3"/>
        <v>13599027.1</v>
      </c>
      <c r="F15" s="16">
        <f t="shared" si="3"/>
        <v>7339689</v>
      </c>
      <c r="G15" s="16">
        <f t="shared" si="3"/>
        <v>5811428.0999999996</v>
      </c>
      <c r="H15" s="16">
        <f t="shared" si="3"/>
        <v>1359902.7099999997</v>
      </c>
    </row>
    <row r="16" spans="1:14" x14ac:dyDescent="0.35">
      <c r="A16" s="61"/>
      <c r="B16" s="61"/>
      <c r="C16" s="62"/>
      <c r="D16" s="62"/>
      <c r="E16" s="62"/>
      <c r="F16" s="62"/>
      <c r="G16" s="62"/>
      <c r="H16" s="62"/>
    </row>
    <row r="17" spans="1:8" x14ac:dyDescent="0.35">
      <c r="A17" s="12"/>
      <c r="B17" s="12"/>
      <c r="C17" s="63"/>
      <c r="D17" s="63"/>
      <c r="E17" s="63"/>
      <c r="F17" s="63"/>
      <c r="G17" s="63"/>
      <c r="H17" s="63"/>
    </row>
    <row r="18" spans="1:8" x14ac:dyDescent="0.35">
      <c r="A18" s="54" t="s">
        <v>495</v>
      </c>
      <c r="B18" s="54" t="s">
        <v>496</v>
      </c>
      <c r="C18" s="54" t="s">
        <v>497</v>
      </c>
      <c r="D18" s="54" t="s">
        <v>498</v>
      </c>
      <c r="E18" s="54" t="s">
        <v>499</v>
      </c>
    </row>
    <row r="19" spans="1:8" x14ac:dyDescent="0.35">
      <c r="A19" s="54" t="s">
        <v>486</v>
      </c>
      <c r="B19" s="54">
        <f>(1.1*180)+52+6+20</f>
        <v>276</v>
      </c>
      <c r="C19" s="54">
        <f>180*2</f>
        <v>360</v>
      </c>
      <c r="D19" s="54">
        <f t="shared" ref="D19:D31" si="4">C19-B19</f>
        <v>84</v>
      </c>
      <c r="E19" s="64">
        <f t="shared" ref="E19:E31" si="5">D19/B19</f>
        <v>0.30434782608695654</v>
      </c>
      <c r="G19"/>
      <c r="H19" s="60"/>
    </row>
    <row r="20" spans="1:8" x14ac:dyDescent="0.35">
      <c r="A20" s="54" t="s">
        <v>487</v>
      </c>
      <c r="B20" s="54">
        <f>(1.1*200)+52+6+20</f>
        <v>298</v>
      </c>
      <c r="C20" s="54">
        <f>200*2</f>
        <v>400</v>
      </c>
      <c r="D20" s="54">
        <f t="shared" si="4"/>
        <v>102</v>
      </c>
      <c r="E20" s="64">
        <f t="shared" si="5"/>
        <v>0.34228187919463088</v>
      </c>
      <c r="G20"/>
      <c r="H20" s="60"/>
    </row>
    <row r="21" spans="1:8" x14ac:dyDescent="0.35">
      <c r="A21" s="54" t="s">
        <v>488</v>
      </c>
      <c r="B21" s="54">
        <f>(1.1*195)+52+6+20</f>
        <v>292.5</v>
      </c>
      <c r="C21" s="54">
        <f>195*2</f>
        <v>390</v>
      </c>
      <c r="D21" s="54">
        <f t="shared" si="4"/>
        <v>97.5</v>
      </c>
      <c r="E21" s="64">
        <f t="shared" si="5"/>
        <v>0.33333333333333331</v>
      </c>
    </row>
    <row r="22" spans="1:8" x14ac:dyDescent="0.35">
      <c r="A22" s="54" t="s">
        <v>489</v>
      </c>
      <c r="B22" s="54">
        <f>(1.1*200)+52+6+20</f>
        <v>298</v>
      </c>
      <c r="C22" s="54">
        <f>200*2</f>
        <v>400</v>
      </c>
      <c r="D22" s="54">
        <f t="shared" si="4"/>
        <v>102</v>
      </c>
      <c r="E22" s="64">
        <f t="shared" si="5"/>
        <v>0.34228187919463088</v>
      </c>
    </row>
    <row r="23" spans="1:8" x14ac:dyDescent="0.35">
      <c r="A23" s="54" t="s">
        <v>490</v>
      </c>
      <c r="B23" s="54">
        <f>(1.4*100)+52+6</f>
        <v>198</v>
      </c>
      <c r="C23" s="54">
        <f>100*3.5</f>
        <v>350</v>
      </c>
      <c r="D23" s="54">
        <f t="shared" si="4"/>
        <v>152</v>
      </c>
      <c r="E23" s="64">
        <f t="shared" si="5"/>
        <v>0.76767676767676762</v>
      </c>
    </row>
    <row r="24" spans="1:8" x14ac:dyDescent="0.35">
      <c r="A24" s="54" t="s">
        <v>492</v>
      </c>
      <c r="B24" s="54">
        <f>(2*100)+52+6</f>
        <v>258</v>
      </c>
      <c r="C24" s="54">
        <f>100*5</f>
        <v>500</v>
      </c>
      <c r="D24" s="54">
        <f t="shared" si="4"/>
        <v>242</v>
      </c>
      <c r="E24" s="64">
        <f t="shared" si="5"/>
        <v>0.93798449612403101</v>
      </c>
    </row>
    <row r="25" spans="1:8" x14ac:dyDescent="0.35">
      <c r="A25" s="54" t="s">
        <v>491</v>
      </c>
      <c r="B25" s="54">
        <f>(1.3*180)+52+6</f>
        <v>292</v>
      </c>
      <c r="C25" s="54">
        <f>180*2.4</f>
        <v>432</v>
      </c>
      <c r="D25" s="54">
        <f t="shared" si="4"/>
        <v>140</v>
      </c>
      <c r="E25" s="64">
        <f t="shared" si="5"/>
        <v>0.47945205479452052</v>
      </c>
    </row>
    <row r="26" spans="1:8" x14ac:dyDescent="0.35">
      <c r="A26" s="54" t="s">
        <v>493</v>
      </c>
      <c r="B26" s="54">
        <f>(1.8*90)+52+6</f>
        <v>220</v>
      </c>
      <c r="C26" s="54">
        <f>90*5</f>
        <v>450</v>
      </c>
      <c r="D26" s="54">
        <f t="shared" si="4"/>
        <v>230</v>
      </c>
      <c r="E26" s="64">
        <f t="shared" si="5"/>
        <v>1.0454545454545454</v>
      </c>
    </row>
    <row r="27" spans="1:8" x14ac:dyDescent="0.35">
      <c r="A27" s="54" t="s">
        <v>494</v>
      </c>
      <c r="B27" s="54">
        <f>(2.5*90)+52+6</f>
        <v>283</v>
      </c>
      <c r="C27" s="54">
        <f>63*7</f>
        <v>441</v>
      </c>
      <c r="D27" s="54">
        <f t="shared" si="4"/>
        <v>158</v>
      </c>
      <c r="E27" s="64">
        <f t="shared" si="5"/>
        <v>0.55830388692579502</v>
      </c>
    </row>
    <row r="28" spans="1:8" x14ac:dyDescent="0.35">
      <c r="A28" s="54" t="s">
        <v>500</v>
      </c>
      <c r="B28" s="54">
        <f>(12*18)+52+6</f>
        <v>274</v>
      </c>
      <c r="C28" s="54">
        <f>30*18</f>
        <v>540</v>
      </c>
      <c r="D28" s="54">
        <f t="shared" si="4"/>
        <v>266</v>
      </c>
      <c r="E28" s="64">
        <f t="shared" si="5"/>
        <v>0.97080291970802923</v>
      </c>
    </row>
    <row r="29" spans="1:8" x14ac:dyDescent="0.35">
      <c r="A29" s="54" t="s">
        <v>501</v>
      </c>
      <c r="B29" s="54">
        <f>(17*12)+52+6</f>
        <v>262</v>
      </c>
      <c r="C29" s="54">
        <f>50*12</f>
        <v>600</v>
      </c>
      <c r="D29" s="54">
        <f t="shared" si="4"/>
        <v>338</v>
      </c>
      <c r="E29" s="64">
        <f t="shared" si="5"/>
        <v>1.2900763358778626</v>
      </c>
    </row>
    <row r="30" spans="1:8" x14ac:dyDescent="0.35">
      <c r="A30" s="54" t="s">
        <v>502</v>
      </c>
      <c r="B30" s="54">
        <f>(10*27)+52+6</f>
        <v>328</v>
      </c>
      <c r="C30" s="54">
        <f>80*10</f>
        <v>800</v>
      </c>
      <c r="D30" s="54">
        <f t="shared" si="4"/>
        <v>472</v>
      </c>
      <c r="E30" s="64">
        <f t="shared" si="5"/>
        <v>1.4390243902439024</v>
      </c>
    </row>
    <row r="31" spans="1:8" x14ac:dyDescent="0.35">
      <c r="A31" s="54" t="s">
        <v>503</v>
      </c>
      <c r="B31" s="54">
        <f>(30*5)+52+6</f>
        <v>208</v>
      </c>
      <c r="C31" s="54">
        <f>10*30</f>
        <v>300</v>
      </c>
      <c r="D31" s="54">
        <f t="shared" si="4"/>
        <v>92</v>
      </c>
      <c r="E31" s="64">
        <f t="shared" si="5"/>
        <v>0.44230769230769229</v>
      </c>
    </row>
  </sheetData>
  <mergeCells count="1">
    <mergeCell ref="A15:B15"/>
  </mergeCells>
  <conditionalFormatting sqref="A1:H1">
    <cfRule type="dataBar" priority="12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AC48F-B231-4893-A703-4284C2E8C0D4}">
  <dimension ref="A1:Q61"/>
  <sheetViews>
    <sheetView zoomScale="90" zoomScaleNormal="90" workbookViewId="0">
      <pane ySplit="1" topLeftCell="A28" activePane="bottomLeft" state="frozen"/>
      <selection activeCell="B1" sqref="B1"/>
      <selection pane="bottomLeft" activeCell="A36" sqref="A36"/>
    </sheetView>
  </sheetViews>
  <sheetFormatPr defaultColWidth="26" defaultRowHeight="14.5" x14ac:dyDescent="0.35"/>
  <cols>
    <col min="1" max="1" width="29.7265625" bestFit="1" customWidth="1"/>
    <col min="2" max="4" width="9.1796875" style="1" bestFit="1" customWidth="1"/>
    <col min="5" max="5" width="11.81640625" style="1" bestFit="1" customWidth="1"/>
    <col min="6" max="6" width="16.90625" style="1" bestFit="1" customWidth="1"/>
    <col min="7" max="7" width="9.26953125" style="1" bestFit="1" customWidth="1"/>
    <col min="8" max="8" width="17.453125" bestFit="1" customWidth="1"/>
    <col min="9" max="9" width="10" bestFit="1" customWidth="1"/>
    <col min="10" max="10" width="6.54296875" customWidth="1"/>
    <col min="11" max="11" width="28.6328125" bestFit="1" customWidth="1"/>
    <col min="12" max="15" width="9.1796875" bestFit="1" customWidth="1"/>
    <col min="16" max="16" width="16.90625" bestFit="1" customWidth="1"/>
    <col min="17" max="17" width="9.26953125" bestFit="1" customWidth="1"/>
  </cols>
  <sheetData>
    <row r="1" spans="1:17" s="23" customFormat="1" ht="29" x14ac:dyDescent="0.35">
      <c r="A1" s="30" t="s">
        <v>7</v>
      </c>
      <c r="B1" s="28" t="s">
        <v>6</v>
      </c>
      <c r="C1" s="28" t="s">
        <v>5</v>
      </c>
      <c r="D1" s="28" t="s">
        <v>4</v>
      </c>
      <c r="E1" s="29" t="s">
        <v>3</v>
      </c>
      <c r="F1" s="29" t="s">
        <v>2</v>
      </c>
      <c r="G1" s="28" t="s">
        <v>1</v>
      </c>
      <c r="H1" s="27" t="s">
        <v>9</v>
      </c>
      <c r="I1" s="26" t="s">
        <v>8</v>
      </c>
      <c r="K1" s="25" t="s">
        <v>7</v>
      </c>
      <c r="L1" s="24" t="s">
        <v>6</v>
      </c>
      <c r="M1" s="24" t="s">
        <v>5</v>
      </c>
      <c r="N1" s="24" t="s">
        <v>4</v>
      </c>
      <c r="O1" s="24" t="s">
        <v>3</v>
      </c>
      <c r="P1" s="24" t="s">
        <v>2</v>
      </c>
      <c r="Q1" s="24" t="s">
        <v>1</v>
      </c>
    </row>
    <row r="2" spans="1:17" x14ac:dyDescent="0.35">
      <c r="A2" s="21">
        <v>44928</v>
      </c>
      <c r="B2" s="20">
        <f t="shared" ref="B2:B36" si="0">D2*0.3</f>
        <v>1242</v>
      </c>
      <c r="C2" s="20">
        <f t="shared" ref="C2:C36" si="1">D2-B2</f>
        <v>2898</v>
      </c>
      <c r="D2" s="20">
        <f t="shared" ref="D2:D36" si="2">E2+F2</f>
        <v>4140</v>
      </c>
      <c r="E2" s="20">
        <v>4060</v>
      </c>
      <c r="F2" s="20">
        <v>80</v>
      </c>
      <c r="G2" s="20">
        <v>100</v>
      </c>
      <c r="H2" s="19">
        <f t="shared" ref="H2:H36" si="3">IFERROR(B2/C2,0)</f>
        <v>0.42857142857142855</v>
      </c>
      <c r="I2" s="18">
        <f>SUM($D$2:D2)-SUM($G$2:G2)</f>
        <v>4040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1">
        <v>44929</v>
      </c>
      <c r="B3" s="20">
        <f t="shared" si="0"/>
        <v>12624</v>
      </c>
      <c r="C3" s="20">
        <f t="shared" si="1"/>
        <v>29456</v>
      </c>
      <c r="D3" s="20">
        <f t="shared" si="2"/>
        <v>42080</v>
      </c>
      <c r="E3" s="20">
        <v>33690</v>
      </c>
      <c r="F3" s="20">
        <v>8390</v>
      </c>
      <c r="G3" s="20">
        <v>1110</v>
      </c>
      <c r="H3" s="19">
        <f t="shared" si="3"/>
        <v>0.42857142857142855</v>
      </c>
      <c r="I3" s="18">
        <f>SUM($D$2:D3)-SUM($G$2:G3)</f>
        <v>45010</v>
      </c>
      <c r="K3" s="8">
        <f t="shared" ref="K3:K9" si="4">A2</f>
        <v>44928</v>
      </c>
      <c r="L3" s="2">
        <f t="shared" ref="L3:L9" si="5">N3*0.39</f>
        <v>1614.6000000000001</v>
      </c>
      <c r="M3" s="2">
        <f t="shared" ref="M3:M9" si="6">N3-L3</f>
        <v>2525.3999999999996</v>
      </c>
      <c r="N3" s="2">
        <f t="shared" ref="N3:N9" si="7">O3+P3</f>
        <v>4140</v>
      </c>
      <c r="O3" s="2">
        <f t="shared" ref="O3:O9" si="8">VLOOKUP(K3,$A$1:$H$37,5,0)</f>
        <v>4060</v>
      </c>
      <c r="P3" s="2">
        <f t="shared" ref="P3:P9" si="9">VLOOKUP(K3,$A$1:$H$37,6,0)</f>
        <v>80</v>
      </c>
      <c r="Q3" s="2">
        <f t="shared" ref="Q3:Q9" si="10">VLOOKUP(K3,$A$1:$H$37,7,0)</f>
        <v>100</v>
      </c>
    </row>
    <row r="4" spans="1:17" x14ac:dyDescent="0.35">
      <c r="A4" s="21">
        <v>44930</v>
      </c>
      <c r="B4" s="20">
        <f t="shared" si="0"/>
        <v>11262</v>
      </c>
      <c r="C4" s="20">
        <f t="shared" si="1"/>
        <v>26278</v>
      </c>
      <c r="D4" s="20">
        <f t="shared" si="2"/>
        <v>37540</v>
      </c>
      <c r="E4" s="22">
        <v>10750</v>
      </c>
      <c r="F4" s="22">
        <v>26790</v>
      </c>
      <c r="G4" s="22">
        <v>100</v>
      </c>
      <c r="H4" s="19">
        <f t="shared" si="3"/>
        <v>0.42857142857142855</v>
      </c>
      <c r="I4" s="18">
        <f>SUM($D$2:D4)-SUM($G$2:G4)</f>
        <v>82450</v>
      </c>
      <c r="K4" s="9">
        <f t="shared" si="4"/>
        <v>44929</v>
      </c>
      <c r="L4" s="4">
        <f t="shared" si="5"/>
        <v>16411.2</v>
      </c>
      <c r="M4" s="4">
        <f t="shared" si="6"/>
        <v>25668.799999999999</v>
      </c>
      <c r="N4" s="4">
        <f t="shared" si="7"/>
        <v>42080</v>
      </c>
      <c r="O4" s="4">
        <f t="shared" si="8"/>
        <v>33690</v>
      </c>
      <c r="P4" s="4">
        <f t="shared" si="9"/>
        <v>8390</v>
      </c>
      <c r="Q4" s="4">
        <f t="shared" si="10"/>
        <v>1110</v>
      </c>
    </row>
    <row r="5" spans="1:17" x14ac:dyDescent="0.35">
      <c r="A5" s="21">
        <v>44931</v>
      </c>
      <c r="B5" s="20">
        <f t="shared" si="0"/>
        <v>3051.2999999999997</v>
      </c>
      <c r="C5" s="20">
        <f t="shared" si="1"/>
        <v>7119.7000000000007</v>
      </c>
      <c r="D5" s="20">
        <f t="shared" si="2"/>
        <v>10171</v>
      </c>
      <c r="E5" s="20">
        <v>9421</v>
      </c>
      <c r="F5" s="20">
        <v>750</v>
      </c>
      <c r="G5" s="20">
        <v>3590</v>
      </c>
      <c r="H5" s="19">
        <f t="shared" si="3"/>
        <v>0.42857142857142849</v>
      </c>
      <c r="I5" s="18">
        <f>SUM($D$2:D5)-SUM($G$2:G5)</f>
        <v>89031</v>
      </c>
      <c r="K5" s="8">
        <f t="shared" si="4"/>
        <v>44930</v>
      </c>
      <c r="L5" s="2">
        <f t="shared" si="5"/>
        <v>14640.6</v>
      </c>
      <c r="M5" s="2">
        <f t="shared" si="6"/>
        <v>22899.4</v>
      </c>
      <c r="N5" s="2">
        <f t="shared" si="7"/>
        <v>37540</v>
      </c>
      <c r="O5" s="2">
        <f t="shared" si="8"/>
        <v>10750</v>
      </c>
      <c r="P5" s="2">
        <f t="shared" si="9"/>
        <v>26790</v>
      </c>
      <c r="Q5" s="2">
        <f t="shared" si="10"/>
        <v>100</v>
      </c>
    </row>
    <row r="6" spans="1:17" x14ac:dyDescent="0.35">
      <c r="A6" s="21">
        <v>44932</v>
      </c>
      <c r="B6" s="20">
        <f t="shared" si="0"/>
        <v>19530.3</v>
      </c>
      <c r="C6" s="20">
        <f t="shared" si="1"/>
        <v>45570.7</v>
      </c>
      <c r="D6" s="20">
        <f t="shared" si="2"/>
        <v>65101</v>
      </c>
      <c r="E6" s="20">
        <v>13750</v>
      </c>
      <c r="F6" s="20">
        <v>51351</v>
      </c>
      <c r="G6" s="20">
        <v>2730</v>
      </c>
      <c r="H6" s="19">
        <f t="shared" si="3"/>
        <v>0.4285714285714286</v>
      </c>
      <c r="I6" s="18">
        <f>SUM($D$2:D6)-SUM($G$2:G6)</f>
        <v>151402</v>
      </c>
      <c r="K6" s="9">
        <f t="shared" si="4"/>
        <v>44931</v>
      </c>
      <c r="L6" s="4">
        <f t="shared" si="5"/>
        <v>3966.69</v>
      </c>
      <c r="M6" s="4">
        <f t="shared" si="6"/>
        <v>6204.3099999999995</v>
      </c>
      <c r="N6" s="4">
        <f t="shared" si="7"/>
        <v>10171</v>
      </c>
      <c r="O6" s="4">
        <f t="shared" si="8"/>
        <v>9421</v>
      </c>
      <c r="P6" s="4">
        <f t="shared" si="9"/>
        <v>750</v>
      </c>
      <c r="Q6" s="4">
        <f t="shared" si="10"/>
        <v>3590</v>
      </c>
    </row>
    <row r="7" spans="1:17" x14ac:dyDescent="0.35">
      <c r="A7" s="21">
        <v>44933</v>
      </c>
      <c r="B7" s="20">
        <f t="shared" si="0"/>
        <v>2805</v>
      </c>
      <c r="C7" s="20">
        <f t="shared" si="1"/>
        <v>6545</v>
      </c>
      <c r="D7" s="20">
        <f t="shared" si="2"/>
        <v>9350</v>
      </c>
      <c r="E7" s="20">
        <v>4480</v>
      </c>
      <c r="F7" s="20">
        <v>4870</v>
      </c>
      <c r="G7" s="20">
        <v>170</v>
      </c>
      <c r="H7" s="19">
        <f t="shared" si="3"/>
        <v>0.42857142857142855</v>
      </c>
      <c r="I7" s="18">
        <f>SUM($D$2:D7)-SUM($G$2:G7)</f>
        <v>160582</v>
      </c>
      <c r="K7" s="8">
        <f t="shared" si="4"/>
        <v>44932</v>
      </c>
      <c r="L7" s="2">
        <f t="shared" si="5"/>
        <v>25389.39</v>
      </c>
      <c r="M7" s="2">
        <f t="shared" si="6"/>
        <v>39711.61</v>
      </c>
      <c r="N7" s="2">
        <f t="shared" si="7"/>
        <v>65101</v>
      </c>
      <c r="O7" s="2">
        <f t="shared" si="8"/>
        <v>13750</v>
      </c>
      <c r="P7" s="2">
        <f t="shared" si="9"/>
        <v>51351</v>
      </c>
      <c r="Q7" s="2">
        <f t="shared" si="10"/>
        <v>2730</v>
      </c>
    </row>
    <row r="8" spans="1:17" x14ac:dyDescent="0.35">
      <c r="A8" s="21">
        <v>44934</v>
      </c>
      <c r="B8" s="20">
        <f t="shared" si="0"/>
        <v>6366</v>
      </c>
      <c r="C8" s="20">
        <f t="shared" si="1"/>
        <v>14854</v>
      </c>
      <c r="D8" s="20">
        <f t="shared" si="2"/>
        <v>21220</v>
      </c>
      <c r="E8" s="20">
        <v>12070</v>
      </c>
      <c r="F8" s="20">
        <v>9150</v>
      </c>
      <c r="G8" s="20">
        <v>8700</v>
      </c>
      <c r="H8" s="19">
        <f t="shared" si="3"/>
        <v>0.42857142857142855</v>
      </c>
      <c r="I8" s="18">
        <f>SUM($D$2:D8)-SUM($G$2:G8)</f>
        <v>173102</v>
      </c>
      <c r="K8" s="9">
        <f t="shared" si="4"/>
        <v>44933</v>
      </c>
      <c r="L8" s="4">
        <f t="shared" si="5"/>
        <v>3646.5</v>
      </c>
      <c r="M8" s="4">
        <f t="shared" si="6"/>
        <v>5703.5</v>
      </c>
      <c r="N8" s="4">
        <f t="shared" si="7"/>
        <v>9350</v>
      </c>
      <c r="O8" s="4">
        <f t="shared" si="8"/>
        <v>4480</v>
      </c>
      <c r="P8" s="4">
        <f t="shared" si="9"/>
        <v>4870</v>
      </c>
      <c r="Q8" s="4">
        <f t="shared" si="10"/>
        <v>170</v>
      </c>
    </row>
    <row r="9" spans="1:17" x14ac:dyDescent="0.35">
      <c r="A9" s="21">
        <v>44935</v>
      </c>
      <c r="B9" s="20">
        <f t="shared" si="0"/>
        <v>3033</v>
      </c>
      <c r="C9" s="20">
        <f t="shared" si="1"/>
        <v>7077</v>
      </c>
      <c r="D9" s="20">
        <f t="shared" si="2"/>
        <v>10110</v>
      </c>
      <c r="E9" s="20">
        <v>6680</v>
      </c>
      <c r="F9" s="20">
        <f>2880+550</f>
        <v>3430</v>
      </c>
      <c r="G9" s="20">
        <v>400</v>
      </c>
      <c r="H9" s="19">
        <f t="shared" si="3"/>
        <v>0.42857142857142855</v>
      </c>
      <c r="I9" s="18">
        <f>SUM($D$2:D9)-SUM($G$2:G9)</f>
        <v>182812</v>
      </c>
      <c r="K9" s="8">
        <f t="shared" si="4"/>
        <v>44934</v>
      </c>
      <c r="L9" s="2">
        <f t="shared" si="5"/>
        <v>8275.8000000000011</v>
      </c>
      <c r="M9" s="2">
        <f t="shared" si="6"/>
        <v>12944.199999999999</v>
      </c>
      <c r="N9" s="2">
        <f t="shared" si="7"/>
        <v>21220</v>
      </c>
      <c r="O9" s="2">
        <f t="shared" si="8"/>
        <v>12070</v>
      </c>
      <c r="P9" s="2">
        <f t="shared" si="9"/>
        <v>9150</v>
      </c>
      <c r="Q9" s="2">
        <f t="shared" si="10"/>
        <v>8700</v>
      </c>
    </row>
    <row r="10" spans="1:17" x14ac:dyDescent="0.35">
      <c r="A10" s="21">
        <v>44936</v>
      </c>
      <c r="B10" s="20">
        <f t="shared" si="0"/>
        <v>6240</v>
      </c>
      <c r="C10" s="20">
        <f t="shared" si="1"/>
        <v>14560</v>
      </c>
      <c r="D10" s="20">
        <f t="shared" si="2"/>
        <v>20800</v>
      </c>
      <c r="E10" s="20">
        <v>13260</v>
      </c>
      <c r="F10" s="20">
        <v>7540</v>
      </c>
      <c r="G10" s="20">
        <v>7100</v>
      </c>
      <c r="H10" s="19">
        <f t="shared" si="3"/>
        <v>0.42857142857142855</v>
      </c>
      <c r="I10" s="18">
        <f>SUM($D$2:D10)-SUM($G$2:G10)</f>
        <v>196512</v>
      </c>
      <c r="K10" s="3" t="s">
        <v>4</v>
      </c>
      <c r="L10" s="3">
        <f>SUM(L3:L9)</f>
        <v>73944.780000000013</v>
      </c>
      <c r="M10" s="3">
        <f>SUM(M2:M9)</f>
        <v>115657.21999999999</v>
      </c>
      <c r="N10" s="3">
        <f>SUM(N2:N9)</f>
        <v>189602</v>
      </c>
      <c r="O10" s="3">
        <f>SUM(O2:O9)</f>
        <v>88221</v>
      </c>
      <c r="P10" s="3">
        <f>SUM(P2:P9)</f>
        <v>101381</v>
      </c>
      <c r="Q10" s="3">
        <f>SUM(Q2:Q9)</f>
        <v>16500</v>
      </c>
    </row>
    <row r="11" spans="1:17" x14ac:dyDescent="0.35">
      <c r="A11" s="21">
        <v>44937</v>
      </c>
      <c r="B11" s="20">
        <f t="shared" si="0"/>
        <v>1782</v>
      </c>
      <c r="C11" s="20">
        <f t="shared" si="1"/>
        <v>4158</v>
      </c>
      <c r="D11" s="20">
        <f t="shared" si="2"/>
        <v>5940</v>
      </c>
      <c r="E11" s="20">
        <v>2710</v>
      </c>
      <c r="F11" s="20">
        <v>3230</v>
      </c>
      <c r="G11" s="20">
        <v>900</v>
      </c>
      <c r="H11" s="19">
        <f t="shared" si="3"/>
        <v>0.42857142857142855</v>
      </c>
      <c r="I11" s="18">
        <f>SUM($D$2:D11)-SUM($G$2:G11)</f>
        <v>201552</v>
      </c>
      <c r="K11" s="3" t="s">
        <v>0</v>
      </c>
      <c r="L11" s="3">
        <f>L10/3</f>
        <v>24648.260000000006</v>
      </c>
      <c r="M11" s="3"/>
      <c r="N11" s="3"/>
      <c r="O11" s="2"/>
      <c r="P11" s="2"/>
      <c r="Q11" s="2"/>
    </row>
    <row r="12" spans="1:17" x14ac:dyDescent="0.35">
      <c r="A12" s="21">
        <v>44938</v>
      </c>
      <c r="B12" s="20">
        <f t="shared" si="0"/>
        <v>10635.3</v>
      </c>
      <c r="C12" s="20">
        <f t="shared" si="1"/>
        <v>24815.7</v>
      </c>
      <c r="D12" s="20">
        <f t="shared" si="2"/>
        <v>35451</v>
      </c>
      <c r="E12" s="20">
        <v>30020</v>
      </c>
      <c r="F12" s="20">
        <v>5431</v>
      </c>
      <c r="G12" s="20">
        <v>4520</v>
      </c>
      <c r="H12" s="19">
        <f t="shared" si="3"/>
        <v>0.42857142857142855</v>
      </c>
      <c r="I12" s="18">
        <f>SUM($D$2:D12)-SUM($G$2:G12)</f>
        <v>232483</v>
      </c>
    </row>
    <row r="13" spans="1:17" x14ac:dyDescent="0.35">
      <c r="A13" s="21">
        <v>44939</v>
      </c>
      <c r="B13" s="20">
        <f t="shared" si="0"/>
        <v>9395.4</v>
      </c>
      <c r="C13" s="20">
        <f t="shared" si="1"/>
        <v>21922.6</v>
      </c>
      <c r="D13" s="20">
        <f t="shared" si="2"/>
        <v>31318</v>
      </c>
      <c r="E13" s="20">
        <v>24638</v>
      </c>
      <c r="F13" s="20">
        <v>6680</v>
      </c>
      <c r="G13" s="20">
        <v>2310</v>
      </c>
      <c r="H13" s="19">
        <f t="shared" si="3"/>
        <v>0.4285714285714286</v>
      </c>
      <c r="I13" s="18">
        <f>SUM($D$2:D13)-SUM($G$2:G13)</f>
        <v>261491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1">
        <v>44940</v>
      </c>
      <c r="B14" s="20">
        <f t="shared" si="0"/>
        <v>4305</v>
      </c>
      <c r="C14" s="20">
        <f t="shared" si="1"/>
        <v>10045</v>
      </c>
      <c r="D14" s="20">
        <f t="shared" si="2"/>
        <v>14350</v>
      </c>
      <c r="E14" s="20">
        <v>6460</v>
      </c>
      <c r="F14" s="20">
        <v>7890</v>
      </c>
      <c r="G14" s="20">
        <v>560</v>
      </c>
      <c r="H14" s="19">
        <f t="shared" si="3"/>
        <v>0.42857142857142855</v>
      </c>
      <c r="I14" s="18">
        <f>SUM($D$2:D14)-SUM($G$2:G14)</f>
        <v>275281</v>
      </c>
      <c r="K14" s="8">
        <f t="shared" ref="K14:K20" si="11">A9</f>
        <v>44935</v>
      </c>
      <c r="L14" s="2">
        <f t="shared" ref="L14:L20" si="12">N14*0.39</f>
        <v>3942.9</v>
      </c>
      <c r="M14" s="2">
        <f t="shared" ref="M14:M20" si="13">N14-L14</f>
        <v>6167.1</v>
      </c>
      <c r="N14" s="2">
        <f t="shared" ref="N14:N20" si="14">O14+P14</f>
        <v>10110</v>
      </c>
      <c r="O14" s="2">
        <f t="shared" ref="O14:O20" si="15">VLOOKUP(K14,$A$1:$H$37,5,0)</f>
        <v>6680</v>
      </c>
      <c r="P14" s="2">
        <f t="shared" ref="P14:P20" si="16">VLOOKUP(K14,$A$1:$H$37,6,0)</f>
        <v>3430</v>
      </c>
      <c r="Q14" s="2">
        <f t="shared" ref="Q14:Q20" si="17">VLOOKUP(K14,$A$1:$H$37,7,0)</f>
        <v>400</v>
      </c>
    </row>
    <row r="15" spans="1:17" x14ac:dyDescent="0.35">
      <c r="A15" s="21">
        <v>44941</v>
      </c>
      <c r="B15" s="20">
        <f t="shared" si="0"/>
        <v>1981.1999999999998</v>
      </c>
      <c r="C15" s="20">
        <f t="shared" si="1"/>
        <v>4622.8</v>
      </c>
      <c r="D15" s="20">
        <f t="shared" si="2"/>
        <v>6604</v>
      </c>
      <c r="E15" s="20">
        <v>4124</v>
      </c>
      <c r="F15" s="20">
        <v>2480</v>
      </c>
      <c r="G15" s="20">
        <v>100</v>
      </c>
      <c r="H15" s="19">
        <f t="shared" si="3"/>
        <v>0.42857142857142849</v>
      </c>
      <c r="I15" s="18">
        <f>SUM($D$2:D15)-SUM($G$2:G15)</f>
        <v>281785</v>
      </c>
      <c r="K15" s="9">
        <f t="shared" si="11"/>
        <v>44936</v>
      </c>
      <c r="L15" s="4">
        <f t="shared" si="12"/>
        <v>8112</v>
      </c>
      <c r="M15" s="4">
        <f t="shared" si="13"/>
        <v>12688</v>
      </c>
      <c r="N15" s="4">
        <f t="shared" si="14"/>
        <v>20800</v>
      </c>
      <c r="O15" s="4">
        <f t="shared" si="15"/>
        <v>13260</v>
      </c>
      <c r="P15" s="4">
        <f t="shared" si="16"/>
        <v>7540</v>
      </c>
      <c r="Q15" s="4">
        <f t="shared" si="17"/>
        <v>7100</v>
      </c>
    </row>
    <row r="16" spans="1:17" x14ac:dyDescent="0.35">
      <c r="A16" s="21">
        <v>44942</v>
      </c>
      <c r="B16" s="20">
        <f t="shared" si="0"/>
        <v>5217</v>
      </c>
      <c r="C16" s="20">
        <f t="shared" si="1"/>
        <v>12173</v>
      </c>
      <c r="D16" s="20">
        <f t="shared" si="2"/>
        <v>17390</v>
      </c>
      <c r="E16" s="20">
        <v>8240</v>
      </c>
      <c r="F16" s="20">
        <v>9150</v>
      </c>
      <c r="G16" s="20">
        <v>3100</v>
      </c>
      <c r="H16" s="19">
        <f t="shared" si="3"/>
        <v>0.42857142857142855</v>
      </c>
      <c r="I16" s="18">
        <f>SUM($D$2:D16)-SUM($G$2:G16)</f>
        <v>296075</v>
      </c>
      <c r="K16" s="8">
        <f t="shared" si="11"/>
        <v>44937</v>
      </c>
      <c r="L16" s="2">
        <f t="shared" si="12"/>
        <v>2316.6</v>
      </c>
      <c r="M16" s="2">
        <f t="shared" si="13"/>
        <v>3623.4</v>
      </c>
      <c r="N16" s="2">
        <f t="shared" si="14"/>
        <v>5940</v>
      </c>
      <c r="O16" s="2">
        <f t="shared" si="15"/>
        <v>2710</v>
      </c>
      <c r="P16" s="2">
        <f t="shared" si="16"/>
        <v>3230</v>
      </c>
      <c r="Q16" s="2">
        <f t="shared" si="17"/>
        <v>900</v>
      </c>
    </row>
    <row r="17" spans="1:17" x14ac:dyDescent="0.35">
      <c r="A17" s="21">
        <v>44943</v>
      </c>
      <c r="B17" s="20">
        <f t="shared" si="0"/>
        <v>6028.5</v>
      </c>
      <c r="C17" s="20">
        <f t="shared" si="1"/>
        <v>14066.5</v>
      </c>
      <c r="D17" s="20">
        <f t="shared" si="2"/>
        <v>20095</v>
      </c>
      <c r="E17" s="20">
        <v>7350</v>
      </c>
      <c r="F17" s="20">
        <v>12745</v>
      </c>
      <c r="G17" s="20">
        <v>160</v>
      </c>
      <c r="H17" s="19">
        <f t="shared" si="3"/>
        <v>0.42857142857142855</v>
      </c>
      <c r="I17" s="18">
        <f>SUM($D$2:D17)-SUM($G$2:G17)</f>
        <v>316010</v>
      </c>
      <c r="K17" s="9">
        <f t="shared" si="11"/>
        <v>44938</v>
      </c>
      <c r="L17" s="4">
        <f t="shared" si="12"/>
        <v>13825.890000000001</v>
      </c>
      <c r="M17" s="4">
        <f t="shared" si="13"/>
        <v>21625.11</v>
      </c>
      <c r="N17" s="4">
        <f t="shared" si="14"/>
        <v>35451</v>
      </c>
      <c r="O17" s="4">
        <f t="shared" si="15"/>
        <v>30020</v>
      </c>
      <c r="P17" s="4">
        <f t="shared" si="16"/>
        <v>5431</v>
      </c>
      <c r="Q17" s="4">
        <f t="shared" si="17"/>
        <v>4520</v>
      </c>
    </row>
    <row r="18" spans="1:17" x14ac:dyDescent="0.35">
      <c r="A18" s="21">
        <v>44944</v>
      </c>
      <c r="B18" s="20">
        <f t="shared" si="0"/>
        <v>1839</v>
      </c>
      <c r="C18" s="20">
        <f t="shared" si="1"/>
        <v>4291</v>
      </c>
      <c r="D18" s="20">
        <f t="shared" si="2"/>
        <v>6130</v>
      </c>
      <c r="E18" s="20">
        <v>600</v>
      </c>
      <c r="F18" s="20">
        <v>5530</v>
      </c>
      <c r="G18" s="20">
        <v>60</v>
      </c>
      <c r="H18" s="19">
        <f t="shared" si="3"/>
        <v>0.42857142857142855</v>
      </c>
      <c r="I18" s="18">
        <f>SUM($D$2:D18)-SUM($G$2:G18)</f>
        <v>322080</v>
      </c>
      <c r="K18" s="8">
        <f t="shared" si="11"/>
        <v>44939</v>
      </c>
      <c r="L18" s="2">
        <f t="shared" si="12"/>
        <v>12214.02</v>
      </c>
      <c r="M18" s="2">
        <f t="shared" si="13"/>
        <v>19103.98</v>
      </c>
      <c r="N18" s="2">
        <f t="shared" si="14"/>
        <v>31318</v>
      </c>
      <c r="O18" s="2">
        <f t="shared" si="15"/>
        <v>24638</v>
      </c>
      <c r="P18" s="2">
        <f t="shared" si="16"/>
        <v>6680</v>
      </c>
      <c r="Q18" s="2">
        <f t="shared" si="17"/>
        <v>2310</v>
      </c>
    </row>
    <row r="19" spans="1:17" x14ac:dyDescent="0.35">
      <c r="A19" s="21">
        <v>44945</v>
      </c>
      <c r="B19" s="20">
        <f t="shared" si="0"/>
        <v>2760</v>
      </c>
      <c r="C19" s="20">
        <f t="shared" si="1"/>
        <v>6440</v>
      </c>
      <c r="D19" s="20">
        <f t="shared" si="2"/>
        <v>9200</v>
      </c>
      <c r="E19" s="20">
        <v>6600</v>
      </c>
      <c r="F19" s="20">
        <v>2600</v>
      </c>
      <c r="G19" s="20">
        <v>100</v>
      </c>
      <c r="H19" s="19">
        <f t="shared" si="3"/>
        <v>0.42857142857142855</v>
      </c>
      <c r="I19" s="18">
        <f>SUM($D$2:D19)-SUM($G$2:G19)</f>
        <v>331180</v>
      </c>
      <c r="K19" s="9">
        <f t="shared" si="11"/>
        <v>44940</v>
      </c>
      <c r="L19" s="4">
        <f t="shared" si="12"/>
        <v>5596.5</v>
      </c>
      <c r="M19" s="4">
        <f t="shared" si="13"/>
        <v>8753.5</v>
      </c>
      <c r="N19" s="4">
        <f t="shared" si="14"/>
        <v>14350</v>
      </c>
      <c r="O19" s="4">
        <f t="shared" si="15"/>
        <v>6460</v>
      </c>
      <c r="P19" s="4">
        <f t="shared" si="16"/>
        <v>7890</v>
      </c>
      <c r="Q19" s="4">
        <f t="shared" si="17"/>
        <v>560</v>
      </c>
    </row>
    <row r="20" spans="1:17" x14ac:dyDescent="0.35">
      <c r="A20" s="21">
        <v>44946</v>
      </c>
      <c r="B20" s="20">
        <f t="shared" si="0"/>
        <v>9960</v>
      </c>
      <c r="C20" s="20">
        <f t="shared" si="1"/>
        <v>23240</v>
      </c>
      <c r="D20" s="20">
        <f t="shared" si="2"/>
        <v>33200</v>
      </c>
      <c r="E20" s="20">
        <v>11990</v>
      </c>
      <c r="F20" s="20">
        <v>21210</v>
      </c>
      <c r="G20" s="20">
        <v>6060</v>
      </c>
      <c r="H20" s="19">
        <f t="shared" si="3"/>
        <v>0.42857142857142855</v>
      </c>
      <c r="I20" s="18">
        <f>SUM($D$2:D20)-SUM($G$2:G20)</f>
        <v>358320</v>
      </c>
      <c r="K20" s="8">
        <f t="shared" si="11"/>
        <v>44941</v>
      </c>
      <c r="L20" s="2">
        <f t="shared" si="12"/>
        <v>2575.56</v>
      </c>
      <c r="M20" s="2">
        <f t="shared" si="13"/>
        <v>4028.44</v>
      </c>
      <c r="N20" s="2">
        <f t="shared" si="14"/>
        <v>6604</v>
      </c>
      <c r="O20" s="2">
        <f t="shared" si="15"/>
        <v>4124</v>
      </c>
      <c r="P20" s="2">
        <f t="shared" si="16"/>
        <v>2480</v>
      </c>
      <c r="Q20" s="2">
        <f t="shared" si="17"/>
        <v>100</v>
      </c>
    </row>
    <row r="21" spans="1:17" x14ac:dyDescent="0.35">
      <c r="A21" s="21">
        <v>44947</v>
      </c>
      <c r="B21" s="20">
        <f t="shared" si="0"/>
        <v>5310</v>
      </c>
      <c r="C21" s="20">
        <f t="shared" si="1"/>
        <v>12390</v>
      </c>
      <c r="D21" s="20">
        <f t="shared" si="2"/>
        <v>17700</v>
      </c>
      <c r="E21" s="20">
        <v>11200</v>
      </c>
      <c r="F21" s="20">
        <v>6500</v>
      </c>
      <c r="G21" s="20">
        <v>60</v>
      </c>
      <c r="H21" s="19">
        <f t="shared" si="3"/>
        <v>0.42857142857142855</v>
      </c>
      <c r="I21" s="18">
        <f>SUM($D$2:D21)-SUM($G$2:G21)</f>
        <v>375960</v>
      </c>
      <c r="K21" s="3" t="s">
        <v>4</v>
      </c>
      <c r="L21" s="3">
        <f t="shared" ref="L21:Q21" si="18">SUM(L14:L20)</f>
        <v>48583.47</v>
      </c>
      <c r="M21" s="3">
        <f t="shared" si="18"/>
        <v>75989.53</v>
      </c>
      <c r="N21" s="3">
        <f t="shared" si="18"/>
        <v>124573</v>
      </c>
      <c r="O21" s="3">
        <f t="shared" si="18"/>
        <v>87892</v>
      </c>
      <c r="P21" s="3">
        <f t="shared" si="18"/>
        <v>36681</v>
      </c>
      <c r="Q21" s="3">
        <f t="shared" si="18"/>
        <v>15890</v>
      </c>
    </row>
    <row r="22" spans="1:17" x14ac:dyDescent="0.35">
      <c r="A22" s="21">
        <v>44948</v>
      </c>
      <c r="B22" s="20">
        <f t="shared" si="0"/>
        <v>1278</v>
      </c>
      <c r="C22" s="20">
        <f t="shared" si="1"/>
        <v>2982</v>
      </c>
      <c r="D22" s="20">
        <f t="shared" si="2"/>
        <v>4260</v>
      </c>
      <c r="E22" s="20">
        <v>4160</v>
      </c>
      <c r="F22" s="20">
        <v>100</v>
      </c>
      <c r="G22" s="20">
        <v>100</v>
      </c>
      <c r="H22" s="19">
        <f t="shared" si="3"/>
        <v>0.42857142857142855</v>
      </c>
      <c r="I22" s="18">
        <f>SUM($D$2:D22)-SUM($G$2:G22)</f>
        <v>380120</v>
      </c>
      <c r="K22" s="3" t="s">
        <v>0</v>
      </c>
      <c r="L22" s="3">
        <f>L21/3</f>
        <v>16194.49</v>
      </c>
      <c r="M22" s="3"/>
      <c r="N22" s="3"/>
      <c r="O22" s="2"/>
      <c r="P22" s="2"/>
      <c r="Q22" s="2"/>
    </row>
    <row r="23" spans="1:17" x14ac:dyDescent="0.35">
      <c r="A23" s="21">
        <v>44949</v>
      </c>
      <c r="B23" s="20">
        <f t="shared" si="0"/>
        <v>2934</v>
      </c>
      <c r="C23" s="20">
        <f t="shared" si="1"/>
        <v>6846</v>
      </c>
      <c r="D23" s="20">
        <f t="shared" si="2"/>
        <v>9780</v>
      </c>
      <c r="E23" s="20">
        <v>5580</v>
      </c>
      <c r="F23" s="20">
        <v>4200</v>
      </c>
      <c r="G23" s="20">
        <v>140</v>
      </c>
      <c r="H23" s="19">
        <f t="shared" si="3"/>
        <v>0.42857142857142855</v>
      </c>
      <c r="I23" s="18">
        <f>SUM($D$2:D23)-SUM($G$2:G23)</f>
        <v>389760</v>
      </c>
    </row>
    <row r="24" spans="1:17" x14ac:dyDescent="0.35">
      <c r="A24" s="21">
        <v>44950</v>
      </c>
      <c r="B24" s="20">
        <f t="shared" si="0"/>
        <v>2191.5</v>
      </c>
      <c r="C24" s="20">
        <f t="shared" si="1"/>
        <v>5113.5</v>
      </c>
      <c r="D24" s="20">
        <f t="shared" si="2"/>
        <v>7305</v>
      </c>
      <c r="E24" s="20">
        <v>4730</v>
      </c>
      <c r="F24" s="20">
        <v>2575</v>
      </c>
      <c r="G24" s="20">
        <v>260</v>
      </c>
      <c r="H24" s="19">
        <f t="shared" si="3"/>
        <v>0.42857142857142855</v>
      </c>
      <c r="I24" s="18">
        <f>SUM($D$2:D24)-SUM($G$2:G24)</f>
        <v>396805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1">
        <v>44951</v>
      </c>
      <c r="B25" s="20">
        <f t="shared" si="0"/>
        <v>4194</v>
      </c>
      <c r="C25" s="20">
        <f t="shared" si="1"/>
        <v>9786</v>
      </c>
      <c r="D25" s="20">
        <f t="shared" si="2"/>
        <v>13980</v>
      </c>
      <c r="E25" s="20">
        <v>10140</v>
      </c>
      <c r="F25" s="20">
        <v>3840</v>
      </c>
      <c r="G25" s="20">
        <v>260</v>
      </c>
      <c r="H25" s="19">
        <f t="shared" si="3"/>
        <v>0.42857142857142855</v>
      </c>
      <c r="I25" s="18">
        <f>SUM($D$2:D25)-SUM($G$2:G25)</f>
        <v>410525</v>
      </c>
      <c r="K25" s="8">
        <f t="shared" ref="K25:K31" si="19">A16</f>
        <v>44942</v>
      </c>
      <c r="L25" s="2">
        <f t="shared" ref="L25:L31" si="20">N25*0.39</f>
        <v>6782.1</v>
      </c>
      <c r="M25" s="2">
        <f t="shared" ref="M25:M31" si="21">N25-L25</f>
        <v>10607.9</v>
      </c>
      <c r="N25" s="2">
        <f t="shared" ref="N25:N31" si="22">O25+P25</f>
        <v>17390</v>
      </c>
      <c r="O25" s="2">
        <f t="shared" ref="O25:O31" si="23">VLOOKUP(K25,$A$1:$H$37,5,0)</f>
        <v>8240</v>
      </c>
      <c r="P25" s="2">
        <f t="shared" ref="P25:P31" si="24">VLOOKUP(K25,$A$1:$H$37,6,0)</f>
        <v>9150</v>
      </c>
      <c r="Q25" s="2">
        <f t="shared" ref="Q25:Q31" si="25">VLOOKUP(K25,$A$1:$H$37,7,0)</f>
        <v>3100</v>
      </c>
    </row>
    <row r="26" spans="1:17" x14ac:dyDescent="0.35">
      <c r="A26" s="21">
        <v>44952</v>
      </c>
      <c r="B26" s="20">
        <f t="shared" si="0"/>
        <v>1204.5</v>
      </c>
      <c r="C26" s="20">
        <f t="shared" si="1"/>
        <v>2810.5</v>
      </c>
      <c r="D26" s="20">
        <f t="shared" si="2"/>
        <v>4015</v>
      </c>
      <c r="E26" s="20">
        <v>3585</v>
      </c>
      <c r="F26" s="20">
        <v>430</v>
      </c>
      <c r="G26" s="20">
        <v>435</v>
      </c>
      <c r="H26" s="19">
        <f t="shared" si="3"/>
        <v>0.42857142857142855</v>
      </c>
      <c r="I26" s="18">
        <f>SUM($D$2:D26)-SUM($G$2:G26)</f>
        <v>414105</v>
      </c>
      <c r="K26" s="9">
        <f t="shared" si="19"/>
        <v>44943</v>
      </c>
      <c r="L26" s="4">
        <f t="shared" si="20"/>
        <v>7837.05</v>
      </c>
      <c r="M26" s="4">
        <f t="shared" si="21"/>
        <v>12257.95</v>
      </c>
      <c r="N26" s="4">
        <f t="shared" si="22"/>
        <v>20095</v>
      </c>
      <c r="O26" s="4">
        <f t="shared" si="23"/>
        <v>7350</v>
      </c>
      <c r="P26" s="4">
        <f t="shared" si="24"/>
        <v>12745</v>
      </c>
      <c r="Q26" s="4">
        <f t="shared" si="25"/>
        <v>160</v>
      </c>
    </row>
    <row r="27" spans="1:17" x14ac:dyDescent="0.35">
      <c r="A27" s="21">
        <v>44953</v>
      </c>
      <c r="B27" s="20">
        <f t="shared" si="0"/>
        <v>8373</v>
      </c>
      <c r="C27" s="20">
        <f t="shared" si="1"/>
        <v>19537</v>
      </c>
      <c r="D27" s="20">
        <f t="shared" si="2"/>
        <v>27910</v>
      </c>
      <c r="E27" s="20">
        <v>10180</v>
      </c>
      <c r="F27" s="20">
        <v>17730</v>
      </c>
      <c r="G27" s="20">
        <v>1360</v>
      </c>
      <c r="H27" s="19">
        <f t="shared" si="3"/>
        <v>0.42857142857142855</v>
      </c>
      <c r="I27" s="18">
        <f>SUM($D$2:D27)-SUM($G$2:G27)</f>
        <v>440655</v>
      </c>
      <c r="K27" s="8">
        <f t="shared" si="19"/>
        <v>44944</v>
      </c>
      <c r="L27" s="2">
        <f t="shared" si="20"/>
        <v>2390.7000000000003</v>
      </c>
      <c r="M27" s="2">
        <f t="shared" si="21"/>
        <v>3739.2999999999997</v>
      </c>
      <c r="N27" s="2">
        <f t="shared" si="22"/>
        <v>6130</v>
      </c>
      <c r="O27" s="2">
        <f t="shared" si="23"/>
        <v>600</v>
      </c>
      <c r="P27" s="2">
        <f t="shared" si="24"/>
        <v>5530</v>
      </c>
      <c r="Q27" s="2">
        <f t="shared" si="25"/>
        <v>60</v>
      </c>
    </row>
    <row r="28" spans="1:17" x14ac:dyDescent="0.35">
      <c r="A28" s="21">
        <v>44954</v>
      </c>
      <c r="B28" s="20">
        <f t="shared" si="0"/>
        <v>10746</v>
      </c>
      <c r="C28" s="20">
        <f t="shared" si="1"/>
        <v>25074</v>
      </c>
      <c r="D28" s="20">
        <f t="shared" si="2"/>
        <v>35820</v>
      </c>
      <c r="E28" s="20">
        <v>18090</v>
      </c>
      <c r="F28" s="20">
        <v>17730</v>
      </c>
      <c r="G28" s="20">
        <v>1360</v>
      </c>
      <c r="H28" s="19">
        <f t="shared" si="3"/>
        <v>0.42857142857142855</v>
      </c>
      <c r="I28" s="18">
        <f>SUM($D$2:D28)-SUM($G$2:G28)</f>
        <v>475115</v>
      </c>
      <c r="K28" s="9">
        <f t="shared" si="19"/>
        <v>44945</v>
      </c>
      <c r="L28" s="4">
        <f t="shared" si="20"/>
        <v>3588</v>
      </c>
      <c r="M28" s="4">
        <f t="shared" si="21"/>
        <v>5612</v>
      </c>
      <c r="N28" s="4">
        <f t="shared" si="22"/>
        <v>9200</v>
      </c>
      <c r="O28" s="4">
        <f t="shared" si="23"/>
        <v>6600</v>
      </c>
      <c r="P28" s="4">
        <f t="shared" si="24"/>
        <v>2600</v>
      </c>
      <c r="Q28" s="4">
        <f t="shared" si="25"/>
        <v>100</v>
      </c>
    </row>
    <row r="29" spans="1:17" x14ac:dyDescent="0.35">
      <c r="A29" s="21">
        <v>44955</v>
      </c>
      <c r="B29" s="20">
        <f t="shared" si="0"/>
        <v>4564.5</v>
      </c>
      <c r="C29" s="20">
        <f t="shared" si="1"/>
        <v>10650.5</v>
      </c>
      <c r="D29" s="20">
        <f t="shared" si="2"/>
        <v>15215</v>
      </c>
      <c r="E29" s="20">
        <v>5735</v>
      </c>
      <c r="F29" s="20">
        <v>9480</v>
      </c>
      <c r="G29" s="20">
        <v>2000</v>
      </c>
      <c r="H29" s="19">
        <f t="shared" si="3"/>
        <v>0.42857142857142855</v>
      </c>
      <c r="I29" s="18">
        <f>SUM($D$2:D29)-SUM($G$2:G29)</f>
        <v>488330</v>
      </c>
      <c r="K29" s="8">
        <f t="shared" si="19"/>
        <v>44946</v>
      </c>
      <c r="L29" s="2">
        <f t="shared" si="20"/>
        <v>12948</v>
      </c>
      <c r="M29" s="2">
        <f t="shared" si="21"/>
        <v>20252</v>
      </c>
      <c r="N29" s="2">
        <f t="shared" si="22"/>
        <v>33200</v>
      </c>
      <c r="O29" s="2">
        <f t="shared" si="23"/>
        <v>11990</v>
      </c>
      <c r="P29" s="2">
        <f t="shared" si="24"/>
        <v>21210</v>
      </c>
      <c r="Q29" s="2">
        <f t="shared" si="25"/>
        <v>6060</v>
      </c>
    </row>
    <row r="30" spans="1:17" x14ac:dyDescent="0.35">
      <c r="A30" s="21">
        <v>44956</v>
      </c>
      <c r="B30" s="20">
        <f t="shared" si="0"/>
        <v>3597</v>
      </c>
      <c r="C30" s="20">
        <f t="shared" si="1"/>
        <v>8393</v>
      </c>
      <c r="D30" s="20">
        <f t="shared" si="2"/>
        <v>11990</v>
      </c>
      <c r="E30" s="20">
        <v>6735</v>
      </c>
      <c r="F30" s="20">
        <v>5255</v>
      </c>
      <c r="G30" s="20">
        <v>1165</v>
      </c>
      <c r="H30" s="19">
        <f t="shared" si="3"/>
        <v>0.42857142857142855</v>
      </c>
      <c r="I30" s="18">
        <f>SUM($D$2:D30)-SUM($G$2:G30)</f>
        <v>499155</v>
      </c>
      <c r="K30" s="9">
        <f t="shared" si="19"/>
        <v>44947</v>
      </c>
      <c r="L30" s="4">
        <f t="shared" si="20"/>
        <v>6903</v>
      </c>
      <c r="M30" s="4">
        <f t="shared" si="21"/>
        <v>10797</v>
      </c>
      <c r="N30" s="4">
        <f t="shared" si="22"/>
        <v>17700</v>
      </c>
      <c r="O30" s="4">
        <f t="shared" si="23"/>
        <v>11200</v>
      </c>
      <c r="P30" s="4">
        <f t="shared" si="24"/>
        <v>6500</v>
      </c>
      <c r="Q30" s="4">
        <f t="shared" si="25"/>
        <v>60</v>
      </c>
    </row>
    <row r="31" spans="1:17" x14ac:dyDescent="0.35">
      <c r="A31" s="21">
        <v>44957</v>
      </c>
      <c r="B31" s="20">
        <f t="shared" si="0"/>
        <v>10233</v>
      </c>
      <c r="C31" s="20">
        <f t="shared" si="1"/>
        <v>23877</v>
      </c>
      <c r="D31" s="20">
        <f t="shared" si="2"/>
        <v>34110</v>
      </c>
      <c r="E31" s="20">
        <v>13510</v>
      </c>
      <c r="F31" s="20">
        <v>20600</v>
      </c>
      <c r="G31" s="20">
        <v>100</v>
      </c>
      <c r="H31" s="19">
        <f t="shared" si="3"/>
        <v>0.42857142857142855</v>
      </c>
      <c r="I31" s="18">
        <f>SUM($D$2:D31)-SUM($G$2:G31)</f>
        <v>533165</v>
      </c>
      <c r="K31" s="8">
        <f t="shared" si="19"/>
        <v>44948</v>
      </c>
      <c r="L31" s="2">
        <f t="shared" si="20"/>
        <v>1661.4</v>
      </c>
      <c r="M31" s="2">
        <f t="shared" si="21"/>
        <v>2598.6</v>
      </c>
      <c r="N31" s="2">
        <f t="shared" si="22"/>
        <v>4260</v>
      </c>
      <c r="O31" s="2">
        <f t="shared" si="23"/>
        <v>4160</v>
      </c>
      <c r="P31" s="2">
        <f t="shared" si="24"/>
        <v>100</v>
      </c>
      <c r="Q31" s="2">
        <f t="shared" si="25"/>
        <v>100</v>
      </c>
    </row>
    <row r="32" spans="1:17" x14ac:dyDescent="0.35">
      <c r="A32" s="21">
        <v>44958</v>
      </c>
      <c r="B32" s="20">
        <f t="shared" si="0"/>
        <v>5409</v>
      </c>
      <c r="C32" s="20">
        <f t="shared" si="1"/>
        <v>12621</v>
      </c>
      <c r="D32" s="20">
        <f t="shared" si="2"/>
        <v>18030</v>
      </c>
      <c r="E32" s="22">
        <v>8610</v>
      </c>
      <c r="F32" s="22">
        <v>9420</v>
      </c>
      <c r="G32" s="22">
        <v>6110</v>
      </c>
      <c r="H32" s="19">
        <f t="shared" si="3"/>
        <v>0.42857142857142855</v>
      </c>
      <c r="I32" s="18">
        <f>SUM($D$2:D32)-SUM($G$2:G32)</f>
        <v>545085</v>
      </c>
      <c r="K32" s="3" t="s">
        <v>4</v>
      </c>
      <c r="L32" s="2">
        <f t="shared" ref="L32:Q32" si="26">SUM(L25:L31)</f>
        <v>42110.250000000007</v>
      </c>
      <c r="M32" s="2">
        <f t="shared" si="26"/>
        <v>65864.75</v>
      </c>
      <c r="N32" s="2">
        <f t="shared" si="26"/>
        <v>107975</v>
      </c>
      <c r="O32" s="2">
        <f t="shared" si="26"/>
        <v>50140</v>
      </c>
      <c r="P32" s="2">
        <f t="shared" si="26"/>
        <v>57835</v>
      </c>
      <c r="Q32" s="2">
        <f t="shared" si="26"/>
        <v>9640</v>
      </c>
    </row>
    <row r="33" spans="1:17" x14ac:dyDescent="0.35">
      <c r="A33" s="21">
        <v>44959</v>
      </c>
      <c r="B33" s="20">
        <f t="shared" si="0"/>
        <v>6147</v>
      </c>
      <c r="C33" s="20">
        <f t="shared" si="1"/>
        <v>14343</v>
      </c>
      <c r="D33" s="20">
        <f t="shared" si="2"/>
        <v>20490</v>
      </c>
      <c r="E33" s="20">
        <v>17450</v>
      </c>
      <c r="F33" s="20">
        <v>3040</v>
      </c>
      <c r="G33" s="20">
        <v>5250</v>
      </c>
      <c r="H33" s="19">
        <f t="shared" si="3"/>
        <v>0.42857142857142855</v>
      </c>
      <c r="I33" s="18">
        <f>SUM($D$2:D33)-SUM($G$2:G33)</f>
        <v>560325</v>
      </c>
      <c r="K33" s="3" t="s">
        <v>0</v>
      </c>
      <c r="L33" s="4">
        <f>L32/3</f>
        <v>14036.750000000002</v>
      </c>
      <c r="M33" s="4"/>
      <c r="N33" s="4"/>
      <c r="O33" s="4"/>
      <c r="P33" s="4"/>
      <c r="Q33" s="4"/>
    </row>
    <row r="34" spans="1:17" x14ac:dyDescent="0.35">
      <c r="A34" s="21">
        <v>44960</v>
      </c>
      <c r="B34" s="20">
        <f t="shared" si="0"/>
        <v>6354</v>
      </c>
      <c r="C34" s="20">
        <f t="shared" si="1"/>
        <v>14826</v>
      </c>
      <c r="D34" s="20">
        <f t="shared" si="2"/>
        <v>21180</v>
      </c>
      <c r="E34" s="20">
        <v>11880</v>
      </c>
      <c r="F34" s="20">
        <v>9300</v>
      </c>
      <c r="G34" s="20">
        <v>200</v>
      </c>
      <c r="H34" s="19">
        <f t="shared" si="3"/>
        <v>0.42857142857142855</v>
      </c>
      <c r="I34" s="18">
        <f>SUM($D$2:D34)-SUM($G$2:G34)</f>
        <v>581305</v>
      </c>
    </row>
    <row r="35" spans="1:17" x14ac:dyDescent="0.35">
      <c r="A35" s="21">
        <v>44961</v>
      </c>
      <c r="B35" s="20">
        <f t="shared" si="0"/>
        <v>7572</v>
      </c>
      <c r="C35" s="20">
        <f t="shared" si="1"/>
        <v>17668</v>
      </c>
      <c r="D35" s="20">
        <f t="shared" si="2"/>
        <v>25240</v>
      </c>
      <c r="E35" s="22">
        <v>17070</v>
      </c>
      <c r="F35" s="22">
        <v>8170</v>
      </c>
      <c r="G35" s="22">
        <v>5720</v>
      </c>
      <c r="H35" s="19">
        <f t="shared" si="3"/>
        <v>0.42857142857142855</v>
      </c>
      <c r="I35" s="18">
        <f>SUM($D$2:D35)-SUM($G$2:G35)</f>
        <v>600825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1">
        <v>44962</v>
      </c>
      <c r="B36" s="20">
        <f t="shared" si="0"/>
        <v>3457.5</v>
      </c>
      <c r="C36" s="20">
        <f t="shared" si="1"/>
        <v>8067.5</v>
      </c>
      <c r="D36" s="20">
        <f t="shared" si="2"/>
        <v>11525</v>
      </c>
      <c r="E36" s="22">
        <v>6615</v>
      </c>
      <c r="F36" s="22">
        <v>4910</v>
      </c>
      <c r="G36" s="22">
        <v>450</v>
      </c>
      <c r="H36" s="19">
        <f t="shared" si="3"/>
        <v>0.42857142857142855</v>
      </c>
      <c r="I36" s="18">
        <f>SUM($D$2:D36)-SUM($G$2:G36)</f>
        <v>611900</v>
      </c>
      <c r="K36" s="8">
        <f t="shared" ref="K36:K42" si="27">A23</f>
        <v>44949</v>
      </c>
      <c r="L36" s="2">
        <f t="shared" ref="L36:L42" si="28">N36*0.39</f>
        <v>3814.2000000000003</v>
      </c>
      <c r="M36" s="2">
        <f t="shared" ref="M36:M42" si="29">N36-L36</f>
        <v>5965.7999999999993</v>
      </c>
      <c r="N36" s="2">
        <f t="shared" ref="N36:N42" si="30">O36+P36</f>
        <v>9780</v>
      </c>
      <c r="O36" s="2">
        <f t="shared" ref="O36:O42" si="31">VLOOKUP(K36,$A$1:$H$37,5,0)</f>
        <v>5580</v>
      </c>
      <c r="P36" s="2">
        <f t="shared" ref="P36:P42" si="32">VLOOKUP(K36,$A$1:$H$37,6,0)</f>
        <v>4200</v>
      </c>
      <c r="Q36" s="2">
        <f t="shared" ref="Q36:Q42" si="33">VLOOKUP(K36,$A$1:$H$37,7,0)</f>
        <v>140</v>
      </c>
    </row>
    <row r="37" spans="1:17" ht="15" thickBot="1" x14ac:dyDescent="0.4">
      <c r="A37" s="17" t="s">
        <v>4</v>
      </c>
      <c r="B37" s="16">
        <f>SUM(B3:B31)</f>
        <v>173440.5</v>
      </c>
      <c r="C37" s="16">
        <f t="shared" ref="C37:I37" si="34">SUM(C3:C31)</f>
        <v>404694.5</v>
      </c>
      <c r="D37" s="16">
        <f t="shared" si="34"/>
        <v>578135</v>
      </c>
      <c r="E37" s="16">
        <f t="shared" si="34"/>
        <v>300478</v>
      </c>
      <c r="F37" s="16">
        <f t="shared" si="34"/>
        <v>277657</v>
      </c>
      <c r="G37" s="16">
        <f t="shared" si="34"/>
        <v>49010</v>
      </c>
      <c r="H37" s="16">
        <f t="shared" si="34"/>
        <v>12.428571428571432</v>
      </c>
      <c r="I37" s="16">
        <f t="shared" si="34"/>
        <v>8760853</v>
      </c>
      <c r="K37" s="9">
        <f t="shared" si="27"/>
        <v>44950</v>
      </c>
      <c r="L37" s="4">
        <f t="shared" si="28"/>
        <v>2848.9500000000003</v>
      </c>
      <c r="M37" s="4">
        <f t="shared" si="29"/>
        <v>4456.0499999999993</v>
      </c>
      <c r="N37" s="4">
        <f t="shared" si="30"/>
        <v>7305</v>
      </c>
      <c r="O37" s="4">
        <f t="shared" si="31"/>
        <v>4730</v>
      </c>
      <c r="P37" s="4">
        <f t="shared" si="32"/>
        <v>2575</v>
      </c>
      <c r="Q37" s="4">
        <f t="shared" si="33"/>
        <v>260</v>
      </c>
    </row>
    <row r="38" spans="1:17" x14ac:dyDescent="0.35">
      <c r="A38" s="12"/>
      <c r="B38" s="11">
        <f>B37/3</f>
        <v>57813.5</v>
      </c>
      <c r="C38" s="11"/>
      <c r="E38" s="13">
        <f>D37*0.42</f>
        <v>242816.69999999998</v>
      </c>
      <c r="F38" s="11"/>
      <c r="G38" s="11"/>
      <c r="H38" s="10"/>
      <c r="K38" s="8">
        <f t="shared" si="27"/>
        <v>44951</v>
      </c>
      <c r="L38" s="2">
        <f t="shared" si="28"/>
        <v>5452.2</v>
      </c>
      <c r="M38" s="2">
        <f t="shared" si="29"/>
        <v>8527.7999999999993</v>
      </c>
      <c r="N38" s="2">
        <f t="shared" si="30"/>
        <v>13980</v>
      </c>
      <c r="O38" s="2">
        <f t="shared" si="31"/>
        <v>10140</v>
      </c>
      <c r="P38" s="2">
        <f t="shared" si="32"/>
        <v>3840</v>
      </c>
      <c r="Q38" s="2">
        <f t="shared" si="33"/>
        <v>260</v>
      </c>
    </row>
    <row r="39" spans="1:17" x14ac:dyDescent="0.35">
      <c r="A39" s="12"/>
      <c r="B39" s="11">
        <f>B38*100/D37</f>
        <v>10</v>
      </c>
      <c r="C39" s="11"/>
      <c r="E39" s="11">
        <f>E38/3</f>
        <v>80938.899999999994</v>
      </c>
      <c r="F39" s="11"/>
      <c r="G39" s="11"/>
      <c r="H39" s="10"/>
      <c r="K39" s="9">
        <f t="shared" si="27"/>
        <v>44952</v>
      </c>
      <c r="L39" s="4">
        <f t="shared" si="28"/>
        <v>1565.8500000000001</v>
      </c>
      <c r="M39" s="4">
        <f t="shared" si="29"/>
        <v>2449.1499999999996</v>
      </c>
      <c r="N39" s="4">
        <f t="shared" si="30"/>
        <v>4015</v>
      </c>
      <c r="O39" s="4">
        <f t="shared" si="31"/>
        <v>3585</v>
      </c>
      <c r="P39" s="4">
        <f t="shared" si="32"/>
        <v>430</v>
      </c>
      <c r="Q39" s="4">
        <f t="shared" si="33"/>
        <v>435</v>
      </c>
    </row>
    <row r="40" spans="1:17" x14ac:dyDescent="0.35">
      <c r="K40" s="8">
        <f t="shared" si="27"/>
        <v>44953</v>
      </c>
      <c r="L40" s="2">
        <f t="shared" si="28"/>
        <v>10884.9</v>
      </c>
      <c r="M40" s="2">
        <f t="shared" si="29"/>
        <v>17025.099999999999</v>
      </c>
      <c r="N40" s="2">
        <f t="shared" si="30"/>
        <v>27910</v>
      </c>
      <c r="O40" s="2">
        <f t="shared" si="31"/>
        <v>10180</v>
      </c>
      <c r="P40" s="2">
        <f t="shared" si="32"/>
        <v>17730</v>
      </c>
      <c r="Q40" s="2">
        <f t="shared" si="33"/>
        <v>1360</v>
      </c>
    </row>
    <row r="41" spans="1:17" x14ac:dyDescent="0.35">
      <c r="K41" s="9">
        <f t="shared" si="27"/>
        <v>44954</v>
      </c>
      <c r="L41" s="4">
        <f t="shared" si="28"/>
        <v>13969.800000000001</v>
      </c>
      <c r="M41" s="4">
        <f t="shared" si="29"/>
        <v>21850.199999999997</v>
      </c>
      <c r="N41" s="4">
        <f t="shared" si="30"/>
        <v>35820</v>
      </c>
      <c r="O41" s="4">
        <f t="shared" si="31"/>
        <v>18090</v>
      </c>
      <c r="P41" s="4">
        <f t="shared" si="32"/>
        <v>17730</v>
      </c>
      <c r="Q41" s="4">
        <f t="shared" si="33"/>
        <v>1360</v>
      </c>
    </row>
    <row r="42" spans="1:17" x14ac:dyDescent="0.35">
      <c r="A42" s="7" t="s">
        <v>7</v>
      </c>
      <c r="B42" s="6" t="s">
        <v>6</v>
      </c>
      <c r="C42" s="6" t="s">
        <v>5</v>
      </c>
      <c r="D42" s="6" t="s">
        <v>4</v>
      </c>
      <c r="E42" s="6" t="s">
        <v>3</v>
      </c>
      <c r="F42" s="6" t="s">
        <v>2</v>
      </c>
      <c r="G42" s="6" t="s">
        <v>1</v>
      </c>
      <c r="K42" s="8">
        <f t="shared" si="27"/>
        <v>44955</v>
      </c>
      <c r="L42" s="2">
        <f t="shared" si="28"/>
        <v>5933.85</v>
      </c>
      <c r="M42" s="2">
        <f t="shared" si="29"/>
        <v>9281.15</v>
      </c>
      <c r="N42" s="2">
        <f t="shared" si="30"/>
        <v>15215</v>
      </c>
      <c r="O42" s="2">
        <f t="shared" si="31"/>
        <v>5735</v>
      </c>
      <c r="P42" s="2">
        <f t="shared" si="32"/>
        <v>9480</v>
      </c>
      <c r="Q42" s="2">
        <f t="shared" si="33"/>
        <v>2000</v>
      </c>
    </row>
    <row r="43" spans="1:17" x14ac:dyDescent="0.35">
      <c r="A43" s="8">
        <v>44921</v>
      </c>
      <c r="B43" s="2">
        <v>2862.6</v>
      </c>
      <c r="C43" s="2">
        <v>4477.3999999999996</v>
      </c>
      <c r="D43" s="2">
        <v>7340</v>
      </c>
      <c r="E43" s="2">
        <v>6940</v>
      </c>
      <c r="F43" s="2">
        <v>400</v>
      </c>
      <c r="G43" s="2">
        <v>6570</v>
      </c>
      <c r="K43" s="3" t="s">
        <v>4</v>
      </c>
      <c r="L43" s="4">
        <f t="shared" ref="L43:Q43" si="35">SUM(L36:L42)</f>
        <v>44469.75</v>
      </c>
      <c r="M43" s="4">
        <f t="shared" si="35"/>
        <v>69555.249999999985</v>
      </c>
      <c r="N43" s="4">
        <f t="shared" si="35"/>
        <v>114025</v>
      </c>
      <c r="O43" s="4">
        <f t="shared" si="35"/>
        <v>58040</v>
      </c>
      <c r="P43" s="4">
        <f t="shared" si="35"/>
        <v>55985</v>
      </c>
      <c r="Q43" s="4">
        <f t="shared" si="35"/>
        <v>5815</v>
      </c>
    </row>
    <row r="44" spans="1:17" x14ac:dyDescent="0.35">
      <c r="A44" s="9">
        <v>44922</v>
      </c>
      <c r="B44" s="4">
        <v>5873.4000000000005</v>
      </c>
      <c r="C44" s="4">
        <v>9186.5999999999985</v>
      </c>
      <c r="D44" s="4">
        <v>15060</v>
      </c>
      <c r="E44" s="4">
        <v>14060</v>
      </c>
      <c r="F44" s="4">
        <v>1000</v>
      </c>
      <c r="G44" s="4">
        <v>350</v>
      </c>
      <c r="K44" s="3" t="s">
        <v>0</v>
      </c>
      <c r="L44" s="2">
        <f>L43/3</f>
        <v>14823.25</v>
      </c>
      <c r="M44" s="2"/>
      <c r="N44" s="2"/>
      <c r="O44" s="2"/>
      <c r="P44" s="2"/>
      <c r="Q44" s="2"/>
    </row>
    <row r="45" spans="1:17" x14ac:dyDescent="0.35">
      <c r="A45" s="8">
        <v>44923</v>
      </c>
      <c r="B45" s="2">
        <v>11009.7</v>
      </c>
      <c r="C45" s="2">
        <v>17220.3</v>
      </c>
      <c r="D45" s="2">
        <v>28230</v>
      </c>
      <c r="E45" s="2">
        <v>13560</v>
      </c>
      <c r="F45" s="2">
        <v>14670</v>
      </c>
      <c r="G45" s="2">
        <v>3305</v>
      </c>
    </row>
    <row r="46" spans="1:17" x14ac:dyDescent="0.35">
      <c r="A46" s="9">
        <v>44924</v>
      </c>
      <c r="B46" s="4">
        <v>7692.3600000000006</v>
      </c>
      <c r="C46" s="4">
        <v>12031.64</v>
      </c>
      <c r="D46" s="4">
        <v>19724</v>
      </c>
      <c r="E46" s="4">
        <v>14090</v>
      </c>
      <c r="F46" s="4">
        <v>5634</v>
      </c>
      <c r="G46" s="4">
        <v>1440</v>
      </c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A47" s="8">
        <v>44925</v>
      </c>
      <c r="B47" s="2">
        <v>7179.9000000000005</v>
      </c>
      <c r="C47" s="2">
        <v>11230.099999999999</v>
      </c>
      <c r="D47" s="2">
        <v>18410</v>
      </c>
      <c r="E47" s="2">
        <v>9390</v>
      </c>
      <c r="F47" s="2">
        <v>9020</v>
      </c>
      <c r="G47" s="2">
        <v>220</v>
      </c>
      <c r="K47" s="8">
        <f t="shared" ref="K47:K52" si="36">A30</f>
        <v>44956</v>
      </c>
      <c r="L47" s="2">
        <f t="shared" ref="L47:L53" si="37">N47*0.39</f>
        <v>4676.1000000000004</v>
      </c>
      <c r="M47" s="2">
        <f t="shared" ref="M47:M53" si="38">N47-L47</f>
        <v>7313.9</v>
      </c>
      <c r="N47" s="2">
        <f t="shared" ref="N47:N53" si="39">O47+P47</f>
        <v>11990</v>
      </c>
      <c r="O47" s="2">
        <f t="shared" ref="O47:O53" si="40">VLOOKUP(K47,$A$1:$H$37,5,0)</f>
        <v>6735</v>
      </c>
      <c r="P47" s="2">
        <f t="shared" ref="P47:P53" si="41">VLOOKUP(K47,$A$1:$H$37,6,0)</f>
        <v>5255</v>
      </c>
      <c r="Q47" s="2">
        <f t="shared" ref="Q47:Q53" si="42">VLOOKUP(K47,$A$1:$H$37,7,0)</f>
        <v>1165</v>
      </c>
    </row>
    <row r="48" spans="1:17" x14ac:dyDescent="0.35">
      <c r="A48" s="9">
        <v>44926</v>
      </c>
      <c r="B48" s="4">
        <v>5087.55</v>
      </c>
      <c r="C48" s="4">
        <v>7957.45</v>
      </c>
      <c r="D48" s="4">
        <v>13045</v>
      </c>
      <c r="E48" s="4">
        <v>10150</v>
      </c>
      <c r="F48" s="4">
        <v>2895</v>
      </c>
      <c r="G48" s="4">
        <v>1490</v>
      </c>
      <c r="K48" s="9">
        <f t="shared" si="36"/>
        <v>44957</v>
      </c>
      <c r="L48" s="4">
        <f t="shared" si="37"/>
        <v>13302.9</v>
      </c>
      <c r="M48" s="4">
        <f t="shared" si="38"/>
        <v>20807.099999999999</v>
      </c>
      <c r="N48" s="4">
        <f t="shared" si="39"/>
        <v>34110</v>
      </c>
      <c r="O48" s="4">
        <f t="shared" si="40"/>
        <v>13510</v>
      </c>
      <c r="P48" s="4">
        <f t="shared" si="41"/>
        <v>20600</v>
      </c>
      <c r="Q48" s="4">
        <f t="shared" si="42"/>
        <v>100</v>
      </c>
    </row>
    <row r="49" spans="1:17" x14ac:dyDescent="0.35">
      <c r="A49" s="8">
        <v>44927</v>
      </c>
      <c r="B49" s="2">
        <v>1735.5</v>
      </c>
      <c r="C49" s="2">
        <v>2714.5</v>
      </c>
      <c r="D49" s="2">
        <v>4450</v>
      </c>
      <c r="E49" s="2">
        <v>3870</v>
      </c>
      <c r="F49" s="2">
        <v>580</v>
      </c>
      <c r="G49" s="2">
        <v>400</v>
      </c>
      <c r="K49" s="8">
        <f t="shared" si="36"/>
        <v>44958</v>
      </c>
      <c r="L49" s="2">
        <f t="shared" si="37"/>
        <v>7031.7</v>
      </c>
      <c r="M49" s="2">
        <f t="shared" si="38"/>
        <v>10998.3</v>
      </c>
      <c r="N49" s="2">
        <f t="shared" si="39"/>
        <v>18030</v>
      </c>
      <c r="O49" s="2">
        <f t="shared" si="40"/>
        <v>8610</v>
      </c>
      <c r="P49" s="2">
        <f t="shared" si="41"/>
        <v>9420</v>
      </c>
      <c r="Q49" s="2">
        <f t="shared" si="42"/>
        <v>6110</v>
      </c>
    </row>
    <row r="50" spans="1:17" x14ac:dyDescent="0.35">
      <c r="A50" s="3" t="s">
        <v>4</v>
      </c>
      <c r="B50" s="4">
        <v>41441.01</v>
      </c>
      <c r="C50" s="4">
        <v>64817.989999999991</v>
      </c>
      <c r="D50" s="4">
        <v>106259</v>
      </c>
      <c r="E50" s="4">
        <f>SUM(E43:E49)</f>
        <v>72060</v>
      </c>
      <c r="F50" s="4">
        <f>SUM(F43:F49)</f>
        <v>34199</v>
      </c>
      <c r="G50" s="4">
        <f>SUM(G43:G49)</f>
        <v>13775</v>
      </c>
      <c r="K50" s="9">
        <f t="shared" si="36"/>
        <v>44959</v>
      </c>
      <c r="L50" s="4">
        <f t="shared" si="37"/>
        <v>7991.1</v>
      </c>
      <c r="M50" s="4">
        <f t="shared" si="38"/>
        <v>12498.9</v>
      </c>
      <c r="N50" s="4">
        <f t="shared" si="39"/>
        <v>20490</v>
      </c>
      <c r="O50" s="4">
        <f t="shared" si="40"/>
        <v>17450</v>
      </c>
      <c r="P50" s="4">
        <f t="shared" si="41"/>
        <v>3040</v>
      </c>
      <c r="Q50" s="4">
        <f t="shared" si="42"/>
        <v>5250</v>
      </c>
    </row>
    <row r="51" spans="1:17" x14ac:dyDescent="0.35">
      <c r="A51" s="3" t="s">
        <v>0</v>
      </c>
      <c r="B51" s="2">
        <v>13813.67</v>
      </c>
      <c r="C51" s="2"/>
      <c r="D51" s="2"/>
      <c r="E51" s="2"/>
      <c r="F51" s="2"/>
      <c r="G51" s="2"/>
      <c r="K51" s="8">
        <f t="shared" si="36"/>
        <v>44960</v>
      </c>
      <c r="L51" s="2">
        <f t="shared" si="37"/>
        <v>8260.2000000000007</v>
      </c>
      <c r="M51" s="2">
        <f t="shared" si="38"/>
        <v>12919.8</v>
      </c>
      <c r="N51" s="2">
        <f t="shared" si="39"/>
        <v>21180</v>
      </c>
      <c r="O51" s="2">
        <f t="shared" si="40"/>
        <v>11880</v>
      </c>
      <c r="P51" s="2">
        <f t="shared" si="41"/>
        <v>9300</v>
      </c>
      <c r="Q51" s="2">
        <f t="shared" si="42"/>
        <v>200</v>
      </c>
    </row>
    <row r="52" spans="1:17" x14ac:dyDescent="0.35">
      <c r="K52" s="9">
        <f t="shared" si="36"/>
        <v>44961</v>
      </c>
      <c r="L52" s="4">
        <f t="shared" si="37"/>
        <v>9843.6</v>
      </c>
      <c r="M52" s="4">
        <f t="shared" si="38"/>
        <v>15396.4</v>
      </c>
      <c r="N52" s="4">
        <f t="shared" si="39"/>
        <v>25240</v>
      </c>
      <c r="O52" s="4">
        <f t="shared" si="40"/>
        <v>17070</v>
      </c>
      <c r="P52" s="4">
        <f t="shared" si="41"/>
        <v>8170</v>
      </c>
      <c r="Q52" s="4">
        <f t="shared" si="42"/>
        <v>5720</v>
      </c>
    </row>
    <row r="53" spans="1:17" x14ac:dyDescent="0.35">
      <c r="A53" s="7" t="s">
        <v>7</v>
      </c>
      <c r="B53" s="6" t="s">
        <v>6</v>
      </c>
      <c r="C53" s="6" t="s">
        <v>5</v>
      </c>
      <c r="D53" s="6" t="s">
        <v>4</v>
      </c>
      <c r="E53" s="6" t="s">
        <v>3</v>
      </c>
      <c r="F53" s="6" t="s">
        <v>2</v>
      </c>
      <c r="G53" s="6" t="s">
        <v>1</v>
      </c>
      <c r="H53" s="31" t="s">
        <v>0</v>
      </c>
      <c r="K53" s="8">
        <f>A36</f>
        <v>44962</v>
      </c>
      <c r="L53" s="2">
        <f t="shared" si="37"/>
        <v>4494.75</v>
      </c>
      <c r="M53" s="2">
        <f t="shared" si="38"/>
        <v>7030.25</v>
      </c>
      <c r="N53" s="2">
        <f t="shared" si="39"/>
        <v>11525</v>
      </c>
      <c r="O53" s="2">
        <f t="shared" si="40"/>
        <v>6615</v>
      </c>
      <c r="P53" s="2">
        <f t="shared" si="41"/>
        <v>4910</v>
      </c>
      <c r="Q53" s="2">
        <f t="shared" si="42"/>
        <v>450</v>
      </c>
    </row>
    <row r="54" spans="1:17" x14ac:dyDescent="0.35">
      <c r="A54" s="8" t="s">
        <v>16</v>
      </c>
      <c r="B54" s="2">
        <v>41441.01</v>
      </c>
      <c r="C54" s="2">
        <v>64817.989999999991</v>
      </c>
      <c r="D54" s="2">
        <v>106259</v>
      </c>
      <c r="E54" s="2">
        <v>72060</v>
      </c>
      <c r="F54" s="2">
        <v>34199</v>
      </c>
      <c r="G54" s="2">
        <v>13775</v>
      </c>
      <c r="H54" s="2">
        <f t="shared" ref="H54:H59" si="43">B54/3</f>
        <v>13813.67</v>
      </c>
      <c r="K54" s="3" t="s">
        <v>4</v>
      </c>
      <c r="L54" s="4">
        <f>SUM(L47:L53)</f>
        <v>55600.35</v>
      </c>
      <c r="M54" s="4">
        <f>SUM(M47:M53)</f>
        <v>86964.65</v>
      </c>
      <c r="N54" s="4">
        <f>SUM(N47:N53)</f>
        <v>142565</v>
      </c>
      <c r="O54" s="4">
        <f>SUM(O47:O53)</f>
        <v>81870</v>
      </c>
      <c r="P54" s="4">
        <f t="shared" ref="P54:Q54" si="44">SUM(P47:P53)</f>
        <v>60695</v>
      </c>
      <c r="Q54" s="4">
        <f t="shared" si="44"/>
        <v>18995</v>
      </c>
    </row>
    <row r="55" spans="1:17" x14ac:dyDescent="0.35">
      <c r="A55" s="9" t="s">
        <v>11</v>
      </c>
      <c r="B55" s="4">
        <v>73944.780000000013</v>
      </c>
      <c r="C55" s="4">
        <v>115657.21999999999</v>
      </c>
      <c r="D55" s="4">
        <v>189602</v>
      </c>
      <c r="E55" s="4">
        <v>88221</v>
      </c>
      <c r="F55" s="4">
        <v>101381</v>
      </c>
      <c r="G55" s="4">
        <v>16500</v>
      </c>
      <c r="H55" s="4">
        <f t="shared" si="43"/>
        <v>24648.260000000006</v>
      </c>
      <c r="K55" s="3" t="s">
        <v>0</v>
      </c>
      <c r="L55" s="2">
        <f>L54/3</f>
        <v>18533.45</v>
      </c>
      <c r="M55" s="2"/>
      <c r="N55" s="2"/>
      <c r="O55" s="2"/>
      <c r="P55" s="2"/>
      <c r="Q55" s="2"/>
    </row>
    <row r="56" spans="1:17" x14ac:dyDescent="0.35">
      <c r="A56" s="8" t="s">
        <v>12</v>
      </c>
      <c r="B56" s="2">
        <v>48583.47</v>
      </c>
      <c r="C56" s="2">
        <v>75989.53</v>
      </c>
      <c r="D56" s="2">
        <v>124573</v>
      </c>
      <c r="E56" s="2">
        <v>87892</v>
      </c>
      <c r="F56" s="2">
        <v>36681</v>
      </c>
      <c r="G56" s="2">
        <v>15890</v>
      </c>
      <c r="H56" s="2">
        <f t="shared" si="43"/>
        <v>16194.49</v>
      </c>
    </row>
    <row r="57" spans="1:17" x14ac:dyDescent="0.35">
      <c r="A57" s="9" t="s">
        <v>13</v>
      </c>
      <c r="B57" s="4">
        <v>42110.250000000007</v>
      </c>
      <c r="C57" s="4">
        <v>65864.75</v>
      </c>
      <c r="D57" s="4">
        <v>107975</v>
      </c>
      <c r="E57" s="4">
        <v>50140</v>
      </c>
      <c r="F57" s="4">
        <v>57835</v>
      </c>
      <c r="G57" s="4">
        <v>9640</v>
      </c>
      <c r="H57" s="4">
        <f t="shared" si="43"/>
        <v>14036.750000000002</v>
      </c>
    </row>
    <row r="58" spans="1:17" x14ac:dyDescent="0.35">
      <c r="A58" s="8" t="s">
        <v>14</v>
      </c>
      <c r="B58" s="2">
        <v>44469.75</v>
      </c>
      <c r="C58" s="2">
        <v>69555.249999999985</v>
      </c>
      <c r="D58" s="2">
        <v>114025</v>
      </c>
      <c r="E58" s="2">
        <v>58040</v>
      </c>
      <c r="F58" s="2">
        <v>55985</v>
      </c>
      <c r="G58" s="2">
        <v>5815</v>
      </c>
      <c r="H58" s="2">
        <f t="shared" si="43"/>
        <v>14823.25</v>
      </c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:17" x14ac:dyDescent="0.35">
      <c r="A59" s="9" t="s">
        <v>15</v>
      </c>
      <c r="B59" s="4">
        <v>55600.35</v>
      </c>
      <c r="C59" s="4">
        <v>86964.65</v>
      </c>
      <c r="D59" s="4">
        <v>142565</v>
      </c>
      <c r="E59" s="4">
        <v>81870</v>
      </c>
      <c r="F59" s="4">
        <v>60695</v>
      </c>
      <c r="G59" s="4">
        <v>18995</v>
      </c>
      <c r="H59" s="4">
        <f t="shared" si="43"/>
        <v>18533.45</v>
      </c>
      <c r="K59" s="5">
        <f>A6</f>
        <v>44932</v>
      </c>
      <c r="L59" s="4">
        <f>SUM(B2:B31)</f>
        <v>174682.5</v>
      </c>
      <c r="M59" s="4">
        <f>SUM(C2:C31)</f>
        <v>407592.5</v>
      </c>
      <c r="N59" s="4">
        <f t="shared" ref="N59:Q59" si="45">SUM(D2:D31)</f>
        <v>582275</v>
      </c>
      <c r="O59" s="4">
        <f t="shared" si="45"/>
        <v>304538</v>
      </c>
      <c r="P59" s="4">
        <f t="shared" si="45"/>
        <v>277737</v>
      </c>
      <c r="Q59" s="4">
        <f t="shared" si="45"/>
        <v>49110</v>
      </c>
    </row>
    <row r="60" spans="1:17" x14ac:dyDescent="0.35">
      <c r="C60" s="67" t="s">
        <v>4</v>
      </c>
      <c r="D60" s="67"/>
      <c r="E60" s="67"/>
      <c r="F60" s="67"/>
      <c r="G60" s="68"/>
      <c r="H60" s="2">
        <f>SUM(H54:H59)</f>
        <v>102049.87000000001</v>
      </c>
      <c r="K60" s="3" t="s">
        <v>0</v>
      </c>
      <c r="L60" s="2">
        <f>L59/3</f>
        <v>58227.5</v>
      </c>
      <c r="M60" s="2"/>
      <c r="N60" s="2"/>
      <c r="O60" s="2"/>
      <c r="P60" s="2"/>
      <c r="Q60" s="2"/>
    </row>
    <row r="61" spans="1:17" x14ac:dyDescent="0.35">
      <c r="H61" s="4"/>
    </row>
  </sheetData>
  <mergeCells count="1">
    <mergeCell ref="C60:G60"/>
  </mergeCells>
  <conditionalFormatting sqref="A42:G42">
    <cfRule type="dataBar" priority="2">
      <dataBar>
        <cfvo type="min"/>
        <cfvo type="max"/>
        <color rgb="FF638EC6"/>
      </dataBar>
    </cfRule>
  </conditionalFormatting>
  <conditionalFormatting sqref="A1:H1">
    <cfRule type="dataBar" priority="10">
      <dataBar>
        <cfvo type="min"/>
        <cfvo type="max"/>
        <color rgb="FF638EC6"/>
      </dataBar>
    </cfRule>
  </conditionalFormatting>
  <conditionalFormatting sqref="A53:H53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4">
      <dataBar>
        <cfvo type="min"/>
        <cfvo type="max"/>
        <color rgb="FF638EC6"/>
      </dataBar>
    </cfRule>
  </conditionalFormatting>
  <conditionalFormatting sqref="K13:Q13">
    <cfRule type="dataBar" priority="8">
      <dataBar>
        <cfvo type="min"/>
        <cfvo type="max"/>
        <color rgb="FF638EC6"/>
      </dataBar>
    </cfRule>
  </conditionalFormatting>
  <conditionalFormatting sqref="K24:Q24">
    <cfRule type="dataBar" priority="7">
      <dataBar>
        <cfvo type="min"/>
        <cfvo type="max"/>
        <color rgb="FF638EC6"/>
      </dataBar>
    </cfRule>
  </conditionalFormatting>
  <conditionalFormatting sqref="K35:Q35">
    <cfRule type="dataBar" priority="6">
      <dataBar>
        <cfvo type="min"/>
        <cfvo type="max"/>
        <color rgb="FF638EC6"/>
      </dataBar>
    </cfRule>
  </conditionalFormatting>
  <conditionalFormatting sqref="K46:Q46">
    <cfRule type="dataBar" priority="3">
      <dataBar>
        <cfvo type="min"/>
        <cfvo type="max"/>
        <color rgb="FF638EC6"/>
      </dataBar>
    </cfRule>
  </conditionalFormatting>
  <conditionalFormatting sqref="K58:Q58">
    <cfRule type="dataBar" priority="5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4F24-E879-4D78-B88F-E865ED1DE59C}">
  <dimension ref="A1:Q60"/>
  <sheetViews>
    <sheetView zoomScale="90" zoomScaleNormal="90" workbookViewId="0">
      <pane ySplit="1" topLeftCell="A21" activePane="bottomLeft" state="frozen"/>
      <selection pane="bottomLeft" activeCell="B37" sqref="B37:I37"/>
    </sheetView>
  </sheetViews>
  <sheetFormatPr defaultColWidth="26" defaultRowHeight="14.5" x14ac:dyDescent="0.35"/>
  <cols>
    <col min="1" max="1" width="29.7265625" bestFit="1" customWidth="1"/>
    <col min="2" max="4" width="9.1796875" style="1" bestFit="1" customWidth="1"/>
    <col min="5" max="5" width="11.81640625" style="1" bestFit="1" customWidth="1"/>
    <col min="6" max="6" width="16.90625" style="1" bestFit="1" customWidth="1"/>
    <col min="7" max="7" width="9.26953125" style="1" bestFit="1" customWidth="1"/>
    <col min="8" max="8" width="9.81640625" bestFit="1" customWidth="1"/>
    <col min="9" max="9" width="11.54296875" bestFit="1" customWidth="1"/>
    <col min="10" max="10" width="6.54296875" customWidth="1"/>
    <col min="11" max="11" width="28.6328125" bestFit="1" customWidth="1"/>
    <col min="12" max="15" width="9.1796875" bestFit="1" customWidth="1"/>
    <col min="16" max="16" width="16.90625" bestFit="1" customWidth="1"/>
    <col min="17" max="17" width="9.26953125" bestFit="1" customWidth="1"/>
  </cols>
  <sheetData>
    <row r="1" spans="1:17" s="23" customFormat="1" ht="29" x14ac:dyDescent="0.35">
      <c r="A1" s="30" t="s">
        <v>7</v>
      </c>
      <c r="B1" s="28" t="s">
        <v>6</v>
      </c>
      <c r="C1" s="28" t="s">
        <v>5</v>
      </c>
      <c r="D1" s="28" t="s">
        <v>4</v>
      </c>
      <c r="E1" s="29" t="s">
        <v>3</v>
      </c>
      <c r="F1" s="29" t="s">
        <v>2</v>
      </c>
      <c r="G1" s="28" t="s">
        <v>1</v>
      </c>
      <c r="H1" s="27" t="s">
        <v>9</v>
      </c>
      <c r="I1" s="26" t="s">
        <v>8</v>
      </c>
      <c r="K1" s="25" t="s">
        <v>7</v>
      </c>
      <c r="L1" s="24" t="s">
        <v>6</v>
      </c>
      <c r="M1" s="24" t="s">
        <v>5</v>
      </c>
      <c r="N1" s="24" t="s">
        <v>4</v>
      </c>
      <c r="O1" s="24" t="s">
        <v>3</v>
      </c>
      <c r="P1" s="24" t="s">
        <v>2</v>
      </c>
      <c r="Q1" s="24" t="s">
        <v>1</v>
      </c>
    </row>
    <row r="2" spans="1:17" x14ac:dyDescent="0.35">
      <c r="A2" s="21">
        <v>44956</v>
      </c>
      <c r="B2" s="20">
        <f t="shared" ref="B2:B36" si="0">D2*0.3</f>
        <v>3597</v>
      </c>
      <c r="C2" s="20">
        <f t="shared" ref="C2:C36" si="1">D2-B2</f>
        <v>8393</v>
      </c>
      <c r="D2" s="20">
        <f t="shared" ref="D2:D36" si="2">E2+F2</f>
        <v>11990</v>
      </c>
      <c r="E2" s="20">
        <v>6735</v>
      </c>
      <c r="F2" s="20">
        <v>5255</v>
      </c>
      <c r="G2" s="20">
        <v>1165</v>
      </c>
      <c r="H2" s="19">
        <f t="shared" ref="H2:H36" si="3">IFERROR(B2/C2,0)</f>
        <v>0.42857142857142855</v>
      </c>
      <c r="I2" s="18">
        <f>SUM($D$2:D2)-SUM($G$2:G2)</f>
        <v>10825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1">
        <v>44957</v>
      </c>
      <c r="B3" s="20">
        <f t="shared" si="0"/>
        <v>10233</v>
      </c>
      <c r="C3" s="20">
        <f t="shared" si="1"/>
        <v>23877</v>
      </c>
      <c r="D3" s="20">
        <f t="shared" si="2"/>
        <v>34110</v>
      </c>
      <c r="E3" s="20">
        <v>13510</v>
      </c>
      <c r="F3" s="20">
        <v>20600</v>
      </c>
      <c r="G3" s="20">
        <v>100</v>
      </c>
      <c r="H3" s="19">
        <f t="shared" si="3"/>
        <v>0.42857142857142855</v>
      </c>
      <c r="I3" s="18">
        <f>SUM($D$2:D3)-SUM($G$2:G3)</f>
        <v>44835</v>
      </c>
      <c r="K3" s="8">
        <f t="shared" ref="K3:K9" si="4">A2</f>
        <v>44956</v>
      </c>
      <c r="L3" s="2">
        <f t="shared" ref="L3:L9" si="5">N3*0.39</f>
        <v>4676.1000000000004</v>
      </c>
      <c r="M3" s="2">
        <f t="shared" ref="M3:M9" si="6">N3-L3</f>
        <v>7313.9</v>
      </c>
      <c r="N3" s="2">
        <f t="shared" ref="N3:N9" si="7">O3+P3</f>
        <v>11990</v>
      </c>
      <c r="O3" s="2">
        <f t="shared" ref="O3:O9" si="8">VLOOKUP(K3,$A$1:$H$37,5,0)</f>
        <v>6735</v>
      </c>
      <c r="P3" s="2">
        <f t="shared" ref="P3:P9" si="9">VLOOKUP(K3,$A$1:$H$37,6,0)</f>
        <v>5255</v>
      </c>
      <c r="Q3" s="2">
        <f t="shared" ref="Q3:Q9" si="10">VLOOKUP(K3,$A$1:$H$37,7,0)</f>
        <v>1165</v>
      </c>
    </row>
    <row r="4" spans="1:17" x14ac:dyDescent="0.35">
      <c r="A4" s="21">
        <v>44958</v>
      </c>
      <c r="B4" s="20">
        <f t="shared" si="0"/>
        <v>5409</v>
      </c>
      <c r="C4" s="20">
        <f t="shared" si="1"/>
        <v>12621</v>
      </c>
      <c r="D4" s="20">
        <f t="shared" si="2"/>
        <v>18030</v>
      </c>
      <c r="E4" s="22">
        <v>8610</v>
      </c>
      <c r="F4" s="22">
        <v>9420</v>
      </c>
      <c r="G4" s="22">
        <v>6110</v>
      </c>
      <c r="H4" s="19">
        <f t="shared" si="3"/>
        <v>0.42857142857142855</v>
      </c>
      <c r="I4" s="18">
        <f>SUM($D$2:D4)-SUM($G$2:G4)</f>
        <v>56755</v>
      </c>
      <c r="K4" s="9">
        <f t="shared" si="4"/>
        <v>44957</v>
      </c>
      <c r="L4" s="4">
        <f t="shared" si="5"/>
        <v>13302.9</v>
      </c>
      <c r="M4" s="4">
        <f t="shared" si="6"/>
        <v>20807.099999999999</v>
      </c>
      <c r="N4" s="4">
        <f t="shared" si="7"/>
        <v>34110</v>
      </c>
      <c r="O4" s="4">
        <f t="shared" si="8"/>
        <v>13510</v>
      </c>
      <c r="P4" s="4">
        <f t="shared" si="9"/>
        <v>20600</v>
      </c>
      <c r="Q4" s="4">
        <f t="shared" si="10"/>
        <v>100</v>
      </c>
    </row>
    <row r="5" spans="1:17" x14ac:dyDescent="0.35">
      <c r="A5" s="21">
        <v>44959</v>
      </c>
      <c r="B5" s="20">
        <f t="shared" si="0"/>
        <v>6147</v>
      </c>
      <c r="C5" s="20">
        <f t="shared" si="1"/>
        <v>14343</v>
      </c>
      <c r="D5" s="20">
        <f t="shared" si="2"/>
        <v>20490</v>
      </c>
      <c r="E5" s="20">
        <v>17450</v>
      </c>
      <c r="F5" s="20">
        <v>3040</v>
      </c>
      <c r="G5" s="20">
        <v>5250</v>
      </c>
      <c r="H5" s="19">
        <f t="shared" si="3"/>
        <v>0.42857142857142855</v>
      </c>
      <c r="I5" s="18">
        <f>SUM($D$2:D5)-SUM($G$2:G5)</f>
        <v>71995</v>
      </c>
      <c r="K5" s="8">
        <f t="shared" si="4"/>
        <v>44958</v>
      </c>
      <c r="L5" s="2">
        <f t="shared" si="5"/>
        <v>7031.7</v>
      </c>
      <c r="M5" s="2">
        <f t="shared" si="6"/>
        <v>10998.3</v>
      </c>
      <c r="N5" s="2">
        <f t="shared" si="7"/>
        <v>18030</v>
      </c>
      <c r="O5" s="2">
        <f t="shared" si="8"/>
        <v>8610</v>
      </c>
      <c r="P5" s="2">
        <f t="shared" si="9"/>
        <v>9420</v>
      </c>
      <c r="Q5" s="2">
        <f t="shared" si="10"/>
        <v>6110</v>
      </c>
    </row>
    <row r="6" spans="1:17" x14ac:dyDescent="0.35">
      <c r="A6" s="21">
        <v>44960</v>
      </c>
      <c r="B6" s="20">
        <f t="shared" si="0"/>
        <v>6354</v>
      </c>
      <c r="C6" s="20">
        <f t="shared" si="1"/>
        <v>14826</v>
      </c>
      <c r="D6" s="20">
        <f t="shared" si="2"/>
        <v>21180</v>
      </c>
      <c r="E6" s="20">
        <v>11880</v>
      </c>
      <c r="F6" s="20">
        <v>9300</v>
      </c>
      <c r="G6" s="20">
        <v>200</v>
      </c>
      <c r="H6" s="19">
        <f t="shared" si="3"/>
        <v>0.42857142857142855</v>
      </c>
      <c r="I6" s="18">
        <f>SUM($D$2:D6)-SUM($G$2:G6)</f>
        <v>92975</v>
      </c>
      <c r="K6" s="9">
        <f t="shared" si="4"/>
        <v>44959</v>
      </c>
      <c r="L6" s="4">
        <f t="shared" si="5"/>
        <v>7991.1</v>
      </c>
      <c r="M6" s="4">
        <f t="shared" si="6"/>
        <v>12498.9</v>
      </c>
      <c r="N6" s="4">
        <f t="shared" si="7"/>
        <v>20490</v>
      </c>
      <c r="O6" s="4">
        <f t="shared" si="8"/>
        <v>17450</v>
      </c>
      <c r="P6" s="4">
        <f t="shared" si="9"/>
        <v>3040</v>
      </c>
      <c r="Q6" s="4">
        <f t="shared" si="10"/>
        <v>5250</v>
      </c>
    </row>
    <row r="7" spans="1:17" x14ac:dyDescent="0.35">
      <c r="A7" s="21">
        <v>44961</v>
      </c>
      <c r="B7" s="20">
        <f t="shared" si="0"/>
        <v>7572</v>
      </c>
      <c r="C7" s="20">
        <f t="shared" si="1"/>
        <v>17668</v>
      </c>
      <c r="D7" s="20">
        <f t="shared" si="2"/>
        <v>25240</v>
      </c>
      <c r="E7" s="20">
        <v>17070</v>
      </c>
      <c r="F7" s="20">
        <v>8170</v>
      </c>
      <c r="G7" s="20">
        <v>5720</v>
      </c>
      <c r="H7" s="19">
        <f t="shared" si="3"/>
        <v>0.42857142857142855</v>
      </c>
      <c r="I7" s="18">
        <f>SUM($D$2:D7)-SUM($G$2:G7)</f>
        <v>112495</v>
      </c>
      <c r="K7" s="8">
        <f t="shared" si="4"/>
        <v>44960</v>
      </c>
      <c r="L7" s="2">
        <f t="shared" si="5"/>
        <v>8260.2000000000007</v>
      </c>
      <c r="M7" s="2">
        <f t="shared" si="6"/>
        <v>12919.8</v>
      </c>
      <c r="N7" s="2">
        <f t="shared" si="7"/>
        <v>21180</v>
      </c>
      <c r="O7" s="2">
        <f t="shared" si="8"/>
        <v>11880</v>
      </c>
      <c r="P7" s="2">
        <f t="shared" si="9"/>
        <v>9300</v>
      </c>
      <c r="Q7" s="2">
        <f t="shared" si="10"/>
        <v>200</v>
      </c>
    </row>
    <row r="8" spans="1:17" x14ac:dyDescent="0.35">
      <c r="A8" s="21">
        <v>44962</v>
      </c>
      <c r="B8" s="20">
        <f t="shared" si="0"/>
        <v>3457.5</v>
      </c>
      <c r="C8" s="20">
        <f t="shared" si="1"/>
        <v>8067.5</v>
      </c>
      <c r="D8" s="20">
        <f t="shared" si="2"/>
        <v>11525</v>
      </c>
      <c r="E8" s="20">
        <v>6615</v>
      </c>
      <c r="F8" s="20">
        <v>4910</v>
      </c>
      <c r="G8" s="20">
        <v>450</v>
      </c>
      <c r="H8" s="19">
        <f t="shared" si="3"/>
        <v>0.42857142857142855</v>
      </c>
      <c r="I8" s="18">
        <f>SUM($D$2:D8)-SUM($G$2:G8)</f>
        <v>123570</v>
      </c>
      <c r="K8" s="9">
        <f t="shared" si="4"/>
        <v>44961</v>
      </c>
      <c r="L8" s="4">
        <f t="shared" si="5"/>
        <v>9843.6</v>
      </c>
      <c r="M8" s="4">
        <f t="shared" si="6"/>
        <v>15396.4</v>
      </c>
      <c r="N8" s="4">
        <f t="shared" si="7"/>
        <v>25240</v>
      </c>
      <c r="O8" s="4">
        <f t="shared" si="8"/>
        <v>17070</v>
      </c>
      <c r="P8" s="4">
        <f t="shared" si="9"/>
        <v>8170</v>
      </c>
      <c r="Q8" s="4">
        <f t="shared" si="10"/>
        <v>5720</v>
      </c>
    </row>
    <row r="9" spans="1:17" x14ac:dyDescent="0.35">
      <c r="A9" s="21">
        <v>44963</v>
      </c>
      <c r="B9" s="20">
        <f t="shared" si="0"/>
        <v>3883.5</v>
      </c>
      <c r="C9" s="20">
        <f t="shared" si="1"/>
        <v>9061.5</v>
      </c>
      <c r="D9" s="20">
        <f t="shared" si="2"/>
        <v>12945</v>
      </c>
      <c r="E9" s="20">
        <v>3825</v>
      </c>
      <c r="F9" s="20">
        <v>9120</v>
      </c>
      <c r="G9" s="20">
        <v>1100</v>
      </c>
      <c r="H9" s="19">
        <f t="shared" si="3"/>
        <v>0.42857142857142855</v>
      </c>
      <c r="I9" s="18">
        <f>SUM($D$2:D9)-SUM($G$2:G9)</f>
        <v>135415</v>
      </c>
      <c r="K9" s="8">
        <f t="shared" si="4"/>
        <v>44962</v>
      </c>
      <c r="L9" s="2">
        <f t="shared" si="5"/>
        <v>4494.75</v>
      </c>
      <c r="M9" s="2">
        <f t="shared" si="6"/>
        <v>7030.25</v>
      </c>
      <c r="N9" s="2">
        <f t="shared" si="7"/>
        <v>11525</v>
      </c>
      <c r="O9" s="2">
        <f t="shared" si="8"/>
        <v>6615</v>
      </c>
      <c r="P9" s="2">
        <f t="shared" si="9"/>
        <v>4910</v>
      </c>
      <c r="Q9" s="2">
        <f t="shared" si="10"/>
        <v>450</v>
      </c>
    </row>
    <row r="10" spans="1:17" x14ac:dyDescent="0.35">
      <c r="A10" s="21">
        <v>44964</v>
      </c>
      <c r="B10" s="20">
        <f t="shared" si="0"/>
        <v>10995.6</v>
      </c>
      <c r="C10" s="20">
        <f t="shared" si="1"/>
        <v>25656.400000000001</v>
      </c>
      <c r="D10" s="20">
        <f t="shared" si="2"/>
        <v>36652</v>
      </c>
      <c r="E10" s="20">
        <v>26892</v>
      </c>
      <c r="F10" s="20">
        <v>9760</v>
      </c>
      <c r="G10" s="20">
        <v>1020</v>
      </c>
      <c r="H10" s="19">
        <f t="shared" si="3"/>
        <v>0.42857142857142855</v>
      </c>
      <c r="I10" s="18">
        <f>SUM($D$2:D10)-SUM($G$2:G10)</f>
        <v>171047</v>
      </c>
      <c r="K10" s="3" t="s">
        <v>4</v>
      </c>
      <c r="L10" s="3">
        <f>SUM(L3:L9)</f>
        <v>55600.35</v>
      </c>
      <c r="M10" s="3">
        <f>SUM(M2:M9)</f>
        <v>86964.65</v>
      </c>
      <c r="N10" s="3">
        <f>SUM(N2:N9)</f>
        <v>142565</v>
      </c>
      <c r="O10" s="3">
        <f>SUM(O2:O9)</f>
        <v>81870</v>
      </c>
      <c r="P10" s="3">
        <f>SUM(P2:P9)</f>
        <v>60695</v>
      </c>
      <c r="Q10" s="3">
        <f>SUM(Q2:Q9)</f>
        <v>18995</v>
      </c>
    </row>
    <row r="11" spans="1:17" x14ac:dyDescent="0.35">
      <c r="A11" s="21">
        <v>44965</v>
      </c>
      <c r="B11" s="20">
        <f t="shared" si="0"/>
        <v>6683.7</v>
      </c>
      <c r="C11" s="20">
        <f t="shared" si="1"/>
        <v>15595.3</v>
      </c>
      <c r="D11" s="20">
        <f t="shared" si="2"/>
        <v>22279</v>
      </c>
      <c r="E11" s="20">
        <v>15235</v>
      </c>
      <c r="F11" s="20">
        <v>7044</v>
      </c>
      <c r="G11" s="20">
        <v>1920</v>
      </c>
      <c r="H11" s="19">
        <f t="shared" si="3"/>
        <v>0.4285714285714286</v>
      </c>
      <c r="I11" s="18">
        <f>SUM($D$2:D11)-SUM($G$2:G11)</f>
        <v>191406</v>
      </c>
      <c r="K11" s="3" t="s">
        <v>0</v>
      </c>
      <c r="L11" s="3">
        <f>L10/3</f>
        <v>18533.45</v>
      </c>
      <c r="M11" s="3"/>
      <c r="N11" s="3"/>
      <c r="O11" s="2"/>
      <c r="P11" s="2"/>
      <c r="Q11" s="2"/>
    </row>
    <row r="12" spans="1:17" x14ac:dyDescent="0.35">
      <c r="A12" s="21">
        <v>44966</v>
      </c>
      <c r="B12" s="20">
        <f t="shared" si="0"/>
        <v>26995.5</v>
      </c>
      <c r="C12" s="20">
        <f t="shared" si="1"/>
        <v>62989.5</v>
      </c>
      <c r="D12" s="20">
        <f t="shared" si="2"/>
        <v>89985</v>
      </c>
      <c r="E12" s="20">
        <v>3750</v>
      </c>
      <c r="F12" s="20">
        <v>86235</v>
      </c>
      <c r="G12" s="20">
        <v>220</v>
      </c>
      <c r="H12" s="19">
        <f t="shared" si="3"/>
        <v>0.42857142857142855</v>
      </c>
      <c r="I12" s="18">
        <f>SUM($D$2:D12)-SUM($G$2:G12)</f>
        <v>281171</v>
      </c>
    </row>
    <row r="13" spans="1:17" x14ac:dyDescent="0.35">
      <c r="A13" s="21">
        <v>44967</v>
      </c>
      <c r="B13" s="20">
        <f t="shared" si="0"/>
        <v>4899</v>
      </c>
      <c r="C13" s="20">
        <f t="shared" si="1"/>
        <v>11431</v>
      </c>
      <c r="D13" s="20">
        <f t="shared" si="2"/>
        <v>16330</v>
      </c>
      <c r="E13" s="20">
        <v>11890</v>
      </c>
      <c r="F13" s="20">
        <v>4440</v>
      </c>
      <c r="G13" s="20">
        <v>3890</v>
      </c>
      <c r="H13" s="19">
        <f t="shared" si="3"/>
        <v>0.42857142857142855</v>
      </c>
      <c r="I13" s="18">
        <f>SUM($D$2:D13)-SUM($G$2:G13)</f>
        <v>293611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1">
        <v>44968</v>
      </c>
      <c r="B14" s="20">
        <f t="shared" si="0"/>
        <v>17361</v>
      </c>
      <c r="C14" s="20">
        <f t="shared" si="1"/>
        <v>40509</v>
      </c>
      <c r="D14" s="20">
        <f t="shared" si="2"/>
        <v>57870</v>
      </c>
      <c r="E14" s="20">
        <f>33890+430</f>
        <v>34320</v>
      </c>
      <c r="F14" s="20">
        <v>23550</v>
      </c>
      <c r="G14" s="20">
        <v>2000</v>
      </c>
      <c r="H14" s="19">
        <f t="shared" si="3"/>
        <v>0.42857142857142855</v>
      </c>
      <c r="I14" s="18">
        <f>SUM($D$2:D14)-SUM($G$2:G14)</f>
        <v>349481</v>
      </c>
      <c r="K14" s="8">
        <f t="shared" ref="K14:K20" si="11">A9</f>
        <v>44963</v>
      </c>
      <c r="L14" s="2">
        <f t="shared" ref="L14:L20" si="12">N14*0.39</f>
        <v>5048.55</v>
      </c>
      <c r="M14" s="2">
        <f t="shared" ref="M14:M20" si="13">N14-L14</f>
        <v>7896.45</v>
      </c>
      <c r="N14" s="2">
        <f t="shared" ref="N14:N20" si="14">O14+P14</f>
        <v>12945</v>
      </c>
      <c r="O14" s="2">
        <f t="shared" ref="O14:O20" si="15">VLOOKUP(K14,$A$1:$H$37,5,0)</f>
        <v>3825</v>
      </c>
      <c r="P14" s="2">
        <f t="shared" ref="P14:P20" si="16">VLOOKUP(K14,$A$1:$H$37,6,0)</f>
        <v>9120</v>
      </c>
      <c r="Q14" s="2">
        <f t="shared" ref="Q14:Q20" si="17">VLOOKUP(K14,$A$1:$H$37,7,0)</f>
        <v>1100</v>
      </c>
    </row>
    <row r="15" spans="1:17" x14ac:dyDescent="0.35">
      <c r="A15" s="21">
        <v>44969</v>
      </c>
      <c r="B15" s="20">
        <f t="shared" si="0"/>
        <v>12788.699999999999</v>
      </c>
      <c r="C15" s="20">
        <f t="shared" si="1"/>
        <v>29840.300000000003</v>
      </c>
      <c r="D15" s="20">
        <f t="shared" si="2"/>
        <v>42629</v>
      </c>
      <c r="E15" s="20">
        <v>9300</v>
      </c>
      <c r="F15" s="20">
        <v>33329</v>
      </c>
      <c r="G15" s="20">
        <v>220</v>
      </c>
      <c r="H15" s="19">
        <f t="shared" si="3"/>
        <v>0.42857142857142849</v>
      </c>
      <c r="I15" s="18">
        <f>SUM($D$2:D15)-SUM($G$2:G15)</f>
        <v>391890</v>
      </c>
      <c r="K15" s="9">
        <f t="shared" si="11"/>
        <v>44964</v>
      </c>
      <c r="L15" s="4">
        <f t="shared" si="12"/>
        <v>14294.28</v>
      </c>
      <c r="M15" s="4">
        <f t="shared" si="13"/>
        <v>22357.72</v>
      </c>
      <c r="N15" s="4">
        <f t="shared" si="14"/>
        <v>36652</v>
      </c>
      <c r="O15" s="4">
        <f t="shared" si="15"/>
        <v>26892</v>
      </c>
      <c r="P15" s="4">
        <f t="shared" si="16"/>
        <v>9760</v>
      </c>
      <c r="Q15" s="4">
        <f t="shared" si="17"/>
        <v>1020</v>
      </c>
    </row>
    <row r="16" spans="1:17" x14ac:dyDescent="0.35">
      <c r="A16" s="21">
        <v>44970</v>
      </c>
      <c r="B16" s="20">
        <f t="shared" si="0"/>
        <v>5730</v>
      </c>
      <c r="C16" s="20">
        <f t="shared" si="1"/>
        <v>13370</v>
      </c>
      <c r="D16" s="20">
        <f t="shared" si="2"/>
        <v>19100</v>
      </c>
      <c r="E16" s="20">
        <v>10300</v>
      </c>
      <c r="F16" s="20">
        <v>8800</v>
      </c>
      <c r="G16" s="20">
        <v>2700</v>
      </c>
      <c r="H16" s="19">
        <f t="shared" si="3"/>
        <v>0.42857142857142855</v>
      </c>
      <c r="I16" s="18">
        <f>SUM($D$2:D16)-SUM($G$2:G16)</f>
        <v>408290</v>
      </c>
      <c r="K16" s="8">
        <f t="shared" si="11"/>
        <v>44965</v>
      </c>
      <c r="L16" s="2">
        <f t="shared" si="12"/>
        <v>8688.81</v>
      </c>
      <c r="M16" s="2">
        <f t="shared" si="13"/>
        <v>13590.19</v>
      </c>
      <c r="N16" s="2">
        <f t="shared" si="14"/>
        <v>22279</v>
      </c>
      <c r="O16" s="2">
        <f t="shared" si="15"/>
        <v>15235</v>
      </c>
      <c r="P16" s="2">
        <f t="shared" si="16"/>
        <v>7044</v>
      </c>
      <c r="Q16" s="2">
        <f t="shared" si="17"/>
        <v>1920</v>
      </c>
    </row>
    <row r="17" spans="1:17" x14ac:dyDescent="0.35">
      <c r="A17" s="21">
        <v>44971</v>
      </c>
      <c r="B17" s="20">
        <f t="shared" si="0"/>
        <v>3387</v>
      </c>
      <c r="C17" s="20">
        <f t="shared" si="1"/>
        <v>7903</v>
      </c>
      <c r="D17" s="20">
        <f t="shared" si="2"/>
        <v>11290</v>
      </c>
      <c r="E17" s="20">
        <v>9870</v>
      </c>
      <c r="F17" s="20">
        <v>1420</v>
      </c>
      <c r="G17" s="20">
        <v>1130</v>
      </c>
      <c r="H17" s="19">
        <f t="shared" si="3"/>
        <v>0.42857142857142855</v>
      </c>
      <c r="I17" s="18">
        <f>SUM($D$2:D17)-SUM($G$2:G17)</f>
        <v>418450</v>
      </c>
      <c r="K17" s="9">
        <f t="shared" si="11"/>
        <v>44966</v>
      </c>
      <c r="L17" s="4">
        <f t="shared" si="12"/>
        <v>35094.15</v>
      </c>
      <c r="M17" s="4">
        <f t="shared" si="13"/>
        <v>54890.85</v>
      </c>
      <c r="N17" s="4">
        <f t="shared" si="14"/>
        <v>89985</v>
      </c>
      <c r="O17" s="4">
        <f t="shared" si="15"/>
        <v>3750</v>
      </c>
      <c r="P17" s="4">
        <f t="shared" si="16"/>
        <v>86235</v>
      </c>
      <c r="Q17" s="4">
        <f t="shared" si="17"/>
        <v>220</v>
      </c>
    </row>
    <row r="18" spans="1:17" x14ac:dyDescent="0.35">
      <c r="A18" s="21">
        <v>44972</v>
      </c>
      <c r="B18" s="20">
        <f t="shared" si="0"/>
        <v>2955</v>
      </c>
      <c r="C18" s="20">
        <f t="shared" si="1"/>
        <v>6895</v>
      </c>
      <c r="D18" s="20">
        <f t="shared" si="2"/>
        <v>9850</v>
      </c>
      <c r="E18" s="20">
        <v>7320</v>
      </c>
      <c r="F18" s="20">
        <v>2530</v>
      </c>
      <c r="G18" s="20">
        <v>17660</v>
      </c>
      <c r="H18" s="19">
        <f t="shared" si="3"/>
        <v>0.42857142857142855</v>
      </c>
      <c r="I18" s="18">
        <f>SUM($D$2:D18)-SUM($G$2:G18)</f>
        <v>410640</v>
      </c>
      <c r="K18" s="8">
        <f t="shared" si="11"/>
        <v>44967</v>
      </c>
      <c r="L18" s="2">
        <f t="shared" si="12"/>
        <v>6368.7</v>
      </c>
      <c r="M18" s="2">
        <f t="shared" si="13"/>
        <v>9961.2999999999993</v>
      </c>
      <c r="N18" s="2">
        <f t="shared" si="14"/>
        <v>16330</v>
      </c>
      <c r="O18" s="2">
        <f t="shared" si="15"/>
        <v>11890</v>
      </c>
      <c r="P18" s="2">
        <f t="shared" si="16"/>
        <v>4440</v>
      </c>
      <c r="Q18" s="2">
        <f t="shared" si="17"/>
        <v>3890</v>
      </c>
    </row>
    <row r="19" spans="1:17" x14ac:dyDescent="0.35">
      <c r="A19" s="21">
        <v>44973</v>
      </c>
      <c r="B19" s="20">
        <f t="shared" si="0"/>
        <v>3078</v>
      </c>
      <c r="C19" s="20">
        <f t="shared" si="1"/>
        <v>7182</v>
      </c>
      <c r="D19" s="20">
        <f t="shared" si="2"/>
        <v>10260</v>
      </c>
      <c r="E19" s="20">
        <v>1100</v>
      </c>
      <c r="F19" s="20">
        <v>9160</v>
      </c>
      <c r="G19" s="20">
        <v>0</v>
      </c>
      <c r="H19" s="19">
        <f t="shared" si="3"/>
        <v>0.42857142857142855</v>
      </c>
      <c r="I19" s="18">
        <f>SUM($D$2:D19)-SUM($G$2:G19)</f>
        <v>420900</v>
      </c>
      <c r="K19" s="9">
        <f t="shared" si="11"/>
        <v>44968</v>
      </c>
      <c r="L19" s="4">
        <f t="shared" si="12"/>
        <v>22569.3</v>
      </c>
      <c r="M19" s="4">
        <f t="shared" si="13"/>
        <v>35300.699999999997</v>
      </c>
      <c r="N19" s="4">
        <f t="shared" si="14"/>
        <v>57870</v>
      </c>
      <c r="O19" s="4">
        <f t="shared" si="15"/>
        <v>34320</v>
      </c>
      <c r="P19" s="4">
        <f t="shared" si="16"/>
        <v>23550</v>
      </c>
      <c r="Q19" s="4">
        <f t="shared" si="17"/>
        <v>2000</v>
      </c>
    </row>
    <row r="20" spans="1:17" x14ac:dyDescent="0.35">
      <c r="A20" s="21">
        <v>44974</v>
      </c>
      <c r="B20" s="20">
        <f t="shared" si="0"/>
        <v>3985.5</v>
      </c>
      <c r="C20" s="20">
        <f t="shared" si="1"/>
        <v>9299.5</v>
      </c>
      <c r="D20" s="20">
        <f t="shared" si="2"/>
        <v>13285</v>
      </c>
      <c r="E20" s="20">
        <v>7220</v>
      </c>
      <c r="F20" s="20">
        <v>6065</v>
      </c>
      <c r="G20" s="20">
        <v>500</v>
      </c>
      <c r="H20" s="19">
        <f t="shared" si="3"/>
        <v>0.42857142857142855</v>
      </c>
      <c r="I20" s="18">
        <f>SUM($D$2:D20)-SUM($G$2:G20)</f>
        <v>433685</v>
      </c>
      <c r="K20" s="8">
        <f t="shared" si="11"/>
        <v>44969</v>
      </c>
      <c r="L20" s="2">
        <f t="shared" si="12"/>
        <v>16625.310000000001</v>
      </c>
      <c r="M20" s="2">
        <f t="shared" si="13"/>
        <v>26003.69</v>
      </c>
      <c r="N20" s="2">
        <f t="shared" si="14"/>
        <v>42629</v>
      </c>
      <c r="O20" s="2">
        <f t="shared" si="15"/>
        <v>9300</v>
      </c>
      <c r="P20" s="2">
        <f t="shared" si="16"/>
        <v>33329</v>
      </c>
      <c r="Q20" s="2">
        <f t="shared" si="17"/>
        <v>220</v>
      </c>
    </row>
    <row r="21" spans="1:17" x14ac:dyDescent="0.35">
      <c r="A21" s="21">
        <v>44975</v>
      </c>
      <c r="B21" s="20">
        <f t="shared" si="0"/>
        <v>13852.5</v>
      </c>
      <c r="C21" s="20">
        <f t="shared" si="1"/>
        <v>32322.5</v>
      </c>
      <c r="D21" s="20">
        <f t="shared" si="2"/>
        <v>46175</v>
      </c>
      <c r="E21" s="20">
        <v>17640</v>
      </c>
      <c r="F21" s="20">
        <v>28535</v>
      </c>
      <c r="G21" s="20">
        <v>1200</v>
      </c>
      <c r="H21" s="19">
        <f t="shared" si="3"/>
        <v>0.42857142857142855</v>
      </c>
      <c r="I21" s="18">
        <f>SUM($D$2:D21)-SUM($G$2:G21)</f>
        <v>478660</v>
      </c>
      <c r="K21" s="3" t="s">
        <v>4</v>
      </c>
      <c r="L21" s="3">
        <f t="shared" ref="L21:Q21" si="18">SUM(L14:L20)</f>
        <v>108689.1</v>
      </c>
      <c r="M21" s="3">
        <f t="shared" si="18"/>
        <v>170000.9</v>
      </c>
      <c r="N21" s="3">
        <f t="shared" si="18"/>
        <v>278690</v>
      </c>
      <c r="O21" s="3">
        <f t="shared" si="18"/>
        <v>105212</v>
      </c>
      <c r="P21" s="3">
        <f t="shared" si="18"/>
        <v>173478</v>
      </c>
      <c r="Q21" s="3">
        <f t="shared" si="18"/>
        <v>10370</v>
      </c>
    </row>
    <row r="22" spans="1:17" x14ac:dyDescent="0.35">
      <c r="A22" s="21">
        <v>44976</v>
      </c>
      <c r="B22" s="20">
        <f t="shared" si="0"/>
        <v>4338</v>
      </c>
      <c r="C22" s="20">
        <f t="shared" si="1"/>
        <v>10122</v>
      </c>
      <c r="D22" s="20">
        <f t="shared" si="2"/>
        <v>14460</v>
      </c>
      <c r="E22" s="20">
        <v>13490</v>
      </c>
      <c r="F22" s="20">
        <v>970</v>
      </c>
      <c r="G22" s="20">
        <v>2070</v>
      </c>
      <c r="H22" s="19">
        <f t="shared" si="3"/>
        <v>0.42857142857142855</v>
      </c>
      <c r="I22" s="18">
        <f>SUM($D$2:D22)-SUM($G$2:G22)</f>
        <v>491050</v>
      </c>
      <c r="K22" s="3" t="s">
        <v>0</v>
      </c>
      <c r="L22" s="3">
        <f>L21/3</f>
        <v>36229.700000000004</v>
      </c>
      <c r="M22" s="3"/>
      <c r="N22" s="3"/>
      <c r="O22" s="2"/>
      <c r="P22" s="2"/>
      <c r="Q22" s="2"/>
    </row>
    <row r="23" spans="1:17" x14ac:dyDescent="0.35">
      <c r="A23" s="21">
        <v>44977</v>
      </c>
      <c r="B23" s="20">
        <f t="shared" si="0"/>
        <v>1923</v>
      </c>
      <c r="C23" s="20">
        <f t="shared" si="1"/>
        <v>4487</v>
      </c>
      <c r="D23" s="20">
        <f t="shared" si="2"/>
        <v>6410</v>
      </c>
      <c r="E23" s="20">
        <v>5490</v>
      </c>
      <c r="F23" s="20">
        <v>920</v>
      </c>
      <c r="G23" s="20">
        <v>13200</v>
      </c>
      <c r="H23" s="19">
        <f t="shared" si="3"/>
        <v>0.42857142857142855</v>
      </c>
      <c r="I23" s="18">
        <f>SUM($D$2:D23)-SUM($G$2:G23)</f>
        <v>484260</v>
      </c>
    </row>
    <row r="24" spans="1:17" x14ac:dyDescent="0.35">
      <c r="A24" s="21">
        <v>44978</v>
      </c>
      <c r="B24" s="20">
        <f t="shared" si="0"/>
        <v>4680</v>
      </c>
      <c r="C24" s="20">
        <f t="shared" si="1"/>
        <v>10920</v>
      </c>
      <c r="D24" s="20">
        <f t="shared" si="2"/>
        <v>15600</v>
      </c>
      <c r="E24" s="20">
        <v>10500</v>
      </c>
      <c r="F24" s="20">
        <v>5100</v>
      </c>
      <c r="G24" s="20">
        <v>830</v>
      </c>
      <c r="H24" s="19">
        <f t="shared" si="3"/>
        <v>0.42857142857142855</v>
      </c>
      <c r="I24" s="18">
        <f>SUM($D$2:D24)-SUM($G$2:G24)</f>
        <v>499030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1">
        <v>44979</v>
      </c>
      <c r="B25" s="20">
        <f t="shared" si="0"/>
        <v>17379</v>
      </c>
      <c r="C25" s="20">
        <f t="shared" si="1"/>
        <v>40551</v>
      </c>
      <c r="D25" s="20">
        <f t="shared" si="2"/>
        <v>57930</v>
      </c>
      <c r="E25" s="20">
        <v>9050</v>
      </c>
      <c r="F25" s="20">
        <v>48880</v>
      </c>
      <c r="G25" s="20">
        <v>1300</v>
      </c>
      <c r="H25" s="19">
        <f t="shared" si="3"/>
        <v>0.42857142857142855</v>
      </c>
      <c r="I25" s="18">
        <f>SUM($D$2:D25)-SUM($G$2:G25)</f>
        <v>555660</v>
      </c>
      <c r="K25" s="8">
        <f t="shared" ref="K25:K31" si="19">A16</f>
        <v>44970</v>
      </c>
      <c r="L25" s="2">
        <f t="shared" ref="L25:L31" si="20">N25*0.39</f>
        <v>7449</v>
      </c>
      <c r="M25" s="2">
        <f t="shared" ref="M25:M31" si="21">N25-L25</f>
        <v>11651</v>
      </c>
      <c r="N25" s="2">
        <f t="shared" ref="N25:N31" si="22">O25+P25</f>
        <v>19100</v>
      </c>
      <c r="O25" s="2">
        <f t="shared" ref="O25:O31" si="23">VLOOKUP(K25,$A$1:$H$37,5,0)</f>
        <v>10300</v>
      </c>
      <c r="P25" s="2">
        <f t="shared" ref="P25:P31" si="24">VLOOKUP(K25,$A$1:$H$37,6,0)</f>
        <v>8800</v>
      </c>
      <c r="Q25" s="2">
        <f t="shared" ref="Q25:Q31" si="25">VLOOKUP(K25,$A$1:$H$37,7,0)</f>
        <v>2700</v>
      </c>
    </row>
    <row r="26" spans="1:17" x14ac:dyDescent="0.35">
      <c r="A26" s="21">
        <v>44980</v>
      </c>
      <c r="B26" s="20">
        <f t="shared" si="0"/>
        <v>18929.099999999999</v>
      </c>
      <c r="C26" s="20">
        <f t="shared" si="1"/>
        <v>44167.9</v>
      </c>
      <c r="D26" s="20">
        <f t="shared" si="2"/>
        <v>63097</v>
      </c>
      <c r="E26" s="20">
        <v>45240</v>
      </c>
      <c r="F26" s="20">
        <v>17857</v>
      </c>
      <c r="G26" s="20">
        <v>770</v>
      </c>
      <c r="H26" s="19">
        <f t="shared" si="3"/>
        <v>0.42857142857142855</v>
      </c>
      <c r="I26" s="18">
        <f>SUM($D$2:D26)-SUM($G$2:G26)</f>
        <v>617987</v>
      </c>
      <c r="K26" s="9">
        <f t="shared" si="19"/>
        <v>44971</v>
      </c>
      <c r="L26" s="4">
        <f t="shared" si="20"/>
        <v>4403.1000000000004</v>
      </c>
      <c r="M26" s="4">
        <f t="shared" si="21"/>
        <v>6886.9</v>
      </c>
      <c r="N26" s="4">
        <f t="shared" si="22"/>
        <v>11290</v>
      </c>
      <c r="O26" s="4">
        <f t="shared" si="23"/>
        <v>9870</v>
      </c>
      <c r="P26" s="4">
        <f t="shared" si="24"/>
        <v>1420</v>
      </c>
      <c r="Q26" s="4">
        <f t="shared" si="25"/>
        <v>1130</v>
      </c>
    </row>
    <row r="27" spans="1:17" x14ac:dyDescent="0.35">
      <c r="A27" s="21">
        <v>44981</v>
      </c>
      <c r="B27" s="20">
        <f t="shared" si="0"/>
        <v>6217.5</v>
      </c>
      <c r="C27" s="20">
        <f t="shared" si="1"/>
        <v>14507.5</v>
      </c>
      <c r="D27" s="20">
        <f t="shared" si="2"/>
        <v>20725</v>
      </c>
      <c r="E27" s="20">
        <v>13860</v>
      </c>
      <c r="F27" s="20">
        <v>6865</v>
      </c>
      <c r="G27" s="20">
        <v>1100</v>
      </c>
      <c r="H27" s="19">
        <f t="shared" si="3"/>
        <v>0.42857142857142855</v>
      </c>
      <c r="I27" s="18">
        <f>SUM($D$2:D27)-SUM($G$2:G27)</f>
        <v>637612</v>
      </c>
      <c r="K27" s="8">
        <f t="shared" si="19"/>
        <v>44972</v>
      </c>
      <c r="L27" s="2">
        <f t="shared" si="20"/>
        <v>3841.5</v>
      </c>
      <c r="M27" s="2">
        <f t="shared" si="21"/>
        <v>6008.5</v>
      </c>
      <c r="N27" s="2">
        <f t="shared" si="22"/>
        <v>9850</v>
      </c>
      <c r="O27" s="2">
        <f t="shared" si="23"/>
        <v>7320</v>
      </c>
      <c r="P27" s="2">
        <f t="shared" si="24"/>
        <v>2530</v>
      </c>
      <c r="Q27" s="2">
        <f t="shared" si="25"/>
        <v>17660</v>
      </c>
    </row>
    <row r="28" spans="1:17" x14ac:dyDescent="0.35">
      <c r="A28" s="21">
        <v>44982</v>
      </c>
      <c r="B28" s="20">
        <f t="shared" si="0"/>
        <v>6785.0999999999995</v>
      </c>
      <c r="C28" s="20">
        <f t="shared" si="1"/>
        <v>15831.900000000001</v>
      </c>
      <c r="D28" s="20">
        <f t="shared" si="2"/>
        <v>22617</v>
      </c>
      <c r="E28" s="20">
        <v>11205</v>
      </c>
      <c r="F28" s="20">
        <v>11412</v>
      </c>
      <c r="G28" s="20">
        <v>140</v>
      </c>
      <c r="H28" s="19">
        <f t="shared" si="3"/>
        <v>0.42857142857142849</v>
      </c>
      <c r="I28" s="18">
        <f>SUM($D$2:D28)-SUM($G$2:G28)</f>
        <v>660089</v>
      </c>
      <c r="K28" s="9">
        <f t="shared" si="19"/>
        <v>44973</v>
      </c>
      <c r="L28" s="4">
        <f t="shared" si="20"/>
        <v>4001.4</v>
      </c>
      <c r="M28" s="4">
        <f t="shared" si="21"/>
        <v>6258.6</v>
      </c>
      <c r="N28" s="4">
        <f t="shared" si="22"/>
        <v>10260</v>
      </c>
      <c r="O28" s="4">
        <f t="shared" si="23"/>
        <v>1100</v>
      </c>
      <c r="P28" s="4">
        <f t="shared" si="24"/>
        <v>9160</v>
      </c>
      <c r="Q28" s="4">
        <f t="shared" si="25"/>
        <v>0</v>
      </c>
    </row>
    <row r="29" spans="1:17" x14ac:dyDescent="0.35">
      <c r="A29" s="21">
        <v>44983</v>
      </c>
      <c r="B29" s="20">
        <f t="shared" si="0"/>
        <v>6699</v>
      </c>
      <c r="C29" s="20">
        <f t="shared" si="1"/>
        <v>15631</v>
      </c>
      <c r="D29" s="20">
        <f t="shared" si="2"/>
        <v>22330</v>
      </c>
      <c r="E29" s="20">
        <f>19270+360</f>
        <v>19630</v>
      </c>
      <c r="F29" s="20">
        <v>2700</v>
      </c>
      <c r="G29" s="20">
        <v>2200</v>
      </c>
      <c r="H29" s="19">
        <f t="shared" si="3"/>
        <v>0.42857142857142855</v>
      </c>
      <c r="I29" s="18">
        <f>SUM($D$2:D29)-SUM($G$2:G29)</f>
        <v>680219</v>
      </c>
      <c r="K29" s="8">
        <f t="shared" si="19"/>
        <v>44974</v>
      </c>
      <c r="L29" s="2">
        <f t="shared" si="20"/>
        <v>5181.1500000000005</v>
      </c>
      <c r="M29" s="2">
        <f t="shared" si="21"/>
        <v>8103.8499999999995</v>
      </c>
      <c r="N29" s="2">
        <f t="shared" si="22"/>
        <v>13285</v>
      </c>
      <c r="O29" s="2">
        <f t="shared" si="23"/>
        <v>7220</v>
      </c>
      <c r="P29" s="2">
        <f t="shared" si="24"/>
        <v>6065</v>
      </c>
      <c r="Q29" s="2">
        <f t="shared" si="25"/>
        <v>500</v>
      </c>
    </row>
    <row r="30" spans="1:17" x14ac:dyDescent="0.35">
      <c r="A30" s="21">
        <v>44984</v>
      </c>
      <c r="B30" s="20">
        <f t="shared" si="0"/>
        <v>5644.5</v>
      </c>
      <c r="C30" s="20">
        <f t="shared" si="1"/>
        <v>13170.5</v>
      </c>
      <c r="D30" s="20">
        <f t="shared" si="2"/>
        <v>18815</v>
      </c>
      <c r="E30" s="20">
        <v>11110</v>
      </c>
      <c r="F30" s="20">
        <v>7705</v>
      </c>
      <c r="G30" s="20">
        <v>100</v>
      </c>
      <c r="H30" s="19">
        <f t="shared" si="3"/>
        <v>0.42857142857142855</v>
      </c>
      <c r="I30" s="18">
        <f>SUM($D$2:D30)-SUM($G$2:G30)</f>
        <v>698934</v>
      </c>
      <c r="K30" s="9">
        <f t="shared" si="19"/>
        <v>44975</v>
      </c>
      <c r="L30" s="4">
        <f t="shared" si="20"/>
        <v>18008.25</v>
      </c>
      <c r="M30" s="4">
        <f t="shared" si="21"/>
        <v>28166.75</v>
      </c>
      <c r="N30" s="4">
        <f t="shared" si="22"/>
        <v>46175</v>
      </c>
      <c r="O30" s="4">
        <f t="shared" si="23"/>
        <v>17640</v>
      </c>
      <c r="P30" s="4">
        <f t="shared" si="24"/>
        <v>28535</v>
      </c>
      <c r="Q30" s="4">
        <f t="shared" si="25"/>
        <v>1200</v>
      </c>
    </row>
    <row r="31" spans="1:17" x14ac:dyDescent="0.35">
      <c r="A31" s="21">
        <v>44985</v>
      </c>
      <c r="B31" s="20">
        <f t="shared" si="0"/>
        <v>8643</v>
      </c>
      <c r="C31" s="20">
        <f t="shared" si="1"/>
        <v>20167</v>
      </c>
      <c r="D31" s="20">
        <f t="shared" si="2"/>
        <v>28810</v>
      </c>
      <c r="E31" s="20">
        <v>22460</v>
      </c>
      <c r="F31" s="20">
        <v>6350</v>
      </c>
      <c r="G31" s="20">
        <v>230</v>
      </c>
      <c r="H31" s="19">
        <f t="shared" si="3"/>
        <v>0.42857142857142855</v>
      </c>
      <c r="I31" s="18">
        <f>SUM($D$2:D31)-SUM($G$2:G31)</f>
        <v>727514</v>
      </c>
      <c r="K31" s="8">
        <f t="shared" si="19"/>
        <v>44976</v>
      </c>
      <c r="L31" s="2">
        <f t="shared" si="20"/>
        <v>5639.4000000000005</v>
      </c>
      <c r="M31" s="2">
        <f t="shared" si="21"/>
        <v>8820.5999999999985</v>
      </c>
      <c r="N31" s="2">
        <f t="shared" si="22"/>
        <v>14460</v>
      </c>
      <c r="O31" s="2">
        <f t="shared" si="23"/>
        <v>13490</v>
      </c>
      <c r="P31" s="2">
        <f t="shared" si="24"/>
        <v>970</v>
      </c>
      <c r="Q31" s="2">
        <f t="shared" si="25"/>
        <v>2070</v>
      </c>
    </row>
    <row r="32" spans="1:17" x14ac:dyDescent="0.35">
      <c r="A32" s="21">
        <v>44986</v>
      </c>
      <c r="B32" s="20">
        <f t="shared" si="0"/>
        <v>0</v>
      </c>
      <c r="C32" s="20">
        <f t="shared" si="1"/>
        <v>0</v>
      </c>
      <c r="D32" s="20">
        <f t="shared" si="2"/>
        <v>0</v>
      </c>
      <c r="E32" s="22"/>
      <c r="F32" s="22"/>
      <c r="G32" s="22"/>
      <c r="H32" s="19">
        <f t="shared" si="3"/>
        <v>0</v>
      </c>
      <c r="I32" s="18">
        <f>SUM($D$2:D32)-SUM($G$2:G32)</f>
        <v>727514</v>
      </c>
      <c r="K32" s="3" t="s">
        <v>4</v>
      </c>
      <c r="L32" s="2">
        <f t="shared" ref="L32:Q32" si="26">SUM(L25:L31)</f>
        <v>48523.8</v>
      </c>
      <c r="M32" s="2">
        <f t="shared" si="26"/>
        <v>75896.200000000012</v>
      </c>
      <c r="N32" s="2">
        <f t="shared" si="26"/>
        <v>124420</v>
      </c>
      <c r="O32" s="2">
        <f t="shared" si="26"/>
        <v>66940</v>
      </c>
      <c r="P32" s="2">
        <f t="shared" si="26"/>
        <v>57480</v>
      </c>
      <c r="Q32" s="2">
        <f t="shared" si="26"/>
        <v>25260</v>
      </c>
    </row>
    <row r="33" spans="1:17" x14ac:dyDescent="0.35">
      <c r="A33" s="21">
        <v>44987</v>
      </c>
      <c r="B33" s="20">
        <f t="shared" si="0"/>
        <v>0</v>
      </c>
      <c r="C33" s="20">
        <f t="shared" si="1"/>
        <v>0</v>
      </c>
      <c r="D33" s="20">
        <f t="shared" si="2"/>
        <v>0</v>
      </c>
      <c r="E33" s="20"/>
      <c r="F33" s="20"/>
      <c r="G33" s="20"/>
      <c r="H33" s="19">
        <f t="shared" si="3"/>
        <v>0</v>
      </c>
      <c r="I33" s="18">
        <f>SUM($D$2:D33)-SUM($G$2:G33)</f>
        <v>727514</v>
      </c>
      <c r="K33" s="3" t="s">
        <v>0</v>
      </c>
      <c r="L33" s="4">
        <f>L32/3</f>
        <v>16174.6</v>
      </c>
      <c r="M33" s="4"/>
      <c r="N33" s="4"/>
      <c r="O33" s="4"/>
      <c r="P33" s="4"/>
      <c r="Q33" s="4"/>
    </row>
    <row r="34" spans="1:17" x14ac:dyDescent="0.35">
      <c r="A34" s="21">
        <v>44988</v>
      </c>
      <c r="B34" s="20">
        <f t="shared" si="0"/>
        <v>0</v>
      </c>
      <c r="C34" s="20">
        <f t="shared" si="1"/>
        <v>0</v>
      </c>
      <c r="D34" s="20">
        <f t="shared" si="2"/>
        <v>0</v>
      </c>
      <c r="E34" s="20"/>
      <c r="F34" s="20"/>
      <c r="G34" s="20"/>
      <c r="H34" s="19">
        <f t="shared" si="3"/>
        <v>0</v>
      </c>
      <c r="I34" s="18">
        <f>SUM($D$2:D34)-SUM($G$2:G34)</f>
        <v>727514</v>
      </c>
    </row>
    <row r="35" spans="1:17" x14ac:dyDescent="0.35">
      <c r="A35" s="21">
        <v>44989</v>
      </c>
      <c r="B35" s="20">
        <f t="shared" si="0"/>
        <v>0</v>
      </c>
      <c r="C35" s="20">
        <f t="shared" si="1"/>
        <v>0</v>
      </c>
      <c r="D35" s="20">
        <f t="shared" si="2"/>
        <v>0</v>
      </c>
      <c r="E35" s="22"/>
      <c r="F35" s="22"/>
      <c r="G35" s="22"/>
      <c r="H35" s="19">
        <f t="shared" si="3"/>
        <v>0</v>
      </c>
      <c r="I35" s="18">
        <f>SUM($D$2:D35)-SUM($G$2:G35)</f>
        <v>727514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1">
        <v>44990</v>
      </c>
      <c r="B36" s="20">
        <f t="shared" si="0"/>
        <v>0</v>
      </c>
      <c r="C36" s="20">
        <f t="shared" si="1"/>
        <v>0</v>
      </c>
      <c r="D36" s="20">
        <f t="shared" si="2"/>
        <v>0</v>
      </c>
      <c r="E36" s="22"/>
      <c r="F36" s="22"/>
      <c r="G36" s="22"/>
      <c r="H36" s="19">
        <f t="shared" si="3"/>
        <v>0</v>
      </c>
      <c r="I36" s="18">
        <f>SUM($D$2:D36)-SUM($G$2:G36)</f>
        <v>727514</v>
      </c>
      <c r="K36" s="8">
        <f t="shared" ref="K36:K40" si="27">A23</f>
        <v>44977</v>
      </c>
      <c r="L36" s="2">
        <f t="shared" ref="L36:L42" si="28">N36*0.39</f>
        <v>2499.9</v>
      </c>
      <c r="M36" s="2">
        <f t="shared" ref="M36:M42" si="29">N36-L36</f>
        <v>3910.1</v>
      </c>
      <c r="N36" s="2">
        <f t="shared" ref="N36:N42" si="30">O36+P36</f>
        <v>6410</v>
      </c>
      <c r="O36" s="2">
        <f t="shared" ref="O36:O42" si="31">VLOOKUP(K36,$A$1:$H$37,5,0)</f>
        <v>5490</v>
      </c>
      <c r="P36" s="2">
        <f t="shared" ref="P36:P42" si="32">VLOOKUP(K36,$A$1:$H$37,6,0)</f>
        <v>920</v>
      </c>
      <c r="Q36" s="2">
        <f t="shared" ref="Q36:Q42" si="33">VLOOKUP(K36,$A$1:$H$37,7,0)</f>
        <v>13200</v>
      </c>
    </row>
    <row r="37" spans="1:17" ht="15" thickBot="1" x14ac:dyDescent="0.4">
      <c r="A37" s="17" t="s">
        <v>4</v>
      </c>
      <c r="B37" s="16">
        <f>SUM(B4:B36)</f>
        <v>226772.7</v>
      </c>
      <c r="C37" s="16">
        <f t="shared" ref="C37:I37" si="34">SUM(C4:C36)</f>
        <v>529136.30000000005</v>
      </c>
      <c r="D37" s="16">
        <f t="shared" si="34"/>
        <v>755909</v>
      </c>
      <c r="E37" s="16">
        <f t="shared" si="34"/>
        <v>382322</v>
      </c>
      <c r="F37" s="16">
        <f t="shared" si="34"/>
        <v>373587</v>
      </c>
      <c r="G37" s="16">
        <f t="shared" si="34"/>
        <v>73230</v>
      </c>
      <c r="H37" s="16">
        <f t="shared" si="34"/>
        <v>12.000000000000004</v>
      </c>
      <c r="I37" s="16">
        <f t="shared" si="34"/>
        <v>14532361</v>
      </c>
      <c r="K37" s="9">
        <f t="shared" si="27"/>
        <v>44978</v>
      </c>
      <c r="L37" s="4">
        <f t="shared" si="28"/>
        <v>6084</v>
      </c>
      <c r="M37" s="4">
        <f t="shared" si="29"/>
        <v>9516</v>
      </c>
      <c r="N37" s="4">
        <f t="shared" si="30"/>
        <v>15600</v>
      </c>
      <c r="O37" s="4">
        <f t="shared" si="31"/>
        <v>10500</v>
      </c>
      <c r="P37" s="4">
        <f t="shared" si="32"/>
        <v>5100</v>
      </c>
      <c r="Q37" s="4">
        <f t="shared" si="33"/>
        <v>830</v>
      </c>
    </row>
    <row r="38" spans="1:17" x14ac:dyDescent="0.35">
      <c r="A38" s="12"/>
      <c r="B38" s="11">
        <f>B37/3</f>
        <v>75590.900000000009</v>
      </c>
      <c r="C38" s="11"/>
      <c r="E38" s="13">
        <f>D37*0.42</f>
        <v>317481.77999999997</v>
      </c>
      <c r="F38" s="11"/>
      <c r="G38" s="11"/>
      <c r="H38" s="10"/>
      <c r="K38" s="8">
        <f t="shared" si="27"/>
        <v>44979</v>
      </c>
      <c r="L38" s="2">
        <f t="shared" si="28"/>
        <v>22592.7</v>
      </c>
      <c r="M38" s="2">
        <f t="shared" si="29"/>
        <v>35337.300000000003</v>
      </c>
      <c r="N38" s="2">
        <f t="shared" si="30"/>
        <v>57930</v>
      </c>
      <c r="O38" s="2">
        <f t="shared" si="31"/>
        <v>9050</v>
      </c>
      <c r="P38" s="2">
        <f t="shared" si="32"/>
        <v>48880</v>
      </c>
      <c r="Q38" s="2">
        <f t="shared" si="33"/>
        <v>1300</v>
      </c>
    </row>
    <row r="39" spans="1:17" x14ac:dyDescent="0.35">
      <c r="A39" s="12"/>
      <c r="B39" s="11">
        <f>B38*100/D37</f>
        <v>10.000000000000002</v>
      </c>
      <c r="C39" s="11"/>
      <c r="E39" s="11">
        <f>E38/3</f>
        <v>105827.26</v>
      </c>
      <c r="F39" s="11"/>
      <c r="G39" s="11"/>
      <c r="H39" s="10"/>
      <c r="K39" s="9">
        <f t="shared" si="27"/>
        <v>44980</v>
      </c>
      <c r="L39" s="4">
        <f t="shared" si="28"/>
        <v>24607.83</v>
      </c>
      <c r="M39" s="4">
        <f t="shared" si="29"/>
        <v>38489.17</v>
      </c>
      <c r="N39" s="4">
        <f t="shared" si="30"/>
        <v>63097</v>
      </c>
      <c r="O39" s="4">
        <f t="shared" si="31"/>
        <v>45240</v>
      </c>
      <c r="P39" s="4">
        <f t="shared" si="32"/>
        <v>17857</v>
      </c>
      <c r="Q39" s="4">
        <f t="shared" si="33"/>
        <v>770</v>
      </c>
    </row>
    <row r="40" spans="1:17" x14ac:dyDescent="0.35">
      <c r="A40" s="7" t="s">
        <v>7</v>
      </c>
      <c r="B40" s="6" t="s">
        <v>6</v>
      </c>
      <c r="C40" s="6" t="s">
        <v>5</v>
      </c>
      <c r="D40" s="6" t="s">
        <v>4</v>
      </c>
      <c r="E40" s="6" t="s">
        <v>3</v>
      </c>
      <c r="F40" s="6" t="s">
        <v>2</v>
      </c>
      <c r="G40" s="6" t="s">
        <v>1</v>
      </c>
      <c r="H40" s="31" t="s">
        <v>0</v>
      </c>
      <c r="K40" s="8">
        <f t="shared" si="27"/>
        <v>44981</v>
      </c>
      <c r="L40" s="2">
        <f t="shared" si="28"/>
        <v>8082.75</v>
      </c>
      <c r="M40" s="2">
        <f t="shared" si="29"/>
        <v>12642.25</v>
      </c>
      <c r="N40" s="2">
        <f t="shared" si="30"/>
        <v>20725</v>
      </c>
      <c r="O40" s="2">
        <f t="shared" si="31"/>
        <v>13860</v>
      </c>
      <c r="P40" s="2">
        <f t="shared" si="32"/>
        <v>6865</v>
      </c>
      <c r="Q40" s="2">
        <f t="shared" si="33"/>
        <v>1100</v>
      </c>
    </row>
    <row r="41" spans="1:17" x14ac:dyDescent="0.35">
      <c r="A41" s="32" t="str">
        <f>CONCATENATE(TEXT(K3,"DD-MMM-YYY")," to ",TEXT(K9,"DD-MMM-YYYY"))</f>
        <v>30-Jan-2023 to 05-Feb-2023</v>
      </c>
      <c r="B41" s="2">
        <f>L10</f>
        <v>55600.35</v>
      </c>
      <c r="C41" s="2">
        <f t="shared" ref="C41:G41" si="35">M10</f>
        <v>86964.65</v>
      </c>
      <c r="D41" s="2">
        <f t="shared" si="35"/>
        <v>142565</v>
      </c>
      <c r="E41" s="2">
        <f t="shared" si="35"/>
        <v>81870</v>
      </c>
      <c r="F41" s="2">
        <f t="shared" si="35"/>
        <v>60695</v>
      </c>
      <c r="G41" s="2">
        <f t="shared" si="35"/>
        <v>18995</v>
      </c>
      <c r="H41" s="2">
        <f>B41/3</f>
        <v>18533.45</v>
      </c>
      <c r="K41" s="9">
        <f>A28</f>
        <v>44982</v>
      </c>
      <c r="L41" s="4">
        <f t="shared" si="28"/>
        <v>8820.630000000001</v>
      </c>
      <c r="M41" s="4">
        <f t="shared" si="29"/>
        <v>13796.369999999999</v>
      </c>
      <c r="N41" s="4">
        <f t="shared" si="30"/>
        <v>22617</v>
      </c>
      <c r="O41" s="4">
        <f t="shared" si="31"/>
        <v>11205</v>
      </c>
      <c r="P41" s="4">
        <f t="shared" si="32"/>
        <v>11412</v>
      </c>
      <c r="Q41" s="4">
        <f t="shared" si="33"/>
        <v>140</v>
      </c>
    </row>
    <row r="42" spans="1:17" x14ac:dyDescent="0.35">
      <c r="A42" s="32" t="str">
        <f>CONCATENATE(TEXT(K14,"DD-MMM-YYY")," to ",TEXT(K20,"DD-MMM-YYYY"))</f>
        <v>06-Feb-2023 to 12-Feb-2023</v>
      </c>
      <c r="B42" s="4">
        <f>L21</f>
        <v>108689.1</v>
      </c>
      <c r="C42" s="4">
        <f t="shared" ref="C42:G42" si="36">M21</f>
        <v>170000.9</v>
      </c>
      <c r="D42" s="4">
        <f t="shared" si="36"/>
        <v>278690</v>
      </c>
      <c r="E42" s="4">
        <f t="shared" si="36"/>
        <v>105212</v>
      </c>
      <c r="F42" s="4">
        <f t="shared" si="36"/>
        <v>173478</v>
      </c>
      <c r="G42" s="4">
        <f t="shared" si="36"/>
        <v>10370</v>
      </c>
      <c r="H42" s="2">
        <f t="shared" ref="H42:H45" si="37">B42/3</f>
        <v>36229.700000000004</v>
      </c>
      <c r="K42" s="8">
        <f>A29</f>
        <v>44983</v>
      </c>
      <c r="L42" s="2">
        <f t="shared" si="28"/>
        <v>8708.7000000000007</v>
      </c>
      <c r="M42" s="2">
        <f t="shared" si="29"/>
        <v>13621.3</v>
      </c>
      <c r="N42" s="2">
        <f t="shared" si="30"/>
        <v>22330</v>
      </c>
      <c r="O42" s="2">
        <f t="shared" si="31"/>
        <v>19630</v>
      </c>
      <c r="P42" s="2">
        <f t="shared" si="32"/>
        <v>2700</v>
      </c>
      <c r="Q42" s="2">
        <f t="shared" si="33"/>
        <v>2200</v>
      </c>
    </row>
    <row r="43" spans="1:17" x14ac:dyDescent="0.35">
      <c r="A43" s="32" t="str">
        <f>CONCATENATE(TEXT(K25,"DD-MMM-YYY")," to ",TEXT(K31,"DD-MMM-YYYY"))</f>
        <v>13-Feb-2023 to 19-Feb-2023</v>
      </c>
      <c r="B43" s="2">
        <f>L32</f>
        <v>48523.8</v>
      </c>
      <c r="C43" s="2">
        <f t="shared" ref="C43:G43" si="38">M32</f>
        <v>75896.200000000012</v>
      </c>
      <c r="D43" s="2">
        <f t="shared" si="38"/>
        <v>124420</v>
      </c>
      <c r="E43" s="2">
        <f t="shared" si="38"/>
        <v>66940</v>
      </c>
      <c r="F43" s="2">
        <f t="shared" si="38"/>
        <v>57480</v>
      </c>
      <c r="G43" s="2">
        <f t="shared" si="38"/>
        <v>25260</v>
      </c>
      <c r="H43" s="2">
        <f t="shared" si="37"/>
        <v>16174.6</v>
      </c>
      <c r="K43" s="3" t="s">
        <v>4</v>
      </c>
      <c r="L43" s="4">
        <f t="shared" ref="L43:Q43" si="39">SUM(L36:L42)</f>
        <v>81396.509999999995</v>
      </c>
      <c r="M43" s="4">
        <f t="shared" si="39"/>
        <v>127312.49</v>
      </c>
      <c r="N43" s="4">
        <f t="shared" si="39"/>
        <v>208709</v>
      </c>
      <c r="O43" s="4">
        <f t="shared" si="39"/>
        <v>114975</v>
      </c>
      <c r="P43" s="4">
        <f t="shared" si="39"/>
        <v>93734</v>
      </c>
      <c r="Q43" s="4">
        <f t="shared" si="39"/>
        <v>19540</v>
      </c>
    </row>
    <row r="44" spans="1:17" x14ac:dyDescent="0.35">
      <c r="A44" s="32" t="str">
        <f>CONCATENATE(TEXT(K36,"DD-MMM-YYY")," to ",TEXT(K42,"DD-MMM-YYYY"))</f>
        <v>20-Feb-2023 to 26-Feb-2023</v>
      </c>
      <c r="B44" s="4">
        <f>L43</f>
        <v>81396.509999999995</v>
      </c>
      <c r="C44" s="4">
        <f t="shared" ref="C44:G44" si="40">M43</f>
        <v>127312.49</v>
      </c>
      <c r="D44" s="4">
        <f t="shared" si="40"/>
        <v>208709</v>
      </c>
      <c r="E44" s="4">
        <f t="shared" si="40"/>
        <v>114975</v>
      </c>
      <c r="F44" s="4">
        <f t="shared" si="40"/>
        <v>93734</v>
      </c>
      <c r="G44" s="4">
        <f t="shared" si="40"/>
        <v>19540</v>
      </c>
      <c r="H44" s="2">
        <f t="shared" si="37"/>
        <v>27132.17</v>
      </c>
      <c r="K44" s="3" t="s">
        <v>0</v>
      </c>
      <c r="L44" s="2">
        <f>L43/3</f>
        <v>27132.17</v>
      </c>
      <c r="M44" s="2"/>
      <c r="N44" s="2"/>
      <c r="O44" s="2"/>
      <c r="P44" s="2"/>
      <c r="Q44" s="2"/>
    </row>
    <row r="45" spans="1:17" x14ac:dyDescent="0.35">
      <c r="A45" s="32" t="str">
        <f>CONCATENATE(TEXT(K47,"DD-MMM-YYY")," to ",TEXT(K53,"DD-MMM-YYYY"))</f>
        <v>27-Feb-2023 to 05-Mar-2023</v>
      </c>
      <c r="B45" s="2">
        <f>L54</f>
        <v>18573.75</v>
      </c>
      <c r="C45" s="2">
        <f t="shared" ref="C45:G45" si="41">M54</f>
        <v>29051.25</v>
      </c>
      <c r="D45" s="2">
        <f t="shared" si="41"/>
        <v>47625</v>
      </c>
      <c r="E45" s="2">
        <f t="shared" si="41"/>
        <v>0</v>
      </c>
      <c r="F45" s="2">
        <f t="shared" si="41"/>
        <v>0</v>
      </c>
      <c r="G45" s="2">
        <f t="shared" si="41"/>
        <v>0</v>
      </c>
      <c r="H45" s="2">
        <f t="shared" si="37"/>
        <v>6191.25</v>
      </c>
    </row>
    <row r="46" spans="1:17" x14ac:dyDescent="0.35">
      <c r="A46" s="32" t="str">
        <f>CONCATENATE(TEXT(K59,"DD-MMM-YYY")," to ",TEXT(K58,"DD-MMM-YYYY"))</f>
        <v>03-Feb-2023 to Date</v>
      </c>
      <c r="B46" s="4">
        <f>SUM(B41:B45)</f>
        <v>312783.51</v>
      </c>
      <c r="C46" s="4">
        <f t="shared" ref="C46:H46" si="42">SUM(C41:C45)</f>
        <v>489225.49</v>
      </c>
      <c r="D46" s="4">
        <f t="shared" si="42"/>
        <v>802009</v>
      </c>
      <c r="E46" s="4">
        <f t="shared" si="42"/>
        <v>368997</v>
      </c>
      <c r="F46" s="4">
        <f t="shared" si="42"/>
        <v>385387</v>
      </c>
      <c r="G46" s="4">
        <f t="shared" si="42"/>
        <v>74165</v>
      </c>
      <c r="H46" s="4">
        <f t="shared" si="42"/>
        <v>104261.17000000001</v>
      </c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C47" s="67" t="s">
        <v>4</v>
      </c>
      <c r="D47" s="67"/>
      <c r="E47" s="67"/>
      <c r="F47" s="67"/>
      <c r="G47" s="68"/>
      <c r="H47" s="2"/>
      <c r="K47" s="8">
        <f t="shared" ref="K47:K53" si="43">A30</f>
        <v>44984</v>
      </c>
      <c r="L47" s="2">
        <f t="shared" ref="L47:L53" si="44">N47*0.39</f>
        <v>7337.85</v>
      </c>
      <c r="M47" s="2">
        <f t="shared" ref="M47:M53" si="45">N47-L47</f>
        <v>11477.15</v>
      </c>
      <c r="N47" s="2">
        <f t="shared" ref="N47:N53" si="46">O47+P47</f>
        <v>18815</v>
      </c>
      <c r="O47" s="2">
        <f t="shared" ref="O47:O53" si="47">VLOOKUP(K47,$A$1:$H$37,5,0)</f>
        <v>11110</v>
      </c>
      <c r="P47" s="2">
        <f t="shared" ref="P47:P53" si="48">VLOOKUP(K47,$A$1:$H$37,6,0)</f>
        <v>7705</v>
      </c>
      <c r="Q47" s="2">
        <f t="shared" ref="Q47:Q53" si="49">VLOOKUP(K47,$A$1:$H$37,7,0)</f>
        <v>100</v>
      </c>
    </row>
    <row r="48" spans="1:17" x14ac:dyDescent="0.35">
      <c r="K48" s="9">
        <f t="shared" si="43"/>
        <v>44985</v>
      </c>
      <c r="L48" s="4">
        <f t="shared" si="44"/>
        <v>11235.9</v>
      </c>
      <c r="M48" s="4">
        <f t="shared" si="45"/>
        <v>17574.099999999999</v>
      </c>
      <c r="N48" s="4">
        <f t="shared" si="46"/>
        <v>28810</v>
      </c>
      <c r="O48" s="4">
        <f t="shared" si="47"/>
        <v>22460</v>
      </c>
      <c r="P48" s="4">
        <f t="shared" si="48"/>
        <v>6350</v>
      </c>
      <c r="Q48" s="4">
        <f t="shared" si="49"/>
        <v>230</v>
      </c>
    </row>
    <row r="49" spans="11:17" x14ac:dyDescent="0.35">
      <c r="K49" s="8">
        <f t="shared" si="43"/>
        <v>44986</v>
      </c>
      <c r="L49" s="2">
        <f t="shared" si="44"/>
        <v>0</v>
      </c>
      <c r="M49" s="2">
        <f t="shared" si="45"/>
        <v>0</v>
      </c>
      <c r="N49" s="2">
        <f t="shared" si="46"/>
        <v>0</v>
      </c>
      <c r="O49" s="2">
        <f t="shared" si="47"/>
        <v>0</v>
      </c>
      <c r="P49" s="2">
        <f t="shared" si="48"/>
        <v>0</v>
      </c>
      <c r="Q49" s="2">
        <f t="shared" si="49"/>
        <v>0</v>
      </c>
    </row>
    <row r="50" spans="11:17" x14ac:dyDescent="0.35">
      <c r="K50" s="9">
        <f t="shared" si="43"/>
        <v>44987</v>
      </c>
      <c r="L50" s="4">
        <f t="shared" si="44"/>
        <v>0</v>
      </c>
      <c r="M50" s="4">
        <f t="shared" si="45"/>
        <v>0</v>
      </c>
      <c r="N50" s="4">
        <f t="shared" si="46"/>
        <v>0</v>
      </c>
      <c r="O50" s="4">
        <f t="shared" si="47"/>
        <v>0</v>
      </c>
      <c r="P50" s="4">
        <f t="shared" si="48"/>
        <v>0</v>
      </c>
      <c r="Q50" s="4">
        <f t="shared" si="49"/>
        <v>0</v>
      </c>
    </row>
    <row r="51" spans="11:17" x14ac:dyDescent="0.35">
      <c r="K51" s="8">
        <f t="shared" si="43"/>
        <v>44988</v>
      </c>
      <c r="L51" s="2">
        <f t="shared" si="44"/>
        <v>0</v>
      </c>
      <c r="M51" s="2">
        <f t="shared" si="45"/>
        <v>0</v>
      </c>
      <c r="N51" s="2">
        <f t="shared" si="46"/>
        <v>0</v>
      </c>
      <c r="O51" s="2">
        <f t="shared" si="47"/>
        <v>0</v>
      </c>
      <c r="P51" s="2">
        <f t="shared" si="48"/>
        <v>0</v>
      </c>
      <c r="Q51" s="2">
        <f t="shared" si="49"/>
        <v>0</v>
      </c>
    </row>
    <row r="52" spans="11:17" x14ac:dyDescent="0.35">
      <c r="K52" s="9">
        <f t="shared" si="43"/>
        <v>44989</v>
      </c>
      <c r="L52" s="4">
        <f t="shared" si="44"/>
        <v>0</v>
      </c>
      <c r="M52" s="4">
        <f t="shared" si="45"/>
        <v>0</v>
      </c>
      <c r="N52" s="4">
        <f t="shared" si="46"/>
        <v>0</v>
      </c>
      <c r="O52" s="4">
        <f t="shared" si="47"/>
        <v>0</v>
      </c>
      <c r="P52" s="4">
        <f t="shared" si="48"/>
        <v>0</v>
      </c>
      <c r="Q52" s="4">
        <f t="shared" si="49"/>
        <v>0</v>
      </c>
    </row>
    <row r="53" spans="11:17" x14ac:dyDescent="0.35">
      <c r="K53" s="8">
        <f t="shared" si="43"/>
        <v>44990</v>
      </c>
      <c r="L53" s="2">
        <f t="shared" si="44"/>
        <v>0</v>
      </c>
      <c r="M53" s="2">
        <f t="shared" si="45"/>
        <v>0</v>
      </c>
      <c r="N53" s="2">
        <f t="shared" si="46"/>
        <v>0</v>
      </c>
      <c r="O53" s="2">
        <f t="shared" si="47"/>
        <v>0</v>
      </c>
      <c r="P53" s="2">
        <f t="shared" si="48"/>
        <v>0</v>
      </c>
      <c r="Q53" s="2">
        <f t="shared" si="49"/>
        <v>0</v>
      </c>
    </row>
    <row r="54" spans="11:17" x14ac:dyDescent="0.35">
      <c r="K54" s="3" t="s">
        <v>4</v>
      </c>
      <c r="L54" s="4">
        <f>SUM(L47:L53)</f>
        <v>18573.75</v>
      </c>
      <c r="M54" s="4">
        <f>SUM(M47:M53)</f>
        <v>29051.25</v>
      </c>
      <c r="N54" s="4">
        <f>SUM(N47:N53)</f>
        <v>47625</v>
      </c>
      <c r="O54" s="4"/>
      <c r="P54" s="4"/>
      <c r="Q54" s="4"/>
    </row>
    <row r="55" spans="11:17" x14ac:dyDescent="0.35">
      <c r="K55" s="3" t="s">
        <v>0</v>
      </c>
      <c r="L55" s="2">
        <f>L54/3</f>
        <v>6191.25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A6</f>
        <v>44960</v>
      </c>
      <c r="L59" s="4">
        <f t="shared" ref="L59:Q59" si="50">SUM(B4:B31)</f>
        <v>226772.7</v>
      </c>
      <c r="M59" s="4">
        <f t="shared" si="50"/>
        <v>529136.30000000005</v>
      </c>
      <c r="N59" s="4">
        <f t="shared" si="50"/>
        <v>755909</v>
      </c>
      <c r="O59" s="4">
        <f t="shared" si="50"/>
        <v>382322</v>
      </c>
      <c r="P59" s="4">
        <f t="shared" si="50"/>
        <v>373587</v>
      </c>
      <c r="Q59" s="4">
        <f t="shared" si="50"/>
        <v>73230</v>
      </c>
    </row>
    <row r="60" spans="11:17" x14ac:dyDescent="0.35">
      <c r="K60" s="3" t="s">
        <v>0</v>
      </c>
      <c r="L60" s="2">
        <f>L59/3</f>
        <v>75590.900000000009</v>
      </c>
      <c r="M60" s="2"/>
      <c r="N60" s="2"/>
      <c r="O60" s="2"/>
      <c r="P60" s="2"/>
      <c r="Q60" s="2"/>
    </row>
  </sheetData>
  <mergeCells count="1">
    <mergeCell ref="C47:G47"/>
  </mergeCells>
  <conditionalFormatting sqref="A1:H1">
    <cfRule type="dataBar" priority="10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4">
      <dataBar>
        <cfvo type="min"/>
        <cfvo type="max"/>
        <color rgb="FF638EC6"/>
      </dataBar>
    </cfRule>
  </conditionalFormatting>
  <conditionalFormatting sqref="K13:Q13">
    <cfRule type="dataBar" priority="8">
      <dataBar>
        <cfvo type="min"/>
        <cfvo type="max"/>
        <color rgb="FF638EC6"/>
      </dataBar>
    </cfRule>
  </conditionalFormatting>
  <conditionalFormatting sqref="K24:Q24">
    <cfRule type="dataBar" priority="7">
      <dataBar>
        <cfvo type="min"/>
        <cfvo type="max"/>
        <color rgb="FF638EC6"/>
      </dataBar>
    </cfRule>
  </conditionalFormatting>
  <conditionalFormatting sqref="K35:Q35">
    <cfRule type="dataBar" priority="6">
      <dataBar>
        <cfvo type="min"/>
        <cfvo type="max"/>
        <color rgb="FF638EC6"/>
      </dataBar>
    </cfRule>
  </conditionalFormatting>
  <conditionalFormatting sqref="K46:Q46">
    <cfRule type="dataBar" priority="3">
      <dataBar>
        <cfvo type="min"/>
        <cfvo type="max"/>
        <color rgb="FF638EC6"/>
      </dataBar>
    </cfRule>
  </conditionalFormatting>
  <conditionalFormatting sqref="K58:Q58">
    <cfRule type="dataBar" priority="5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2D04-0970-476C-9699-53191204D91D}">
  <dimension ref="A1:Q60"/>
  <sheetViews>
    <sheetView zoomScale="90" zoomScaleNormal="90" workbookViewId="0">
      <pane ySplit="1" topLeftCell="A20" activePane="bottomLeft" state="frozen"/>
      <selection activeCell="B1" sqref="B1"/>
      <selection pane="bottomLeft" activeCell="A34" sqref="A34"/>
    </sheetView>
  </sheetViews>
  <sheetFormatPr defaultColWidth="26" defaultRowHeight="14.5" x14ac:dyDescent="0.35"/>
  <cols>
    <col min="1" max="1" width="29.7265625" bestFit="1" customWidth="1"/>
    <col min="2" max="4" width="9.1796875" style="1" bestFit="1" customWidth="1"/>
    <col min="5" max="5" width="11.81640625" style="1" bestFit="1" customWidth="1"/>
    <col min="6" max="6" width="16.90625" style="1" bestFit="1" customWidth="1"/>
    <col min="7" max="7" width="9.26953125" style="1" bestFit="1" customWidth="1"/>
    <col min="8" max="8" width="9.81640625" bestFit="1" customWidth="1"/>
    <col min="9" max="9" width="7.08984375" bestFit="1" customWidth="1"/>
    <col min="10" max="10" width="6.54296875" customWidth="1"/>
    <col min="11" max="11" width="28.6328125" bestFit="1" customWidth="1"/>
    <col min="12" max="15" width="9.1796875" bestFit="1" customWidth="1"/>
    <col min="16" max="16" width="16.90625" bestFit="1" customWidth="1"/>
    <col min="17" max="17" width="9.26953125" bestFit="1" customWidth="1"/>
  </cols>
  <sheetData>
    <row r="1" spans="1:17" s="23" customFormat="1" ht="29" x14ac:dyDescent="0.35">
      <c r="A1" s="30" t="s">
        <v>7</v>
      </c>
      <c r="B1" s="28" t="s">
        <v>6</v>
      </c>
      <c r="C1" s="28" t="s">
        <v>5</v>
      </c>
      <c r="D1" s="28" t="s">
        <v>4</v>
      </c>
      <c r="E1" s="29" t="s">
        <v>3</v>
      </c>
      <c r="F1" s="29" t="s">
        <v>2</v>
      </c>
      <c r="G1" s="28" t="s">
        <v>1</v>
      </c>
      <c r="H1" s="27" t="s">
        <v>9</v>
      </c>
      <c r="I1" s="26" t="s">
        <v>8</v>
      </c>
      <c r="K1" s="25" t="s">
        <v>7</v>
      </c>
      <c r="L1" s="24" t="s">
        <v>6</v>
      </c>
      <c r="M1" s="24" t="s">
        <v>5</v>
      </c>
      <c r="N1" s="24" t="s">
        <v>4</v>
      </c>
      <c r="O1" s="24" t="s">
        <v>3</v>
      </c>
      <c r="P1" s="24" t="s">
        <v>2</v>
      </c>
      <c r="Q1" s="24" t="s">
        <v>1</v>
      </c>
    </row>
    <row r="2" spans="1:17" x14ac:dyDescent="0.35">
      <c r="A2" s="21">
        <v>44984</v>
      </c>
      <c r="B2" s="20">
        <f t="shared" ref="B2:B36" si="0">D2*0.39</f>
        <v>7337.85</v>
      </c>
      <c r="C2" s="20">
        <f t="shared" ref="C2:C36" si="1">D2-B2</f>
        <v>11477.15</v>
      </c>
      <c r="D2" s="20">
        <f t="shared" ref="D2:D36" si="2">E2+F2</f>
        <v>18815</v>
      </c>
      <c r="E2" s="20">
        <v>11110</v>
      </c>
      <c r="F2" s="20">
        <v>7705</v>
      </c>
      <c r="G2" s="20">
        <v>100</v>
      </c>
      <c r="H2" s="19">
        <f t="shared" ref="H2:H36" si="3">IFERROR(B2/C2,0)</f>
        <v>0.63934426229508201</v>
      </c>
      <c r="I2" s="18">
        <f>SUM($D$2:D2)-SUM($G$2:G2)</f>
        <v>18715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1">
        <v>44985</v>
      </c>
      <c r="B3" s="20">
        <f t="shared" si="0"/>
        <v>11235.9</v>
      </c>
      <c r="C3" s="20">
        <f t="shared" si="1"/>
        <v>17574.099999999999</v>
      </c>
      <c r="D3" s="20">
        <v>28810</v>
      </c>
      <c r="E3" s="20">
        <v>22460</v>
      </c>
      <c r="F3" s="20">
        <v>6350</v>
      </c>
      <c r="G3" s="20">
        <v>230</v>
      </c>
      <c r="H3" s="19">
        <f t="shared" si="3"/>
        <v>0.63934426229508201</v>
      </c>
      <c r="I3" s="18">
        <f>SUM($D$2:D3)-SUM($G$2:G3)</f>
        <v>47295</v>
      </c>
      <c r="K3" s="8">
        <f t="shared" ref="K3:K9" si="4">A2</f>
        <v>44984</v>
      </c>
      <c r="L3" s="2">
        <f t="shared" ref="L3:L9" si="5">N3*0.39</f>
        <v>7337.85</v>
      </c>
      <c r="M3" s="2">
        <f t="shared" ref="M3:M9" si="6">N3-L3</f>
        <v>11477.15</v>
      </c>
      <c r="N3" s="2">
        <f t="shared" ref="N3:N9" si="7">O3+P3</f>
        <v>18815</v>
      </c>
      <c r="O3" s="2">
        <f t="shared" ref="O3:O9" si="8">VLOOKUP(K3,$A$1:$H$37,5,0)</f>
        <v>11110</v>
      </c>
      <c r="P3" s="2">
        <f t="shared" ref="P3:P9" si="9">VLOOKUP(K3,$A$1:$H$37,6,0)</f>
        <v>7705</v>
      </c>
      <c r="Q3" s="2">
        <f t="shared" ref="Q3:Q9" si="10">VLOOKUP(K3,$A$1:$H$37,7,0)</f>
        <v>100</v>
      </c>
    </row>
    <row r="4" spans="1:17" x14ac:dyDescent="0.35">
      <c r="A4" s="21">
        <v>44986</v>
      </c>
      <c r="B4" s="20">
        <f t="shared" si="0"/>
        <v>4849.6500000000005</v>
      </c>
      <c r="C4" s="20">
        <f t="shared" si="1"/>
        <v>7585.3499999999995</v>
      </c>
      <c r="D4" s="20">
        <v>12435</v>
      </c>
      <c r="E4" s="22">
        <v>8725</v>
      </c>
      <c r="F4" s="22">
        <v>3710</v>
      </c>
      <c r="G4" s="22">
        <v>5140</v>
      </c>
      <c r="H4" s="19">
        <f t="shared" si="3"/>
        <v>0.63934426229508212</v>
      </c>
      <c r="I4" s="18">
        <f>SUM($D$2:D4)-SUM($G$2:G4)</f>
        <v>54590</v>
      </c>
      <c r="K4" s="9">
        <f t="shared" si="4"/>
        <v>44985</v>
      </c>
      <c r="L4" s="4">
        <f t="shared" si="5"/>
        <v>11235.9</v>
      </c>
      <c r="M4" s="4">
        <f t="shared" si="6"/>
        <v>17574.099999999999</v>
      </c>
      <c r="N4" s="4">
        <f t="shared" si="7"/>
        <v>28810</v>
      </c>
      <c r="O4" s="4">
        <f t="shared" si="8"/>
        <v>22460</v>
      </c>
      <c r="P4" s="4">
        <f t="shared" si="9"/>
        <v>6350</v>
      </c>
      <c r="Q4" s="4">
        <f t="shared" si="10"/>
        <v>230</v>
      </c>
    </row>
    <row r="5" spans="1:17" x14ac:dyDescent="0.35">
      <c r="A5" s="21">
        <v>44987</v>
      </c>
      <c r="B5" s="20">
        <f t="shared" si="0"/>
        <v>3798.6</v>
      </c>
      <c r="C5" s="20">
        <f t="shared" si="1"/>
        <v>5941.4</v>
      </c>
      <c r="D5" s="20">
        <v>9740</v>
      </c>
      <c r="E5" s="20">
        <v>6610</v>
      </c>
      <c r="F5" s="20">
        <v>3130</v>
      </c>
      <c r="G5" s="20">
        <v>300</v>
      </c>
      <c r="H5" s="19">
        <f t="shared" si="3"/>
        <v>0.63934426229508201</v>
      </c>
      <c r="I5" s="18">
        <f>SUM($D$2:D5)-SUM($G$2:G5)</f>
        <v>64030</v>
      </c>
      <c r="K5" s="8">
        <f t="shared" si="4"/>
        <v>44986</v>
      </c>
      <c r="L5" s="2">
        <f t="shared" si="5"/>
        <v>4849.6500000000005</v>
      </c>
      <c r="M5" s="2">
        <f t="shared" si="6"/>
        <v>7585.3499999999995</v>
      </c>
      <c r="N5" s="2">
        <f t="shared" si="7"/>
        <v>12435</v>
      </c>
      <c r="O5" s="2">
        <f t="shared" si="8"/>
        <v>8725</v>
      </c>
      <c r="P5" s="2">
        <f t="shared" si="9"/>
        <v>3710</v>
      </c>
      <c r="Q5" s="2">
        <f t="shared" si="10"/>
        <v>5140</v>
      </c>
    </row>
    <row r="6" spans="1:17" x14ac:dyDescent="0.35">
      <c r="A6" s="21">
        <v>44988</v>
      </c>
      <c r="B6" s="20">
        <f t="shared" si="0"/>
        <v>3572.4</v>
      </c>
      <c r="C6" s="20">
        <f t="shared" si="1"/>
        <v>5587.6</v>
      </c>
      <c r="D6" s="20">
        <v>9160</v>
      </c>
      <c r="E6" s="20">
        <v>5020</v>
      </c>
      <c r="F6" s="20">
        <v>4140</v>
      </c>
      <c r="G6" s="20">
        <v>19200</v>
      </c>
      <c r="H6" s="19">
        <f t="shared" si="3"/>
        <v>0.6393442622950819</v>
      </c>
      <c r="I6" s="18">
        <f>SUM($D$2:D6)-SUM($G$2:G6)</f>
        <v>53990</v>
      </c>
      <c r="K6" s="9">
        <f t="shared" si="4"/>
        <v>44987</v>
      </c>
      <c r="L6" s="4">
        <f t="shared" si="5"/>
        <v>3798.6</v>
      </c>
      <c r="M6" s="4">
        <f t="shared" si="6"/>
        <v>5941.4</v>
      </c>
      <c r="N6" s="4">
        <f t="shared" si="7"/>
        <v>9740</v>
      </c>
      <c r="O6" s="4">
        <f t="shared" si="8"/>
        <v>6610</v>
      </c>
      <c r="P6" s="4">
        <f t="shared" si="9"/>
        <v>3130</v>
      </c>
      <c r="Q6" s="4">
        <f t="shared" si="10"/>
        <v>300</v>
      </c>
    </row>
    <row r="7" spans="1:17" x14ac:dyDescent="0.35">
      <c r="A7" s="21">
        <v>44989</v>
      </c>
      <c r="B7" s="20">
        <f t="shared" si="0"/>
        <v>9151.35</v>
      </c>
      <c r="C7" s="20">
        <f t="shared" si="1"/>
        <v>14313.65</v>
      </c>
      <c r="D7" s="20">
        <v>23465</v>
      </c>
      <c r="E7" s="20">
        <v>12665</v>
      </c>
      <c r="F7" s="20">
        <v>10800</v>
      </c>
      <c r="G7" s="20">
        <v>15935</v>
      </c>
      <c r="H7" s="19">
        <f t="shared" si="3"/>
        <v>0.63934426229508201</v>
      </c>
      <c r="I7" s="18">
        <f>SUM($D$2:D7)-SUM($G$2:G7)</f>
        <v>61520</v>
      </c>
      <c r="K7" s="8">
        <f t="shared" si="4"/>
        <v>44988</v>
      </c>
      <c r="L7" s="2">
        <f t="shared" si="5"/>
        <v>3572.4</v>
      </c>
      <c r="M7" s="2">
        <f t="shared" si="6"/>
        <v>5587.6</v>
      </c>
      <c r="N7" s="2">
        <f t="shared" si="7"/>
        <v>9160</v>
      </c>
      <c r="O7" s="2">
        <f t="shared" si="8"/>
        <v>5020</v>
      </c>
      <c r="P7" s="2">
        <f t="shared" si="9"/>
        <v>4140</v>
      </c>
      <c r="Q7" s="2">
        <f t="shared" si="10"/>
        <v>19200</v>
      </c>
    </row>
    <row r="8" spans="1:17" x14ac:dyDescent="0.35">
      <c r="A8" s="21">
        <v>44990</v>
      </c>
      <c r="B8" s="20">
        <f t="shared" si="0"/>
        <v>18335.850000000002</v>
      </c>
      <c r="C8" s="20">
        <f t="shared" si="1"/>
        <v>28679.149999999998</v>
      </c>
      <c r="D8" s="20">
        <v>47015</v>
      </c>
      <c r="E8" s="20">
        <v>25600</v>
      </c>
      <c r="F8" s="20">
        <v>21415</v>
      </c>
      <c r="G8" s="20">
        <v>12600</v>
      </c>
      <c r="H8" s="19">
        <f t="shared" si="3"/>
        <v>0.63934426229508212</v>
      </c>
      <c r="I8" s="18">
        <f>SUM($D$2:D8)-SUM($G$2:G8)</f>
        <v>95935</v>
      </c>
      <c r="K8" s="9">
        <f t="shared" si="4"/>
        <v>44989</v>
      </c>
      <c r="L8" s="4">
        <f t="shared" si="5"/>
        <v>9151.35</v>
      </c>
      <c r="M8" s="4">
        <f t="shared" si="6"/>
        <v>14313.65</v>
      </c>
      <c r="N8" s="4">
        <f t="shared" si="7"/>
        <v>23465</v>
      </c>
      <c r="O8" s="4">
        <f t="shared" si="8"/>
        <v>12665</v>
      </c>
      <c r="P8" s="4">
        <f t="shared" si="9"/>
        <v>10800</v>
      </c>
      <c r="Q8" s="4">
        <f t="shared" si="10"/>
        <v>15935</v>
      </c>
    </row>
    <row r="9" spans="1:17" x14ac:dyDescent="0.35">
      <c r="A9" s="21">
        <v>44991</v>
      </c>
      <c r="B9" s="20">
        <f t="shared" si="0"/>
        <v>4688.58</v>
      </c>
      <c r="C9" s="20">
        <f t="shared" si="1"/>
        <v>7333.42</v>
      </c>
      <c r="D9" s="20">
        <f t="shared" si="2"/>
        <v>12022</v>
      </c>
      <c r="E9" s="20">
        <v>4760</v>
      </c>
      <c r="F9" s="20">
        <v>7262</v>
      </c>
      <c r="G9" s="20">
        <v>100</v>
      </c>
      <c r="H9" s="19">
        <f t="shared" si="3"/>
        <v>0.6393442622950819</v>
      </c>
      <c r="I9" s="18">
        <f>SUM($D$2:D9)-SUM($G$2:G9)</f>
        <v>107857</v>
      </c>
      <c r="K9" s="8">
        <f t="shared" si="4"/>
        <v>44990</v>
      </c>
      <c r="L9" s="2">
        <f t="shared" si="5"/>
        <v>18335.850000000002</v>
      </c>
      <c r="M9" s="2">
        <f t="shared" si="6"/>
        <v>28679.149999999998</v>
      </c>
      <c r="N9" s="2">
        <f t="shared" si="7"/>
        <v>47015</v>
      </c>
      <c r="O9" s="2">
        <f t="shared" si="8"/>
        <v>25600</v>
      </c>
      <c r="P9" s="2">
        <f t="shared" si="9"/>
        <v>21415</v>
      </c>
      <c r="Q9" s="2">
        <f t="shared" si="10"/>
        <v>12600</v>
      </c>
    </row>
    <row r="10" spans="1:17" x14ac:dyDescent="0.35">
      <c r="A10" s="21">
        <v>44992</v>
      </c>
      <c r="B10" s="20">
        <f t="shared" si="0"/>
        <v>0</v>
      </c>
      <c r="C10" s="20">
        <f t="shared" si="1"/>
        <v>0</v>
      </c>
      <c r="D10" s="20">
        <f t="shared" si="2"/>
        <v>0</v>
      </c>
      <c r="E10" s="20">
        <v>0</v>
      </c>
      <c r="F10" s="20"/>
      <c r="G10" s="20"/>
      <c r="H10" s="19">
        <f t="shared" si="3"/>
        <v>0</v>
      </c>
      <c r="I10" s="18">
        <f>SUM($D$2:D10)-SUM($G$2:G10)</f>
        <v>107857</v>
      </c>
      <c r="K10" s="3" t="s">
        <v>4</v>
      </c>
      <c r="L10" s="3">
        <f>SUM(L3:L9)</f>
        <v>58281.600000000006</v>
      </c>
      <c r="M10" s="3">
        <f>SUM(M2:M9)</f>
        <v>91158.399999999994</v>
      </c>
      <c r="N10" s="3">
        <f>SUM(N2:N9)</f>
        <v>149440</v>
      </c>
      <c r="O10" s="3">
        <f>SUM(O2:O9)</f>
        <v>92190</v>
      </c>
      <c r="P10" s="3">
        <f>SUM(P2:P9)</f>
        <v>57250</v>
      </c>
      <c r="Q10" s="3">
        <f>SUM(Q2:Q9)</f>
        <v>53505</v>
      </c>
    </row>
    <row r="11" spans="1:17" x14ac:dyDescent="0.35">
      <c r="A11" s="21">
        <v>44993</v>
      </c>
      <c r="B11" s="20">
        <f t="shared" si="0"/>
        <v>21536.190000000002</v>
      </c>
      <c r="C11" s="20">
        <f t="shared" si="1"/>
        <v>33684.81</v>
      </c>
      <c r="D11" s="20">
        <f t="shared" si="2"/>
        <v>55221</v>
      </c>
      <c r="E11" s="20">
        <v>7450</v>
      </c>
      <c r="F11" s="20">
        <f>47771</f>
        <v>47771</v>
      </c>
      <c r="G11" s="20">
        <v>200</v>
      </c>
      <c r="H11" s="19">
        <f t="shared" si="3"/>
        <v>0.63934426229508212</v>
      </c>
      <c r="I11" s="18">
        <f>SUM($D$2:D11)-SUM($G$2:G11)</f>
        <v>162878</v>
      </c>
      <c r="K11" s="3" t="s">
        <v>0</v>
      </c>
      <c r="L11" s="3">
        <f>L10/3</f>
        <v>19427.2</v>
      </c>
      <c r="M11" s="3"/>
      <c r="N11" s="3"/>
      <c r="O11" s="2"/>
      <c r="P11" s="2"/>
      <c r="Q11" s="2"/>
    </row>
    <row r="12" spans="1:17" x14ac:dyDescent="0.35">
      <c r="A12" s="21">
        <v>44994</v>
      </c>
      <c r="B12" s="20">
        <f t="shared" si="0"/>
        <v>11230.050000000001</v>
      </c>
      <c r="C12" s="20">
        <f t="shared" si="1"/>
        <v>17564.949999999997</v>
      </c>
      <c r="D12" s="20">
        <f t="shared" si="2"/>
        <v>28795</v>
      </c>
      <c r="E12" s="20">
        <v>8450</v>
      </c>
      <c r="F12" s="20">
        <v>20345</v>
      </c>
      <c r="G12" s="20">
        <v>1880</v>
      </c>
      <c r="H12" s="19">
        <f t="shared" si="3"/>
        <v>0.63934426229508212</v>
      </c>
      <c r="I12" s="18">
        <f>SUM($D$2:D12)-SUM($G$2:G12)</f>
        <v>189793</v>
      </c>
    </row>
    <row r="13" spans="1:17" x14ac:dyDescent="0.35">
      <c r="A13" s="21">
        <v>44995</v>
      </c>
      <c r="B13" s="20">
        <f t="shared" si="0"/>
        <v>1823.25</v>
      </c>
      <c r="C13" s="20">
        <f t="shared" si="1"/>
        <v>2851.75</v>
      </c>
      <c r="D13" s="20">
        <f t="shared" si="2"/>
        <v>4675</v>
      </c>
      <c r="E13" s="20">
        <v>3975</v>
      </c>
      <c r="F13" s="20">
        <v>700</v>
      </c>
      <c r="G13" s="20">
        <v>2200</v>
      </c>
      <c r="H13" s="19">
        <f t="shared" si="3"/>
        <v>0.63934426229508201</v>
      </c>
      <c r="I13" s="18">
        <f>SUM($D$2:D13)-SUM($G$2:G13)</f>
        <v>192268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1">
        <v>44996</v>
      </c>
      <c r="B14" s="20">
        <f t="shared" si="0"/>
        <v>7597.2</v>
      </c>
      <c r="C14" s="20">
        <f t="shared" si="1"/>
        <v>11882.8</v>
      </c>
      <c r="D14" s="20">
        <f t="shared" si="2"/>
        <v>19480</v>
      </c>
      <c r="E14" s="20">
        <v>8810</v>
      </c>
      <c r="F14" s="20">
        <v>10670</v>
      </c>
      <c r="G14" s="20">
        <v>3270</v>
      </c>
      <c r="H14" s="19">
        <f t="shared" si="3"/>
        <v>0.63934426229508201</v>
      </c>
      <c r="I14" s="18">
        <f>SUM($D$2:D14)-SUM($G$2:G14)</f>
        <v>208478</v>
      </c>
      <c r="K14" s="8">
        <f t="shared" ref="K14:K20" si="11">A9</f>
        <v>44991</v>
      </c>
      <c r="L14" s="2">
        <f t="shared" ref="L14:L19" si="12">N14*0.39</f>
        <v>4688.58</v>
      </c>
      <c r="M14" s="2">
        <f t="shared" ref="M14:M20" si="13">N14-L14</f>
        <v>7333.42</v>
      </c>
      <c r="N14" s="2">
        <f t="shared" ref="N14:N20" si="14">O14+P14</f>
        <v>12022</v>
      </c>
      <c r="O14" s="2">
        <f t="shared" ref="O14:O20" si="15">VLOOKUP(K14,$A$1:$H$37,5,0)</f>
        <v>4760</v>
      </c>
      <c r="P14" s="2">
        <f t="shared" ref="P14:P20" si="16">VLOOKUP(K14,$A$1:$H$37,6,0)</f>
        <v>7262</v>
      </c>
      <c r="Q14" s="2">
        <f t="shared" ref="Q14:Q20" si="17">VLOOKUP(K14,$A$1:$H$37,7,0)</f>
        <v>100</v>
      </c>
    </row>
    <row r="15" spans="1:17" x14ac:dyDescent="0.35">
      <c r="A15" s="21">
        <v>44997</v>
      </c>
      <c r="B15" s="20">
        <f t="shared" si="0"/>
        <v>9180.6</v>
      </c>
      <c r="C15" s="20">
        <f t="shared" si="1"/>
        <v>14359.4</v>
      </c>
      <c r="D15" s="20">
        <f t="shared" si="2"/>
        <v>23540</v>
      </c>
      <c r="E15" s="20">
        <v>15765</v>
      </c>
      <c r="F15" s="20">
        <v>7775</v>
      </c>
      <c r="G15" s="20">
        <v>4200</v>
      </c>
      <c r="H15" s="19">
        <f t="shared" si="3"/>
        <v>0.63934426229508201</v>
      </c>
      <c r="I15" s="18">
        <f>SUM($D$2:D15)-SUM($G$2:G15)</f>
        <v>227818</v>
      </c>
      <c r="K15" s="9">
        <f t="shared" si="11"/>
        <v>44992</v>
      </c>
      <c r="L15" s="4">
        <f t="shared" si="12"/>
        <v>0</v>
      </c>
      <c r="M15" s="4">
        <f t="shared" si="13"/>
        <v>0</v>
      </c>
      <c r="N15" s="4">
        <f t="shared" si="14"/>
        <v>0</v>
      </c>
      <c r="O15" s="4">
        <f t="shared" si="15"/>
        <v>0</v>
      </c>
      <c r="P15" s="4">
        <f t="shared" si="16"/>
        <v>0</v>
      </c>
      <c r="Q15" s="4">
        <f t="shared" si="17"/>
        <v>0</v>
      </c>
    </row>
    <row r="16" spans="1:17" x14ac:dyDescent="0.35">
      <c r="A16" s="21">
        <v>44998</v>
      </c>
      <c r="B16" s="20">
        <f t="shared" si="0"/>
        <v>1620.45</v>
      </c>
      <c r="C16" s="20">
        <f t="shared" si="1"/>
        <v>2534.5500000000002</v>
      </c>
      <c r="D16" s="20">
        <f t="shared" si="2"/>
        <v>4155</v>
      </c>
      <c r="E16" s="20">
        <v>3175</v>
      </c>
      <c r="F16" s="20">
        <v>980</v>
      </c>
      <c r="G16" s="20">
        <v>230</v>
      </c>
      <c r="H16" s="19">
        <f t="shared" si="3"/>
        <v>0.6393442622950819</v>
      </c>
      <c r="I16" s="18">
        <f>SUM($D$2:D16)-SUM($G$2:G16)</f>
        <v>231743</v>
      </c>
      <c r="K16" s="8">
        <f t="shared" si="11"/>
        <v>44993</v>
      </c>
      <c r="L16" s="2">
        <f>N16*0.3</f>
        <v>16566.3</v>
      </c>
      <c r="M16" s="2">
        <f t="shared" si="13"/>
        <v>38654.699999999997</v>
      </c>
      <c r="N16" s="2">
        <f t="shared" si="14"/>
        <v>55221</v>
      </c>
      <c r="O16" s="2">
        <f t="shared" si="15"/>
        <v>7450</v>
      </c>
      <c r="P16" s="2">
        <f t="shared" si="16"/>
        <v>47771</v>
      </c>
      <c r="Q16" s="2">
        <f t="shared" si="17"/>
        <v>200</v>
      </c>
    </row>
    <row r="17" spans="1:17" x14ac:dyDescent="0.35">
      <c r="A17" s="21">
        <v>44999</v>
      </c>
      <c r="B17" s="20">
        <f t="shared" si="0"/>
        <v>2000.7</v>
      </c>
      <c r="C17" s="20">
        <f t="shared" si="1"/>
        <v>3129.3</v>
      </c>
      <c r="D17" s="20">
        <f t="shared" si="2"/>
        <v>5130</v>
      </c>
      <c r="E17" s="20">
        <v>3350</v>
      </c>
      <c r="F17" s="20">
        <v>1780</v>
      </c>
      <c r="G17" s="20">
        <v>150</v>
      </c>
      <c r="H17" s="19">
        <f t="shared" si="3"/>
        <v>0.6393442622950819</v>
      </c>
      <c r="I17" s="18">
        <f>SUM($D$2:D17)-SUM($G$2:G17)</f>
        <v>236723</v>
      </c>
      <c r="K17" s="9">
        <f t="shared" si="11"/>
        <v>44994</v>
      </c>
      <c r="L17" s="4">
        <f>N17*0.3</f>
        <v>8638.5</v>
      </c>
      <c r="M17" s="4">
        <f t="shared" si="13"/>
        <v>20156.5</v>
      </c>
      <c r="N17" s="4">
        <f t="shared" si="14"/>
        <v>28795</v>
      </c>
      <c r="O17" s="4">
        <f t="shared" si="15"/>
        <v>8450</v>
      </c>
      <c r="P17" s="4">
        <f t="shared" si="16"/>
        <v>20345</v>
      </c>
      <c r="Q17" s="4">
        <f t="shared" si="17"/>
        <v>1880</v>
      </c>
    </row>
    <row r="18" spans="1:17" x14ac:dyDescent="0.35">
      <c r="A18" s="21">
        <v>45000</v>
      </c>
      <c r="B18" s="20">
        <f t="shared" si="0"/>
        <v>7597.2</v>
      </c>
      <c r="C18" s="20">
        <f t="shared" si="1"/>
        <v>11882.8</v>
      </c>
      <c r="D18" s="20">
        <f t="shared" si="2"/>
        <v>19480</v>
      </c>
      <c r="E18" s="20">
        <v>10570</v>
      </c>
      <c r="F18" s="20">
        <v>8910</v>
      </c>
      <c r="G18" s="20">
        <v>3620</v>
      </c>
      <c r="H18" s="19">
        <f t="shared" si="3"/>
        <v>0.63934426229508201</v>
      </c>
      <c r="I18" s="18">
        <f>SUM($D$2:D18)-SUM($G$2:G18)</f>
        <v>252583</v>
      </c>
      <c r="K18" s="8">
        <f t="shared" si="11"/>
        <v>44995</v>
      </c>
      <c r="L18" s="2">
        <f t="shared" si="12"/>
        <v>1823.25</v>
      </c>
      <c r="M18" s="2">
        <f t="shared" si="13"/>
        <v>2851.75</v>
      </c>
      <c r="N18" s="2">
        <f t="shared" si="14"/>
        <v>4675</v>
      </c>
      <c r="O18" s="2">
        <f t="shared" si="15"/>
        <v>3975</v>
      </c>
      <c r="P18" s="2">
        <f t="shared" si="16"/>
        <v>700</v>
      </c>
      <c r="Q18" s="2">
        <f t="shared" si="17"/>
        <v>2200</v>
      </c>
    </row>
    <row r="19" spans="1:17" x14ac:dyDescent="0.35">
      <c r="A19" s="21">
        <v>45001</v>
      </c>
      <c r="B19" s="20">
        <f t="shared" si="0"/>
        <v>15296.970000000001</v>
      </c>
      <c r="C19" s="20">
        <f t="shared" si="1"/>
        <v>23926.03</v>
      </c>
      <c r="D19" s="20">
        <f t="shared" si="2"/>
        <v>39223</v>
      </c>
      <c r="E19" s="20">
        <v>7360</v>
      </c>
      <c r="F19" s="20">
        <v>31863</v>
      </c>
      <c r="G19" s="20">
        <v>1600</v>
      </c>
      <c r="H19" s="19">
        <f t="shared" si="3"/>
        <v>0.63934426229508201</v>
      </c>
      <c r="I19" s="18">
        <f>SUM($D$2:D19)-SUM($G$2:G19)</f>
        <v>290206</v>
      </c>
      <c r="K19" s="9">
        <f t="shared" si="11"/>
        <v>44996</v>
      </c>
      <c r="L19" s="4">
        <f t="shared" si="12"/>
        <v>7597.2</v>
      </c>
      <c r="M19" s="4">
        <f t="shared" si="13"/>
        <v>11882.8</v>
      </c>
      <c r="N19" s="4">
        <f t="shared" si="14"/>
        <v>19480</v>
      </c>
      <c r="O19" s="4">
        <f t="shared" si="15"/>
        <v>8810</v>
      </c>
      <c r="P19" s="4">
        <f t="shared" si="16"/>
        <v>10670</v>
      </c>
      <c r="Q19" s="4">
        <f t="shared" si="17"/>
        <v>3270</v>
      </c>
    </row>
    <row r="20" spans="1:17" x14ac:dyDescent="0.35">
      <c r="A20" s="21">
        <v>45002</v>
      </c>
      <c r="B20" s="20">
        <f t="shared" si="0"/>
        <v>4317.3</v>
      </c>
      <c r="C20" s="20">
        <f t="shared" si="1"/>
        <v>6752.7</v>
      </c>
      <c r="D20" s="20">
        <f t="shared" si="2"/>
        <v>11070</v>
      </c>
      <c r="E20" s="20">
        <f>5280+1800</f>
        <v>7080</v>
      </c>
      <c r="F20" s="20">
        <f>3240+750</f>
        <v>3990</v>
      </c>
      <c r="G20" s="20">
        <v>900</v>
      </c>
      <c r="H20" s="19">
        <f t="shared" si="3"/>
        <v>0.63934426229508201</v>
      </c>
      <c r="I20" s="18">
        <f>SUM($D$2:D20)-SUM($G$2:G20)</f>
        <v>300376</v>
      </c>
      <c r="K20" s="8">
        <f t="shared" si="11"/>
        <v>44997</v>
      </c>
      <c r="L20" s="2">
        <f>N20*0.3</f>
        <v>7062</v>
      </c>
      <c r="M20" s="2">
        <f t="shared" si="13"/>
        <v>16478</v>
      </c>
      <c r="N20" s="2">
        <f t="shared" si="14"/>
        <v>23540</v>
      </c>
      <c r="O20" s="2">
        <f t="shared" si="15"/>
        <v>15765</v>
      </c>
      <c r="P20" s="2">
        <f t="shared" si="16"/>
        <v>7775</v>
      </c>
      <c r="Q20" s="2">
        <f t="shared" si="17"/>
        <v>4200</v>
      </c>
    </row>
    <row r="21" spans="1:17" x14ac:dyDescent="0.35">
      <c r="A21" s="21">
        <v>45003</v>
      </c>
      <c r="B21" s="20">
        <f t="shared" si="0"/>
        <v>7761</v>
      </c>
      <c r="C21" s="20">
        <f t="shared" si="1"/>
        <v>12139</v>
      </c>
      <c r="D21" s="20">
        <f t="shared" si="2"/>
        <v>19900</v>
      </c>
      <c r="E21" s="20">
        <f>5120+1080</f>
        <v>6200</v>
      </c>
      <c r="F21" s="20">
        <v>13700</v>
      </c>
      <c r="G21" s="20">
        <v>3600</v>
      </c>
      <c r="H21" s="19">
        <f t="shared" si="3"/>
        <v>0.63934426229508201</v>
      </c>
      <c r="I21" s="18">
        <f>SUM($D$2:D21)-SUM($G$2:G21)</f>
        <v>316676</v>
      </c>
      <c r="K21" s="3" t="s">
        <v>4</v>
      </c>
      <c r="L21" s="3">
        <f t="shared" ref="L21:Q21" si="18">SUM(L14:L20)</f>
        <v>46375.829999999994</v>
      </c>
      <c r="M21" s="3">
        <f t="shared" si="18"/>
        <v>97357.17</v>
      </c>
      <c r="N21" s="3">
        <f t="shared" si="18"/>
        <v>143733</v>
      </c>
      <c r="O21" s="3">
        <f t="shared" si="18"/>
        <v>49210</v>
      </c>
      <c r="P21" s="3">
        <f t="shared" si="18"/>
        <v>94523</v>
      </c>
      <c r="Q21" s="3">
        <f t="shared" si="18"/>
        <v>11850</v>
      </c>
    </row>
    <row r="22" spans="1:17" x14ac:dyDescent="0.35">
      <c r="A22" s="21">
        <v>45004</v>
      </c>
      <c r="B22" s="20">
        <f t="shared" si="0"/>
        <v>6576.5700000000006</v>
      </c>
      <c r="C22" s="20">
        <f t="shared" si="1"/>
        <v>10286.43</v>
      </c>
      <c r="D22" s="20">
        <f t="shared" si="2"/>
        <v>16863</v>
      </c>
      <c r="E22" s="20">
        <f>7285+4260</f>
        <v>11545</v>
      </c>
      <c r="F22" s="20">
        <v>5318</v>
      </c>
      <c r="G22" s="20">
        <v>600</v>
      </c>
      <c r="H22" s="19">
        <f t="shared" si="3"/>
        <v>0.63934426229508201</v>
      </c>
      <c r="I22" s="18">
        <f>SUM($D$2:D22)-SUM($G$2:G22)</f>
        <v>332939</v>
      </c>
      <c r="K22" s="3" t="s">
        <v>0</v>
      </c>
      <c r="L22" s="3">
        <f>L21/3</f>
        <v>15458.609999999999</v>
      </c>
      <c r="M22" s="3"/>
      <c r="N22" s="3"/>
      <c r="O22" s="2"/>
      <c r="P22" s="2"/>
      <c r="Q22" s="2"/>
    </row>
    <row r="23" spans="1:17" x14ac:dyDescent="0.35">
      <c r="A23" s="21">
        <v>45005</v>
      </c>
      <c r="B23" s="20">
        <f t="shared" si="0"/>
        <v>4722.9000000000005</v>
      </c>
      <c r="C23" s="20">
        <f t="shared" si="1"/>
        <v>7387.0999999999995</v>
      </c>
      <c r="D23" s="20">
        <f t="shared" si="2"/>
        <v>12110</v>
      </c>
      <c r="E23" s="20">
        <v>3980</v>
      </c>
      <c r="F23" s="20">
        <v>8130</v>
      </c>
      <c r="G23" s="20">
        <v>900</v>
      </c>
      <c r="H23" s="19">
        <f t="shared" si="3"/>
        <v>0.63934426229508212</v>
      </c>
      <c r="I23" s="18">
        <f>SUM($D$2:D23)-SUM($G$2:G23)</f>
        <v>344149</v>
      </c>
    </row>
    <row r="24" spans="1:17" x14ac:dyDescent="0.35">
      <c r="A24" s="21">
        <v>45006</v>
      </c>
      <c r="B24" s="20">
        <f t="shared" si="0"/>
        <v>17961.45</v>
      </c>
      <c r="C24" s="20">
        <f t="shared" si="1"/>
        <v>28093.55</v>
      </c>
      <c r="D24" s="20">
        <f t="shared" si="2"/>
        <v>46055</v>
      </c>
      <c r="E24" s="20">
        <v>29915</v>
      </c>
      <c r="F24" s="20">
        <v>16140</v>
      </c>
      <c r="G24" s="20">
        <v>100</v>
      </c>
      <c r="H24" s="19">
        <f t="shared" si="3"/>
        <v>0.63934426229508201</v>
      </c>
      <c r="I24" s="18">
        <f>SUM($D$2:D24)-SUM($G$2:G24)</f>
        <v>390104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1">
        <v>45007</v>
      </c>
      <c r="B25" s="20">
        <f t="shared" si="0"/>
        <v>5619.9000000000005</v>
      </c>
      <c r="C25" s="20">
        <f t="shared" si="1"/>
        <v>8790.0999999999985</v>
      </c>
      <c r="D25" s="20">
        <f t="shared" si="2"/>
        <v>14410</v>
      </c>
      <c r="E25" s="20">
        <v>11070</v>
      </c>
      <c r="F25" s="20">
        <v>3340</v>
      </c>
      <c r="G25" s="20">
        <v>3130</v>
      </c>
      <c r="H25" s="19">
        <f t="shared" si="3"/>
        <v>0.63934426229508212</v>
      </c>
      <c r="I25" s="18">
        <f>SUM($D$2:D25)-SUM($G$2:G25)</f>
        <v>401384</v>
      </c>
      <c r="K25" s="8">
        <f t="shared" ref="K25:K31" si="19">A16</f>
        <v>44998</v>
      </c>
      <c r="L25" s="2">
        <f>N25*0.39</f>
        <v>1620.45</v>
      </c>
      <c r="M25" s="2">
        <f t="shared" ref="M25:M31" si="20">N25-L25</f>
        <v>2534.5500000000002</v>
      </c>
      <c r="N25" s="2">
        <f t="shared" ref="N25:N31" si="21">O25+P25</f>
        <v>4155</v>
      </c>
      <c r="O25" s="2">
        <f t="shared" ref="O25:O31" si="22">VLOOKUP(K25,$A$1:$H$37,5,0)</f>
        <v>3175</v>
      </c>
      <c r="P25" s="2">
        <f t="shared" ref="P25:P31" si="23">VLOOKUP(K25,$A$1:$H$37,6,0)</f>
        <v>980</v>
      </c>
      <c r="Q25" s="2">
        <f t="shared" ref="Q25:Q31" si="24">VLOOKUP(K25,$A$1:$H$37,7,0)</f>
        <v>230</v>
      </c>
    </row>
    <row r="26" spans="1:17" x14ac:dyDescent="0.35">
      <c r="A26" s="21">
        <v>45008</v>
      </c>
      <c r="B26" s="20">
        <f t="shared" si="0"/>
        <v>8819.4600000000009</v>
      </c>
      <c r="C26" s="20">
        <f t="shared" si="1"/>
        <v>13794.539999999999</v>
      </c>
      <c r="D26" s="20">
        <f t="shared" si="2"/>
        <v>22614</v>
      </c>
      <c r="E26" s="20">
        <v>14390</v>
      </c>
      <c r="F26" s="20">
        <v>8224</v>
      </c>
      <c r="G26" s="20">
        <v>35100</v>
      </c>
      <c r="H26" s="19">
        <f t="shared" si="3"/>
        <v>0.63934426229508212</v>
      </c>
      <c r="I26" s="18">
        <f>SUM($D$2:D26)-SUM($G$2:G26)</f>
        <v>388898</v>
      </c>
      <c r="K26" s="9">
        <f t="shared" si="19"/>
        <v>44999</v>
      </c>
      <c r="L26" s="4">
        <f t="shared" ref="L26:L31" si="25">N26*0.39</f>
        <v>2000.7</v>
      </c>
      <c r="M26" s="4">
        <f t="shared" si="20"/>
        <v>3129.3</v>
      </c>
      <c r="N26" s="4">
        <f t="shared" si="21"/>
        <v>5130</v>
      </c>
      <c r="O26" s="4">
        <f t="shared" si="22"/>
        <v>3350</v>
      </c>
      <c r="P26" s="4">
        <f t="shared" si="23"/>
        <v>1780</v>
      </c>
      <c r="Q26" s="4">
        <f t="shared" si="24"/>
        <v>150</v>
      </c>
    </row>
    <row r="27" spans="1:17" x14ac:dyDescent="0.35">
      <c r="A27" s="21">
        <v>45009</v>
      </c>
      <c r="B27" s="20">
        <f t="shared" si="0"/>
        <v>20330.7</v>
      </c>
      <c r="C27" s="20">
        <f t="shared" si="1"/>
        <v>31799.3</v>
      </c>
      <c r="D27" s="20">
        <f t="shared" si="2"/>
        <v>52130</v>
      </c>
      <c r="E27" s="20">
        <v>8450</v>
      </c>
      <c r="F27" s="20">
        <v>43680</v>
      </c>
      <c r="G27" s="20">
        <v>3100</v>
      </c>
      <c r="H27" s="19">
        <f t="shared" si="3"/>
        <v>0.63934426229508201</v>
      </c>
      <c r="I27" s="18">
        <f>SUM($D$2:D27)-SUM($G$2:G27)</f>
        <v>437928</v>
      </c>
      <c r="K27" s="8">
        <f t="shared" si="19"/>
        <v>45000</v>
      </c>
      <c r="L27" s="2">
        <f t="shared" si="25"/>
        <v>7597.2</v>
      </c>
      <c r="M27" s="2">
        <f t="shared" si="20"/>
        <v>11882.8</v>
      </c>
      <c r="N27" s="2">
        <f t="shared" si="21"/>
        <v>19480</v>
      </c>
      <c r="O27" s="2">
        <f t="shared" si="22"/>
        <v>10570</v>
      </c>
      <c r="P27" s="2">
        <f t="shared" si="23"/>
        <v>8910</v>
      </c>
      <c r="Q27" s="2">
        <f t="shared" si="24"/>
        <v>3620</v>
      </c>
    </row>
    <row r="28" spans="1:17" x14ac:dyDescent="0.35">
      <c r="A28" s="21">
        <v>45010</v>
      </c>
      <c r="B28" s="20">
        <f t="shared" si="0"/>
        <v>6895.2</v>
      </c>
      <c r="C28" s="20">
        <f t="shared" si="1"/>
        <v>10784.8</v>
      </c>
      <c r="D28" s="20">
        <f t="shared" si="2"/>
        <v>17680</v>
      </c>
      <c r="E28" s="20">
        <v>3940</v>
      </c>
      <c r="F28" s="20">
        <v>13740</v>
      </c>
      <c r="G28" s="20">
        <v>2600</v>
      </c>
      <c r="H28" s="19">
        <f t="shared" si="3"/>
        <v>0.63934426229508201</v>
      </c>
      <c r="I28" s="18">
        <f>SUM($D$2:D28)-SUM($G$2:G28)</f>
        <v>453008</v>
      </c>
      <c r="K28" s="9">
        <f t="shared" si="19"/>
        <v>45001</v>
      </c>
      <c r="L28" s="4">
        <f t="shared" si="25"/>
        <v>15296.970000000001</v>
      </c>
      <c r="M28" s="4">
        <f t="shared" si="20"/>
        <v>23926.03</v>
      </c>
      <c r="N28" s="4">
        <f t="shared" si="21"/>
        <v>39223</v>
      </c>
      <c r="O28" s="4">
        <f t="shared" si="22"/>
        <v>7360</v>
      </c>
      <c r="P28" s="4">
        <f t="shared" si="23"/>
        <v>31863</v>
      </c>
      <c r="Q28" s="4">
        <f t="shared" si="24"/>
        <v>1600</v>
      </c>
    </row>
    <row r="29" spans="1:17" x14ac:dyDescent="0.35">
      <c r="A29" s="21">
        <v>45011</v>
      </c>
      <c r="B29" s="20">
        <f t="shared" si="0"/>
        <v>8697</v>
      </c>
      <c r="C29" s="20">
        <f t="shared" si="1"/>
        <v>13603</v>
      </c>
      <c r="D29" s="20">
        <f t="shared" si="2"/>
        <v>22300</v>
      </c>
      <c r="E29" s="20">
        <v>16300</v>
      </c>
      <c r="F29" s="20">
        <v>6000</v>
      </c>
      <c r="G29" s="20">
        <v>6120</v>
      </c>
      <c r="H29" s="19">
        <f t="shared" si="3"/>
        <v>0.63934426229508201</v>
      </c>
      <c r="I29" s="18">
        <f>SUM($D$2:D29)-SUM($G$2:G29)</f>
        <v>469188</v>
      </c>
      <c r="K29" s="8">
        <f t="shared" si="19"/>
        <v>45002</v>
      </c>
      <c r="L29" s="2">
        <f t="shared" si="25"/>
        <v>4317.3</v>
      </c>
      <c r="M29" s="2">
        <f t="shared" si="20"/>
        <v>6752.7</v>
      </c>
      <c r="N29" s="2">
        <f t="shared" si="21"/>
        <v>11070</v>
      </c>
      <c r="O29" s="2">
        <f t="shared" si="22"/>
        <v>7080</v>
      </c>
      <c r="P29" s="2">
        <f t="shared" si="23"/>
        <v>3990</v>
      </c>
      <c r="Q29" s="2">
        <f t="shared" si="24"/>
        <v>900</v>
      </c>
    </row>
    <row r="30" spans="1:17" x14ac:dyDescent="0.35">
      <c r="A30" s="21">
        <v>45012</v>
      </c>
      <c r="B30" s="20">
        <f t="shared" si="0"/>
        <v>4048.2000000000003</v>
      </c>
      <c r="C30" s="20">
        <f t="shared" si="1"/>
        <v>6331.7999999999993</v>
      </c>
      <c r="D30" s="20">
        <f t="shared" si="2"/>
        <v>10380</v>
      </c>
      <c r="E30" s="20">
        <v>7630</v>
      </c>
      <c r="F30" s="20">
        <v>2750</v>
      </c>
      <c r="G30" s="20">
        <v>9840</v>
      </c>
      <c r="H30" s="19">
        <f t="shared" si="3"/>
        <v>0.63934426229508212</v>
      </c>
      <c r="I30" s="18">
        <f>SUM($D$2:D30)-SUM($G$2:G30)</f>
        <v>469728</v>
      </c>
      <c r="K30" s="9">
        <f t="shared" si="19"/>
        <v>45003</v>
      </c>
      <c r="L30" s="4">
        <f t="shared" si="25"/>
        <v>7761</v>
      </c>
      <c r="M30" s="4">
        <f t="shared" si="20"/>
        <v>12139</v>
      </c>
      <c r="N30" s="4">
        <f t="shared" si="21"/>
        <v>19900</v>
      </c>
      <c r="O30" s="4">
        <f t="shared" si="22"/>
        <v>6200</v>
      </c>
      <c r="P30" s="4">
        <f t="shared" si="23"/>
        <v>13700</v>
      </c>
      <c r="Q30" s="4">
        <f t="shared" si="24"/>
        <v>3600</v>
      </c>
    </row>
    <row r="31" spans="1:17" x14ac:dyDescent="0.35">
      <c r="A31" s="21">
        <v>45013</v>
      </c>
      <c r="B31" s="20">
        <f t="shared" si="0"/>
        <v>21983.52</v>
      </c>
      <c r="C31" s="20">
        <f t="shared" si="1"/>
        <v>34384.479999999996</v>
      </c>
      <c r="D31" s="20">
        <f t="shared" si="2"/>
        <v>56368</v>
      </c>
      <c r="E31" s="20">
        <v>9120</v>
      </c>
      <c r="F31" s="20">
        <v>47248</v>
      </c>
      <c r="G31" s="20">
        <f>2280+1200</f>
        <v>3480</v>
      </c>
      <c r="H31" s="19">
        <f t="shared" si="3"/>
        <v>0.63934426229508201</v>
      </c>
      <c r="I31" s="18">
        <f>SUM($D$2:D31)-SUM($G$2:G31)</f>
        <v>522616</v>
      </c>
      <c r="K31" s="8">
        <f t="shared" si="19"/>
        <v>45004</v>
      </c>
      <c r="L31" s="2">
        <f t="shared" si="25"/>
        <v>6576.5700000000006</v>
      </c>
      <c r="M31" s="2">
        <f t="shared" si="20"/>
        <v>10286.43</v>
      </c>
      <c r="N31" s="2">
        <f t="shared" si="21"/>
        <v>16863</v>
      </c>
      <c r="O31" s="2">
        <f t="shared" si="22"/>
        <v>11545</v>
      </c>
      <c r="P31" s="2">
        <f t="shared" si="23"/>
        <v>5318</v>
      </c>
      <c r="Q31" s="2">
        <f t="shared" si="24"/>
        <v>600</v>
      </c>
    </row>
    <row r="32" spans="1:17" x14ac:dyDescent="0.35">
      <c r="A32" s="21">
        <v>45014</v>
      </c>
      <c r="B32" s="20">
        <f t="shared" si="0"/>
        <v>11294.01</v>
      </c>
      <c r="C32" s="20">
        <f t="shared" si="1"/>
        <v>17664.989999999998</v>
      </c>
      <c r="D32" s="20">
        <f t="shared" si="2"/>
        <v>28959</v>
      </c>
      <c r="E32" s="22">
        <f>9130+670</f>
        <v>9800</v>
      </c>
      <c r="F32" s="22">
        <v>19159</v>
      </c>
      <c r="G32" s="22">
        <v>2500</v>
      </c>
      <c r="H32" s="19">
        <f t="shared" si="3"/>
        <v>0.63934426229508201</v>
      </c>
      <c r="I32" s="18">
        <f>SUM($D$2:D32)-SUM($G$2:G32)</f>
        <v>549075</v>
      </c>
      <c r="K32" s="3" t="s">
        <v>4</v>
      </c>
      <c r="L32" s="2">
        <f t="shared" ref="L32:Q32" si="26">SUM(L25:L31)</f>
        <v>45170.189999999995</v>
      </c>
      <c r="M32" s="2">
        <f t="shared" si="26"/>
        <v>70650.81</v>
      </c>
      <c r="N32" s="2">
        <f t="shared" si="26"/>
        <v>115821</v>
      </c>
      <c r="O32" s="2">
        <f t="shared" si="26"/>
        <v>49280</v>
      </c>
      <c r="P32" s="2">
        <f t="shared" si="26"/>
        <v>66541</v>
      </c>
      <c r="Q32" s="2">
        <f t="shared" si="26"/>
        <v>10700</v>
      </c>
    </row>
    <row r="33" spans="1:17" x14ac:dyDescent="0.35">
      <c r="A33" s="21">
        <v>45015</v>
      </c>
      <c r="B33" s="20">
        <f t="shared" si="0"/>
        <v>7012.59</v>
      </c>
      <c r="C33" s="20">
        <f t="shared" si="1"/>
        <v>10968.41</v>
      </c>
      <c r="D33" s="20">
        <f t="shared" si="2"/>
        <v>17981</v>
      </c>
      <c r="E33" s="20">
        <v>10730</v>
      </c>
      <c r="F33" s="20">
        <v>7251</v>
      </c>
      <c r="G33" s="22">
        <v>2500</v>
      </c>
      <c r="H33" s="19">
        <f t="shared" si="3"/>
        <v>0.63934426229508201</v>
      </c>
      <c r="I33" s="18">
        <f>SUM($D$2:D33)-SUM($G$2:G33)</f>
        <v>564556</v>
      </c>
      <c r="K33" s="3" t="s">
        <v>0</v>
      </c>
      <c r="L33" s="4">
        <f>L32/3</f>
        <v>15056.729999999998</v>
      </c>
      <c r="M33" s="4"/>
      <c r="N33" s="4"/>
      <c r="O33" s="4"/>
      <c r="P33" s="4"/>
      <c r="Q33" s="4"/>
    </row>
    <row r="34" spans="1:17" x14ac:dyDescent="0.35">
      <c r="A34" s="21">
        <v>45016</v>
      </c>
      <c r="B34" s="20">
        <f t="shared" si="0"/>
        <v>3088.8</v>
      </c>
      <c r="C34" s="20">
        <f t="shared" si="1"/>
        <v>4831.2</v>
      </c>
      <c r="D34" s="20">
        <f t="shared" si="2"/>
        <v>7920</v>
      </c>
      <c r="E34" s="20">
        <v>5720</v>
      </c>
      <c r="F34" s="20">
        <v>2200</v>
      </c>
      <c r="G34" s="20">
        <v>1000</v>
      </c>
      <c r="H34" s="19">
        <f t="shared" si="3"/>
        <v>0.63934426229508201</v>
      </c>
      <c r="I34" s="18">
        <f>SUM($D$2:D34)-SUM($G$2:G34)</f>
        <v>571476</v>
      </c>
    </row>
    <row r="35" spans="1:17" x14ac:dyDescent="0.35">
      <c r="A35" s="21">
        <v>45017</v>
      </c>
      <c r="B35" s="20">
        <f t="shared" si="0"/>
        <v>8503.9500000000007</v>
      </c>
      <c r="C35" s="20">
        <f t="shared" si="1"/>
        <v>13301.05</v>
      </c>
      <c r="D35" s="20">
        <f t="shared" si="2"/>
        <v>21805</v>
      </c>
      <c r="E35" s="22">
        <v>14285</v>
      </c>
      <c r="F35" s="22">
        <v>7520</v>
      </c>
      <c r="G35" s="22">
        <v>200</v>
      </c>
      <c r="H35" s="19">
        <f t="shared" si="3"/>
        <v>0.63934426229508201</v>
      </c>
      <c r="I35" s="18">
        <f>SUM($D$2:D35)-SUM($G$2:G35)</f>
        <v>593081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1">
        <v>45018</v>
      </c>
      <c r="B36" s="20">
        <f t="shared" si="0"/>
        <v>13185.9</v>
      </c>
      <c r="C36" s="20">
        <f t="shared" si="1"/>
        <v>20624.099999999999</v>
      </c>
      <c r="D36" s="20">
        <f t="shared" si="2"/>
        <v>33810</v>
      </c>
      <c r="E36" s="22">
        <v>23325</v>
      </c>
      <c r="F36" s="22">
        <v>10485</v>
      </c>
      <c r="G36" s="22">
        <v>6600</v>
      </c>
      <c r="H36" s="19">
        <f t="shared" si="3"/>
        <v>0.63934426229508201</v>
      </c>
      <c r="I36" s="18">
        <f>SUM($D$2:D36)-SUM($G$2:G36)</f>
        <v>620291</v>
      </c>
      <c r="K36" s="8">
        <f t="shared" ref="K36:K40" si="27">A23</f>
        <v>45005</v>
      </c>
      <c r="L36" s="2">
        <f>N36*0.3</f>
        <v>3633</v>
      </c>
      <c r="M36" s="2">
        <f t="shared" ref="M36:M42" si="28">N36-L36</f>
        <v>8477</v>
      </c>
      <c r="N36" s="2">
        <f t="shared" ref="N36:N42" si="29">O36+P36</f>
        <v>12110</v>
      </c>
      <c r="O36" s="2">
        <f t="shared" ref="O36:O42" si="30">VLOOKUP(K36,$A$1:$H$37,5,0)</f>
        <v>3980</v>
      </c>
      <c r="P36" s="2">
        <f t="shared" ref="P36:P42" si="31">VLOOKUP(K36,$A$1:$H$37,6,0)</f>
        <v>8130</v>
      </c>
      <c r="Q36" s="2">
        <f t="shared" ref="Q36:Q42" si="32">VLOOKUP(K36,$A$1:$H$37,7,0)</f>
        <v>900</v>
      </c>
    </row>
    <row r="37" spans="1:17" ht="15" thickBot="1" x14ac:dyDescent="0.4">
      <c r="A37" s="17" t="s">
        <v>4</v>
      </c>
      <c r="B37" s="16">
        <f>SUM(B4:B34)</f>
        <v>261407.64000000004</v>
      </c>
      <c r="C37" s="16">
        <f t="shared" ref="C37:I37" si="33">SUM(C4:C34)</f>
        <v>408868.35999999981</v>
      </c>
      <c r="D37" s="16">
        <f t="shared" si="33"/>
        <v>670276</v>
      </c>
      <c r="E37" s="16">
        <f t="shared" si="33"/>
        <v>288155</v>
      </c>
      <c r="F37" s="16">
        <f t="shared" si="33"/>
        <v>382121</v>
      </c>
      <c r="G37" s="16">
        <f t="shared" si="33"/>
        <v>146095</v>
      </c>
      <c r="H37" s="16">
        <f t="shared" si="33"/>
        <v>19.180327868852473</v>
      </c>
      <c r="I37" s="16">
        <f t="shared" si="33"/>
        <v>9050370</v>
      </c>
      <c r="K37" s="9">
        <f t="shared" si="27"/>
        <v>45006</v>
      </c>
      <c r="L37" s="4">
        <f>N37*0.3</f>
        <v>13816.5</v>
      </c>
      <c r="M37" s="4">
        <f t="shared" si="28"/>
        <v>32238.5</v>
      </c>
      <c r="N37" s="4">
        <f t="shared" si="29"/>
        <v>46055</v>
      </c>
      <c r="O37" s="4">
        <f t="shared" si="30"/>
        <v>29915</v>
      </c>
      <c r="P37" s="4">
        <f t="shared" si="31"/>
        <v>16140</v>
      </c>
      <c r="Q37" s="4">
        <f t="shared" si="32"/>
        <v>100</v>
      </c>
    </row>
    <row r="38" spans="1:17" x14ac:dyDescent="0.35">
      <c r="A38" s="12"/>
      <c r="B38" s="11">
        <f>B37/3</f>
        <v>87135.880000000019</v>
      </c>
      <c r="C38" s="11"/>
      <c r="E38" s="13">
        <f>D37*0.42</f>
        <v>281515.92</v>
      </c>
      <c r="F38" s="11"/>
      <c r="G38" s="11"/>
      <c r="H38" s="10"/>
      <c r="K38" s="8">
        <f t="shared" si="27"/>
        <v>45007</v>
      </c>
      <c r="L38" s="2">
        <f t="shared" ref="L38:L42" si="34">N38*0.3</f>
        <v>4323</v>
      </c>
      <c r="M38" s="2">
        <f t="shared" si="28"/>
        <v>10087</v>
      </c>
      <c r="N38" s="2">
        <f t="shared" si="29"/>
        <v>14410</v>
      </c>
      <c r="O38" s="2">
        <f t="shared" si="30"/>
        <v>11070</v>
      </c>
      <c r="P38" s="2">
        <f t="shared" si="31"/>
        <v>3340</v>
      </c>
      <c r="Q38" s="2">
        <f t="shared" si="32"/>
        <v>3130</v>
      </c>
    </row>
    <row r="39" spans="1:17" x14ac:dyDescent="0.35">
      <c r="A39" s="12"/>
      <c r="B39" s="11">
        <f>B38*100/D37</f>
        <v>13.000000000000004</v>
      </c>
      <c r="C39" s="11"/>
      <c r="E39" s="11">
        <f>E38/3</f>
        <v>93838.64</v>
      </c>
      <c r="F39" s="11"/>
      <c r="G39" s="11"/>
      <c r="H39" s="10"/>
      <c r="K39" s="9">
        <f t="shared" si="27"/>
        <v>45008</v>
      </c>
      <c r="L39" s="4">
        <f t="shared" si="34"/>
        <v>6784.2</v>
      </c>
      <c r="M39" s="4">
        <f t="shared" si="28"/>
        <v>15829.8</v>
      </c>
      <c r="N39" s="4">
        <f t="shared" si="29"/>
        <v>22614</v>
      </c>
      <c r="O39" s="4">
        <f t="shared" si="30"/>
        <v>14390</v>
      </c>
      <c r="P39" s="4">
        <f t="shared" si="31"/>
        <v>8224</v>
      </c>
      <c r="Q39" s="4">
        <f t="shared" si="32"/>
        <v>35100</v>
      </c>
    </row>
    <row r="40" spans="1:17" x14ac:dyDescent="0.35">
      <c r="A40" s="7" t="s">
        <v>7</v>
      </c>
      <c r="B40" s="6" t="s">
        <v>6</v>
      </c>
      <c r="C40" s="6" t="s">
        <v>5</v>
      </c>
      <c r="D40" s="6" t="s">
        <v>4</v>
      </c>
      <c r="E40" s="6" t="s">
        <v>3</v>
      </c>
      <c r="F40" s="6" t="s">
        <v>2</v>
      </c>
      <c r="G40" s="6" t="s">
        <v>1</v>
      </c>
      <c r="H40" s="31" t="s">
        <v>0</v>
      </c>
      <c r="K40" s="8">
        <f t="shared" si="27"/>
        <v>45009</v>
      </c>
      <c r="L40" s="2">
        <f t="shared" si="34"/>
        <v>15639</v>
      </c>
      <c r="M40" s="2">
        <f t="shared" si="28"/>
        <v>36491</v>
      </c>
      <c r="N40" s="2">
        <f t="shared" si="29"/>
        <v>52130</v>
      </c>
      <c r="O40" s="2">
        <f t="shared" si="30"/>
        <v>8450</v>
      </c>
      <c r="P40" s="2">
        <f t="shared" si="31"/>
        <v>43680</v>
      </c>
      <c r="Q40" s="2">
        <f t="shared" si="32"/>
        <v>3100</v>
      </c>
    </row>
    <row r="41" spans="1:17" x14ac:dyDescent="0.35">
      <c r="A41" s="32" t="str">
        <f>CONCATENATE(TEXT(K3,"DD-MMM-YYY")," to ",TEXT(K9,"DD-MMM-YYYY"))</f>
        <v>27-Feb-2023 to 05-Mar-2023</v>
      </c>
      <c r="B41" s="2">
        <f>L10</f>
        <v>58281.600000000006</v>
      </c>
      <c r="C41" s="2">
        <f t="shared" ref="C41:G41" si="35">M10</f>
        <v>91158.399999999994</v>
      </c>
      <c r="D41" s="2">
        <f t="shared" si="35"/>
        <v>149440</v>
      </c>
      <c r="E41" s="2">
        <f t="shared" si="35"/>
        <v>92190</v>
      </c>
      <c r="F41" s="2">
        <f t="shared" si="35"/>
        <v>57250</v>
      </c>
      <c r="G41" s="2">
        <f t="shared" si="35"/>
        <v>53505</v>
      </c>
      <c r="H41" s="2">
        <f>B41/3</f>
        <v>19427.2</v>
      </c>
      <c r="K41" s="9">
        <f>A28</f>
        <v>45010</v>
      </c>
      <c r="L41" s="4">
        <f t="shared" si="34"/>
        <v>5304</v>
      </c>
      <c r="M41" s="4">
        <f t="shared" si="28"/>
        <v>12376</v>
      </c>
      <c r="N41" s="4">
        <f t="shared" si="29"/>
        <v>17680</v>
      </c>
      <c r="O41" s="4">
        <f t="shared" si="30"/>
        <v>3940</v>
      </c>
      <c r="P41" s="4">
        <f t="shared" si="31"/>
        <v>13740</v>
      </c>
      <c r="Q41" s="4">
        <f t="shared" si="32"/>
        <v>2600</v>
      </c>
    </row>
    <row r="42" spans="1:17" x14ac:dyDescent="0.35">
      <c r="A42" s="32" t="str">
        <f>CONCATENATE(TEXT(K14,"DD-MMM-YYY")," to ",TEXT(K20,"DD-MMM-YYYY"))</f>
        <v>06-Mar-2023 to 12-Mar-2023</v>
      </c>
      <c r="B42" s="4">
        <f>L21</f>
        <v>46375.829999999994</v>
      </c>
      <c r="C42" s="4">
        <f t="shared" ref="C42:G42" si="36">M21</f>
        <v>97357.17</v>
      </c>
      <c r="D42" s="4">
        <f t="shared" si="36"/>
        <v>143733</v>
      </c>
      <c r="E42" s="4">
        <f t="shared" si="36"/>
        <v>49210</v>
      </c>
      <c r="F42" s="4">
        <f t="shared" si="36"/>
        <v>94523</v>
      </c>
      <c r="G42" s="4">
        <f t="shared" si="36"/>
        <v>11850</v>
      </c>
      <c r="H42" s="2">
        <f t="shared" ref="H42:H45" si="37">B42/3</f>
        <v>15458.609999999999</v>
      </c>
      <c r="K42" s="8">
        <f>A29</f>
        <v>45011</v>
      </c>
      <c r="L42" s="2">
        <f t="shared" si="34"/>
        <v>6690</v>
      </c>
      <c r="M42" s="2">
        <f t="shared" si="28"/>
        <v>15610</v>
      </c>
      <c r="N42" s="2">
        <f t="shared" si="29"/>
        <v>22300</v>
      </c>
      <c r="O42" s="2">
        <f t="shared" si="30"/>
        <v>16300</v>
      </c>
      <c r="P42" s="2">
        <f t="shared" si="31"/>
        <v>6000</v>
      </c>
      <c r="Q42" s="2">
        <f t="shared" si="32"/>
        <v>6120</v>
      </c>
    </row>
    <row r="43" spans="1:17" x14ac:dyDescent="0.35">
      <c r="A43" s="32" t="str">
        <f>CONCATENATE(TEXT(K25,"DD-MMM-YYY")," to ",TEXT(K31,"DD-MMM-YYYY"))</f>
        <v>13-Mar-2023 to 19-Mar-2023</v>
      </c>
      <c r="B43" s="2">
        <f>L32</f>
        <v>45170.189999999995</v>
      </c>
      <c r="C43" s="2">
        <f t="shared" ref="C43:G43" si="38">M32</f>
        <v>70650.81</v>
      </c>
      <c r="D43" s="2">
        <f t="shared" si="38"/>
        <v>115821</v>
      </c>
      <c r="E43" s="2">
        <f t="shared" si="38"/>
        <v>49280</v>
      </c>
      <c r="F43" s="2">
        <f t="shared" si="38"/>
        <v>66541</v>
      </c>
      <c r="G43" s="2">
        <f t="shared" si="38"/>
        <v>10700</v>
      </c>
      <c r="H43" s="2">
        <f t="shared" si="37"/>
        <v>15056.729999999998</v>
      </c>
      <c r="K43" s="3" t="s">
        <v>4</v>
      </c>
      <c r="L43" s="4">
        <f t="shared" ref="L43:Q43" si="39">SUM(L36:L42)</f>
        <v>56189.7</v>
      </c>
      <c r="M43" s="4">
        <f t="shared" si="39"/>
        <v>131109.29999999999</v>
      </c>
      <c r="N43" s="4">
        <f t="shared" si="39"/>
        <v>187299</v>
      </c>
      <c r="O43" s="4">
        <f t="shared" si="39"/>
        <v>88045</v>
      </c>
      <c r="P43" s="4">
        <f t="shared" si="39"/>
        <v>99254</v>
      </c>
      <c r="Q43" s="4">
        <f t="shared" si="39"/>
        <v>51050</v>
      </c>
    </row>
    <row r="44" spans="1:17" x14ac:dyDescent="0.35">
      <c r="A44" s="32" t="str">
        <f>CONCATENATE(TEXT(K36,"DD-MMM-YYY")," to ",TEXT(K42,"DD-MMM-YYYY"))</f>
        <v>20-Mar-2023 to 26-Mar-2023</v>
      </c>
      <c r="B44" s="4">
        <f>L43</f>
        <v>56189.7</v>
      </c>
      <c r="C44" s="4">
        <f t="shared" ref="C44:G44" si="40">M43</f>
        <v>131109.29999999999</v>
      </c>
      <c r="D44" s="4">
        <f t="shared" si="40"/>
        <v>187299</v>
      </c>
      <c r="E44" s="4">
        <f t="shared" si="40"/>
        <v>88045</v>
      </c>
      <c r="F44" s="4">
        <f t="shared" si="40"/>
        <v>99254</v>
      </c>
      <c r="G44" s="4">
        <f t="shared" si="40"/>
        <v>51050</v>
      </c>
      <c r="H44" s="2">
        <f t="shared" si="37"/>
        <v>18729.899999999998</v>
      </c>
      <c r="K44" s="3" t="s">
        <v>0</v>
      </c>
      <c r="L44" s="2">
        <f>L43/3</f>
        <v>18729.899999999998</v>
      </c>
      <c r="M44" s="2"/>
      <c r="N44" s="2"/>
      <c r="O44" s="2"/>
      <c r="P44" s="2"/>
      <c r="Q44" s="2"/>
    </row>
    <row r="45" spans="1:17" x14ac:dyDescent="0.35">
      <c r="A45" s="32" t="str">
        <f>CONCATENATE(TEXT(K47,"DD-MMM-YYY")," to ",TEXT(K53,"DD-MMM-YYYY"))</f>
        <v>27-Mar-2023 to 02-Apr-2023</v>
      </c>
      <c r="B45" s="2">
        <f>L54</f>
        <v>53166.9</v>
      </c>
      <c r="C45" s="2">
        <f t="shared" ref="C45:G45" si="41">M54</f>
        <v>124056.1</v>
      </c>
      <c r="D45" s="2">
        <f t="shared" si="41"/>
        <v>177223</v>
      </c>
      <c r="E45" s="2">
        <f t="shared" si="41"/>
        <v>80610</v>
      </c>
      <c r="F45" s="2">
        <f t="shared" si="41"/>
        <v>96613</v>
      </c>
      <c r="G45" s="2">
        <f t="shared" si="41"/>
        <v>26120</v>
      </c>
      <c r="H45" s="2">
        <f t="shared" si="37"/>
        <v>17722.3</v>
      </c>
    </row>
    <row r="46" spans="1:17" x14ac:dyDescent="0.35">
      <c r="A46" s="32" t="str">
        <f>CONCATENATE(TEXT(K59,"DD-MMM-YYY")," to ",TEXT(K58,"DD-MMM-YYYY"))</f>
        <v>03-Mar-2023 to Date</v>
      </c>
      <c r="B46" s="4">
        <f>SUM(B41:B45)</f>
        <v>259184.22</v>
      </c>
      <c r="C46" s="4">
        <f t="shared" ref="C46:H46" si="42">SUM(C41:C45)</f>
        <v>514331.78</v>
      </c>
      <c r="D46" s="4">
        <f t="shared" si="42"/>
        <v>773516</v>
      </c>
      <c r="E46" s="4">
        <f t="shared" si="42"/>
        <v>359335</v>
      </c>
      <c r="F46" s="4">
        <f t="shared" si="42"/>
        <v>414181</v>
      </c>
      <c r="G46" s="4">
        <f t="shared" si="42"/>
        <v>153225</v>
      </c>
      <c r="H46" s="4">
        <f t="shared" si="42"/>
        <v>86394.739999999991</v>
      </c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C47" s="67" t="s">
        <v>4</v>
      </c>
      <c r="D47" s="67"/>
      <c r="E47" s="67"/>
      <c r="F47" s="67"/>
      <c r="G47" s="68"/>
      <c r="H47" s="2"/>
      <c r="K47" s="8">
        <f t="shared" ref="K47:K53" si="43">A30</f>
        <v>45012</v>
      </c>
      <c r="L47" s="2">
        <f>N47*0.3</f>
        <v>3114</v>
      </c>
      <c r="M47" s="2">
        <f t="shared" ref="M47:M53" si="44">N47-L47</f>
        <v>7266</v>
      </c>
      <c r="N47" s="2">
        <f t="shared" ref="N47:N53" si="45">O47+P47</f>
        <v>10380</v>
      </c>
      <c r="O47" s="2">
        <f t="shared" ref="O47:O53" si="46">VLOOKUP(K47,$A$1:$H$37,5,0)</f>
        <v>7630</v>
      </c>
      <c r="P47" s="2">
        <f t="shared" ref="P47:P53" si="47">VLOOKUP(K47,$A$1:$H$37,6,0)</f>
        <v>2750</v>
      </c>
      <c r="Q47" s="2">
        <f t="shared" ref="Q47:Q53" si="48">VLOOKUP(K47,$A$1:$H$37,7,0)</f>
        <v>9840</v>
      </c>
    </row>
    <row r="48" spans="1:17" x14ac:dyDescent="0.35">
      <c r="K48" s="9">
        <f t="shared" si="43"/>
        <v>45013</v>
      </c>
      <c r="L48" s="4">
        <f>N48*0.3</f>
        <v>16910.399999999998</v>
      </c>
      <c r="M48" s="4">
        <f t="shared" si="44"/>
        <v>39457.600000000006</v>
      </c>
      <c r="N48" s="4">
        <f t="shared" si="45"/>
        <v>56368</v>
      </c>
      <c r="O48" s="4">
        <f t="shared" si="46"/>
        <v>9120</v>
      </c>
      <c r="P48" s="4">
        <f t="shared" si="47"/>
        <v>47248</v>
      </c>
      <c r="Q48" s="4">
        <f t="shared" si="48"/>
        <v>3480</v>
      </c>
    </row>
    <row r="49" spans="11:17" x14ac:dyDescent="0.35">
      <c r="K49" s="8">
        <f t="shared" si="43"/>
        <v>45014</v>
      </c>
      <c r="L49" s="2">
        <f t="shared" ref="L49:L53" si="49">N49*0.3</f>
        <v>8687.6999999999989</v>
      </c>
      <c r="M49" s="2">
        <f t="shared" si="44"/>
        <v>20271.300000000003</v>
      </c>
      <c r="N49" s="2">
        <f t="shared" si="45"/>
        <v>28959</v>
      </c>
      <c r="O49" s="2">
        <f t="shared" si="46"/>
        <v>9800</v>
      </c>
      <c r="P49" s="2">
        <f t="shared" si="47"/>
        <v>19159</v>
      </c>
      <c r="Q49" s="2">
        <f t="shared" si="48"/>
        <v>2500</v>
      </c>
    </row>
    <row r="50" spans="11:17" x14ac:dyDescent="0.35">
      <c r="K50" s="9">
        <f t="shared" si="43"/>
        <v>45015</v>
      </c>
      <c r="L50" s="4">
        <f t="shared" si="49"/>
        <v>5394.3</v>
      </c>
      <c r="M50" s="4">
        <f t="shared" si="44"/>
        <v>12586.7</v>
      </c>
      <c r="N50" s="4">
        <f t="shared" si="45"/>
        <v>17981</v>
      </c>
      <c r="O50" s="4">
        <f t="shared" si="46"/>
        <v>10730</v>
      </c>
      <c r="P50" s="4">
        <f t="shared" si="47"/>
        <v>7251</v>
      </c>
      <c r="Q50" s="4">
        <f t="shared" si="48"/>
        <v>2500</v>
      </c>
    </row>
    <row r="51" spans="11:17" x14ac:dyDescent="0.35">
      <c r="K51" s="8">
        <f t="shared" si="43"/>
        <v>45016</v>
      </c>
      <c r="L51" s="2">
        <f t="shared" si="49"/>
        <v>2376</v>
      </c>
      <c r="M51" s="2">
        <f t="shared" si="44"/>
        <v>5544</v>
      </c>
      <c r="N51" s="2">
        <f t="shared" si="45"/>
        <v>7920</v>
      </c>
      <c r="O51" s="2">
        <f t="shared" si="46"/>
        <v>5720</v>
      </c>
      <c r="P51" s="2">
        <f t="shared" si="47"/>
        <v>2200</v>
      </c>
      <c r="Q51" s="2">
        <f t="shared" si="48"/>
        <v>1000</v>
      </c>
    </row>
    <row r="52" spans="11:17" x14ac:dyDescent="0.35">
      <c r="K52" s="9">
        <f t="shared" si="43"/>
        <v>45017</v>
      </c>
      <c r="L52" s="4">
        <f t="shared" si="49"/>
        <v>6541.5</v>
      </c>
      <c r="M52" s="4">
        <f t="shared" si="44"/>
        <v>15263.5</v>
      </c>
      <c r="N52" s="4">
        <f t="shared" si="45"/>
        <v>21805</v>
      </c>
      <c r="O52" s="4">
        <f t="shared" si="46"/>
        <v>14285</v>
      </c>
      <c r="P52" s="4">
        <f t="shared" si="47"/>
        <v>7520</v>
      </c>
      <c r="Q52" s="4">
        <f t="shared" si="48"/>
        <v>200</v>
      </c>
    </row>
    <row r="53" spans="11:17" x14ac:dyDescent="0.35">
      <c r="K53" s="8">
        <f t="shared" si="43"/>
        <v>45018</v>
      </c>
      <c r="L53" s="2">
        <f t="shared" si="49"/>
        <v>10143</v>
      </c>
      <c r="M53" s="2">
        <f t="shared" si="44"/>
        <v>23667</v>
      </c>
      <c r="N53" s="2">
        <f t="shared" si="45"/>
        <v>33810</v>
      </c>
      <c r="O53" s="2">
        <f t="shared" si="46"/>
        <v>23325</v>
      </c>
      <c r="P53" s="2">
        <f t="shared" si="47"/>
        <v>10485</v>
      </c>
      <c r="Q53" s="2">
        <f t="shared" si="48"/>
        <v>6600</v>
      </c>
    </row>
    <row r="54" spans="11:17" x14ac:dyDescent="0.35">
      <c r="K54" s="3" t="s">
        <v>4</v>
      </c>
      <c r="L54" s="4">
        <f>SUM(L47:L53)</f>
        <v>53166.9</v>
      </c>
      <c r="M54" s="4">
        <f t="shared" ref="M54:Q54" si="50">SUM(M47:M53)</f>
        <v>124056.1</v>
      </c>
      <c r="N54" s="4">
        <f t="shared" si="50"/>
        <v>177223</v>
      </c>
      <c r="O54" s="4">
        <f t="shared" si="50"/>
        <v>80610</v>
      </c>
      <c r="P54" s="4">
        <f t="shared" si="50"/>
        <v>96613</v>
      </c>
      <c r="Q54" s="4">
        <f t="shared" si="50"/>
        <v>26120</v>
      </c>
    </row>
    <row r="55" spans="11:17" x14ac:dyDescent="0.35">
      <c r="K55" s="3" t="s">
        <v>0</v>
      </c>
      <c r="L55" s="2">
        <f>L54/3</f>
        <v>17722.3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A6</f>
        <v>44988</v>
      </c>
      <c r="L59" s="4">
        <f>SUM(B4:B34)</f>
        <v>261407.64000000004</v>
      </c>
      <c r="M59" s="4">
        <f>SUM(C4:C34)</f>
        <v>408868.35999999981</v>
      </c>
      <c r="N59" s="4">
        <f>SUM(D4:D34)</f>
        <v>670276</v>
      </c>
      <c r="O59" s="4">
        <f t="shared" ref="O59:Q59" si="51">SUM(E4:E34)</f>
        <v>288155</v>
      </c>
      <c r="P59" s="4">
        <f t="shared" si="51"/>
        <v>382121</v>
      </c>
      <c r="Q59" s="4">
        <f t="shared" si="51"/>
        <v>146095</v>
      </c>
    </row>
    <row r="60" spans="11:17" x14ac:dyDescent="0.35">
      <c r="K60" s="3" t="s">
        <v>0</v>
      </c>
      <c r="L60" s="2">
        <f>L59/3</f>
        <v>87135.880000000019</v>
      </c>
      <c r="M60" s="2"/>
      <c r="N60" s="2"/>
      <c r="O60" s="2"/>
      <c r="P60" s="2"/>
      <c r="Q60" s="2"/>
    </row>
  </sheetData>
  <mergeCells count="1">
    <mergeCell ref="C47:G47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9581-39D3-4724-98F5-012D7200A83F}">
  <dimension ref="A1:U60"/>
  <sheetViews>
    <sheetView zoomScale="90" zoomScaleNormal="90" workbookViewId="0">
      <pane ySplit="1" topLeftCell="A18" activePane="bottomLeft" state="frozen"/>
      <selection pane="bottomLeft" activeCell="B37" sqref="B37:I37"/>
    </sheetView>
  </sheetViews>
  <sheetFormatPr defaultColWidth="26" defaultRowHeight="14.5" x14ac:dyDescent="0.35"/>
  <cols>
    <col min="1" max="1" width="26.90625" bestFit="1" customWidth="1"/>
    <col min="2" max="2" width="9" style="1" bestFit="1" customWidth="1"/>
    <col min="3" max="3" width="9.1796875" style="1" bestFit="1" customWidth="1"/>
    <col min="4" max="4" width="9" style="1" bestFit="1" customWidth="1"/>
    <col min="5" max="5" width="11.54296875" style="1" bestFit="1" customWidth="1"/>
    <col min="6" max="6" width="9.54296875" style="1" customWidth="1"/>
    <col min="7" max="7" width="9.26953125" style="1" bestFit="1" customWidth="1"/>
    <col min="8" max="8" width="10.1796875" bestFit="1" customWidth="1"/>
    <col min="9" max="9" width="7.6328125" bestFit="1" customWidth="1"/>
    <col min="10" max="10" width="6.08984375" bestFit="1" customWidth="1"/>
    <col min="11" max="11" width="8.1796875" style="1" bestFit="1" customWidth="1"/>
    <col min="12" max="12" width="9.6328125" style="1" bestFit="1" customWidth="1"/>
    <col min="13" max="13" width="9.6328125" style="1" customWidth="1"/>
    <col min="14" max="14" width="6.54296875" customWidth="1"/>
    <col min="15" max="15" width="26.36328125" bestFit="1" customWidth="1"/>
    <col min="16" max="16" width="8.1796875" bestFit="1" customWidth="1"/>
    <col min="17" max="18" width="9.1796875" bestFit="1" customWidth="1"/>
    <col min="19" max="19" width="8.1796875" bestFit="1" customWidth="1"/>
    <col min="20" max="20" width="16.90625" bestFit="1" customWidth="1"/>
    <col min="21" max="21" width="9.26953125" bestFit="1" customWidth="1"/>
  </cols>
  <sheetData>
    <row r="1" spans="1:21" s="23" customFormat="1" ht="29" x14ac:dyDescent="0.35">
      <c r="A1" s="30" t="s">
        <v>7</v>
      </c>
      <c r="B1" s="28" t="s">
        <v>6</v>
      </c>
      <c r="C1" s="28" t="s">
        <v>5</v>
      </c>
      <c r="D1" s="28" t="s">
        <v>4</v>
      </c>
      <c r="E1" s="29" t="s">
        <v>3</v>
      </c>
      <c r="F1" s="29" t="s">
        <v>2</v>
      </c>
      <c r="G1" s="28" t="s">
        <v>1</v>
      </c>
      <c r="H1" s="27" t="s">
        <v>9</v>
      </c>
      <c r="I1" s="26" t="s">
        <v>8</v>
      </c>
      <c r="J1" s="37" t="s">
        <v>17</v>
      </c>
      <c r="K1" s="38" t="s">
        <v>4</v>
      </c>
      <c r="L1" s="38" t="s">
        <v>3</v>
      </c>
      <c r="M1" s="38" t="s">
        <v>2</v>
      </c>
      <c r="O1" s="25" t="s">
        <v>7</v>
      </c>
      <c r="P1" s="24" t="s">
        <v>6</v>
      </c>
      <c r="Q1" s="24" t="s">
        <v>5</v>
      </c>
      <c r="R1" s="24" t="s">
        <v>4</v>
      </c>
      <c r="S1" s="24" t="s">
        <v>3</v>
      </c>
      <c r="T1" s="24" t="s">
        <v>2</v>
      </c>
      <c r="U1" s="24" t="s">
        <v>1</v>
      </c>
    </row>
    <row r="2" spans="1:21" x14ac:dyDescent="0.35">
      <c r="A2" s="21">
        <v>45012</v>
      </c>
      <c r="B2" s="20">
        <f t="shared" ref="B2:B8" si="0">D2*0.39</f>
        <v>4048.2000000000003</v>
      </c>
      <c r="C2" s="20">
        <f t="shared" ref="C2:C8" si="1">D2-B2</f>
        <v>6331.7999999999993</v>
      </c>
      <c r="D2" s="20">
        <f t="shared" ref="D2:D8" si="2">E2+F2</f>
        <v>10380</v>
      </c>
      <c r="E2" s="20">
        <v>7630</v>
      </c>
      <c r="F2" s="20">
        <v>2750</v>
      </c>
      <c r="G2" s="20">
        <v>9840</v>
      </c>
      <c r="H2" s="19">
        <f t="shared" ref="H2:H8" si="3">IFERROR(B2/C2,0)</f>
        <v>0.63934426229508212</v>
      </c>
      <c r="I2" s="18">
        <f>SUM($D$2:D2)-SUM($G$2:G2)</f>
        <v>540</v>
      </c>
      <c r="J2" s="35"/>
      <c r="K2" s="20">
        <f t="shared" ref="K2:K36" si="4">L2+M2</f>
        <v>0</v>
      </c>
      <c r="L2" s="20"/>
      <c r="M2" s="20"/>
      <c r="O2" s="9" t="s">
        <v>10</v>
      </c>
      <c r="P2" s="4"/>
      <c r="Q2" s="4"/>
      <c r="R2" s="4"/>
      <c r="S2" s="4"/>
      <c r="T2" s="4"/>
      <c r="U2" s="4">
        <v>0</v>
      </c>
    </row>
    <row r="3" spans="1:21" x14ac:dyDescent="0.35">
      <c r="A3" s="21">
        <v>45013</v>
      </c>
      <c r="B3" s="20">
        <f t="shared" si="0"/>
        <v>21983.52</v>
      </c>
      <c r="C3" s="20">
        <f t="shared" si="1"/>
        <v>34384.479999999996</v>
      </c>
      <c r="D3" s="20">
        <f t="shared" si="2"/>
        <v>56368</v>
      </c>
      <c r="E3" s="20">
        <v>9120</v>
      </c>
      <c r="F3" s="20">
        <v>47248</v>
      </c>
      <c r="G3" s="20">
        <f>2280+1200</f>
        <v>3480</v>
      </c>
      <c r="H3" s="19">
        <f t="shared" si="3"/>
        <v>0.63934426229508201</v>
      </c>
      <c r="I3" s="18">
        <f>SUM($D$2:D3)-SUM($G$2:G3)</f>
        <v>53428</v>
      </c>
      <c r="J3" s="34"/>
      <c r="K3" s="20">
        <f t="shared" si="4"/>
        <v>0</v>
      </c>
      <c r="L3" s="20"/>
      <c r="M3" s="20"/>
      <c r="O3" s="8">
        <f t="shared" ref="O3:O9" si="5">A2</f>
        <v>45012</v>
      </c>
      <c r="P3" s="2">
        <f>R3*0.3</f>
        <v>3114</v>
      </c>
      <c r="Q3" s="2">
        <f t="shared" ref="Q3:Q9" si="6">R3-P3</f>
        <v>7266</v>
      </c>
      <c r="R3" s="2">
        <f t="shared" ref="R3:R9" si="7">S3+T3</f>
        <v>10380</v>
      </c>
      <c r="S3" s="2">
        <f t="shared" ref="S3:S9" si="8">VLOOKUP(O3,$A$1:$H$37,5,0)</f>
        <v>7630</v>
      </c>
      <c r="T3" s="2">
        <f t="shared" ref="T3:T9" si="9">VLOOKUP(O3,$A$1:$H$37,6,0)</f>
        <v>2750</v>
      </c>
      <c r="U3" s="2">
        <f t="shared" ref="U3:U9" si="10">VLOOKUP(O3,$A$1:$H$37,7,0)</f>
        <v>9840</v>
      </c>
    </row>
    <row r="4" spans="1:21" x14ac:dyDescent="0.35">
      <c r="A4" s="21">
        <v>45014</v>
      </c>
      <c r="B4" s="20">
        <f t="shared" si="0"/>
        <v>11294.01</v>
      </c>
      <c r="C4" s="20">
        <f t="shared" si="1"/>
        <v>17664.989999999998</v>
      </c>
      <c r="D4" s="20">
        <f t="shared" si="2"/>
        <v>28959</v>
      </c>
      <c r="E4" s="22">
        <f>9130+670</f>
        <v>9800</v>
      </c>
      <c r="F4" s="22">
        <v>19159</v>
      </c>
      <c r="G4" s="22">
        <v>2500</v>
      </c>
      <c r="H4" s="19">
        <f t="shared" si="3"/>
        <v>0.63934426229508201</v>
      </c>
      <c r="I4" s="18">
        <f>SUM($D$2:D4)-SUM($G$2:G4)</f>
        <v>79887</v>
      </c>
      <c r="J4" s="34"/>
      <c r="K4" s="20">
        <f t="shared" si="4"/>
        <v>0</v>
      </c>
      <c r="L4" s="22"/>
      <c r="M4" s="22"/>
      <c r="O4" s="9">
        <f t="shared" si="5"/>
        <v>45013</v>
      </c>
      <c r="P4" s="4">
        <f>R4*0.3</f>
        <v>16910.399999999998</v>
      </c>
      <c r="Q4" s="4">
        <f t="shared" si="6"/>
        <v>39457.600000000006</v>
      </c>
      <c r="R4" s="4">
        <f t="shared" si="7"/>
        <v>56368</v>
      </c>
      <c r="S4" s="4">
        <f t="shared" si="8"/>
        <v>9120</v>
      </c>
      <c r="T4" s="4">
        <f t="shared" si="9"/>
        <v>47248</v>
      </c>
      <c r="U4" s="4">
        <f t="shared" si="10"/>
        <v>3480</v>
      </c>
    </row>
    <row r="5" spans="1:21" x14ac:dyDescent="0.35">
      <c r="A5" s="21">
        <v>45015</v>
      </c>
      <c r="B5" s="20">
        <f t="shared" si="0"/>
        <v>7012.59</v>
      </c>
      <c r="C5" s="20">
        <f t="shared" si="1"/>
        <v>10968.41</v>
      </c>
      <c r="D5" s="20">
        <f t="shared" si="2"/>
        <v>17981</v>
      </c>
      <c r="E5" s="20">
        <v>10730</v>
      </c>
      <c r="F5" s="20">
        <v>7251</v>
      </c>
      <c r="G5" s="22">
        <v>2500</v>
      </c>
      <c r="H5" s="19">
        <f t="shared" si="3"/>
        <v>0.63934426229508201</v>
      </c>
      <c r="I5" s="18">
        <f>SUM($D$2:D5)-SUM($G$2:G5)</f>
        <v>95368</v>
      </c>
      <c r="J5" s="34"/>
      <c r="K5" s="20">
        <f t="shared" si="4"/>
        <v>0</v>
      </c>
      <c r="L5" s="20"/>
      <c r="M5" s="20"/>
      <c r="O5" s="8">
        <f t="shared" si="5"/>
        <v>45014</v>
      </c>
      <c r="P5" s="2">
        <f t="shared" ref="P5:P9" si="11">R5*0.3</f>
        <v>8687.6999999999989</v>
      </c>
      <c r="Q5" s="2">
        <f t="shared" si="6"/>
        <v>20271.300000000003</v>
      </c>
      <c r="R5" s="2">
        <f t="shared" si="7"/>
        <v>28959</v>
      </c>
      <c r="S5" s="2">
        <f t="shared" si="8"/>
        <v>9800</v>
      </c>
      <c r="T5" s="2">
        <f t="shared" si="9"/>
        <v>19159</v>
      </c>
      <c r="U5" s="2">
        <f t="shared" si="10"/>
        <v>2500</v>
      </c>
    </row>
    <row r="6" spans="1:21" x14ac:dyDescent="0.35">
      <c r="A6" s="21">
        <v>45016</v>
      </c>
      <c r="B6" s="20">
        <f t="shared" si="0"/>
        <v>3088.8</v>
      </c>
      <c r="C6" s="20">
        <f t="shared" si="1"/>
        <v>4831.2</v>
      </c>
      <c r="D6" s="20">
        <f t="shared" si="2"/>
        <v>7920</v>
      </c>
      <c r="E6" s="20">
        <v>5720</v>
      </c>
      <c r="F6" s="20">
        <v>2200</v>
      </c>
      <c r="G6" s="20">
        <v>1000</v>
      </c>
      <c r="H6" s="19">
        <f t="shared" si="3"/>
        <v>0.63934426229508201</v>
      </c>
      <c r="I6" s="18">
        <f>SUM($D$2:D6)-SUM($G$2:G6)</f>
        <v>102288</v>
      </c>
      <c r="J6" s="34"/>
      <c r="K6" s="20">
        <f t="shared" si="4"/>
        <v>0</v>
      </c>
      <c r="L6" s="20"/>
      <c r="M6" s="20"/>
      <c r="O6" s="9">
        <f t="shared" si="5"/>
        <v>45015</v>
      </c>
      <c r="P6" s="4">
        <f t="shared" si="11"/>
        <v>5394.3</v>
      </c>
      <c r="Q6" s="4">
        <f t="shared" si="6"/>
        <v>12586.7</v>
      </c>
      <c r="R6" s="4">
        <f t="shared" si="7"/>
        <v>17981</v>
      </c>
      <c r="S6" s="4">
        <f t="shared" si="8"/>
        <v>10730</v>
      </c>
      <c r="T6" s="4">
        <f t="shared" si="9"/>
        <v>7251</v>
      </c>
      <c r="U6" s="4">
        <f t="shared" si="10"/>
        <v>2500</v>
      </c>
    </row>
    <row r="7" spans="1:21" x14ac:dyDescent="0.35">
      <c r="A7" s="21">
        <v>45017</v>
      </c>
      <c r="B7" s="20">
        <f t="shared" si="0"/>
        <v>8503.9500000000007</v>
      </c>
      <c r="C7" s="20">
        <f t="shared" si="1"/>
        <v>13301.05</v>
      </c>
      <c r="D7" s="20">
        <f t="shared" si="2"/>
        <v>21805</v>
      </c>
      <c r="E7" s="22">
        <v>14285</v>
      </c>
      <c r="F7" s="22">
        <v>7520</v>
      </c>
      <c r="G7" s="22">
        <v>200</v>
      </c>
      <c r="H7" s="19">
        <f t="shared" si="3"/>
        <v>0.63934426229508201</v>
      </c>
      <c r="I7" s="18">
        <f>SUM($D$2:D7)-SUM($G$2:G7)</f>
        <v>123893</v>
      </c>
      <c r="J7" s="34" t="s">
        <v>20</v>
      </c>
      <c r="K7" s="20">
        <f t="shared" si="4"/>
        <v>7800</v>
      </c>
      <c r="L7" s="22">
        <v>2160</v>
      </c>
      <c r="M7" s="22">
        <v>5640</v>
      </c>
      <c r="O7" s="8">
        <f t="shared" si="5"/>
        <v>45016</v>
      </c>
      <c r="P7" s="2">
        <f t="shared" si="11"/>
        <v>2376</v>
      </c>
      <c r="Q7" s="2">
        <f t="shared" si="6"/>
        <v>5544</v>
      </c>
      <c r="R7" s="2">
        <f t="shared" si="7"/>
        <v>7920</v>
      </c>
      <c r="S7" s="2">
        <f t="shared" si="8"/>
        <v>5720</v>
      </c>
      <c r="T7" s="2">
        <f t="shared" si="9"/>
        <v>2200</v>
      </c>
      <c r="U7" s="2">
        <f t="shared" si="10"/>
        <v>1000</v>
      </c>
    </row>
    <row r="8" spans="1:21" x14ac:dyDescent="0.35">
      <c r="A8" s="21">
        <v>45018</v>
      </c>
      <c r="B8" s="20">
        <f t="shared" si="0"/>
        <v>13185.9</v>
      </c>
      <c r="C8" s="20">
        <f t="shared" si="1"/>
        <v>20624.099999999999</v>
      </c>
      <c r="D8" s="20">
        <f t="shared" si="2"/>
        <v>33810</v>
      </c>
      <c r="E8" s="22">
        <v>23325</v>
      </c>
      <c r="F8" s="22">
        <v>10485</v>
      </c>
      <c r="G8" s="22">
        <v>6600</v>
      </c>
      <c r="H8" s="19">
        <f t="shared" si="3"/>
        <v>0.63934426229508201</v>
      </c>
      <c r="I8" s="18">
        <f>SUM($D$2:D8)-SUM($G$2:G8)</f>
        <v>151103</v>
      </c>
      <c r="J8" s="34"/>
      <c r="K8" s="20">
        <f t="shared" si="4"/>
        <v>8520</v>
      </c>
      <c r="L8" s="22">
        <v>8520</v>
      </c>
      <c r="M8" s="22"/>
      <c r="O8" s="9">
        <f t="shared" si="5"/>
        <v>45017</v>
      </c>
      <c r="P8" s="4">
        <f t="shared" si="11"/>
        <v>6541.5</v>
      </c>
      <c r="Q8" s="4">
        <f t="shared" si="6"/>
        <v>15263.5</v>
      </c>
      <c r="R8" s="4">
        <f t="shared" si="7"/>
        <v>21805</v>
      </c>
      <c r="S8" s="4">
        <f t="shared" si="8"/>
        <v>14285</v>
      </c>
      <c r="T8" s="4">
        <f t="shared" si="9"/>
        <v>7520</v>
      </c>
      <c r="U8" s="4">
        <f t="shared" si="10"/>
        <v>200</v>
      </c>
    </row>
    <row r="9" spans="1:21" x14ac:dyDescent="0.35">
      <c r="A9" s="21">
        <v>45019</v>
      </c>
      <c r="B9" s="20">
        <f t="shared" ref="B9:B36" si="12">D9*0.39</f>
        <v>5091.84</v>
      </c>
      <c r="C9" s="20">
        <f t="shared" ref="C9:C36" si="13">D9-B9</f>
        <v>7964.16</v>
      </c>
      <c r="D9" s="20">
        <f t="shared" ref="D9:D36" si="14">E9+F9</f>
        <v>13056</v>
      </c>
      <c r="E9" s="20">
        <v>8572</v>
      </c>
      <c r="F9" s="20">
        <v>4484</v>
      </c>
      <c r="G9" s="20">
        <v>8400</v>
      </c>
      <c r="H9" s="19">
        <f t="shared" ref="H9:H36" si="15">IFERROR(B9/C9,0)</f>
        <v>0.63934426229508201</v>
      </c>
      <c r="I9" s="18">
        <f>SUM($D$2:D9)-SUM($G$2:G9)</f>
        <v>155759</v>
      </c>
      <c r="J9" s="34"/>
      <c r="K9" s="20">
        <f t="shared" si="4"/>
        <v>1384</v>
      </c>
      <c r="L9" s="20">
        <v>1384</v>
      </c>
      <c r="M9" s="20"/>
      <c r="O9" s="8">
        <f t="shared" si="5"/>
        <v>45018</v>
      </c>
      <c r="P9" s="2">
        <f t="shared" si="11"/>
        <v>10143</v>
      </c>
      <c r="Q9" s="2">
        <f t="shared" si="6"/>
        <v>23667</v>
      </c>
      <c r="R9" s="2">
        <f t="shared" si="7"/>
        <v>33810</v>
      </c>
      <c r="S9" s="2">
        <f t="shared" si="8"/>
        <v>23325</v>
      </c>
      <c r="T9" s="2">
        <f t="shared" si="9"/>
        <v>10485</v>
      </c>
      <c r="U9" s="2">
        <f t="shared" si="10"/>
        <v>6600</v>
      </c>
    </row>
    <row r="10" spans="1:21" x14ac:dyDescent="0.35">
      <c r="A10" s="21">
        <v>45020</v>
      </c>
      <c r="B10" s="20">
        <f t="shared" si="12"/>
        <v>7889.7</v>
      </c>
      <c r="C10" s="20">
        <f t="shared" si="13"/>
        <v>12340.3</v>
      </c>
      <c r="D10" s="20">
        <f t="shared" si="14"/>
        <v>20230</v>
      </c>
      <c r="E10" s="20">
        <v>9480</v>
      </c>
      <c r="F10" s="20">
        <v>10750</v>
      </c>
      <c r="G10" s="20">
        <v>2900</v>
      </c>
      <c r="H10" s="19">
        <f t="shared" si="15"/>
        <v>0.63934426229508201</v>
      </c>
      <c r="I10" s="18">
        <f>SUM($D$2:D10)-SUM($G$2:G10)</f>
        <v>173089</v>
      </c>
      <c r="J10" s="34"/>
      <c r="K10" s="20">
        <f t="shared" si="4"/>
        <v>3830</v>
      </c>
      <c r="L10" s="20">
        <v>540</v>
      </c>
      <c r="M10" s="20">
        <v>3290</v>
      </c>
      <c r="O10" s="3" t="s">
        <v>4</v>
      </c>
      <c r="P10" s="3">
        <f>SUM(P3:P9)</f>
        <v>53166.9</v>
      </c>
      <c r="Q10" s="3">
        <f>SUM(Q2:Q9)</f>
        <v>124056.1</v>
      </c>
      <c r="R10" s="3">
        <f>SUM(R2:R9)</f>
        <v>177223</v>
      </c>
      <c r="S10" s="3">
        <f>SUM(S2:S9)</f>
        <v>80610</v>
      </c>
      <c r="T10" s="3">
        <f>SUM(T2:T9)</f>
        <v>96613</v>
      </c>
      <c r="U10" s="3">
        <f>SUM(U2:U9)</f>
        <v>26120</v>
      </c>
    </row>
    <row r="11" spans="1:21" x14ac:dyDescent="0.35">
      <c r="A11" s="21">
        <v>45021</v>
      </c>
      <c r="B11" s="20">
        <f t="shared" si="12"/>
        <v>12628.2</v>
      </c>
      <c r="C11" s="20">
        <f t="shared" si="13"/>
        <v>19751.8</v>
      </c>
      <c r="D11" s="20">
        <f t="shared" si="14"/>
        <v>32380</v>
      </c>
      <c r="E11" s="20">
        <v>17260</v>
      </c>
      <c r="F11" s="20">
        <v>15120</v>
      </c>
      <c r="G11" s="20">
        <v>9820</v>
      </c>
      <c r="H11" s="19">
        <f t="shared" si="15"/>
        <v>0.63934426229508201</v>
      </c>
      <c r="I11" s="18">
        <f>SUM($D$2:D11)-SUM($G$2:G11)</f>
        <v>195649</v>
      </c>
      <c r="J11" s="34"/>
      <c r="K11" s="20">
        <f t="shared" si="4"/>
        <v>0</v>
      </c>
      <c r="L11" s="20"/>
      <c r="M11" s="20"/>
      <c r="O11" s="3" t="s">
        <v>0</v>
      </c>
      <c r="P11" s="3">
        <f>P10/3</f>
        <v>17722.3</v>
      </c>
      <c r="Q11" s="3"/>
      <c r="R11" s="3"/>
      <c r="S11" s="2"/>
      <c r="T11" s="2"/>
      <c r="U11" s="2"/>
    </row>
    <row r="12" spans="1:21" x14ac:dyDescent="0.35">
      <c r="A12" s="21">
        <v>45022</v>
      </c>
      <c r="B12" s="20">
        <f t="shared" si="12"/>
        <v>1571.7</v>
      </c>
      <c r="C12" s="20">
        <f t="shared" si="13"/>
        <v>2458.3000000000002</v>
      </c>
      <c r="D12" s="20">
        <f t="shared" si="14"/>
        <v>4030</v>
      </c>
      <c r="E12" s="20">
        <v>2650</v>
      </c>
      <c r="F12" s="20">
        <v>1380</v>
      </c>
      <c r="G12" s="20">
        <v>200</v>
      </c>
      <c r="H12" s="19">
        <f t="shared" si="15"/>
        <v>0.6393442622950819</v>
      </c>
      <c r="I12" s="18">
        <f>SUM($D$2:D12)-SUM($G$2:G12)</f>
        <v>199479</v>
      </c>
      <c r="J12" s="34"/>
      <c r="K12" s="20">
        <f t="shared" si="4"/>
        <v>0</v>
      </c>
      <c r="L12" s="20"/>
      <c r="M12" s="20"/>
    </row>
    <row r="13" spans="1:21" x14ac:dyDescent="0.35">
      <c r="A13" s="21">
        <v>45023</v>
      </c>
      <c r="B13" s="20">
        <f t="shared" si="12"/>
        <v>5326.62</v>
      </c>
      <c r="C13" s="20">
        <f t="shared" si="13"/>
        <v>8331.380000000001</v>
      </c>
      <c r="D13" s="20">
        <f t="shared" si="14"/>
        <v>13658</v>
      </c>
      <c r="E13" s="20">
        <v>9890</v>
      </c>
      <c r="F13" s="20">
        <v>3768</v>
      </c>
      <c r="G13" s="20">
        <v>660</v>
      </c>
      <c r="H13" s="19">
        <f t="shared" si="15"/>
        <v>0.6393442622950819</v>
      </c>
      <c r="I13" s="18">
        <f>SUM($D$2:D13)-SUM($G$2:G13)</f>
        <v>212477</v>
      </c>
      <c r="J13" s="34"/>
      <c r="K13" s="20">
        <f t="shared" si="4"/>
        <v>0</v>
      </c>
      <c r="L13" s="20"/>
      <c r="M13" s="20"/>
      <c r="O13" s="7" t="s">
        <v>7</v>
      </c>
      <c r="P13" s="6" t="s">
        <v>6</v>
      </c>
      <c r="Q13" s="6" t="s">
        <v>5</v>
      </c>
      <c r="R13" s="6" t="s">
        <v>4</v>
      </c>
      <c r="S13" s="6" t="s">
        <v>3</v>
      </c>
      <c r="T13" s="6" t="s">
        <v>2</v>
      </c>
      <c r="U13" s="6" t="s">
        <v>1</v>
      </c>
    </row>
    <row r="14" spans="1:21" x14ac:dyDescent="0.35">
      <c r="A14" s="21">
        <v>45024</v>
      </c>
      <c r="B14" s="20">
        <f t="shared" si="12"/>
        <v>5508.75</v>
      </c>
      <c r="C14" s="20">
        <f t="shared" si="13"/>
        <v>8616.25</v>
      </c>
      <c r="D14" s="20">
        <f t="shared" si="14"/>
        <v>14125</v>
      </c>
      <c r="E14" s="20">
        <v>8225</v>
      </c>
      <c r="F14" s="20">
        <v>5900</v>
      </c>
      <c r="G14" s="20">
        <v>3700</v>
      </c>
      <c r="H14" s="19">
        <f t="shared" si="15"/>
        <v>0.63934426229508201</v>
      </c>
      <c r="I14" s="18">
        <f>SUM($D$2:D14)-SUM($G$2:G14)</f>
        <v>222902</v>
      </c>
      <c r="J14" s="34"/>
      <c r="K14" s="20">
        <f t="shared" si="4"/>
        <v>0</v>
      </c>
      <c r="L14" s="20"/>
      <c r="M14" s="20"/>
      <c r="O14" s="8">
        <f t="shared" ref="O14:O20" si="16">A9</f>
        <v>45019</v>
      </c>
      <c r="P14" s="2">
        <f>R14*0.3</f>
        <v>3916.7999999999997</v>
      </c>
      <c r="Q14" s="2">
        <f t="shared" ref="Q14:Q20" si="17">R14-P14</f>
        <v>9139.2000000000007</v>
      </c>
      <c r="R14" s="2">
        <f t="shared" ref="R14:R20" si="18">S14+T14</f>
        <v>13056</v>
      </c>
      <c r="S14" s="2">
        <f t="shared" ref="S14:S20" si="19">VLOOKUP(O14,$A$1:$H$37,5,0)</f>
        <v>8572</v>
      </c>
      <c r="T14" s="2">
        <f t="shared" ref="T14:T20" si="20">VLOOKUP(O14,$A$1:$H$37,6,0)</f>
        <v>4484</v>
      </c>
      <c r="U14" s="2">
        <f t="shared" ref="U14:U20" si="21">VLOOKUP(O14,$A$1:$H$37,7,0)</f>
        <v>8400</v>
      </c>
    </row>
    <row r="15" spans="1:21" x14ac:dyDescent="0.35">
      <c r="A15" s="21">
        <v>45025</v>
      </c>
      <c r="B15" s="20">
        <f t="shared" si="12"/>
        <v>6084</v>
      </c>
      <c r="C15" s="20">
        <f t="shared" si="13"/>
        <v>9516</v>
      </c>
      <c r="D15" s="20">
        <f t="shared" si="14"/>
        <v>15600</v>
      </c>
      <c r="E15" s="20">
        <v>13820</v>
      </c>
      <c r="F15" s="20">
        <v>1780</v>
      </c>
      <c r="G15" s="20">
        <v>100</v>
      </c>
      <c r="H15" s="19">
        <f t="shared" si="15"/>
        <v>0.63934426229508201</v>
      </c>
      <c r="I15" s="18">
        <f>SUM($D$2:D15)-SUM($G$2:G15)</f>
        <v>238402</v>
      </c>
      <c r="J15" s="34"/>
      <c r="K15" s="20">
        <f t="shared" si="4"/>
        <v>0</v>
      </c>
      <c r="L15" s="20"/>
      <c r="M15" s="20"/>
      <c r="O15" s="9">
        <f t="shared" si="16"/>
        <v>45020</v>
      </c>
      <c r="P15" s="4">
        <f>R15*0.3</f>
        <v>6069</v>
      </c>
      <c r="Q15" s="4">
        <f t="shared" si="17"/>
        <v>14161</v>
      </c>
      <c r="R15" s="4">
        <f t="shared" si="18"/>
        <v>20230</v>
      </c>
      <c r="S15" s="4">
        <f t="shared" si="19"/>
        <v>9480</v>
      </c>
      <c r="T15" s="4">
        <f t="shared" si="20"/>
        <v>10750</v>
      </c>
      <c r="U15" s="4">
        <f t="shared" si="21"/>
        <v>2900</v>
      </c>
    </row>
    <row r="16" spans="1:21" x14ac:dyDescent="0.35">
      <c r="A16" s="21">
        <v>45026</v>
      </c>
      <c r="B16" s="20">
        <f t="shared" si="12"/>
        <v>9059.7000000000007</v>
      </c>
      <c r="C16" s="20">
        <f t="shared" si="13"/>
        <v>14170.3</v>
      </c>
      <c r="D16" s="20">
        <f t="shared" si="14"/>
        <v>23230</v>
      </c>
      <c r="E16" s="20">
        <v>4280</v>
      </c>
      <c r="F16" s="20">
        <v>18950</v>
      </c>
      <c r="G16" s="20">
        <v>100</v>
      </c>
      <c r="H16" s="19">
        <f t="shared" si="15"/>
        <v>0.63934426229508201</v>
      </c>
      <c r="I16" s="18">
        <f>SUM($D$2:D16)-SUM($G$2:G16)</f>
        <v>261532</v>
      </c>
      <c r="J16" s="34"/>
      <c r="K16" s="20">
        <f t="shared" si="4"/>
        <v>0</v>
      </c>
      <c r="L16" s="20"/>
      <c r="M16" s="20"/>
      <c r="O16" s="8">
        <f t="shared" si="16"/>
        <v>45021</v>
      </c>
      <c r="P16" s="2">
        <f t="shared" ref="P16:P20" si="22">R16*0.3</f>
        <v>9714</v>
      </c>
      <c r="Q16" s="2">
        <f t="shared" si="17"/>
        <v>22666</v>
      </c>
      <c r="R16" s="2">
        <f t="shared" si="18"/>
        <v>32380</v>
      </c>
      <c r="S16" s="2">
        <f t="shared" si="19"/>
        <v>17260</v>
      </c>
      <c r="T16" s="2">
        <f t="shared" si="20"/>
        <v>15120</v>
      </c>
      <c r="U16" s="2">
        <f t="shared" si="21"/>
        <v>9820</v>
      </c>
    </row>
    <row r="17" spans="1:21" x14ac:dyDescent="0.35">
      <c r="A17" s="21">
        <v>45027</v>
      </c>
      <c r="B17" s="20">
        <f t="shared" si="12"/>
        <v>6501.3</v>
      </c>
      <c r="C17" s="20">
        <f t="shared" si="13"/>
        <v>10168.700000000001</v>
      </c>
      <c r="D17" s="20">
        <f t="shared" si="14"/>
        <v>16670</v>
      </c>
      <c r="E17" s="20">
        <v>6000</v>
      </c>
      <c r="F17" s="20">
        <v>10670</v>
      </c>
      <c r="G17" s="20">
        <v>27100</v>
      </c>
      <c r="H17" s="19">
        <f t="shared" si="15"/>
        <v>0.6393442622950819</v>
      </c>
      <c r="I17" s="18">
        <f>SUM($D$2:D17)-SUM($G$2:G17)</f>
        <v>251102</v>
      </c>
      <c r="J17" s="34"/>
      <c r="K17" s="20">
        <f t="shared" si="4"/>
        <v>0</v>
      </c>
      <c r="L17" s="20"/>
      <c r="M17" s="20"/>
      <c r="O17" s="9">
        <f t="shared" si="16"/>
        <v>45022</v>
      </c>
      <c r="P17" s="4">
        <f t="shared" si="22"/>
        <v>1209</v>
      </c>
      <c r="Q17" s="4">
        <f t="shared" si="17"/>
        <v>2821</v>
      </c>
      <c r="R17" s="4">
        <f t="shared" si="18"/>
        <v>4030</v>
      </c>
      <c r="S17" s="4">
        <f t="shared" si="19"/>
        <v>2650</v>
      </c>
      <c r="T17" s="4">
        <f t="shared" si="20"/>
        <v>1380</v>
      </c>
      <c r="U17" s="4">
        <f t="shared" si="21"/>
        <v>200</v>
      </c>
    </row>
    <row r="18" spans="1:21" x14ac:dyDescent="0.35">
      <c r="A18" s="21">
        <v>45028</v>
      </c>
      <c r="B18" s="20">
        <f t="shared" si="12"/>
        <v>13263.9</v>
      </c>
      <c r="C18" s="20">
        <f t="shared" si="13"/>
        <v>20746.099999999999</v>
      </c>
      <c r="D18" s="20">
        <f t="shared" si="14"/>
        <v>34010</v>
      </c>
      <c r="E18" s="20">
        <v>18710</v>
      </c>
      <c r="F18" s="20">
        <v>15300</v>
      </c>
      <c r="G18" s="20">
        <v>15700</v>
      </c>
      <c r="H18" s="19">
        <f t="shared" si="15"/>
        <v>0.63934426229508201</v>
      </c>
      <c r="I18" s="18">
        <f>SUM($D$2:D18)-SUM($G$2:G18)</f>
        <v>269412</v>
      </c>
      <c r="J18" s="34"/>
      <c r="K18" s="20">
        <f t="shared" si="4"/>
        <v>0</v>
      </c>
      <c r="L18" s="20"/>
      <c r="M18" s="20"/>
      <c r="O18" s="8">
        <f t="shared" si="16"/>
        <v>45023</v>
      </c>
      <c r="P18" s="2">
        <f t="shared" si="22"/>
        <v>4097.3999999999996</v>
      </c>
      <c r="Q18" s="2">
        <f t="shared" si="17"/>
        <v>9560.6</v>
      </c>
      <c r="R18" s="2">
        <f t="shared" si="18"/>
        <v>13658</v>
      </c>
      <c r="S18" s="2">
        <f t="shared" si="19"/>
        <v>9890</v>
      </c>
      <c r="T18" s="2">
        <f t="shared" si="20"/>
        <v>3768</v>
      </c>
      <c r="U18" s="2">
        <f t="shared" si="21"/>
        <v>660</v>
      </c>
    </row>
    <row r="19" spans="1:21" x14ac:dyDescent="0.35">
      <c r="A19" s="21">
        <v>45029</v>
      </c>
      <c r="B19" s="20">
        <f t="shared" si="12"/>
        <v>4219.8</v>
      </c>
      <c r="C19" s="20">
        <f t="shared" si="13"/>
        <v>6600.2</v>
      </c>
      <c r="D19" s="20">
        <f t="shared" si="14"/>
        <v>10820</v>
      </c>
      <c r="E19" s="20">
        <v>9050</v>
      </c>
      <c r="F19" s="20">
        <v>1770</v>
      </c>
      <c r="G19" s="20">
        <v>3500</v>
      </c>
      <c r="H19" s="19">
        <f t="shared" si="15"/>
        <v>0.63934426229508201</v>
      </c>
      <c r="I19" s="18">
        <f>SUM($D$2:D19)-SUM($G$2:G19)</f>
        <v>276732</v>
      </c>
      <c r="J19" s="34"/>
      <c r="K19" s="20">
        <f t="shared" si="4"/>
        <v>0</v>
      </c>
      <c r="L19" s="20"/>
      <c r="M19" s="20"/>
      <c r="O19" s="9">
        <f t="shared" si="16"/>
        <v>45024</v>
      </c>
      <c r="P19" s="4">
        <f t="shared" si="22"/>
        <v>4237.5</v>
      </c>
      <c r="Q19" s="4">
        <f t="shared" si="17"/>
        <v>9887.5</v>
      </c>
      <c r="R19" s="4">
        <f t="shared" si="18"/>
        <v>14125</v>
      </c>
      <c r="S19" s="4">
        <f t="shared" si="19"/>
        <v>8225</v>
      </c>
      <c r="T19" s="4">
        <f t="shared" si="20"/>
        <v>5900</v>
      </c>
      <c r="U19" s="4">
        <f t="shared" si="21"/>
        <v>3700</v>
      </c>
    </row>
    <row r="20" spans="1:21" x14ac:dyDescent="0.35">
      <c r="A20" s="21">
        <v>45030</v>
      </c>
      <c r="B20" s="20">
        <f t="shared" si="12"/>
        <v>6093.75</v>
      </c>
      <c r="C20" s="20">
        <f t="shared" si="13"/>
        <v>9531.25</v>
      </c>
      <c r="D20" s="20">
        <f t="shared" si="14"/>
        <v>15625</v>
      </c>
      <c r="E20" s="20">
        <v>11800</v>
      </c>
      <c r="F20" s="20">
        <v>3825</v>
      </c>
      <c r="G20" s="20">
        <v>1090</v>
      </c>
      <c r="H20" s="19">
        <f t="shared" si="15"/>
        <v>0.63934426229508201</v>
      </c>
      <c r="I20" s="18">
        <f>SUM($D$2:D20)-SUM($G$2:G20)</f>
        <v>291267</v>
      </c>
      <c r="J20" s="34"/>
      <c r="K20" s="20">
        <f t="shared" si="4"/>
        <v>0</v>
      </c>
      <c r="L20" s="20"/>
      <c r="M20" s="20"/>
      <c r="O20" s="8">
        <f t="shared" si="16"/>
        <v>45025</v>
      </c>
      <c r="P20" s="2">
        <f t="shared" si="22"/>
        <v>4680</v>
      </c>
      <c r="Q20" s="2">
        <f t="shared" si="17"/>
        <v>10920</v>
      </c>
      <c r="R20" s="2">
        <f t="shared" si="18"/>
        <v>15600</v>
      </c>
      <c r="S20" s="2">
        <f t="shared" si="19"/>
        <v>13820</v>
      </c>
      <c r="T20" s="2">
        <f t="shared" si="20"/>
        <v>1780</v>
      </c>
      <c r="U20" s="2">
        <f t="shared" si="21"/>
        <v>100</v>
      </c>
    </row>
    <row r="21" spans="1:21" x14ac:dyDescent="0.35">
      <c r="A21" s="21">
        <v>45031</v>
      </c>
      <c r="B21" s="20">
        <f t="shared" si="12"/>
        <v>9941.1</v>
      </c>
      <c r="C21" s="20">
        <f t="shared" si="13"/>
        <v>15548.9</v>
      </c>
      <c r="D21" s="20">
        <f t="shared" si="14"/>
        <v>25490</v>
      </c>
      <c r="E21" s="20">
        <v>5820</v>
      </c>
      <c r="F21" s="20">
        <v>19670</v>
      </c>
      <c r="G21" s="20">
        <v>52600</v>
      </c>
      <c r="H21" s="19">
        <f t="shared" si="15"/>
        <v>0.63934426229508201</v>
      </c>
      <c r="I21" s="18">
        <f>SUM($D$2:D21)-SUM($G$2:G21)</f>
        <v>264157</v>
      </c>
      <c r="J21" s="34"/>
      <c r="K21" s="20">
        <f t="shared" si="4"/>
        <v>0</v>
      </c>
      <c r="L21" s="20"/>
      <c r="M21" s="20"/>
      <c r="O21" s="3" t="s">
        <v>4</v>
      </c>
      <c r="P21" s="3">
        <f t="shared" ref="P21:U21" si="23">SUM(P14:P20)</f>
        <v>33923.699999999997</v>
      </c>
      <c r="Q21" s="3">
        <f t="shared" si="23"/>
        <v>79155.299999999988</v>
      </c>
      <c r="R21" s="3">
        <f t="shared" si="23"/>
        <v>113079</v>
      </c>
      <c r="S21" s="3">
        <f t="shared" si="23"/>
        <v>69897</v>
      </c>
      <c r="T21" s="3">
        <f t="shared" si="23"/>
        <v>43182</v>
      </c>
      <c r="U21" s="3">
        <f t="shared" si="23"/>
        <v>25780</v>
      </c>
    </row>
    <row r="22" spans="1:21" x14ac:dyDescent="0.35">
      <c r="A22" s="21">
        <v>45032</v>
      </c>
      <c r="B22" s="20">
        <f t="shared" si="12"/>
        <v>12316.2</v>
      </c>
      <c r="C22" s="20">
        <f t="shared" si="13"/>
        <v>19263.8</v>
      </c>
      <c r="D22" s="20">
        <f t="shared" si="14"/>
        <v>31580</v>
      </c>
      <c r="E22" s="20">
        <v>17875</v>
      </c>
      <c r="F22" s="20">
        <v>13705</v>
      </c>
      <c r="G22" s="20">
        <v>900</v>
      </c>
      <c r="H22" s="19">
        <f t="shared" si="15"/>
        <v>0.63934426229508201</v>
      </c>
      <c r="I22" s="18">
        <f>SUM($D$2:D22)-SUM($G$2:G22)</f>
        <v>294837</v>
      </c>
      <c r="J22" s="34"/>
      <c r="K22" s="20">
        <f t="shared" si="4"/>
        <v>0</v>
      </c>
      <c r="L22" s="20"/>
      <c r="M22" s="20"/>
      <c r="O22" s="3" t="s">
        <v>0</v>
      </c>
      <c r="P22" s="3">
        <f>P21/3</f>
        <v>11307.9</v>
      </c>
      <c r="Q22" s="3">
        <v>12750</v>
      </c>
      <c r="R22" s="3">
        <f>Q22+P22</f>
        <v>24057.9</v>
      </c>
      <c r="S22" s="2"/>
      <c r="T22" s="2"/>
      <c r="U22" s="2"/>
    </row>
    <row r="23" spans="1:21" x14ac:dyDescent="0.35">
      <c r="A23" s="21">
        <v>45033</v>
      </c>
      <c r="B23" s="20">
        <f t="shared" si="12"/>
        <v>12000.300000000001</v>
      </c>
      <c r="C23" s="20">
        <f t="shared" si="13"/>
        <v>18769.699999999997</v>
      </c>
      <c r="D23" s="20">
        <f t="shared" si="14"/>
        <v>30770</v>
      </c>
      <c r="E23" s="20">
        <v>10390</v>
      </c>
      <c r="F23" s="20">
        <v>20380</v>
      </c>
      <c r="G23" s="20">
        <v>4000</v>
      </c>
      <c r="H23" s="19">
        <f t="shared" si="15"/>
        <v>0.63934426229508212</v>
      </c>
      <c r="I23" s="18">
        <f>SUM($D$2:D23)-SUM($G$2:G23)</f>
        <v>321607</v>
      </c>
      <c r="J23" s="34"/>
      <c r="K23" s="20">
        <f t="shared" si="4"/>
        <v>0</v>
      </c>
      <c r="L23" s="20"/>
      <c r="M23" s="20"/>
      <c r="Q23" t="s">
        <v>19</v>
      </c>
    </row>
    <row r="24" spans="1:21" x14ac:dyDescent="0.35">
      <c r="A24" s="21">
        <v>45034</v>
      </c>
      <c r="B24" s="20">
        <f t="shared" si="12"/>
        <v>6688.5</v>
      </c>
      <c r="C24" s="20">
        <f t="shared" si="13"/>
        <v>10461.5</v>
      </c>
      <c r="D24" s="20">
        <f t="shared" si="14"/>
        <v>17150</v>
      </c>
      <c r="E24" s="20">
        <v>9430</v>
      </c>
      <c r="F24" s="20">
        <v>7720</v>
      </c>
      <c r="G24" s="20">
        <v>2300</v>
      </c>
      <c r="H24" s="19">
        <f t="shared" si="15"/>
        <v>0.63934426229508201</v>
      </c>
      <c r="I24" s="18">
        <f>SUM($D$2:D24)-SUM($G$2:G24)</f>
        <v>336457</v>
      </c>
      <c r="J24" s="34"/>
      <c r="K24" s="20">
        <f t="shared" si="4"/>
        <v>0</v>
      </c>
      <c r="L24" s="20"/>
      <c r="M24" s="20"/>
      <c r="O24" s="7" t="s">
        <v>7</v>
      </c>
      <c r="P24" s="6" t="s">
        <v>6</v>
      </c>
      <c r="Q24" s="6" t="s">
        <v>5</v>
      </c>
      <c r="R24" s="6" t="s">
        <v>4</v>
      </c>
      <c r="S24" s="6" t="s">
        <v>3</v>
      </c>
      <c r="T24" s="6" t="s">
        <v>2</v>
      </c>
      <c r="U24" s="6" t="s">
        <v>1</v>
      </c>
    </row>
    <row r="25" spans="1:21" x14ac:dyDescent="0.35">
      <c r="A25" s="21">
        <v>45035</v>
      </c>
      <c r="B25" s="20">
        <f t="shared" si="12"/>
        <v>8225.1</v>
      </c>
      <c r="C25" s="20">
        <f t="shared" si="13"/>
        <v>12864.9</v>
      </c>
      <c r="D25" s="20">
        <f t="shared" si="14"/>
        <v>21090</v>
      </c>
      <c r="E25" s="20">
        <v>5190</v>
      </c>
      <c r="F25" s="20">
        <v>15900</v>
      </c>
      <c r="G25" s="20">
        <v>40</v>
      </c>
      <c r="H25" s="19">
        <f t="shared" si="15"/>
        <v>0.63934426229508201</v>
      </c>
      <c r="I25" s="18">
        <f>SUM($D$2:D25)-SUM($G$2:G25)</f>
        <v>357507</v>
      </c>
      <c r="J25" s="34"/>
      <c r="K25" s="20">
        <f t="shared" si="4"/>
        <v>0</v>
      </c>
      <c r="L25" s="20"/>
      <c r="M25" s="20"/>
      <c r="O25" s="8">
        <f t="shared" ref="O25:O31" si="24">A16</f>
        <v>45026</v>
      </c>
      <c r="P25" s="2">
        <f>R25*0.3</f>
        <v>6969</v>
      </c>
      <c r="Q25" s="2">
        <f t="shared" ref="Q25:Q27" si="25">R25-P25</f>
        <v>16261</v>
      </c>
      <c r="R25" s="2">
        <f t="shared" ref="R25:R31" si="26">S25+T25</f>
        <v>23230</v>
      </c>
      <c r="S25" s="2">
        <f t="shared" ref="S25:S31" si="27">VLOOKUP(O25,$A$1:$H$37,5,0)</f>
        <v>4280</v>
      </c>
      <c r="T25" s="2">
        <f t="shared" ref="T25:T31" si="28">VLOOKUP(O25,$A$1:$H$37,6,0)</f>
        <v>18950</v>
      </c>
      <c r="U25" s="2">
        <f t="shared" ref="U25:U31" si="29">VLOOKUP(O25,$A$1:$H$37,7,0)</f>
        <v>100</v>
      </c>
    </row>
    <row r="26" spans="1:21" x14ac:dyDescent="0.35">
      <c r="A26" s="21">
        <v>45036</v>
      </c>
      <c r="B26" s="20">
        <f t="shared" si="12"/>
        <v>10830.300000000001</v>
      </c>
      <c r="C26" s="20">
        <f t="shared" si="13"/>
        <v>16939.699999999997</v>
      </c>
      <c r="D26" s="20">
        <f t="shared" si="14"/>
        <v>27770</v>
      </c>
      <c r="E26" s="20">
        <f>Table23453456879111215141617181920212223242526272834[[#This Row],[Expense]]+21540</f>
        <v>27550</v>
      </c>
      <c r="F26" s="20">
        <v>220</v>
      </c>
      <c r="G26" s="20">
        <v>6010</v>
      </c>
      <c r="H26" s="19">
        <f t="shared" si="15"/>
        <v>0.63934426229508212</v>
      </c>
      <c r="I26" s="18">
        <f>SUM($D$2:D26)-SUM($G$2:G26)</f>
        <v>379267</v>
      </c>
      <c r="J26" s="34"/>
      <c r="K26" s="20">
        <f t="shared" si="4"/>
        <v>0</v>
      </c>
      <c r="L26" s="20"/>
      <c r="M26" s="20"/>
      <c r="O26" s="9">
        <f t="shared" si="24"/>
        <v>45027</v>
      </c>
      <c r="P26" s="4">
        <f>R26*0.3</f>
        <v>5001</v>
      </c>
      <c r="Q26" s="4">
        <f t="shared" si="25"/>
        <v>11669</v>
      </c>
      <c r="R26" s="4">
        <f t="shared" si="26"/>
        <v>16670</v>
      </c>
      <c r="S26" s="4">
        <f t="shared" si="27"/>
        <v>6000</v>
      </c>
      <c r="T26" s="4">
        <f t="shared" si="28"/>
        <v>10670</v>
      </c>
      <c r="U26" s="4">
        <f t="shared" si="29"/>
        <v>27100</v>
      </c>
    </row>
    <row r="27" spans="1:21" x14ac:dyDescent="0.35">
      <c r="A27" s="21">
        <v>45037</v>
      </c>
      <c r="B27" s="20">
        <f t="shared" si="12"/>
        <v>1661.4</v>
      </c>
      <c r="C27" s="20">
        <f t="shared" si="13"/>
        <v>2598.6</v>
      </c>
      <c r="D27" s="20">
        <f t="shared" si="14"/>
        <v>4260</v>
      </c>
      <c r="E27" s="20">
        <f>Table23453456879111215141617181920212223242526272834[[#This Row],[Expense]]+3957</f>
        <v>4080</v>
      </c>
      <c r="F27" s="20">
        <v>180</v>
      </c>
      <c r="G27" s="20">
        <v>123</v>
      </c>
      <c r="H27" s="19">
        <f t="shared" si="15"/>
        <v>0.63934426229508201</v>
      </c>
      <c r="I27" s="18">
        <f>SUM($D$2:D27)-SUM($G$2:G27)</f>
        <v>383404</v>
      </c>
      <c r="J27" s="34"/>
      <c r="K27" s="20">
        <f t="shared" si="4"/>
        <v>0</v>
      </c>
      <c r="L27" s="20"/>
      <c r="M27" s="20"/>
      <c r="O27" s="8">
        <f t="shared" si="24"/>
        <v>45028</v>
      </c>
      <c r="P27" s="2">
        <f t="shared" ref="P27:P28" si="30">R27*0.3</f>
        <v>10203</v>
      </c>
      <c r="Q27" s="2">
        <f t="shared" si="25"/>
        <v>23807</v>
      </c>
      <c r="R27" s="2">
        <f t="shared" si="26"/>
        <v>34010</v>
      </c>
      <c r="S27" s="2">
        <f t="shared" si="27"/>
        <v>18710</v>
      </c>
      <c r="T27" s="2">
        <f t="shared" si="28"/>
        <v>15300</v>
      </c>
      <c r="U27" s="2">
        <f t="shared" si="29"/>
        <v>15700</v>
      </c>
    </row>
    <row r="28" spans="1:21" x14ac:dyDescent="0.35">
      <c r="A28" s="21">
        <v>45038</v>
      </c>
      <c r="B28" s="20">
        <f t="shared" si="12"/>
        <v>4740.0600000000004</v>
      </c>
      <c r="C28" s="20">
        <f t="shared" si="13"/>
        <v>7413.94</v>
      </c>
      <c r="D28" s="20">
        <f t="shared" si="14"/>
        <v>12154</v>
      </c>
      <c r="E28" s="20">
        <f>Table23453456879111215141617181920212223242526272834[[#This Row],[Expense]]+5912</f>
        <v>6044</v>
      </c>
      <c r="F28" s="20">
        <v>6110</v>
      </c>
      <c r="G28" s="20">
        <v>132</v>
      </c>
      <c r="H28" s="19">
        <f t="shared" si="15"/>
        <v>0.63934426229508201</v>
      </c>
      <c r="I28" s="18">
        <f>SUM($D$2:D28)-SUM($G$2:G28)</f>
        <v>395426</v>
      </c>
      <c r="J28" s="34"/>
      <c r="K28" s="20">
        <f t="shared" si="4"/>
        <v>0</v>
      </c>
      <c r="L28" s="20"/>
      <c r="M28" s="20"/>
      <c r="O28" s="9">
        <f t="shared" si="24"/>
        <v>45029</v>
      </c>
      <c r="P28" s="4">
        <f t="shared" si="30"/>
        <v>3246</v>
      </c>
      <c r="Q28" s="4">
        <f t="shared" ref="Q28:Q31" si="31">R28-P28</f>
        <v>7574</v>
      </c>
      <c r="R28" s="4">
        <f t="shared" si="26"/>
        <v>10820</v>
      </c>
      <c r="S28" s="4">
        <f t="shared" si="27"/>
        <v>9050</v>
      </c>
      <c r="T28" s="4">
        <f t="shared" si="28"/>
        <v>1770</v>
      </c>
      <c r="U28" s="4">
        <f t="shared" si="29"/>
        <v>3500</v>
      </c>
    </row>
    <row r="29" spans="1:21" x14ac:dyDescent="0.35">
      <c r="A29" s="21">
        <v>45039</v>
      </c>
      <c r="B29" s="20">
        <f t="shared" si="12"/>
        <v>12082.2</v>
      </c>
      <c r="C29" s="20">
        <f t="shared" si="13"/>
        <v>18897.8</v>
      </c>
      <c r="D29" s="20">
        <f t="shared" si="14"/>
        <v>30980</v>
      </c>
      <c r="E29" s="20">
        <f>Table23453456879111215141617181920212223242526272834[[#This Row],[Expense]]+28350</f>
        <v>28420</v>
      </c>
      <c r="F29" s="20">
        <v>2560</v>
      </c>
      <c r="G29" s="20">
        <v>70</v>
      </c>
      <c r="H29" s="19">
        <f t="shared" si="15"/>
        <v>0.63934426229508201</v>
      </c>
      <c r="I29" s="18">
        <f>SUM($D$2:D29)-SUM($G$2:G29)</f>
        <v>426336</v>
      </c>
      <c r="J29" s="34"/>
      <c r="K29" s="20">
        <f t="shared" si="4"/>
        <v>0</v>
      </c>
      <c r="L29" s="20"/>
      <c r="M29" s="20"/>
      <c r="O29" s="8">
        <f t="shared" si="24"/>
        <v>45030</v>
      </c>
      <c r="P29" s="2">
        <f t="shared" ref="P29:P31" si="32">R29*0.3</f>
        <v>4687.5</v>
      </c>
      <c r="Q29" s="2">
        <f t="shared" si="31"/>
        <v>10937.5</v>
      </c>
      <c r="R29" s="2">
        <f t="shared" si="26"/>
        <v>15625</v>
      </c>
      <c r="S29" s="2">
        <f t="shared" si="27"/>
        <v>11800</v>
      </c>
      <c r="T29" s="2">
        <f t="shared" si="28"/>
        <v>3825</v>
      </c>
      <c r="U29" s="2">
        <f t="shared" si="29"/>
        <v>1090</v>
      </c>
    </row>
    <row r="30" spans="1:21" x14ac:dyDescent="0.35">
      <c r="A30" s="21">
        <v>45040</v>
      </c>
      <c r="B30" s="20">
        <f t="shared" si="12"/>
        <v>1996.8000000000002</v>
      </c>
      <c r="C30" s="20">
        <f t="shared" si="13"/>
        <v>3123.2</v>
      </c>
      <c r="D30" s="20">
        <f t="shared" si="14"/>
        <v>5120</v>
      </c>
      <c r="E30" s="20">
        <f>4088+Table23453456879111215141617181920212223242526272834[[#This Row],[Expense]]</f>
        <v>4290</v>
      </c>
      <c r="F30" s="20">
        <v>830</v>
      </c>
      <c r="G30" s="20">
        <v>202</v>
      </c>
      <c r="H30" s="19">
        <f t="shared" si="15"/>
        <v>0.63934426229508201</v>
      </c>
      <c r="I30" s="18">
        <f>SUM($D$2:D30)-SUM($G$2:G30)</f>
        <v>431254</v>
      </c>
      <c r="J30" s="34"/>
      <c r="K30" s="20">
        <f t="shared" si="4"/>
        <v>0</v>
      </c>
      <c r="L30" s="20"/>
      <c r="M30" s="20"/>
      <c r="O30" s="9">
        <f t="shared" si="24"/>
        <v>45031</v>
      </c>
      <c r="P30" s="4">
        <f t="shared" si="32"/>
        <v>7647</v>
      </c>
      <c r="Q30" s="4">
        <f t="shared" si="31"/>
        <v>17843</v>
      </c>
      <c r="R30" s="4">
        <f t="shared" si="26"/>
        <v>25490</v>
      </c>
      <c r="S30" s="4">
        <f t="shared" si="27"/>
        <v>5820</v>
      </c>
      <c r="T30" s="4">
        <f t="shared" si="28"/>
        <v>19670</v>
      </c>
      <c r="U30" s="4">
        <f t="shared" si="29"/>
        <v>52600</v>
      </c>
    </row>
    <row r="31" spans="1:21" x14ac:dyDescent="0.35">
      <c r="A31" s="21">
        <v>45041</v>
      </c>
      <c r="B31" s="20">
        <f t="shared" si="12"/>
        <v>319.8</v>
      </c>
      <c r="C31" s="20">
        <f t="shared" si="13"/>
        <v>500.2</v>
      </c>
      <c r="D31" s="20">
        <f t="shared" si="14"/>
        <v>820</v>
      </c>
      <c r="E31" s="20">
        <f>750+Table23453456879111215141617181920212223242526272834[[#This Row],[Expense]]</f>
        <v>820</v>
      </c>
      <c r="F31" s="20"/>
      <c r="G31" s="20">
        <v>70</v>
      </c>
      <c r="H31" s="19">
        <f t="shared" si="15"/>
        <v>0.63934426229508201</v>
      </c>
      <c r="I31" s="18">
        <f>SUM($D$2:D31)-SUM($G$2:G31)</f>
        <v>432004</v>
      </c>
      <c r="J31" s="34"/>
      <c r="K31" s="20">
        <f t="shared" si="4"/>
        <v>0</v>
      </c>
      <c r="L31" s="20"/>
      <c r="M31" s="20"/>
      <c r="O31" s="8">
        <f t="shared" si="24"/>
        <v>45032</v>
      </c>
      <c r="P31" s="2">
        <f t="shared" si="32"/>
        <v>9474</v>
      </c>
      <c r="Q31" s="2">
        <f t="shared" si="31"/>
        <v>22106</v>
      </c>
      <c r="R31" s="2">
        <f t="shared" si="26"/>
        <v>31580</v>
      </c>
      <c r="S31" s="2">
        <f t="shared" si="27"/>
        <v>17875</v>
      </c>
      <c r="T31" s="2">
        <f t="shared" si="28"/>
        <v>13705</v>
      </c>
      <c r="U31" s="2">
        <f t="shared" si="29"/>
        <v>900</v>
      </c>
    </row>
    <row r="32" spans="1:21" x14ac:dyDescent="0.35">
      <c r="A32" s="21">
        <v>45042</v>
      </c>
      <c r="B32" s="20">
        <f t="shared" si="12"/>
        <v>11943.75</v>
      </c>
      <c r="C32" s="20">
        <f t="shared" si="13"/>
        <v>18681.25</v>
      </c>
      <c r="D32" s="20">
        <f t="shared" si="14"/>
        <v>30625</v>
      </c>
      <c r="E32" s="22">
        <f>Table23453456879111215141617181920212223242526272834[[#This Row],[Expense]]+6039</f>
        <v>21105</v>
      </c>
      <c r="F32" s="22">
        <v>9520</v>
      </c>
      <c r="G32" s="22">
        <v>15066</v>
      </c>
      <c r="H32" s="19">
        <f t="shared" si="15"/>
        <v>0.63934426229508201</v>
      </c>
      <c r="I32" s="18">
        <f>SUM($D$2:D32)-SUM($G$2:G32)</f>
        <v>447563</v>
      </c>
      <c r="J32" s="34"/>
      <c r="K32" s="20">
        <f t="shared" si="4"/>
        <v>0</v>
      </c>
      <c r="L32" s="22"/>
      <c r="M32" s="22"/>
      <c r="O32" s="3" t="s">
        <v>4</v>
      </c>
      <c r="P32" s="2">
        <f t="shared" ref="P32:U32" si="33">SUM(P25:P31)</f>
        <v>47227.5</v>
      </c>
      <c r="Q32" s="2">
        <f t="shared" si="33"/>
        <v>110197.5</v>
      </c>
      <c r="R32" s="2">
        <f t="shared" si="33"/>
        <v>157425</v>
      </c>
      <c r="S32" s="2">
        <f t="shared" si="33"/>
        <v>73535</v>
      </c>
      <c r="T32" s="2">
        <f t="shared" si="33"/>
        <v>83890</v>
      </c>
      <c r="U32" s="2">
        <f t="shared" si="33"/>
        <v>100990</v>
      </c>
    </row>
    <row r="33" spans="1:21" x14ac:dyDescent="0.35">
      <c r="A33" s="21">
        <v>45043</v>
      </c>
      <c r="B33" s="20">
        <f t="shared" si="12"/>
        <v>1540.5</v>
      </c>
      <c r="C33" s="20">
        <f t="shared" si="13"/>
        <v>2409.5</v>
      </c>
      <c r="D33" s="20">
        <f t="shared" si="14"/>
        <v>3950</v>
      </c>
      <c r="E33" s="20">
        <f>Table23453456879111215141617181920212223242526272834[[#This Row],[Expense]]+2670</f>
        <v>3190</v>
      </c>
      <c r="F33" s="20">
        <v>760</v>
      </c>
      <c r="G33" s="20">
        <v>520</v>
      </c>
      <c r="H33" s="19">
        <f t="shared" si="15"/>
        <v>0.63934426229508201</v>
      </c>
      <c r="I33" s="18">
        <f>SUM($D$2:D33)-SUM($G$2:G33)</f>
        <v>450993</v>
      </c>
      <c r="J33" s="34"/>
      <c r="K33" s="20">
        <f t="shared" si="4"/>
        <v>0</v>
      </c>
      <c r="L33" s="20"/>
      <c r="M33" s="20"/>
      <c r="O33" s="3" t="s">
        <v>0</v>
      </c>
      <c r="P33" s="4">
        <f>P32/3</f>
        <v>15742.5</v>
      </c>
      <c r="Q33" s="4"/>
      <c r="R33" s="4"/>
      <c r="S33" s="4"/>
      <c r="T33" s="4"/>
      <c r="U33" s="4"/>
    </row>
    <row r="34" spans="1:21" x14ac:dyDescent="0.35">
      <c r="A34" s="21">
        <v>45044</v>
      </c>
      <c r="B34" s="20">
        <f t="shared" si="12"/>
        <v>1914.9</v>
      </c>
      <c r="C34" s="20">
        <f t="shared" si="13"/>
        <v>2995.1</v>
      </c>
      <c r="D34" s="20">
        <f t="shared" si="14"/>
        <v>4910</v>
      </c>
      <c r="E34" s="20">
        <f>Table23453456879111215141617181920212223242526272834[[#This Row],[Expense]]+2380</f>
        <v>2460</v>
      </c>
      <c r="F34" s="20">
        <v>2450</v>
      </c>
      <c r="G34" s="20">
        <v>80</v>
      </c>
      <c r="H34" s="19">
        <f t="shared" si="15"/>
        <v>0.63934426229508201</v>
      </c>
      <c r="I34" s="18">
        <f>SUM($D$2:D34)-SUM($G$2:G34)</f>
        <v>455823</v>
      </c>
      <c r="J34" s="34"/>
      <c r="K34" s="20">
        <f t="shared" si="4"/>
        <v>0</v>
      </c>
      <c r="L34" s="20"/>
      <c r="M34" s="20"/>
    </row>
    <row r="35" spans="1:21" x14ac:dyDescent="0.35">
      <c r="A35" s="21">
        <v>45045</v>
      </c>
      <c r="B35" s="20">
        <f t="shared" si="12"/>
        <v>3256.5</v>
      </c>
      <c r="C35" s="20">
        <f t="shared" si="13"/>
        <v>5093.5</v>
      </c>
      <c r="D35" s="20">
        <f t="shared" si="14"/>
        <v>8350</v>
      </c>
      <c r="E35" s="22">
        <f>Table23453456879111215141617181920212223242526272834[[#This Row],[Expense]]+5000</f>
        <v>5050</v>
      </c>
      <c r="F35" s="22">
        <v>3300</v>
      </c>
      <c r="G35" s="22">
        <v>50</v>
      </c>
      <c r="H35" s="19">
        <f t="shared" si="15"/>
        <v>0.63934426229508201</v>
      </c>
      <c r="I35" s="18">
        <f>SUM($D$2:D35)-SUM($G$2:G35)</f>
        <v>464123</v>
      </c>
      <c r="J35" s="34"/>
      <c r="K35" s="20">
        <f t="shared" si="4"/>
        <v>0</v>
      </c>
      <c r="L35" s="22"/>
      <c r="M35" s="22"/>
      <c r="O35" s="7" t="s">
        <v>7</v>
      </c>
      <c r="P35" s="6" t="s">
        <v>6</v>
      </c>
      <c r="Q35" s="6" t="s">
        <v>5</v>
      </c>
      <c r="R35" s="6" t="s">
        <v>4</v>
      </c>
      <c r="S35" s="6" t="s">
        <v>3</v>
      </c>
      <c r="T35" s="6" t="s">
        <v>2</v>
      </c>
      <c r="U35" s="6" t="s">
        <v>1</v>
      </c>
    </row>
    <row r="36" spans="1:21" x14ac:dyDescent="0.35">
      <c r="A36" s="21">
        <v>45046</v>
      </c>
      <c r="B36" s="20">
        <f t="shared" si="12"/>
        <v>3564.6</v>
      </c>
      <c r="C36" s="20">
        <f t="shared" si="13"/>
        <v>5575.4</v>
      </c>
      <c r="D36" s="20">
        <f t="shared" si="14"/>
        <v>9140</v>
      </c>
      <c r="E36" s="22">
        <f>Table23453456879111215141617181920212223242526272834[[#This Row],[Expense]]+5000</f>
        <v>5080</v>
      </c>
      <c r="F36" s="22">
        <v>4060</v>
      </c>
      <c r="G36" s="22">
        <v>80</v>
      </c>
      <c r="H36" s="19">
        <f t="shared" si="15"/>
        <v>0.63934426229508201</v>
      </c>
      <c r="I36" s="18">
        <f>SUM($D$2:D36)-SUM($G$2:G36)</f>
        <v>473183</v>
      </c>
      <c r="J36" s="36"/>
      <c r="K36" s="20">
        <f t="shared" si="4"/>
        <v>0</v>
      </c>
      <c r="L36" s="22"/>
      <c r="M36" s="22"/>
      <c r="O36" s="8">
        <f t="shared" ref="O36:O40" si="34">A23</f>
        <v>45033</v>
      </c>
      <c r="P36" s="2">
        <f>R36*0.3</f>
        <v>9231</v>
      </c>
      <c r="Q36" s="2">
        <f t="shared" ref="Q36:Q42" si="35">R36-P36</f>
        <v>21539</v>
      </c>
      <c r="R36" s="2">
        <f t="shared" ref="R36:R42" si="36">S36+T36</f>
        <v>30770</v>
      </c>
      <c r="S36" s="2">
        <f t="shared" ref="S36:S42" si="37">VLOOKUP(O36,$A$1:$H$37,5,0)</f>
        <v>10390</v>
      </c>
      <c r="T36" s="2">
        <f t="shared" ref="T36:T42" si="38">VLOOKUP(O36,$A$1:$H$37,6,0)</f>
        <v>20380</v>
      </c>
      <c r="U36" s="2">
        <f t="shared" ref="U36:U42" si="39">VLOOKUP(O36,$A$1:$H$37,7,0)</f>
        <v>4000</v>
      </c>
    </row>
    <row r="37" spans="1:21" ht="15" thickBot="1" x14ac:dyDescent="0.4">
      <c r="A37" s="17" t="s">
        <v>4</v>
      </c>
      <c r="B37" s="16">
        <f>SUM(B7:B36)</f>
        <v>207951.11999999997</v>
      </c>
      <c r="C37" s="16">
        <f t="shared" ref="C37:I37" si="40">SUM(C7:C36)</f>
        <v>325256.87999999995</v>
      </c>
      <c r="D37" s="16">
        <f t="shared" si="40"/>
        <v>533208</v>
      </c>
      <c r="E37" s="16">
        <f t="shared" si="40"/>
        <v>314141</v>
      </c>
      <c r="F37" s="16">
        <f t="shared" si="40"/>
        <v>219067</v>
      </c>
      <c r="G37" s="16">
        <f t="shared" si="40"/>
        <v>162313</v>
      </c>
      <c r="H37" s="16">
        <f t="shared" si="40"/>
        <v>19.180327868852476</v>
      </c>
      <c r="I37" s="16">
        <f t="shared" si="40"/>
        <v>9336739</v>
      </c>
      <c r="J37" s="33"/>
      <c r="K37" s="16">
        <f t="shared" ref="K37:M37" si="41">SUM(K3:K36)</f>
        <v>21534</v>
      </c>
      <c r="L37" s="16">
        <f t="shared" si="41"/>
        <v>12604</v>
      </c>
      <c r="M37" s="16">
        <f t="shared" si="41"/>
        <v>8930</v>
      </c>
      <c r="O37" s="9">
        <f t="shared" si="34"/>
        <v>45034</v>
      </c>
      <c r="P37" s="4">
        <f>R37*0.3</f>
        <v>5145</v>
      </c>
      <c r="Q37" s="4">
        <f t="shared" si="35"/>
        <v>12005</v>
      </c>
      <c r="R37" s="4">
        <f t="shared" si="36"/>
        <v>17150</v>
      </c>
      <c r="S37" s="4">
        <f t="shared" si="37"/>
        <v>9430</v>
      </c>
      <c r="T37" s="4">
        <f t="shared" si="38"/>
        <v>7720</v>
      </c>
      <c r="U37" s="4">
        <f t="shared" si="39"/>
        <v>2300</v>
      </c>
    </row>
    <row r="38" spans="1:21" x14ac:dyDescent="0.35">
      <c r="A38" s="12"/>
      <c r="B38" s="11">
        <f>B37/3</f>
        <v>69317.039999999994</v>
      </c>
      <c r="C38" s="11"/>
      <c r="E38" s="13">
        <f>D37*0.42</f>
        <v>223947.36</v>
      </c>
      <c r="F38" s="11"/>
      <c r="G38" s="11"/>
      <c r="H38" s="10"/>
      <c r="L38" s="13">
        <f>K37*0.42</f>
        <v>9044.2799999999988</v>
      </c>
      <c r="M38" s="11"/>
      <c r="O38" s="8">
        <f t="shared" si="34"/>
        <v>45035</v>
      </c>
      <c r="P38" s="2">
        <f t="shared" ref="P38:P42" si="42">R38*0.3</f>
        <v>6327</v>
      </c>
      <c r="Q38" s="2">
        <f t="shared" si="35"/>
        <v>14763</v>
      </c>
      <c r="R38" s="2">
        <f t="shared" si="36"/>
        <v>21090</v>
      </c>
      <c r="S38" s="2">
        <f t="shared" si="37"/>
        <v>5190</v>
      </c>
      <c r="T38" s="2">
        <f t="shared" si="38"/>
        <v>15900</v>
      </c>
      <c r="U38" s="2">
        <f t="shared" si="39"/>
        <v>40</v>
      </c>
    </row>
    <row r="39" spans="1:21" x14ac:dyDescent="0.35">
      <c r="A39" s="12"/>
      <c r="B39" s="11">
        <f>B38*100/D37</f>
        <v>12.999999999999998</v>
      </c>
      <c r="C39" s="11"/>
      <c r="E39" s="11">
        <f>E38/3</f>
        <v>74649.119999999995</v>
      </c>
      <c r="F39" s="11"/>
      <c r="G39" s="11"/>
      <c r="H39" s="10"/>
      <c r="L39" s="11">
        <f>L38/3</f>
        <v>3014.7599999999998</v>
      </c>
      <c r="M39" s="11"/>
      <c r="O39" s="9">
        <f t="shared" si="34"/>
        <v>45036</v>
      </c>
      <c r="P39" s="4">
        <f t="shared" si="42"/>
        <v>8331</v>
      </c>
      <c r="Q39" s="4">
        <f t="shared" si="35"/>
        <v>19439</v>
      </c>
      <c r="R39" s="4">
        <f t="shared" si="36"/>
        <v>27770</v>
      </c>
      <c r="S39" s="4">
        <f t="shared" si="37"/>
        <v>27550</v>
      </c>
      <c r="T39" s="4">
        <f t="shared" si="38"/>
        <v>220</v>
      </c>
      <c r="U39" s="4">
        <f t="shared" si="39"/>
        <v>6010</v>
      </c>
    </row>
    <row r="40" spans="1:21" x14ac:dyDescent="0.35">
      <c r="A40" s="7" t="s">
        <v>7</v>
      </c>
      <c r="B40" s="6" t="s">
        <v>6</v>
      </c>
      <c r="C40" s="6" t="s">
        <v>5</v>
      </c>
      <c r="D40" s="6" t="s">
        <v>4</v>
      </c>
      <c r="E40" s="6" t="s">
        <v>3</v>
      </c>
      <c r="F40" s="6" t="s">
        <v>2</v>
      </c>
      <c r="G40" s="6" t="s">
        <v>1</v>
      </c>
      <c r="H40" s="31" t="s">
        <v>0</v>
      </c>
      <c r="K40" s="6" t="s">
        <v>4</v>
      </c>
      <c r="L40" s="6" t="s">
        <v>3</v>
      </c>
      <c r="M40" s="6" t="s">
        <v>2</v>
      </c>
      <c r="O40" s="8">
        <f t="shared" si="34"/>
        <v>45037</v>
      </c>
      <c r="P40" s="2">
        <f t="shared" si="42"/>
        <v>1278</v>
      </c>
      <c r="Q40" s="2">
        <f t="shared" si="35"/>
        <v>2982</v>
      </c>
      <c r="R40" s="2">
        <f t="shared" si="36"/>
        <v>4260</v>
      </c>
      <c r="S40" s="2">
        <f t="shared" si="37"/>
        <v>4080</v>
      </c>
      <c r="T40" s="2">
        <f t="shared" si="38"/>
        <v>180</v>
      </c>
      <c r="U40" s="2">
        <f t="shared" si="39"/>
        <v>123</v>
      </c>
    </row>
    <row r="41" spans="1:21" x14ac:dyDescent="0.35">
      <c r="A41" s="32" t="str">
        <f>CONCATENATE(TEXT(O3,"DD-MMM-YYY")," to ",TEXT(O9,"DD-MMM-YYYY"))</f>
        <v>27-Mar-2023 to 02-Apr-2023</v>
      </c>
      <c r="B41" s="2">
        <f>P10</f>
        <v>53166.9</v>
      </c>
      <c r="C41" s="2">
        <f t="shared" ref="C41:G41" si="43">Q10</f>
        <v>124056.1</v>
      </c>
      <c r="D41" s="2">
        <f t="shared" si="43"/>
        <v>177223</v>
      </c>
      <c r="E41" s="2">
        <f t="shared" si="43"/>
        <v>80610</v>
      </c>
      <c r="F41" s="2">
        <f t="shared" si="43"/>
        <v>96613</v>
      </c>
      <c r="G41" s="2">
        <f t="shared" si="43"/>
        <v>26120</v>
      </c>
      <c r="H41" s="2">
        <f>B41/3</f>
        <v>17722.3</v>
      </c>
      <c r="K41" s="2">
        <f t="shared" ref="K41" si="44">Y10</f>
        <v>0</v>
      </c>
      <c r="L41" s="2">
        <f t="shared" ref="L41" si="45">Z10</f>
        <v>0</v>
      </c>
      <c r="M41" s="2">
        <f t="shared" ref="M41" si="46">AA10</f>
        <v>0</v>
      </c>
      <c r="O41" s="9">
        <f>A28</f>
        <v>45038</v>
      </c>
      <c r="P41" s="4">
        <f t="shared" si="42"/>
        <v>3646.2</v>
      </c>
      <c r="Q41" s="4">
        <f t="shared" si="35"/>
        <v>8507.7999999999993</v>
      </c>
      <c r="R41" s="4">
        <f t="shared" si="36"/>
        <v>12154</v>
      </c>
      <c r="S41" s="4">
        <f t="shared" si="37"/>
        <v>6044</v>
      </c>
      <c r="T41" s="4">
        <f t="shared" si="38"/>
        <v>6110</v>
      </c>
      <c r="U41" s="4">
        <f t="shared" si="39"/>
        <v>132</v>
      </c>
    </row>
    <row r="42" spans="1:21" x14ac:dyDescent="0.35">
      <c r="A42" s="32" t="str">
        <f>CONCATENATE(TEXT(O14,"DD-MMM-YYY")," to ",TEXT(O20,"DD-MMM-YYYY"))</f>
        <v>03-Apr-2023 to 09-Apr-2023</v>
      </c>
      <c r="B42" s="4">
        <f>P21</f>
        <v>33923.699999999997</v>
      </c>
      <c r="C42" s="4">
        <f t="shared" ref="C42:G42" si="47">Q21</f>
        <v>79155.299999999988</v>
      </c>
      <c r="D42" s="4">
        <f t="shared" si="47"/>
        <v>113079</v>
      </c>
      <c r="E42" s="4">
        <f t="shared" si="47"/>
        <v>69897</v>
      </c>
      <c r="F42" s="4">
        <f t="shared" si="47"/>
        <v>43182</v>
      </c>
      <c r="G42" s="4">
        <f t="shared" si="47"/>
        <v>25780</v>
      </c>
      <c r="H42" s="2">
        <f t="shared" ref="H42:H45" si="48">B42/3</f>
        <v>11307.9</v>
      </c>
      <c r="K42" s="4">
        <f t="shared" ref="K42" si="49">Y21</f>
        <v>0</v>
      </c>
      <c r="L42" s="4">
        <f t="shared" ref="L42" si="50">Z21</f>
        <v>0</v>
      </c>
      <c r="M42" s="4">
        <f t="shared" ref="M42" si="51">AA21</f>
        <v>0</v>
      </c>
      <c r="O42" s="8">
        <f>A29</f>
        <v>45039</v>
      </c>
      <c r="P42" s="2">
        <f t="shared" si="42"/>
        <v>9294</v>
      </c>
      <c r="Q42" s="2">
        <f t="shared" si="35"/>
        <v>21686</v>
      </c>
      <c r="R42" s="2">
        <f t="shared" si="36"/>
        <v>30980</v>
      </c>
      <c r="S42" s="2">
        <f t="shared" si="37"/>
        <v>28420</v>
      </c>
      <c r="T42" s="2">
        <f t="shared" si="38"/>
        <v>2560</v>
      </c>
      <c r="U42" s="2">
        <f t="shared" si="39"/>
        <v>70</v>
      </c>
    </row>
    <row r="43" spans="1:21" x14ac:dyDescent="0.35">
      <c r="A43" s="32" t="str">
        <f>CONCATENATE(TEXT(O25,"DD-MMM-YYY")," to ",TEXT(O31,"DD-MMM-YYYY"))</f>
        <v>10-Apr-2023 to 16-Apr-2023</v>
      </c>
      <c r="B43" s="2">
        <f>P32</f>
        <v>47227.5</v>
      </c>
      <c r="C43" s="2">
        <f t="shared" ref="C43:G43" si="52">Q32</f>
        <v>110197.5</v>
      </c>
      <c r="D43" s="2">
        <f t="shared" si="52"/>
        <v>157425</v>
      </c>
      <c r="E43" s="2">
        <f t="shared" si="52"/>
        <v>73535</v>
      </c>
      <c r="F43" s="2">
        <f t="shared" si="52"/>
        <v>83890</v>
      </c>
      <c r="G43" s="2">
        <f t="shared" si="52"/>
        <v>100990</v>
      </c>
      <c r="H43" s="2">
        <f t="shared" si="48"/>
        <v>15742.5</v>
      </c>
      <c r="K43" s="2">
        <f t="shared" ref="K43" si="53">Y32</f>
        <v>0</v>
      </c>
      <c r="L43" s="2">
        <f t="shared" ref="L43" si="54">Z32</f>
        <v>0</v>
      </c>
      <c r="M43" s="2">
        <f t="shared" ref="M43" si="55">AA32</f>
        <v>0</v>
      </c>
      <c r="O43" s="3" t="s">
        <v>4</v>
      </c>
      <c r="P43" s="4">
        <f t="shared" ref="P43:U43" si="56">SUM(P36:P42)</f>
        <v>43252.2</v>
      </c>
      <c r="Q43" s="4">
        <f t="shared" si="56"/>
        <v>100921.8</v>
      </c>
      <c r="R43" s="4">
        <f t="shared" si="56"/>
        <v>144174</v>
      </c>
      <c r="S43" s="4">
        <f t="shared" si="56"/>
        <v>91104</v>
      </c>
      <c r="T43" s="4">
        <f t="shared" si="56"/>
        <v>53070</v>
      </c>
      <c r="U43" s="4">
        <f t="shared" si="56"/>
        <v>12675</v>
      </c>
    </row>
    <row r="44" spans="1:21" x14ac:dyDescent="0.35">
      <c r="A44" s="32" t="str">
        <f>CONCATENATE(TEXT(O36,"DD-MMM-YYY")," to ",TEXT(O42,"DD-MMM-YYYY"))</f>
        <v>17-Apr-2023 to 23-Apr-2023</v>
      </c>
      <c r="B44" s="4">
        <f>P43</f>
        <v>43252.2</v>
      </c>
      <c r="C44" s="4">
        <f t="shared" ref="C44:G44" si="57">Q43</f>
        <v>100921.8</v>
      </c>
      <c r="D44" s="4">
        <f t="shared" si="57"/>
        <v>144174</v>
      </c>
      <c r="E44" s="4">
        <f t="shared" si="57"/>
        <v>91104</v>
      </c>
      <c r="F44" s="4">
        <f t="shared" si="57"/>
        <v>53070</v>
      </c>
      <c r="G44" s="4">
        <f t="shared" si="57"/>
        <v>12675</v>
      </c>
      <c r="H44" s="2">
        <f t="shared" si="48"/>
        <v>14417.4</v>
      </c>
      <c r="K44" s="4">
        <f t="shared" ref="K44" si="58">Y43</f>
        <v>0</v>
      </c>
      <c r="L44" s="4">
        <f t="shared" ref="L44" si="59">Z43</f>
        <v>0</v>
      </c>
      <c r="M44" s="4">
        <f t="shared" ref="M44" si="60">AA43</f>
        <v>0</v>
      </c>
      <c r="O44" s="3" t="s">
        <v>0</v>
      </c>
      <c r="P44" s="2">
        <f>P43/3</f>
        <v>14417.4</v>
      </c>
      <c r="Q44" s="2"/>
      <c r="R44" s="2"/>
      <c r="S44" s="2"/>
      <c r="T44" s="2"/>
      <c r="U44" s="2"/>
    </row>
    <row r="45" spans="1:21" x14ac:dyDescent="0.35">
      <c r="A45" s="32" t="str">
        <f>CONCATENATE(TEXT(O47,"DD-MMM-YYY")," to ",TEXT(O53,"DD-MMM-YYYY"))</f>
        <v>24-Apr-2023 to 30-Apr-2023</v>
      </c>
      <c r="B45" s="2">
        <f>P54</f>
        <v>18874.5</v>
      </c>
      <c r="C45" s="2">
        <f t="shared" ref="C45:G45" si="61">Q54</f>
        <v>44040.5</v>
      </c>
      <c r="D45" s="2">
        <f t="shared" si="61"/>
        <v>62915</v>
      </c>
      <c r="E45" s="2">
        <f t="shared" si="61"/>
        <v>41995</v>
      </c>
      <c r="F45" s="2">
        <f t="shared" si="61"/>
        <v>20920</v>
      </c>
      <c r="G45" s="2">
        <f t="shared" si="61"/>
        <v>16068</v>
      </c>
      <c r="H45" s="2">
        <f t="shared" si="48"/>
        <v>6291.5</v>
      </c>
      <c r="K45" s="2">
        <f t="shared" ref="K45" si="62">Y54</f>
        <v>0</v>
      </c>
      <c r="L45" s="2">
        <f t="shared" ref="L45" si="63">Z54</f>
        <v>0</v>
      </c>
      <c r="M45" s="2">
        <f t="shared" ref="M45" si="64">AA54</f>
        <v>0</v>
      </c>
    </row>
    <row r="46" spans="1:21" x14ac:dyDescent="0.35">
      <c r="A46" s="32" t="str">
        <f>CONCATENATE(TEXT(O59,"DD-MMM-YYY")," to ",TEXT(O58,"DD-MMM-YYYY"))</f>
        <v>31-Mar-2023 to Date</v>
      </c>
      <c r="B46" s="4">
        <f>SUM(B41:B45)</f>
        <v>196444.79999999999</v>
      </c>
      <c r="C46" s="4">
        <f t="shared" ref="C46:H46" si="65">SUM(C41:C45)</f>
        <v>458371.2</v>
      </c>
      <c r="D46" s="4">
        <f t="shared" si="65"/>
        <v>654816</v>
      </c>
      <c r="E46" s="4">
        <f t="shared" si="65"/>
        <v>357141</v>
      </c>
      <c r="F46" s="4">
        <f t="shared" si="65"/>
        <v>297675</v>
      </c>
      <c r="G46" s="4">
        <f t="shared" si="65"/>
        <v>181633</v>
      </c>
      <c r="H46" s="4">
        <f t="shared" si="65"/>
        <v>65481.599999999999</v>
      </c>
      <c r="K46" s="4">
        <f t="shared" ref="K46:M46" si="66">SUM(K41:K45)</f>
        <v>0</v>
      </c>
      <c r="L46" s="4">
        <f t="shared" si="66"/>
        <v>0</v>
      </c>
      <c r="M46" s="4">
        <f t="shared" si="66"/>
        <v>0</v>
      </c>
      <c r="O46" s="7" t="s">
        <v>7</v>
      </c>
      <c r="P46" s="6" t="s">
        <v>6</v>
      </c>
      <c r="Q46" s="6" t="s">
        <v>5</v>
      </c>
      <c r="R46" s="6" t="s">
        <v>4</v>
      </c>
      <c r="S46" s="6" t="s">
        <v>3</v>
      </c>
      <c r="T46" s="6" t="s">
        <v>2</v>
      </c>
      <c r="U46" s="6" t="s">
        <v>1</v>
      </c>
    </row>
    <row r="47" spans="1:21" x14ac:dyDescent="0.35">
      <c r="C47" s="67" t="s">
        <v>4</v>
      </c>
      <c r="D47" s="67"/>
      <c r="E47" s="67"/>
      <c r="F47" s="67"/>
      <c r="G47" s="68"/>
      <c r="H47" s="2"/>
      <c r="K47"/>
      <c r="L47"/>
      <c r="M47"/>
      <c r="O47" s="8">
        <f t="shared" ref="O47:O53" si="67">A30</f>
        <v>45040</v>
      </c>
      <c r="P47" s="2">
        <f>R47*0.3</f>
        <v>1536</v>
      </c>
      <c r="Q47" s="2">
        <f t="shared" ref="Q47:Q53" si="68">R47-P47</f>
        <v>3584</v>
      </c>
      <c r="R47" s="2">
        <f t="shared" ref="R47:R53" si="69">S47+T47</f>
        <v>5120</v>
      </c>
      <c r="S47" s="2">
        <f t="shared" ref="S47:S53" si="70">VLOOKUP(O47,$A$1:$H$37,5,0)</f>
        <v>4290</v>
      </c>
      <c r="T47" s="2">
        <f t="shared" ref="T47:T53" si="71">VLOOKUP(O47,$A$1:$H$37,6,0)</f>
        <v>830</v>
      </c>
      <c r="U47" s="2">
        <f t="shared" ref="U47:U53" si="72">VLOOKUP(O47,$A$1:$H$37,7,0)</f>
        <v>202</v>
      </c>
    </row>
    <row r="48" spans="1:21" x14ac:dyDescent="0.35">
      <c r="O48" s="9">
        <f t="shared" si="67"/>
        <v>45041</v>
      </c>
      <c r="P48" s="4">
        <f>R48*0.3</f>
        <v>246</v>
      </c>
      <c r="Q48" s="4">
        <f t="shared" si="68"/>
        <v>574</v>
      </c>
      <c r="R48" s="4">
        <f t="shared" si="69"/>
        <v>820</v>
      </c>
      <c r="S48" s="4">
        <f t="shared" si="70"/>
        <v>820</v>
      </c>
      <c r="T48" s="4">
        <f t="shared" si="71"/>
        <v>0</v>
      </c>
      <c r="U48" s="4">
        <f t="shared" si="72"/>
        <v>70</v>
      </c>
    </row>
    <row r="49" spans="15:21" x14ac:dyDescent="0.35">
      <c r="O49" s="8">
        <f t="shared" si="67"/>
        <v>45042</v>
      </c>
      <c r="P49" s="2">
        <f t="shared" ref="P49:P53" si="73">R49*0.3</f>
        <v>9187.5</v>
      </c>
      <c r="Q49" s="2">
        <f t="shared" si="68"/>
        <v>21437.5</v>
      </c>
      <c r="R49" s="2">
        <f t="shared" si="69"/>
        <v>30625</v>
      </c>
      <c r="S49" s="2">
        <f t="shared" si="70"/>
        <v>21105</v>
      </c>
      <c r="T49" s="2">
        <f t="shared" si="71"/>
        <v>9520</v>
      </c>
      <c r="U49" s="2">
        <f t="shared" si="72"/>
        <v>15066</v>
      </c>
    </row>
    <row r="50" spans="15:21" x14ac:dyDescent="0.35">
      <c r="O50" s="9">
        <f t="shared" si="67"/>
        <v>45043</v>
      </c>
      <c r="P50" s="4">
        <f t="shared" si="73"/>
        <v>1185</v>
      </c>
      <c r="Q50" s="4">
        <f t="shared" si="68"/>
        <v>2765</v>
      </c>
      <c r="R50" s="4">
        <f t="shared" si="69"/>
        <v>3950</v>
      </c>
      <c r="S50" s="4">
        <f t="shared" si="70"/>
        <v>3190</v>
      </c>
      <c r="T50" s="4">
        <f t="shared" si="71"/>
        <v>760</v>
      </c>
      <c r="U50" s="4">
        <f t="shared" si="72"/>
        <v>520</v>
      </c>
    </row>
    <row r="51" spans="15:21" x14ac:dyDescent="0.35">
      <c r="O51" s="8">
        <f t="shared" si="67"/>
        <v>45044</v>
      </c>
      <c r="P51" s="2">
        <f t="shared" si="73"/>
        <v>1473</v>
      </c>
      <c r="Q51" s="2">
        <f t="shared" si="68"/>
        <v>3437</v>
      </c>
      <c r="R51" s="2">
        <f t="shared" si="69"/>
        <v>4910</v>
      </c>
      <c r="S51" s="2">
        <f t="shared" si="70"/>
        <v>2460</v>
      </c>
      <c r="T51" s="2">
        <f t="shared" si="71"/>
        <v>2450</v>
      </c>
      <c r="U51" s="2">
        <f t="shared" si="72"/>
        <v>80</v>
      </c>
    </row>
    <row r="52" spans="15:21" x14ac:dyDescent="0.35">
      <c r="O52" s="9">
        <f t="shared" si="67"/>
        <v>45045</v>
      </c>
      <c r="P52" s="4">
        <f t="shared" si="73"/>
        <v>2505</v>
      </c>
      <c r="Q52" s="4">
        <f t="shared" si="68"/>
        <v>5845</v>
      </c>
      <c r="R52" s="4">
        <f t="shared" si="69"/>
        <v>8350</v>
      </c>
      <c r="S52" s="4">
        <f t="shared" si="70"/>
        <v>5050</v>
      </c>
      <c r="T52" s="4">
        <f t="shared" si="71"/>
        <v>3300</v>
      </c>
      <c r="U52" s="4">
        <f t="shared" si="72"/>
        <v>50</v>
      </c>
    </row>
    <row r="53" spans="15:21" x14ac:dyDescent="0.35">
      <c r="O53" s="8">
        <f t="shared" si="67"/>
        <v>45046</v>
      </c>
      <c r="P53" s="2">
        <f t="shared" si="73"/>
        <v>2742</v>
      </c>
      <c r="Q53" s="2">
        <f t="shared" si="68"/>
        <v>6398</v>
      </c>
      <c r="R53" s="2">
        <f t="shared" si="69"/>
        <v>9140</v>
      </c>
      <c r="S53" s="2">
        <f t="shared" si="70"/>
        <v>5080</v>
      </c>
      <c r="T53" s="2">
        <f t="shared" si="71"/>
        <v>4060</v>
      </c>
      <c r="U53" s="2">
        <f t="shared" si="72"/>
        <v>80</v>
      </c>
    </row>
    <row r="54" spans="15:21" x14ac:dyDescent="0.35">
      <c r="O54" s="3" t="s">
        <v>4</v>
      </c>
      <c r="P54" s="4">
        <f>SUM(P47:P53)</f>
        <v>18874.5</v>
      </c>
      <c r="Q54" s="4">
        <f>SUM(Q47:Q53)</f>
        <v>44040.5</v>
      </c>
      <c r="R54" s="4">
        <f t="shared" ref="R54:U54" si="74">SUM(R47:R53)</f>
        <v>62915</v>
      </c>
      <c r="S54" s="4">
        <f t="shared" si="74"/>
        <v>41995</v>
      </c>
      <c r="T54" s="4">
        <f t="shared" si="74"/>
        <v>20920</v>
      </c>
      <c r="U54" s="4">
        <f t="shared" si="74"/>
        <v>16068</v>
      </c>
    </row>
    <row r="55" spans="15:21" x14ac:dyDescent="0.35">
      <c r="O55" s="3" t="s">
        <v>0</v>
      </c>
      <c r="P55" s="2">
        <f>P54/3</f>
        <v>6291.5</v>
      </c>
      <c r="Q55" s="2"/>
      <c r="R55" s="2"/>
      <c r="S55" s="2"/>
      <c r="T55" s="2"/>
      <c r="U55" s="2"/>
    </row>
    <row r="58" spans="15:21" x14ac:dyDescent="0.35">
      <c r="O58" s="7" t="s">
        <v>7</v>
      </c>
      <c r="P58" s="6" t="s">
        <v>6</v>
      </c>
      <c r="Q58" s="6" t="s">
        <v>5</v>
      </c>
      <c r="R58" s="6" t="s">
        <v>4</v>
      </c>
      <c r="S58" s="6" t="s">
        <v>3</v>
      </c>
      <c r="T58" s="6" t="s">
        <v>2</v>
      </c>
      <c r="U58" s="6" t="s">
        <v>1</v>
      </c>
    </row>
    <row r="59" spans="15:21" x14ac:dyDescent="0.35">
      <c r="O59" s="5">
        <f>A6</f>
        <v>45016</v>
      </c>
      <c r="P59" s="4">
        <f>SUM(B7:B36)</f>
        <v>207951.11999999997</v>
      </c>
      <c r="Q59" s="4">
        <f t="shared" ref="Q59:U59" si="75">SUM(C7:C36)</f>
        <v>325256.87999999995</v>
      </c>
      <c r="R59" s="4">
        <f t="shared" si="75"/>
        <v>533208</v>
      </c>
      <c r="S59" s="4">
        <f t="shared" si="75"/>
        <v>314141</v>
      </c>
      <c r="T59" s="4">
        <f t="shared" si="75"/>
        <v>219067</v>
      </c>
      <c r="U59" s="4">
        <f t="shared" si="75"/>
        <v>162313</v>
      </c>
    </row>
    <row r="60" spans="15:21" x14ac:dyDescent="0.35">
      <c r="O60" s="3" t="s">
        <v>0</v>
      </c>
      <c r="P60" s="2">
        <f>P59/3</f>
        <v>69317.039999999994</v>
      </c>
      <c r="Q60" s="2"/>
      <c r="R60" s="2"/>
      <c r="S60" s="2"/>
      <c r="T60" s="2"/>
      <c r="U60" s="2"/>
    </row>
  </sheetData>
  <mergeCells count="1">
    <mergeCell ref="C47:G47"/>
  </mergeCells>
  <conditionalFormatting sqref="A1:H1">
    <cfRule type="dataBar" priority="11">
      <dataBar>
        <cfvo type="min"/>
        <cfvo type="max"/>
        <color rgb="FF638EC6"/>
      </dataBar>
    </cfRule>
  </conditionalFormatting>
  <conditionalFormatting sqref="A40:H40">
    <cfRule type="dataBar" priority="3">
      <dataBar>
        <cfvo type="min"/>
        <cfvo type="max"/>
        <color rgb="FF638EC6"/>
      </dataBar>
    </cfRule>
  </conditionalFormatting>
  <conditionalFormatting sqref="H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0:M40">
    <cfRule type="dataBar" priority="1">
      <dataBar>
        <cfvo type="min"/>
        <cfvo type="max"/>
        <color rgb="FF638EC6"/>
      </dataBar>
    </cfRule>
  </conditionalFormatting>
  <conditionalFormatting sqref="O1:U1">
    <cfRule type="dataBar" priority="5">
      <dataBar>
        <cfvo type="min"/>
        <cfvo type="max"/>
        <color rgb="FF638EC6"/>
      </dataBar>
    </cfRule>
  </conditionalFormatting>
  <conditionalFormatting sqref="O13:U13">
    <cfRule type="dataBar" priority="9">
      <dataBar>
        <cfvo type="min"/>
        <cfvo type="max"/>
        <color rgb="FF638EC6"/>
      </dataBar>
    </cfRule>
  </conditionalFormatting>
  <conditionalFormatting sqref="O24:U24">
    <cfRule type="dataBar" priority="8">
      <dataBar>
        <cfvo type="min"/>
        <cfvo type="max"/>
        <color rgb="FF638EC6"/>
      </dataBar>
    </cfRule>
  </conditionalFormatting>
  <conditionalFormatting sqref="O35:U35">
    <cfRule type="dataBar" priority="7">
      <dataBar>
        <cfvo type="min"/>
        <cfvo type="max"/>
        <color rgb="FF638EC6"/>
      </dataBar>
    </cfRule>
  </conditionalFormatting>
  <conditionalFormatting sqref="O46:U46">
    <cfRule type="dataBar" priority="4">
      <dataBar>
        <cfvo type="min"/>
        <cfvo type="max"/>
        <color rgb="FF638EC6"/>
      </dataBar>
    </cfRule>
  </conditionalFormatting>
  <conditionalFormatting sqref="O58:U58">
    <cfRule type="dataBar" priority="6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5E41-7130-4175-B980-D07990EAB2BA}">
  <dimension ref="A1:U60"/>
  <sheetViews>
    <sheetView zoomScale="90" zoomScaleNormal="90" workbookViewId="0">
      <pane ySplit="1" topLeftCell="A31" activePane="bottomLeft" state="frozen"/>
      <selection pane="bottomLeft" activeCell="B31" sqref="B31"/>
    </sheetView>
  </sheetViews>
  <sheetFormatPr defaultColWidth="26" defaultRowHeight="14.5" x14ac:dyDescent="0.35"/>
  <cols>
    <col min="1" max="1" width="25.90625" bestFit="1" customWidth="1"/>
    <col min="2" max="2" width="9" style="1" bestFit="1" customWidth="1"/>
    <col min="3" max="3" width="9.1796875" style="1" bestFit="1" customWidth="1"/>
    <col min="4" max="4" width="9" style="1" bestFit="1" customWidth="1"/>
    <col min="5" max="5" width="11.54296875" style="1" bestFit="1" customWidth="1"/>
    <col min="6" max="6" width="9.54296875" style="1" customWidth="1"/>
    <col min="7" max="7" width="9.26953125" style="1" bestFit="1" customWidth="1"/>
    <col min="8" max="8" width="10.1796875" bestFit="1" customWidth="1"/>
    <col min="9" max="9" width="7.6328125" bestFit="1" customWidth="1"/>
    <col min="10" max="10" width="6.08984375" bestFit="1" customWidth="1"/>
    <col min="11" max="11" width="8.1796875" style="1" bestFit="1" customWidth="1"/>
    <col min="12" max="12" width="9.6328125" style="1" bestFit="1" customWidth="1"/>
    <col min="13" max="13" width="9.6328125" style="1" customWidth="1"/>
    <col min="14" max="14" width="6.54296875" customWidth="1"/>
    <col min="15" max="15" width="26.36328125" bestFit="1" customWidth="1"/>
    <col min="16" max="16" width="8.1796875" bestFit="1" customWidth="1"/>
    <col min="17" max="18" width="9.1796875" bestFit="1" customWidth="1"/>
    <col min="19" max="19" width="8.1796875" bestFit="1" customWidth="1"/>
    <col min="20" max="20" width="16.90625" bestFit="1" customWidth="1"/>
    <col min="21" max="21" width="9.26953125" bestFit="1" customWidth="1"/>
  </cols>
  <sheetData>
    <row r="1" spans="1:21" s="23" customFormat="1" ht="29" x14ac:dyDescent="0.35">
      <c r="A1" s="30" t="s">
        <v>7</v>
      </c>
      <c r="B1" s="28" t="s">
        <v>6</v>
      </c>
      <c r="C1" s="28" t="s">
        <v>5</v>
      </c>
      <c r="D1" s="28" t="s">
        <v>4</v>
      </c>
      <c r="E1" s="29" t="s">
        <v>3</v>
      </c>
      <c r="F1" s="29" t="s">
        <v>2</v>
      </c>
      <c r="G1" s="28" t="s">
        <v>1</v>
      </c>
      <c r="H1" s="27" t="s">
        <v>9</v>
      </c>
      <c r="I1" s="26" t="s">
        <v>8</v>
      </c>
      <c r="J1" s="37" t="s">
        <v>17</v>
      </c>
      <c r="K1" s="38" t="s">
        <v>4</v>
      </c>
      <c r="L1" s="38" t="s">
        <v>3</v>
      </c>
      <c r="M1" s="38" t="s">
        <v>2</v>
      </c>
      <c r="O1" s="25" t="s">
        <v>7</v>
      </c>
      <c r="P1" s="24" t="s">
        <v>6</v>
      </c>
      <c r="Q1" s="24" t="s">
        <v>5</v>
      </c>
      <c r="R1" s="24" t="s">
        <v>4</v>
      </c>
      <c r="S1" s="24" t="s">
        <v>3</v>
      </c>
      <c r="T1" s="24" t="s">
        <v>2</v>
      </c>
      <c r="U1" s="24" t="s">
        <v>1</v>
      </c>
    </row>
    <row r="2" spans="1:21" x14ac:dyDescent="0.35">
      <c r="A2" s="21">
        <v>45047</v>
      </c>
      <c r="B2" s="20">
        <f t="shared" ref="B2:B36" si="0">D2*0.39</f>
        <v>8541</v>
      </c>
      <c r="C2" s="20">
        <f t="shared" ref="C2:C36" si="1">D2-B2</f>
        <v>13359</v>
      </c>
      <c r="D2" s="20">
        <f t="shared" ref="D2:D36" si="2">E2+F2</f>
        <v>21900</v>
      </c>
      <c r="E2" s="20">
        <v>7930</v>
      </c>
      <c r="F2" s="20">
        <v>13970</v>
      </c>
      <c r="G2" s="20">
        <v>1150</v>
      </c>
      <c r="H2" s="19">
        <f t="shared" ref="H2:H36" si="3">IFERROR(B2/C2,0)</f>
        <v>0.63934426229508201</v>
      </c>
      <c r="I2" s="18">
        <f>SUM($D$2:D2)-SUM($G$2:G2)</f>
        <v>20750</v>
      </c>
      <c r="J2" s="35"/>
      <c r="K2" s="20">
        <f t="shared" ref="K2:K36" si="4">L2+M2</f>
        <v>0</v>
      </c>
      <c r="L2" s="20"/>
      <c r="M2" s="20"/>
      <c r="O2" s="9" t="s">
        <v>10</v>
      </c>
      <c r="P2" s="4"/>
      <c r="Q2" s="4"/>
      <c r="R2" s="4"/>
      <c r="S2" s="4"/>
      <c r="T2" s="4"/>
      <c r="U2" s="4">
        <v>0</v>
      </c>
    </row>
    <row r="3" spans="1:21" x14ac:dyDescent="0.35">
      <c r="A3" s="21">
        <v>45048</v>
      </c>
      <c r="B3" s="20">
        <f t="shared" si="0"/>
        <v>5483.4000000000005</v>
      </c>
      <c r="C3" s="20">
        <f t="shared" si="1"/>
        <v>8576.5999999999985</v>
      </c>
      <c r="D3" s="20">
        <f t="shared" si="2"/>
        <v>14060</v>
      </c>
      <c r="E3" s="20">
        <f>8070+5240</f>
        <v>13310</v>
      </c>
      <c r="F3" s="20">
        <v>750</v>
      </c>
      <c r="G3" s="20">
        <v>3940</v>
      </c>
      <c r="H3" s="19">
        <f t="shared" si="3"/>
        <v>0.63934426229508212</v>
      </c>
      <c r="I3" s="18">
        <f>SUM($D$2:D3)-SUM($G$2:G3)</f>
        <v>30870</v>
      </c>
      <c r="J3" s="34"/>
      <c r="K3" s="20">
        <f t="shared" si="4"/>
        <v>0</v>
      </c>
      <c r="L3" s="20"/>
      <c r="M3" s="20"/>
      <c r="O3" s="8">
        <f t="shared" ref="O3:O9" si="5">A2</f>
        <v>45047</v>
      </c>
      <c r="P3" s="2">
        <f>R3*0.3</f>
        <v>6570</v>
      </c>
      <c r="Q3" s="2">
        <f t="shared" ref="Q3:Q9" si="6">R3-P3</f>
        <v>15330</v>
      </c>
      <c r="R3" s="2">
        <f t="shared" ref="R3:R9" si="7">S3+T3</f>
        <v>21900</v>
      </c>
      <c r="S3" s="2">
        <f t="shared" ref="S3:S9" si="8">VLOOKUP(O3,$A$1:$H$37,5,0)</f>
        <v>7930</v>
      </c>
      <c r="T3" s="2">
        <f t="shared" ref="T3:T9" si="9">VLOOKUP(O3,$A$1:$H$37,6,0)</f>
        <v>13970</v>
      </c>
      <c r="U3" s="2">
        <f t="shared" ref="U3:U9" si="10">VLOOKUP(O3,$A$1:$H$37,7,0)</f>
        <v>1150</v>
      </c>
    </row>
    <row r="4" spans="1:21" x14ac:dyDescent="0.35">
      <c r="A4" s="21">
        <v>45049</v>
      </c>
      <c r="B4" s="20">
        <f t="shared" si="0"/>
        <v>6171.75</v>
      </c>
      <c r="C4" s="20">
        <f t="shared" si="1"/>
        <v>9653.25</v>
      </c>
      <c r="D4" s="20">
        <f t="shared" si="2"/>
        <v>15825</v>
      </c>
      <c r="E4" s="22">
        <v>4650</v>
      </c>
      <c r="F4" s="22">
        <v>11175</v>
      </c>
      <c r="G4" s="22">
        <f>610+340</f>
        <v>950</v>
      </c>
      <c r="H4" s="19">
        <f t="shared" si="3"/>
        <v>0.63934426229508201</v>
      </c>
      <c r="I4" s="18">
        <f>SUM($D$2:D4)-SUM($G$2:G4)</f>
        <v>45745</v>
      </c>
      <c r="J4" s="34"/>
      <c r="K4" s="20">
        <f t="shared" si="4"/>
        <v>0</v>
      </c>
      <c r="L4" s="22"/>
      <c r="M4" s="22"/>
      <c r="O4" s="9">
        <f t="shared" si="5"/>
        <v>45048</v>
      </c>
      <c r="P4" s="4">
        <f>R4*0.3</f>
        <v>4218</v>
      </c>
      <c r="Q4" s="4">
        <f t="shared" si="6"/>
        <v>9842</v>
      </c>
      <c r="R4" s="4">
        <f t="shared" si="7"/>
        <v>14060</v>
      </c>
      <c r="S4" s="4">
        <f t="shared" si="8"/>
        <v>13310</v>
      </c>
      <c r="T4" s="4">
        <f t="shared" si="9"/>
        <v>750</v>
      </c>
      <c r="U4" s="4">
        <f t="shared" si="10"/>
        <v>3940</v>
      </c>
    </row>
    <row r="5" spans="1:21" x14ac:dyDescent="0.35">
      <c r="A5" s="21">
        <v>45050</v>
      </c>
      <c r="B5" s="20">
        <f t="shared" si="0"/>
        <v>6002.1</v>
      </c>
      <c r="C5" s="20">
        <f t="shared" si="1"/>
        <v>9387.9</v>
      </c>
      <c r="D5" s="20">
        <f t="shared" si="2"/>
        <v>15390</v>
      </c>
      <c r="E5" s="20">
        <v>9180</v>
      </c>
      <c r="F5" s="20">
        <v>6210</v>
      </c>
      <c r="G5" s="22">
        <v>3970</v>
      </c>
      <c r="H5" s="19">
        <f t="shared" si="3"/>
        <v>0.63934426229508201</v>
      </c>
      <c r="I5" s="18">
        <f>SUM($D$2:D5)-SUM($G$2:G5)</f>
        <v>57165</v>
      </c>
      <c r="J5" s="34"/>
      <c r="K5" s="20">
        <f t="shared" si="4"/>
        <v>0</v>
      </c>
      <c r="L5" s="20"/>
      <c r="M5" s="20"/>
      <c r="O5" s="8">
        <f t="shared" si="5"/>
        <v>45049</v>
      </c>
      <c r="P5" s="2">
        <f t="shared" ref="P5:P9" si="11">R5*0.3</f>
        <v>4747.5</v>
      </c>
      <c r="Q5" s="2">
        <f t="shared" si="6"/>
        <v>11077.5</v>
      </c>
      <c r="R5" s="2">
        <f t="shared" si="7"/>
        <v>15825</v>
      </c>
      <c r="S5" s="2">
        <f t="shared" si="8"/>
        <v>4650</v>
      </c>
      <c r="T5" s="2">
        <f t="shared" si="9"/>
        <v>11175</v>
      </c>
      <c r="U5" s="2">
        <f t="shared" si="10"/>
        <v>950</v>
      </c>
    </row>
    <row r="6" spans="1:21" x14ac:dyDescent="0.35">
      <c r="A6" s="21">
        <v>45051</v>
      </c>
      <c r="B6" s="20">
        <f t="shared" si="0"/>
        <v>10629.45</v>
      </c>
      <c r="C6" s="20">
        <f t="shared" si="1"/>
        <v>16625.55</v>
      </c>
      <c r="D6" s="20">
        <f t="shared" si="2"/>
        <v>27255</v>
      </c>
      <c r="E6" s="20">
        <v>2325</v>
      </c>
      <c r="F6" s="20">
        <v>24930</v>
      </c>
      <c r="G6" s="20">
        <v>35</v>
      </c>
      <c r="H6" s="19">
        <f t="shared" si="3"/>
        <v>0.63934426229508201</v>
      </c>
      <c r="I6" s="18">
        <f>SUM($D$2:D6)-SUM($G$2:G6)</f>
        <v>84385</v>
      </c>
      <c r="J6" s="34"/>
      <c r="K6" s="20">
        <f t="shared" si="4"/>
        <v>0</v>
      </c>
      <c r="L6" s="20"/>
      <c r="M6" s="20"/>
      <c r="O6" s="9">
        <f t="shared" si="5"/>
        <v>45050</v>
      </c>
      <c r="P6" s="4">
        <f t="shared" si="11"/>
        <v>4617</v>
      </c>
      <c r="Q6" s="4">
        <f t="shared" si="6"/>
        <v>10773</v>
      </c>
      <c r="R6" s="4">
        <f t="shared" si="7"/>
        <v>15390</v>
      </c>
      <c r="S6" s="4">
        <f t="shared" si="8"/>
        <v>9180</v>
      </c>
      <c r="T6" s="4">
        <f t="shared" si="9"/>
        <v>6210</v>
      </c>
      <c r="U6" s="4">
        <f t="shared" si="10"/>
        <v>3970</v>
      </c>
    </row>
    <row r="7" spans="1:21" x14ac:dyDescent="0.35">
      <c r="A7" s="21">
        <v>45052</v>
      </c>
      <c r="B7" s="20">
        <f t="shared" si="0"/>
        <v>6750.9000000000005</v>
      </c>
      <c r="C7" s="20">
        <f t="shared" si="1"/>
        <v>10559.099999999999</v>
      </c>
      <c r="D7" s="20">
        <f t="shared" si="2"/>
        <v>17310</v>
      </c>
      <c r="E7" s="22">
        <v>9620</v>
      </c>
      <c r="F7" s="22">
        <v>7690</v>
      </c>
      <c r="G7" s="22">
        <v>290</v>
      </c>
      <c r="H7" s="19">
        <f t="shared" si="3"/>
        <v>0.63934426229508212</v>
      </c>
      <c r="I7" s="18">
        <f>SUM($D$2:D7)-SUM($G$2:G7)</f>
        <v>101405</v>
      </c>
      <c r="J7" s="34"/>
      <c r="K7" s="20">
        <f t="shared" si="4"/>
        <v>0</v>
      </c>
      <c r="L7" s="22"/>
      <c r="M7" s="22"/>
      <c r="O7" s="8">
        <f t="shared" si="5"/>
        <v>45051</v>
      </c>
      <c r="P7" s="2">
        <f t="shared" si="11"/>
        <v>8176.5</v>
      </c>
      <c r="Q7" s="2">
        <f t="shared" si="6"/>
        <v>19078.5</v>
      </c>
      <c r="R7" s="2">
        <f t="shared" si="7"/>
        <v>27255</v>
      </c>
      <c r="S7" s="2">
        <f t="shared" si="8"/>
        <v>2325</v>
      </c>
      <c r="T7" s="2">
        <f t="shared" si="9"/>
        <v>24930</v>
      </c>
      <c r="U7" s="2">
        <f t="shared" si="10"/>
        <v>35</v>
      </c>
    </row>
    <row r="8" spans="1:21" x14ac:dyDescent="0.35">
      <c r="A8" s="21">
        <v>45053</v>
      </c>
      <c r="B8" s="20">
        <f t="shared" si="0"/>
        <v>5296.2</v>
      </c>
      <c r="C8" s="20">
        <f t="shared" si="1"/>
        <v>8283.7999999999993</v>
      </c>
      <c r="D8" s="20">
        <f t="shared" si="2"/>
        <v>13580</v>
      </c>
      <c r="E8" s="22">
        <v>3920</v>
      </c>
      <c r="F8" s="22">
        <v>9660</v>
      </c>
      <c r="G8" s="22">
        <v>1620</v>
      </c>
      <c r="H8" s="19">
        <f t="shared" si="3"/>
        <v>0.63934426229508201</v>
      </c>
      <c r="I8" s="18">
        <f>SUM($D$2:D8)-SUM($G$2:G8)</f>
        <v>113365</v>
      </c>
      <c r="J8" s="34"/>
      <c r="K8" s="20">
        <f t="shared" si="4"/>
        <v>0</v>
      </c>
      <c r="L8" s="22"/>
      <c r="M8" s="22"/>
      <c r="O8" s="9">
        <f t="shared" si="5"/>
        <v>45052</v>
      </c>
      <c r="P8" s="4">
        <f t="shared" si="11"/>
        <v>5193</v>
      </c>
      <c r="Q8" s="4">
        <f t="shared" si="6"/>
        <v>12117</v>
      </c>
      <c r="R8" s="4">
        <f t="shared" si="7"/>
        <v>17310</v>
      </c>
      <c r="S8" s="4">
        <f t="shared" si="8"/>
        <v>9620</v>
      </c>
      <c r="T8" s="4">
        <f t="shared" si="9"/>
        <v>7690</v>
      </c>
      <c r="U8" s="4">
        <f t="shared" si="10"/>
        <v>290</v>
      </c>
    </row>
    <row r="9" spans="1:21" x14ac:dyDescent="0.35">
      <c r="A9" s="21">
        <v>45054</v>
      </c>
      <c r="B9" s="20">
        <f t="shared" si="0"/>
        <v>7374.9000000000005</v>
      </c>
      <c r="C9" s="20">
        <f t="shared" si="1"/>
        <v>11535.099999999999</v>
      </c>
      <c r="D9" s="20">
        <f t="shared" si="2"/>
        <v>18910</v>
      </c>
      <c r="E9" s="20">
        <v>11960</v>
      </c>
      <c r="F9" s="20">
        <v>6950</v>
      </c>
      <c r="G9" s="20">
        <v>28700</v>
      </c>
      <c r="H9" s="19">
        <f t="shared" si="3"/>
        <v>0.63934426229508212</v>
      </c>
      <c r="I9" s="18">
        <f>SUM($D$2:D9)-SUM($G$2:G9)</f>
        <v>103575</v>
      </c>
      <c r="J9" s="34"/>
      <c r="K9" s="20">
        <f t="shared" si="4"/>
        <v>0</v>
      </c>
      <c r="L9" s="20"/>
      <c r="M9" s="20"/>
      <c r="O9" s="8">
        <f t="shared" si="5"/>
        <v>45053</v>
      </c>
      <c r="P9" s="2">
        <f t="shared" si="11"/>
        <v>4074</v>
      </c>
      <c r="Q9" s="2">
        <f t="shared" si="6"/>
        <v>9506</v>
      </c>
      <c r="R9" s="2">
        <f t="shared" si="7"/>
        <v>13580</v>
      </c>
      <c r="S9" s="2">
        <f t="shared" si="8"/>
        <v>3920</v>
      </c>
      <c r="T9" s="2">
        <f t="shared" si="9"/>
        <v>9660</v>
      </c>
      <c r="U9" s="2">
        <f t="shared" si="10"/>
        <v>1620</v>
      </c>
    </row>
    <row r="10" spans="1:21" x14ac:dyDescent="0.35">
      <c r="A10" s="21">
        <v>45055</v>
      </c>
      <c r="B10" s="20">
        <f t="shared" si="0"/>
        <v>13353.6</v>
      </c>
      <c r="C10" s="20">
        <f t="shared" si="1"/>
        <v>20886.400000000001</v>
      </c>
      <c r="D10" s="20">
        <f t="shared" si="2"/>
        <v>34240</v>
      </c>
      <c r="E10" s="20">
        <v>10200</v>
      </c>
      <c r="F10" s="20">
        <v>24040</v>
      </c>
      <c r="G10" s="20">
        <v>740</v>
      </c>
      <c r="H10" s="19">
        <f t="shared" si="3"/>
        <v>0.6393442622950819</v>
      </c>
      <c r="I10" s="18">
        <f>SUM($D$2:D10)-SUM($G$2:G10)</f>
        <v>137075</v>
      </c>
      <c r="J10" s="34"/>
      <c r="K10" s="20">
        <f t="shared" si="4"/>
        <v>0</v>
      </c>
      <c r="L10" s="20"/>
      <c r="M10" s="20"/>
      <c r="O10" s="3" t="s">
        <v>4</v>
      </c>
      <c r="P10" s="3">
        <f>SUM(P3:P9)</f>
        <v>37596</v>
      </c>
      <c r="Q10" s="3">
        <f>SUM(Q2:Q9)</f>
        <v>87724</v>
      </c>
      <c r="R10" s="3">
        <f>SUM(R2:R9)</f>
        <v>125320</v>
      </c>
      <c r="S10" s="3">
        <f>SUM(S2:S9)</f>
        <v>50935</v>
      </c>
      <c r="T10" s="3">
        <f>SUM(T2:T9)</f>
        <v>74385</v>
      </c>
      <c r="U10" s="3">
        <f>SUM(U2:U9)</f>
        <v>11955</v>
      </c>
    </row>
    <row r="11" spans="1:21" x14ac:dyDescent="0.35">
      <c r="A11" s="21">
        <v>45056</v>
      </c>
      <c r="B11" s="20">
        <f t="shared" si="0"/>
        <v>9578.4</v>
      </c>
      <c r="C11" s="20">
        <f t="shared" si="1"/>
        <v>14981.6</v>
      </c>
      <c r="D11" s="20">
        <f t="shared" si="2"/>
        <v>24560</v>
      </c>
      <c r="E11" s="20">
        <v>11660</v>
      </c>
      <c r="F11" s="20">
        <v>12900</v>
      </c>
      <c r="G11" s="20">
        <f>680+8700</f>
        <v>9380</v>
      </c>
      <c r="H11" s="19">
        <f t="shared" si="3"/>
        <v>0.6393442622950819</v>
      </c>
      <c r="I11" s="18">
        <f>SUM($D$2:D11)-SUM($G$2:G11)</f>
        <v>152255</v>
      </c>
      <c r="J11" s="34"/>
      <c r="K11" s="20">
        <f t="shared" si="4"/>
        <v>0</v>
      </c>
      <c r="L11" s="20"/>
      <c r="M11" s="20"/>
      <c r="O11" s="3" t="s">
        <v>0</v>
      </c>
      <c r="P11" s="3">
        <f>P10/3</f>
        <v>12532</v>
      </c>
      <c r="Q11" s="3"/>
      <c r="R11" s="3"/>
      <c r="S11" s="2"/>
      <c r="T11" s="2"/>
      <c r="U11" s="2"/>
    </row>
    <row r="12" spans="1:21" x14ac:dyDescent="0.35">
      <c r="A12" s="21">
        <v>45057</v>
      </c>
      <c r="B12" s="20">
        <f t="shared" si="0"/>
        <v>5721.3</v>
      </c>
      <c r="C12" s="20">
        <f t="shared" si="1"/>
        <v>8948.7000000000007</v>
      </c>
      <c r="D12" s="20">
        <f t="shared" si="2"/>
        <v>14670</v>
      </c>
      <c r="E12" s="20">
        <v>5570</v>
      </c>
      <c r="F12" s="20">
        <v>9100</v>
      </c>
      <c r="G12" s="20">
        <v>190</v>
      </c>
      <c r="H12" s="19">
        <f t="shared" si="3"/>
        <v>0.6393442622950819</v>
      </c>
      <c r="I12" s="18">
        <f>SUM($D$2:D12)-SUM($G$2:G12)</f>
        <v>166735</v>
      </c>
      <c r="J12" s="34"/>
      <c r="K12" s="20">
        <f t="shared" si="4"/>
        <v>0</v>
      </c>
      <c r="L12" s="20"/>
      <c r="M12" s="20"/>
    </row>
    <row r="13" spans="1:21" x14ac:dyDescent="0.35">
      <c r="A13" s="21">
        <v>45058</v>
      </c>
      <c r="B13" s="20">
        <f t="shared" si="0"/>
        <v>3706.9500000000003</v>
      </c>
      <c r="C13" s="20">
        <f t="shared" si="1"/>
        <v>5798.0499999999993</v>
      </c>
      <c r="D13" s="20">
        <f t="shared" si="2"/>
        <v>9505</v>
      </c>
      <c r="E13" s="20">
        <v>5375</v>
      </c>
      <c r="F13" s="20">
        <v>4130</v>
      </c>
      <c r="G13" s="20">
        <v>4550</v>
      </c>
      <c r="H13" s="19">
        <f t="shared" si="3"/>
        <v>0.63934426229508212</v>
      </c>
      <c r="I13" s="18">
        <f>SUM($D$2:D13)-SUM($G$2:G13)</f>
        <v>171690</v>
      </c>
      <c r="J13" s="34"/>
      <c r="K13" s="20">
        <f t="shared" si="4"/>
        <v>0</v>
      </c>
      <c r="L13" s="20"/>
      <c r="M13" s="20"/>
      <c r="O13" s="7" t="s">
        <v>7</v>
      </c>
      <c r="P13" s="6" t="s">
        <v>6</v>
      </c>
      <c r="Q13" s="6" t="s">
        <v>5</v>
      </c>
      <c r="R13" s="6" t="s">
        <v>4</v>
      </c>
      <c r="S13" s="6" t="s">
        <v>3</v>
      </c>
      <c r="T13" s="6" t="s">
        <v>2</v>
      </c>
      <c r="U13" s="6" t="s">
        <v>1</v>
      </c>
    </row>
    <row r="14" spans="1:21" x14ac:dyDescent="0.35">
      <c r="A14" s="21">
        <v>45059</v>
      </c>
      <c r="B14" s="20">
        <f t="shared" si="0"/>
        <v>9147.4500000000007</v>
      </c>
      <c r="C14" s="20">
        <f t="shared" si="1"/>
        <v>14307.55</v>
      </c>
      <c r="D14" s="20">
        <f t="shared" si="2"/>
        <v>23455</v>
      </c>
      <c r="E14" s="20">
        <v>6915</v>
      </c>
      <c r="F14" s="20">
        <v>16540</v>
      </c>
      <c r="G14" s="20">
        <v>120</v>
      </c>
      <c r="H14" s="19">
        <f t="shared" si="3"/>
        <v>0.63934426229508201</v>
      </c>
      <c r="I14" s="18">
        <f>SUM($D$2:D14)-SUM($G$2:G14)</f>
        <v>195025</v>
      </c>
      <c r="J14" s="34"/>
      <c r="K14" s="20">
        <f t="shared" si="4"/>
        <v>0</v>
      </c>
      <c r="L14" s="20"/>
      <c r="M14" s="20"/>
      <c r="O14" s="8">
        <f t="shared" ref="O14:O20" si="12">A9</f>
        <v>45054</v>
      </c>
      <c r="P14" s="2">
        <f>R14*0.3</f>
        <v>5673</v>
      </c>
      <c r="Q14" s="2">
        <f t="shared" ref="Q14:Q20" si="13">R14-P14</f>
        <v>13237</v>
      </c>
      <c r="R14" s="2">
        <f t="shared" ref="R14:R20" si="14">S14+T14</f>
        <v>18910</v>
      </c>
      <c r="S14" s="2">
        <f t="shared" ref="S14:S20" si="15">VLOOKUP(O14,$A$1:$H$37,5,0)</f>
        <v>11960</v>
      </c>
      <c r="T14" s="2">
        <f t="shared" ref="T14:T20" si="16">VLOOKUP(O14,$A$1:$H$37,6,0)</f>
        <v>6950</v>
      </c>
      <c r="U14" s="2">
        <f t="shared" ref="U14:U20" si="17">VLOOKUP(O14,$A$1:$H$37,7,0)</f>
        <v>28700</v>
      </c>
    </row>
    <row r="15" spans="1:21" x14ac:dyDescent="0.35">
      <c r="A15" s="21">
        <v>45060</v>
      </c>
      <c r="B15" s="20">
        <f t="shared" si="0"/>
        <v>5298.1500000000005</v>
      </c>
      <c r="C15" s="20">
        <f t="shared" si="1"/>
        <v>8286.8499999999985</v>
      </c>
      <c r="D15" s="20">
        <f t="shared" si="2"/>
        <v>13585</v>
      </c>
      <c r="E15" s="20">
        <v>9705</v>
      </c>
      <c r="F15" s="20">
        <v>3880</v>
      </c>
      <c r="G15" s="20">
        <v>80</v>
      </c>
      <c r="H15" s="19">
        <f t="shared" si="3"/>
        <v>0.63934426229508212</v>
      </c>
      <c r="I15" s="18">
        <f>SUM($D$2:D15)-SUM($G$2:G15)</f>
        <v>208530</v>
      </c>
      <c r="J15" s="34"/>
      <c r="K15" s="20">
        <f t="shared" si="4"/>
        <v>0</v>
      </c>
      <c r="L15" s="20"/>
      <c r="M15" s="20"/>
      <c r="O15" s="9">
        <f t="shared" si="12"/>
        <v>45055</v>
      </c>
      <c r="P15" s="4">
        <f>R15*0.3</f>
        <v>10272</v>
      </c>
      <c r="Q15" s="4">
        <f t="shared" si="13"/>
        <v>23968</v>
      </c>
      <c r="R15" s="4">
        <f t="shared" si="14"/>
        <v>34240</v>
      </c>
      <c r="S15" s="4">
        <f t="shared" si="15"/>
        <v>10200</v>
      </c>
      <c r="T15" s="4">
        <f t="shared" si="16"/>
        <v>24040</v>
      </c>
      <c r="U15" s="4">
        <f t="shared" si="17"/>
        <v>740</v>
      </c>
    </row>
    <row r="16" spans="1:21" x14ac:dyDescent="0.35">
      <c r="A16" s="21">
        <v>45061</v>
      </c>
      <c r="B16" s="20">
        <f t="shared" si="0"/>
        <v>5171.4000000000005</v>
      </c>
      <c r="C16" s="20">
        <f t="shared" si="1"/>
        <v>8088.5999999999995</v>
      </c>
      <c r="D16" s="20">
        <f t="shared" si="2"/>
        <v>13260</v>
      </c>
      <c r="E16" s="20">
        <v>10180</v>
      </c>
      <c r="F16" s="20">
        <v>3080</v>
      </c>
      <c r="G16" s="20">
        <v>140</v>
      </c>
      <c r="H16" s="19">
        <f t="shared" si="3"/>
        <v>0.63934426229508212</v>
      </c>
      <c r="I16" s="18">
        <f>SUM($D$2:D16)-SUM($G$2:G16)</f>
        <v>221650</v>
      </c>
      <c r="J16" s="34"/>
      <c r="K16" s="20">
        <f t="shared" si="4"/>
        <v>17590</v>
      </c>
      <c r="L16" s="20">
        <v>10190</v>
      </c>
      <c r="M16" s="20">
        <f>3470+3930</f>
        <v>7400</v>
      </c>
      <c r="O16" s="8">
        <f t="shared" si="12"/>
        <v>45056</v>
      </c>
      <c r="P16" s="2">
        <f t="shared" ref="P16:P20" si="18">R16*0.3</f>
        <v>7368</v>
      </c>
      <c r="Q16" s="2">
        <f t="shared" si="13"/>
        <v>17192</v>
      </c>
      <c r="R16" s="2">
        <f t="shared" si="14"/>
        <v>24560</v>
      </c>
      <c r="S16" s="2">
        <f t="shared" si="15"/>
        <v>11660</v>
      </c>
      <c r="T16" s="2">
        <f t="shared" si="16"/>
        <v>12900</v>
      </c>
      <c r="U16" s="2">
        <f t="shared" si="17"/>
        <v>9380</v>
      </c>
    </row>
    <row r="17" spans="1:21" x14ac:dyDescent="0.35">
      <c r="A17" s="21">
        <v>45062</v>
      </c>
      <c r="B17" s="20">
        <f t="shared" si="0"/>
        <v>5212.3500000000004</v>
      </c>
      <c r="C17" s="20">
        <f t="shared" si="1"/>
        <v>8152.65</v>
      </c>
      <c r="D17" s="20">
        <f t="shared" si="2"/>
        <v>13365</v>
      </c>
      <c r="E17" s="20">
        <v>11435</v>
      </c>
      <c r="F17" s="20">
        <v>1930</v>
      </c>
      <c r="G17" s="20">
        <v>650</v>
      </c>
      <c r="H17" s="19">
        <f t="shared" si="3"/>
        <v>0.63934426229508201</v>
      </c>
      <c r="I17" s="18">
        <f>SUM($D$2:D17)-SUM($G$2:G17)</f>
        <v>234365</v>
      </c>
      <c r="J17" s="34"/>
      <c r="K17" s="20">
        <f t="shared" si="4"/>
        <v>0</v>
      </c>
      <c r="L17" s="20"/>
      <c r="M17" s="20"/>
      <c r="O17" s="9">
        <f t="shared" si="12"/>
        <v>45057</v>
      </c>
      <c r="P17" s="4">
        <f t="shared" si="18"/>
        <v>4401</v>
      </c>
      <c r="Q17" s="4">
        <f t="shared" si="13"/>
        <v>10269</v>
      </c>
      <c r="R17" s="4">
        <f t="shared" si="14"/>
        <v>14670</v>
      </c>
      <c r="S17" s="4">
        <f t="shared" si="15"/>
        <v>5570</v>
      </c>
      <c r="T17" s="4">
        <f t="shared" si="16"/>
        <v>9100</v>
      </c>
      <c r="U17" s="4">
        <f t="shared" si="17"/>
        <v>190</v>
      </c>
    </row>
    <row r="18" spans="1:21" x14ac:dyDescent="0.35">
      <c r="A18" s="21">
        <v>45063</v>
      </c>
      <c r="B18" s="20">
        <f t="shared" si="0"/>
        <v>8724.3000000000011</v>
      </c>
      <c r="C18" s="20">
        <f t="shared" si="1"/>
        <v>13645.699999999999</v>
      </c>
      <c r="D18" s="20">
        <f t="shared" si="2"/>
        <v>22370</v>
      </c>
      <c r="E18" s="20">
        <v>20900</v>
      </c>
      <c r="F18" s="20">
        <v>1470</v>
      </c>
      <c r="G18" s="20">
        <v>1600</v>
      </c>
      <c r="H18" s="19">
        <f t="shared" si="3"/>
        <v>0.63934426229508212</v>
      </c>
      <c r="I18" s="18">
        <f>SUM($D$2:D18)-SUM($G$2:G18)</f>
        <v>255135</v>
      </c>
      <c r="J18" s="34"/>
      <c r="K18" s="20">
        <f t="shared" si="4"/>
        <v>0</v>
      </c>
      <c r="L18" s="20"/>
      <c r="M18" s="20"/>
      <c r="O18" s="8">
        <f t="shared" si="12"/>
        <v>45058</v>
      </c>
      <c r="P18" s="2">
        <f t="shared" si="18"/>
        <v>2851.5</v>
      </c>
      <c r="Q18" s="2">
        <f t="shared" si="13"/>
        <v>6653.5</v>
      </c>
      <c r="R18" s="2">
        <f t="shared" si="14"/>
        <v>9505</v>
      </c>
      <c r="S18" s="2">
        <f t="shared" si="15"/>
        <v>5375</v>
      </c>
      <c r="T18" s="2">
        <f t="shared" si="16"/>
        <v>4130</v>
      </c>
      <c r="U18" s="2">
        <f t="shared" si="17"/>
        <v>4550</v>
      </c>
    </row>
    <row r="19" spans="1:21" x14ac:dyDescent="0.35">
      <c r="A19" s="21">
        <v>45064</v>
      </c>
      <c r="B19" s="20">
        <f t="shared" si="0"/>
        <v>4291.95</v>
      </c>
      <c r="C19" s="20">
        <f t="shared" si="1"/>
        <v>6713.05</v>
      </c>
      <c r="D19" s="20">
        <f t="shared" si="2"/>
        <v>11005</v>
      </c>
      <c r="E19" s="20">
        <v>8335</v>
      </c>
      <c r="F19" s="20">
        <v>2670</v>
      </c>
      <c r="G19" s="20">
        <v>650</v>
      </c>
      <c r="H19" s="19">
        <f t="shared" si="3"/>
        <v>0.6393442622950819</v>
      </c>
      <c r="I19" s="18">
        <f>SUM($D$2:D19)-SUM($G$2:G19)</f>
        <v>265490</v>
      </c>
      <c r="J19" s="34"/>
      <c r="K19" s="20">
        <f t="shared" si="4"/>
        <v>0</v>
      </c>
      <c r="L19" s="20"/>
      <c r="M19" s="20"/>
      <c r="O19" s="9">
        <f t="shared" si="12"/>
        <v>45059</v>
      </c>
      <c r="P19" s="4">
        <f t="shared" si="18"/>
        <v>7036.5</v>
      </c>
      <c r="Q19" s="4">
        <f t="shared" si="13"/>
        <v>16418.5</v>
      </c>
      <c r="R19" s="4">
        <f t="shared" si="14"/>
        <v>23455</v>
      </c>
      <c r="S19" s="4">
        <f t="shared" si="15"/>
        <v>6915</v>
      </c>
      <c r="T19" s="4">
        <f t="shared" si="16"/>
        <v>16540</v>
      </c>
      <c r="U19" s="4">
        <f t="shared" si="17"/>
        <v>120</v>
      </c>
    </row>
    <row r="20" spans="1:21" x14ac:dyDescent="0.35">
      <c r="A20" s="21">
        <v>45065</v>
      </c>
      <c r="B20" s="20">
        <f t="shared" si="0"/>
        <v>3125.85</v>
      </c>
      <c r="C20" s="20">
        <f t="shared" si="1"/>
        <v>4889.1499999999996</v>
      </c>
      <c r="D20" s="20">
        <f t="shared" si="2"/>
        <v>8015</v>
      </c>
      <c r="E20" s="20">
        <f>5400+380</f>
        <v>5780</v>
      </c>
      <c r="F20" s="20">
        <v>2235</v>
      </c>
      <c r="G20" s="20">
        <v>650</v>
      </c>
      <c r="H20" s="19">
        <f t="shared" si="3"/>
        <v>0.63934426229508201</v>
      </c>
      <c r="I20" s="18">
        <f>SUM($D$2:D20)-SUM($G$2:G20)</f>
        <v>272855</v>
      </c>
      <c r="J20" s="34"/>
      <c r="K20" s="20">
        <f t="shared" si="4"/>
        <v>0</v>
      </c>
      <c r="L20" s="20"/>
      <c r="M20" s="20"/>
      <c r="O20" s="8">
        <f t="shared" si="12"/>
        <v>45060</v>
      </c>
      <c r="P20" s="2">
        <f t="shared" si="18"/>
        <v>4075.5</v>
      </c>
      <c r="Q20" s="2">
        <f t="shared" si="13"/>
        <v>9509.5</v>
      </c>
      <c r="R20" s="2">
        <f t="shared" si="14"/>
        <v>13585</v>
      </c>
      <c r="S20" s="2">
        <f t="shared" si="15"/>
        <v>9705</v>
      </c>
      <c r="T20" s="2">
        <f t="shared" si="16"/>
        <v>3880</v>
      </c>
      <c r="U20" s="2">
        <f t="shared" si="17"/>
        <v>80</v>
      </c>
    </row>
    <row r="21" spans="1:21" x14ac:dyDescent="0.35">
      <c r="A21" s="21">
        <v>45066</v>
      </c>
      <c r="B21" s="20">
        <f t="shared" si="0"/>
        <v>5731.05</v>
      </c>
      <c r="C21" s="20">
        <f t="shared" si="1"/>
        <v>8963.9500000000007</v>
      </c>
      <c r="D21" s="20">
        <f t="shared" si="2"/>
        <v>14695</v>
      </c>
      <c r="E21" s="20">
        <v>2525</v>
      </c>
      <c r="F21" s="20">
        <v>12170</v>
      </c>
      <c r="G21" s="20">
        <v>2530</v>
      </c>
      <c r="H21" s="19">
        <f t="shared" si="3"/>
        <v>0.6393442622950819</v>
      </c>
      <c r="I21" s="18">
        <f>SUM($D$2:D21)-SUM($G$2:G21)</f>
        <v>285020</v>
      </c>
      <c r="J21" s="34"/>
      <c r="K21" s="20">
        <f t="shared" si="4"/>
        <v>0</v>
      </c>
      <c r="L21" s="20"/>
      <c r="M21" s="20"/>
      <c r="O21" s="3" t="s">
        <v>4</v>
      </c>
      <c r="P21" s="3">
        <f t="shared" ref="P21:U21" si="19">SUM(P14:P20)</f>
        <v>41677.5</v>
      </c>
      <c r="Q21" s="3">
        <f t="shared" si="19"/>
        <v>97247.5</v>
      </c>
      <c r="R21" s="3">
        <f t="shared" si="19"/>
        <v>138925</v>
      </c>
      <c r="S21" s="3">
        <f t="shared" si="19"/>
        <v>61385</v>
      </c>
      <c r="T21" s="3">
        <f t="shared" si="19"/>
        <v>77540</v>
      </c>
      <c r="U21" s="3">
        <f t="shared" si="19"/>
        <v>43760</v>
      </c>
    </row>
    <row r="22" spans="1:21" x14ac:dyDescent="0.35">
      <c r="A22" s="21">
        <v>45067</v>
      </c>
      <c r="B22" s="20">
        <f t="shared" si="0"/>
        <v>13921.050000000001</v>
      </c>
      <c r="C22" s="20">
        <f t="shared" si="1"/>
        <v>21773.949999999997</v>
      </c>
      <c r="D22" s="20">
        <f t="shared" si="2"/>
        <v>35695</v>
      </c>
      <c r="E22" s="20">
        <v>17225</v>
      </c>
      <c r="F22" s="20">
        <v>18470</v>
      </c>
      <c r="G22" s="20">
        <v>1180</v>
      </c>
      <c r="H22" s="19">
        <f t="shared" si="3"/>
        <v>0.63934426229508212</v>
      </c>
      <c r="I22" s="18">
        <f>SUM($D$2:D22)-SUM($G$2:G22)</f>
        <v>319535</v>
      </c>
      <c r="J22" s="34"/>
      <c r="K22" s="20">
        <f t="shared" si="4"/>
        <v>0</v>
      </c>
      <c r="L22" s="20"/>
      <c r="M22" s="20"/>
      <c r="O22" s="3" t="s">
        <v>0</v>
      </c>
      <c r="P22" s="3">
        <f>P21/3</f>
        <v>13892.5</v>
      </c>
      <c r="Q22" s="3">
        <v>12750</v>
      </c>
      <c r="R22" s="3">
        <f>Q22+P22</f>
        <v>26642.5</v>
      </c>
      <c r="S22" s="2"/>
      <c r="T22" s="2"/>
      <c r="U22" s="2"/>
    </row>
    <row r="23" spans="1:21" x14ac:dyDescent="0.35">
      <c r="A23" s="21">
        <v>45068</v>
      </c>
      <c r="B23" s="20">
        <f t="shared" si="0"/>
        <v>10959</v>
      </c>
      <c r="C23" s="20">
        <f t="shared" si="1"/>
        <v>17141</v>
      </c>
      <c r="D23" s="20">
        <f t="shared" si="2"/>
        <v>28100</v>
      </c>
      <c r="E23" s="20">
        <v>5670</v>
      </c>
      <c r="F23" s="20">
        <v>22430</v>
      </c>
      <c r="G23" s="20">
        <f>19500+1400</f>
        <v>20900</v>
      </c>
      <c r="H23" s="19">
        <f t="shared" si="3"/>
        <v>0.63934426229508201</v>
      </c>
      <c r="I23" s="18">
        <f>SUM($D$2:D23)-SUM($G$2:G23)</f>
        <v>326735</v>
      </c>
      <c r="J23" s="34"/>
      <c r="K23" s="20">
        <f t="shared" si="4"/>
        <v>0</v>
      </c>
      <c r="L23" s="20"/>
      <c r="M23" s="20"/>
      <c r="Q23" t="s">
        <v>19</v>
      </c>
    </row>
    <row r="24" spans="1:21" x14ac:dyDescent="0.35">
      <c r="A24" s="21">
        <v>45069</v>
      </c>
      <c r="B24" s="20">
        <f t="shared" si="0"/>
        <v>10479.300000000001</v>
      </c>
      <c r="C24" s="20">
        <f t="shared" si="1"/>
        <v>16390.699999999997</v>
      </c>
      <c r="D24" s="20">
        <f t="shared" si="2"/>
        <v>26870</v>
      </c>
      <c r="E24" s="20">
        <v>13920</v>
      </c>
      <c r="F24" s="20">
        <v>12950</v>
      </c>
      <c r="G24" s="20">
        <v>550</v>
      </c>
      <c r="H24" s="19">
        <f t="shared" si="3"/>
        <v>0.63934426229508212</v>
      </c>
      <c r="I24" s="18">
        <f>SUM($D$2:D24)-SUM($G$2:G24)</f>
        <v>353055</v>
      </c>
      <c r="J24" s="34"/>
      <c r="K24" s="20">
        <f t="shared" si="4"/>
        <v>0</v>
      </c>
      <c r="L24" s="20"/>
      <c r="M24" s="20"/>
      <c r="O24" s="7" t="s">
        <v>7</v>
      </c>
      <c r="P24" s="6" t="s">
        <v>6</v>
      </c>
      <c r="Q24" s="6" t="s">
        <v>5</v>
      </c>
      <c r="R24" s="6" t="s">
        <v>4</v>
      </c>
      <c r="S24" s="6" t="s">
        <v>3</v>
      </c>
      <c r="T24" s="6" t="s">
        <v>2</v>
      </c>
      <c r="U24" s="6" t="s">
        <v>1</v>
      </c>
    </row>
    <row r="25" spans="1:21" x14ac:dyDescent="0.35">
      <c r="A25" s="21">
        <v>45070</v>
      </c>
      <c r="B25" s="20">
        <f t="shared" si="0"/>
        <v>5411.25</v>
      </c>
      <c r="C25" s="20">
        <f t="shared" si="1"/>
        <v>8463.75</v>
      </c>
      <c r="D25" s="20">
        <f t="shared" si="2"/>
        <v>13875</v>
      </c>
      <c r="E25" s="20">
        <v>9955</v>
      </c>
      <c r="F25" s="20">
        <v>3920</v>
      </c>
      <c r="G25" s="20">
        <v>530</v>
      </c>
      <c r="H25" s="19">
        <f t="shared" si="3"/>
        <v>0.63934426229508201</v>
      </c>
      <c r="I25" s="18">
        <f>SUM($D$2:D25)-SUM($G$2:G25)</f>
        <v>366400</v>
      </c>
      <c r="J25" s="34"/>
      <c r="K25" s="20">
        <f t="shared" si="4"/>
        <v>0</v>
      </c>
      <c r="L25" s="20"/>
      <c r="M25" s="20"/>
      <c r="O25" s="8">
        <f t="shared" ref="O25:O31" si="20">A16</f>
        <v>45061</v>
      </c>
      <c r="P25" s="2">
        <f>R25*0.3</f>
        <v>924</v>
      </c>
      <c r="Q25" s="2">
        <f t="shared" ref="Q25:Q31" si="21">R25-P25</f>
        <v>2156</v>
      </c>
      <c r="R25" s="2">
        <f t="shared" ref="R25:R31" si="22">S25+T25</f>
        <v>3080</v>
      </c>
      <c r="S25" s="2">
        <v>0</v>
      </c>
      <c r="T25" s="2">
        <f t="shared" ref="T25:T31" si="23">VLOOKUP(O25,$A$1:$H$37,6,0)</f>
        <v>3080</v>
      </c>
      <c r="U25" s="2">
        <f t="shared" ref="U25:U31" si="24">VLOOKUP(O25,$A$1:$H$37,7,0)</f>
        <v>140</v>
      </c>
    </row>
    <row r="26" spans="1:21" x14ac:dyDescent="0.35">
      <c r="A26" s="21">
        <v>45071</v>
      </c>
      <c r="B26" s="20">
        <f t="shared" si="0"/>
        <v>9438</v>
      </c>
      <c r="C26" s="20">
        <f t="shared" si="1"/>
        <v>14762</v>
      </c>
      <c r="D26" s="20">
        <f t="shared" si="2"/>
        <v>24200</v>
      </c>
      <c r="E26" s="20">
        <v>8600</v>
      </c>
      <c r="F26" s="20">
        <v>15600</v>
      </c>
      <c r="G26" s="20">
        <v>3100</v>
      </c>
      <c r="H26" s="19">
        <f t="shared" si="3"/>
        <v>0.63934426229508201</v>
      </c>
      <c r="I26" s="18">
        <f>SUM($D$2:D26)-SUM($G$2:G26)</f>
        <v>387500</v>
      </c>
      <c r="J26" s="34"/>
      <c r="K26" s="20">
        <f t="shared" si="4"/>
        <v>0</v>
      </c>
      <c r="L26" s="20"/>
      <c r="M26" s="20"/>
      <c r="O26" s="9">
        <f t="shared" si="20"/>
        <v>45062</v>
      </c>
      <c r="P26" s="4">
        <f>R26*0.3</f>
        <v>4009.5</v>
      </c>
      <c r="Q26" s="4">
        <f t="shared" si="21"/>
        <v>9355.5</v>
      </c>
      <c r="R26" s="4">
        <f t="shared" si="22"/>
        <v>13365</v>
      </c>
      <c r="S26" s="4">
        <f t="shared" ref="S26:S31" si="25">VLOOKUP(O26,$A$1:$H$37,5,0)</f>
        <v>11435</v>
      </c>
      <c r="T26" s="4">
        <f t="shared" si="23"/>
        <v>1930</v>
      </c>
      <c r="U26" s="4">
        <f t="shared" si="24"/>
        <v>650</v>
      </c>
    </row>
    <row r="27" spans="1:21" x14ac:dyDescent="0.35">
      <c r="A27" s="21">
        <v>45072</v>
      </c>
      <c r="B27" s="20">
        <f t="shared" si="0"/>
        <v>1969.5</v>
      </c>
      <c r="C27" s="20">
        <f t="shared" si="1"/>
        <v>3080.5</v>
      </c>
      <c r="D27" s="20">
        <f t="shared" si="2"/>
        <v>5050</v>
      </c>
      <c r="E27" s="20">
        <v>4500</v>
      </c>
      <c r="F27" s="20">
        <v>550</v>
      </c>
      <c r="G27" s="20">
        <v>8800</v>
      </c>
      <c r="H27" s="19">
        <f t="shared" si="3"/>
        <v>0.63934426229508201</v>
      </c>
      <c r="I27" s="18">
        <f>SUM($D$2:D27)-SUM($G$2:G27)</f>
        <v>383750</v>
      </c>
      <c r="J27" s="34"/>
      <c r="K27" s="20">
        <f t="shared" si="4"/>
        <v>0</v>
      </c>
      <c r="L27" s="20"/>
      <c r="M27" s="20"/>
      <c r="O27" s="8">
        <f t="shared" si="20"/>
        <v>45063</v>
      </c>
      <c r="P27" s="2">
        <f t="shared" ref="P27:P31" si="26">R27*0.3</f>
        <v>6711</v>
      </c>
      <c r="Q27" s="2">
        <f t="shared" si="21"/>
        <v>15659</v>
      </c>
      <c r="R27" s="2">
        <f t="shared" si="22"/>
        <v>22370</v>
      </c>
      <c r="S27" s="2">
        <f t="shared" si="25"/>
        <v>20900</v>
      </c>
      <c r="T27" s="2">
        <f t="shared" si="23"/>
        <v>1470</v>
      </c>
      <c r="U27" s="2">
        <f t="shared" si="24"/>
        <v>1600</v>
      </c>
    </row>
    <row r="28" spans="1:21" x14ac:dyDescent="0.35">
      <c r="A28" s="21">
        <v>45073</v>
      </c>
      <c r="B28" s="20">
        <f t="shared" si="0"/>
        <v>4941.3</v>
      </c>
      <c r="C28" s="20">
        <f t="shared" si="1"/>
        <v>7728.7</v>
      </c>
      <c r="D28" s="20">
        <f t="shared" si="2"/>
        <v>12670</v>
      </c>
      <c r="E28" s="20">
        <v>7270</v>
      </c>
      <c r="F28" s="20">
        <v>5400</v>
      </c>
      <c r="G28" s="20">
        <v>140</v>
      </c>
      <c r="H28" s="19">
        <f t="shared" si="3"/>
        <v>0.63934426229508201</v>
      </c>
      <c r="I28" s="18">
        <f>SUM($D$2:D28)-SUM($G$2:G28)</f>
        <v>396280</v>
      </c>
      <c r="J28" s="34"/>
      <c r="K28" s="20">
        <f t="shared" si="4"/>
        <v>0</v>
      </c>
      <c r="L28" s="20"/>
      <c r="M28" s="20"/>
      <c r="O28" s="9">
        <f t="shared" si="20"/>
        <v>45064</v>
      </c>
      <c r="P28" s="4">
        <f>R28*0.3</f>
        <v>3301.5</v>
      </c>
      <c r="Q28" s="4">
        <f t="shared" si="21"/>
        <v>7703.5</v>
      </c>
      <c r="R28" s="4">
        <f t="shared" si="22"/>
        <v>11005</v>
      </c>
      <c r="S28" s="4">
        <f t="shared" si="25"/>
        <v>8335</v>
      </c>
      <c r="T28" s="4">
        <f t="shared" si="23"/>
        <v>2670</v>
      </c>
      <c r="U28" s="4">
        <f t="shared" si="24"/>
        <v>650</v>
      </c>
    </row>
    <row r="29" spans="1:21" x14ac:dyDescent="0.35">
      <c r="A29" s="21">
        <v>45074</v>
      </c>
      <c r="B29" s="20">
        <f t="shared" si="0"/>
        <v>2558.4</v>
      </c>
      <c r="C29" s="20">
        <f t="shared" si="1"/>
        <v>4001.6</v>
      </c>
      <c r="D29" s="20">
        <f t="shared" si="2"/>
        <v>6560</v>
      </c>
      <c r="E29" s="20">
        <v>5550</v>
      </c>
      <c r="F29" s="20">
        <v>1010</v>
      </c>
      <c r="G29" s="20">
        <v>100</v>
      </c>
      <c r="H29" s="19">
        <f t="shared" si="3"/>
        <v>0.63934426229508201</v>
      </c>
      <c r="I29" s="18">
        <f>SUM($D$2:D29)-SUM($G$2:G29)</f>
        <v>402740</v>
      </c>
      <c r="J29" s="34"/>
      <c r="K29" s="20">
        <f t="shared" si="4"/>
        <v>0</v>
      </c>
      <c r="L29" s="20"/>
      <c r="M29" s="20"/>
      <c r="O29" s="8">
        <f t="shared" si="20"/>
        <v>45065</v>
      </c>
      <c r="P29" s="2">
        <f t="shared" si="26"/>
        <v>2404.5</v>
      </c>
      <c r="Q29" s="2">
        <f t="shared" si="21"/>
        <v>5610.5</v>
      </c>
      <c r="R29" s="2">
        <f t="shared" si="22"/>
        <v>8015</v>
      </c>
      <c r="S29" s="2">
        <f t="shared" si="25"/>
        <v>5780</v>
      </c>
      <c r="T29" s="2">
        <f t="shared" si="23"/>
        <v>2235</v>
      </c>
      <c r="U29" s="2">
        <f t="shared" si="24"/>
        <v>650</v>
      </c>
    </row>
    <row r="30" spans="1:21" x14ac:dyDescent="0.35">
      <c r="A30" s="21">
        <v>45075</v>
      </c>
      <c r="B30" s="20">
        <f t="shared" si="0"/>
        <v>5898.75</v>
      </c>
      <c r="C30" s="20">
        <f t="shared" si="1"/>
        <v>9226.25</v>
      </c>
      <c r="D30" s="20">
        <f t="shared" si="2"/>
        <v>15125</v>
      </c>
      <c r="E30" s="20">
        <v>4750</v>
      </c>
      <c r="F30" s="20">
        <v>10375</v>
      </c>
      <c r="G30" s="20">
        <v>18120</v>
      </c>
      <c r="H30" s="19">
        <f t="shared" si="3"/>
        <v>0.63934426229508201</v>
      </c>
      <c r="I30" s="18">
        <f>SUM($D$2:D30)-SUM($G$2:G30)</f>
        <v>399745</v>
      </c>
      <c r="J30" s="34"/>
      <c r="K30" s="20">
        <f t="shared" si="4"/>
        <v>0</v>
      </c>
      <c r="L30" s="20"/>
      <c r="M30" s="20"/>
      <c r="O30" s="9">
        <f t="shared" si="20"/>
        <v>45066</v>
      </c>
      <c r="P30" s="4">
        <f t="shared" si="26"/>
        <v>4408.5</v>
      </c>
      <c r="Q30" s="4">
        <f t="shared" si="21"/>
        <v>10286.5</v>
      </c>
      <c r="R30" s="4">
        <f t="shared" si="22"/>
        <v>14695</v>
      </c>
      <c r="S30" s="4">
        <f t="shared" si="25"/>
        <v>2525</v>
      </c>
      <c r="T30" s="4">
        <f t="shared" si="23"/>
        <v>12170</v>
      </c>
      <c r="U30" s="4">
        <f t="shared" si="24"/>
        <v>2530</v>
      </c>
    </row>
    <row r="31" spans="1:21" x14ac:dyDescent="0.35">
      <c r="A31" s="21">
        <v>45076</v>
      </c>
      <c r="B31" s="20">
        <f t="shared" si="0"/>
        <v>8890.0500000000011</v>
      </c>
      <c r="C31" s="20">
        <f t="shared" si="1"/>
        <v>13904.949999999999</v>
      </c>
      <c r="D31" s="20">
        <f t="shared" si="2"/>
        <v>22795</v>
      </c>
      <c r="E31" s="20">
        <v>12420</v>
      </c>
      <c r="F31" s="20">
        <v>10375</v>
      </c>
      <c r="G31" s="20">
        <v>18120</v>
      </c>
      <c r="H31" s="19">
        <f t="shared" si="3"/>
        <v>0.63934426229508212</v>
      </c>
      <c r="I31" s="18">
        <f>SUM($D$2:D31)-SUM($G$2:G31)</f>
        <v>404420</v>
      </c>
      <c r="J31" s="34"/>
      <c r="K31" s="20">
        <f t="shared" si="4"/>
        <v>0</v>
      </c>
      <c r="L31" s="20"/>
      <c r="M31" s="20"/>
      <c r="O31" s="8">
        <f t="shared" si="20"/>
        <v>45067</v>
      </c>
      <c r="P31" s="2">
        <f t="shared" si="26"/>
        <v>10708.5</v>
      </c>
      <c r="Q31" s="2">
        <f t="shared" si="21"/>
        <v>24986.5</v>
      </c>
      <c r="R31" s="2">
        <f t="shared" si="22"/>
        <v>35695</v>
      </c>
      <c r="S31" s="2">
        <f t="shared" si="25"/>
        <v>17225</v>
      </c>
      <c r="T31" s="2">
        <f t="shared" si="23"/>
        <v>18470</v>
      </c>
      <c r="U31" s="2">
        <f t="shared" si="24"/>
        <v>1180</v>
      </c>
    </row>
    <row r="32" spans="1:21" x14ac:dyDescent="0.35">
      <c r="A32" s="21">
        <v>45077</v>
      </c>
      <c r="B32" s="20">
        <f t="shared" si="0"/>
        <v>5434.6500000000005</v>
      </c>
      <c r="C32" s="20">
        <f t="shared" si="1"/>
        <v>8500.3499999999985</v>
      </c>
      <c r="D32" s="20">
        <f t="shared" si="2"/>
        <v>13935</v>
      </c>
      <c r="E32" s="22">
        <v>4900</v>
      </c>
      <c r="F32" s="22">
        <v>9035</v>
      </c>
      <c r="G32" s="22">
        <v>17850</v>
      </c>
      <c r="H32" s="19">
        <f t="shared" si="3"/>
        <v>0.63934426229508212</v>
      </c>
      <c r="I32" s="18">
        <f>SUM($D$2:D32)-SUM($G$2:G32)</f>
        <v>400505</v>
      </c>
      <c r="J32" s="34"/>
      <c r="K32" s="20">
        <f t="shared" si="4"/>
        <v>0</v>
      </c>
      <c r="L32" s="22"/>
      <c r="M32" s="22"/>
      <c r="O32" s="3" t="s">
        <v>4</v>
      </c>
      <c r="P32" s="2">
        <f t="shared" ref="P32:U32" si="27">SUM(P25:P31)</f>
        <v>32467.5</v>
      </c>
      <c r="Q32" s="2">
        <f t="shared" si="27"/>
        <v>75757.5</v>
      </c>
      <c r="R32" s="2">
        <f t="shared" si="27"/>
        <v>108225</v>
      </c>
      <c r="S32" s="2">
        <f t="shared" si="27"/>
        <v>66200</v>
      </c>
      <c r="T32" s="2">
        <f t="shared" si="27"/>
        <v>42025</v>
      </c>
      <c r="U32" s="2">
        <f t="shared" si="27"/>
        <v>7400</v>
      </c>
    </row>
    <row r="33" spans="1:21" x14ac:dyDescent="0.35">
      <c r="A33" s="21">
        <v>45078</v>
      </c>
      <c r="B33" s="20">
        <f t="shared" si="0"/>
        <v>11239.800000000001</v>
      </c>
      <c r="C33" s="20">
        <f t="shared" si="1"/>
        <v>17580.199999999997</v>
      </c>
      <c r="D33" s="20">
        <f t="shared" si="2"/>
        <v>28820</v>
      </c>
      <c r="E33" s="20">
        <v>6560</v>
      </c>
      <c r="F33" s="20">
        <v>22260</v>
      </c>
      <c r="G33" s="20">
        <v>1100</v>
      </c>
      <c r="H33" s="19">
        <f t="shared" si="3"/>
        <v>0.63934426229508212</v>
      </c>
      <c r="I33" s="18">
        <f>SUM($D$2:D33)-SUM($G$2:G33)</f>
        <v>428225</v>
      </c>
      <c r="J33" s="34"/>
      <c r="K33" s="20">
        <f t="shared" si="4"/>
        <v>0</v>
      </c>
      <c r="L33" s="20"/>
      <c r="M33" s="20"/>
      <c r="O33" s="3" t="s">
        <v>0</v>
      </c>
      <c r="P33" s="4">
        <f>P32/3</f>
        <v>10822.5</v>
      </c>
      <c r="Q33" s="4"/>
      <c r="R33" s="4"/>
      <c r="S33" s="4"/>
      <c r="T33" s="4"/>
      <c r="U33" s="4"/>
    </row>
    <row r="34" spans="1:21" x14ac:dyDescent="0.35">
      <c r="A34" s="21">
        <v>45079</v>
      </c>
      <c r="B34" s="20">
        <f t="shared" si="0"/>
        <v>4722.9000000000005</v>
      </c>
      <c r="C34" s="20">
        <f>D34-B34</f>
        <v>7387.0999999999995</v>
      </c>
      <c r="D34" s="20">
        <f t="shared" si="2"/>
        <v>12110</v>
      </c>
      <c r="E34" s="20">
        <v>5280</v>
      </c>
      <c r="F34" s="20">
        <v>6830</v>
      </c>
      <c r="G34" s="20">
        <v>1810</v>
      </c>
      <c r="H34" s="19">
        <f t="shared" si="3"/>
        <v>0.63934426229508212</v>
      </c>
      <c r="I34" s="18">
        <f>SUM($D$2:D34)-SUM($G$2:G34)</f>
        <v>438525</v>
      </c>
      <c r="J34" s="34"/>
      <c r="K34" s="20">
        <f t="shared" si="4"/>
        <v>0</v>
      </c>
      <c r="L34" s="20"/>
      <c r="M34" s="20"/>
    </row>
    <row r="35" spans="1:21" x14ac:dyDescent="0.35">
      <c r="A35" s="21">
        <v>45080</v>
      </c>
      <c r="B35" s="20">
        <f t="shared" si="0"/>
        <v>2835.3</v>
      </c>
      <c r="C35" s="20">
        <f t="shared" si="1"/>
        <v>4434.7</v>
      </c>
      <c r="D35" s="20">
        <f t="shared" si="2"/>
        <v>7270</v>
      </c>
      <c r="E35" s="22">
        <f>4250+550</f>
        <v>4800</v>
      </c>
      <c r="F35" s="22">
        <v>2470</v>
      </c>
      <c r="G35" s="22">
        <v>50</v>
      </c>
      <c r="H35" s="19">
        <f t="shared" si="3"/>
        <v>0.63934426229508201</v>
      </c>
      <c r="I35" s="18">
        <f>SUM($D$2:D35)-SUM($G$2:G35)</f>
        <v>445745</v>
      </c>
      <c r="J35" s="34"/>
      <c r="K35" s="20">
        <f t="shared" si="4"/>
        <v>0</v>
      </c>
      <c r="L35" s="22"/>
      <c r="M35" s="22"/>
      <c r="O35" s="7" t="s">
        <v>7</v>
      </c>
      <c r="P35" s="6" t="s">
        <v>6</v>
      </c>
      <c r="Q35" s="6" t="s">
        <v>5</v>
      </c>
      <c r="R35" s="6" t="s">
        <v>4</v>
      </c>
      <c r="S35" s="6" t="s">
        <v>3</v>
      </c>
      <c r="T35" s="6" t="s">
        <v>2</v>
      </c>
      <c r="U35" s="6" t="s">
        <v>1</v>
      </c>
    </row>
    <row r="36" spans="1:21" x14ac:dyDescent="0.35">
      <c r="A36" s="21">
        <v>45081</v>
      </c>
      <c r="B36" s="20">
        <f t="shared" si="0"/>
        <v>9987.9</v>
      </c>
      <c r="C36" s="20">
        <f t="shared" si="1"/>
        <v>15622.1</v>
      </c>
      <c r="D36" s="20">
        <f t="shared" si="2"/>
        <v>25610</v>
      </c>
      <c r="E36" s="22">
        <v>13790</v>
      </c>
      <c r="F36" s="22">
        <v>11820</v>
      </c>
      <c r="G36" s="22">
        <v>2950</v>
      </c>
      <c r="H36" s="19">
        <f t="shared" si="3"/>
        <v>0.6393442622950819</v>
      </c>
      <c r="I36" s="18">
        <f>SUM($D$2:D36)-SUM($G$2:G36)</f>
        <v>468405</v>
      </c>
      <c r="J36" s="36"/>
      <c r="K36" s="20">
        <f t="shared" si="4"/>
        <v>0</v>
      </c>
      <c r="L36" s="22"/>
      <c r="M36" s="22"/>
      <c r="O36" s="8">
        <f t="shared" ref="O36:O40" si="28">A23</f>
        <v>45068</v>
      </c>
      <c r="P36" s="2">
        <f>R36*0.3</f>
        <v>8430</v>
      </c>
      <c r="Q36" s="2">
        <f t="shared" ref="Q36:Q42" si="29">R36-P36</f>
        <v>19670</v>
      </c>
      <c r="R36" s="2">
        <f t="shared" ref="R36:R42" si="30">S36+T36</f>
        <v>28100</v>
      </c>
      <c r="S36" s="2">
        <f t="shared" ref="S36:S42" si="31">VLOOKUP(O36,$A$1:$H$37,5,0)</f>
        <v>5670</v>
      </c>
      <c r="T36" s="2">
        <f t="shared" ref="T36:T42" si="32">VLOOKUP(O36,$A$1:$H$37,6,0)</f>
        <v>22430</v>
      </c>
      <c r="U36" s="2">
        <f t="shared" ref="U36:U42" si="33">VLOOKUP(O36,$A$1:$H$37,7,0)</f>
        <v>20900</v>
      </c>
    </row>
    <row r="37" spans="1:21" ht="15" thickBot="1" x14ac:dyDescent="0.4">
      <c r="A37" s="17" t="s">
        <v>4</v>
      </c>
      <c r="B37" s="16">
        <f>SUM(B2:B32)</f>
        <v>215213.69999999992</v>
      </c>
      <c r="C37" s="16">
        <f t="shared" ref="C37:I37" si="34">SUM(C2:C32)</f>
        <v>336616.3</v>
      </c>
      <c r="D37" s="16">
        <f t="shared" si="34"/>
        <v>551830</v>
      </c>
      <c r="E37" s="16">
        <f t="shared" si="34"/>
        <v>266235</v>
      </c>
      <c r="F37" s="16">
        <f t="shared" si="34"/>
        <v>285595</v>
      </c>
      <c r="G37" s="16">
        <f t="shared" si="34"/>
        <v>151325</v>
      </c>
      <c r="H37" s="16">
        <f t="shared" si="34"/>
        <v>19.819672131147552</v>
      </c>
      <c r="I37" s="16">
        <f t="shared" si="34"/>
        <v>7263750</v>
      </c>
      <c r="J37" s="33"/>
      <c r="K37" s="16">
        <f t="shared" ref="K37:M37" si="35">SUM(K3:K36)</f>
        <v>17590</v>
      </c>
      <c r="L37" s="16">
        <f t="shared" si="35"/>
        <v>10190</v>
      </c>
      <c r="M37" s="16">
        <f t="shared" si="35"/>
        <v>7400</v>
      </c>
      <c r="O37" s="9">
        <f t="shared" si="28"/>
        <v>45069</v>
      </c>
      <c r="P37" s="4">
        <f>R37*0.3</f>
        <v>8061</v>
      </c>
      <c r="Q37" s="4">
        <f t="shared" si="29"/>
        <v>18809</v>
      </c>
      <c r="R37" s="4">
        <f t="shared" si="30"/>
        <v>26870</v>
      </c>
      <c r="S37" s="4">
        <f t="shared" si="31"/>
        <v>13920</v>
      </c>
      <c r="T37" s="4">
        <f t="shared" si="32"/>
        <v>12950</v>
      </c>
      <c r="U37" s="4">
        <f t="shared" si="33"/>
        <v>550</v>
      </c>
    </row>
    <row r="38" spans="1:21" x14ac:dyDescent="0.35">
      <c r="A38" s="12"/>
      <c r="B38" s="11">
        <f>B37/3</f>
        <v>71737.89999999998</v>
      </c>
      <c r="C38" s="11"/>
      <c r="E38" s="13">
        <f>D37*0.42</f>
        <v>231768.6</v>
      </c>
      <c r="F38" s="11"/>
      <c r="G38" s="11"/>
      <c r="H38" s="10"/>
      <c r="L38" s="13">
        <f>K37*0.42</f>
        <v>7387.7999999999993</v>
      </c>
      <c r="M38" s="11"/>
      <c r="O38" s="8">
        <f t="shared" si="28"/>
        <v>45070</v>
      </c>
      <c r="P38" s="2">
        <f t="shared" ref="P38:P42" si="36">R38*0.3</f>
        <v>4162.5</v>
      </c>
      <c r="Q38" s="2">
        <f t="shared" si="29"/>
        <v>9712.5</v>
      </c>
      <c r="R38" s="2">
        <f t="shared" si="30"/>
        <v>13875</v>
      </c>
      <c r="S38" s="2">
        <f t="shared" si="31"/>
        <v>9955</v>
      </c>
      <c r="T38" s="2">
        <f t="shared" si="32"/>
        <v>3920</v>
      </c>
      <c r="U38" s="2">
        <f t="shared" si="33"/>
        <v>530</v>
      </c>
    </row>
    <row r="39" spans="1:21" x14ac:dyDescent="0.35">
      <c r="A39" s="12"/>
      <c r="B39" s="11">
        <f>B38*100/D37</f>
        <v>12.999999999999996</v>
      </c>
      <c r="C39" s="11"/>
      <c r="E39" s="11">
        <f>E38/3</f>
        <v>77256.2</v>
      </c>
      <c r="F39" s="11"/>
      <c r="G39" s="11"/>
      <c r="H39" s="10"/>
      <c r="L39" s="11">
        <f>L38/3</f>
        <v>2462.6</v>
      </c>
      <c r="M39" s="11"/>
      <c r="O39" s="9">
        <f t="shared" si="28"/>
        <v>45071</v>
      </c>
      <c r="P39" s="4">
        <f t="shared" si="36"/>
        <v>7260</v>
      </c>
      <c r="Q39" s="4">
        <f t="shared" si="29"/>
        <v>16940</v>
      </c>
      <c r="R39" s="4">
        <f t="shared" si="30"/>
        <v>24200</v>
      </c>
      <c r="S39" s="4">
        <f t="shared" si="31"/>
        <v>8600</v>
      </c>
      <c r="T39" s="4">
        <f t="shared" si="32"/>
        <v>15600</v>
      </c>
      <c r="U39" s="4">
        <f t="shared" si="33"/>
        <v>3100</v>
      </c>
    </row>
    <row r="40" spans="1:21" x14ac:dyDescent="0.35">
      <c r="A40" s="7" t="s">
        <v>7</v>
      </c>
      <c r="B40" s="6" t="s">
        <v>6</v>
      </c>
      <c r="C40" s="6" t="s">
        <v>5</v>
      </c>
      <c r="D40" s="6" t="s">
        <v>4</v>
      </c>
      <c r="E40" s="6" t="s">
        <v>3</v>
      </c>
      <c r="F40" s="6" t="s">
        <v>2</v>
      </c>
      <c r="G40" s="6" t="s">
        <v>1</v>
      </c>
      <c r="H40" s="31" t="s">
        <v>0</v>
      </c>
      <c r="K40" s="6" t="s">
        <v>4</v>
      </c>
      <c r="L40" s="6" t="s">
        <v>3</v>
      </c>
      <c r="M40" s="6" t="s">
        <v>2</v>
      </c>
      <c r="O40" s="8">
        <f t="shared" si="28"/>
        <v>45072</v>
      </c>
      <c r="P40" s="2">
        <f t="shared" si="36"/>
        <v>1515</v>
      </c>
      <c r="Q40" s="2">
        <f t="shared" si="29"/>
        <v>3535</v>
      </c>
      <c r="R40" s="2">
        <f t="shared" si="30"/>
        <v>5050</v>
      </c>
      <c r="S40" s="2">
        <f t="shared" si="31"/>
        <v>4500</v>
      </c>
      <c r="T40" s="2">
        <f t="shared" si="32"/>
        <v>550</v>
      </c>
      <c r="U40" s="2">
        <f t="shared" si="33"/>
        <v>8800</v>
      </c>
    </row>
    <row r="41" spans="1:21" x14ac:dyDescent="0.35">
      <c r="A41" s="32" t="str">
        <f>CONCATENATE(TEXT(O3,"DD-MMM-YYY")," to ",TEXT(O9,"DD-MMM-YYYY"))</f>
        <v>01-May-2023 to 07-May-2023</v>
      </c>
      <c r="B41" s="2">
        <f>P10</f>
        <v>37596</v>
      </c>
      <c r="C41" s="2">
        <f t="shared" ref="C41:G41" si="37">Q10</f>
        <v>87724</v>
      </c>
      <c r="D41" s="2">
        <f t="shared" si="37"/>
        <v>125320</v>
      </c>
      <c r="E41" s="2">
        <f t="shared" si="37"/>
        <v>50935</v>
      </c>
      <c r="F41" s="2">
        <f t="shared" si="37"/>
        <v>74385</v>
      </c>
      <c r="G41" s="2">
        <f t="shared" si="37"/>
        <v>11955</v>
      </c>
      <c r="H41" s="2">
        <f>B41/3</f>
        <v>12532</v>
      </c>
      <c r="K41" s="2">
        <f t="shared" ref="K41:M41" si="38">Y10</f>
        <v>0</v>
      </c>
      <c r="L41" s="2">
        <f t="shared" si="38"/>
        <v>0</v>
      </c>
      <c r="M41" s="2">
        <f t="shared" si="38"/>
        <v>0</v>
      </c>
      <c r="O41" s="9">
        <f>A28</f>
        <v>45073</v>
      </c>
      <c r="P41" s="4">
        <f t="shared" si="36"/>
        <v>3801</v>
      </c>
      <c r="Q41" s="4">
        <f t="shared" si="29"/>
        <v>8869</v>
      </c>
      <c r="R41" s="4">
        <f t="shared" si="30"/>
        <v>12670</v>
      </c>
      <c r="S41" s="4">
        <f t="shared" si="31"/>
        <v>7270</v>
      </c>
      <c r="T41" s="4">
        <f t="shared" si="32"/>
        <v>5400</v>
      </c>
      <c r="U41" s="4">
        <f t="shared" si="33"/>
        <v>140</v>
      </c>
    </row>
    <row r="42" spans="1:21" x14ac:dyDescent="0.35">
      <c r="A42" s="32" t="str">
        <f>CONCATENATE(TEXT(O14,"DD-MMM-YYY")," to ",TEXT(O20,"DD-MMM-YYYY"))</f>
        <v>08-May-2023 to 14-May-2023</v>
      </c>
      <c r="B42" s="4">
        <f>P21</f>
        <v>41677.5</v>
      </c>
      <c r="C42" s="4">
        <f t="shared" ref="C42:G42" si="39">Q21</f>
        <v>97247.5</v>
      </c>
      <c r="D42" s="4">
        <f t="shared" si="39"/>
        <v>138925</v>
      </c>
      <c r="E42" s="4">
        <f t="shared" si="39"/>
        <v>61385</v>
      </c>
      <c r="F42" s="4">
        <f t="shared" si="39"/>
        <v>77540</v>
      </c>
      <c r="G42" s="4">
        <f t="shared" si="39"/>
        <v>43760</v>
      </c>
      <c r="H42" s="2">
        <f t="shared" ref="H42:H45" si="40">B42/3</f>
        <v>13892.5</v>
      </c>
      <c r="K42" s="4">
        <f t="shared" ref="K42:M42" si="41">Y21</f>
        <v>0</v>
      </c>
      <c r="L42" s="4">
        <f t="shared" si="41"/>
        <v>0</v>
      </c>
      <c r="M42" s="4">
        <f t="shared" si="41"/>
        <v>0</v>
      </c>
      <c r="O42" s="8">
        <f>A29</f>
        <v>45074</v>
      </c>
      <c r="P42" s="2">
        <f t="shared" si="36"/>
        <v>1968</v>
      </c>
      <c r="Q42" s="2">
        <f t="shared" si="29"/>
        <v>4592</v>
      </c>
      <c r="R42" s="2">
        <f t="shared" si="30"/>
        <v>6560</v>
      </c>
      <c r="S42" s="2">
        <f t="shared" si="31"/>
        <v>5550</v>
      </c>
      <c r="T42" s="2">
        <f t="shared" si="32"/>
        <v>1010</v>
      </c>
      <c r="U42" s="2">
        <f t="shared" si="33"/>
        <v>100</v>
      </c>
    </row>
    <row r="43" spans="1:21" x14ac:dyDescent="0.35">
      <c r="A43" s="32" t="str">
        <f>CONCATENATE(TEXT(O25,"DD-MMM-YYY")," to ",TEXT(O31,"DD-MMM-YYYY"))</f>
        <v>15-May-2023 to 21-May-2023</v>
      </c>
      <c r="B43" s="2">
        <f>P32</f>
        <v>32467.5</v>
      </c>
      <c r="C43" s="2">
        <f t="shared" ref="C43:G43" si="42">Q32</f>
        <v>75757.5</v>
      </c>
      <c r="D43" s="2">
        <f t="shared" si="42"/>
        <v>108225</v>
      </c>
      <c r="E43" s="2">
        <f t="shared" si="42"/>
        <v>66200</v>
      </c>
      <c r="F43" s="2">
        <f t="shared" si="42"/>
        <v>42025</v>
      </c>
      <c r="G43" s="2">
        <f t="shared" si="42"/>
        <v>7400</v>
      </c>
      <c r="H43" s="2">
        <f t="shared" si="40"/>
        <v>10822.5</v>
      </c>
      <c r="K43" s="2">
        <f t="shared" ref="K43:M43" si="43">Y32</f>
        <v>0</v>
      </c>
      <c r="L43" s="2">
        <f t="shared" si="43"/>
        <v>0</v>
      </c>
      <c r="M43" s="2">
        <f t="shared" si="43"/>
        <v>0</v>
      </c>
      <c r="O43" s="3" t="s">
        <v>4</v>
      </c>
      <c r="P43" s="4">
        <f t="shared" ref="P43:U43" si="44">SUM(P36:P42)</f>
        <v>35197.5</v>
      </c>
      <c r="Q43" s="4">
        <f t="shared" si="44"/>
        <v>82127.5</v>
      </c>
      <c r="R43" s="4">
        <f t="shared" si="44"/>
        <v>117325</v>
      </c>
      <c r="S43" s="4">
        <f t="shared" si="44"/>
        <v>55465</v>
      </c>
      <c r="T43" s="4">
        <f t="shared" si="44"/>
        <v>61860</v>
      </c>
      <c r="U43" s="4">
        <f t="shared" si="44"/>
        <v>34120</v>
      </c>
    </row>
    <row r="44" spans="1:21" x14ac:dyDescent="0.35">
      <c r="A44" s="32" t="str">
        <f>CONCATENATE(TEXT(O36,"DD-MMM-YYY")," to ",TEXT(O42,"DD-MMM-YYYY"))</f>
        <v>22-May-2023 to 28-May-2023</v>
      </c>
      <c r="B44" s="4">
        <f>P43</f>
        <v>35197.5</v>
      </c>
      <c r="C44" s="4">
        <f t="shared" ref="C44:G44" si="45">Q43</f>
        <v>82127.5</v>
      </c>
      <c r="D44" s="4">
        <f t="shared" si="45"/>
        <v>117325</v>
      </c>
      <c r="E44" s="4">
        <f t="shared" si="45"/>
        <v>55465</v>
      </c>
      <c r="F44" s="4">
        <f t="shared" si="45"/>
        <v>61860</v>
      </c>
      <c r="G44" s="4">
        <f t="shared" si="45"/>
        <v>34120</v>
      </c>
      <c r="H44" s="2">
        <f t="shared" si="40"/>
        <v>11732.5</v>
      </c>
      <c r="K44" s="4">
        <f t="shared" ref="K44:M44" si="46">Y43</f>
        <v>0</v>
      </c>
      <c r="L44" s="4">
        <f t="shared" si="46"/>
        <v>0</v>
      </c>
      <c r="M44" s="4">
        <f t="shared" si="46"/>
        <v>0</v>
      </c>
      <c r="O44" s="3" t="s">
        <v>0</v>
      </c>
      <c r="P44" s="2">
        <f>P43/3</f>
        <v>11732.5</v>
      </c>
      <c r="Q44" s="2"/>
      <c r="R44" s="2"/>
      <c r="S44" s="2"/>
      <c r="T44" s="2"/>
      <c r="U44" s="2"/>
    </row>
    <row r="45" spans="1:21" x14ac:dyDescent="0.35">
      <c r="A45" s="32" t="str">
        <f>CONCATENATE(TEXT(O47,"DD-MMM-YYY")," to ",TEXT(O53,"DD-MMM-YYYY"))</f>
        <v>29-May-2023 to 04-Jun-2023</v>
      </c>
      <c r="B45" s="2">
        <f>P54</f>
        <v>37699.5</v>
      </c>
      <c r="C45" s="2">
        <f t="shared" ref="C45:G45" si="47">Q54</f>
        <v>87965.5</v>
      </c>
      <c r="D45" s="2">
        <f t="shared" si="47"/>
        <v>125665</v>
      </c>
      <c r="E45" s="2">
        <f>S54</f>
        <v>52500</v>
      </c>
      <c r="F45" s="2">
        <f t="shared" si="47"/>
        <v>73165</v>
      </c>
      <c r="G45" s="2">
        <f t="shared" si="47"/>
        <v>60000</v>
      </c>
      <c r="H45" s="2">
        <f t="shared" si="40"/>
        <v>12566.5</v>
      </c>
      <c r="K45" s="2">
        <f t="shared" ref="K45:M45" si="48">Y54</f>
        <v>0</v>
      </c>
      <c r="L45" s="2">
        <f t="shared" si="48"/>
        <v>0</v>
      </c>
      <c r="M45" s="2">
        <f t="shared" si="48"/>
        <v>0</v>
      </c>
    </row>
    <row r="46" spans="1:21" x14ac:dyDescent="0.35">
      <c r="A46" s="32" t="str">
        <f>CONCATENATE(TEXT(O59,"DD-MMM-YYY")," to ",TEXT(O58,"DD-MMM-YYYY"))</f>
        <v>05-May-2023 to Date</v>
      </c>
      <c r="B46" s="4">
        <f>SUM(B41:B45)</f>
        <v>184638</v>
      </c>
      <c r="C46" s="4">
        <f t="shared" ref="C46:H46" si="49">SUM(C41:C45)</f>
        <v>430822</v>
      </c>
      <c r="D46" s="4">
        <f t="shared" si="49"/>
        <v>615460</v>
      </c>
      <c r="E46" s="4">
        <f t="shared" si="49"/>
        <v>286485</v>
      </c>
      <c r="F46" s="4">
        <f t="shared" si="49"/>
        <v>328975</v>
      </c>
      <c r="G46" s="4">
        <f t="shared" si="49"/>
        <v>157235</v>
      </c>
      <c r="H46" s="4">
        <f t="shared" si="49"/>
        <v>61546</v>
      </c>
      <c r="K46" s="4">
        <f t="shared" ref="K46:M46" si="50">SUM(K41:K45)</f>
        <v>0</v>
      </c>
      <c r="L46" s="4">
        <f t="shared" si="50"/>
        <v>0</v>
      </c>
      <c r="M46" s="4">
        <f t="shared" si="50"/>
        <v>0</v>
      </c>
      <c r="O46" s="7" t="s">
        <v>7</v>
      </c>
      <c r="P46" s="6" t="s">
        <v>6</v>
      </c>
      <c r="Q46" s="6" t="s">
        <v>5</v>
      </c>
      <c r="R46" s="6" t="s">
        <v>4</v>
      </c>
      <c r="S46" s="6" t="s">
        <v>3</v>
      </c>
      <c r="T46" s="6" t="s">
        <v>2</v>
      </c>
      <c r="U46" s="6" t="s">
        <v>1</v>
      </c>
    </row>
    <row r="47" spans="1:21" x14ac:dyDescent="0.35">
      <c r="B47" s="1">
        <f>B46/3</f>
        <v>61546</v>
      </c>
      <c r="C47" s="67" t="s">
        <v>4</v>
      </c>
      <c r="D47" s="67"/>
      <c r="E47" s="67"/>
      <c r="F47" s="67"/>
      <c r="G47" s="68"/>
      <c r="H47" s="2"/>
      <c r="K47"/>
      <c r="L47"/>
      <c r="M47"/>
      <c r="O47" s="8">
        <f t="shared" ref="O47:O53" si="51">A30</f>
        <v>45075</v>
      </c>
      <c r="P47" s="2">
        <f>R47*0.3</f>
        <v>4537.5</v>
      </c>
      <c r="Q47" s="2">
        <f t="shared" ref="Q47:Q53" si="52">R47-P47</f>
        <v>10587.5</v>
      </c>
      <c r="R47" s="2">
        <f t="shared" ref="R47:R53" si="53">S47+T47</f>
        <v>15125</v>
      </c>
      <c r="S47" s="2">
        <f t="shared" ref="S47:S53" si="54">VLOOKUP(O47,$A$1:$H$37,5,0)</f>
        <v>4750</v>
      </c>
      <c r="T47" s="2">
        <f t="shared" ref="T47:T53" si="55">VLOOKUP(O47,$A$1:$H$37,6,0)</f>
        <v>10375</v>
      </c>
      <c r="U47" s="2">
        <f t="shared" ref="U47:U53" si="56">VLOOKUP(O47,$A$1:$H$37,7,0)</f>
        <v>18120</v>
      </c>
    </row>
    <row r="48" spans="1:21" x14ac:dyDescent="0.35">
      <c r="O48" s="9">
        <f t="shared" si="51"/>
        <v>45076</v>
      </c>
      <c r="P48" s="4">
        <f>R48*0.3</f>
        <v>6838.5</v>
      </c>
      <c r="Q48" s="4">
        <f t="shared" si="52"/>
        <v>15956.5</v>
      </c>
      <c r="R48" s="4">
        <f t="shared" si="53"/>
        <v>22795</v>
      </c>
      <c r="S48" s="4">
        <f t="shared" si="54"/>
        <v>12420</v>
      </c>
      <c r="T48" s="4">
        <f t="shared" si="55"/>
        <v>10375</v>
      </c>
      <c r="U48" s="4">
        <f t="shared" si="56"/>
        <v>18120</v>
      </c>
    </row>
    <row r="49" spans="2:21" x14ac:dyDescent="0.35">
      <c r="B49" s="1">
        <f>SUM(B33:B36)</f>
        <v>28785.9</v>
      </c>
      <c r="C49" s="1">
        <f t="shared" ref="C49:H49" si="57">SUM(C33:C36)</f>
        <v>45024.1</v>
      </c>
      <c r="D49" s="1">
        <f t="shared" si="57"/>
        <v>73810</v>
      </c>
      <c r="E49" s="1">
        <f t="shared" si="57"/>
        <v>30430</v>
      </c>
      <c r="F49" s="1">
        <f t="shared" si="57"/>
        <v>43380</v>
      </c>
      <c r="G49" s="1">
        <f t="shared" si="57"/>
        <v>5910</v>
      </c>
      <c r="H49" s="1">
        <f t="shared" si="57"/>
        <v>2.557377049180328</v>
      </c>
      <c r="O49" s="8">
        <f t="shared" si="51"/>
        <v>45077</v>
      </c>
      <c r="P49" s="2">
        <f t="shared" ref="P49:P53" si="58">R49*0.3</f>
        <v>4180.5</v>
      </c>
      <c r="Q49" s="2">
        <f t="shared" si="52"/>
        <v>9754.5</v>
      </c>
      <c r="R49" s="2">
        <f t="shared" si="53"/>
        <v>13935</v>
      </c>
      <c r="S49" s="2">
        <f t="shared" si="54"/>
        <v>4900</v>
      </c>
      <c r="T49" s="2">
        <f t="shared" si="55"/>
        <v>9035</v>
      </c>
      <c r="U49" s="2">
        <f t="shared" si="56"/>
        <v>17850</v>
      </c>
    </row>
    <row r="50" spans="2:21" x14ac:dyDescent="0.35">
      <c r="O50" s="9">
        <f t="shared" si="51"/>
        <v>45078</v>
      </c>
      <c r="P50" s="4">
        <f t="shared" si="58"/>
        <v>8646</v>
      </c>
      <c r="Q50" s="4">
        <f t="shared" si="52"/>
        <v>20174</v>
      </c>
      <c r="R50" s="4">
        <f t="shared" si="53"/>
        <v>28820</v>
      </c>
      <c r="S50" s="4">
        <f t="shared" si="54"/>
        <v>6560</v>
      </c>
      <c r="T50" s="4">
        <f t="shared" si="55"/>
        <v>22260</v>
      </c>
      <c r="U50" s="4">
        <f t="shared" si="56"/>
        <v>1100</v>
      </c>
    </row>
    <row r="51" spans="2:21" x14ac:dyDescent="0.35">
      <c r="O51" s="8">
        <f t="shared" si="51"/>
        <v>45079</v>
      </c>
      <c r="P51" s="2">
        <f t="shared" si="58"/>
        <v>3633</v>
      </c>
      <c r="Q51" s="2">
        <f t="shared" si="52"/>
        <v>8477</v>
      </c>
      <c r="R51" s="2">
        <f t="shared" si="53"/>
        <v>12110</v>
      </c>
      <c r="S51" s="2">
        <f t="shared" si="54"/>
        <v>5280</v>
      </c>
      <c r="T51" s="2">
        <f t="shared" si="55"/>
        <v>6830</v>
      </c>
      <c r="U51" s="2">
        <f t="shared" si="56"/>
        <v>1810</v>
      </c>
    </row>
    <row r="52" spans="2:21" x14ac:dyDescent="0.35">
      <c r="O52" s="9">
        <f t="shared" si="51"/>
        <v>45080</v>
      </c>
      <c r="P52" s="4">
        <f t="shared" si="58"/>
        <v>2181</v>
      </c>
      <c r="Q52" s="4">
        <f t="shared" si="52"/>
        <v>5089</v>
      </c>
      <c r="R52" s="4">
        <f t="shared" si="53"/>
        <v>7270</v>
      </c>
      <c r="S52" s="4">
        <f t="shared" si="54"/>
        <v>4800</v>
      </c>
      <c r="T52" s="4">
        <f t="shared" si="55"/>
        <v>2470</v>
      </c>
      <c r="U52" s="4">
        <f t="shared" si="56"/>
        <v>50</v>
      </c>
    </row>
    <row r="53" spans="2:21" x14ac:dyDescent="0.35">
      <c r="O53" s="8">
        <f t="shared" si="51"/>
        <v>45081</v>
      </c>
      <c r="P53" s="2">
        <f t="shared" si="58"/>
        <v>7683</v>
      </c>
      <c r="Q53" s="2">
        <f t="shared" si="52"/>
        <v>17927</v>
      </c>
      <c r="R53" s="2">
        <f t="shared" si="53"/>
        <v>25610</v>
      </c>
      <c r="S53" s="2">
        <f t="shared" si="54"/>
        <v>13790</v>
      </c>
      <c r="T53" s="2">
        <f t="shared" si="55"/>
        <v>11820</v>
      </c>
      <c r="U53" s="2">
        <f t="shared" si="56"/>
        <v>2950</v>
      </c>
    </row>
    <row r="54" spans="2:21" x14ac:dyDescent="0.35">
      <c r="O54" s="3" t="s">
        <v>4</v>
      </c>
      <c r="P54" s="4">
        <f>SUM(P47:P53)</f>
        <v>37699.5</v>
      </c>
      <c r="Q54" s="4">
        <f>SUM(Q47:Q53)</f>
        <v>87965.5</v>
      </c>
      <c r="R54" s="4">
        <f t="shared" ref="R54:U54" si="59">SUM(R47:R53)</f>
        <v>125665</v>
      </c>
      <c r="S54" s="4">
        <f t="shared" si="59"/>
        <v>52500</v>
      </c>
      <c r="T54" s="4">
        <f t="shared" si="59"/>
        <v>73165</v>
      </c>
      <c r="U54" s="4">
        <f t="shared" si="59"/>
        <v>60000</v>
      </c>
    </row>
    <row r="55" spans="2:21" x14ac:dyDescent="0.35">
      <c r="O55" s="3" t="s">
        <v>0</v>
      </c>
      <c r="P55" s="2">
        <f>P54/3</f>
        <v>12566.5</v>
      </c>
      <c r="Q55" s="2"/>
      <c r="R55" s="2"/>
      <c r="S55" s="2"/>
      <c r="T55" s="2"/>
      <c r="U55" s="2"/>
    </row>
    <row r="58" spans="2:21" x14ac:dyDescent="0.35">
      <c r="O58" s="7" t="s">
        <v>7</v>
      </c>
      <c r="P58" s="6" t="s">
        <v>6</v>
      </c>
      <c r="Q58" s="6" t="s">
        <v>5</v>
      </c>
      <c r="R58" s="6" t="s">
        <v>4</v>
      </c>
      <c r="S58" s="6" t="s">
        <v>3</v>
      </c>
      <c r="T58" s="6" t="s">
        <v>2</v>
      </c>
      <c r="U58" s="6" t="s">
        <v>1</v>
      </c>
    </row>
    <row r="59" spans="2:21" x14ac:dyDescent="0.35">
      <c r="O59" s="5">
        <f>A6</f>
        <v>45051</v>
      </c>
      <c r="P59" s="4">
        <f>SUM(B7:B36)</f>
        <v>207171.89999999994</v>
      </c>
      <c r="Q59" s="4">
        <f t="shared" ref="Q59:U59" si="60">SUM(C7:C36)</f>
        <v>324038.09999999998</v>
      </c>
      <c r="R59" s="4">
        <f t="shared" si="60"/>
        <v>531210</v>
      </c>
      <c r="S59" s="4">
        <f t="shared" si="60"/>
        <v>259270</v>
      </c>
      <c r="T59" s="4">
        <f t="shared" si="60"/>
        <v>271940</v>
      </c>
      <c r="U59" s="4">
        <f t="shared" si="60"/>
        <v>147190</v>
      </c>
    </row>
    <row r="60" spans="2:21" x14ac:dyDescent="0.35">
      <c r="O60" s="3" t="s">
        <v>0</v>
      </c>
      <c r="P60" s="2">
        <f>P59/3</f>
        <v>69057.299999999974</v>
      </c>
      <c r="Q60" s="2"/>
      <c r="R60" s="2"/>
      <c r="S60" s="2"/>
      <c r="T60" s="2"/>
      <c r="U60" s="2"/>
    </row>
  </sheetData>
  <mergeCells count="1">
    <mergeCell ref="C47:G47"/>
  </mergeCells>
  <conditionalFormatting sqref="A1:H1">
    <cfRule type="dataBar" priority="10">
      <dataBar>
        <cfvo type="min"/>
        <cfvo type="max"/>
        <color rgb="FF638EC6"/>
      </dataBar>
    </cfRule>
  </conditionalFormatting>
  <conditionalFormatting sqref="A40:H40">
    <cfRule type="dataBar" priority="2">
      <dataBar>
        <cfvo type="min"/>
        <cfvo type="max"/>
        <color rgb="FF638EC6"/>
      </dataBar>
    </cfRule>
  </conditionalFormatting>
  <conditionalFormatting sqref="H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0:M40">
    <cfRule type="dataBar" priority="1">
      <dataBar>
        <cfvo type="min"/>
        <cfvo type="max"/>
        <color rgb="FF638EC6"/>
      </dataBar>
    </cfRule>
  </conditionalFormatting>
  <conditionalFormatting sqref="O1:U1">
    <cfRule type="dataBar" priority="4">
      <dataBar>
        <cfvo type="min"/>
        <cfvo type="max"/>
        <color rgb="FF638EC6"/>
      </dataBar>
    </cfRule>
  </conditionalFormatting>
  <conditionalFormatting sqref="O13:U13">
    <cfRule type="dataBar" priority="8">
      <dataBar>
        <cfvo type="min"/>
        <cfvo type="max"/>
        <color rgb="FF638EC6"/>
      </dataBar>
    </cfRule>
  </conditionalFormatting>
  <conditionalFormatting sqref="O24:U24">
    <cfRule type="dataBar" priority="7">
      <dataBar>
        <cfvo type="min"/>
        <cfvo type="max"/>
        <color rgb="FF638EC6"/>
      </dataBar>
    </cfRule>
  </conditionalFormatting>
  <conditionalFormatting sqref="O35:U35">
    <cfRule type="dataBar" priority="6">
      <dataBar>
        <cfvo type="min"/>
        <cfvo type="max"/>
        <color rgb="FF638EC6"/>
      </dataBar>
    </cfRule>
  </conditionalFormatting>
  <conditionalFormatting sqref="O46:U46">
    <cfRule type="dataBar" priority="3">
      <dataBar>
        <cfvo type="min"/>
        <cfvo type="max"/>
        <color rgb="FF638EC6"/>
      </dataBar>
    </cfRule>
  </conditionalFormatting>
  <conditionalFormatting sqref="O58:U58">
    <cfRule type="dataBar" priority="5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E5DF-B9FD-47E8-9312-2ACEA68F55B5}">
  <dimension ref="A1:Q60"/>
  <sheetViews>
    <sheetView zoomScale="90" zoomScaleNormal="90" workbookViewId="0">
      <pane ySplit="1" topLeftCell="A23" activePane="bottomLeft" state="frozen"/>
      <selection pane="bottomLeft" activeCell="G30" sqref="G30"/>
    </sheetView>
  </sheetViews>
  <sheetFormatPr defaultColWidth="26" defaultRowHeight="14.5" x14ac:dyDescent="0.35"/>
  <cols>
    <col min="1" max="1" width="25.90625" bestFit="1" customWidth="1"/>
    <col min="2" max="2" width="9" style="1" bestFit="1" customWidth="1"/>
    <col min="3" max="3" width="9.1796875" style="1" bestFit="1" customWidth="1"/>
    <col min="4" max="4" width="9" style="1" bestFit="1" customWidth="1"/>
    <col min="5" max="5" width="10.7265625" style="1" bestFit="1" customWidth="1"/>
    <col min="6" max="6" width="16.36328125" style="1" bestFit="1" customWidth="1"/>
    <col min="7" max="7" width="9.26953125" style="1" bestFit="1" customWidth="1"/>
    <col min="8" max="8" width="10.1796875" bestFit="1" customWidth="1"/>
    <col min="9" max="9" width="7.6328125" bestFit="1" customWidth="1"/>
    <col min="10" max="10" width="6.54296875" customWidth="1"/>
    <col min="11" max="11" width="26.36328125" bestFit="1" customWidth="1"/>
    <col min="12" max="12" width="8.1796875" bestFit="1" customWidth="1"/>
    <col min="13" max="14" width="9.1796875" bestFit="1" customWidth="1"/>
    <col min="15" max="15" width="8.1796875" bestFit="1" customWidth="1"/>
    <col min="16" max="16" width="16.90625" bestFit="1" customWidth="1"/>
    <col min="17" max="17" width="9.26953125" bestFit="1" customWidth="1"/>
  </cols>
  <sheetData>
    <row r="1" spans="1:17" s="23" customFormat="1" ht="29" x14ac:dyDescent="0.35">
      <c r="A1" s="30" t="s">
        <v>7</v>
      </c>
      <c r="B1" s="28" t="s">
        <v>6</v>
      </c>
      <c r="C1" s="28" t="s">
        <v>5</v>
      </c>
      <c r="D1" s="28" t="s">
        <v>4</v>
      </c>
      <c r="E1" s="29" t="s">
        <v>3</v>
      </c>
      <c r="F1" s="29" t="s">
        <v>2</v>
      </c>
      <c r="G1" s="28" t="s">
        <v>1</v>
      </c>
      <c r="H1" s="27" t="s">
        <v>9</v>
      </c>
      <c r="I1" s="26" t="s">
        <v>8</v>
      </c>
      <c r="K1" s="25" t="s">
        <v>7</v>
      </c>
      <c r="L1" s="24" t="s">
        <v>6</v>
      </c>
      <c r="M1" s="24" t="s">
        <v>5</v>
      </c>
      <c r="N1" s="24" t="s">
        <v>4</v>
      </c>
      <c r="O1" s="24" t="s">
        <v>3</v>
      </c>
      <c r="P1" s="24" t="s">
        <v>2</v>
      </c>
      <c r="Q1" s="24" t="s">
        <v>1</v>
      </c>
    </row>
    <row r="2" spans="1:17" x14ac:dyDescent="0.35">
      <c r="A2" s="21">
        <v>45082</v>
      </c>
      <c r="B2" s="20">
        <f t="shared" ref="B2:B29" si="0">D2*0.39</f>
        <v>6181.5</v>
      </c>
      <c r="C2" s="20">
        <f t="shared" ref="C2:C29" si="1">D2-B2</f>
        <v>9668.5</v>
      </c>
      <c r="D2" s="20">
        <f t="shared" ref="D2:D29" si="2">E2+F2</f>
        <v>15850</v>
      </c>
      <c r="E2" s="20">
        <f>4150+910</f>
        <v>5060</v>
      </c>
      <c r="F2" s="20">
        <v>10790</v>
      </c>
      <c r="G2" s="20">
        <v>3700</v>
      </c>
      <c r="H2" s="19">
        <f t="shared" ref="H2:H29" si="3">IFERROR(B2/C2,0)</f>
        <v>0.63934426229508201</v>
      </c>
      <c r="I2" s="18">
        <f>SUM($D$2:D2)-SUM($G$2:G2)</f>
        <v>12150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1">
        <v>45083</v>
      </c>
      <c r="B3" s="20">
        <f t="shared" si="0"/>
        <v>1343.55</v>
      </c>
      <c r="C3" s="20">
        <f t="shared" si="1"/>
        <v>2101.4499999999998</v>
      </c>
      <c r="D3" s="20">
        <f t="shared" si="2"/>
        <v>3445</v>
      </c>
      <c r="E3" s="20">
        <v>2430</v>
      </c>
      <c r="F3" s="20">
        <v>1015</v>
      </c>
      <c r="G3" s="20">
        <v>10990</v>
      </c>
      <c r="H3" s="19">
        <f t="shared" si="3"/>
        <v>0.63934426229508201</v>
      </c>
      <c r="I3" s="18">
        <f>SUM($D$2:D3)-SUM($G$2:G3)</f>
        <v>4605</v>
      </c>
      <c r="K3" s="8">
        <f t="shared" ref="K3:K9" si="4">A2</f>
        <v>45082</v>
      </c>
      <c r="L3" s="2">
        <f>N3*0.3</f>
        <v>4755</v>
      </c>
      <c r="M3" s="2">
        <f t="shared" ref="M3:M9" si="5">N3-L3</f>
        <v>11095</v>
      </c>
      <c r="N3" s="2">
        <f t="shared" ref="N3:N9" si="6">O3+P3</f>
        <v>15850</v>
      </c>
      <c r="O3" s="2">
        <f t="shared" ref="O3:O9" si="7">VLOOKUP(K3,$A$1:$H$30,5,0)</f>
        <v>5060</v>
      </c>
      <c r="P3" s="2">
        <f t="shared" ref="P3:P9" si="8">VLOOKUP(K3,$A$1:$H$30,6,0)</f>
        <v>10790</v>
      </c>
      <c r="Q3" s="2">
        <f t="shared" ref="Q3:Q9" si="9">VLOOKUP(K3,$A$1:$H$30,7,0)</f>
        <v>3700</v>
      </c>
    </row>
    <row r="4" spans="1:17" x14ac:dyDescent="0.35">
      <c r="A4" s="21">
        <v>45084</v>
      </c>
      <c r="B4" s="20">
        <f t="shared" si="0"/>
        <v>8962.2000000000007</v>
      </c>
      <c r="C4" s="20">
        <f t="shared" si="1"/>
        <v>14017.8</v>
      </c>
      <c r="D4" s="20">
        <f t="shared" si="2"/>
        <v>22980</v>
      </c>
      <c r="E4" s="22">
        <v>5580</v>
      </c>
      <c r="F4" s="22">
        <v>17400</v>
      </c>
      <c r="G4" s="22">
        <v>7400</v>
      </c>
      <c r="H4" s="19">
        <f t="shared" si="3"/>
        <v>0.63934426229508201</v>
      </c>
      <c r="I4" s="18">
        <f>SUM($D$2:D4)-SUM($G$2:G4)</f>
        <v>20185</v>
      </c>
      <c r="K4" s="9">
        <f t="shared" si="4"/>
        <v>45083</v>
      </c>
      <c r="L4" s="4">
        <f>N4*0.3</f>
        <v>1033.5</v>
      </c>
      <c r="M4" s="4">
        <f t="shared" si="5"/>
        <v>2411.5</v>
      </c>
      <c r="N4" s="4">
        <f t="shared" si="6"/>
        <v>3445</v>
      </c>
      <c r="O4" s="4">
        <f t="shared" si="7"/>
        <v>2430</v>
      </c>
      <c r="P4" s="4">
        <f t="shared" si="8"/>
        <v>1015</v>
      </c>
      <c r="Q4" s="4">
        <f t="shared" si="9"/>
        <v>10990</v>
      </c>
    </row>
    <row r="5" spans="1:17" x14ac:dyDescent="0.35">
      <c r="A5" s="21">
        <v>45085</v>
      </c>
      <c r="B5" s="20">
        <f t="shared" si="0"/>
        <v>2581.8000000000002</v>
      </c>
      <c r="C5" s="20">
        <f t="shared" si="1"/>
        <v>4038.2</v>
      </c>
      <c r="D5" s="20">
        <f t="shared" si="2"/>
        <v>6620</v>
      </c>
      <c r="E5" s="20">
        <v>3200</v>
      </c>
      <c r="F5" s="20">
        <v>3420</v>
      </c>
      <c r="G5" s="22">
        <v>1080</v>
      </c>
      <c r="H5" s="19">
        <f t="shared" si="3"/>
        <v>0.63934426229508201</v>
      </c>
      <c r="I5" s="18">
        <f>SUM($D$2:D5)-SUM($G$2:G5)</f>
        <v>25725</v>
      </c>
      <c r="K5" s="8">
        <f t="shared" si="4"/>
        <v>45084</v>
      </c>
      <c r="L5" s="2">
        <f t="shared" ref="L5:L9" si="10">N5*0.3</f>
        <v>6894</v>
      </c>
      <c r="M5" s="2">
        <f t="shared" si="5"/>
        <v>16086</v>
      </c>
      <c r="N5" s="2">
        <f t="shared" si="6"/>
        <v>22980</v>
      </c>
      <c r="O5" s="2">
        <f t="shared" si="7"/>
        <v>5580</v>
      </c>
      <c r="P5" s="2">
        <f t="shared" si="8"/>
        <v>17400</v>
      </c>
      <c r="Q5" s="2">
        <f t="shared" si="9"/>
        <v>7400</v>
      </c>
    </row>
    <row r="6" spans="1:17" x14ac:dyDescent="0.35">
      <c r="A6" s="21">
        <v>45086</v>
      </c>
      <c r="B6" s="20">
        <f t="shared" si="0"/>
        <v>8190</v>
      </c>
      <c r="C6" s="20">
        <f t="shared" si="1"/>
        <v>12810</v>
      </c>
      <c r="D6" s="20">
        <f t="shared" si="2"/>
        <v>21000</v>
      </c>
      <c r="E6" s="20">
        <v>18400</v>
      </c>
      <c r="F6" s="20">
        <v>2600</v>
      </c>
      <c r="G6" s="20">
        <v>1250</v>
      </c>
      <c r="H6" s="19">
        <f t="shared" si="3"/>
        <v>0.63934426229508201</v>
      </c>
      <c r="I6" s="18">
        <f>SUM($D$2:D6)-SUM($G$2:G6)</f>
        <v>45475</v>
      </c>
      <c r="K6" s="9">
        <f t="shared" si="4"/>
        <v>45085</v>
      </c>
      <c r="L6" s="4">
        <f t="shared" si="10"/>
        <v>1986</v>
      </c>
      <c r="M6" s="4">
        <f t="shared" si="5"/>
        <v>4634</v>
      </c>
      <c r="N6" s="4">
        <f t="shared" si="6"/>
        <v>6620</v>
      </c>
      <c r="O6" s="4">
        <f t="shared" si="7"/>
        <v>3200</v>
      </c>
      <c r="P6" s="4">
        <f t="shared" si="8"/>
        <v>3420</v>
      </c>
      <c r="Q6" s="4">
        <f t="shared" si="9"/>
        <v>1080</v>
      </c>
    </row>
    <row r="7" spans="1:17" x14ac:dyDescent="0.35">
      <c r="A7" s="21">
        <v>45087</v>
      </c>
      <c r="B7" s="20">
        <f t="shared" si="0"/>
        <v>8884.2000000000007</v>
      </c>
      <c r="C7" s="20">
        <f t="shared" si="1"/>
        <v>13895.8</v>
      </c>
      <c r="D7" s="20">
        <f t="shared" si="2"/>
        <v>22780</v>
      </c>
      <c r="E7" s="22">
        <v>8800</v>
      </c>
      <c r="F7" s="22">
        <v>13980</v>
      </c>
      <c r="G7" s="22">
        <v>1860</v>
      </c>
      <c r="H7" s="19">
        <f t="shared" si="3"/>
        <v>0.63934426229508201</v>
      </c>
      <c r="I7" s="18">
        <f>SUM($D$2:D7)-SUM($G$2:G7)</f>
        <v>66395</v>
      </c>
      <c r="K7" s="8">
        <f t="shared" si="4"/>
        <v>45086</v>
      </c>
      <c r="L7" s="2">
        <f t="shared" si="10"/>
        <v>6300</v>
      </c>
      <c r="M7" s="2">
        <f t="shared" si="5"/>
        <v>14700</v>
      </c>
      <c r="N7" s="2">
        <f t="shared" si="6"/>
        <v>21000</v>
      </c>
      <c r="O7" s="2">
        <f t="shared" si="7"/>
        <v>18400</v>
      </c>
      <c r="P7" s="2">
        <f t="shared" si="8"/>
        <v>2600</v>
      </c>
      <c r="Q7" s="2">
        <f t="shared" si="9"/>
        <v>1250</v>
      </c>
    </row>
    <row r="8" spans="1:17" x14ac:dyDescent="0.35">
      <c r="A8" s="21">
        <v>45088</v>
      </c>
      <c r="B8" s="20">
        <f t="shared" si="0"/>
        <v>4173</v>
      </c>
      <c r="C8" s="20">
        <f t="shared" si="1"/>
        <v>6527</v>
      </c>
      <c r="D8" s="20">
        <f t="shared" si="2"/>
        <v>10700</v>
      </c>
      <c r="E8" s="22">
        <v>6800</v>
      </c>
      <c r="F8" s="22">
        <v>3900</v>
      </c>
      <c r="G8" s="22">
        <v>340</v>
      </c>
      <c r="H8" s="19">
        <f t="shared" si="3"/>
        <v>0.63934426229508201</v>
      </c>
      <c r="I8" s="18">
        <f>SUM($D$2:D8)-SUM($G$2:G8)</f>
        <v>76755</v>
      </c>
      <c r="K8" s="9">
        <f t="shared" si="4"/>
        <v>45087</v>
      </c>
      <c r="L8" s="4">
        <f t="shared" si="10"/>
        <v>6834</v>
      </c>
      <c r="M8" s="4">
        <f t="shared" si="5"/>
        <v>15946</v>
      </c>
      <c r="N8" s="4">
        <f t="shared" si="6"/>
        <v>22780</v>
      </c>
      <c r="O8" s="4">
        <f t="shared" si="7"/>
        <v>8800</v>
      </c>
      <c r="P8" s="4">
        <f t="shared" si="8"/>
        <v>13980</v>
      </c>
      <c r="Q8" s="4">
        <f t="shared" si="9"/>
        <v>1860</v>
      </c>
    </row>
    <row r="9" spans="1:17" x14ac:dyDescent="0.35">
      <c r="A9" s="21">
        <v>45089</v>
      </c>
      <c r="B9" s="20">
        <f t="shared" si="0"/>
        <v>5749.38</v>
      </c>
      <c r="C9" s="20">
        <f t="shared" si="1"/>
        <v>8992.619999999999</v>
      </c>
      <c r="D9" s="20">
        <f t="shared" si="2"/>
        <v>14742</v>
      </c>
      <c r="E9" s="20">
        <v>12860</v>
      </c>
      <c r="F9" s="20">
        <v>1882</v>
      </c>
      <c r="G9" s="20">
        <v>250</v>
      </c>
      <c r="H9" s="19">
        <f t="shared" si="3"/>
        <v>0.63934426229508201</v>
      </c>
      <c r="I9" s="18">
        <f>SUM($D$2:D9)-SUM($G$2:G9)</f>
        <v>91247</v>
      </c>
      <c r="K9" s="8">
        <f t="shared" si="4"/>
        <v>45088</v>
      </c>
      <c r="L9" s="2">
        <f t="shared" si="10"/>
        <v>3210</v>
      </c>
      <c r="M9" s="2">
        <f t="shared" si="5"/>
        <v>7490</v>
      </c>
      <c r="N9" s="2">
        <f t="shared" si="6"/>
        <v>10700</v>
      </c>
      <c r="O9" s="2">
        <f t="shared" si="7"/>
        <v>6800</v>
      </c>
      <c r="P9" s="2">
        <f t="shared" si="8"/>
        <v>3900</v>
      </c>
      <c r="Q9" s="2">
        <f t="shared" si="9"/>
        <v>340</v>
      </c>
    </row>
    <row r="10" spans="1:17" x14ac:dyDescent="0.35">
      <c r="A10" s="21">
        <v>45090</v>
      </c>
      <c r="B10" s="20">
        <f t="shared" si="0"/>
        <v>1544.4</v>
      </c>
      <c r="C10" s="20">
        <f t="shared" si="1"/>
        <v>2415.6</v>
      </c>
      <c r="D10" s="20">
        <f t="shared" si="2"/>
        <v>3960</v>
      </c>
      <c r="E10" s="20">
        <v>1600</v>
      </c>
      <c r="F10" s="20">
        <v>2360</v>
      </c>
      <c r="G10" s="20">
        <v>100</v>
      </c>
      <c r="H10" s="19">
        <f t="shared" si="3"/>
        <v>0.63934426229508201</v>
      </c>
      <c r="I10" s="18">
        <f>SUM($D$2:D10)-SUM($G$2:G10)</f>
        <v>95107</v>
      </c>
      <c r="K10" s="3" t="s">
        <v>4</v>
      </c>
      <c r="L10" s="3">
        <f>SUM(L3:L9)</f>
        <v>31012.5</v>
      </c>
      <c r="M10" s="3">
        <f>SUM(M2:M9)</f>
        <v>72362.5</v>
      </c>
      <c r="N10" s="3">
        <f>SUM(N2:N9)</f>
        <v>103375</v>
      </c>
      <c r="O10" s="3">
        <f>SUM(O2:O9)</f>
        <v>50270</v>
      </c>
      <c r="P10" s="3">
        <f>SUM(P2:P9)</f>
        <v>53105</v>
      </c>
      <c r="Q10" s="3">
        <f>SUM(Q2:Q9)</f>
        <v>26620</v>
      </c>
    </row>
    <row r="11" spans="1:17" x14ac:dyDescent="0.35">
      <c r="A11" s="21">
        <v>45091</v>
      </c>
      <c r="B11" s="20">
        <f t="shared" si="0"/>
        <v>15849.6</v>
      </c>
      <c r="C11" s="20">
        <f t="shared" si="1"/>
        <v>24790.400000000001</v>
      </c>
      <c r="D11" s="20">
        <f t="shared" si="2"/>
        <v>40640</v>
      </c>
      <c r="E11" s="20">
        <v>18390</v>
      </c>
      <c r="F11" s="20">
        <v>22250</v>
      </c>
      <c r="G11" s="20">
        <v>7100</v>
      </c>
      <c r="H11" s="19">
        <f t="shared" si="3"/>
        <v>0.6393442622950819</v>
      </c>
      <c r="I11" s="18">
        <f>SUM($D$2:D11)-SUM($G$2:G11)</f>
        <v>128647</v>
      </c>
      <c r="K11" s="3" t="s">
        <v>0</v>
      </c>
      <c r="L11" s="3">
        <f>L10/3</f>
        <v>10337.5</v>
      </c>
      <c r="M11" s="3"/>
      <c r="N11" s="3"/>
      <c r="O11" s="2"/>
      <c r="P11" s="2"/>
      <c r="Q11" s="2"/>
    </row>
    <row r="12" spans="1:17" x14ac:dyDescent="0.35">
      <c r="A12" s="21">
        <v>45092</v>
      </c>
      <c r="B12" s="20">
        <f t="shared" si="0"/>
        <v>4769.7</v>
      </c>
      <c r="C12" s="20">
        <f t="shared" si="1"/>
        <v>7460.3</v>
      </c>
      <c r="D12" s="20">
        <f t="shared" si="2"/>
        <v>12230</v>
      </c>
      <c r="E12" s="20">
        <v>9710</v>
      </c>
      <c r="F12" s="20">
        <v>2520</v>
      </c>
      <c r="G12" s="20">
        <v>100</v>
      </c>
      <c r="H12" s="19">
        <f t="shared" si="3"/>
        <v>0.6393442622950819</v>
      </c>
      <c r="I12" s="18">
        <f>SUM($D$2:D12)-SUM($G$2:G12)</f>
        <v>140777</v>
      </c>
    </row>
    <row r="13" spans="1:17" x14ac:dyDescent="0.35">
      <c r="A13" s="21">
        <v>45093</v>
      </c>
      <c r="B13" s="20">
        <f t="shared" si="0"/>
        <v>5315.7</v>
      </c>
      <c r="C13" s="20">
        <f t="shared" si="1"/>
        <v>8314.2999999999993</v>
      </c>
      <c r="D13" s="20">
        <f t="shared" si="2"/>
        <v>13630</v>
      </c>
      <c r="E13" s="20">
        <v>4140</v>
      </c>
      <c r="F13" s="20">
        <v>9490</v>
      </c>
      <c r="G13" s="20">
        <v>4000</v>
      </c>
      <c r="H13" s="19">
        <f t="shared" si="3"/>
        <v>0.63934426229508201</v>
      </c>
      <c r="I13" s="18">
        <f>SUM($D$2:D13)-SUM($G$2:G13)</f>
        <v>150407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1">
        <v>45094</v>
      </c>
      <c r="B14" s="20">
        <f t="shared" si="0"/>
        <v>6649.5</v>
      </c>
      <c r="C14" s="20">
        <f t="shared" si="1"/>
        <v>10400.5</v>
      </c>
      <c r="D14" s="20">
        <f t="shared" si="2"/>
        <v>17050</v>
      </c>
      <c r="E14" s="20">
        <v>8550</v>
      </c>
      <c r="F14" s="20">
        <v>8500</v>
      </c>
      <c r="G14" s="20">
        <f>10900+6500</f>
        <v>17400</v>
      </c>
      <c r="H14" s="19">
        <f t="shared" si="3"/>
        <v>0.63934426229508201</v>
      </c>
      <c r="I14" s="18">
        <f>SUM($D$2:D14)-SUM($G$2:G14)</f>
        <v>150057</v>
      </c>
      <c r="K14" s="8">
        <f t="shared" ref="K14:K20" si="11">A9</f>
        <v>45089</v>
      </c>
      <c r="L14" s="2">
        <f>N14*0.3</f>
        <v>4422.5999999999995</v>
      </c>
      <c r="M14" s="2">
        <f t="shared" ref="M14:M20" si="12">N14-L14</f>
        <v>10319.400000000001</v>
      </c>
      <c r="N14" s="2">
        <f t="shared" ref="N14:N20" si="13">O14+P14</f>
        <v>14742</v>
      </c>
      <c r="O14" s="2">
        <f t="shared" ref="O14:O20" si="14">VLOOKUP(K14,$A$1:$H$30,5,0)</f>
        <v>12860</v>
      </c>
      <c r="P14" s="2">
        <f t="shared" ref="P14:P20" si="15">VLOOKUP(K14,$A$1:$H$30,6,0)</f>
        <v>1882</v>
      </c>
      <c r="Q14" s="2">
        <f t="shared" ref="Q14:Q20" si="16">VLOOKUP(K14,$A$1:$H$30,7,0)</f>
        <v>250</v>
      </c>
    </row>
    <row r="15" spans="1:17" x14ac:dyDescent="0.35">
      <c r="A15" s="21">
        <v>45095</v>
      </c>
      <c r="B15" s="20">
        <f t="shared" si="0"/>
        <v>5651.88</v>
      </c>
      <c r="C15" s="20">
        <f t="shared" si="1"/>
        <v>8840.119999999999</v>
      </c>
      <c r="D15" s="20">
        <f t="shared" si="2"/>
        <v>14492</v>
      </c>
      <c r="E15" s="20">
        <v>3360</v>
      </c>
      <c r="F15" s="20">
        <v>11132</v>
      </c>
      <c r="G15" s="20">
        <v>100</v>
      </c>
      <c r="H15" s="19">
        <f t="shared" si="3"/>
        <v>0.63934426229508201</v>
      </c>
      <c r="I15" s="18">
        <f>SUM($D$2:D15)-SUM($G$2:G15)</f>
        <v>164449</v>
      </c>
      <c r="K15" s="9">
        <f t="shared" si="11"/>
        <v>45090</v>
      </c>
      <c r="L15" s="4">
        <f>N15*0.3</f>
        <v>1188</v>
      </c>
      <c r="M15" s="4">
        <f t="shared" si="12"/>
        <v>2772</v>
      </c>
      <c r="N15" s="4">
        <f t="shared" si="13"/>
        <v>3960</v>
      </c>
      <c r="O15" s="4">
        <f t="shared" si="14"/>
        <v>1600</v>
      </c>
      <c r="P15" s="4">
        <f t="shared" si="15"/>
        <v>2360</v>
      </c>
      <c r="Q15" s="4">
        <f t="shared" si="16"/>
        <v>100</v>
      </c>
    </row>
    <row r="16" spans="1:17" x14ac:dyDescent="0.35">
      <c r="A16" s="21">
        <v>45096</v>
      </c>
      <c r="B16" s="20">
        <f t="shared" si="0"/>
        <v>17062.5</v>
      </c>
      <c r="C16" s="20">
        <f t="shared" si="1"/>
        <v>26687.5</v>
      </c>
      <c r="D16" s="20">
        <f t="shared" si="2"/>
        <v>43750</v>
      </c>
      <c r="E16" s="20">
        <v>7490</v>
      </c>
      <c r="F16" s="20">
        <v>36260</v>
      </c>
      <c r="G16" s="20">
        <v>2360</v>
      </c>
      <c r="H16" s="19">
        <f t="shared" si="3"/>
        <v>0.63934426229508201</v>
      </c>
      <c r="I16" s="18">
        <f>SUM($D$2:D16)-SUM($G$2:G16)</f>
        <v>205839</v>
      </c>
      <c r="K16" s="8">
        <f t="shared" si="11"/>
        <v>45091</v>
      </c>
      <c r="L16" s="2">
        <f t="shared" ref="L16:L20" si="17">N16*0.3</f>
        <v>12192</v>
      </c>
      <c r="M16" s="2">
        <f t="shared" si="12"/>
        <v>28448</v>
      </c>
      <c r="N16" s="2">
        <f t="shared" si="13"/>
        <v>40640</v>
      </c>
      <c r="O16" s="2">
        <f t="shared" si="14"/>
        <v>18390</v>
      </c>
      <c r="P16" s="2">
        <f t="shared" si="15"/>
        <v>22250</v>
      </c>
      <c r="Q16" s="2">
        <f t="shared" si="16"/>
        <v>7100</v>
      </c>
    </row>
    <row r="17" spans="1:17" x14ac:dyDescent="0.35">
      <c r="A17" s="21">
        <v>45097</v>
      </c>
      <c r="B17" s="20">
        <f t="shared" si="0"/>
        <v>3607.5</v>
      </c>
      <c r="C17" s="20">
        <f t="shared" si="1"/>
        <v>5642.5</v>
      </c>
      <c r="D17" s="20">
        <f t="shared" si="2"/>
        <v>9250</v>
      </c>
      <c r="E17" s="20">
        <v>7730</v>
      </c>
      <c r="F17" s="20">
        <v>1520</v>
      </c>
      <c r="G17" s="20">
        <v>100</v>
      </c>
      <c r="H17" s="19">
        <f t="shared" si="3"/>
        <v>0.63934426229508201</v>
      </c>
      <c r="I17" s="18">
        <f>SUM($D$2:D17)-SUM($G$2:G17)</f>
        <v>214989</v>
      </c>
      <c r="K17" s="9">
        <f t="shared" si="11"/>
        <v>45092</v>
      </c>
      <c r="L17" s="4">
        <f t="shared" si="17"/>
        <v>3669</v>
      </c>
      <c r="M17" s="4">
        <f t="shared" si="12"/>
        <v>8561</v>
      </c>
      <c r="N17" s="4">
        <f t="shared" si="13"/>
        <v>12230</v>
      </c>
      <c r="O17" s="4">
        <f t="shared" si="14"/>
        <v>9710</v>
      </c>
      <c r="P17" s="4">
        <f t="shared" si="15"/>
        <v>2520</v>
      </c>
      <c r="Q17" s="4">
        <f t="shared" si="16"/>
        <v>100</v>
      </c>
    </row>
    <row r="18" spans="1:17" x14ac:dyDescent="0.35">
      <c r="A18" s="21">
        <v>45098</v>
      </c>
      <c r="B18" s="20">
        <f t="shared" si="0"/>
        <v>2349.75</v>
      </c>
      <c r="C18" s="20">
        <f t="shared" si="1"/>
        <v>3675.25</v>
      </c>
      <c r="D18" s="20">
        <f t="shared" si="2"/>
        <v>6025</v>
      </c>
      <c r="E18" s="20">
        <v>1380</v>
      </c>
      <c r="F18" s="20">
        <v>4645</v>
      </c>
      <c r="G18" s="20">
        <v>100</v>
      </c>
      <c r="H18" s="19">
        <f t="shared" si="3"/>
        <v>0.63934426229508201</v>
      </c>
      <c r="I18" s="18">
        <f>SUM($D$2:D18)-SUM($G$2:G18)</f>
        <v>220914</v>
      </c>
      <c r="K18" s="8">
        <f t="shared" si="11"/>
        <v>45093</v>
      </c>
      <c r="L18" s="2">
        <f t="shared" si="17"/>
        <v>4089</v>
      </c>
      <c r="M18" s="2">
        <f t="shared" si="12"/>
        <v>9541</v>
      </c>
      <c r="N18" s="2">
        <f t="shared" si="13"/>
        <v>13630</v>
      </c>
      <c r="O18" s="2">
        <f t="shared" si="14"/>
        <v>4140</v>
      </c>
      <c r="P18" s="2">
        <f t="shared" si="15"/>
        <v>9490</v>
      </c>
      <c r="Q18" s="2">
        <f t="shared" si="16"/>
        <v>4000</v>
      </c>
    </row>
    <row r="19" spans="1:17" x14ac:dyDescent="0.35">
      <c r="A19" s="21">
        <v>45099</v>
      </c>
      <c r="B19" s="20">
        <f t="shared" si="0"/>
        <v>7546.5</v>
      </c>
      <c r="C19" s="20">
        <f t="shared" si="1"/>
        <v>11803.5</v>
      </c>
      <c r="D19" s="20">
        <f t="shared" si="2"/>
        <v>19350</v>
      </c>
      <c r="E19" s="20">
        <v>5780</v>
      </c>
      <c r="F19" s="20">
        <v>13570</v>
      </c>
      <c r="G19" s="20">
        <v>120</v>
      </c>
      <c r="H19" s="19">
        <f t="shared" si="3"/>
        <v>0.63934426229508201</v>
      </c>
      <c r="I19" s="18">
        <f>SUM($D$2:D19)-SUM($G$2:G19)</f>
        <v>240144</v>
      </c>
      <c r="K19" s="9">
        <f t="shared" si="11"/>
        <v>45094</v>
      </c>
      <c r="L19" s="4">
        <f t="shared" si="17"/>
        <v>5115</v>
      </c>
      <c r="M19" s="4">
        <f t="shared" si="12"/>
        <v>11935</v>
      </c>
      <c r="N19" s="4">
        <f t="shared" si="13"/>
        <v>17050</v>
      </c>
      <c r="O19" s="4">
        <f t="shared" si="14"/>
        <v>8550</v>
      </c>
      <c r="P19" s="4">
        <f t="shared" si="15"/>
        <v>8500</v>
      </c>
      <c r="Q19" s="4">
        <f t="shared" si="16"/>
        <v>17400</v>
      </c>
    </row>
    <row r="20" spans="1:17" x14ac:dyDescent="0.35">
      <c r="A20" s="21">
        <v>45100</v>
      </c>
      <c r="B20" s="20">
        <f t="shared" si="0"/>
        <v>4847.7</v>
      </c>
      <c r="C20" s="20">
        <f t="shared" si="1"/>
        <v>7582.3</v>
      </c>
      <c r="D20" s="20">
        <f t="shared" si="2"/>
        <v>12430</v>
      </c>
      <c r="E20" s="20">
        <v>9650</v>
      </c>
      <c r="F20" s="20">
        <v>2780</v>
      </c>
      <c r="G20" s="20">
        <v>2500</v>
      </c>
      <c r="H20" s="19">
        <f t="shared" si="3"/>
        <v>0.6393442622950819</v>
      </c>
      <c r="I20" s="18">
        <f>SUM($D$2:D20)-SUM($G$2:G20)</f>
        <v>250074</v>
      </c>
      <c r="K20" s="8">
        <f t="shared" si="11"/>
        <v>45095</v>
      </c>
      <c r="L20" s="2">
        <f t="shared" si="17"/>
        <v>4347.5999999999995</v>
      </c>
      <c r="M20" s="2">
        <f t="shared" si="12"/>
        <v>10144.400000000001</v>
      </c>
      <c r="N20" s="2">
        <f t="shared" si="13"/>
        <v>14492</v>
      </c>
      <c r="O20" s="2">
        <f t="shared" si="14"/>
        <v>3360</v>
      </c>
      <c r="P20" s="2">
        <f t="shared" si="15"/>
        <v>11132</v>
      </c>
      <c r="Q20" s="2">
        <f t="shared" si="16"/>
        <v>100</v>
      </c>
    </row>
    <row r="21" spans="1:17" x14ac:dyDescent="0.35">
      <c r="A21" s="21">
        <v>45101</v>
      </c>
      <c r="B21" s="20">
        <f t="shared" si="0"/>
        <v>6906.9000000000005</v>
      </c>
      <c r="C21" s="20">
        <f t="shared" si="1"/>
        <v>10803.099999999999</v>
      </c>
      <c r="D21" s="20">
        <f t="shared" si="2"/>
        <v>17710</v>
      </c>
      <c r="E21" s="20">
        <v>3710</v>
      </c>
      <c r="F21" s="20">
        <v>14000</v>
      </c>
      <c r="G21" s="20">
        <v>3420</v>
      </c>
      <c r="H21" s="19">
        <f t="shared" si="3"/>
        <v>0.63934426229508212</v>
      </c>
      <c r="I21" s="18">
        <f>SUM($D$2:D21)-SUM($G$2:G21)</f>
        <v>264364</v>
      </c>
      <c r="K21" s="3" t="s">
        <v>4</v>
      </c>
      <c r="L21" s="3">
        <f t="shared" ref="L21:Q21" si="18">SUM(L14:L20)</f>
        <v>35023.199999999997</v>
      </c>
      <c r="M21" s="3">
        <f t="shared" si="18"/>
        <v>81720.799999999988</v>
      </c>
      <c r="N21" s="3">
        <f t="shared" si="18"/>
        <v>116744</v>
      </c>
      <c r="O21" s="3">
        <f t="shared" si="18"/>
        <v>58610</v>
      </c>
      <c r="P21" s="3">
        <f t="shared" si="18"/>
        <v>58134</v>
      </c>
      <c r="Q21" s="3">
        <f t="shared" si="18"/>
        <v>29050</v>
      </c>
    </row>
    <row r="22" spans="1:17" x14ac:dyDescent="0.35">
      <c r="A22" s="21">
        <v>45102</v>
      </c>
      <c r="B22" s="20">
        <f t="shared" si="0"/>
        <v>1304.94</v>
      </c>
      <c r="C22" s="20">
        <f t="shared" si="1"/>
        <v>2041.06</v>
      </c>
      <c r="D22" s="20">
        <f t="shared" si="2"/>
        <v>3346</v>
      </c>
      <c r="E22" s="20">
        <v>1330</v>
      </c>
      <c r="F22" s="20">
        <v>2016</v>
      </c>
      <c r="G22" s="20">
        <v>20</v>
      </c>
      <c r="H22" s="19">
        <f t="shared" si="3"/>
        <v>0.63934426229508201</v>
      </c>
      <c r="I22" s="18">
        <f>SUM($D$2:D22)-SUM($G$2:G22)</f>
        <v>267690</v>
      </c>
      <c r="K22" s="3" t="s">
        <v>0</v>
      </c>
      <c r="L22" s="3">
        <f>L21/3</f>
        <v>11674.4</v>
      </c>
      <c r="M22" s="3">
        <v>12750</v>
      </c>
      <c r="N22" s="3">
        <f>M22+L22</f>
        <v>24424.400000000001</v>
      </c>
      <c r="O22" s="2"/>
      <c r="P22" s="2"/>
      <c r="Q22" s="2"/>
    </row>
    <row r="23" spans="1:17" x14ac:dyDescent="0.35">
      <c r="A23" s="21">
        <v>45103</v>
      </c>
      <c r="B23" s="20">
        <f t="shared" si="0"/>
        <v>6555.9000000000005</v>
      </c>
      <c r="C23" s="20">
        <f t="shared" si="1"/>
        <v>10254.099999999999</v>
      </c>
      <c r="D23" s="20">
        <f t="shared" si="2"/>
        <v>16810</v>
      </c>
      <c r="E23" s="20">
        <v>3980</v>
      </c>
      <c r="F23" s="20">
        <v>12830</v>
      </c>
      <c r="G23" s="20">
        <v>10000</v>
      </c>
      <c r="H23" s="19">
        <f t="shared" si="3"/>
        <v>0.63934426229508212</v>
      </c>
      <c r="I23" s="18">
        <f>SUM($D$2:D23)-SUM($G$2:G23)</f>
        <v>274500</v>
      </c>
      <c r="M23" t="s">
        <v>19</v>
      </c>
    </row>
    <row r="24" spans="1:17" x14ac:dyDescent="0.35">
      <c r="A24" s="21">
        <v>45104</v>
      </c>
      <c r="B24" s="20">
        <f t="shared" si="0"/>
        <v>1957.8</v>
      </c>
      <c r="C24" s="20">
        <f t="shared" si="1"/>
        <v>3062.2</v>
      </c>
      <c r="D24" s="20">
        <f t="shared" si="2"/>
        <v>5020</v>
      </c>
      <c r="E24" s="20">
        <v>0</v>
      </c>
      <c r="F24" s="20">
        <v>5020</v>
      </c>
      <c r="G24" s="20">
        <v>3200</v>
      </c>
      <c r="H24" s="19">
        <f t="shared" si="3"/>
        <v>0.63934426229508201</v>
      </c>
      <c r="I24" s="18">
        <f>SUM($D$2:D24)-SUM($G$2:G24)</f>
        <v>276320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1">
        <v>45105</v>
      </c>
      <c r="B25" s="20">
        <f t="shared" si="0"/>
        <v>3386.37</v>
      </c>
      <c r="C25" s="20">
        <f t="shared" si="1"/>
        <v>5296.63</v>
      </c>
      <c r="D25" s="20">
        <f t="shared" si="2"/>
        <v>8683</v>
      </c>
      <c r="E25" s="20">
        <v>930</v>
      </c>
      <c r="F25" s="20">
        <v>7753</v>
      </c>
      <c r="G25" s="20">
        <v>3200</v>
      </c>
      <c r="H25" s="19">
        <f t="shared" si="3"/>
        <v>0.6393442622950819</v>
      </c>
      <c r="I25" s="18">
        <f>SUM($D$2:D25)-SUM($G$2:G25)</f>
        <v>281803</v>
      </c>
      <c r="K25" s="8">
        <f t="shared" ref="K25:K31" si="19">A16</f>
        <v>45096</v>
      </c>
      <c r="L25" s="2">
        <f>N25*0.3</f>
        <v>10878</v>
      </c>
      <c r="M25" s="2">
        <f t="shared" ref="M25:M31" si="20">N25-L25</f>
        <v>25382</v>
      </c>
      <c r="N25" s="2">
        <f t="shared" ref="N25:N31" si="21">O25+P25</f>
        <v>36260</v>
      </c>
      <c r="O25" s="2">
        <v>0</v>
      </c>
      <c r="P25" s="2">
        <f t="shared" ref="P25:P31" si="22">VLOOKUP(K25,$A$1:$H$30,6,0)</f>
        <v>36260</v>
      </c>
      <c r="Q25" s="2">
        <f t="shared" ref="Q25:Q31" si="23">VLOOKUP(K25,$A$1:$H$30,7,0)</f>
        <v>2360</v>
      </c>
    </row>
    <row r="26" spans="1:17" x14ac:dyDescent="0.35">
      <c r="A26" s="21">
        <v>45106</v>
      </c>
      <c r="B26" s="20">
        <f t="shared" si="0"/>
        <v>4633.2</v>
      </c>
      <c r="C26" s="20">
        <f t="shared" si="1"/>
        <v>7246.8</v>
      </c>
      <c r="D26" s="20">
        <f t="shared" si="2"/>
        <v>11880</v>
      </c>
      <c r="E26" s="20">
        <v>5000</v>
      </c>
      <c r="F26" s="20">
        <v>6880</v>
      </c>
      <c r="G26" s="20">
        <v>700</v>
      </c>
      <c r="H26" s="19">
        <f t="shared" si="3"/>
        <v>0.6393442622950819</v>
      </c>
      <c r="I26" s="18">
        <f>SUM($D$2:D26)-SUM($G$2:G26)</f>
        <v>292983</v>
      </c>
      <c r="K26" s="9">
        <f t="shared" si="19"/>
        <v>45097</v>
      </c>
      <c r="L26" s="4">
        <f>N26*0.3</f>
        <v>2775</v>
      </c>
      <c r="M26" s="4">
        <f t="shared" si="20"/>
        <v>6475</v>
      </c>
      <c r="N26" s="4">
        <f t="shared" si="21"/>
        <v>9250</v>
      </c>
      <c r="O26" s="4">
        <f t="shared" ref="O26:O31" si="24">VLOOKUP(K26,$A$1:$H$30,5,0)</f>
        <v>7730</v>
      </c>
      <c r="P26" s="4">
        <f t="shared" si="22"/>
        <v>1520</v>
      </c>
      <c r="Q26" s="4">
        <f t="shared" si="23"/>
        <v>100</v>
      </c>
    </row>
    <row r="27" spans="1:17" x14ac:dyDescent="0.35">
      <c r="A27" s="21">
        <v>45107</v>
      </c>
      <c r="B27" s="20">
        <f t="shared" si="0"/>
        <v>9687.6</v>
      </c>
      <c r="C27" s="20">
        <f t="shared" si="1"/>
        <v>15152.4</v>
      </c>
      <c r="D27" s="20">
        <f t="shared" si="2"/>
        <v>24840</v>
      </c>
      <c r="E27" s="20">
        <v>7570</v>
      </c>
      <c r="F27" s="20">
        <v>17270</v>
      </c>
      <c r="G27" s="20">
        <v>65285</v>
      </c>
      <c r="H27" s="19">
        <f t="shared" si="3"/>
        <v>0.63934426229508201</v>
      </c>
      <c r="I27" s="18">
        <f>SUM($D$2:D27)-SUM($G$2:G27)</f>
        <v>252538</v>
      </c>
      <c r="K27" s="8">
        <f t="shared" si="19"/>
        <v>45098</v>
      </c>
      <c r="L27" s="2">
        <f t="shared" ref="L27:L31" si="25">N27*0.3</f>
        <v>1807.5</v>
      </c>
      <c r="M27" s="2">
        <f t="shared" si="20"/>
        <v>4217.5</v>
      </c>
      <c r="N27" s="2">
        <f t="shared" si="21"/>
        <v>6025</v>
      </c>
      <c r="O27" s="2">
        <f t="shared" si="24"/>
        <v>1380</v>
      </c>
      <c r="P27" s="2">
        <f t="shared" si="22"/>
        <v>4645</v>
      </c>
      <c r="Q27" s="2">
        <f t="shared" si="23"/>
        <v>100</v>
      </c>
    </row>
    <row r="28" spans="1:17" x14ac:dyDescent="0.35">
      <c r="A28" s="21">
        <v>45108</v>
      </c>
      <c r="B28" s="20">
        <f t="shared" si="0"/>
        <v>613.08000000000004</v>
      </c>
      <c r="C28" s="20">
        <f t="shared" si="1"/>
        <v>958.92</v>
      </c>
      <c r="D28" s="20">
        <f t="shared" si="2"/>
        <v>1572</v>
      </c>
      <c r="E28" s="20">
        <v>600</v>
      </c>
      <c r="F28" s="20">
        <v>972</v>
      </c>
      <c r="G28" s="20">
        <v>100</v>
      </c>
      <c r="H28" s="19">
        <f t="shared" si="3"/>
        <v>0.63934426229508201</v>
      </c>
      <c r="I28" s="18">
        <f>SUM($D$2:D28)-SUM($G$2:G28)</f>
        <v>254010</v>
      </c>
      <c r="K28" s="9">
        <f t="shared" si="19"/>
        <v>45099</v>
      </c>
      <c r="L28" s="4">
        <f>N28*0.3</f>
        <v>5805</v>
      </c>
      <c r="M28" s="4">
        <f t="shared" si="20"/>
        <v>13545</v>
      </c>
      <c r="N28" s="4">
        <f t="shared" si="21"/>
        <v>19350</v>
      </c>
      <c r="O28" s="4">
        <f t="shared" si="24"/>
        <v>5780</v>
      </c>
      <c r="P28" s="4">
        <f t="shared" si="22"/>
        <v>13570</v>
      </c>
      <c r="Q28" s="4">
        <f t="shared" si="23"/>
        <v>120</v>
      </c>
    </row>
    <row r="29" spans="1:17" x14ac:dyDescent="0.35">
      <c r="A29" s="21">
        <v>45109</v>
      </c>
      <c r="B29" s="20">
        <f t="shared" si="0"/>
        <v>1248</v>
      </c>
      <c r="C29" s="20">
        <f t="shared" si="1"/>
        <v>1952</v>
      </c>
      <c r="D29" s="20">
        <f t="shared" si="2"/>
        <v>3200</v>
      </c>
      <c r="E29" s="20">
        <v>1400</v>
      </c>
      <c r="F29" s="20">
        <v>1800</v>
      </c>
      <c r="G29" s="20">
        <v>90</v>
      </c>
      <c r="H29" s="19">
        <f t="shared" si="3"/>
        <v>0.63934426229508201</v>
      </c>
      <c r="I29" s="18">
        <f>SUM($D$2:D29)-SUM($G$2:G29)</f>
        <v>257120</v>
      </c>
      <c r="K29" s="8">
        <f t="shared" si="19"/>
        <v>45100</v>
      </c>
      <c r="L29" s="2">
        <f t="shared" si="25"/>
        <v>3729</v>
      </c>
      <c r="M29" s="2">
        <f t="shared" si="20"/>
        <v>8701</v>
      </c>
      <c r="N29" s="2">
        <f t="shared" si="21"/>
        <v>12430</v>
      </c>
      <c r="O29" s="2">
        <f t="shared" si="24"/>
        <v>9650</v>
      </c>
      <c r="P29" s="2">
        <f t="shared" si="22"/>
        <v>2780</v>
      </c>
      <c r="Q29" s="2">
        <f t="shared" si="23"/>
        <v>2500</v>
      </c>
    </row>
    <row r="30" spans="1:17" ht="15" thickBot="1" x14ac:dyDescent="0.4">
      <c r="A30" s="17" t="s">
        <v>4</v>
      </c>
      <c r="B30" s="16">
        <f>SUM(B3:B27)</f>
        <v>149511.57</v>
      </c>
      <c r="C30" s="16">
        <f t="shared" ref="C30:G30" si="26">SUM(C3:C29)</f>
        <v>236762.35</v>
      </c>
      <c r="D30" s="16">
        <f t="shared" si="26"/>
        <v>388135</v>
      </c>
      <c r="E30" s="16">
        <f t="shared" si="26"/>
        <v>160370</v>
      </c>
      <c r="F30" s="16">
        <f t="shared" si="26"/>
        <v>227765</v>
      </c>
      <c r="G30" s="16">
        <f t="shared" si="26"/>
        <v>143165</v>
      </c>
      <c r="H30" s="15">
        <f>SUM(G2:G29)</f>
        <v>146865</v>
      </c>
      <c r="I30" s="14">
        <f>B30/C30</f>
        <v>0.63148372196846336</v>
      </c>
      <c r="K30" s="9">
        <f t="shared" si="19"/>
        <v>45101</v>
      </c>
      <c r="L30" s="4">
        <f t="shared" si="25"/>
        <v>5313</v>
      </c>
      <c r="M30" s="4">
        <f t="shared" si="20"/>
        <v>12397</v>
      </c>
      <c r="N30" s="4">
        <f t="shared" si="21"/>
        <v>17710</v>
      </c>
      <c r="O30" s="4">
        <f t="shared" si="24"/>
        <v>3710</v>
      </c>
      <c r="P30" s="4">
        <f t="shared" si="22"/>
        <v>14000</v>
      </c>
      <c r="Q30" s="4">
        <f t="shared" si="23"/>
        <v>3420</v>
      </c>
    </row>
    <row r="31" spans="1:17" x14ac:dyDescent="0.35">
      <c r="A31" s="12"/>
      <c r="B31" s="11">
        <f>B30/3</f>
        <v>49837.19</v>
      </c>
      <c r="C31" s="11"/>
      <c r="E31" s="13">
        <f>D30*0.42</f>
        <v>163016.69999999998</v>
      </c>
      <c r="F31" s="11"/>
      <c r="G31" s="11"/>
      <c r="H31" s="10"/>
      <c r="K31" s="8">
        <f t="shared" si="19"/>
        <v>45102</v>
      </c>
      <c r="L31" s="2">
        <f t="shared" si="25"/>
        <v>1003.8</v>
      </c>
      <c r="M31" s="2">
        <f t="shared" si="20"/>
        <v>2342.1999999999998</v>
      </c>
      <c r="N31" s="2">
        <f t="shared" si="21"/>
        <v>3346</v>
      </c>
      <c r="O31" s="2">
        <f t="shared" si="24"/>
        <v>1330</v>
      </c>
      <c r="P31" s="2">
        <f t="shared" si="22"/>
        <v>2016</v>
      </c>
      <c r="Q31" s="2">
        <f t="shared" si="23"/>
        <v>20</v>
      </c>
    </row>
    <row r="32" spans="1:17" x14ac:dyDescent="0.35">
      <c r="A32" s="12"/>
      <c r="B32" s="11">
        <f>B31*100/D30</f>
        <v>12.840169013358754</v>
      </c>
      <c r="C32" s="11"/>
      <c r="E32" s="11">
        <f>E31/3</f>
        <v>54338.899999999994</v>
      </c>
      <c r="F32" s="11"/>
      <c r="G32" s="11"/>
      <c r="H32" s="10"/>
      <c r="K32" s="3" t="s">
        <v>4</v>
      </c>
      <c r="L32" s="2">
        <f t="shared" ref="L32:Q32" si="27">SUM(L25:L31)</f>
        <v>31311.3</v>
      </c>
      <c r="M32" s="2">
        <f t="shared" si="27"/>
        <v>73059.7</v>
      </c>
      <c r="N32" s="2">
        <f t="shared" si="27"/>
        <v>104371</v>
      </c>
      <c r="O32" s="2">
        <f t="shared" si="27"/>
        <v>29580</v>
      </c>
      <c r="P32" s="2">
        <f t="shared" si="27"/>
        <v>74791</v>
      </c>
      <c r="Q32" s="2">
        <f t="shared" si="27"/>
        <v>8620</v>
      </c>
    </row>
    <row r="33" spans="1:17" x14ac:dyDescent="0.35">
      <c r="A33" s="7" t="s">
        <v>7</v>
      </c>
      <c r="B33" s="6" t="s">
        <v>6</v>
      </c>
      <c r="C33" s="6" t="s">
        <v>5</v>
      </c>
      <c r="D33" s="6" t="s">
        <v>4</v>
      </c>
      <c r="E33" s="6" t="s">
        <v>3</v>
      </c>
      <c r="F33" s="6" t="s">
        <v>2</v>
      </c>
      <c r="G33" s="6" t="s">
        <v>1</v>
      </c>
      <c r="H33" s="31" t="s">
        <v>0</v>
      </c>
      <c r="K33" s="3" t="s">
        <v>0</v>
      </c>
      <c r="L33" s="4">
        <f>L32/3</f>
        <v>10437.1</v>
      </c>
      <c r="M33" s="4"/>
      <c r="N33" s="4"/>
      <c r="O33" s="4"/>
      <c r="P33" s="4"/>
      <c r="Q33" s="4"/>
    </row>
    <row r="34" spans="1:17" x14ac:dyDescent="0.35">
      <c r="A34" s="32" t="str">
        <f>CONCATENATE(TEXT(K3,"DD-MMM-YYY")," to ",TEXT(K9,"DD-MMM-YYYY"))</f>
        <v>05-Jun-2023 to 11-Jun-2023</v>
      </c>
      <c r="B34" s="2">
        <f>L10</f>
        <v>31012.5</v>
      </c>
      <c r="C34" s="2">
        <f t="shared" ref="C34:G34" si="28">M10</f>
        <v>72362.5</v>
      </c>
      <c r="D34" s="2">
        <f t="shared" si="28"/>
        <v>103375</v>
      </c>
      <c r="E34" s="2">
        <f t="shared" si="28"/>
        <v>50270</v>
      </c>
      <c r="F34" s="2">
        <f t="shared" si="28"/>
        <v>53105</v>
      </c>
      <c r="G34" s="2">
        <f t="shared" si="28"/>
        <v>26620</v>
      </c>
      <c r="H34" s="2">
        <f>B34/3</f>
        <v>10337.5</v>
      </c>
    </row>
    <row r="35" spans="1:17" x14ac:dyDescent="0.35">
      <c r="A35" s="32" t="str">
        <f>CONCATENATE(TEXT(K14,"DD-MMM-YYY")," to ",TEXT(K20,"DD-MMM-YYYY"))</f>
        <v>12-Jun-2023 to 18-Jun-2023</v>
      </c>
      <c r="B35" s="4">
        <f>L21</f>
        <v>35023.199999999997</v>
      </c>
      <c r="C35" s="4">
        <f t="shared" ref="C35:G35" si="29">M21</f>
        <v>81720.799999999988</v>
      </c>
      <c r="D35" s="4">
        <f t="shared" si="29"/>
        <v>116744</v>
      </c>
      <c r="E35" s="4">
        <f t="shared" si="29"/>
        <v>58610</v>
      </c>
      <c r="F35" s="4">
        <f t="shared" si="29"/>
        <v>58134</v>
      </c>
      <c r="G35" s="4">
        <f t="shared" si="29"/>
        <v>29050</v>
      </c>
      <c r="H35" s="2">
        <f t="shared" ref="H35:H37" si="30">B35/3</f>
        <v>11674.4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32" t="str">
        <f>CONCATENATE(TEXT(K25,"DD-MMM-YYY")," to ",TEXT(K31,"DD-MMM-YYYY"))</f>
        <v>19-Jun-2023 to 25-Jun-2023</v>
      </c>
      <c r="B36" s="2">
        <f>L32</f>
        <v>31311.3</v>
      </c>
      <c r="C36" s="2">
        <f t="shared" ref="C36:G36" si="31">M32</f>
        <v>73059.7</v>
      </c>
      <c r="D36" s="2">
        <f t="shared" si="31"/>
        <v>104371</v>
      </c>
      <c r="E36" s="2">
        <f t="shared" si="31"/>
        <v>29580</v>
      </c>
      <c r="F36" s="2">
        <f t="shared" si="31"/>
        <v>74791</v>
      </c>
      <c r="G36" s="2">
        <f t="shared" si="31"/>
        <v>8620</v>
      </c>
      <c r="H36" s="2">
        <f t="shared" si="30"/>
        <v>10437.1</v>
      </c>
      <c r="K36" s="8">
        <f t="shared" ref="K36:K42" si="32">A23</f>
        <v>45103</v>
      </c>
      <c r="L36" s="2">
        <f>N36*0.3</f>
        <v>5043</v>
      </c>
      <c r="M36" s="2">
        <f t="shared" ref="M36:M42" si="33">N36-L36</f>
        <v>11767</v>
      </c>
      <c r="N36" s="2">
        <f t="shared" ref="N36:N42" si="34">O36+P36</f>
        <v>16810</v>
      </c>
      <c r="O36" s="2">
        <f t="shared" ref="O36:O42" si="35">VLOOKUP(K36,$A$1:$H$30,5,0)</f>
        <v>3980</v>
      </c>
      <c r="P36" s="2">
        <f t="shared" ref="P36:P42" si="36">VLOOKUP(K36,$A$1:$H$30,6,0)</f>
        <v>12830</v>
      </c>
      <c r="Q36" s="2">
        <f t="shared" ref="Q36:Q42" si="37">VLOOKUP(K36,$A$1:$H$30,7,0)</f>
        <v>10000</v>
      </c>
    </row>
    <row r="37" spans="1:17" x14ac:dyDescent="0.35">
      <c r="A37" s="32" t="str">
        <f>CONCATENATE(TEXT(K36,"DD-MMM-YYY")," to ",TEXT(K42,"DD-MMM-YYYY"))</f>
        <v>26-Jun-2023 to 02-Jul-2023</v>
      </c>
      <c r="B37" s="4">
        <f>L43</f>
        <v>21601.5</v>
      </c>
      <c r="C37" s="4">
        <f t="shared" ref="C37:G37" si="38">M43</f>
        <v>50403.5</v>
      </c>
      <c r="D37" s="4">
        <f t="shared" si="38"/>
        <v>72005</v>
      </c>
      <c r="E37" s="4">
        <f t="shared" si="38"/>
        <v>19480</v>
      </c>
      <c r="F37" s="4">
        <f t="shared" si="38"/>
        <v>52525</v>
      </c>
      <c r="G37" s="4">
        <f t="shared" si="38"/>
        <v>82575</v>
      </c>
      <c r="H37" s="2">
        <f t="shared" si="30"/>
        <v>7200.5</v>
      </c>
      <c r="K37" s="9">
        <f t="shared" si="32"/>
        <v>45104</v>
      </c>
      <c r="L37" s="4">
        <f>N37*0.3</f>
        <v>1506</v>
      </c>
      <c r="M37" s="4">
        <f t="shared" si="33"/>
        <v>3514</v>
      </c>
      <c r="N37" s="4">
        <f t="shared" si="34"/>
        <v>5020</v>
      </c>
      <c r="O37" s="4">
        <f t="shared" si="35"/>
        <v>0</v>
      </c>
      <c r="P37" s="4">
        <f t="shared" si="36"/>
        <v>5020</v>
      </c>
      <c r="Q37" s="4">
        <f t="shared" si="37"/>
        <v>3200</v>
      </c>
    </row>
    <row r="38" spans="1:17" x14ac:dyDescent="0.35">
      <c r="A38" s="32" t="str">
        <f>CONCATENATE(TEXT(K59,"DD-MMM-YYY")," to ",TEXT(K58,"DD-MMM-YYYY"))</f>
        <v>09-Jun-2023 to Date</v>
      </c>
      <c r="B38" s="4">
        <f t="shared" ref="B38:H38" si="39">SUM(B34:B37)</f>
        <v>118948.5</v>
      </c>
      <c r="C38" s="4">
        <f t="shared" si="39"/>
        <v>277546.5</v>
      </c>
      <c r="D38" s="4">
        <f t="shared" si="39"/>
        <v>396495</v>
      </c>
      <c r="E38" s="4">
        <f t="shared" si="39"/>
        <v>157940</v>
      </c>
      <c r="F38" s="4">
        <f t="shared" si="39"/>
        <v>238555</v>
      </c>
      <c r="G38" s="4">
        <f t="shared" si="39"/>
        <v>146865</v>
      </c>
      <c r="H38" s="4">
        <f t="shared" si="39"/>
        <v>39649.5</v>
      </c>
      <c r="K38" s="8">
        <f t="shared" si="32"/>
        <v>45105</v>
      </c>
      <c r="L38" s="2">
        <f t="shared" ref="L38:L42" si="40">N38*0.3</f>
        <v>2604.9</v>
      </c>
      <c r="M38" s="2">
        <f t="shared" si="33"/>
        <v>6078.1</v>
      </c>
      <c r="N38" s="2">
        <f t="shared" si="34"/>
        <v>8683</v>
      </c>
      <c r="O38" s="2">
        <f t="shared" si="35"/>
        <v>930</v>
      </c>
      <c r="P38" s="2">
        <f t="shared" si="36"/>
        <v>7753</v>
      </c>
      <c r="Q38" s="2">
        <f t="shared" si="37"/>
        <v>3200</v>
      </c>
    </row>
    <row r="39" spans="1:17" x14ac:dyDescent="0.35">
      <c r="B39" s="1">
        <f>B38/3</f>
        <v>39649.5</v>
      </c>
      <c r="C39" s="67" t="s">
        <v>4</v>
      </c>
      <c r="D39" s="67"/>
      <c r="E39" s="67"/>
      <c r="F39" s="67"/>
      <c r="G39" s="68"/>
      <c r="H39" s="2"/>
      <c r="K39" s="9">
        <f t="shared" si="32"/>
        <v>45106</v>
      </c>
      <c r="L39" s="4">
        <f t="shared" si="40"/>
        <v>3564</v>
      </c>
      <c r="M39" s="4">
        <f t="shared" si="33"/>
        <v>8316</v>
      </c>
      <c r="N39" s="4">
        <f t="shared" si="34"/>
        <v>11880</v>
      </c>
      <c r="O39" s="4">
        <f t="shared" si="35"/>
        <v>5000</v>
      </c>
      <c r="P39" s="4">
        <f t="shared" si="36"/>
        <v>6880</v>
      </c>
      <c r="Q39" s="4">
        <f t="shared" si="37"/>
        <v>700</v>
      </c>
    </row>
    <row r="40" spans="1:17" x14ac:dyDescent="0.35">
      <c r="K40" s="8">
        <f t="shared" si="32"/>
        <v>45107</v>
      </c>
      <c r="L40" s="2">
        <f t="shared" si="40"/>
        <v>7452</v>
      </c>
      <c r="M40" s="2">
        <f t="shared" si="33"/>
        <v>17388</v>
      </c>
      <c r="N40" s="2">
        <f t="shared" si="34"/>
        <v>24840</v>
      </c>
      <c r="O40" s="2">
        <f t="shared" si="35"/>
        <v>7570</v>
      </c>
      <c r="P40" s="2">
        <f t="shared" si="36"/>
        <v>17270</v>
      </c>
      <c r="Q40" s="2">
        <f t="shared" si="37"/>
        <v>65285</v>
      </c>
    </row>
    <row r="41" spans="1:17" x14ac:dyDescent="0.35">
      <c r="K41" s="9">
        <f t="shared" si="32"/>
        <v>45108</v>
      </c>
      <c r="L41" s="4">
        <f t="shared" si="40"/>
        <v>471.59999999999997</v>
      </c>
      <c r="M41" s="4">
        <f t="shared" si="33"/>
        <v>1100.4000000000001</v>
      </c>
      <c r="N41" s="4">
        <f t="shared" si="34"/>
        <v>1572</v>
      </c>
      <c r="O41" s="4">
        <f t="shared" si="35"/>
        <v>600</v>
      </c>
      <c r="P41" s="4">
        <f t="shared" si="36"/>
        <v>972</v>
      </c>
      <c r="Q41" s="4">
        <f t="shared" si="37"/>
        <v>100</v>
      </c>
    </row>
    <row r="42" spans="1:17" x14ac:dyDescent="0.35">
      <c r="K42" s="8">
        <f t="shared" si="32"/>
        <v>45109</v>
      </c>
      <c r="L42" s="2">
        <f t="shared" si="40"/>
        <v>960</v>
      </c>
      <c r="M42" s="2">
        <f t="shared" si="33"/>
        <v>2240</v>
      </c>
      <c r="N42" s="2">
        <f t="shared" si="34"/>
        <v>3200</v>
      </c>
      <c r="O42" s="2">
        <f t="shared" si="35"/>
        <v>1400</v>
      </c>
      <c r="P42" s="2">
        <f t="shared" si="36"/>
        <v>1800</v>
      </c>
      <c r="Q42" s="2">
        <f t="shared" si="37"/>
        <v>90</v>
      </c>
    </row>
    <row r="43" spans="1:17" x14ac:dyDescent="0.35">
      <c r="K43" s="3" t="s">
        <v>4</v>
      </c>
      <c r="L43" s="4">
        <f t="shared" ref="L43:Q43" si="41">SUM(L36:L42)</f>
        <v>21601.5</v>
      </c>
      <c r="M43" s="4">
        <f t="shared" si="41"/>
        <v>50403.5</v>
      </c>
      <c r="N43" s="4">
        <f t="shared" si="41"/>
        <v>72005</v>
      </c>
      <c r="O43" s="4">
        <f t="shared" si="41"/>
        <v>19480</v>
      </c>
      <c r="P43" s="4">
        <f t="shared" si="41"/>
        <v>52525</v>
      </c>
      <c r="Q43" s="4">
        <f t="shared" si="41"/>
        <v>82575</v>
      </c>
    </row>
    <row r="44" spans="1:17" x14ac:dyDescent="0.35">
      <c r="K44" s="3" t="s">
        <v>0</v>
      </c>
      <c r="L44" s="2">
        <f>L43/3</f>
        <v>7200.5</v>
      </c>
      <c r="M44" s="2"/>
      <c r="N44" s="2"/>
      <c r="O44" s="2"/>
      <c r="P44" s="2"/>
      <c r="Q44" s="2"/>
    </row>
    <row r="46" spans="1:17" x14ac:dyDescent="0.35"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K47" s="8" t="e">
        <f>#REF!</f>
        <v>#REF!</v>
      </c>
      <c r="L47" s="2" t="e">
        <f>N47*0.3</f>
        <v>#REF!</v>
      </c>
      <c r="M47" s="2" t="e">
        <f t="shared" ref="M47:M53" si="42">N47-L47</f>
        <v>#REF!</v>
      </c>
      <c r="N47" s="2" t="e">
        <f t="shared" ref="N47:N53" si="43">O47+P47</f>
        <v>#REF!</v>
      </c>
      <c r="O47" s="2" t="e">
        <f t="shared" ref="O47:O53" si="44">VLOOKUP(K47,$A$1:$H$30,5,0)</f>
        <v>#REF!</v>
      </c>
      <c r="P47" s="2" t="e">
        <f t="shared" ref="P47:P53" si="45">VLOOKUP(K47,$A$1:$H$30,6,0)</f>
        <v>#REF!</v>
      </c>
      <c r="Q47" s="2" t="e">
        <f t="shared" ref="Q47:Q53" si="46">VLOOKUP(K47,$A$1:$H$30,7,0)</f>
        <v>#REF!</v>
      </c>
    </row>
    <row r="48" spans="1:17" x14ac:dyDescent="0.35">
      <c r="K48" s="9" t="e">
        <f>#REF!</f>
        <v>#REF!</v>
      </c>
      <c r="L48" s="4" t="e">
        <f>N48*0.3</f>
        <v>#REF!</v>
      </c>
      <c r="M48" s="4" t="e">
        <f t="shared" si="42"/>
        <v>#REF!</v>
      </c>
      <c r="N48" s="4" t="e">
        <f t="shared" si="43"/>
        <v>#REF!</v>
      </c>
      <c r="O48" s="4" t="e">
        <f t="shared" si="44"/>
        <v>#REF!</v>
      </c>
      <c r="P48" s="4" t="e">
        <f t="shared" si="45"/>
        <v>#REF!</v>
      </c>
      <c r="Q48" s="4" t="e">
        <f t="shared" si="46"/>
        <v>#REF!</v>
      </c>
    </row>
    <row r="49" spans="11:17" x14ac:dyDescent="0.35">
      <c r="K49" s="8" t="e">
        <f>#REF!</f>
        <v>#REF!</v>
      </c>
      <c r="L49" s="2" t="e">
        <f t="shared" ref="L49:L53" si="47">N49*0.3</f>
        <v>#REF!</v>
      </c>
      <c r="M49" s="2" t="e">
        <f t="shared" si="42"/>
        <v>#REF!</v>
      </c>
      <c r="N49" s="2" t="e">
        <f t="shared" si="43"/>
        <v>#REF!</v>
      </c>
      <c r="O49" s="2" t="e">
        <f t="shared" si="44"/>
        <v>#REF!</v>
      </c>
      <c r="P49" s="2" t="e">
        <f t="shared" si="45"/>
        <v>#REF!</v>
      </c>
      <c r="Q49" s="2" t="e">
        <f t="shared" si="46"/>
        <v>#REF!</v>
      </c>
    </row>
    <row r="50" spans="11:17" x14ac:dyDescent="0.35">
      <c r="K50" s="9" t="e">
        <f>#REF!</f>
        <v>#REF!</v>
      </c>
      <c r="L50" s="4" t="e">
        <f t="shared" si="47"/>
        <v>#REF!</v>
      </c>
      <c r="M50" s="4" t="e">
        <f t="shared" si="42"/>
        <v>#REF!</v>
      </c>
      <c r="N50" s="4" t="e">
        <f t="shared" si="43"/>
        <v>#REF!</v>
      </c>
      <c r="O50" s="4" t="e">
        <f t="shared" si="44"/>
        <v>#REF!</v>
      </c>
      <c r="P50" s="4" t="e">
        <f t="shared" si="45"/>
        <v>#REF!</v>
      </c>
      <c r="Q50" s="4" t="e">
        <f t="shared" si="46"/>
        <v>#REF!</v>
      </c>
    </row>
    <row r="51" spans="11:17" x14ac:dyDescent="0.35">
      <c r="K51" s="8" t="e">
        <f>#REF!</f>
        <v>#REF!</v>
      </c>
      <c r="L51" s="2" t="e">
        <f t="shared" si="47"/>
        <v>#REF!</v>
      </c>
      <c r="M51" s="2" t="e">
        <f t="shared" si="42"/>
        <v>#REF!</v>
      </c>
      <c r="N51" s="2" t="e">
        <f t="shared" si="43"/>
        <v>#REF!</v>
      </c>
      <c r="O51" s="2" t="e">
        <f t="shared" si="44"/>
        <v>#REF!</v>
      </c>
      <c r="P51" s="2" t="e">
        <f t="shared" si="45"/>
        <v>#REF!</v>
      </c>
      <c r="Q51" s="2" t="e">
        <f t="shared" si="46"/>
        <v>#REF!</v>
      </c>
    </row>
    <row r="52" spans="11:17" x14ac:dyDescent="0.35">
      <c r="K52" s="9" t="e">
        <f>#REF!</f>
        <v>#REF!</v>
      </c>
      <c r="L52" s="4" t="e">
        <f t="shared" si="47"/>
        <v>#REF!</v>
      </c>
      <c r="M52" s="4" t="e">
        <f t="shared" si="42"/>
        <v>#REF!</v>
      </c>
      <c r="N52" s="4" t="e">
        <f t="shared" si="43"/>
        <v>#REF!</v>
      </c>
      <c r="O52" s="4" t="e">
        <f t="shared" si="44"/>
        <v>#REF!</v>
      </c>
      <c r="P52" s="4" t="e">
        <f t="shared" si="45"/>
        <v>#REF!</v>
      </c>
      <c r="Q52" s="4" t="e">
        <f t="shared" si="46"/>
        <v>#REF!</v>
      </c>
    </row>
    <row r="53" spans="11:17" x14ac:dyDescent="0.35">
      <c r="K53" s="8" t="e">
        <f>#REF!</f>
        <v>#REF!</v>
      </c>
      <c r="L53" s="2" t="e">
        <f t="shared" si="47"/>
        <v>#REF!</v>
      </c>
      <c r="M53" s="2" t="e">
        <f t="shared" si="42"/>
        <v>#REF!</v>
      </c>
      <c r="N53" s="2" t="e">
        <f t="shared" si="43"/>
        <v>#REF!</v>
      </c>
      <c r="O53" s="2" t="e">
        <f t="shared" si="44"/>
        <v>#REF!</v>
      </c>
      <c r="P53" s="2" t="e">
        <f t="shared" si="45"/>
        <v>#REF!</v>
      </c>
      <c r="Q53" s="2" t="e">
        <f t="shared" si="46"/>
        <v>#REF!</v>
      </c>
    </row>
    <row r="54" spans="11:17" x14ac:dyDescent="0.35">
      <c r="K54" s="3" t="s">
        <v>4</v>
      </c>
      <c r="L54" s="4" t="e">
        <f>SUM(L47:L53)</f>
        <v>#REF!</v>
      </c>
      <c r="M54" s="4" t="e">
        <f>SUM(M47:M53)</f>
        <v>#REF!</v>
      </c>
      <c r="N54" s="4" t="e">
        <f>SUM(N47:N53)</f>
        <v>#REF!</v>
      </c>
      <c r="O54" s="4"/>
      <c r="P54" s="4"/>
      <c r="Q54" s="4"/>
    </row>
    <row r="55" spans="11:17" x14ac:dyDescent="0.35">
      <c r="K55" s="3" t="s">
        <v>0</v>
      </c>
      <c r="L55" s="2" t="e">
        <f>L54/3</f>
        <v>#REF!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A6</f>
        <v>45086</v>
      </c>
      <c r="L59" s="4">
        <f t="shared" ref="L59:Q59" si="48">SUM(B7:B29)</f>
        <v>130295.09999999998</v>
      </c>
      <c r="M59" s="4">
        <f t="shared" si="48"/>
        <v>203794.90000000002</v>
      </c>
      <c r="N59" s="4">
        <f t="shared" si="48"/>
        <v>334090</v>
      </c>
      <c r="O59" s="4">
        <f t="shared" si="48"/>
        <v>130760</v>
      </c>
      <c r="P59" s="4">
        <f t="shared" si="48"/>
        <v>203330</v>
      </c>
      <c r="Q59" s="4">
        <f t="shared" si="48"/>
        <v>122445</v>
      </c>
    </row>
    <row r="60" spans="11:17" x14ac:dyDescent="0.35">
      <c r="K60" s="3" t="s">
        <v>0</v>
      </c>
      <c r="L60" s="2">
        <f>L59/3</f>
        <v>43431.69999999999</v>
      </c>
      <c r="M60" s="2"/>
      <c r="N60" s="2"/>
      <c r="O60" s="2"/>
      <c r="P60" s="2"/>
      <c r="Q60" s="2"/>
    </row>
  </sheetData>
  <mergeCells count="1">
    <mergeCell ref="C39:G39"/>
  </mergeCells>
  <conditionalFormatting sqref="A1:H1">
    <cfRule type="dataBar" priority="10">
      <dataBar>
        <cfvo type="min"/>
        <cfvo type="max"/>
        <color rgb="FF638EC6"/>
      </dataBar>
    </cfRule>
  </conditionalFormatting>
  <conditionalFormatting sqref="A33:H33">
    <cfRule type="dataBar" priority="2">
      <dataBar>
        <cfvo type="min"/>
        <cfvo type="max"/>
        <color rgb="FF638EC6"/>
      </dataBar>
    </cfRule>
  </conditionalFormatting>
  <conditionalFormatting sqref="H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4">
      <dataBar>
        <cfvo type="min"/>
        <cfvo type="max"/>
        <color rgb="FF638EC6"/>
      </dataBar>
    </cfRule>
  </conditionalFormatting>
  <conditionalFormatting sqref="K13:Q13">
    <cfRule type="dataBar" priority="8">
      <dataBar>
        <cfvo type="min"/>
        <cfvo type="max"/>
        <color rgb="FF638EC6"/>
      </dataBar>
    </cfRule>
  </conditionalFormatting>
  <conditionalFormatting sqref="K24:Q24">
    <cfRule type="dataBar" priority="7">
      <dataBar>
        <cfvo type="min"/>
        <cfvo type="max"/>
        <color rgb="FF638EC6"/>
      </dataBar>
    </cfRule>
  </conditionalFormatting>
  <conditionalFormatting sqref="K35:Q35">
    <cfRule type="dataBar" priority="6">
      <dataBar>
        <cfvo type="min"/>
        <cfvo type="max"/>
        <color rgb="FF638EC6"/>
      </dataBar>
    </cfRule>
  </conditionalFormatting>
  <conditionalFormatting sqref="K46:Q46">
    <cfRule type="dataBar" priority="3">
      <dataBar>
        <cfvo type="min"/>
        <cfvo type="max"/>
        <color rgb="FF638EC6"/>
      </dataBar>
    </cfRule>
  </conditionalFormatting>
  <conditionalFormatting sqref="K58:Q58">
    <cfRule type="dataBar" priority="5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EEAA-D7ED-4B24-837F-8ABF95EC58FB}">
  <dimension ref="A1:Q60"/>
  <sheetViews>
    <sheetView zoomScale="90" zoomScaleNormal="90" workbookViewId="0">
      <pane ySplit="1" topLeftCell="A23" activePane="bottomLeft" state="frozen"/>
      <selection pane="bottomLeft" activeCell="B41" sqref="B41:I41"/>
    </sheetView>
  </sheetViews>
  <sheetFormatPr defaultColWidth="26" defaultRowHeight="14.5" x14ac:dyDescent="0.35"/>
  <cols>
    <col min="1" max="1" width="25.90625" bestFit="1" customWidth="1"/>
    <col min="2" max="2" width="9" style="1" bestFit="1" customWidth="1"/>
    <col min="3" max="3" width="9.1796875" style="1" bestFit="1" customWidth="1"/>
    <col min="4" max="4" width="9" style="1" bestFit="1" customWidth="1"/>
    <col min="5" max="5" width="10.7265625" style="1" bestFit="1" customWidth="1"/>
    <col min="6" max="6" width="10.6328125" style="1" customWidth="1"/>
    <col min="7" max="7" width="9.26953125" style="1" bestFit="1" customWidth="1"/>
    <col min="8" max="8" width="10.1796875" bestFit="1" customWidth="1"/>
    <col min="9" max="9" width="9" bestFit="1" customWidth="1"/>
    <col min="10" max="10" width="6.54296875" customWidth="1"/>
    <col min="11" max="11" width="26.36328125" bestFit="1" customWidth="1"/>
    <col min="12" max="12" width="8.1796875" bestFit="1" customWidth="1"/>
    <col min="13" max="14" width="9.1796875" bestFit="1" customWidth="1"/>
    <col min="15" max="15" width="8.1796875" bestFit="1" customWidth="1"/>
    <col min="16" max="16" width="16.90625" bestFit="1" customWidth="1"/>
    <col min="17" max="17" width="9.26953125" bestFit="1" customWidth="1"/>
  </cols>
  <sheetData>
    <row r="1" spans="1:17" s="23" customFormat="1" ht="29" x14ac:dyDescent="0.35">
      <c r="A1" s="30" t="s">
        <v>7</v>
      </c>
      <c r="B1" s="28" t="s">
        <v>6</v>
      </c>
      <c r="C1" s="28" t="s">
        <v>5</v>
      </c>
      <c r="D1" s="28" t="s">
        <v>4</v>
      </c>
      <c r="E1" s="29" t="s">
        <v>3</v>
      </c>
      <c r="F1" s="29" t="s">
        <v>2</v>
      </c>
      <c r="G1" s="28" t="s">
        <v>1</v>
      </c>
      <c r="H1" s="27" t="s">
        <v>9</v>
      </c>
      <c r="I1" s="26" t="s">
        <v>8</v>
      </c>
      <c r="K1" s="25" t="s">
        <v>7</v>
      </c>
      <c r="L1" s="24" t="s">
        <v>6</v>
      </c>
      <c r="M1" s="24" t="s">
        <v>5</v>
      </c>
      <c r="N1" s="24" t="s">
        <v>4</v>
      </c>
      <c r="O1" s="24" t="s">
        <v>3</v>
      </c>
      <c r="P1" s="24" t="s">
        <v>2</v>
      </c>
      <c r="Q1" s="24" t="s">
        <v>1</v>
      </c>
    </row>
    <row r="2" spans="1:17" x14ac:dyDescent="0.35">
      <c r="A2" s="21">
        <v>45110</v>
      </c>
      <c r="B2" s="20">
        <f t="shared" ref="B2:B30" si="0">D2*0.39</f>
        <v>1228.5</v>
      </c>
      <c r="C2" s="20">
        <f t="shared" ref="C2:C30" si="1">D2-B2</f>
        <v>1921.5</v>
      </c>
      <c r="D2" s="20">
        <f t="shared" ref="D2:D30" si="2">E2+F2</f>
        <v>3150</v>
      </c>
      <c r="E2" s="22">
        <v>1350</v>
      </c>
      <c r="F2" s="22">
        <v>1800</v>
      </c>
      <c r="G2" s="22">
        <v>80</v>
      </c>
      <c r="H2" s="19">
        <f t="shared" ref="H2:H30" si="3">IFERROR(B2/C2,0)</f>
        <v>0.63934426229508201</v>
      </c>
      <c r="I2" s="18">
        <f>SUM($D$2:D2)-SUM($G$2:G2)</f>
        <v>3070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1">
        <v>45111</v>
      </c>
      <c r="B3" s="20">
        <f t="shared" si="0"/>
        <v>3042</v>
      </c>
      <c r="C3" s="20">
        <f t="shared" si="1"/>
        <v>4758</v>
      </c>
      <c r="D3" s="20">
        <f t="shared" si="2"/>
        <v>7800</v>
      </c>
      <c r="E3" s="20">
        <v>1330</v>
      </c>
      <c r="F3" s="20">
        <v>6470</v>
      </c>
      <c r="G3" s="22">
        <v>80</v>
      </c>
      <c r="H3" s="19">
        <f t="shared" si="3"/>
        <v>0.63934426229508201</v>
      </c>
      <c r="I3" s="18">
        <f>SUM($D$2:D3)-SUM($G$2:G3)</f>
        <v>10790</v>
      </c>
      <c r="K3" s="8">
        <f t="shared" ref="K3:K9" si="4">A2</f>
        <v>45110</v>
      </c>
      <c r="L3" s="2">
        <f>N3*0.3</f>
        <v>945</v>
      </c>
      <c r="M3" s="2">
        <f t="shared" ref="M3:M9" si="5">N3-L3</f>
        <v>2205</v>
      </c>
      <c r="N3" s="2">
        <f t="shared" ref="N3:N9" si="6">O3+P3</f>
        <v>3150</v>
      </c>
      <c r="O3" s="2">
        <f t="shared" ref="O3:O9" si="7">VLOOKUP(K3,$A$1:$H$31,5,0)</f>
        <v>1350</v>
      </c>
      <c r="P3" s="2">
        <f t="shared" ref="P3:P9" si="8">VLOOKUP(K3,$A$1:$H$31,6,0)</f>
        <v>1800</v>
      </c>
      <c r="Q3" s="2">
        <f t="shared" ref="Q3:Q9" si="9">VLOOKUP(K3,$A$1:$H$31,7,0)</f>
        <v>80</v>
      </c>
    </row>
    <row r="4" spans="1:17" x14ac:dyDescent="0.35">
      <c r="A4" s="21">
        <v>45112</v>
      </c>
      <c r="B4" s="20">
        <f t="shared" si="0"/>
        <v>4968.6000000000004</v>
      </c>
      <c r="C4" s="20">
        <f t="shared" si="1"/>
        <v>7771.4</v>
      </c>
      <c r="D4" s="20">
        <f t="shared" si="2"/>
        <v>12740</v>
      </c>
      <c r="E4" s="20">
        <v>1270</v>
      </c>
      <c r="F4" s="20">
        <v>11470</v>
      </c>
      <c r="G4" s="20">
        <v>950</v>
      </c>
      <c r="H4" s="19">
        <f t="shared" si="3"/>
        <v>0.63934426229508201</v>
      </c>
      <c r="I4" s="18">
        <f>SUM($D$2:D4)-SUM($G$2:G4)</f>
        <v>22580</v>
      </c>
      <c r="K4" s="9">
        <f t="shared" si="4"/>
        <v>45111</v>
      </c>
      <c r="L4" s="4">
        <f>N4*0.3</f>
        <v>2340</v>
      </c>
      <c r="M4" s="4">
        <f t="shared" si="5"/>
        <v>5460</v>
      </c>
      <c r="N4" s="4">
        <f t="shared" si="6"/>
        <v>7800</v>
      </c>
      <c r="O4" s="4">
        <f t="shared" si="7"/>
        <v>1330</v>
      </c>
      <c r="P4" s="4">
        <f t="shared" si="8"/>
        <v>6470</v>
      </c>
      <c r="Q4" s="4">
        <f t="shared" si="9"/>
        <v>80</v>
      </c>
    </row>
    <row r="5" spans="1:17" x14ac:dyDescent="0.35">
      <c r="A5" s="21">
        <v>45113</v>
      </c>
      <c r="B5" s="20">
        <f t="shared" si="0"/>
        <v>2094.3000000000002</v>
      </c>
      <c r="C5" s="20">
        <f t="shared" si="1"/>
        <v>3275.7</v>
      </c>
      <c r="D5" s="20">
        <f t="shared" si="2"/>
        <v>5370</v>
      </c>
      <c r="E5" s="22">
        <v>3290</v>
      </c>
      <c r="F5" s="22">
        <v>2080</v>
      </c>
      <c r="G5" s="22">
        <v>90</v>
      </c>
      <c r="H5" s="19">
        <f t="shared" si="3"/>
        <v>0.63934426229508201</v>
      </c>
      <c r="I5" s="18">
        <f>SUM($D$2:D5)-SUM($G$2:G5)</f>
        <v>27860</v>
      </c>
      <c r="K5" s="8">
        <f t="shared" si="4"/>
        <v>45112</v>
      </c>
      <c r="L5" s="2">
        <f t="shared" ref="L5:L9" si="10">N5*0.3</f>
        <v>3822</v>
      </c>
      <c r="M5" s="2">
        <f t="shared" si="5"/>
        <v>8918</v>
      </c>
      <c r="N5" s="2">
        <f t="shared" si="6"/>
        <v>12740</v>
      </c>
      <c r="O5" s="2">
        <f t="shared" si="7"/>
        <v>1270</v>
      </c>
      <c r="P5" s="2">
        <f t="shared" si="8"/>
        <v>11470</v>
      </c>
      <c r="Q5" s="2">
        <f t="shared" si="9"/>
        <v>950</v>
      </c>
    </row>
    <row r="6" spans="1:17" x14ac:dyDescent="0.35">
      <c r="A6" s="21">
        <v>45114</v>
      </c>
      <c r="B6" s="20">
        <f t="shared" si="0"/>
        <v>4933.5</v>
      </c>
      <c r="C6" s="20">
        <f t="shared" si="1"/>
        <v>7716.5</v>
      </c>
      <c r="D6" s="20">
        <f t="shared" si="2"/>
        <v>12650</v>
      </c>
      <c r="E6" s="22">
        <v>1675</v>
      </c>
      <c r="F6" s="22">
        <v>10975</v>
      </c>
      <c r="G6" s="22">
        <v>80</v>
      </c>
      <c r="H6" s="19">
        <f t="shared" si="3"/>
        <v>0.63934426229508201</v>
      </c>
      <c r="I6" s="18">
        <f>SUM($D$2:D6)-SUM($G$2:G6)</f>
        <v>40430</v>
      </c>
      <c r="K6" s="9">
        <f t="shared" si="4"/>
        <v>45113</v>
      </c>
      <c r="L6" s="4">
        <f t="shared" si="10"/>
        <v>1611</v>
      </c>
      <c r="M6" s="4">
        <f t="shared" si="5"/>
        <v>3759</v>
      </c>
      <c r="N6" s="4">
        <f t="shared" si="6"/>
        <v>5370</v>
      </c>
      <c r="O6" s="4">
        <f t="shared" si="7"/>
        <v>3290</v>
      </c>
      <c r="P6" s="4">
        <f t="shared" si="8"/>
        <v>2080</v>
      </c>
      <c r="Q6" s="4">
        <f t="shared" si="9"/>
        <v>90</v>
      </c>
    </row>
    <row r="7" spans="1:17" x14ac:dyDescent="0.35">
      <c r="A7" s="21">
        <v>45115</v>
      </c>
      <c r="B7" s="20">
        <f t="shared" si="0"/>
        <v>3993.6000000000004</v>
      </c>
      <c r="C7" s="20">
        <f t="shared" si="1"/>
        <v>6246.4</v>
      </c>
      <c r="D7" s="20">
        <f t="shared" si="2"/>
        <v>10240</v>
      </c>
      <c r="E7" s="22">
        <v>6970</v>
      </c>
      <c r="F7" s="22">
        <v>3270</v>
      </c>
      <c r="G7" s="22">
        <v>12000</v>
      </c>
      <c r="H7" s="19">
        <f t="shared" si="3"/>
        <v>0.63934426229508201</v>
      </c>
      <c r="I7" s="18">
        <f>SUM($D$2:D7)-SUM($G$2:G7)</f>
        <v>38670</v>
      </c>
      <c r="K7" s="8">
        <f t="shared" si="4"/>
        <v>45114</v>
      </c>
      <c r="L7" s="2">
        <f t="shared" si="10"/>
        <v>3795</v>
      </c>
      <c r="M7" s="2">
        <f t="shared" si="5"/>
        <v>8855</v>
      </c>
      <c r="N7" s="2">
        <f t="shared" si="6"/>
        <v>12650</v>
      </c>
      <c r="O7" s="2">
        <f t="shared" si="7"/>
        <v>1675</v>
      </c>
      <c r="P7" s="2">
        <f t="shared" si="8"/>
        <v>10975</v>
      </c>
      <c r="Q7" s="2">
        <f t="shared" si="9"/>
        <v>80</v>
      </c>
    </row>
    <row r="8" spans="1:17" x14ac:dyDescent="0.35">
      <c r="A8" s="21">
        <v>45116</v>
      </c>
      <c r="B8" s="20">
        <f t="shared" si="0"/>
        <v>1189.5</v>
      </c>
      <c r="C8" s="20">
        <f t="shared" si="1"/>
        <v>1860.5</v>
      </c>
      <c r="D8" s="20">
        <f t="shared" si="2"/>
        <v>3050</v>
      </c>
      <c r="E8" s="22">
        <v>2060</v>
      </c>
      <c r="F8" s="22">
        <v>990</v>
      </c>
      <c r="G8" s="22">
        <v>580</v>
      </c>
      <c r="H8" s="19">
        <f t="shared" si="3"/>
        <v>0.63934426229508201</v>
      </c>
      <c r="I8" s="18">
        <f>SUM($D$2:D8)-SUM($G$2:G8)</f>
        <v>41140</v>
      </c>
      <c r="K8" s="9">
        <f t="shared" si="4"/>
        <v>45115</v>
      </c>
      <c r="L8" s="4">
        <f t="shared" si="10"/>
        <v>3072</v>
      </c>
      <c r="M8" s="4">
        <f t="shared" si="5"/>
        <v>7168</v>
      </c>
      <c r="N8" s="4">
        <f t="shared" si="6"/>
        <v>10240</v>
      </c>
      <c r="O8" s="4">
        <f t="shared" si="7"/>
        <v>6970</v>
      </c>
      <c r="P8" s="4">
        <f t="shared" si="8"/>
        <v>3270</v>
      </c>
      <c r="Q8" s="4">
        <f t="shared" si="9"/>
        <v>12000</v>
      </c>
    </row>
    <row r="9" spans="1:17" x14ac:dyDescent="0.35">
      <c r="A9" s="21">
        <v>45117</v>
      </c>
      <c r="B9" s="20">
        <f t="shared" si="0"/>
        <v>7394.4000000000005</v>
      </c>
      <c r="C9" s="20">
        <f t="shared" si="1"/>
        <v>11565.599999999999</v>
      </c>
      <c r="D9" s="20">
        <f t="shared" si="2"/>
        <v>18960</v>
      </c>
      <c r="E9" s="20">
        <v>11360</v>
      </c>
      <c r="F9" s="20">
        <v>7600</v>
      </c>
      <c r="G9" s="20">
        <v>10080</v>
      </c>
      <c r="H9" s="19">
        <f t="shared" si="3"/>
        <v>0.63934426229508212</v>
      </c>
      <c r="I9" s="18">
        <f>SUM($D$2:D9)-SUM($G$2:G9)</f>
        <v>50020</v>
      </c>
      <c r="K9" s="8">
        <f t="shared" si="4"/>
        <v>45116</v>
      </c>
      <c r="L9" s="2">
        <f t="shared" si="10"/>
        <v>915</v>
      </c>
      <c r="M9" s="2">
        <f t="shared" si="5"/>
        <v>2135</v>
      </c>
      <c r="N9" s="2">
        <f t="shared" si="6"/>
        <v>3050</v>
      </c>
      <c r="O9" s="2">
        <f t="shared" si="7"/>
        <v>2060</v>
      </c>
      <c r="P9" s="2">
        <f t="shared" si="8"/>
        <v>990</v>
      </c>
      <c r="Q9" s="2">
        <f t="shared" si="9"/>
        <v>580</v>
      </c>
    </row>
    <row r="10" spans="1:17" x14ac:dyDescent="0.35">
      <c r="A10" s="21">
        <v>45118</v>
      </c>
      <c r="B10" s="20">
        <f t="shared" si="0"/>
        <v>10806.9</v>
      </c>
      <c r="C10" s="20">
        <f t="shared" si="1"/>
        <v>16903.099999999999</v>
      </c>
      <c r="D10" s="20">
        <f t="shared" si="2"/>
        <v>27710</v>
      </c>
      <c r="E10" s="20">
        <v>3860</v>
      </c>
      <c r="F10" s="20">
        <v>23850</v>
      </c>
      <c r="G10" s="20">
        <v>3080</v>
      </c>
      <c r="H10" s="19">
        <f t="shared" si="3"/>
        <v>0.63934426229508201</v>
      </c>
      <c r="I10" s="18">
        <f>SUM($D$2:D10)-SUM($G$2:G10)</f>
        <v>74650</v>
      </c>
      <c r="K10" s="3" t="s">
        <v>4</v>
      </c>
      <c r="L10" s="3">
        <f>SUM(L3:L9)</f>
        <v>16500</v>
      </c>
      <c r="M10" s="3">
        <f>SUM(M2:M9)</f>
        <v>38500</v>
      </c>
      <c r="N10" s="3">
        <f>SUM(N2:N9)</f>
        <v>55000</v>
      </c>
      <c r="O10" s="3">
        <f>SUM(O2:O9)</f>
        <v>17945</v>
      </c>
      <c r="P10" s="3">
        <f>SUM(P2:P9)</f>
        <v>37055</v>
      </c>
      <c r="Q10" s="3">
        <f>SUM(Q2:Q9)</f>
        <v>13860</v>
      </c>
    </row>
    <row r="11" spans="1:17" x14ac:dyDescent="0.35">
      <c r="A11" s="21">
        <v>45119</v>
      </c>
      <c r="B11" s="20">
        <f t="shared" si="0"/>
        <v>2418</v>
      </c>
      <c r="C11" s="20">
        <f t="shared" si="1"/>
        <v>3782</v>
      </c>
      <c r="D11" s="20">
        <f t="shared" si="2"/>
        <v>6200</v>
      </c>
      <c r="E11" s="20">
        <v>6200</v>
      </c>
      <c r="F11" s="20"/>
      <c r="G11" s="20">
        <v>700</v>
      </c>
      <c r="H11" s="19">
        <f t="shared" si="3"/>
        <v>0.63934426229508201</v>
      </c>
      <c r="I11" s="18">
        <f>SUM($D$2:D11)-SUM($G$2:G11)</f>
        <v>80150</v>
      </c>
      <c r="K11" s="3" t="s">
        <v>0</v>
      </c>
      <c r="L11" s="3">
        <f>L10/3</f>
        <v>5500</v>
      </c>
      <c r="M11" s="3"/>
      <c r="N11" s="3"/>
      <c r="O11" s="2"/>
      <c r="P11" s="2"/>
      <c r="Q11" s="2"/>
    </row>
    <row r="12" spans="1:17" x14ac:dyDescent="0.35">
      <c r="A12" s="21">
        <v>45120</v>
      </c>
      <c r="B12" s="20">
        <f t="shared" si="0"/>
        <v>3771.3</v>
      </c>
      <c r="C12" s="20">
        <f t="shared" si="1"/>
        <v>5898.7</v>
      </c>
      <c r="D12" s="20">
        <f t="shared" si="2"/>
        <v>9670</v>
      </c>
      <c r="E12" s="20">
        <v>8810</v>
      </c>
      <c r="F12" s="20">
        <v>860</v>
      </c>
      <c r="G12" s="20">
        <v>5485</v>
      </c>
      <c r="H12" s="19">
        <f t="shared" si="3"/>
        <v>0.63934426229508201</v>
      </c>
      <c r="I12" s="18">
        <f>SUM($D$2:D12)-SUM($G$2:G12)</f>
        <v>84335</v>
      </c>
    </row>
    <row r="13" spans="1:17" x14ac:dyDescent="0.35">
      <c r="A13" s="21">
        <v>45121</v>
      </c>
      <c r="B13" s="20">
        <f t="shared" si="0"/>
        <v>5046.6000000000004</v>
      </c>
      <c r="C13" s="20">
        <f t="shared" si="1"/>
        <v>7893.4</v>
      </c>
      <c r="D13" s="20">
        <f t="shared" si="2"/>
        <v>12940</v>
      </c>
      <c r="E13" s="20">
        <v>1900</v>
      </c>
      <c r="F13" s="20">
        <v>11040</v>
      </c>
      <c r="G13" s="20">
        <v>550</v>
      </c>
      <c r="H13" s="19">
        <f t="shared" si="3"/>
        <v>0.63934426229508201</v>
      </c>
      <c r="I13" s="18">
        <f>SUM($D$2:D13)-SUM($G$2:G13)</f>
        <v>96725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1">
        <v>45122</v>
      </c>
      <c r="B14" s="20">
        <f t="shared" si="0"/>
        <v>7876.05</v>
      </c>
      <c r="C14" s="20">
        <f t="shared" si="1"/>
        <v>12318.95</v>
      </c>
      <c r="D14" s="20">
        <f t="shared" si="2"/>
        <v>20195</v>
      </c>
      <c r="E14" s="20">
        <v>6905</v>
      </c>
      <c r="F14" s="20">
        <v>13290</v>
      </c>
      <c r="G14" s="20">
        <v>1100</v>
      </c>
      <c r="H14" s="19">
        <f t="shared" si="3"/>
        <v>0.6393442622950819</v>
      </c>
      <c r="I14" s="18">
        <f>SUM($D$2:D14)-SUM($G$2:G14)</f>
        <v>115820</v>
      </c>
      <c r="K14" s="8">
        <f t="shared" ref="K14:K20" si="11">A9</f>
        <v>45117</v>
      </c>
      <c r="L14" s="2">
        <f>N14*0.3</f>
        <v>5688</v>
      </c>
      <c r="M14" s="2">
        <f t="shared" ref="M14:M20" si="12">N14-L14</f>
        <v>13272</v>
      </c>
      <c r="N14" s="2">
        <f t="shared" ref="N14:N20" si="13">O14+P14</f>
        <v>18960</v>
      </c>
      <c r="O14" s="2">
        <f t="shared" ref="O14:O20" si="14">VLOOKUP(K14,$A$1:$H$31,5,0)</f>
        <v>11360</v>
      </c>
      <c r="P14" s="2">
        <f t="shared" ref="P14:P20" si="15">VLOOKUP(K14,$A$1:$H$31,6,0)</f>
        <v>7600</v>
      </c>
      <c r="Q14" s="2">
        <f t="shared" ref="Q14:Q20" si="16">VLOOKUP(K14,$A$1:$H$31,7,0)</f>
        <v>10080</v>
      </c>
    </row>
    <row r="15" spans="1:17" x14ac:dyDescent="0.35">
      <c r="A15" s="21">
        <v>45123</v>
      </c>
      <c r="B15" s="20">
        <f t="shared" si="0"/>
        <v>3305.25</v>
      </c>
      <c r="C15" s="20">
        <f t="shared" si="1"/>
        <v>5169.75</v>
      </c>
      <c r="D15" s="20">
        <f t="shared" si="2"/>
        <v>8475</v>
      </c>
      <c r="E15" s="20">
        <v>4900</v>
      </c>
      <c r="F15" s="20">
        <v>3575</v>
      </c>
      <c r="G15" s="20">
        <v>2800</v>
      </c>
      <c r="H15" s="19">
        <f t="shared" si="3"/>
        <v>0.63934426229508201</v>
      </c>
      <c r="I15" s="18">
        <f>SUM($D$2:D15)-SUM($G$2:G15)</f>
        <v>121495</v>
      </c>
      <c r="K15" s="9">
        <f t="shared" si="11"/>
        <v>45118</v>
      </c>
      <c r="L15" s="4">
        <f>N15*0.3</f>
        <v>8313</v>
      </c>
      <c r="M15" s="4">
        <f t="shared" si="12"/>
        <v>19397</v>
      </c>
      <c r="N15" s="4">
        <f t="shared" si="13"/>
        <v>27710</v>
      </c>
      <c r="O15" s="4">
        <f t="shared" si="14"/>
        <v>3860</v>
      </c>
      <c r="P15" s="4">
        <f t="shared" si="15"/>
        <v>23850</v>
      </c>
      <c r="Q15" s="4">
        <f t="shared" si="16"/>
        <v>3080</v>
      </c>
    </row>
    <row r="16" spans="1:17" x14ac:dyDescent="0.35">
      <c r="A16" s="21">
        <v>45124</v>
      </c>
      <c r="B16" s="20">
        <f t="shared" si="0"/>
        <v>9633</v>
      </c>
      <c r="C16" s="20">
        <f t="shared" si="1"/>
        <v>15067</v>
      </c>
      <c r="D16" s="20">
        <f t="shared" si="2"/>
        <v>24700</v>
      </c>
      <c r="E16" s="20">
        <v>6700</v>
      </c>
      <c r="F16" s="20">
        <v>18000</v>
      </c>
      <c r="G16" s="20">
        <v>2050</v>
      </c>
      <c r="H16" s="19">
        <f t="shared" si="3"/>
        <v>0.63934426229508201</v>
      </c>
      <c r="I16" s="18">
        <f>SUM($D$2:D16)-SUM($G$2:G16)</f>
        <v>144145</v>
      </c>
      <c r="K16" s="8">
        <f t="shared" si="11"/>
        <v>45119</v>
      </c>
      <c r="L16" s="2">
        <f t="shared" ref="L16:L20" si="17">N16*0.3</f>
        <v>1860</v>
      </c>
      <c r="M16" s="2">
        <f t="shared" si="12"/>
        <v>4340</v>
      </c>
      <c r="N16" s="2">
        <f t="shared" si="13"/>
        <v>6200</v>
      </c>
      <c r="O16" s="2">
        <f t="shared" si="14"/>
        <v>6200</v>
      </c>
      <c r="P16" s="2">
        <f t="shared" si="15"/>
        <v>0</v>
      </c>
      <c r="Q16" s="2">
        <f t="shared" si="16"/>
        <v>700</v>
      </c>
    </row>
    <row r="17" spans="1:17" x14ac:dyDescent="0.35">
      <c r="A17" s="21">
        <v>45125</v>
      </c>
      <c r="B17" s="20">
        <f t="shared" si="0"/>
        <v>1755</v>
      </c>
      <c r="C17" s="20">
        <f t="shared" si="1"/>
        <v>2745</v>
      </c>
      <c r="D17" s="20">
        <f t="shared" si="2"/>
        <v>4500</v>
      </c>
      <c r="E17" s="20">
        <v>3670</v>
      </c>
      <c r="F17" s="20">
        <v>830</v>
      </c>
      <c r="G17" s="20">
        <v>910</v>
      </c>
      <c r="H17" s="19">
        <f t="shared" si="3"/>
        <v>0.63934426229508201</v>
      </c>
      <c r="I17" s="18">
        <f>SUM($D$2:D17)-SUM($G$2:G17)</f>
        <v>147735</v>
      </c>
      <c r="K17" s="9">
        <f t="shared" si="11"/>
        <v>45120</v>
      </c>
      <c r="L17" s="4">
        <f t="shared" si="17"/>
        <v>2901</v>
      </c>
      <c r="M17" s="4">
        <f t="shared" si="12"/>
        <v>6769</v>
      </c>
      <c r="N17" s="4">
        <f t="shared" si="13"/>
        <v>9670</v>
      </c>
      <c r="O17" s="4">
        <f t="shared" si="14"/>
        <v>8810</v>
      </c>
      <c r="P17" s="4">
        <f t="shared" si="15"/>
        <v>860</v>
      </c>
      <c r="Q17" s="4">
        <f t="shared" si="16"/>
        <v>5485</v>
      </c>
    </row>
    <row r="18" spans="1:17" x14ac:dyDescent="0.35">
      <c r="A18" s="21">
        <v>45126</v>
      </c>
      <c r="B18" s="20">
        <f t="shared" si="0"/>
        <v>2835.3</v>
      </c>
      <c r="C18" s="20">
        <f t="shared" si="1"/>
        <v>4434.7</v>
      </c>
      <c r="D18" s="20">
        <f t="shared" si="2"/>
        <v>7270</v>
      </c>
      <c r="E18" s="20">
        <v>2570</v>
      </c>
      <c r="F18" s="20">
        <v>4700</v>
      </c>
      <c r="G18" s="20">
        <v>5100</v>
      </c>
      <c r="H18" s="19">
        <f t="shared" si="3"/>
        <v>0.63934426229508201</v>
      </c>
      <c r="I18" s="18">
        <f>SUM($D$2:D18)-SUM($G$2:G18)</f>
        <v>149905</v>
      </c>
      <c r="K18" s="8">
        <f t="shared" si="11"/>
        <v>45121</v>
      </c>
      <c r="L18" s="2">
        <f t="shared" si="17"/>
        <v>3882</v>
      </c>
      <c r="M18" s="2">
        <f t="shared" si="12"/>
        <v>9058</v>
      </c>
      <c r="N18" s="2">
        <f t="shared" si="13"/>
        <v>12940</v>
      </c>
      <c r="O18" s="2">
        <f t="shared" si="14"/>
        <v>1900</v>
      </c>
      <c r="P18" s="2">
        <f t="shared" si="15"/>
        <v>11040</v>
      </c>
      <c r="Q18" s="2">
        <f t="shared" si="16"/>
        <v>550</v>
      </c>
    </row>
    <row r="19" spans="1:17" x14ac:dyDescent="0.35">
      <c r="A19" s="21">
        <v>45127</v>
      </c>
      <c r="B19" s="20">
        <f t="shared" si="0"/>
        <v>1704.3</v>
      </c>
      <c r="C19" s="20">
        <f t="shared" si="1"/>
        <v>2665.7</v>
      </c>
      <c r="D19" s="20">
        <f t="shared" si="2"/>
        <v>4370</v>
      </c>
      <c r="E19" s="20">
        <v>4370</v>
      </c>
      <c r="F19" s="20">
        <v>0</v>
      </c>
      <c r="G19" s="20">
        <v>1600</v>
      </c>
      <c r="H19" s="19">
        <f t="shared" si="3"/>
        <v>0.63934426229508201</v>
      </c>
      <c r="I19" s="18">
        <f>SUM($D$2:D19)-SUM($G$2:G19)</f>
        <v>152675</v>
      </c>
      <c r="K19" s="9">
        <f t="shared" si="11"/>
        <v>45122</v>
      </c>
      <c r="L19" s="4">
        <f t="shared" si="17"/>
        <v>6058.5</v>
      </c>
      <c r="M19" s="4">
        <f t="shared" si="12"/>
        <v>14136.5</v>
      </c>
      <c r="N19" s="4">
        <f t="shared" si="13"/>
        <v>20195</v>
      </c>
      <c r="O19" s="4">
        <f t="shared" si="14"/>
        <v>6905</v>
      </c>
      <c r="P19" s="4">
        <f t="shared" si="15"/>
        <v>13290</v>
      </c>
      <c r="Q19" s="4">
        <f t="shared" si="16"/>
        <v>1100</v>
      </c>
    </row>
    <row r="20" spans="1:17" x14ac:dyDescent="0.35">
      <c r="A20" s="21">
        <v>45128</v>
      </c>
      <c r="B20" s="20">
        <f t="shared" si="0"/>
        <v>74.100000000000009</v>
      </c>
      <c r="C20" s="20">
        <f t="shared" si="1"/>
        <v>115.89999999999999</v>
      </c>
      <c r="D20" s="20">
        <f t="shared" si="2"/>
        <v>190</v>
      </c>
      <c r="E20" s="20">
        <v>190</v>
      </c>
      <c r="F20" s="20"/>
      <c r="G20" s="20">
        <v>100</v>
      </c>
      <c r="H20" s="19">
        <f t="shared" si="3"/>
        <v>0.63934426229508212</v>
      </c>
      <c r="I20" s="18">
        <f>SUM($D$2:D20)-SUM($G$2:G20)</f>
        <v>152765</v>
      </c>
      <c r="K20" s="8">
        <f t="shared" si="11"/>
        <v>45123</v>
      </c>
      <c r="L20" s="2">
        <f t="shared" si="17"/>
        <v>2542.5</v>
      </c>
      <c r="M20" s="2">
        <f t="shared" si="12"/>
        <v>5932.5</v>
      </c>
      <c r="N20" s="2">
        <f t="shared" si="13"/>
        <v>8475</v>
      </c>
      <c r="O20" s="2">
        <f t="shared" si="14"/>
        <v>4900</v>
      </c>
      <c r="P20" s="2">
        <f t="shared" si="15"/>
        <v>3575</v>
      </c>
      <c r="Q20" s="2">
        <f t="shared" si="16"/>
        <v>2800</v>
      </c>
    </row>
    <row r="21" spans="1:17" x14ac:dyDescent="0.35">
      <c r="A21" s="21">
        <v>45129</v>
      </c>
      <c r="B21" s="20">
        <f t="shared" si="0"/>
        <v>8697</v>
      </c>
      <c r="C21" s="20">
        <f t="shared" si="1"/>
        <v>13603</v>
      </c>
      <c r="D21" s="20">
        <f t="shared" si="2"/>
        <v>22300</v>
      </c>
      <c r="E21" s="20">
        <f>4860+1800</f>
        <v>6660</v>
      </c>
      <c r="F21" s="20">
        <v>15640</v>
      </c>
      <c r="G21" s="20">
        <v>1350</v>
      </c>
      <c r="H21" s="19">
        <f t="shared" si="3"/>
        <v>0.63934426229508201</v>
      </c>
      <c r="I21" s="18">
        <f>SUM($D$2:D21)-SUM($G$2:G21)</f>
        <v>173715</v>
      </c>
      <c r="K21" s="3" t="s">
        <v>4</v>
      </c>
      <c r="L21" s="3">
        <f t="shared" ref="L21:Q21" si="18">SUM(L14:L20)</f>
        <v>31245</v>
      </c>
      <c r="M21" s="3">
        <f t="shared" si="18"/>
        <v>72905</v>
      </c>
      <c r="N21" s="3">
        <f t="shared" si="18"/>
        <v>104150</v>
      </c>
      <c r="O21" s="3">
        <f t="shared" si="18"/>
        <v>43935</v>
      </c>
      <c r="P21" s="3">
        <f t="shared" si="18"/>
        <v>60215</v>
      </c>
      <c r="Q21" s="3">
        <f t="shared" si="18"/>
        <v>23795</v>
      </c>
    </row>
    <row r="22" spans="1:17" x14ac:dyDescent="0.35">
      <c r="A22" s="21">
        <v>45130</v>
      </c>
      <c r="B22" s="20">
        <f t="shared" si="0"/>
        <v>23088</v>
      </c>
      <c r="C22" s="20">
        <f t="shared" si="1"/>
        <v>36112</v>
      </c>
      <c r="D22" s="20">
        <f t="shared" si="2"/>
        <v>59200</v>
      </c>
      <c r="E22" s="20">
        <v>6680</v>
      </c>
      <c r="F22" s="20">
        <v>52520</v>
      </c>
      <c r="G22" s="20">
        <v>53430</v>
      </c>
      <c r="H22" s="19">
        <f t="shared" si="3"/>
        <v>0.63934426229508201</v>
      </c>
      <c r="I22" s="18">
        <f>SUM($D$2:D22)-SUM($G$2:G22)</f>
        <v>179485</v>
      </c>
      <c r="K22" s="3" t="s">
        <v>0</v>
      </c>
      <c r="L22" s="3">
        <f>L21/3</f>
        <v>10415</v>
      </c>
      <c r="M22" s="3">
        <v>12750</v>
      </c>
      <c r="N22" s="3">
        <f>M22+L22</f>
        <v>23165</v>
      </c>
      <c r="O22" s="2"/>
      <c r="P22" s="2"/>
      <c r="Q22" s="2"/>
    </row>
    <row r="23" spans="1:17" x14ac:dyDescent="0.35">
      <c r="A23" s="21">
        <v>45131</v>
      </c>
      <c r="B23" s="20">
        <f t="shared" si="0"/>
        <v>1248</v>
      </c>
      <c r="C23" s="20">
        <f t="shared" si="1"/>
        <v>1952</v>
      </c>
      <c r="D23" s="20">
        <f t="shared" si="2"/>
        <v>3200</v>
      </c>
      <c r="E23" s="20">
        <v>850</v>
      </c>
      <c r="F23" s="20">
        <v>2350</v>
      </c>
      <c r="G23" s="20">
        <v>100</v>
      </c>
      <c r="H23" s="19">
        <f t="shared" si="3"/>
        <v>0.63934426229508201</v>
      </c>
      <c r="I23" s="18">
        <f>SUM($D$2:D23)-SUM($G$2:G23)</f>
        <v>182585</v>
      </c>
      <c r="M23" t="s">
        <v>19</v>
      </c>
    </row>
    <row r="24" spans="1:17" x14ac:dyDescent="0.35">
      <c r="A24" s="21">
        <v>45132</v>
      </c>
      <c r="B24" s="20">
        <f t="shared" si="0"/>
        <v>4566.9000000000005</v>
      </c>
      <c r="C24" s="20">
        <f t="shared" si="1"/>
        <v>7143.0999999999995</v>
      </c>
      <c r="D24" s="20">
        <f t="shared" si="2"/>
        <v>11710</v>
      </c>
      <c r="E24" s="20">
        <v>3170</v>
      </c>
      <c r="F24" s="20">
        <v>8540</v>
      </c>
      <c r="G24" s="20">
        <f>10700+150</f>
        <v>10850</v>
      </c>
      <c r="H24" s="19">
        <f t="shared" si="3"/>
        <v>0.63934426229508212</v>
      </c>
      <c r="I24" s="18">
        <f>SUM($D$2:D24)-SUM($G$2:G24)</f>
        <v>183445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1">
        <v>45133</v>
      </c>
      <c r="B25" s="20">
        <f t="shared" si="0"/>
        <v>5888.22</v>
      </c>
      <c r="C25" s="20">
        <f t="shared" si="1"/>
        <v>9209.7799999999988</v>
      </c>
      <c r="D25" s="20">
        <f t="shared" si="2"/>
        <v>15098</v>
      </c>
      <c r="E25" s="20">
        <v>4000</v>
      </c>
      <c r="F25" s="20">
        <v>11098</v>
      </c>
      <c r="G25" s="20">
        <v>150</v>
      </c>
      <c r="H25" s="19">
        <f t="shared" si="3"/>
        <v>0.63934426229508212</v>
      </c>
      <c r="I25" s="18">
        <f>SUM($D$2:D25)-SUM($G$2:G25)</f>
        <v>198393</v>
      </c>
      <c r="K25" s="8">
        <f t="shared" ref="K25:K31" si="19">A16</f>
        <v>45124</v>
      </c>
      <c r="L25" s="2">
        <f>N25*0.3</f>
        <v>5400</v>
      </c>
      <c r="M25" s="2">
        <f t="shared" ref="M25:M31" si="20">N25-L25</f>
        <v>12600</v>
      </c>
      <c r="N25" s="2">
        <f t="shared" ref="N25:N31" si="21">O25+P25</f>
        <v>18000</v>
      </c>
      <c r="O25" s="2">
        <v>0</v>
      </c>
      <c r="P25" s="2">
        <f t="shared" ref="P25:P31" si="22">VLOOKUP(K25,$A$1:$H$31,6,0)</f>
        <v>18000</v>
      </c>
      <c r="Q25" s="2">
        <f t="shared" ref="Q25:Q31" si="23">VLOOKUP(K25,$A$1:$H$31,7,0)</f>
        <v>2050</v>
      </c>
    </row>
    <row r="26" spans="1:17" x14ac:dyDescent="0.35">
      <c r="A26" s="21">
        <v>45134</v>
      </c>
      <c r="B26" s="20">
        <f t="shared" si="0"/>
        <v>854.1</v>
      </c>
      <c r="C26" s="20">
        <f t="shared" si="1"/>
        <v>1335.9</v>
      </c>
      <c r="D26" s="20">
        <f t="shared" si="2"/>
        <v>2190</v>
      </c>
      <c r="E26" s="20">
        <v>1290</v>
      </c>
      <c r="F26" s="20">
        <v>900</v>
      </c>
      <c r="G26" s="20">
        <v>2680</v>
      </c>
      <c r="H26" s="19">
        <f t="shared" si="3"/>
        <v>0.6393442622950819</v>
      </c>
      <c r="I26" s="18">
        <f>SUM($D$2:D26)-SUM($G$2:G26)</f>
        <v>197903</v>
      </c>
      <c r="K26" s="9">
        <f t="shared" si="19"/>
        <v>45125</v>
      </c>
      <c r="L26" s="4">
        <f>N26*0.3</f>
        <v>1350</v>
      </c>
      <c r="M26" s="4">
        <f t="shared" si="20"/>
        <v>3150</v>
      </c>
      <c r="N26" s="4">
        <f t="shared" si="21"/>
        <v>4500</v>
      </c>
      <c r="O26" s="4">
        <f t="shared" ref="O26:O31" si="24">VLOOKUP(K26,$A$1:$H$31,5,0)</f>
        <v>3670</v>
      </c>
      <c r="P26" s="4">
        <f t="shared" si="22"/>
        <v>830</v>
      </c>
      <c r="Q26" s="4">
        <f t="shared" si="23"/>
        <v>910</v>
      </c>
    </row>
    <row r="27" spans="1:17" x14ac:dyDescent="0.35">
      <c r="A27" s="21">
        <v>45135</v>
      </c>
      <c r="B27" s="20">
        <f t="shared" si="0"/>
        <v>4149.6000000000004</v>
      </c>
      <c r="C27" s="20">
        <f t="shared" si="1"/>
        <v>6490.4</v>
      </c>
      <c r="D27" s="20">
        <f t="shared" si="2"/>
        <v>10640</v>
      </c>
      <c r="E27" s="20">
        <v>10520</v>
      </c>
      <c r="F27" s="20">
        <v>120</v>
      </c>
      <c r="G27" s="20">
        <v>100</v>
      </c>
      <c r="H27" s="19">
        <f t="shared" si="3"/>
        <v>0.63934426229508201</v>
      </c>
      <c r="I27" s="18">
        <f>SUM($D$2:D27)-SUM($G$2:G27)</f>
        <v>208443</v>
      </c>
      <c r="K27" s="8">
        <f t="shared" si="19"/>
        <v>45126</v>
      </c>
      <c r="L27" s="2">
        <f t="shared" ref="L27:L31" si="25">N27*0.3</f>
        <v>2181</v>
      </c>
      <c r="M27" s="2">
        <f t="shared" si="20"/>
        <v>5089</v>
      </c>
      <c r="N27" s="2">
        <f t="shared" si="21"/>
        <v>7270</v>
      </c>
      <c r="O27" s="2">
        <f t="shared" si="24"/>
        <v>2570</v>
      </c>
      <c r="P27" s="2">
        <f t="shared" si="22"/>
        <v>4700</v>
      </c>
      <c r="Q27" s="2">
        <f t="shared" si="23"/>
        <v>5100</v>
      </c>
    </row>
    <row r="28" spans="1:17" x14ac:dyDescent="0.35">
      <c r="A28" s="21">
        <v>45136</v>
      </c>
      <c r="B28" s="20">
        <f t="shared" si="0"/>
        <v>1493.7</v>
      </c>
      <c r="C28" s="20">
        <f t="shared" si="1"/>
        <v>2336.3000000000002</v>
      </c>
      <c r="D28" s="20">
        <f t="shared" si="2"/>
        <v>3830</v>
      </c>
      <c r="E28" s="20">
        <v>2750</v>
      </c>
      <c r="F28" s="20">
        <v>1080</v>
      </c>
      <c r="G28" s="20">
        <v>1300</v>
      </c>
      <c r="H28" s="19">
        <f t="shared" si="3"/>
        <v>0.6393442622950819</v>
      </c>
      <c r="I28" s="18">
        <f>SUM($D$2:D28)-SUM($G$2:G28)</f>
        <v>210973</v>
      </c>
      <c r="K28" s="9">
        <f t="shared" si="19"/>
        <v>45127</v>
      </c>
      <c r="L28" s="4">
        <f>N28*0.3</f>
        <v>1311</v>
      </c>
      <c r="M28" s="4">
        <f t="shared" si="20"/>
        <v>3059</v>
      </c>
      <c r="N28" s="4">
        <f t="shared" si="21"/>
        <v>4370</v>
      </c>
      <c r="O28" s="4">
        <f t="shared" si="24"/>
        <v>4370</v>
      </c>
      <c r="P28" s="4">
        <f t="shared" si="22"/>
        <v>0</v>
      </c>
      <c r="Q28" s="4">
        <f t="shared" si="23"/>
        <v>1600</v>
      </c>
    </row>
    <row r="29" spans="1:17" x14ac:dyDescent="0.35">
      <c r="A29" s="21">
        <v>45137</v>
      </c>
      <c r="B29" s="20">
        <f t="shared" si="0"/>
        <v>4683.9000000000005</v>
      </c>
      <c r="C29" s="20">
        <f t="shared" si="1"/>
        <v>7326.0999999999995</v>
      </c>
      <c r="D29" s="20">
        <f t="shared" si="2"/>
        <v>12010</v>
      </c>
      <c r="E29" s="20">
        <v>5650</v>
      </c>
      <c r="F29" s="20">
        <v>6360</v>
      </c>
      <c r="G29" s="20">
        <v>3600</v>
      </c>
      <c r="H29" s="19">
        <f t="shared" si="3"/>
        <v>0.63934426229508212</v>
      </c>
      <c r="I29" s="18">
        <f>SUM($D$2:D29)-SUM($G$2:G29)</f>
        <v>219383</v>
      </c>
      <c r="K29" s="8">
        <f t="shared" si="19"/>
        <v>45128</v>
      </c>
      <c r="L29" s="2">
        <f t="shared" si="25"/>
        <v>57</v>
      </c>
      <c r="M29" s="2">
        <f t="shared" si="20"/>
        <v>133</v>
      </c>
      <c r="N29" s="2">
        <f t="shared" si="21"/>
        <v>190</v>
      </c>
      <c r="O29" s="2">
        <f t="shared" si="24"/>
        <v>190</v>
      </c>
      <c r="P29" s="2">
        <f t="shared" si="22"/>
        <v>0</v>
      </c>
      <c r="Q29" s="2">
        <f t="shared" si="23"/>
        <v>100</v>
      </c>
    </row>
    <row r="30" spans="1:17" x14ac:dyDescent="0.35">
      <c r="A30" s="21">
        <v>45138</v>
      </c>
      <c r="B30" s="20">
        <f t="shared" si="0"/>
        <v>5066.1000000000004</v>
      </c>
      <c r="C30" s="20">
        <f t="shared" si="1"/>
        <v>7923.9</v>
      </c>
      <c r="D30" s="20">
        <f t="shared" si="2"/>
        <v>12990</v>
      </c>
      <c r="E30" s="20">
        <v>4190</v>
      </c>
      <c r="F30" s="20">
        <v>8800</v>
      </c>
      <c r="G30" s="20">
        <v>600</v>
      </c>
      <c r="H30" s="19">
        <f t="shared" si="3"/>
        <v>0.63934426229508201</v>
      </c>
      <c r="I30" s="18">
        <f>SUM($D$2:D30)-SUM($G$2:G30)</f>
        <v>231773</v>
      </c>
      <c r="K30" s="9">
        <f t="shared" si="19"/>
        <v>45129</v>
      </c>
      <c r="L30" s="4">
        <f t="shared" si="25"/>
        <v>6690</v>
      </c>
      <c r="M30" s="4">
        <f t="shared" si="20"/>
        <v>15610</v>
      </c>
      <c r="N30" s="4">
        <f t="shared" si="21"/>
        <v>22300</v>
      </c>
      <c r="O30" s="4">
        <f t="shared" si="24"/>
        <v>6660</v>
      </c>
      <c r="P30" s="4">
        <f t="shared" si="22"/>
        <v>15640</v>
      </c>
      <c r="Q30" s="4">
        <f t="shared" si="23"/>
        <v>1350</v>
      </c>
    </row>
    <row r="31" spans="1:17" ht="15" thickBot="1" x14ac:dyDescent="0.4">
      <c r="A31" s="17" t="s">
        <v>4</v>
      </c>
      <c r="B31" s="16">
        <f t="shared" ref="B31:G31" si="26">SUM(B3:B30)</f>
        <v>136577.22000000003</v>
      </c>
      <c r="C31" s="16">
        <f t="shared" si="26"/>
        <v>213620.77999999997</v>
      </c>
      <c r="D31" s="16">
        <f t="shared" si="26"/>
        <v>350198</v>
      </c>
      <c r="E31" s="16">
        <f t="shared" si="26"/>
        <v>123790</v>
      </c>
      <c r="F31" s="16">
        <f t="shared" si="26"/>
        <v>226408</v>
      </c>
      <c r="G31" s="16">
        <f t="shared" si="26"/>
        <v>121495</v>
      </c>
      <c r="H31" s="15">
        <f>SUM(G2:G30)</f>
        <v>121575</v>
      </c>
      <c r="I31" s="14">
        <f>B31/C31</f>
        <v>0.63934426229508223</v>
      </c>
      <c r="K31" s="8">
        <f t="shared" si="19"/>
        <v>45130</v>
      </c>
      <c r="L31" s="2">
        <f t="shared" si="25"/>
        <v>17760</v>
      </c>
      <c r="M31" s="2">
        <f t="shared" si="20"/>
        <v>41440</v>
      </c>
      <c r="N31" s="2">
        <f t="shared" si="21"/>
        <v>59200</v>
      </c>
      <c r="O31" s="2">
        <f t="shared" si="24"/>
        <v>6680</v>
      </c>
      <c r="P31" s="2">
        <f t="shared" si="22"/>
        <v>52520</v>
      </c>
      <c r="Q31" s="2">
        <f t="shared" si="23"/>
        <v>53430</v>
      </c>
    </row>
    <row r="32" spans="1:17" x14ac:dyDescent="0.35">
      <c r="A32" s="12"/>
      <c r="B32" s="11">
        <f>B31/3</f>
        <v>45525.740000000013</v>
      </c>
      <c r="C32" s="11"/>
      <c r="E32" s="13">
        <f>D31*0.42</f>
        <v>147083.16</v>
      </c>
      <c r="F32" s="11"/>
      <c r="G32" s="11"/>
      <c r="H32" s="10"/>
      <c r="K32" s="3" t="s">
        <v>4</v>
      </c>
      <c r="L32" s="2">
        <f t="shared" ref="L32:Q32" si="27">SUM(L25:L31)</f>
        <v>34749</v>
      </c>
      <c r="M32" s="2">
        <f t="shared" si="27"/>
        <v>81081</v>
      </c>
      <c r="N32" s="2">
        <f t="shared" si="27"/>
        <v>115830</v>
      </c>
      <c r="O32" s="2">
        <f t="shared" si="27"/>
        <v>24140</v>
      </c>
      <c r="P32" s="2">
        <f t="shared" si="27"/>
        <v>91690</v>
      </c>
      <c r="Q32" s="2">
        <f t="shared" si="27"/>
        <v>64540</v>
      </c>
    </row>
    <row r="33" spans="1:17" x14ac:dyDescent="0.35">
      <c r="A33" s="12"/>
      <c r="B33" s="11">
        <f>B32*100/D31</f>
        <v>13.000000000000002</v>
      </c>
      <c r="C33" s="11"/>
      <c r="E33" s="11">
        <f>E32/3</f>
        <v>49027.72</v>
      </c>
      <c r="F33" s="11"/>
      <c r="G33" s="11"/>
      <c r="H33" s="10"/>
      <c r="K33" s="3" t="s">
        <v>0</v>
      </c>
      <c r="L33" s="4">
        <f>L32/3</f>
        <v>11583</v>
      </c>
      <c r="M33" s="4"/>
      <c r="N33" s="4"/>
      <c r="O33" s="4"/>
      <c r="P33" s="4"/>
      <c r="Q33" s="4"/>
    </row>
    <row r="34" spans="1:17" x14ac:dyDescent="0.35">
      <c r="A34" s="7" t="s">
        <v>7</v>
      </c>
      <c r="B34" s="6" t="s">
        <v>6</v>
      </c>
      <c r="C34" s="6" t="s">
        <v>5</v>
      </c>
      <c r="D34" s="6" t="s">
        <v>4</v>
      </c>
      <c r="E34" s="6" t="s">
        <v>3</v>
      </c>
      <c r="F34" s="6" t="s">
        <v>2</v>
      </c>
      <c r="G34" s="6" t="s">
        <v>1</v>
      </c>
      <c r="H34" s="31" t="s">
        <v>0</v>
      </c>
    </row>
    <row r="35" spans="1:17" x14ac:dyDescent="0.35">
      <c r="A35" s="32" t="str">
        <f>CONCATENATE(TEXT(K3,"DD-MMM-YYY")," to ",TEXT(K9,"DD-MMM-YYYY"))</f>
        <v>03-Jul-2023 to 09-Jul-2023</v>
      </c>
      <c r="B35" s="2">
        <f>L10</f>
        <v>16500</v>
      </c>
      <c r="C35" s="2">
        <f t="shared" ref="C35:G35" si="28">M10</f>
        <v>38500</v>
      </c>
      <c r="D35" s="2">
        <f t="shared" si="28"/>
        <v>55000</v>
      </c>
      <c r="E35" s="2">
        <f t="shared" si="28"/>
        <v>17945</v>
      </c>
      <c r="F35" s="2">
        <f t="shared" si="28"/>
        <v>37055</v>
      </c>
      <c r="G35" s="2">
        <f t="shared" si="28"/>
        <v>13860</v>
      </c>
      <c r="H35" s="2">
        <f>B35/3</f>
        <v>5500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32" t="str">
        <f>CONCATENATE(TEXT(K14,"DD-MMM-YYY")," to ",TEXT(K20,"DD-MMM-YYYY"))</f>
        <v>10-Jul-2023 to 16-Jul-2023</v>
      </c>
      <c r="B36" s="4">
        <f>L21</f>
        <v>31245</v>
      </c>
      <c r="C36" s="4">
        <f t="shared" ref="C36:G36" si="29">M21</f>
        <v>72905</v>
      </c>
      <c r="D36" s="4">
        <f t="shared" si="29"/>
        <v>104150</v>
      </c>
      <c r="E36" s="4">
        <f t="shared" si="29"/>
        <v>43935</v>
      </c>
      <c r="F36" s="4">
        <f t="shared" si="29"/>
        <v>60215</v>
      </c>
      <c r="G36" s="4">
        <f t="shared" si="29"/>
        <v>23795</v>
      </c>
      <c r="H36" s="2">
        <f t="shared" ref="H36:H38" si="30">B36/3</f>
        <v>10415</v>
      </c>
      <c r="K36" s="8">
        <f t="shared" ref="K36:K42" si="31">A23</f>
        <v>45131</v>
      </c>
      <c r="L36" s="2">
        <f>N36*0.3</f>
        <v>960</v>
      </c>
      <c r="M36" s="2">
        <f t="shared" ref="M36:M42" si="32">N36-L36</f>
        <v>2240</v>
      </c>
      <c r="N36" s="2">
        <f t="shared" ref="N36:N42" si="33">O36+P36</f>
        <v>3200</v>
      </c>
      <c r="O36" s="2">
        <f t="shared" ref="O36:O42" si="34">VLOOKUP(K36,$A$1:$H$31,5,0)</f>
        <v>850</v>
      </c>
      <c r="P36" s="2">
        <f t="shared" ref="P36:P42" si="35">VLOOKUP(K36,$A$1:$H$31,6,0)</f>
        <v>2350</v>
      </c>
      <c r="Q36" s="2">
        <f t="shared" ref="Q36:Q42" si="36">VLOOKUP(K36,$A$1:$H$31,7,0)</f>
        <v>100</v>
      </c>
    </row>
    <row r="37" spans="1:17" x14ac:dyDescent="0.35">
      <c r="A37" s="32" t="str">
        <f>CONCATENATE(TEXT(K25,"DD-MMM-YYY")," to ",TEXT(K31,"DD-MMM-YYYY"))</f>
        <v>17-Jul-2023 to 23-Jul-2023</v>
      </c>
      <c r="B37" s="2">
        <f>L32</f>
        <v>34749</v>
      </c>
      <c r="C37" s="2">
        <f t="shared" ref="C37:G37" si="37">M32</f>
        <v>81081</v>
      </c>
      <c r="D37" s="2">
        <f t="shared" si="37"/>
        <v>115830</v>
      </c>
      <c r="E37" s="2">
        <f t="shared" si="37"/>
        <v>24140</v>
      </c>
      <c r="F37" s="2">
        <f t="shared" si="37"/>
        <v>91690</v>
      </c>
      <c r="G37" s="2">
        <f t="shared" si="37"/>
        <v>64540</v>
      </c>
      <c r="H37" s="2">
        <f t="shared" si="30"/>
        <v>11583</v>
      </c>
      <c r="K37" s="9">
        <f t="shared" si="31"/>
        <v>45132</v>
      </c>
      <c r="L37" s="4">
        <f>N37*0.3</f>
        <v>3513</v>
      </c>
      <c r="M37" s="4">
        <f t="shared" si="32"/>
        <v>8197</v>
      </c>
      <c r="N37" s="4">
        <f t="shared" si="33"/>
        <v>11710</v>
      </c>
      <c r="O37" s="4">
        <f t="shared" si="34"/>
        <v>3170</v>
      </c>
      <c r="P37" s="4">
        <f t="shared" si="35"/>
        <v>8540</v>
      </c>
      <c r="Q37" s="4">
        <f t="shared" si="36"/>
        <v>10850</v>
      </c>
    </row>
    <row r="38" spans="1:17" x14ac:dyDescent="0.35">
      <c r="A38" s="32" t="str">
        <f>CONCATENATE(TEXT(K36,"DD-MMM-YYY")," to ",TEXT(K42,"DD-MMM-YYYY"))</f>
        <v>24-Jul-2023 to 30-Jul-2023</v>
      </c>
      <c r="B38" s="4">
        <f>L43</f>
        <v>17603.400000000001</v>
      </c>
      <c r="C38" s="4">
        <f t="shared" ref="C38:G38" si="38">M43</f>
        <v>41074.6</v>
      </c>
      <c r="D38" s="4">
        <f t="shared" si="38"/>
        <v>58678</v>
      </c>
      <c r="E38" s="4">
        <f t="shared" si="38"/>
        <v>28230</v>
      </c>
      <c r="F38" s="4">
        <f t="shared" si="38"/>
        <v>30448</v>
      </c>
      <c r="G38" s="4">
        <f t="shared" si="38"/>
        <v>18780</v>
      </c>
      <c r="H38" s="2">
        <f t="shared" si="30"/>
        <v>5867.8</v>
      </c>
      <c r="K38" s="8">
        <f t="shared" si="31"/>
        <v>45133</v>
      </c>
      <c r="L38" s="2">
        <f t="shared" ref="L38:L42" si="39">N38*0.3</f>
        <v>4529.3999999999996</v>
      </c>
      <c r="M38" s="2">
        <f t="shared" si="32"/>
        <v>10568.6</v>
      </c>
      <c r="N38" s="2">
        <f t="shared" si="33"/>
        <v>15098</v>
      </c>
      <c r="O38" s="2">
        <f t="shared" si="34"/>
        <v>4000</v>
      </c>
      <c r="P38" s="2">
        <f t="shared" si="35"/>
        <v>11098</v>
      </c>
      <c r="Q38" s="2">
        <f t="shared" si="36"/>
        <v>150</v>
      </c>
    </row>
    <row r="39" spans="1:17" x14ac:dyDescent="0.35">
      <c r="A39" s="32" t="str">
        <f>CONCATENATE(TEXT(K59,"DD-MMM-YYY")," to ",TEXT(K58,"DD-MMM-YYYY"))</f>
        <v>07-Jul-2023 to Date</v>
      </c>
      <c r="B39" s="4">
        <f t="shared" ref="B39:H39" si="40">SUM(B35:B38)</f>
        <v>100097.4</v>
      </c>
      <c r="C39" s="4">
        <f t="shared" si="40"/>
        <v>233560.6</v>
      </c>
      <c r="D39" s="4">
        <f t="shared" si="40"/>
        <v>333658</v>
      </c>
      <c r="E39" s="4">
        <f t="shared" si="40"/>
        <v>114250</v>
      </c>
      <c r="F39" s="4">
        <f t="shared" si="40"/>
        <v>219408</v>
      </c>
      <c r="G39" s="4">
        <f t="shared" si="40"/>
        <v>120975</v>
      </c>
      <c r="H39" s="4">
        <f t="shared" si="40"/>
        <v>33365.800000000003</v>
      </c>
      <c r="K39" s="9">
        <f t="shared" si="31"/>
        <v>45134</v>
      </c>
      <c r="L39" s="4">
        <f t="shared" si="39"/>
        <v>657</v>
      </c>
      <c r="M39" s="4">
        <f t="shared" si="32"/>
        <v>1533</v>
      </c>
      <c r="N39" s="4">
        <f t="shared" si="33"/>
        <v>2190</v>
      </c>
      <c r="O39" s="4">
        <f t="shared" si="34"/>
        <v>1290</v>
      </c>
      <c r="P39" s="4">
        <f t="shared" si="35"/>
        <v>900</v>
      </c>
      <c r="Q39" s="4">
        <f t="shared" si="36"/>
        <v>2680</v>
      </c>
    </row>
    <row r="40" spans="1:17" x14ac:dyDescent="0.35">
      <c r="C40" s="67" t="s">
        <v>4</v>
      </c>
      <c r="D40" s="67"/>
      <c r="E40" s="67"/>
      <c r="F40" s="67"/>
      <c r="G40" s="68"/>
      <c r="H40" s="2"/>
      <c r="K40" s="8">
        <f t="shared" si="31"/>
        <v>45135</v>
      </c>
      <c r="L40" s="2">
        <f t="shared" si="39"/>
        <v>3192</v>
      </c>
      <c r="M40" s="2">
        <f t="shared" si="32"/>
        <v>7448</v>
      </c>
      <c r="N40" s="2">
        <f t="shared" si="33"/>
        <v>10640</v>
      </c>
      <c r="O40" s="2">
        <f t="shared" si="34"/>
        <v>10520</v>
      </c>
      <c r="P40" s="2">
        <f t="shared" si="35"/>
        <v>120</v>
      </c>
      <c r="Q40" s="2">
        <f t="shared" si="36"/>
        <v>100</v>
      </c>
    </row>
    <row r="41" spans="1:17" x14ac:dyDescent="0.35">
      <c r="B41" s="1">
        <f>SUM('June 2023'!B28:B29)</f>
        <v>1861.08</v>
      </c>
      <c r="C41" s="1">
        <f>SUM('June 2023'!C28:C29)</f>
        <v>2910.92</v>
      </c>
      <c r="D41" s="1">
        <f>SUM('June 2023'!D28:D29)</f>
        <v>4772</v>
      </c>
      <c r="E41" s="1">
        <f>SUM('June 2023'!E28:E29)</f>
        <v>2000</v>
      </c>
      <c r="F41" s="1">
        <f>SUM('June 2023'!F28:F29)</f>
        <v>2772</v>
      </c>
      <c r="G41" s="1">
        <f>SUM('June 2023'!G28:G29)</f>
        <v>190</v>
      </c>
      <c r="H41" s="1">
        <f>SUM('June 2023'!H28:H29)</f>
        <v>1.278688524590164</v>
      </c>
      <c r="I41" s="1">
        <f>SUM('June 2023'!I28:I29)</f>
        <v>511130</v>
      </c>
      <c r="K41" s="9">
        <f t="shared" si="31"/>
        <v>45136</v>
      </c>
      <c r="L41" s="4">
        <f t="shared" si="39"/>
        <v>1149</v>
      </c>
      <c r="M41" s="4">
        <f t="shared" si="32"/>
        <v>2681</v>
      </c>
      <c r="N41" s="4">
        <f t="shared" si="33"/>
        <v>3830</v>
      </c>
      <c r="O41" s="4">
        <f t="shared" si="34"/>
        <v>2750</v>
      </c>
      <c r="P41" s="4">
        <f t="shared" si="35"/>
        <v>1080</v>
      </c>
      <c r="Q41" s="4">
        <f t="shared" si="36"/>
        <v>1300</v>
      </c>
    </row>
    <row r="42" spans="1:17" x14ac:dyDescent="0.35">
      <c r="K42" s="8">
        <f t="shared" si="31"/>
        <v>45137</v>
      </c>
      <c r="L42" s="2">
        <f t="shared" si="39"/>
        <v>3603</v>
      </c>
      <c r="M42" s="2">
        <f t="shared" si="32"/>
        <v>8407</v>
      </c>
      <c r="N42" s="2">
        <f t="shared" si="33"/>
        <v>12010</v>
      </c>
      <c r="O42" s="2">
        <f t="shared" si="34"/>
        <v>5650</v>
      </c>
      <c r="P42" s="2">
        <f t="shared" si="35"/>
        <v>6360</v>
      </c>
      <c r="Q42" s="2">
        <f t="shared" si="36"/>
        <v>3600</v>
      </c>
    </row>
    <row r="43" spans="1:17" x14ac:dyDescent="0.35">
      <c r="K43" s="3" t="s">
        <v>4</v>
      </c>
      <c r="L43" s="4">
        <f t="shared" ref="L43:Q43" si="41">SUM(L36:L42)</f>
        <v>17603.400000000001</v>
      </c>
      <c r="M43" s="4">
        <f t="shared" si="41"/>
        <v>41074.6</v>
      </c>
      <c r="N43" s="4">
        <f t="shared" si="41"/>
        <v>58678</v>
      </c>
      <c r="O43" s="4">
        <f t="shared" si="41"/>
        <v>28230</v>
      </c>
      <c r="P43" s="4">
        <f t="shared" si="41"/>
        <v>30448</v>
      </c>
      <c r="Q43" s="4">
        <f t="shared" si="41"/>
        <v>18780</v>
      </c>
    </row>
    <row r="44" spans="1:17" x14ac:dyDescent="0.35">
      <c r="K44" s="3" t="s">
        <v>0</v>
      </c>
      <c r="L44" s="2">
        <f>L43/3</f>
        <v>5867.8</v>
      </c>
      <c r="M44" s="2"/>
      <c r="N44" s="2"/>
      <c r="O44" s="2"/>
      <c r="P44" s="2"/>
      <c r="Q44" s="2"/>
    </row>
    <row r="46" spans="1:17" x14ac:dyDescent="0.35"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K47" s="8">
        <f t="shared" ref="K47" si="42">A30</f>
        <v>45138</v>
      </c>
      <c r="L47" s="2">
        <f>N47*0.3</f>
        <v>3897</v>
      </c>
      <c r="M47" s="2">
        <f t="shared" ref="M47:M53" si="43">N47-L47</f>
        <v>9093</v>
      </c>
      <c r="N47" s="2">
        <f t="shared" ref="N47:N53" si="44">O47+P47</f>
        <v>12990</v>
      </c>
      <c r="O47" s="2">
        <f t="shared" ref="O47:O53" si="45">VLOOKUP(K47,$A$1:$H$31,5,0)</f>
        <v>4190</v>
      </c>
      <c r="P47" s="2">
        <f t="shared" ref="P47:P53" si="46">VLOOKUP(K47,$A$1:$H$31,6,0)</f>
        <v>8800</v>
      </c>
      <c r="Q47" s="2">
        <f t="shared" ref="Q47:Q53" si="47">VLOOKUP(K47,$A$1:$H$31,7,0)</f>
        <v>600</v>
      </c>
    </row>
    <row r="48" spans="1:17" x14ac:dyDescent="0.35">
      <c r="K48" s="9" t="e">
        <f>#REF!</f>
        <v>#REF!</v>
      </c>
      <c r="L48" s="4" t="e">
        <f>N48*0.3</f>
        <v>#REF!</v>
      </c>
      <c r="M48" s="4" t="e">
        <f t="shared" si="43"/>
        <v>#REF!</v>
      </c>
      <c r="N48" s="4" t="e">
        <f t="shared" si="44"/>
        <v>#REF!</v>
      </c>
      <c r="O48" s="4" t="e">
        <f t="shared" si="45"/>
        <v>#REF!</v>
      </c>
      <c r="P48" s="4" t="e">
        <f t="shared" si="46"/>
        <v>#REF!</v>
      </c>
      <c r="Q48" s="4" t="e">
        <f t="shared" si="47"/>
        <v>#REF!</v>
      </c>
    </row>
    <row r="49" spans="11:17" x14ac:dyDescent="0.35">
      <c r="K49" s="8" t="e">
        <f>#REF!</f>
        <v>#REF!</v>
      </c>
      <c r="L49" s="2" t="e">
        <f t="shared" ref="L49:L53" si="48">N49*0.3</f>
        <v>#REF!</v>
      </c>
      <c r="M49" s="2" t="e">
        <f t="shared" si="43"/>
        <v>#REF!</v>
      </c>
      <c r="N49" s="2" t="e">
        <f t="shared" si="44"/>
        <v>#REF!</v>
      </c>
      <c r="O49" s="2" t="e">
        <f t="shared" si="45"/>
        <v>#REF!</v>
      </c>
      <c r="P49" s="2" t="e">
        <f t="shared" si="46"/>
        <v>#REF!</v>
      </c>
      <c r="Q49" s="2" t="e">
        <f t="shared" si="47"/>
        <v>#REF!</v>
      </c>
    </row>
    <row r="50" spans="11:17" x14ac:dyDescent="0.35">
      <c r="K50" s="9" t="e">
        <f>#REF!</f>
        <v>#REF!</v>
      </c>
      <c r="L50" s="4" t="e">
        <f t="shared" si="48"/>
        <v>#REF!</v>
      </c>
      <c r="M50" s="4" t="e">
        <f t="shared" si="43"/>
        <v>#REF!</v>
      </c>
      <c r="N50" s="4" t="e">
        <f t="shared" si="44"/>
        <v>#REF!</v>
      </c>
      <c r="O50" s="4" t="e">
        <f t="shared" si="45"/>
        <v>#REF!</v>
      </c>
      <c r="P50" s="4" t="e">
        <f t="shared" si="46"/>
        <v>#REF!</v>
      </c>
      <c r="Q50" s="4" t="e">
        <f t="shared" si="47"/>
        <v>#REF!</v>
      </c>
    </row>
    <row r="51" spans="11:17" x14ac:dyDescent="0.35">
      <c r="K51" s="8" t="e">
        <f>#REF!</f>
        <v>#REF!</v>
      </c>
      <c r="L51" s="2" t="e">
        <f t="shared" si="48"/>
        <v>#REF!</v>
      </c>
      <c r="M51" s="2" t="e">
        <f t="shared" si="43"/>
        <v>#REF!</v>
      </c>
      <c r="N51" s="2" t="e">
        <f t="shared" si="44"/>
        <v>#REF!</v>
      </c>
      <c r="O51" s="2" t="e">
        <f t="shared" si="45"/>
        <v>#REF!</v>
      </c>
      <c r="P51" s="2" t="e">
        <f t="shared" si="46"/>
        <v>#REF!</v>
      </c>
      <c r="Q51" s="2" t="e">
        <f t="shared" si="47"/>
        <v>#REF!</v>
      </c>
    </row>
    <row r="52" spans="11:17" x14ac:dyDescent="0.35">
      <c r="K52" s="9" t="e">
        <f>#REF!</f>
        <v>#REF!</v>
      </c>
      <c r="L52" s="4" t="e">
        <f t="shared" si="48"/>
        <v>#REF!</v>
      </c>
      <c r="M52" s="4" t="e">
        <f t="shared" si="43"/>
        <v>#REF!</v>
      </c>
      <c r="N52" s="4" t="e">
        <f t="shared" si="44"/>
        <v>#REF!</v>
      </c>
      <c r="O52" s="4" t="e">
        <f t="shared" si="45"/>
        <v>#REF!</v>
      </c>
      <c r="P52" s="4" t="e">
        <f t="shared" si="46"/>
        <v>#REF!</v>
      </c>
      <c r="Q52" s="4" t="e">
        <f t="shared" si="47"/>
        <v>#REF!</v>
      </c>
    </row>
    <row r="53" spans="11:17" x14ac:dyDescent="0.35">
      <c r="K53" s="8" t="e">
        <f>#REF!</f>
        <v>#REF!</v>
      </c>
      <c r="L53" s="2" t="e">
        <f t="shared" si="48"/>
        <v>#REF!</v>
      </c>
      <c r="M53" s="2" t="e">
        <f t="shared" si="43"/>
        <v>#REF!</v>
      </c>
      <c r="N53" s="2" t="e">
        <f t="shared" si="44"/>
        <v>#REF!</v>
      </c>
      <c r="O53" s="2" t="e">
        <f t="shared" si="45"/>
        <v>#REF!</v>
      </c>
      <c r="P53" s="2" t="e">
        <f t="shared" si="46"/>
        <v>#REF!</v>
      </c>
      <c r="Q53" s="2" t="e">
        <f t="shared" si="47"/>
        <v>#REF!</v>
      </c>
    </row>
    <row r="54" spans="11:17" x14ac:dyDescent="0.35">
      <c r="K54" s="3" t="s">
        <v>4</v>
      </c>
      <c r="L54" s="4" t="e">
        <f>SUM(L47:L53)</f>
        <v>#REF!</v>
      </c>
      <c r="M54" s="4" t="e">
        <f>SUM(M47:M53)</f>
        <v>#REF!</v>
      </c>
      <c r="N54" s="4" t="e">
        <f>SUM(N47:N53)</f>
        <v>#REF!</v>
      </c>
      <c r="O54" s="4"/>
      <c r="P54" s="4"/>
      <c r="Q54" s="4"/>
    </row>
    <row r="55" spans="11:17" x14ac:dyDescent="0.35">
      <c r="K55" s="3" t="s">
        <v>0</v>
      </c>
      <c r="L55" s="2" t="e">
        <f>L54/3</f>
        <v>#REF!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A6</f>
        <v>45114</v>
      </c>
      <c r="L59" s="4">
        <f t="shared" ref="L59:Q59" si="49">SUM(B7:B30)</f>
        <v>121538.82000000002</v>
      </c>
      <c r="M59" s="4">
        <f t="shared" si="49"/>
        <v>190099.17999999996</v>
      </c>
      <c r="N59" s="4">
        <f t="shared" si="49"/>
        <v>311638</v>
      </c>
      <c r="O59" s="4">
        <f t="shared" si="49"/>
        <v>116225</v>
      </c>
      <c r="P59" s="4">
        <f t="shared" si="49"/>
        <v>195413</v>
      </c>
      <c r="Q59" s="4">
        <f t="shared" si="49"/>
        <v>120295</v>
      </c>
    </row>
    <row r="60" spans="11:17" x14ac:dyDescent="0.35">
      <c r="K60" s="3" t="s">
        <v>0</v>
      </c>
      <c r="L60" s="2">
        <f>L59/3</f>
        <v>40512.94000000001</v>
      </c>
      <c r="M60" s="2"/>
      <c r="N60" s="2"/>
      <c r="O60" s="2"/>
      <c r="P60" s="2"/>
      <c r="Q60" s="2"/>
    </row>
  </sheetData>
  <mergeCells count="1">
    <mergeCell ref="C40:G40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34:H34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1F30-6BD3-400F-9DAF-7BF26C3A1CA1}">
  <dimension ref="A1:Q60"/>
  <sheetViews>
    <sheetView zoomScale="90" zoomScaleNormal="90" workbookViewId="0">
      <pane ySplit="1" topLeftCell="A19" activePane="bottomLeft" state="frozen"/>
      <selection pane="bottomLeft" activeCell="B37" sqref="B37:I37"/>
    </sheetView>
  </sheetViews>
  <sheetFormatPr defaultColWidth="26" defaultRowHeight="14.5" x14ac:dyDescent="0.35"/>
  <cols>
    <col min="1" max="1" width="25.90625" bestFit="1" customWidth="1"/>
    <col min="2" max="4" width="9" style="1" bestFit="1" customWidth="1"/>
    <col min="5" max="5" width="11.54296875" style="1" bestFit="1" customWidth="1"/>
    <col min="6" max="6" width="10.6328125" style="1" customWidth="1"/>
    <col min="7" max="7" width="9.26953125" style="1" bestFit="1" customWidth="1"/>
    <col min="8" max="8" width="10.1796875" bestFit="1" customWidth="1"/>
    <col min="9" max="9" width="7.6328125" bestFit="1" customWidth="1"/>
    <col min="10" max="10" width="6.54296875" customWidth="1"/>
    <col min="11" max="11" width="26.36328125" bestFit="1" customWidth="1"/>
    <col min="12" max="12" width="9" bestFit="1" customWidth="1"/>
    <col min="13" max="14" width="9.1796875" bestFit="1" customWidth="1"/>
    <col min="15" max="15" width="8.1796875" bestFit="1" customWidth="1"/>
    <col min="16" max="16" width="16.90625" bestFit="1" customWidth="1"/>
    <col min="17" max="17" width="9.26953125" bestFit="1" customWidth="1"/>
  </cols>
  <sheetData>
    <row r="1" spans="1:17" s="23" customFormat="1" ht="29" x14ac:dyDescent="0.35">
      <c r="A1" s="30" t="s">
        <v>7</v>
      </c>
      <c r="B1" s="28" t="s">
        <v>6</v>
      </c>
      <c r="C1" s="28" t="s">
        <v>5</v>
      </c>
      <c r="D1" s="28" t="s">
        <v>4</v>
      </c>
      <c r="E1" s="29" t="s">
        <v>3</v>
      </c>
      <c r="F1" s="29" t="s">
        <v>2</v>
      </c>
      <c r="G1" s="28" t="s">
        <v>1</v>
      </c>
      <c r="H1" s="27" t="s">
        <v>9</v>
      </c>
      <c r="I1" s="26" t="s">
        <v>8</v>
      </c>
      <c r="K1" s="25" t="s">
        <v>7</v>
      </c>
      <c r="L1" s="24" t="s">
        <v>6</v>
      </c>
      <c r="M1" s="24" t="s">
        <v>5</v>
      </c>
      <c r="N1" s="24" t="s">
        <v>4</v>
      </c>
      <c r="O1" s="24" t="s">
        <v>3</v>
      </c>
      <c r="P1" s="24" t="s">
        <v>2</v>
      </c>
      <c r="Q1" s="24" t="s">
        <v>1</v>
      </c>
    </row>
    <row r="2" spans="1:17" x14ac:dyDescent="0.35">
      <c r="A2" s="21">
        <v>45138</v>
      </c>
      <c r="B2" s="20">
        <f t="shared" ref="B2:B36" si="0">D2*0.3</f>
        <v>3897</v>
      </c>
      <c r="C2" s="20">
        <f t="shared" ref="C2:C36" si="1">D2-B2</f>
        <v>9093</v>
      </c>
      <c r="D2" s="20">
        <f t="shared" ref="D2:D36" si="2">E2+F2</f>
        <v>12990</v>
      </c>
      <c r="E2" s="22">
        <v>4190</v>
      </c>
      <c r="F2" s="22">
        <v>8800</v>
      </c>
      <c r="G2" s="22">
        <v>600</v>
      </c>
      <c r="H2" s="19">
        <f t="shared" ref="H2:H36" si="3">IFERROR(B2/C2,0)</f>
        <v>0.42857142857142855</v>
      </c>
      <c r="I2" s="18">
        <f>SUM($D$2:D2)-SUM($G$2:G2)</f>
        <v>12390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1">
        <v>45139</v>
      </c>
      <c r="B3" s="20">
        <f t="shared" si="0"/>
        <v>3516</v>
      </c>
      <c r="C3" s="20">
        <f t="shared" si="1"/>
        <v>8204</v>
      </c>
      <c r="D3" s="20">
        <f t="shared" si="2"/>
        <v>11720</v>
      </c>
      <c r="E3" s="20">
        <v>1000</v>
      </c>
      <c r="F3" s="20">
        <v>10720</v>
      </c>
      <c r="G3" s="22">
        <v>1000</v>
      </c>
      <c r="H3" s="19">
        <f t="shared" si="3"/>
        <v>0.42857142857142855</v>
      </c>
      <c r="I3" s="18">
        <f>SUM($D$2:D3)-SUM($G$2:G3)</f>
        <v>23110</v>
      </c>
      <c r="K3" s="8">
        <f t="shared" ref="K3:K9" si="4">A2</f>
        <v>45138</v>
      </c>
      <c r="L3" s="2">
        <f>N3*0.3</f>
        <v>3897</v>
      </c>
      <c r="M3" s="2">
        <f t="shared" ref="M3:M9" si="5">N3-L3</f>
        <v>9093</v>
      </c>
      <c r="N3" s="2">
        <f t="shared" ref="N3:N9" si="6">O3+P3</f>
        <v>12990</v>
      </c>
      <c r="O3" s="2">
        <f t="shared" ref="O3:O9" si="7">VLOOKUP(K3,$A$1:$H$37,5,0)</f>
        <v>4190</v>
      </c>
      <c r="P3" s="2">
        <f t="shared" ref="P3:P9" si="8">VLOOKUP(K3,$A$1:$H$37,6,0)</f>
        <v>8800</v>
      </c>
      <c r="Q3" s="2">
        <f t="shared" ref="Q3:Q9" si="9">VLOOKUP(K3,$A$1:$H$37,7,0)</f>
        <v>600</v>
      </c>
    </row>
    <row r="4" spans="1:17" x14ac:dyDescent="0.35">
      <c r="A4" s="21">
        <v>45140</v>
      </c>
      <c r="B4" s="20">
        <f t="shared" si="0"/>
        <v>3552</v>
      </c>
      <c r="C4" s="20">
        <f t="shared" si="1"/>
        <v>8288</v>
      </c>
      <c r="D4" s="20">
        <f t="shared" si="2"/>
        <v>11840</v>
      </c>
      <c r="E4" s="20">
        <v>1030</v>
      </c>
      <c r="F4" s="20">
        <v>10810</v>
      </c>
      <c r="G4" s="20">
        <v>1000</v>
      </c>
      <c r="H4" s="19">
        <f t="shared" si="3"/>
        <v>0.42857142857142855</v>
      </c>
      <c r="I4" s="18">
        <f>SUM($D$2:D4)-SUM($G$2:G4)</f>
        <v>33950</v>
      </c>
      <c r="K4" s="9">
        <f t="shared" si="4"/>
        <v>45139</v>
      </c>
      <c r="L4" s="4">
        <f>N4*0.3</f>
        <v>3516</v>
      </c>
      <c r="M4" s="4">
        <f t="shared" si="5"/>
        <v>8204</v>
      </c>
      <c r="N4" s="4">
        <f t="shared" si="6"/>
        <v>11720</v>
      </c>
      <c r="O4" s="4">
        <f t="shared" si="7"/>
        <v>1000</v>
      </c>
      <c r="P4" s="4">
        <f t="shared" si="8"/>
        <v>10720</v>
      </c>
      <c r="Q4" s="4">
        <f t="shared" si="9"/>
        <v>1000</v>
      </c>
    </row>
    <row r="5" spans="1:17" x14ac:dyDescent="0.35">
      <c r="A5" s="21">
        <v>45141</v>
      </c>
      <c r="B5" s="20">
        <f t="shared" si="0"/>
        <v>2505</v>
      </c>
      <c r="C5" s="20">
        <f t="shared" si="1"/>
        <v>5845</v>
      </c>
      <c r="D5" s="20">
        <f t="shared" si="2"/>
        <v>8350</v>
      </c>
      <c r="E5" s="22">
        <v>1580</v>
      </c>
      <c r="F5" s="22">
        <v>6770</v>
      </c>
      <c r="G5" s="22">
        <v>100</v>
      </c>
      <c r="H5" s="19">
        <f t="shared" si="3"/>
        <v>0.42857142857142855</v>
      </c>
      <c r="I5" s="18">
        <f>SUM($D$2:D5)-SUM($G$2:G5)</f>
        <v>42200</v>
      </c>
      <c r="K5" s="8">
        <f t="shared" si="4"/>
        <v>45140</v>
      </c>
      <c r="L5" s="2">
        <f t="shared" ref="L5:L9" si="10">N5*0.3</f>
        <v>3552</v>
      </c>
      <c r="M5" s="2">
        <f t="shared" si="5"/>
        <v>8288</v>
      </c>
      <c r="N5" s="2">
        <f t="shared" si="6"/>
        <v>11840</v>
      </c>
      <c r="O5" s="2">
        <f t="shared" si="7"/>
        <v>1030</v>
      </c>
      <c r="P5" s="2">
        <f t="shared" si="8"/>
        <v>10810</v>
      </c>
      <c r="Q5" s="2">
        <f t="shared" si="9"/>
        <v>1000</v>
      </c>
    </row>
    <row r="6" spans="1:17" x14ac:dyDescent="0.35">
      <c r="A6" s="21">
        <v>45142</v>
      </c>
      <c r="B6" s="20">
        <f t="shared" si="0"/>
        <v>5710.5</v>
      </c>
      <c r="C6" s="20">
        <f t="shared" si="1"/>
        <v>13324.5</v>
      </c>
      <c r="D6" s="20">
        <f t="shared" si="2"/>
        <v>19035</v>
      </c>
      <c r="E6" s="22">
        <v>9030</v>
      </c>
      <c r="F6" s="22">
        <v>10005</v>
      </c>
      <c r="G6" s="22">
        <v>500</v>
      </c>
      <c r="H6" s="19">
        <f t="shared" si="3"/>
        <v>0.42857142857142855</v>
      </c>
      <c r="I6" s="18">
        <f>SUM($D$2:D6)-SUM($G$2:G6)</f>
        <v>60735</v>
      </c>
      <c r="K6" s="9">
        <f t="shared" si="4"/>
        <v>45141</v>
      </c>
      <c r="L6" s="4">
        <f t="shared" si="10"/>
        <v>2505</v>
      </c>
      <c r="M6" s="4">
        <f t="shared" si="5"/>
        <v>5845</v>
      </c>
      <c r="N6" s="4">
        <f t="shared" si="6"/>
        <v>8350</v>
      </c>
      <c r="O6" s="4">
        <f t="shared" si="7"/>
        <v>1580</v>
      </c>
      <c r="P6" s="4">
        <f t="shared" si="8"/>
        <v>6770</v>
      </c>
      <c r="Q6" s="4">
        <f t="shared" si="9"/>
        <v>100</v>
      </c>
    </row>
    <row r="7" spans="1:17" x14ac:dyDescent="0.35">
      <c r="A7" s="21">
        <v>45143</v>
      </c>
      <c r="B7" s="20">
        <f t="shared" si="0"/>
        <v>3675</v>
      </c>
      <c r="C7" s="20">
        <f t="shared" si="1"/>
        <v>8575</v>
      </c>
      <c r="D7" s="20">
        <f t="shared" si="2"/>
        <v>12250</v>
      </c>
      <c r="E7" s="22">
        <v>8150</v>
      </c>
      <c r="F7" s="22">
        <v>4100</v>
      </c>
      <c r="G7" s="22">
        <v>13120</v>
      </c>
      <c r="H7" s="19">
        <f t="shared" si="3"/>
        <v>0.42857142857142855</v>
      </c>
      <c r="I7" s="18">
        <f>SUM($D$2:D7)-SUM($G$2:G7)</f>
        <v>59865</v>
      </c>
      <c r="K7" s="8">
        <f t="shared" si="4"/>
        <v>45142</v>
      </c>
      <c r="L7" s="2">
        <f t="shared" si="10"/>
        <v>5710.5</v>
      </c>
      <c r="M7" s="2">
        <f t="shared" si="5"/>
        <v>13324.5</v>
      </c>
      <c r="N7" s="2">
        <f t="shared" si="6"/>
        <v>19035</v>
      </c>
      <c r="O7" s="2">
        <f t="shared" si="7"/>
        <v>9030</v>
      </c>
      <c r="P7" s="2">
        <f t="shared" si="8"/>
        <v>10005</v>
      </c>
      <c r="Q7" s="2">
        <f t="shared" si="9"/>
        <v>500</v>
      </c>
    </row>
    <row r="8" spans="1:17" x14ac:dyDescent="0.35">
      <c r="A8" s="21">
        <v>45144</v>
      </c>
      <c r="B8" s="20">
        <f t="shared" si="0"/>
        <v>6786.3</v>
      </c>
      <c r="C8" s="20">
        <f t="shared" si="1"/>
        <v>15834.7</v>
      </c>
      <c r="D8" s="20">
        <f t="shared" si="2"/>
        <v>22621</v>
      </c>
      <c r="E8" s="22">
        <v>13166</v>
      </c>
      <c r="F8" s="22">
        <v>9455</v>
      </c>
      <c r="G8" s="22">
        <v>4010</v>
      </c>
      <c r="H8" s="19">
        <f t="shared" si="3"/>
        <v>0.42857142857142855</v>
      </c>
      <c r="I8" s="18">
        <f>SUM($D$2:D8)-SUM($G$2:G8)</f>
        <v>78476</v>
      </c>
      <c r="K8" s="9">
        <f t="shared" si="4"/>
        <v>45143</v>
      </c>
      <c r="L8" s="4">
        <f t="shared" si="10"/>
        <v>3675</v>
      </c>
      <c r="M8" s="4">
        <f t="shared" si="5"/>
        <v>8575</v>
      </c>
      <c r="N8" s="4">
        <f t="shared" si="6"/>
        <v>12250</v>
      </c>
      <c r="O8" s="4">
        <f t="shared" si="7"/>
        <v>8150</v>
      </c>
      <c r="P8" s="4">
        <f t="shared" si="8"/>
        <v>4100</v>
      </c>
      <c r="Q8" s="4">
        <f t="shared" si="9"/>
        <v>13120</v>
      </c>
    </row>
    <row r="9" spans="1:17" x14ac:dyDescent="0.35">
      <c r="A9" s="21">
        <v>45145</v>
      </c>
      <c r="B9" s="20">
        <f t="shared" si="0"/>
        <v>2862</v>
      </c>
      <c r="C9" s="20">
        <f t="shared" si="1"/>
        <v>6678</v>
      </c>
      <c r="D9" s="20">
        <f t="shared" si="2"/>
        <v>9540</v>
      </c>
      <c r="E9" s="20">
        <v>6900</v>
      </c>
      <c r="F9" s="20">
        <v>2640</v>
      </c>
      <c r="G9" s="20">
        <v>2600</v>
      </c>
      <c r="H9" s="19">
        <f t="shared" si="3"/>
        <v>0.42857142857142855</v>
      </c>
      <c r="I9" s="18">
        <f>SUM($D$2:D9)-SUM($G$2:G9)</f>
        <v>85416</v>
      </c>
      <c r="K9" s="8">
        <f t="shared" si="4"/>
        <v>45144</v>
      </c>
      <c r="L9" s="2">
        <f t="shared" si="10"/>
        <v>6786.3</v>
      </c>
      <c r="M9" s="2">
        <f t="shared" si="5"/>
        <v>15834.7</v>
      </c>
      <c r="N9" s="2">
        <f t="shared" si="6"/>
        <v>22621</v>
      </c>
      <c r="O9" s="2">
        <f t="shared" si="7"/>
        <v>13166</v>
      </c>
      <c r="P9" s="2">
        <f t="shared" si="8"/>
        <v>9455</v>
      </c>
      <c r="Q9" s="2">
        <f t="shared" si="9"/>
        <v>4010</v>
      </c>
    </row>
    <row r="10" spans="1:17" x14ac:dyDescent="0.35">
      <c r="A10" s="21">
        <v>45146</v>
      </c>
      <c r="B10" s="20">
        <f t="shared" si="0"/>
        <v>6522</v>
      </c>
      <c r="C10" s="20">
        <f t="shared" si="1"/>
        <v>15218</v>
      </c>
      <c r="D10" s="20">
        <f t="shared" si="2"/>
        <v>21740</v>
      </c>
      <c r="E10" s="20">
        <f>8630+570</f>
        <v>9200</v>
      </c>
      <c r="F10" s="20">
        <v>12540</v>
      </c>
      <c r="G10" s="20">
        <v>2900</v>
      </c>
      <c r="H10" s="19">
        <f t="shared" si="3"/>
        <v>0.42857142857142855</v>
      </c>
      <c r="I10" s="18">
        <f>SUM($D$2:D10)-SUM($G$2:G10)</f>
        <v>104256</v>
      </c>
      <c r="K10" s="3" t="s">
        <v>4</v>
      </c>
      <c r="L10" s="3">
        <f>SUM(L3:L9)</f>
        <v>29641.8</v>
      </c>
      <c r="M10" s="3">
        <f>SUM(M2:M9)</f>
        <v>69164.2</v>
      </c>
      <c r="N10" s="3">
        <f>SUM(N2:N9)</f>
        <v>98806</v>
      </c>
      <c r="O10" s="3">
        <f>SUM(O2:O9)</f>
        <v>38146</v>
      </c>
      <c r="P10" s="3">
        <f>SUM(P2:P9)</f>
        <v>60660</v>
      </c>
      <c r="Q10" s="3">
        <f>SUM(Q2:Q9)</f>
        <v>20330</v>
      </c>
    </row>
    <row r="11" spans="1:17" x14ac:dyDescent="0.35">
      <c r="A11" s="21">
        <v>45147</v>
      </c>
      <c r="B11" s="20">
        <f t="shared" si="0"/>
        <v>4290</v>
      </c>
      <c r="C11" s="20">
        <f t="shared" si="1"/>
        <v>10010</v>
      </c>
      <c r="D11" s="20">
        <f t="shared" si="2"/>
        <v>14300</v>
      </c>
      <c r="E11" s="20">
        <v>8200</v>
      </c>
      <c r="F11" s="20">
        <v>6100</v>
      </c>
      <c r="G11" s="20">
        <v>600</v>
      </c>
      <c r="H11" s="19">
        <f t="shared" si="3"/>
        <v>0.42857142857142855</v>
      </c>
      <c r="I11" s="18">
        <f>SUM($D$2:D11)-SUM($G$2:G11)</f>
        <v>117956</v>
      </c>
      <c r="K11" s="3" t="s">
        <v>0</v>
      </c>
      <c r="L11" s="3">
        <f>L10/3</f>
        <v>9880.6</v>
      </c>
      <c r="M11" s="3"/>
      <c r="N11" s="3"/>
      <c r="O11" s="2"/>
      <c r="P11" s="2"/>
      <c r="Q11" s="2"/>
    </row>
    <row r="12" spans="1:17" x14ac:dyDescent="0.35">
      <c r="A12" s="21">
        <v>45148</v>
      </c>
      <c r="B12" s="20">
        <f t="shared" si="0"/>
        <v>2394</v>
      </c>
      <c r="C12" s="20">
        <f t="shared" si="1"/>
        <v>5586</v>
      </c>
      <c r="D12" s="20">
        <f t="shared" si="2"/>
        <v>7980</v>
      </c>
      <c r="E12" s="20">
        <v>3380</v>
      </c>
      <c r="F12" s="20">
        <v>4600</v>
      </c>
      <c r="G12" s="20">
        <v>1560</v>
      </c>
      <c r="H12" s="19">
        <f t="shared" si="3"/>
        <v>0.42857142857142855</v>
      </c>
      <c r="I12" s="18">
        <f>SUM($D$2:D12)-SUM($G$2:G12)</f>
        <v>124376</v>
      </c>
    </row>
    <row r="13" spans="1:17" x14ac:dyDescent="0.35">
      <c r="A13" s="21">
        <v>45149</v>
      </c>
      <c r="B13" s="20">
        <f t="shared" si="0"/>
        <v>1278</v>
      </c>
      <c r="C13" s="20">
        <f t="shared" si="1"/>
        <v>2982</v>
      </c>
      <c r="D13" s="20">
        <f t="shared" si="2"/>
        <v>4260</v>
      </c>
      <c r="E13" s="20">
        <v>3810</v>
      </c>
      <c r="F13" s="20">
        <v>450</v>
      </c>
      <c r="G13" s="20">
        <v>3000</v>
      </c>
      <c r="H13" s="19">
        <f t="shared" si="3"/>
        <v>0.42857142857142855</v>
      </c>
      <c r="I13" s="18">
        <f>SUM($D$2:D13)-SUM($G$2:G13)</f>
        <v>125636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1">
        <v>45150</v>
      </c>
      <c r="B14" s="20">
        <f t="shared" si="0"/>
        <v>5238</v>
      </c>
      <c r="C14" s="20">
        <f t="shared" si="1"/>
        <v>12222</v>
      </c>
      <c r="D14" s="20">
        <f t="shared" si="2"/>
        <v>17460</v>
      </c>
      <c r="E14" s="20">
        <v>7510</v>
      </c>
      <c r="F14" s="20">
        <v>9950</v>
      </c>
      <c r="G14" s="20">
        <v>2600</v>
      </c>
      <c r="H14" s="19">
        <f t="shared" si="3"/>
        <v>0.42857142857142855</v>
      </c>
      <c r="I14" s="18">
        <f>SUM($D$2:D14)-SUM($G$2:G14)</f>
        <v>140496</v>
      </c>
      <c r="K14" s="8">
        <f t="shared" ref="K14:K20" si="11">A9</f>
        <v>45145</v>
      </c>
      <c r="L14" s="2">
        <f>N14*0.3</f>
        <v>2862</v>
      </c>
      <c r="M14" s="2">
        <f t="shared" ref="M14:M20" si="12">N14-L14</f>
        <v>6678</v>
      </c>
      <c r="N14" s="2">
        <f t="shared" ref="N14:N20" si="13">O14+P14</f>
        <v>9540</v>
      </c>
      <c r="O14" s="2">
        <f t="shared" ref="O14:O20" si="14">VLOOKUP(K14,$A$1:$H$37,5,0)</f>
        <v>6900</v>
      </c>
      <c r="P14" s="2">
        <f t="shared" ref="P14:P20" si="15">VLOOKUP(K14,$A$1:$H$37,6,0)</f>
        <v>2640</v>
      </c>
      <c r="Q14" s="2">
        <f t="shared" ref="Q14:Q20" si="16">VLOOKUP(K14,$A$1:$H$37,7,0)</f>
        <v>2600</v>
      </c>
    </row>
    <row r="15" spans="1:17" x14ac:dyDescent="0.35">
      <c r="A15" s="21">
        <v>45151</v>
      </c>
      <c r="B15" s="20">
        <f t="shared" si="0"/>
        <v>5994</v>
      </c>
      <c r="C15" s="20">
        <f t="shared" si="1"/>
        <v>13986</v>
      </c>
      <c r="D15" s="20">
        <f t="shared" si="2"/>
        <v>19980</v>
      </c>
      <c r="E15" s="20">
        <v>11710</v>
      </c>
      <c r="F15" s="20">
        <v>8270</v>
      </c>
      <c r="G15" s="20">
        <v>20050</v>
      </c>
      <c r="H15" s="19">
        <f t="shared" si="3"/>
        <v>0.42857142857142855</v>
      </c>
      <c r="I15" s="18">
        <f>SUM($D$2:D15)-SUM($G$2:G15)</f>
        <v>140426</v>
      </c>
      <c r="K15" s="9">
        <f t="shared" si="11"/>
        <v>45146</v>
      </c>
      <c r="L15" s="4">
        <f>N15*0.3</f>
        <v>6522</v>
      </c>
      <c r="M15" s="4">
        <f t="shared" si="12"/>
        <v>15218</v>
      </c>
      <c r="N15" s="4">
        <f t="shared" si="13"/>
        <v>21740</v>
      </c>
      <c r="O15" s="4">
        <f t="shared" si="14"/>
        <v>9200</v>
      </c>
      <c r="P15" s="4">
        <f t="shared" si="15"/>
        <v>12540</v>
      </c>
      <c r="Q15" s="4">
        <f t="shared" si="16"/>
        <v>2900</v>
      </c>
    </row>
    <row r="16" spans="1:17" x14ac:dyDescent="0.35">
      <c r="A16" s="21">
        <v>45152</v>
      </c>
      <c r="B16" s="20">
        <f t="shared" si="0"/>
        <v>8703</v>
      </c>
      <c r="C16" s="20">
        <f t="shared" si="1"/>
        <v>20307</v>
      </c>
      <c r="D16" s="20">
        <f t="shared" si="2"/>
        <v>29010</v>
      </c>
      <c r="E16" s="20">
        <v>6190</v>
      </c>
      <c r="F16" s="20">
        <v>22820</v>
      </c>
      <c r="G16" s="20">
        <v>1550</v>
      </c>
      <c r="H16" s="19">
        <f t="shared" si="3"/>
        <v>0.42857142857142855</v>
      </c>
      <c r="I16" s="18">
        <f>SUM($D$2:D16)-SUM($G$2:G16)</f>
        <v>167886</v>
      </c>
      <c r="K16" s="8">
        <f t="shared" si="11"/>
        <v>45147</v>
      </c>
      <c r="L16" s="2">
        <f t="shared" ref="L16:L20" si="17">N16*0.3</f>
        <v>4290</v>
      </c>
      <c r="M16" s="2">
        <f t="shared" si="12"/>
        <v>10010</v>
      </c>
      <c r="N16" s="2">
        <f t="shared" si="13"/>
        <v>14300</v>
      </c>
      <c r="O16" s="2">
        <f t="shared" si="14"/>
        <v>8200</v>
      </c>
      <c r="P16" s="2">
        <f t="shared" si="15"/>
        <v>6100</v>
      </c>
      <c r="Q16" s="2">
        <f t="shared" si="16"/>
        <v>600</v>
      </c>
    </row>
    <row r="17" spans="1:17" x14ac:dyDescent="0.35">
      <c r="A17" s="21">
        <v>45153</v>
      </c>
      <c r="B17" s="20">
        <f t="shared" si="0"/>
        <v>13143</v>
      </c>
      <c r="C17" s="20">
        <f t="shared" si="1"/>
        <v>30667</v>
      </c>
      <c r="D17" s="20">
        <f t="shared" si="2"/>
        <v>43810</v>
      </c>
      <c r="E17" s="20">
        <f>7120+17500</f>
        <v>24620</v>
      </c>
      <c r="F17" s="20">
        <v>19190</v>
      </c>
      <c r="G17" s="20">
        <v>1250</v>
      </c>
      <c r="H17" s="19">
        <f t="shared" si="3"/>
        <v>0.42857142857142855</v>
      </c>
      <c r="I17" s="18">
        <f>SUM($D$2:D17)-SUM($G$2:G17)</f>
        <v>210446</v>
      </c>
      <c r="K17" s="9">
        <f t="shared" si="11"/>
        <v>45148</v>
      </c>
      <c r="L17" s="4">
        <f t="shared" si="17"/>
        <v>2394</v>
      </c>
      <c r="M17" s="4">
        <f t="shared" si="12"/>
        <v>5586</v>
      </c>
      <c r="N17" s="4">
        <f t="shared" si="13"/>
        <v>7980</v>
      </c>
      <c r="O17" s="4">
        <f t="shared" si="14"/>
        <v>3380</v>
      </c>
      <c r="P17" s="4">
        <f t="shared" si="15"/>
        <v>4600</v>
      </c>
      <c r="Q17" s="4">
        <f t="shared" si="16"/>
        <v>1560</v>
      </c>
    </row>
    <row r="18" spans="1:17" x14ac:dyDescent="0.35">
      <c r="A18" s="21">
        <v>45154</v>
      </c>
      <c r="B18" s="20">
        <f t="shared" si="0"/>
        <v>18246</v>
      </c>
      <c r="C18" s="20">
        <f t="shared" si="1"/>
        <v>42574</v>
      </c>
      <c r="D18" s="20">
        <f t="shared" si="2"/>
        <v>60820</v>
      </c>
      <c r="E18" s="20">
        <v>20270</v>
      </c>
      <c r="F18" s="20">
        <v>40550</v>
      </c>
      <c r="G18" s="20">
        <v>4750</v>
      </c>
      <c r="H18" s="19">
        <f t="shared" si="3"/>
        <v>0.42857142857142855</v>
      </c>
      <c r="I18" s="18">
        <f>SUM($D$2:D18)-SUM($G$2:G18)</f>
        <v>266516</v>
      </c>
      <c r="K18" s="8">
        <f t="shared" si="11"/>
        <v>45149</v>
      </c>
      <c r="L18" s="2">
        <f t="shared" si="17"/>
        <v>1278</v>
      </c>
      <c r="M18" s="2">
        <f t="shared" si="12"/>
        <v>2982</v>
      </c>
      <c r="N18" s="2">
        <f t="shared" si="13"/>
        <v>4260</v>
      </c>
      <c r="O18" s="2">
        <f t="shared" si="14"/>
        <v>3810</v>
      </c>
      <c r="P18" s="2">
        <f t="shared" si="15"/>
        <v>450</v>
      </c>
      <c r="Q18" s="2">
        <f t="shared" si="16"/>
        <v>3000</v>
      </c>
    </row>
    <row r="19" spans="1:17" x14ac:dyDescent="0.35">
      <c r="A19" s="21">
        <v>45155</v>
      </c>
      <c r="B19" s="20">
        <f t="shared" si="0"/>
        <v>7326</v>
      </c>
      <c r="C19" s="20">
        <f t="shared" si="1"/>
        <v>17094</v>
      </c>
      <c r="D19" s="20">
        <f t="shared" si="2"/>
        <v>24420</v>
      </c>
      <c r="E19" s="20">
        <f>10530+820</f>
        <v>11350</v>
      </c>
      <c r="F19" s="20">
        <v>13070</v>
      </c>
      <c r="G19" s="20">
        <v>16600</v>
      </c>
      <c r="H19" s="19">
        <f t="shared" si="3"/>
        <v>0.42857142857142855</v>
      </c>
      <c r="I19" s="18">
        <f>SUM($D$2:D19)-SUM($G$2:G19)</f>
        <v>274336</v>
      </c>
      <c r="K19" s="9">
        <f t="shared" si="11"/>
        <v>45150</v>
      </c>
      <c r="L19" s="4">
        <f t="shared" si="17"/>
        <v>5238</v>
      </c>
      <c r="M19" s="4">
        <f t="shared" si="12"/>
        <v>12222</v>
      </c>
      <c r="N19" s="4">
        <f t="shared" si="13"/>
        <v>17460</v>
      </c>
      <c r="O19" s="4">
        <f t="shared" si="14"/>
        <v>7510</v>
      </c>
      <c r="P19" s="4">
        <f t="shared" si="15"/>
        <v>9950</v>
      </c>
      <c r="Q19" s="4">
        <f t="shared" si="16"/>
        <v>2600</v>
      </c>
    </row>
    <row r="20" spans="1:17" x14ac:dyDescent="0.35">
      <c r="A20" s="21">
        <v>45156</v>
      </c>
      <c r="B20" s="20">
        <f t="shared" si="0"/>
        <v>8320.5</v>
      </c>
      <c r="C20" s="20">
        <f t="shared" si="1"/>
        <v>19414.5</v>
      </c>
      <c r="D20" s="20">
        <f t="shared" si="2"/>
        <v>27735</v>
      </c>
      <c r="E20" s="20">
        <v>6015</v>
      </c>
      <c r="F20" s="20">
        <v>21720</v>
      </c>
      <c r="G20" s="20">
        <v>650</v>
      </c>
      <c r="H20" s="19">
        <f t="shared" si="3"/>
        <v>0.42857142857142855</v>
      </c>
      <c r="I20" s="18">
        <f>SUM($D$2:D20)-SUM($G$2:G20)</f>
        <v>301421</v>
      </c>
      <c r="K20" s="8">
        <f t="shared" si="11"/>
        <v>45151</v>
      </c>
      <c r="L20" s="2">
        <f t="shared" si="17"/>
        <v>5994</v>
      </c>
      <c r="M20" s="2">
        <f t="shared" si="12"/>
        <v>13986</v>
      </c>
      <c r="N20" s="2">
        <f t="shared" si="13"/>
        <v>19980</v>
      </c>
      <c r="O20" s="2">
        <f t="shared" si="14"/>
        <v>11710</v>
      </c>
      <c r="P20" s="2">
        <f t="shared" si="15"/>
        <v>8270</v>
      </c>
      <c r="Q20" s="2">
        <f t="shared" si="16"/>
        <v>20050</v>
      </c>
    </row>
    <row r="21" spans="1:17" x14ac:dyDescent="0.35">
      <c r="A21" s="21">
        <v>45157</v>
      </c>
      <c r="B21" s="20">
        <f t="shared" si="0"/>
        <v>7269</v>
      </c>
      <c r="C21" s="20">
        <f t="shared" si="1"/>
        <v>16961</v>
      </c>
      <c r="D21" s="20">
        <f t="shared" si="2"/>
        <v>24230</v>
      </c>
      <c r="E21" s="20">
        <v>1180</v>
      </c>
      <c r="F21" s="20">
        <v>23050</v>
      </c>
      <c r="G21" s="20">
        <v>640</v>
      </c>
      <c r="H21" s="19">
        <f t="shared" si="3"/>
        <v>0.42857142857142855</v>
      </c>
      <c r="I21" s="18">
        <f>SUM($D$2:D21)-SUM($G$2:G21)</f>
        <v>325011</v>
      </c>
      <c r="K21" s="3" t="s">
        <v>4</v>
      </c>
      <c r="L21" s="3">
        <f t="shared" ref="L21:Q21" si="18">SUM(L14:L20)</f>
        <v>28578</v>
      </c>
      <c r="M21" s="3">
        <f t="shared" si="18"/>
        <v>66682</v>
      </c>
      <c r="N21" s="3">
        <f t="shared" si="18"/>
        <v>95260</v>
      </c>
      <c r="O21" s="3">
        <f t="shared" si="18"/>
        <v>50710</v>
      </c>
      <c r="P21" s="3">
        <f t="shared" si="18"/>
        <v>44550</v>
      </c>
      <c r="Q21" s="3">
        <f t="shared" si="18"/>
        <v>33310</v>
      </c>
    </row>
    <row r="22" spans="1:17" x14ac:dyDescent="0.35">
      <c r="A22" s="21">
        <v>45158</v>
      </c>
      <c r="B22" s="20">
        <f t="shared" si="0"/>
        <v>5436</v>
      </c>
      <c r="C22" s="20">
        <f t="shared" si="1"/>
        <v>12684</v>
      </c>
      <c r="D22" s="20">
        <f t="shared" si="2"/>
        <v>18120</v>
      </c>
      <c r="E22" s="20">
        <v>4200</v>
      </c>
      <c r="F22" s="20">
        <v>13920</v>
      </c>
      <c r="G22" s="20">
        <v>5485</v>
      </c>
      <c r="H22" s="19">
        <f t="shared" si="3"/>
        <v>0.42857142857142855</v>
      </c>
      <c r="I22" s="18">
        <f>SUM($D$2:D22)-SUM($G$2:G22)</f>
        <v>337646</v>
      </c>
      <c r="K22" s="3" t="s">
        <v>0</v>
      </c>
      <c r="L22" s="3">
        <f>L21/3</f>
        <v>9526</v>
      </c>
      <c r="M22" s="3">
        <v>12750</v>
      </c>
      <c r="N22" s="3">
        <f>M22+L22</f>
        <v>22276</v>
      </c>
      <c r="O22" s="2"/>
      <c r="P22" s="2"/>
      <c r="Q22" s="2"/>
    </row>
    <row r="23" spans="1:17" x14ac:dyDescent="0.35">
      <c r="A23" s="21">
        <v>45159</v>
      </c>
      <c r="B23" s="20">
        <f t="shared" si="0"/>
        <v>6180</v>
      </c>
      <c r="C23" s="20">
        <f t="shared" si="1"/>
        <v>14420</v>
      </c>
      <c r="D23" s="20">
        <f t="shared" si="2"/>
        <v>20600</v>
      </c>
      <c r="E23" s="20">
        <v>3930</v>
      </c>
      <c r="F23" s="20">
        <v>16670</v>
      </c>
      <c r="G23" s="20">
        <v>1770</v>
      </c>
      <c r="H23" s="19">
        <f t="shared" si="3"/>
        <v>0.42857142857142855</v>
      </c>
      <c r="I23" s="18">
        <f>SUM($D$2:D23)-SUM($G$2:G23)</f>
        <v>356476</v>
      </c>
      <c r="M23" t="s">
        <v>19</v>
      </c>
    </row>
    <row r="24" spans="1:17" x14ac:dyDescent="0.35">
      <c r="A24" s="21">
        <v>45160</v>
      </c>
      <c r="B24" s="20">
        <f t="shared" si="0"/>
        <v>7008</v>
      </c>
      <c r="C24" s="20">
        <f t="shared" si="1"/>
        <v>16352</v>
      </c>
      <c r="D24" s="20">
        <f t="shared" si="2"/>
        <v>23360</v>
      </c>
      <c r="E24" s="20">
        <f>5190+1470</f>
        <v>6660</v>
      </c>
      <c r="F24" s="20">
        <v>16700</v>
      </c>
      <c r="G24" s="20">
        <v>1460</v>
      </c>
      <c r="H24" s="19">
        <f t="shared" si="3"/>
        <v>0.42857142857142855</v>
      </c>
      <c r="I24" s="18">
        <f>SUM($D$2:D24)-SUM($G$2:G24)</f>
        <v>378376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1">
        <v>45161</v>
      </c>
      <c r="B25" s="20">
        <f t="shared" si="0"/>
        <v>4476.3</v>
      </c>
      <c r="C25" s="20">
        <f t="shared" si="1"/>
        <v>10444.700000000001</v>
      </c>
      <c r="D25" s="20">
        <f t="shared" si="2"/>
        <v>14921</v>
      </c>
      <c r="E25" s="20">
        <v>4700</v>
      </c>
      <c r="F25" s="20">
        <v>10221</v>
      </c>
      <c r="G25" s="20">
        <v>3700</v>
      </c>
      <c r="H25" s="19">
        <f t="shared" si="3"/>
        <v>0.42857142857142855</v>
      </c>
      <c r="I25" s="18">
        <f>SUM($D$2:D25)-SUM($G$2:G25)</f>
        <v>389597</v>
      </c>
      <c r="K25" s="8">
        <f t="shared" ref="K25:K31" si="19">A16</f>
        <v>45152</v>
      </c>
      <c r="L25" s="2">
        <f>N25*0.3</f>
        <v>6846</v>
      </c>
      <c r="M25" s="2">
        <f t="shared" ref="M25:M31" si="20">N25-L25</f>
        <v>15974</v>
      </c>
      <c r="N25" s="2">
        <f t="shared" ref="N25:N31" si="21">O25+P25</f>
        <v>22820</v>
      </c>
      <c r="O25" s="2">
        <v>0</v>
      </c>
      <c r="P25" s="2">
        <f t="shared" ref="P25:P31" si="22">VLOOKUP(K25,$A$1:$H$37,6,0)</f>
        <v>22820</v>
      </c>
      <c r="Q25" s="2">
        <f t="shared" ref="Q25:Q31" si="23">VLOOKUP(K25,$A$1:$H$37,7,0)</f>
        <v>1550</v>
      </c>
    </row>
    <row r="26" spans="1:17" x14ac:dyDescent="0.35">
      <c r="A26" s="21">
        <v>45162</v>
      </c>
      <c r="B26" s="20">
        <f t="shared" si="0"/>
        <v>11223</v>
      </c>
      <c r="C26" s="20">
        <f t="shared" si="1"/>
        <v>26187</v>
      </c>
      <c r="D26" s="20">
        <f t="shared" si="2"/>
        <v>37410</v>
      </c>
      <c r="E26" s="20">
        <v>1700</v>
      </c>
      <c r="F26" s="20">
        <v>35710</v>
      </c>
      <c r="G26" s="20">
        <f>2240+230</f>
        <v>2470</v>
      </c>
      <c r="H26" s="19">
        <f t="shared" si="3"/>
        <v>0.42857142857142855</v>
      </c>
      <c r="I26" s="18">
        <f>SUM($D$2:D26)-SUM($G$2:G26)</f>
        <v>424537</v>
      </c>
      <c r="K26" s="9">
        <f t="shared" si="19"/>
        <v>45153</v>
      </c>
      <c r="L26" s="4">
        <f>N26*0.3</f>
        <v>13143</v>
      </c>
      <c r="M26" s="4">
        <f t="shared" si="20"/>
        <v>30667</v>
      </c>
      <c r="N26" s="4">
        <f t="shared" si="21"/>
        <v>43810</v>
      </c>
      <c r="O26" s="4">
        <f t="shared" ref="O26:O31" si="24">VLOOKUP(K26,$A$1:$H$37,5,0)</f>
        <v>24620</v>
      </c>
      <c r="P26" s="4">
        <f t="shared" si="22"/>
        <v>19190</v>
      </c>
      <c r="Q26" s="4">
        <f t="shared" si="23"/>
        <v>1250</v>
      </c>
    </row>
    <row r="27" spans="1:17" x14ac:dyDescent="0.35">
      <c r="A27" s="21">
        <v>45163</v>
      </c>
      <c r="B27" s="20">
        <f t="shared" si="0"/>
        <v>2997</v>
      </c>
      <c r="C27" s="20">
        <f t="shared" si="1"/>
        <v>6993</v>
      </c>
      <c r="D27" s="20">
        <f t="shared" si="2"/>
        <v>9990</v>
      </c>
      <c r="E27" s="20">
        <v>6300</v>
      </c>
      <c r="F27" s="20">
        <v>3690</v>
      </c>
      <c r="G27" s="20">
        <v>2650</v>
      </c>
      <c r="H27" s="19">
        <f t="shared" si="3"/>
        <v>0.42857142857142855</v>
      </c>
      <c r="I27" s="18">
        <f>SUM($D$2:D27)-SUM($G$2:G27)</f>
        <v>431877</v>
      </c>
      <c r="K27" s="8">
        <f t="shared" si="19"/>
        <v>45154</v>
      </c>
      <c r="L27" s="2">
        <f t="shared" ref="L27:L31" si="25">N27*0.3</f>
        <v>18246</v>
      </c>
      <c r="M27" s="2">
        <f t="shared" si="20"/>
        <v>42574</v>
      </c>
      <c r="N27" s="2">
        <f t="shared" si="21"/>
        <v>60820</v>
      </c>
      <c r="O27" s="2">
        <f t="shared" si="24"/>
        <v>20270</v>
      </c>
      <c r="P27" s="2">
        <f t="shared" si="22"/>
        <v>40550</v>
      </c>
      <c r="Q27" s="2">
        <f t="shared" si="23"/>
        <v>4750</v>
      </c>
    </row>
    <row r="28" spans="1:17" x14ac:dyDescent="0.35">
      <c r="A28" s="21">
        <v>45164</v>
      </c>
      <c r="B28" s="20">
        <f t="shared" si="0"/>
        <v>3235.5</v>
      </c>
      <c r="C28" s="20">
        <f t="shared" si="1"/>
        <v>7549.5</v>
      </c>
      <c r="D28" s="20">
        <f t="shared" si="2"/>
        <v>10785</v>
      </c>
      <c r="E28" s="20">
        <f>4900+350</f>
        <v>5250</v>
      </c>
      <c r="F28" s="20">
        <v>5535</v>
      </c>
      <c r="G28" s="20">
        <v>650</v>
      </c>
      <c r="H28" s="19">
        <f t="shared" si="3"/>
        <v>0.42857142857142855</v>
      </c>
      <c r="I28" s="18">
        <f>SUM($D$2:D28)-SUM($G$2:G28)</f>
        <v>442012</v>
      </c>
      <c r="K28" s="9">
        <f t="shared" si="19"/>
        <v>45155</v>
      </c>
      <c r="L28" s="4">
        <f>N28*0.3</f>
        <v>7326</v>
      </c>
      <c r="M28" s="4">
        <f t="shared" si="20"/>
        <v>17094</v>
      </c>
      <c r="N28" s="4">
        <f t="shared" si="21"/>
        <v>24420</v>
      </c>
      <c r="O28" s="4">
        <f t="shared" si="24"/>
        <v>11350</v>
      </c>
      <c r="P28" s="4">
        <f t="shared" si="22"/>
        <v>13070</v>
      </c>
      <c r="Q28" s="4">
        <f t="shared" si="23"/>
        <v>16600</v>
      </c>
    </row>
    <row r="29" spans="1:17" x14ac:dyDescent="0.35">
      <c r="A29" s="21">
        <v>45165</v>
      </c>
      <c r="B29" s="20">
        <f t="shared" si="0"/>
        <v>3834</v>
      </c>
      <c r="C29" s="20">
        <f t="shared" si="1"/>
        <v>8946</v>
      </c>
      <c r="D29" s="20">
        <f t="shared" si="2"/>
        <v>12780</v>
      </c>
      <c r="E29" s="20">
        <v>10770</v>
      </c>
      <c r="F29" s="20">
        <v>2010</v>
      </c>
      <c r="G29" s="20">
        <v>750</v>
      </c>
      <c r="H29" s="19">
        <f t="shared" si="3"/>
        <v>0.42857142857142855</v>
      </c>
      <c r="I29" s="18">
        <f>SUM($D$2:D29)-SUM($G$2:G29)</f>
        <v>454042</v>
      </c>
      <c r="K29" s="8">
        <f t="shared" si="19"/>
        <v>45156</v>
      </c>
      <c r="L29" s="2">
        <f t="shared" si="25"/>
        <v>8320.5</v>
      </c>
      <c r="M29" s="2">
        <f t="shared" si="20"/>
        <v>19414.5</v>
      </c>
      <c r="N29" s="2">
        <f t="shared" si="21"/>
        <v>27735</v>
      </c>
      <c r="O29" s="2">
        <f t="shared" si="24"/>
        <v>6015</v>
      </c>
      <c r="P29" s="2">
        <f t="shared" si="22"/>
        <v>21720</v>
      </c>
      <c r="Q29" s="2">
        <f t="shared" si="23"/>
        <v>650</v>
      </c>
    </row>
    <row r="30" spans="1:17" x14ac:dyDescent="0.35">
      <c r="A30" s="21">
        <v>45166</v>
      </c>
      <c r="B30" s="20">
        <f t="shared" si="0"/>
        <v>2926.5</v>
      </c>
      <c r="C30" s="20">
        <f t="shared" si="1"/>
        <v>6828.5</v>
      </c>
      <c r="D30" s="20">
        <f t="shared" si="2"/>
        <v>9755</v>
      </c>
      <c r="E30" s="20">
        <v>3450</v>
      </c>
      <c r="F30" s="20">
        <v>6305</v>
      </c>
      <c r="G30" s="20">
        <v>4070</v>
      </c>
      <c r="H30" s="19">
        <f t="shared" si="3"/>
        <v>0.42857142857142855</v>
      </c>
      <c r="I30" s="18">
        <f>SUM($D$2:D30)-SUM($G$2:G30)</f>
        <v>459727</v>
      </c>
      <c r="K30" s="9">
        <f t="shared" si="19"/>
        <v>45157</v>
      </c>
      <c r="L30" s="4">
        <f t="shared" si="25"/>
        <v>7269</v>
      </c>
      <c r="M30" s="4">
        <f t="shared" si="20"/>
        <v>16961</v>
      </c>
      <c r="N30" s="4">
        <f t="shared" si="21"/>
        <v>24230</v>
      </c>
      <c r="O30" s="4">
        <f t="shared" si="24"/>
        <v>1180</v>
      </c>
      <c r="P30" s="4">
        <f t="shared" si="22"/>
        <v>23050</v>
      </c>
      <c r="Q30" s="4">
        <f t="shared" si="23"/>
        <v>640</v>
      </c>
    </row>
    <row r="31" spans="1:17" x14ac:dyDescent="0.35">
      <c r="A31" s="21">
        <v>45167</v>
      </c>
      <c r="B31" s="20">
        <f t="shared" si="0"/>
        <v>5478</v>
      </c>
      <c r="C31" s="20">
        <f t="shared" si="1"/>
        <v>12782</v>
      </c>
      <c r="D31" s="20">
        <f t="shared" si="2"/>
        <v>18260</v>
      </c>
      <c r="E31" s="20">
        <v>2490</v>
      </c>
      <c r="F31" s="20">
        <v>15770</v>
      </c>
      <c r="G31" s="20">
        <v>5090</v>
      </c>
      <c r="H31" s="19">
        <f t="shared" si="3"/>
        <v>0.42857142857142855</v>
      </c>
      <c r="I31" s="18">
        <f>SUM($D$2:D31)-SUM($G$2:G31)</f>
        <v>472897</v>
      </c>
      <c r="K31" s="8">
        <f t="shared" si="19"/>
        <v>45158</v>
      </c>
      <c r="L31" s="2">
        <f t="shared" si="25"/>
        <v>5436</v>
      </c>
      <c r="M31" s="2">
        <f t="shared" si="20"/>
        <v>12684</v>
      </c>
      <c r="N31" s="2">
        <f t="shared" si="21"/>
        <v>18120</v>
      </c>
      <c r="O31" s="2">
        <f t="shared" si="24"/>
        <v>4200</v>
      </c>
      <c r="P31" s="2">
        <f t="shared" si="22"/>
        <v>13920</v>
      </c>
      <c r="Q31" s="2">
        <f t="shared" si="23"/>
        <v>5485</v>
      </c>
    </row>
    <row r="32" spans="1:17" x14ac:dyDescent="0.35">
      <c r="A32" s="21">
        <v>45168</v>
      </c>
      <c r="B32" s="20">
        <f t="shared" si="0"/>
        <v>3474</v>
      </c>
      <c r="C32" s="20">
        <f t="shared" si="1"/>
        <v>8106</v>
      </c>
      <c r="D32" s="20">
        <f t="shared" si="2"/>
        <v>11580</v>
      </c>
      <c r="E32" s="22">
        <v>5000</v>
      </c>
      <c r="F32" s="22">
        <v>6580</v>
      </c>
      <c r="G32" s="22">
        <v>5550</v>
      </c>
      <c r="H32" s="19">
        <f t="shared" si="3"/>
        <v>0.42857142857142855</v>
      </c>
      <c r="I32" s="18">
        <f>SUM($D$2:D32)-SUM($G$2:G32)</f>
        <v>478927</v>
      </c>
      <c r="K32" s="3" t="s">
        <v>4</v>
      </c>
      <c r="L32" s="2">
        <f t="shared" ref="L32:Q32" si="26">SUM(L25:L31)</f>
        <v>66586.5</v>
      </c>
      <c r="M32" s="2">
        <f t="shared" si="26"/>
        <v>155368.5</v>
      </c>
      <c r="N32" s="2">
        <f t="shared" si="26"/>
        <v>221955</v>
      </c>
      <c r="O32" s="2">
        <f t="shared" si="26"/>
        <v>67635</v>
      </c>
      <c r="P32" s="2">
        <f t="shared" si="26"/>
        <v>154320</v>
      </c>
      <c r="Q32" s="2">
        <f t="shared" si="26"/>
        <v>30925</v>
      </c>
    </row>
    <row r="33" spans="1:17" x14ac:dyDescent="0.35">
      <c r="A33" s="21">
        <v>45169</v>
      </c>
      <c r="B33" s="20">
        <f t="shared" si="0"/>
        <v>12163.5</v>
      </c>
      <c r="C33" s="20">
        <f t="shared" si="1"/>
        <v>28381.5</v>
      </c>
      <c r="D33" s="20">
        <f t="shared" si="2"/>
        <v>40545</v>
      </c>
      <c r="E33" s="20">
        <v>12100</v>
      </c>
      <c r="F33" s="20">
        <v>28445</v>
      </c>
      <c r="G33" s="20">
        <v>100</v>
      </c>
      <c r="H33" s="19">
        <f t="shared" si="3"/>
        <v>0.42857142857142855</v>
      </c>
      <c r="I33" s="18">
        <f>SUM($D$2:D33)-SUM($G$2:G33)</f>
        <v>519372</v>
      </c>
      <c r="K33" s="3" t="s">
        <v>0</v>
      </c>
      <c r="L33" s="4">
        <f>L32/3</f>
        <v>22195.5</v>
      </c>
      <c r="M33" s="4"/>
      <c r="N33" s="4"/>
      <c r="O33" s="4"/>
      <c r="P33" s="4"/>
      <c r="Q33" s="4"/>
    </row>
    <row r="34" spans="1:17" x14ac:dyDescent="0.35">
      <c r="A34" s="21">
        <v>45170</v>
      </c>
      <c r="B34" s="20">
        <f t="shared" si="0"/>
        <v>3318</v>
      </c>
      <c r="C34" s="20">
        <f t="shared" si="1"/>
        <v>7742</v>
      </c>
      <c r="D34" s="20">
        <f t="shared" si="2"/>
        <v>11060</v>
      </c>
      <c r="E34" s="20">
        <v>4820</v>
      </c>
      <c r="F34" s="20">
        <v>6240</v>
      </c>
      <c r="G34" s="20">
        <v>750</v>
      </c>
      <c r="H34" s="19">
        <f t="shared" si="3"/>
        <v>0.42857142857142855</v>
      </c>
      <c r="I34" s="18">
        <f>SUM($D$2:D34)-SUM($G$2:G34)</f>
        <v>529682</v>
      </c>
    </row>
    <row r="35" spans="1:17" x14ac:dyDescent="0.35">
      <c r="A35" s="21">
        <v>45171</v>
      </c>
      <c r="B35" s="20">
        <f t="shared" si="0"/>
        <v>7600.5</v>
      </c>
      <c r="C35" s="20">
        <f t="shared" si="1"/>
        <v>17734.5</v>
      </c>
      <c r="D35" s="20">
        <f t="shared" si="2"/>
        <v>25335</v>
      </c>
      <c r="E35" s="22">
        <v>13280</v>
      </c>
      <c r="F35" s="22">
        <v>12055</v>
      </c>
      <c r="G35" s="22">
        <v>8150</v>
      </c>
      <c r="H35" s="19">
        <f t="shared" si="3"/>
        <v>0.42857142857142855</v>
      </c>
      <c r="I35" s="18">
        <f>SUM($D$2:D35)-SUM($G$2:G35)</f>
        <v>546867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1">
        <v>45172</v>
      </c>
      <c r="B36" s="20">
        <f t="shared" si="0"/>
        <v>4686</v>
      </c>
      <c r="C36" s="20">
        <f t="shared" si="1"/>
        <v>10934</v>
      </c>
      <c r="D36" s="20">
        <f t="shared" si="2"/>
        <v>15620</v>
      </c>
      <c r="E36" s="22">
        <v>11020</v>
      </c>
      <c r="F36" s="22">
        <v>4600</v>
      </c>
      <c r="G36" s="22">
        <v>7950</v>
      </c>
      <c r="H36" s="19">
        <f t="shared" si="3"/>
        <v>0.42857142857142855</v>
      </c>
      <c r="I36" s="18">
        <f>SUM($D$2:D36)-SUM($G$2:G36)</f>
        <v>554537</v>
      </c>
      <c r="K36" s="8">
        <f t="shared" ref="K36:K42" si="27">A23</f>
        <v>45159</v>
      </c>
      <c r="L36" s="2">
        <f>N36*0.3</f>
        <v>6180</v>
      </c>
      <c r="M36" s="2">
        <f t="shared" ref="M36:M42" si="28">N36-L36</f>
        <v>14420</v>
      </c>
      <c r="N36" s="2">
        <f t="shared" ref="N36:N42" si="29">O36+P36</f>
        <v>20600</v>
      </c>
      <c r="O36" s="2">
        <f t="shared" ref="O36:O42" si="30">VLOOKUP(K36,$A$1:$H$37,5,0)</f>
        <v>3930</v>
      </c>
      <c r="P36" s="2">
        <f t="shared" ref="P36:P42" si="31">VLOOKUP(K36,$A$1:$H$37,6,0)</f>
        <v>16670</v>
      </c>
      <c r="Q36" s="2">
        <f t="shared" ref="Q36:Q42" si="32">VLOOKUP(K36,$A$1:$H$37,7,0)</f>
        <v>1770</v>
      </c>
    </row>
    <row r="37" spans="1:17" ht="15" thickBot="1" x14ac:dyDescent="0.4">
      <c r="A37" s="17" t="s">
        <v>4</v>
      </c>
      <c r="B37" s="16">
        <f>SUM(B3:B33)</f>
        <v>185762.09999999998</v>
      </c>
      <c r="C37" s="16">
        <f t="shared" ref="C37:I37" si="33">SUM(C3:C33)</f>
        <v>433444.9</v>
      </c>
      <c r="D37" s="16">
        <f t="shared" si="33"/>
        <v>619207</v>
      </c>
      <c r="E37" s="16">
        <f t="shared" si="33"/>
        <v>220841</v>
      </c>
      <c r="F37" s="16">
        <f t="shared" si="33"/>
        <v>398366</v>
      </c>
      <c r="G37" s="16">
        <f t="shared" si="33"/>
        <v>112225</v>
      </c>
      <c r="H37" s="16">
        <f t="shared" si="33"/>
        <v>13.28571428571429</v>
      </c>
      <c r="I37" s="16">
        <f t="shared" si="33"/>
        <v>7828000</v>
      </c>
      <c r="K37" s="9">
        <f t="shared" si="27"/>
        <v>45160</v>
      </c>
      <c r="L37" s="4">
        <f>N37*0.3</f>
        <v>7008</v>
      </c>
      <c r="M37" s="4">
        <f t="shared" si="28"/>
        <v>16352</v>
      </c>
      <c r="N37" s="4">
        <f t="shared" si="29"/>
        <v>23360</v>
      </c>
      <c r="O37" s="4">
        <f t="shared" si="30"/>
        <v>6660</v>
      </c>
      <c r="P37" s="4">
        <f t="shared" si="31"/>
        <v>16700</v>
      </c>
      <c r="Q37" s="4">
        <f t="shared" si="32"/>
        <v>1460</v>
      </c>
    </row>
    <row r="38" spans="1:17" x14ac:dyDescent="0.35">
      <c r="A38" s="12"/>
      <c r="B38" s="11">
        <f>B37/3</f>
        <v>61920.69999999999</v>
      </c>
      <c r="C38" s="11"/>
      <c r="E38" s="13">
        <f>D37*0.42</f>
        <v>260066.94</v>
      </c>
      <c r="F38" s="11"/>
      <c r="G38" s="11"/>
      <c r="H38" s="10"/>
      <c r="K38" s="8">
        <f t="shared" si="27"/>
        <v>45161</v>
      </c>
      <c r="L38" s="2">
        <f t="shared" ref="L38:L42" si="34">N38*0.3</f>
        <v>4476.3</v>
      </c>
      <c r="M38" s="2">
        <f t="shared" si="28"/>
        <v>10444.700000000001</v>
      </c>
      <c r="N38" s="2">
        <f t="shared" si="29"/>
        <v>14921</v>
      </c>
      <c r="O38" s="2">
        <f t="shared" si="30"/>
        <v>4700</v>
      </c>
      <c r="P38" s="2">
        <f t="shared" si="31"/>
        <v>10221</v>
      </c>
      <c r="Q38" s="2">
        <f t="shared" si="32"/>
        <v>3700</v>
      </c>
    </row>
    <row r="39" spans="1:17" x14ac:dyDescent="0.35">
      <c r="A39" s="12"/>
      <c r="B39" s="11">
        <f>B38*100/D37</f>
        <v>9.9999999999999982</v>
      </c>
      <c r="C39" s="11"/>
      <c r="E39" s="11">
        <f>E38/3</f>
        <v>86688.98</v>
      </c>
      <c r="F39" s="11"/>
      <c r="G39" s="11"/>
      <c r="H39" s="10"/>
      <c r="K39" s="9">
        <f t="shared" si="27"/>
        <v>45162</v>
      </c>
      <c r="L39" s="4">
        <f t="shared" si="34"/>
        <v>11223</v>
      </c>
      <c r="M39" s="4">
        <f t="shared" si="28"/>
        <v>26187</v>
      </c>
      <c r="N39" s="4">
        <f t="shared" si="29"/>
        <v>37410</v>
      </c>
      <c r="O39" s="4">
        <f t="shared" si="30"/>
        <v>1700</v>
      </c>
      <c r="P39" s="4">
        <f t="shared" si="31"/>
        <v>35710</v>
      </c>
      <c r="Q39" s="4">
        <f t="shared" si="32"/>
        <v>2470</v>
      </c>
    </row>
    <row r="40" spans="1:17" x14ac:dyDescent="0.35">
      <c r="A40" s="7" t="s">
        <v>7</v>
      </c>
      <c r="B40" s="6" t="s">
        <v>6</v>
      </c>
      <c r="C40" s="6" t="s">
        <v>5</v>
      </c>
      <c r="D40" s="6" t="s">
        <v>4</v>
      </c>
      <c r="E40" s="6" t="s">
        <v>3</v>
      </c>
      <c r="F40" s="6" t="s">
        <v>2</v>
      </c>
      <c r="G40" s="6" t="s">
        <v>1</v>
      </c>
      <c r="H40" s="31" t="s">
        <v>0</v>
      </c>
      <c r="K40" s="8">
        <f t="shared" si="27"/>
        <v>45163</v>
      </c>
      <c r="L40" s="2">
        <f t="shared" si="34"/>
        <v>2997</v>
      </c>
      <c r="M40" s="2">
        <f t="shared" si="28"/>
        <v>6993</v>
      </c>
      <c r="N40" s="2">
        <f t="shared" si="29"/>
        <v>9990</v>
      </c>
      <c r="O40" s="2">
        <f t="shared" si="30"/>
        <v>6300</v>
      </c>
      <c r="P40" s="2">
        <f t="shared" si="31"/>
        <v>3690</v>
      </c>
      <c r="Q40" s="2">
        <f t="shared" si="32"/>
        <v>2650</v>
      </c>
    </row>
    <row r="41" spans="1:17" x14ac:dyDescent="0.35">
      <c r="A41" s="32" t="str">
        <f>CONCATENATE(TEXT(K3,"DD-MMM-YYY")," to ",TEXT(K9,"DD-MMM-YYYY"))</f>
        <v>31-Jul-2023 to 06-Aug-2023</v>
      </c>
      <c r="B41" s="2">
        <f>L10</f>
        <v>29641.8</v>
      </c>
      <c r="C41" s="2">
        <f t="shared" ref="C41:G41" si="35">M10</f>
        <v>69164.2</v>
      </c>
      <c r="D41" s="2">
        <f t="shared" si="35"/>
        <v>98806</v>
      </c>
      <c r="E41" s="2">
        <f t="shared" si="35"/>
        <v>38146</v>
      </c>
      <c r="F41" s="2">
        <f t="shared" si="35"/>
        <v>60660</v>
      </c>
      <c r="G41" s="2">
        <f t="shared" si="35"/>
        <v>20330</v>
      </c>
      <c r="H41" s="2">
        <f>B41/3</f>
        <v>9880.6</v>
      </c>
      <c r="K41" s="9">
        <f t="shared" si="27"/>
        <v>45164</v>
      </c>
      <c r="L41" s="4">
        <f t="shared" si="34"/>
        <v>3235.5</v>
      </c>
      <c r="M41" s="4">
        <f t="shared" si="28"/>
        <v>7549.5</v>
      </c>
      <c r="N41" s="4">
        <f t="shared" si="29"/>
        <v>10785</v>
      </c>
      <c r="O41" s="4">
        <f t="shared" si="30"/>
        <v>5250</v>
      </c>
      <c r="P41" s="4">
        <f t="shared" si="31"/>
        <v>5535</v>
      </c>
      <c r="Q41" s="4">
        <f t="shared" si="32"/>
        <v>650</v>
      </c>
    </row>
    <row r="42" spans="1:17" x14ac:dyDescent="0.35">
      <c r="A42" s="32" t="str">
        <f>CONCATENATE(TEXT(K14,"DD-MMM-YYY")," to ",TEXT(K20,"DD-MMM-YYYY"))</f>
        <v>07-Aug-2023 to 13-Aug-2023</v>
      </c>
      <c r="B42" s="4">
        <f>L21</f>
        <v>28578</v>
      </c>
      <c r="C42" s="4">
        <f t="shared" ref="C42:G42" si="36">M21</f>
        <v>66682</v>
      </c>
      <c r="D42" s="4">
        <f t="shared" si="36"/>
        <v>95260</v>
      </c>
      <c r="E42" s="4">
        <f t="shared" si="36"/>
        <v>50710</v>
      </c>
      <c r="F42" s="4">
        <f t="shared" si="36"/>
        <v>44550</v>
      </c>
      <c r="G42" s="4">
        <f t="shared" si="36"/>
        <v>33310</v>
      </c>
      <c r="H42" s="2">
        <f t="shared" ref="H42:H44" si="37">B42/3</f>
        <v>9526</v>
      </c>
      <c r="K42" s="8">
        <f t="shared" si="27"/>
        <v>45165</v>
      </c>
      <c r="L42" s="2">
        <f t="shared" si="34"/>
        <v>3834</v>
      </c>
      <c r="M42" s="2">
        <f t="shared" si="28"/>
        <v>8946</v>
      </c>
      <c r="N42" s="2">
        <f t="shared" si="29"/>
        <v>12780</v>
      </c>
      <c r="O42" s="2">
        <f t="shared" si="30"/>
        <v>10770</v>
      </c>
      <c r="P42" s="2">
        <f t="shared" si="31"/>
        <v>2010</v>
      </c>
      <c r="Q42" s="2">
        <f t="shared" si="32"/>
        <v>750</v>
      </c>
    </row>
    <row r="43" spans="1:17" x14ac:dyDescent="0.35">
      <c r="A43" s="32" t="str">
        <f>CONCATENATE(TEXT(K25,"DD-MMM-YYY")," to ",TEXT(K31,"DD-MMM-YYYY"))</f>
        <v>14-Aug-2023 to 20-Aug-2023</v>
      </c>
      <c r="B43" s="2">
        <f>L32</f>
        <v>66586.5</v>
      </c>
      <c r="C43" s="2">
        <f t="shared" ref="C43:G43" si="38">M32</f>
        <v>155368.5</v>
      </c>
      <c r="D43" s="2">
        <f t="shared" si="38"/>
        <v>221955</v>
      </c>
      <c r="E43" s="2">
        <f t="shared" si="38"/>
        <v>67635</v>
      </c>
      <c r="F43" s="2">
        <f t="shared" si="38"/>
        <v>154320</v>
      </c>
      <c r="G43" s="2">
        <f t="shared" si="38"/>
        <v>30925</v>
      </c>
      <c r="H43" s="2">
        <f t="shared" si="37"/>
        <v>22195.5</v>
      </c>
      <c r="K43" s="3" t="s">
        <v>4</v>
      </c>
      <c r="L43" s="4">
        <f t="shared" ref="L43:Q43" si="39">SUM(L36:L42)</f>
        <v>38953.800000000003</v>
      </c>
      <c r="M43" s="4">
        <f t="shared" si="39"/>
        <v>90892.2</v>
      </c>
      <c r="N43" s="4">
        <f t="shared" si="39"/>
        <v>129846</v>
      </c>
      <c r="O43" s="4">
        <f t="shared" si="39"/>
        <v>39310</v>
      </c>
      <c r="P43" s="4">
        <f t="shared" si="39"/>
        <v>90536</v>
      </c>
      <c r="Q43" s="4">
        <f t="shared" si="39"/>
        <v>13450</v>
      </c>
    </row>
    <row r="44" spans="1:17" x14ac:dyDescent="0.35">
      <c r="A44" s="32" t="str">
        <f>CONCATENATE(TEXT(K36,"DD-MMM-YYY")," to ",TEXT(K42,"DD-MMM-YYYY"))</f>
        <v>21-Aug-2023 to 27-Aug-2023</v>
      </c>
      <c r="B44" s="4">
        <f>L43</f>
        <v>38953.800000000003</v>
      </c>
      <c r="C44" s="4">
        <f t="shared" ref="C44:G44" si="40">M43</f>
        <v>90892.2</v>
      </c>
      <c r="D44" s="4">
        <f t="shared" si="40"/>
        <v>129846</v>
      </c>
      <c r="E44" s="4">
        <f t="shared" si="40"/>
        <v>39310</v>
      </c>
      <c r="F44" s="4">
        <f t="shared" si="40"/>
        <v>90536</v>
      </c>
      <c r="G44" s="4">
        <f t="shared" si="40"/>
        <v>13450</v>
      </c>
      <c r="H44" s="2">
        <f t="shared" si="37"/>
        <v>12984.6</v>
      </c>
      <c r="K44" s="3" t="s">
        <v>0</v>
      </c>
      <c r="L44" s="2">
        <f>L43/3</f>
        <v>12984.6</v>
      </c>
      <c r="M44" s="2"/>
      <c r="N44" s="2"/>
      <c r="O44" s="2"/>
      <c r="P44" s="2"/>
      <c r="Q44" s="2"/>
    </row>
    <row r="45" spans="1:17" x14ac:dyDescent="0.35">
      <c r="A45" s="32" t="str">
        <f>CONCATENATE(TEXT(K47,"DD-MMM-YYY")," to ",TEXT(K53,"DD-MMM-YYYY"))</f>
        <v>28-Aug-2023 to 03-Sep-2023</v>
      </c>
      <c r="B45" s="2">
        <f>L54</f>
        <v>39646.5</v>
      </c>
      <c r="C45" s="2">
        <f t="shared" ref="C45:G45" si="41">M54</f>
        <v>92508.5</v>
      </c>
      <c r="D45" s="2">
        <f t="shared" si="41"/>
        <v>132155</v>
      </c>
      <c r="E45" s="2">
        <f t="shared" si="41"/>
        <v>52160</v>
      </c>
      <c r="F45" s="2">
        <f t="shared" si="41"/>
        <v>79995</v>
      </c>
      <c r="G45" s="2">
        <f t="shared" si="41"/>
        <v>31660</v>
      </c>
      <c r="H45" s="2">
        <f t="shared" ref="H45" si="42">B45/3</f>
        <v>13215.5</v>
      </c>
    </row>
    <row r="46" spans="1:17" x14ac:dyDescent="0.35">
      <c r="A46" s="32" t="str">
        <f>CONCATENATE(TEXT(K59,"DD-MMM-YYY")," to ",TEXT(K58,"DD-MMM-YYYY"))</f>
        <v>04-Aug-2023 to Date</v>
      </c>
      <c r="B46" s="4">
        <f>SUM(B41:B45)</f>
        <v>203406.6</v>
      </c>
      <c r="C46" s="4">
        <f t="shared" ref="C46:H46" si="43">SUM(C41:C45)</f>
        <v>474615.4</v>
      </c>
      <c r="D46" s="4">
        <f t="shared" si="43"/>
        <v>678022</v>
      </c>
      <c r="E46" s="4">
        <f t="shared" si="43"/>
        <v>247961</v>
      </c>
      <c r="F46" s="4">
        <f t="shared" si="43"/>
        <v>430061</v>
      </c>
      <c r="G46" s="4">
        <f t="shared" si="43"/>
        <v>129675</v>
      </c>
      <c r="H46" s="4">
        <f t="shared" si="43"/>
        <v>67802.2</v>
      </c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C47" s="67" t="s">
        <v>4</v>
      </c>
      <c r="D47" s="67"/>
      <c r="E47" s="67"/>
      <c r="F47" s="67"/>
      <c r="G47" s="68"/>
      <c r="H47" s="2"/>
      <c r="K47" s="8">
        <f t="shared" ref="K47:K53" si="44">A30</f>
        <v>45166</v>
      </c>
      <c r="L47" s="2">
        <f>N47*0.3</f>
        <v>2926.5</v>
      </c>
      <c r="M47" s="2">
        <f t="shared" ref="M47:M53" si="45">N47-L47</f>
        <v>6828.5</v>
      </c>
      <c r="N47" s="2">
        <f t="shared" ref="N47:N53" si="46">O47+P47</f>
        <v>9755</v>
      </c>
      <c r="O47" s="2">
        <f t="shared" ref="O47:O52" si="47">VLOOKUP(K47,$A$1:$H$37,5,0)</f>
        <v>3450</v>
      </c>
      <c r="P47" s="2">
        <f t="shared" ref="P47:P53" si="48">VLOOKUP(K47,$A$1:$H$37,6,0)</f>
        <v>6305</v>
      </c>
      <c r="Q47" s="2">
        <f t="shared" ref="Q47:Q53" si="49">VLOOKUP(K47,$A$1:$H$37,7,0)</f>
        <v>4070</v>
      </c>
    </row>
    <row r="48" spans="1:17" x14ac:dyDescent="0.35">
      <c r="K48" s="9">
        <f t="shared" si="44"/>
        <v>45167</v>
      </c>
      <c r="L48" s="4">
        <f>N48*0.3</f>
        <v>5478</v>
      </c>
      <c r="M48" s="4">
        <f t="shared" si="45"/>
        <v>12782</v>
      </c>
      <c r="N48" s="4">
        <f t="shared" si="46"/>
        <v>18260</v>
      </c>
      <c r="O48" s="4">
        <f t="shared" si="47"/>
        <v>2490</v>
      </c>
      <c r="P48" s="4">
        <f t="shared" si="48"/>
        <v>15770</v>
      </c>
      <c r="Q48" s="4">
        <f t="shared" si="49"/>
        <v>5090</v>
      </c>
    </row>
    <row r="49" spans="11:17" x14ac:dyDescent="0.35">
      <c r="K49" s="8">
        <f t="shared" si="44"/>
        <v>45168</v>
      </c>
      <c r="L49" s="2">
        <f t="shared" ref="L49:L53" si="50">N49*0.3</f>
        <v>3474</v>
      </c>
      <c r="M49" s="2">
        <f t="shared" si="45"/>
        <v>8106</v>
      </c>
      <c r="N49" s="2">
        <f t="shared" si="46"/>
        <v>11580</v>
      </c>
      <c r="O49" s="2">
        <f t="shared" si="47"/>
        <v>5000</v>
      </c>
      <c r="P49" s="2">
        <f t="shared" si="48"/>
        <v>6580</v>
      </c>
      <c r="Q49" s="2">
        <f t="shared" si="49"/>
        <v>5550</v>
      </c>
    </row>
    <row r="50" spans="11:17" x14ac:dyDescent="0.35">
      <c r="K50" s="9">
        <f t="shared" si="44"/>
        <v>45169</v>
      </c>
      <c r="L50" s="4">
        <f t="shared" si="50"/>
        <v>12163.5</v>
      </c>
      <c r="M50" s="4">
        <f t="shared" si="45"/>
        <v>28381.5</v>
      </c>
      <c r="N50" s="4">
        <f t="shared" si="46"/>
        <v>40545</v>
      </c>
      <c r="O50" s="4">
        <f t="shared" si="47"/>
        <v>12100</v>
      </c>
      <c r="P50" s="4">
        <f t="shared" si="48"/>
        <v>28445</v>
      </c>
      <c r="Q50" s="4">
        <f t="shared" si="49"/>
        <v>100</v>
      </c>
    </row>
    <row r="51" spans="11:17" x14ac:dyDescent="0.35">
      <c r="K51" s="8">
        <f t="shared" si="44"/>
        <v>45170</v>
      </c>
      <c r="L51" s="2">
        <f t="shared" si="50"/>
        <v>3318</v>
      </c>
      <c r="M51" s="2">
        <f t="shared" si="45"/>
        <v>7742</v>
      </c>
      <c r="N51" s="2">
        <f t="shared" si="46"/>
        <v>11060</v>
      </c>
      <c r="O51" s="2">
        <f t="shared" si="47"/>
        <v>4820</v>
      </c>
      <c r="P51" s="2">
        <f t="shared" si="48"/>
        <v>6240</v>
      </c>
      <c r="Q51" s="2">
        <f t="shared" si="49"/>
        <v>750</v>
      </c>
    </row>
    <row r="52" spans="11:17" x14ac:dyDescent="0.35">
      <c r="K52" s="9">
        <f t="shared" si="44"/>
        <v>45171</v>
      </c>
      <c r="L52" s="4">
        <f t="shared" si="50"/>
        <v>7600.5</v>
      </c>
      <c r="M52" s="4">
        <f t="shared" si="45"/>
        <v>17734.5</v>
      </c>
      <c r="N52" s="4">
        <f t="shared" si="46"/>
        <v>25335</v>
      </c>
      <c r="O52" s="4">
        <f t="shared" si="47"/>
        <v>13280</v>
      </c>
      <c r="P52" s="4">
        <f t="shared" si="48"/>
        <v>12055</v>
      </c>
      <c r="Q52" s="4">
        <f t="shared" si="49"/>
        <v>8150</v>
      </c>
    </row>
    <row r="53" spans="11:17" x14ac:dyDescent="0.35">
      <c r="K53" s="8">
        <f t="shared" si="44"/>
        <v>45172</v>
      </c>
      <c r="L53" s="2">
        <f t="shared" si="50"/>
        <v>4686</v>
      </c>
      <c r="M53" s="2">
        <f t="shared" si="45"/>
        <v>10934</v>
      </c>
      <c r="N53" s="2">
        <f t="shared" si="46"/>
        <v>15620</v>
      </c>
      <c r="O53" s="2">
        <f>VLOOKUP(K53,$A$1:$H$37,5,0)</f>
        <v>11020</v>
      </c>
      <c r="P53" s="2">
        <f t="shared" si="48"/>
        <v>4600</v>
      </c>
      <c r="Q53" s="2">
        <f t="shared" si="49"/>
        <v>7950</v>
      </c>
    </row>
    <row r="54" spans="11:17" x14ac:dyDescent="0.35">
      <c r="K54" s="3" t="s">
        <v>4</v>
      </c>
      <c r="L54" s="4">
        <f t="shared" ref="L54:Q54" si="51">SUM(L47:L53)</f>
        <v>39646.5</v>
      </c>
      <c r="M54" s="4">
        <f t="shared" si="51"/>
        <v>92508.5</v>
      </c>
      <c r="N54" s="4">
        <f t="shared" si="51"/>
        <v>132155</v>
      </c>
      <c r="O54" s="4">
        <f t="shared" si="51"/>
        <v>52160</v>
      </c>
      <c r="P54" s="4">
        <f t="shared" si="51"/>
        <v>79995</v>
      </c>
      <c r="Q54" s="4">
        <f t="shared" si="51"/>
        <v>31660</v>
      </c>
    </row>
    <row r="55" spans="11:17" x14ac:dyDescent="0.35">
      <c r="K55" s="3" t="s">
        <v>0</v>
      </c>
      <c r="L55" s="2">
        <f>L54/3</f>
        <v>13215.5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A6</f>
        <v>45142</v>
      </c>
      <c r="L59" s="4">
        <f>SUM(B7:B36)</f>
        <v>186083.1</v>
      </c>
      <c r="M59" s="4">
        <f t="shared" ref="M59:Q59" si="52">SUM(C7:C36)</f>
        <v>434193.9</v>
      </c>
      <c r="N59" s="4">
        <f t="shared" si="52"/>
        <v>620277</v>
      </c>
      <c r="O59" s="4">
        <f t="shared" si="52"/>
        <v>237321</v>
      </c>
      <c r="P59" s="4">
        <f t="shared" si="52"/>
        <v>382956</v>
      </c>
      <c r="Q59" s="4">
        <f t="shared" si="52"/>
        <v>126475</v>
      </c>
    </row>
    <row r="60" spans="11:17" x14ac:dyDescent="0.35">
      <c r="K60" s="3" t="s">
        <v>0</v>
      </c>
      <c r="L60" s="2">
        <f>L59/3</f>
        <v>62027.700000000004</v>
      </c>
      <c r="M60" s="2"/>
      <c r="N60" s="2"/>
      <c r="O60" s="2"/>
      <c r="P60" s="2"/>
      <c r="Q60" s="2"/>
    </row>
  </sheetData>
  <mergeCells count="1">
    <mergeCell ref="C47:G47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8EB2-C034-43D3-8AC7-F5391A4C2649}">
  <dimension ref="A1:Q60"/>
  <sheetViews>
    <sheetView zoomScale="90" zoomScaleNormal="90" workbookViewId="0">
      <pane ySplit="1" topLeftCell="A19" activePane="bottomLeft" state="frozen"/>
      <selection pane="bottomLeft" activeCell="E36" sqref="E36:G36"/>
    </sheetView>
  </sheetViews>
  <sheetFormatPr defaultColWidth="26" defaultRowHeight="14.5" x14ac:dyDescent="0.35"/>
  <cols>
    <col min="1" max="1" width="25.90625" bestFit="1" customWidth="1"/>
    <col min="2" max="4" width="9" style="1" bestFit="1" customWidth="1"/>
    <col min="5" max="5" width="11.54296875" style="1" bestFit="1" customWidth="1"/>
    <col min="6" max="6" width="10.6328125" style="1" customWidth="1"/>
    <col min="7" max="7" width="9.26953125" style="1" bestFit="1" customWidth="1"/>
    <col min="8" max="8" width="10.1796875" bestFit="1" customWidth="1"/>
    <col min="9" max="9" width="7.6328125" bestFit="1" customWidth="1"/>
    <col min="10" max="10" width="6.54296875" customWidth="1"/>
    <col min="11" max="11" width="26.36328125" bestFit="1" customWidth="1"/>
    <col min="12" max="12" width="9" bestFit="1" customWidth="1"/>
    <col min="13" max="14" width="9.1796875" bestFit="1" customWidth="1"/>
    <col min="15" max="15" width="9" bestFit="1" customWidth="1"/>
    <col min="16" max="16" width="16.90625" bestFit="1" customWidth="1"/>
    <col min="17" max="17" width="9.26953125" bestFit="1" customWidth="1"/>
  </cols>
  <sheetData>
    <row r="1" spans="1:17" s="23" customFormat="1" ht="29" x14ac:dyDescent="0.35">
      <c r="A1" s="30" t="s">
        <v>7</v>
      </c>
      <c r="B1" s="28" t="s">
        <v>6</v>
      </c>
      <c r="C1" s="28" t="s">
        <v>5</v>
      </c>
      <c r="D1" s="28" t="s">
        <v>4</v>
      </c>
      <c r="E1" s="29" t="s">
        <v>3</v>
      </c>
      <c r="F1" s="29" t="s">
        <v>2</v>
      </c>
      <c r="G1" s="28" t="s">
        <v>1</v>
      </c>
      <c r="H1" s="27" t="s">
        <v>9</v>
      </c>
      <c r="I1" s="26" t="s">
        <v>8</v>
      </c>
      <c r="K1" s="25" t="s">
        <v>7</v>
      </c>
      <c r="L1" s="24" t="s">
        <v>6</v>
      </c>
      <c r="M1" s="24" t="s">
        <v>5</v>
      </c>
      <c r="N1" s="24" t="s">
        <v>4</v>
      </c>
      <c r="O1" s="24" t="s">
        <v>3</v>
      </c>
      <c r="P1" s="24" t="s">
        <v>2</v>
      </c>
      <c r="Q1" s="24" t="s">
        <v>1</v>
      </c>
    </row>
    <row r="2" spans="1:17" x14ac:dyDescent="0.35">
      <c r="A2" s="21">
        <v>45166</v>
      </c>
      <c r="B2" s="20">
        <f t="shared" ref="B2:B36" si="0">D2*0.39</f>
        <v>3804.4500000000003</v>
      </c>
      <c r="C2" s="20">
        <f t="shared" ref="C2:C36" si="1">D2-B2</f>
        <v>5950.5499999999993</v>
      </c>
      <c r="D2" s="20">
        <f t="shared" ref="D2:D36" si="2">E2+F2</f>
        <v>9755</v>
      </c>
      <c r="E2" s="20">
        <v>3450</v>
      </c>
      <c r="F2" s="20">
        <v>6305</v>
      </c>
      <c r="G2" s="20">
        <v>4070</v>
      </c>
      <c r="H2" s="19">
        <f t="shared" ref="H2:H36" si="3">IFERROR(B2/C2,0)</f>
        <v>0.63934426229508212</v>
      </c>
      <c r="I2" s="18">
        <f>SUM($D$2:D2)-SUM($G$2:G2)</f>
        <v>5685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1">
        <v>45167</v>
      </c>
      <c r="B3" s="20">
        <f t="shared" si="0"/>
        <v>7121.4000000000005</v>
      </c>
      <c r="C3" s="20">
        <f t="shared" si="1"/>
        <v>11138.599999999999</v>
      </c>
      <c r="D3" s="20">
        <f t="shared" si="2"/>
        <v>18260</v>
      </c>
      <c r="E3" s="20">
        <v>2490</v>
      </c>
      <c r="F3" s="20">
        <v>15770</v>
      </c>
      <c r="G3" s="20">
        <v>5090</v>
      </c>
      <c r="H3" s="19">
        <f t="shared" si="3"/>
        <v>0.63934426229508212</v>
      </c>
      <c r="I3" s="18">
        <f>SUM($D$2:D3)-SUM($G$2:G3)</f>
        <v>18855</v>
      </c>
      <c r="K3" s="8">
        <f t="shared" ref="K3:K9" si="4">A2</f>
        <v>45166</v>
      </c>
      <c r="L3" s="2">
        <f>N3*0.3</f>
        <v>2926.5</v>
      </c>
      <c r="M3" s="2">
        <f t="shared" ref="M3:M9" si="5">N3-L3</f>
        <v>6828.5</v>
      </c>
      <c r="N3" s="2">
        <f t="shared" ref="N3:N9" si="6">O3+P3</f>
        <v>9755</v>
      </c>
      <c r="O3" s="2">
        <f t="shared" ref="O3:O9" si="7">VLOOKUP(K3,$A$1:$H$37,5,0)</f>
        <v>3450</v>
      </c>
      <c r="P3" s="2">
        <f t="shared" ref="P3:P9" si="8">VLOOKUP(K3,$A$1:$H$37,6,0)</f>
        <v>6305</v>
      </c>
      <c r="Q3" s="2">
        <f t="shared" ref="Q3:Q9" si="9">VLOOKUP(K3,$A$1:$H$37,7,0)</f>
        <v>4070</v>
      </c>
    </row>
    <row r="4" spans="1:17" x14ac:dyDescent="0.35">
      <c r="A4" s="21">
        <v>45168</v>
      </c>
      <c r="B4" s="20">
        <f t="shared" si="0"/>
        <v>4516.2</v>
      </c>
      <c r="C4" s="20">
        <f t="shared" si="1"/>
        <v>7063.8</v>
      </c>
      <c r="D4" s="20">
        <f t="shared" si="2"/>
        <v>11580</v>
      </c>
      <c r="E4" s="22">
        <v>5000</v>
      </c>
      <c r="F4" s="22">
        <v>6580</v>
      </c>
      <c r="G4" s="22">
        <v>5550</v>
      </c>
      <c r="H4" s="19">
        <f t="shared" si="3"/>
        <v>0.6393442622950819</v>
      </c>
      <c r="I4" s="18">
        <f>SUM($D$2:D4)-SUM($G$2:G4)</f>
        <v>24885</v>
      </c>
      <c r="K4" s="9">
        <f t="shared" si="4"/>
        <v>45167</v>
      </c>
      <c r="L4" s="4">
        <f>N4*0.3</f>
        <v>5478</v>
      </c>
      <c r="M4" s="4">
        <f t="shared" si="5"/>
        <v>12782</v>
      </c>
      <c r="N4" s="4">
        <f t="shared" si="6"/>
        <v>18260</v>
      </c>
      <c r="O4" s="4">
        <f t="shared" si="7"/>
        <v>2490</v>
      </c>
      <c r="P4" s="4">
        <f t="shared" si="8"/>
        <v>15770</v>
      </c>
      <c r="Q4" s="4">
        <f t="shared" si="9"/>
        <v>5090</v>
      </c>
    </row>
    <row r="5" spans="1:17" x14ac:dyDescent="0.35">
      <c r="A5" s="21">
        <v>45169</v>
      </c>
      <c r="B5" s="20">
        <f t="shared" si="0"/>
        <v>15812.550000000001</v>
      </c>
      <c r="C5" s="20">
        <f t="shared" si="1"/>
        <v>24732.449999999997</v>
      </c>
      <c r="D5" s="20">
        <f t="shared" si="2"/>
        <v>40545</v>
      </c>
      <c r="E5" s="20">
        <v>12100</v>
      </c>
      <c r="F5" s="20">
        <v>28445</v>
      </c>
      <c r="G5" s="20">
        <v>100</v>
      </c>
      <c r="H5" s="19">
        <f t="shared" si="3"/>
        <v>0.63934426229508212</v>
      </c>
      <c r="I5" s="18">
        <f>SUM($D$2:D5)-SUM($G$2:G5)</f>
        <v>65330</v>
      </c>
      <c r="K5" s="8">
        <f t="shared" si="4"/>
        <v>45168</v>
      </c>
      <c r="L5" s="2">
        <f t="shared" ref="L5:L9" si="10">N5*0.3</f>
        <v>3474</v>
      </c>
      <c r="M5" s="2">
        <f t="shared" si="5"/>
        <v>8106</v>
      </c>
      <c r="N5" s="2">
        <f t="shared" si="6"/>
        <v>11580</v>
      </c>
      <c r="O5" s="2">
        <f t="shared" si="7"/>
        <v>5000</v>
      </c>
      <c r="P5" s="2">
        <f t="shared" si="8"/>
        <v>6580</v>
      </c>
      <c r="Q5" s="2">
        <f t="shared" si="9"/>
        <v>5550</v>
      </c>
    </row>
    <row r="6" spans="1:17" x14ac:dyDescent="0.35">
      <c r="A6" s="21">
        <v>45170</v>
      </c>
      <c r="B6" s="20">
        <f t="shared" si="0"/>
        <v>4313.4000000000005</v>
      </c>
      <c r="C6" s="20">
        <f t="shared" si="1"/>
        <v>6746.5999999999995</v>
      </c>
      <c r="D6" s="20">
        <f t="shared" si="2"/>
        <v>11060</v>
      </c>
      <c r="E6" s="20">
        <v>4820</v>
      </c>
      <c r="F6" s="20">
        <v>6240</v>
      </c>
      <c r="G6" s="20">
        <v>750</v>
      </c>
      <c r="H6" s="19">
        <f t="shared" si="3"/>
        <v>0.63934426229508212</v>
      </c>
      <c r="I6" s="18">
        <f>SUM($D$2:D6)-SUM($G$2:G6)</f>
        <v>75640</v>
      </c>
      <c r="K6" s="9">
        <f t="shared" si="4"/>
        <v>45169</v>
      </c>
      <c r="L6" s="4">
        <f t="shared" si="10"/>
        <v>12163.5</v>
      </c>
      <c r="M6" s="4">
        <f t="shared" si="5"/>
        <v>28381.5</v>
      </c>
      <c r="N6" s="4">
        <f t="shared" si="6"/>
        <v>40545</v>
      </c>
      <c r="O6" s="4">
        <f t="shared" si="7"/>
        <v>12100</v>
      </c>
      <c r="P6" s="4">
        <f t="shared" si="8"/>
        <v>28445</v>
      </c>
      <c r="Q6" s="4">
        <f t="shared" si="9"/>
        <v>100</v>
      </c>
    </row>
    <row r="7" spans="1:17" x14ac:dyDescent="0.35">
      <c r="A7" s="21">
        <v>45171</v>
      </c>
      <c r="B7" s="20">
        <f t="shared" si="0"/>
        <v>9880.65</v>
      </c>
      <c r="C7" s="20">
        <f t="shared" si="1"/>
        <v>15454.35</v>
      </c>
      <c r="D7" s="20">
        <f t="shared" si="2"/>
        <v>25335</v>
      </c>
      <c r="E7" s="22">
        <v>13280</v>
      </c>
      <c r="F7" s="22">
        <v>12055</v>
      </c>
      <c r="G7" s="22">
        <v>8150</v>
      </c>
      <c r="H7" s="19">
        <f t="shared" si="3"/>
        <v>0.6393442622950819</v>
      </c>
      <c r="I7" s="18">
        <f>SUM($D$2:D7)-SUM($G$2:G7)</f>
        <v>92825</v>
      </c>
      <c r="K7" s="8">
        <f t="shared" si="4"/>
        <v>45170</v>
      </c>
      <c r="L7" s="2">
        <f t="shared" si="10"/>
        <v>3318</v>
      </c>
      <c r="M7" s="2">
        <f t="shared" si="5"/>
        <v>7742</v>
      </c>
      <c r="N7" s="2">
        <f t="shared" si="6"/>
        <v>11060</v>
      </c>
      <c r="O7" s="2">
        <f t="shared" si="7"/>
        <v>4820</v>
      </c>
      <c r="P7" s="2">
        <f t="shared" si="8"/>
        <v>6240</v>
      </c>
      <c r="Q7" s="2">
        <f t="shared" si="9"/>
        <v>750</v>
      </c>
    </row>
    <row r="8" spans="1:17" x14ac:dyDescent="0.35">
      <c r="A8" s="21">
        <v>45172</v>
      </c>
      <c r="B8" s="20">
        <f t="shared" si="0"/>
        <v>6091.8</v>
      </c>
      <c r="C8" s="20">
        <f t="shared" si="1"/>
        <v>9528.2000000000007</v>
      </c>
      <c r="D8" s="20">
        <f t="shared" si="2"/>
        <v>15620</v>
      </c>
      <c r="E8" s="22">
        <v>11020</v>
      </c>
      <c r="F8" s="22">
        <v>4600</v>
      </c>
      <c r="G8" s="22">
        <v>7950</v>
      </c>
      <c r="H8" s="19">
        <f t="shared" si="3"/>
        <v>0.6393442622950819</v>
      </c>
      <c r="I8" s="18">
        <f>SUM($D$2:D8)-SUM($G$2:G8)</f>
        <v>100495</v>
      </c>
      <c r="K8" s="9">
        <f t="shared" si="4"/>
        <v>45171</v>
      </c>
      <c r="L8" s="4">
        <f t="shared" si="10"/>
        <v>7600.5</v>
      </c>
      <c r="M8" s="4">
        <f t="shared" si="5"/>
        <v>17734.5</v>
      </c>
      <c r="N8" s="4">
        <f t="shared" si="6"/>
        <v>25335</v>
      </c>
      <c r="O8" s="4">
        <f t="shared" si="7"/>
        <v>13280</v>
      </c>
      <c r="P8" s="4">
        <f t="shared" si="8"/>
        <v>12055</v>
      </c>
      <c r="Q8" s="4">
        <f t="shared" si="9"/>
        <v>8150</v>
      </c>
    </row>
    <row r="9" spans="1:17" x14ac:dyDescent="0.35">
      <c r="A9" s="21">
        <v>45173</v>
      </c>
      <c r="B9" s="20">
        <f t="shared" si="0"/>
        <v>10783.5</v>
      </c>
      <c r="C9" s="20">
        <f t="shared" si="1"/>
        <v>16866.5</v>
      </c>
      <c r="D9" s="20">
        <f t="shared" si="2"/>
        <v>27650</v>
      </c>
      <c r="E9" s="20">
        <v>3420</v>
      </c>
      <c r="F9" s="20">
        <v>24230</v>
      </c>
      <c r="G9" s="20">
        <v>36590</v>
      </c>
      <c r="H9" s="19">
        <f t="shared" si="3"/>
        <v>0.63934426229508201</v>
      </c>
      <c r="I9" s="18">
        <f>SUM($D$2:D9)-SUM($G$2:G9)</f>
        <v>91555</v>
      </c>
      <c r="K9" s="8">
        <f t="shared" si="4"/>
        <v>45172</v>
      </c>
      <c r="L9" s="2">
        <f t="shared" si="10"/>
        <v>4686</v>
      </c>
      <c r="M9" s="2">
        <f t="shared" si="5"/>
        <v>10934</v>
      </c>
      <c r="N9" s="2">
        <f t="shared" si="6"/>
        <v>15620</v>
      </c>
      <c r="O9" s="2">
        <f t="shared" si="7"/>
        <v>11020</v>
      </c>
      <c r="P9" s="2">
        <f t="shared" si="8"/>
        <v>4600</v>
      </c>
      <c r="Q9" s="2">
        <f t="shared" si="9"/>
        <v>7950</v>
      </c>
    </row>
    <row r="10" spans="1:17" x14ac:dyDescent="0.35">
      <c r="A10" s="21">
        <v>45174</v>
      </c>
      <c r="B10" s="20">
        <f t="shared" si="0"/>
        <v>13593.45</v>
      </c>
      <c r="C10" s="20">
        <f t="shared" si="1"/>
        <v>21261.55</v>
      </c>
      <c r="D10" s="20">
        <f t="shared" si="2"/>
        <v>34855</v>
      </c>
      <c r="E10" s="20">
        <v>15044</v>
      </c>
      <c r="F10" s="20">
        <v>19811</v>
      </c>
      <c r="G10" s="20">
        <v>71150</v>
      </c>
      <c r="H10" s="19">
        <f t="shared" si="3"/>
        <v>0.63934426229508201</v>
      </c>
      <c r="I10" s="18">
        <f>SUM($D$2:D10)-SUM($G$2:G10)</f>
        <v>55260</v>
      </c>
      <c r="K10" s="3" t="s">
        <v>4</v>
      </c>
      <c r="L10" s="3">
        <f>SUM(L3:L9)</f>
        <v>39646.5</v>
      </c>
      <c r="M10" s="3">
        <f>SUM(M2:M9)</f>
        <v>92508.5</v>
      </c>
      <c r="N10" s="3">
        <f>SUM(N2:N9)</f>
        <v>132155</v>
      </c>
      <c r="O10" s="3">
        <f>SUM(O2:O9)</f>
        <v>52160</v>
      </c>
      <c r="P10" s="3">
        <f>SUM(P2:P9)</f>
        <v>79995</v>
      </c>
      <c r="Q10" s="3">
        <f>SUM(Q2:Q9)</f>
        <v>31660</v>
      </c>
    </row>
    <row r="11" spans="1:17" x14ac:dyDescent="0.35">
      <c r="A11" s="21">
        <v>45175</v>
      </c>
      <c r="B11" s="20">
        <f t="shared" si="0"/>
        <v>5671.38</v>
      </c>
      <c r="C11" s="20">
        <f t="shared" si="1"/>
        <v>8870.619999999999</v>
      </c>
      <c r="D11" s="20">
        <f t="shared" si="2"/>
        <v>14542</v>
      </c>
      <c r="E11" s="20">
        <v>9090</v>
      </c>
      <c r="F11" s="20">
        <v>5452</v>
      </c>
      <c r="G11" s="20">
        <v>3020</v>
      </c>
      <c r="H11" s="19">
        <f t="shared" si="3"/>
        <v>0.63934426229508201</v>
      </c>
      <c r="I11" s="18">
        <f>SUM($D$2:D11)-SUM($G$2:G11)</f>
        <v>66782</v>
      </c>
      <c r="K11" s="3" t="s">
        <v>0</v>
      </c>
      <c r="L11" s="3">
        <f>L10/3</f>
        <v>13215.5</v>
      </c>
      <c r="M11" s="3"/>
      <c r="N11" s="3"/>
      <c r="O11" s="2"/>
      <c r="P11" s="2"/>
      <c r="Q11" s="2"/>
    </row>
    <row r="12" spans="1:17" x14ac:dyDescent="0.35">
      <c r="A12" s="21">
        <v>45176</v>
      </c>
      <c r="B12" s="20">
        <f t="shared" si="0"/>
        <v>7770.75</v>
      </c>
      <c r="C12" s="20">
        <f t="shared" si="1"/>
        <v>12154.25</v>
      </c>
      <c r="D12" s="20">
        <f t="shared" si="2"/>
        <v>19925</v>
      </c>
      <c r="E12" s="20">
        <v>1670</v>
      </c>
      <c r="F12" s="20">
        <v>18255</v>
      </c>
      <c r="G12" s="20">
        <v>10150</v>
      </c>
      <c r="H12" s="19">
        <f t="shared" si="3"/>
        <v>0.63934426229508201</v>
      </c>
      <c r="I12" s="18">
        <f>SUM($D$2:D12)-SUM($G$2:G12)</f>
        <v>76557</v>
      </c>
    </row>
    <row r="13" spans="1:17" x14ac:dyDescent="0.35">
      <c r="A13" s="21">
        <v>45177</v>
      </c>
      <c r="B13" s="20">
        <f t="shared" si="0"/>
        <v>3174.6</v>
      </c>
      <c r="C13" s="20">
        <f t="shared" si="1"/>
        <v>4965.3999999999996</v>
      </c>
      <c r="D13" s="20">
        <f t="shared" si="2"/>
        <v>8140</v>
      </c>
      <c r="E13" s="20">
        <v>4030</v>
      </c>
      <c r="F13" s="20">
        <v>4110</v>
      </c>
      <c r="G13" s="20">
        <v>2150</v>
      </c>
      <c r="H13" s="19">
        <f t="shared" si="3"/>
        <v>0.63934426229508201</v>
      </c>
      <c r="I13" s="18">
        <f>SUM($D$2:D13)-SUM($G$2:G13)</f>
        <v>82547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1">
        <v>45178</v>
      </c>
      <c r="B14" s="20">
        <f t="shared" si="0"/>
        <v>4009.2000000000003</v>
      </c>
      <c r="C14" s="20">
        <f t="shared" si="1"/>
        <v>6270.7999999999993</v>
      </c>
      <c r="D14" s="20">
        <f t="shared" si="2"/>
        <v>10280</v>
      </c>
      <c r="E14" s="20">
        <v>2280</v>
      </c>
      <c r="F14" s="20">
        <v>8000</v>
      </c>
      <c r="G14" s="20">
        <v>2100</v>
      </c>
      <c r="H14" s="19">
        <f t="shared" si="3"/>
        <v>0.63934426229508212</v>
      </c>
      <c r="I14" s="18">
        <f>SUM($D$2:D14)-SUM($G$2:G14)</f>
        <v>90727</v>
      </c>
      <c r="K14" s="8">
        <f t="shared" ref="K14:K20" si="11">A9</f>
        <v>45173</v>
      </c>
      <c r="L14" s="2">
        <f>N14*0.3</f>
        <v>8295</v>
      </c>
      <c r="M14" s="2">
        <f t="shared" ref="M14:M20" si="12">N14-L14</f>
        <v>19355</v>
      </c>
      <c r="N14" s="2">
        <f t="shared" ref="N14:N20" si="13">O14+P14</f>
        <v>27650</v>
      </c>
      <c r="O14" s="2">
        <f t="shared" ref="O14:O20" si="14">VLOOKUP(K14,$A$1:$H$37,5,0)</f>
        <v>3420</v>
      </c>
      <c r="P14" s="2">
        <f t="shared" ref="P14:P20" si="15">VLOOKUP(K14,$A$1:$H$37,6,0)</f>
        <v>24230</v>
      </c>
      <c r="Q14" s="2">
        <f t="shared" ref="Q14:Q20" si="16">VLOOKUP(K14,$A$1:$H$37,7,0)</f>
        <v>36590</v>
      </c>
    </row>
    <row r="15" spans="1:17" x14ac:dyDescent="0.35">
      <c r="A15" s="21">
        <v>45179</v>
      </c>
      <c r="B15" s="20">
        <f t="shared" si="0"/>
        <v>3890.25</v>
      </c>
      <c r="C15" s="20">
        <f t="shared" si="1"/>
        <v>6084.75</v>
      </c>
      <c r="D15" s="20">
        <f t="shared" si="2"/>
        <v>9975</v>
      </c>
      <c r="E15" s="20">
        <v>4675</v>
      </c>
      <c r="F15" s="20">
        <v>5300</v>
      </c>
      <c r="G15" s="20">
        <v>14860</v>
      </c>
      <c r="H15" s="19">
        <f t="shared" si="3"/>
        <v>0.63934426229508201</v>
      </c>
      <c r="I15" s="18">
        <f>SUM($D$2:D15)-SUM($G$2:G15)</f>
        <v>85842</v>
      </c>
      <c r="K15" s="9">
        <f t="shared" si="11"/>
        <v>45174</v>
      </c>
      <c r="L15" s="4">
        <f>N15*0.3</f>
        <v>10456.5</v>
      </c>
      <c r="M15" s="4">
        <f t="shared" si="12"/>
        <v>24398.5</v>
      </c>
      <c r="N15" s="4">
        <f t="shared" si="13"/>
        <v>34855</v>
      </c>
      <c r="O15" s="4">
        <f t="shared" si="14"/>
        <v>15044</v>
      </c>
      <c r="P15" s="4">
        <f t="shared" si="15"/>
        <v>19811</v>
      </c>
      <c r="Q15" s="4">
        <f t="shared" si="16"/>
        <v>71150</v>
      </c>
    </row>
    <row r="16" spans="1:17" x14ac:dyDescent="0.35">
      <c r="A16" s="21">
        <v>45180</v>
      </c>
      <c r="B16" s="20">
        <f t="shared" si="0"/>
        <v>4817.28</v>
      </c>
      <c r="C16" s="20">
        <f t="shared" si="1"/>
        <v>7534.72</v>
      </c>
      <c r="D16" s="20">
        <f t="shared" si="2"/>
        <v>12352</v>
      </c>
      <c r="E16" s="20">
        <v>7140</v>
      </c>
      <c r="F16" s="20">
        <v>5212</v>
      </c>
      <c r="G16" s="20">
        <f>21700+1445</f>
        <v>23145</v>
      </c>
      <c r="H16" s="19">
        <f t="shared" si="3"/>
        <v>0.6393442622950819</v>
      </c>
      <c r="I16" s="18">
        <f>SUM($D$2:D16)-SUM($G$2:G16)</f>
        <v>75049</v>
      </c>
      <c r="K16" s="8">
        <f t="shared" si="11"/>
        <v>45175</v>
      </c>
      <c r="L16" s="2">
        <f t="shared" ref="L16:L20" si="17">N16*0.3</f>
        <v>4362.5999999999995</v>
      </c>
      <c r="M16" s="2">
        <f t="shared" si="12"/>
        <v>10179.400000000001</v>
      </c>
      <c r="N16" s="2">
        <f t="shared" si="13"/>
        <v>14542</v>
      </c>
      <c r="O16" s="2">
        <f t="shared" si="14"/>
        <v>9090</v>
      </c>
      <c r="P16" s="2">
        <f t="shared" si="15"/>
        <v>5452</v>
      </c>
      <c r="Q16" s="2">
        <f t="shared" si="16"/>
        <v>3020</v>
      </c>
    </row>
    <row r="17" spans="1:17" x14ac:dyDescent="0.35">
      <c r="A17" s="21">
        <v>45181</v>
      </c>
      <c r="B17" s="20">
        <f t="shared" si="0"/>
        <v>1778.4</v>
      </c>
      <c r="C17" s="20">
        <f t="shared" si="1"/>
        <v>2781.6</v>
      </c>
      <c r="D17" s="20">
        <f t="shared" si="2"/>
        <v>4560</v>
      </c>
      <c r="E17" s="20">
        <v>4150</v>
      </c>
      <c r="F17" s="20">
        <v>410</v>
      </c>
      <c r="G17" s="20">
        <v>1350</v>
      </c>
      <c r="H17" s="19">
        <f t="shared" si="3"/>
        <v>0.63934426229508201</v>
      </c>
      <c r="I17" s="18">
        <f>SUM($D$2:D17)-SUM($G$2:G17)</f>
        <v>78259</v>
      </c>
      <c r="K17" s="9">
        <f t="shared" si="11"/>
        <v>45176</v>
      </c>
      <c r="L17" s="4">
        <f t="shared" si="17"/>
        <v>5977.5</v>
      </c>
      <c r="M17" s="4">
        <f t="shared" si="12"/>
        <v>13947.5</v>
      </c>
      <c r="N17" s="4">
        <f t="shared" si="13"/>
        <v>19925</v>
      </c>
      <c r="O17" s="4">
        <f t="shared" si="14"/>
        <v>1670</v>
      </c>
      <c r="P17" s="4">
        <f t="shared" si="15"/>
        <v>18255</v>
      </c>
      <c r="Q17" s="4">
        <f t="shared" si="16"/>
        <v>10150</v>
      </c>
    </row>
    <row r="18" spans="1:17" x14ac:dyDescent="0.35">
      <c r="A18" s="21">
        <v>45182</v>
      </c>
      <c r="B18" s="20">
        <f t="shared" si="0"/>
        <v>15527.85</v>
      </c>
      <c r="C18" s="20">
        <f t="shared" si="1"/>
        <v>24287.15</v>
      </c>
      <c r="D18" s="20">
        <f t="shared" si="2"/>
        <v>39815</v>
      </c>
      <c r="E18" s="20">
        <v>8950</v>
      </c>
      <c r="F18" s="20">
        <v>30865</v>
      </c>
      <c r="G18" s="20">
        <v>2900</v>
      </c>
      <c r="H18" s="19">
        <f t="shared" si="3"/>
        <v>0.6393442622950819</v>
      </c>
      <c r="I18" s="18">
        <f>SUM($D$2:D18)-SUM($G$2:G18)</f>
        <v>115174</v>
      </c>
      <c r="K18" s="8">
        <f t="shared" si="11"/>
        <v>45177</v>
      </c>
      <c r="L18" s="2">
        <f t="shared" si="17"/>
        <v>2442</v>
      </c>
      <c r="M18" s="2">
        <f t="shared" si="12"/>
        <v>5698</v>
      </c>
      <c r="N18" s="2">
        <f t="shared" si="13"/>
        <v>8140</v>
      </c>
      <c r="O18" s="2">
        <f t="shared" si="14"/>
        <v>4030</v>
      </c>
      <c r="P18" s="2">
        <f t="shared" si="15"/>
        <v>4110</v>
      </c>
      <c r="Q18" s="2">
        <f t="shared" si="16"/>
        <v>2150</v>
      </c>
    </row>
    <row r="19" spans="1:17" x14ac:dyDescent="0.35">
      <c r="A19" s="21">
        <v>45183</v>
      </c>
      <c r="B19" s="20">
        <f t="shared" si="0"/>
        <v>20248.8</v>
      </c>
      <c r="C19" s="20">
        <f t="shared" si="1"/>
        <v>31671.200000000001</v>
      </c>
      <c r="D19" s="20">
        <f t="shared" si="2"/>
        <v>51920</v>
      </c>
      <c r="E19" s="20">
        <v>11670</v>
      </c>
      <c r="F19" s="20">
        <v>40250</v>
      </c>
      <c r="G19" s="20">
        <v>820</v>
      </c>
      <c r="H19" s="19">
        <f t="shared" si="3"/>
        <v>0.6393442622950819</v>
      </c>
      <c r="I19" s="18">
        <f>SUM($D$2:D19)-SUM($G$2:G19)</f>
        <v>166274</v>
      </c>
      <c r="K19" s="9">
        <f t="shared" si="11"/>
        <v>45178</v>
      </c>
      <c r="L19" s="4">
        <f t="shared" si="17"/>
        <v>3084</v>
      </c>
      <c r="M19" s="4">
        <f t="shared" si="12"/>
        <v>7196</v>
      </c>
      <c r="N19" s="4">
        <f t="shared" si="13"/>
        <v>10280</v>
      </c>
      <c r="O19" s="4">
        <f t="shared" si="14"/>
        <v>2280</v>
      </c>
      <c r="P19" s="4">
        <f t="shared" si="15"/>
        <v>8000</v>
      </c>
      <c r="Q19" s="4">
        <f t="shared" si="16"/>
        <v>2100</v>
      </c>
    </row>
    <row r="20" spans="1:17" x14ac:dyDescent="0.35">
      <c r="A20" s="21">
        <v>45184</v>
      </c>
      <c r="B20" s="20">
        <f t="shared" si="0"/>
        <v>7187.7</v>
      </c>
      <c r="C20" s="20">
        <f t="shared" si="1"/>
        <v>11242.3</v>
      </c>
      <c r="D20" s="20">
        <f t="shared" si="2"/>
        <v>18430</v>
      </c>
      <c r="E20" s="20">
        <v>9100</v>
      </c>
      <c r="F20" s="20">
        <v>9330</v>
      </c>
      <c r="G20" s="20">
        <v>2550</v>
      </c>
      <c r="H20" s="19">
        <f t="shared" si="3"/>
        <v>0.63934426229508201</v>
      </c>
      <c r="I20" s="18">
        <f>SUM($D$2:D20)-SUM($G$2:G20)</f>
        <v>182154</v>
      </c>
      <c r="K20" s="8">
        <f t="shared" si="11"/>
        <v>45179</v>
      </c>
      <c r="L20" s="2">
        <f t="shared" si="17"/>
        <v>2992.5</v>
      </c>
      <c r="M20" s="2">
        <f t="shared" si="12"/>
        <v>6982.5</v>
      </c>
      <c r="N20" s="2">
        <f t="shared" si="13"/>
        <v>9975</v>
      </c>
      <c r="O20" s="2">
        <f t="shared" si="14"/>
        <v>4675</v>
      </c>
      <c r="P20" s="2">
        <f t="shared" si="15"/>
        <v>5300</v>
      </c>
      <c r="Q20" s="2">
        <f t="shared" si="16"/>
        <v>14860</v>
      </c>
    </row>
    <row r="21" spans="1:17" x14ac:dyDescent="0.35">
      <c r="A21" s="21">
        <v>45185</v>
      </c>
      <c r="B21" s="20">
        <f t="shared" si="0"/>
        <v>19449.3</v>
      </c>
      <c r="C21" s="20">
        <f t="shared" si="1"/>
        <v>30420.7</v>
      </c>
      <c r="D21" s="20">
        <f t="shared" si="2"/>
        <v>49870</v>
      </c>
      <c r="E21" s="20">
        <v>13670</v>
      </c>
      <c r="F21" s="20">
        <f>32700+3500</f>
        <v>36200</v>
      </c>
      <c r="G21" s="20">
        <v>250</v>
      </c>
      <c r="H21" s="19">
        <f t="shared" si="3"/>
        <v>0.6393442622950819</v>
      </c>
      <c r="I21" s="18">
        <f>SUM($D$2:D21)-SUM($G$2:G21)</f>
        <v>231774</v>
      </c>
      <c r="K21" s="3" t="s">
        <v>4</v>
      </c>
      <c r="L21" s="3">
        <f t="shared" ref="L21:Q21" si="18">SUM(L14:L20)</f>
        <v>37610.1</v>
      </c>
      <c r="M21" s="3">
        <f t="shared" si="18"/>
        <v>87756.9</v>
      </c>
      <c r="N21" s="3">
        <f t="shared" si="18"/>
        <v>125367</v>
      </c>
      <c r="O21" s="3">
        <f t="shared" si="18"/>
        <v>40209</v>
      </c>
      <c r="P21" s="3">
        <f t="shared" si="18"/>
        <v>85158</v>
      </c>
      <c r="Q21" s="3">
        <f t="shared" si="18"/>
        <v>140020</v>
      </c>
    </row>
    <row r="22" spans="1:17" x14ac:dyDescent="0.35">
      <c r="A22" s="21">
        <v>45186</v>
      </c>
      <c r="B22" s="20">
        <f t="shared" si="0"/>
        <v>8347.17</v>
      </c>
      <c r="C22" s="20">
        <f t="shared" si="1"/>
        <v>13055.83</v>
      </c>
      <c r="D22" s="20">
        <f t="shared" si="2"/>
        <v>21403</v>
      </c>
      <c r="E22" s="20">
        <f>7260+6100</f>
        <v>13360</v>
      </c>
      <c r="F22" s="20">
        <v>8043</v>
      </c>
      <c r="G22" s="20">
        <v>7260</v>
      </c>
      <c r="H22" s="19">
        <f t="shared" si="3"/>
        <v>0.63934426229508201</v>
      </c>
      <c r="I22" s="18">
        <f>SUM($D$2:D22)-SUM($G$2:G22)</f>
        <v>245917</v>
      </c>
      <c r="K22" s="3" t="s">
        <v>0</v>
      </c>
      <c r="L22" s="3">
        <f>L21/3</f>
        <v>12536.699999999999</v>
      </c>
      <c r="M22" s="3"/>
      <c r="N22" s="3">
        <f>M22+L22</f>
        <v>12536.699999999999</v>
      </c>
      <c r="O22" s="2"/>
      <c r="P22" s="2"/>
      <c r="Q22" s="2"/>
    </row>
    <row r="23" spans="1:17" x14ac:dyDescent="0.35">
      <c r="A23" s="21">
        <v>45187</v>
      </c>
      <c r="B23" s="20">
        <f t="shared" si="0"/>
        <v>5551.6500000000005</v>
      </c>
      <c r="C23" s="20">
        <f t="shared" si="1"/>
        <v>8683.3499999999985</v>
      </c>
      <c r="D23" s="20">
        <f t="shared" si="2"/>
        <v>14235</v>
      </c>
      <c r="E23" s="20">
        <v>11550</v>
      </c>
      <c r="F23" s="20">
        <v>2685</v>
      </c>
      <c r="G23" s="20">
        <v>5310</v>
      </c>
      <c r="H23" s="19">
        <f t="shared" si="3"/>
        <v>0.63934426229508212</v>
      </c>
      <c r="I23" s="18">
        <f>SUM($D$2:D23)-SUM($G$2:G23)</f>
        <v>254842</v>
      </c>
      <c r="M23" t="s">
        <v>19</v>
      </c>
    </row>
    <row r="24" spans="1:17" x14ac:dyDescent="0.35">
      <c r="A24" s="21">
        <v>45188</v>
      </c>
      <c r="B24" s="20">
        <f t="shared" si="0"/>
        <v>13642.59</v>
      </c>
      <c r="C24" s="20">
        <f t="shared" si="1"/>
        <v>21338.41</v>
      </c>
      <c r="D24" s="20">
        <f t="shared" si="2"/>
        <v>34981</v>
      </c>
      <c r="E24" s="20">
        <v>2230</v>
      </c>
      <c r="F24" s="20">
        <v>32751</v>
      </c>
      <c r="G24" s="20">
        <v>2250</v>
      </c>
      <c r="H24" s="19">
        <f t="shared" si="3"/>
        <v>0.63934426229508201</v>
      </c>
      <c r="I24" s="18">
        <f>SUM($D$2:D24)-SUM($G$2:G24)</f>
        <v>287573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1">
        <v>45189</v>
      </c>
      <c r="B25" s="20">
        <f t="shared" si="0"/>
        <v>5124.6000000000004</v>
      </c>
      <c r="C25" s="20">
        <f t="shared" si="1"/>
        <v>8015.4</v>
      </c>
      <c r="D25" s="20">
        <f t="shared" si="2"/>
        <v>13140</v>
      </c>
      <c r="E25" s="20">
        <v>2900</v>
      </c>
      <c r="F25" s="20">
        <v>10240</v>
      </c>
      <c r="G25" s="20">
        <v>2710</v>
      </c>
      <c r="H25" s="19">
        <f t="shared" si="3"/>
        <v>0.63934426229508201</v>
      </c>
      <c r="I25" s="18">
        <f>SUM($D$2:D25)-SUM($G$2:G25)</f>
        <v>298003</v>
      </c>
      <c r="K25" s="8">
        <f t="shared" ref="K25:K31" si="19">A16</f>
        <v>45180</v>
      </c>
      <c r="L25" s="2">
        <f>N25*0.3</f>
        <v>1563.6</v>
      </c>
      <c r="M25" s="2">
        <f t="shared" ref="M25:M31" si="20">N25-L25</f>
        <v>3648.4</v>
      </c>
      <c r="N25" s="2">
        <f t="shared" ref="N25:N31" si="21">O25+P25</f>
        <v>5212</v>
      </c>
      <c r="O25" s="2">
        <v>0</v>
      </c>
      <c r="P25" s="2">
        <f t="shared" ref="P25:P31" si="22">VLOOKUP(K25,$A$1:$H$37,6,0)</f>
        <v>5212</v>
      </c>
      <c r="Q25" s="2">
        <f t="shared" ref="Q25:Q31" si="23">VLOOKUP(K25,$A$1:$H$37,7,0)</f>
        <v>23145</v>
      </c>
    </row>
    <row r="26" spans="1:17" x14ac:dyDescent="0.35">
      <c r="A26" s="21">
        <v>45190</v>
      </c>
      <c r="B26" s="20">
        <f t="shared" si="0"/>
        <v>5928</v>
      </c>
      <c r="C26" s="20">
        <f t="shared" si="1"/>
        <v>9272</v>
      </c>
      <c r="D26" s="20">
        <f t="shared" si="2"/>
        <v>15200</v>
      </c>
      <c r="E26" s="20">
        <v>5890</v>
      </c>
      <c r="F26" s="20">
        <v>9310</v>
      </c>
      <c r="G26" s="20">
        <v>1250</v>
      </c>
      <c r="H26" s="19">
        <f t="shared" si="3"/>
        <v>0.63934426229508201</v>
      </c>
      <c r="I26" s="18">
        <f>SUM($D$2:D26)-SUM($G$2:G26)</f>
        <v>311953</v>
      </c>
      <c r="K26" s="9">
        <f t="shared" si="19"/>
        <v>45181</v>
      </c>
      <c r="L26" s="4">
        <f>N26*0.3</f>
        <v>1368</v>
      </c>
      <c r="M26" s="4">
        <f t="shared" si="20"/>
        <v>3192</v>
      </c>
      <c r="N26" s="4">
        <f t="shared" si="21"/>
        <v>4560</v>
      </c>
      <c r="O26" s="4">
        <f t="shared" ref="O26:O31" si="24">VLOOKUP(K26,$A$1:$H$37,5,0)</f>
        <v>4150</v>
      </c>
      <c r="P26" s="4">
        <f t="shared" si="22"/>
        <v>410</v>
      </c>
      <c r="Q26" s="4">
        <f t="shared" si="23"/>
        <v>1350</v>
      </c>
    </row>
    <row r="27" spans="1:17" x14ac:dyDescent="0.35">
      <c r="A27" s="21">
        <v>45191</v>
      </c>
      <c r="B27" s="20">
        <f t="shared" si="0"/>
        <v>2451.15</v>
      </c>
      <c r="C27" s="20">
        <f t="shared" si="1"/>
        <v>3833.85</v>
      </c>
      <c r="D27" s="20">
        <f t="shared" si="2"/>
        <v>6285</v>
      </c>
      <c r="E27" s="20">
        <v>2570</v>
      </c>
      <c r="F27" s="20">
        <v>3715</v>
      </c>
      <c r="G27" s="20">
        <v>2250</v>
      </c>
      <c r="H27" s="19">
        <f t="shared" si="3"/>
        <v>0.63934426229508201</v>
      </c>
      <c r="I27" s="18">
        <f>SUM($D$2:D27)-SUM($G$2:G27)</f>
        <v>315988</v>
      </c>
      <c r="K27" s="8">
        <f t="shared" si="19"/>
        <v>45182</v>
      </c>
      <c r="L27" s="2">
        <f t="shared" ref="L27:L31" si="25">N27*0.3</f>
        <v>11944.5</v>
      </c>
      <c r="M27" s="2">
        <f t="shared" si="20"/>
        <v>27870.5</v>
      </c>
      <c r="N27" s="2">
        <f t="shared" si="21"/>
        <v>39815</v>
      </c>
      <c r="O27" s="2">
        <f t="shared" si="24"/>
        <v>8950</v>
      </c>
      <c r="P27" s="2">
        <f t="shared" si="22"/>
        <v>30865</v>
      </c>
      <c r="Q27" s="2">
        <f t="shared" si="23"/>
        <v>2900</v>
      </c>
    </row>
    <row r="28" spans="1:17" x14ac:dyDescent="0.35">
      <c r="A28" s="21">
        <v>45192</v>
      </c>
      <c r="B28" s="20">
        <f t="shared" si="0"/>
        <v>3030.3</v>
      </c>
      <c r="C28" s="20">
        <f t="shared" si="1"/>
        <v>4739.7</v>
      </c>
      <c r="D28" s="20">
        <f t="shared" si="2"/>
        <v>7770</v>
      </c>
      <c r="E28" s="20">
        <v>4470</v>
      </c>
      <c r="F28" s="20">
        <v>3300</v>
      </c>
      <c r="G28" s="20">
        <v>2000</v>
      </c>
      <c r="H28" s="19">
        <f t="shared" si="3"/>
        <v>0.63934426229508201</v>
      </c>
      <c r="I28" s="18">
        <f>SUM($D$2:D28)-SUM($G$2:G28)</f>
        <v>321758</v>
      </c>
      <c r="K28" s="9">
        <f t="shared" si="19"/>
        <v>45183</v>
      </c>
      <c r="L28" s="4">
        <f>N28*0.3</f>
        <v>15576</v>
      </c>
      <c r="M28" s="4">
        <f t="shared" si="20"/>
        <v>36344</v>
      </c>
      <c r="N28" s="4">
        <f t="shared" si="21"/>
        <v>51920</v>
      </c>
      <c r="O28" s="4">
        <f t="shared" si="24"/>
        <v>11670</v>
      </c>
      <c r="P28" s="4">
        <f t="shared" si="22"/>
        <v>40250</v>
      </c>
      <c r="Q28" s="4">
        <f t="shared" si="23"/>
        <v>820</v>
      </c>
    </row>
    <row r="29" spans="1:17" x14ac:dyDescent="0.35">
      <c r="A29" s="21">
        <v>45193</v>
      </c>
      <c r="B29" s="20">
        <f t="shared" si="0"/>
        <v>38537.85</v>
      </c>
      <c r="C29" s="20">
        <f t="shared" si="1"/>
        <v>60277.15</v>
      </c>
      <c r="D29" s="20">
        <f t="shared" si="2"/>
        <v>98815</v>
      </c>
      <c r="E29" s="20">
        <v>38130</v>
      </c>
      <c r="F29" s="20">
        <v>60685</v>
      </c>
      <c r="G29" s="20">
        <v>2900</v>
      </c>
      <c r="H29" s="19">
        <f t="shared" si="3"/>
        <v>0.6393442622950819</v>
      </c>
      <c r="I29" s="18">
        <f>SUM($D$2:D29)-SUM($G$2:G29)</f>
        <v>417673</v>
      </c>
      <c r="K29" s="8">
        <f t="shared" si="19"/>
        <v>45184</v>
      </c>
      <c r="L29" s="2">
        <f t="shared" si="25"/>
        <v>5529</v>
      </c>
      <c r="M29" s="2">
        <f t="shared" si="20"/>
        <v>12901</v>
      </c>
      <c r="N29" s="2">
        <f t="shared" si="21"/>
        <v>18430</v>
      </c>
      <c r="O29" s="2">
        <f t="shared" si="24"/>
        <v>9100</v>
      </c>
      <c r="P29" s="2">
        <f t="shared" si="22"/>
        <v>9330</v>
      </c>
      <c r="Q29" s="2">
        <f t="shared" si="23"/>
        <v>2550</v>
      </c>
    </row>
    <row r="30" spans="1:17" x14ac:dyDescent="0.35">
      <c r="A30" s="21">
        <v>45194</v>
      </c>
      <c r="B30" s="20">
        <f t="shared" si="0"/>
        <v>4137.9000000000005</v>
      </c>
      <c r="C30" s="20">
        <f t="shared" si="1"/>
        <v>6472.0999999999995</v>
      </c>
      <c r="D30" s="20">
        <f t="shared" si="2"/>
        <v>10610</v>
      </c>
      <c r="E30" s="20">
        <v>4900</v>
      </c>
      <c r="F30" s="20">
        <v>5710</v>
      </c>
      <c r="G30" s="20">
        <v>1000</v>
      </c>
      <c r="H30" s="19">
        <f t="shared" si="3"/>
        <v>0.63934426229508212</v>
      </c>
      <c r="I30" s="18">
        <f>SUM($D$2:D30)-SUM($G$2:G30)</f>
        <v>427283</v>
      </c>
      <c r="K30" s="9">
        <f t="shared" si="19"/>
        <v>45185</v>
      </c>
      <c r="L30" s="4">
        <f t="shared" si="25"/>
        <v>14961</v>
      </c>
      <c r="M30" s="4">
        <f t="shared" si="20"/>
        <v>34909</v>
      </c>
      <c r="N30" s="4">
        <f t="shared" si="21"/>
        <v>49870</v>
      </c>
      <c r="O30" s="4">
        <f t="shared" si="24"/>
        <v>13670</v>
      </c>
      <c r="P30" s="4">
        <f t="shared" si="22"/>
        <v>36200</v>
      </c>
      <c r="Q30" s="4">
        <f t="shared" si="23"/>
        <v>250</v>
      </c>
    </row>
    <row r="31" spans="1:17" x14ac:dyDescent="0.35">
      <c r="A31" s="21">
        <v>45195</v>
      </c>
      <c r="B31" s="20">
        <f t="shared" si="0"/>
        <v>4123.8600000000006</v>
      </c>
      <c r="C31" s="20">
        <f t="shared" si="1"/>
        <v>6450.1399999999994</v>
      </c>
      <c r="D31" s="20">
        <f t="shared" si="2"/>
        <v>10574</v>
      </c>
      <c r="E31" s="20">
        <v>4660</v>
      </c>
      <c r="F31" s="20">
        <v>5914</v>
      </c>
      <c r="G31" s="20">
        <v>2000</v>
      </c>
      <c r="H31" s="19">
        <f t="shared" si="3"/>
        <v>0.63934426229508212</v>
      </c>
      <c r="I31" s="18">
        <f>SUM($D$2:D31)-SUM($G$2:G31)</f>
        <v>435857</v>
      </c>
      <c r="K31" s="8">
        <f t="shared" si="19"/>
        <v>45186</v>
      </c>
      <c r="L31" s="2">
        <f t="shared" si="25"/>
        <v>6420.9</v>
      </c>
      <c r="M31" s="2">
        <f t="shared" si="20"/>
        <v>14982.1</v>
      </c>
      <c r="N31" s="2">
        <f t="shared" si="21"/>
        <v>21403</v>
      </c>
      <c r="O31" s="2">
        <f t="shared" si="24"/>
        <v>13360</v>
      </c>
      <c r="P31" s="2">
        <f t="shared" si="22"/>
        <v>8043</v>
      </c>
      <c r="Q31" s="2">
        <f t="shared" si="23"/>
        <v>7260</v>
      </c>
    </row>
    <row r="32" spans="1:17" x14ac:dyDescent="0.35">
      <c r="A32" s="21">
        <v>45196</v>
      </c>
      <c r="B32" s="20">
        <f t="shared" si="0"/>
        <v>8798.4</v>
      </c>
      <c r="C32" s="20">
        <f t="shared" si="1"/>
        <v>13761.6</v>
      </c>
      <c r="D32" s="20">
        <f t="shared" si="2"/>
        <v>22560</v>
      </c>
      <c r="E32" s="22">
        <v>6840</v>
      </c>
      <c r="F32" s="22">
        <v>15720</v>
      </c>
      <c r="G32" s="22">
        <v>250</v>
      </c>
      <c r="H32" s="19">
        <f t="shared" si="3"/>
        <v>0.6393442622950819</v>
      </c>
      <c r="I32" s="18">
        <f>SUM($D$2:D32)-SUM($G$2:G32)</f>
        <v>458167</v>
      </c>
      <c r="K32" s="3" t="s">
        <v>4</v>
      </c>
      <c r="L32" s="2">
        <f t="shared" ref="L32:Q32" si="26">SUM(L25:L31)</f>
        <v>57363</v>
      </c>
      <c r="M32" s="2">
        <f t="shared" si="26"/>
        <v>133847</v>
      </c>
      <c r="N32" s="2">
        <f t="shared" si="26"/>
        <v>191210</v>
      </c>
      <c r="O32" s="2">
        <f t="shared" si="26"/>
        <v>60900</v>
      </c>
      <c r="P32" s="2">
        <f t="shared" si="26"/>
        <v>130310</v>
      </c>
      <c r="Q32" s="2">
        <f t="shared" si="26"/>
        <v>38275</v>
      </c>
    </row>
    <row r="33" spans="1:17" x14ac:dyDescent="0.35">
      <c r="A33" s="21">
        <v>45197</v>
      </c>
      <c r="B33" s="20">
        <f t="shared" si="0"/>
        <v>13464.75</v>
      </c>
      <c r="C33" s="20">
        <f t="shared" si="1"/>
        <v>21060.25</v>
      </c>
      <c r="D33" s="20">
        <f t="shared" si="2"/>
        <v>34525</v>
      </c>
      <c r="E33" s="20">
        <v>900</v>
      </c>
      <c r="F33" s="20">
        <v>33625</v>
      </c>
      <c r="G33" s="20">
        <v>200</v>
      </c>
      <c r="H33" s="19">
        <f t="shared" si="3"/>
        <v>0.63934426229508201</v>
      </c>
      <c r="I33" s="18">
        <f>SUM($D$2:D33)-SUM($G$2:G33)</f>
        <v>492492</v>
      </c>
      <c r="K33" s="3" t="s">
        <v>0</v>
      </c>
      <c r="L33" s="4">
        <f>L32/3</f>
        <v>19121</v>
      </c>
      <c r="M33" s="4"/>
      <c r="N33" s="4"/>
      <c r="O33" s="4"/>
      <c r="P33" s="4"/>
      <c r="Q33" s="4"/>
    </row>
    <row r="34" spans="1:17" x14ac:dyDescent="0.35">
      <c r="A34" s="21">
        <v>45198</v>
      </c>
      <c r="B34" s="20">
        <f t="shared" si="0"/>
        <v>8022.3</v>
      </c>
      <c r="C34" s="20">
        <f t="shared" si="1"/>
        <v>12547.7</v>
      </c>
      <c r="D34" s="20">
        <f t="shared" si="2"/>
        <v>20570</v>
      </c>
      <c r="E34" s="20">
        <v>1570</v>
      </c>
      <c r="F34" s="20">
        <v>19000</v>
      </c>
      <c r="G34" s="20">
        <v>500</v>
      </c>
      <c r="H34" s="19">
        <f t="shared" si="3"/>
        <v>0.6393442622950819</v>
      </c>
      <c r="I34" s="18">
        <f>SUM($D$2:D34)-SUM($G$2:G34)</f>
        <v>512562</v>
      </c>
    </row>
    <row r="35" spans="1:17" x14ac:dyDescent="0.35">
      <c r="A35" s="21">
        <v>45199</v>
      </c>
      <c r="B35" s="20">
        <f t="shared" si="0"/>
        <v>27116.7</v>
      </c>
      <c r="C35" s="20">
        <f t="shared" si="1"/>
        <v>42413.3</v>
      </c>
      <c r="D35" s="20">
        <f t="shared" si="2"/>
        <v>69530</v>
      </c>
      <c r="E35" s="22">
        <v>38210</v>
      </c>
      <c r="F35" s="22">
        <v>31320</v>
      </c>
      <c r="G35" s="22">
        <v>1940</v>
      </c>
      <c r="H35" s="19">
        <f t="shared" si="3"/>
        <v>0.6393442622950819</v>
      </c>
      <c r="I35" s="18">
        <f>SUM($D$2:D35)-SUM($G$2:G35)</f>
        <v>580152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1">
        <v>45200</v>
      </c>
      <c r="B36" s="20">
        <f t="shared" si="0"/>
        <v>6624.93</v>
      </c>
      <c r="C36" s="20">
        <f t="shared" si="1"/>
        <v>10362.07</v>
      </c>
      <c r="D36" s="20">
        <f t="shared" si="2"/>
        <v>16987</v>
      </c>
      <c r="E36" s="22">
        <v>7110</v>
      </c>
      <c r="F36" s="22">
        <v>9877</v>
      </c>
      <c r="G36" s="22">
        <v>3700</v>
      </c>
      <c r="H36" s="19">
        <f t="shared" si="3"/>
        <v>0.63934426229508201</v>
      </c>
      <c r="I36" s="18">
        <f>SUM($D$2:D36)-SUM($G$2:G36)</f>
        <v>593439</v>
      </c>
      <c r="K36" s="8">
        <f t="shared" ref="K36:K42" si="27">A23</f>
        <v>45187</v>
      </c>
      <c r="L36" s="2">
        <f>N36*0.3</f>
        <v>4270.5</v>
      </c>
      <c r="M36" s="2">
        <f t="shared" ref="M36:M42" si="28">N36-L36</f>
        <v>9964.5</v>
      </c>
      <c r="N36" s="2">
        <f t="shared" ref="N36:N42" si="29">O36+P36</f>
        <v>14235</v>
      </c>
      <c r="O36" s="2">
        <f t="shared" ref="O36:O42" si="30">VLOOKUP(K36,$A$1:$H$37,5,0)</f>
        <v>11550</v>
      </c>
      <c r="P36" s="2">
        <f t="shared" ref="P36:P42" si="31">VLOOKUP(K36,$A$1:$H$37,6,0)</f>
        <v>2685</v>
      </c>
      <c r="Q36" s="2">
        <f t="shared" ref="Q36:Q42" si="32">VLOOKUP(K36,$A$1:$H$37,7,0)</f>
        <v>5310</v>
      </c>
    </row>
    <row r="37" spans="1:17" ht="15" thickBot="1" x14ac:dyDescent="0.4">
      <c r="A37" s="17" t="s">
        <v>4</v>
      </c>
      <c r="B37" s="16">
        <f>SUM(B6:B35)</f>
        <v>286465.52999999997</v>
      </c>
      <c r="C37" s="16">
        <f t="shared" ref="C37:I37" si="33">SUM(C6:C35)</f>
        <v>448061.47</v>
      </c>
      <c r="D37" s="16">
        <f t="shared" si="33"/>
        <v>734527</v>
      </c>
      <c r="E37" s="16">
        <f t="shared" si="33"/>
        <v>262189</v>
      </c>
      <c r="F37" s="16">
        <f t="shared" si="33"/>
        <v>472338</v>
      </c>
      <c r="G37" s="16">
        <f t="shared" si="33"/>
        <v>219705</v>
      </c>
      <c r="H37" s="16">
        <f t="shared" si="33"/>
        <v>19.180327868852466</v>
      </c>
      <c r="I37" s="16">
        <f t="shared" si="33"/>
        <v>7027134</v>
      </c>
      <c r="K37" s="9">
        <f t="shared" si="27"/>
        <v>45188</v>
      </c>
      <c r="L37" s="4">
        <f>N37*0.3</f>
        <v>10494.3</v>
      </c>
      <c r="M37" s="4">
        <f t="shared" si="28"/>
        <v>24486.7</v>
      </c>
      <c r="N37" s="4">
        <f t="shared" si="29"/>
        <v>34981</v>
      </c>
      <c r="O37" s="4">
        <f t="shared" si="30"/>
        <v>2230</v>
      </c>
      <c r="P37" s="4">
        <f t="shared" si="31"/>
        <v>32751</v>
      </c>
      <c r="Q37" s="4">
        <f t="shared" si="32"/>
        <v>2250</v>
      </c>
    </row>
    <row r="38" spans="1:17" x14ac:dyDescent="0.35">
      <c r="A38" s="12"/>
      <c r="B38" s="11">
        <f>B37/3</f>
        <v>95488.51</v>
      </c>
      <c r="C38" s="11"/>
      <c r="E38" s="13">
        <f>D37*0.42</f>
        <v>308501.33999999997</v>
      </c>
      <c r="F38" s="11"/>
      <c r="G38" s="11"/>
      <c r="H38" s="10"/>
      <c r="K38" s="8">
        <f t="shared" si="27"/>
        <v>45189</v>
      </c>
      <c r="L38" s="2">
        <f t="shared" ref="L38:L42" si="34">N38*0.3</f>
        <v>3942</v>
      </c>
      <c r="M38" s="2">
        <f t="shared" si="28"/>
        <v>9198</v>
      </c>
      <c r="N38" s="2">
        <f t="shared" si="29"/>
        <v>13140</v>
      </c>
      <c r="O38" s="2">
        <f t="shared" si="30"/>
        <v>2900</v>
      </c>
      <c r="P38" s="2">
        <f t="shared" si="31"/>
        <v>10240</v>
      </c>
      <c r="Q38" s="2">
        <f t="shared" si="32"/>
        <v>2710</v>
      </c>
    </row>
    <row r="39" spans="1:17" x14ac:dyDescent="0.35">
      <c r="A39" s="12"/>
      <c r="B39" s="11">
        <f>B38*100/D37</f>
        <v>13</v>
      </c>
      <c r="C39" s="11"/>
      <c r="E39" s="11">
        <f>E38/3</f>
        <v>102833.77999999998</v>
      </c>
      <c r="F39" s="11"/>
      <c r="G39" s="11"/>
      <c r="H39" s="10"/>
      <c r="K39" s="9">
        <f t="shared" si="27"/>
        <v>45190</v>
      </c>
      <c r="L39" s="4">
        <f t="shared" si="34"/>
        <v>4560</v>
      </c>
      <c r="M39" s="4">
        <f t="shared" si="28"/>
        <v>10640</v>
      </c>
      <c r="N39" s="4">
        <f t="shared" si="29"/>
        <v>15200</v>
      </c>
      <c r="O39" s="4">
        <f t="shared" si="30"/>
        <v>5890</v>
      </c>
      <c r="P39" s="4">
        <f t="shared" si="31"/>
        <v>9310</v>
      </c>
      <c r="Q39" s="4">
        <f t="shared" si="32"/>
        <v>1250</v>
      </c>
    </row>
    <row r="40" spans="1:17" x14ac:dyDescent="0.35">
      <c r="A40" s="7" t="s">
        <v>7</v>
      </c>
      <c r="B40" s="6" t="s">
        <v>6</v>
      </c>
      <c r="C40" s="6" t="s">
        <v>5</v>
      </c>
      <c r="D40" s="6" t="s">
        <v>4</v>
      </c>
      <c r="E40" s="6" t="s">
        <v>3</v>
      </c>
      <c r="F40" s="6" t="s">
        <v>2</v>
      </c>
      <c r="G40" s="6" t="s">
        <v>1</v>
      </c>
      <c r="H40" s="31" t="s">
        <v>0</v>
      </c>
      <c r="K40" s="8">
        <f t="shared" si="27"/>
        <v>45191</v>
      </c>
      <c r="L40" s="2">
        <f t="shared" si="34"/>
        <v>1885.5</v>
      </c>
      <c r="M40" s="2">
        <f t="shared" si="28"/>
        <v>4399.5</v>
      </c>
      <c r="N40" s="2">
        <f t="shared" si="29"/>
        <v>6285</v>
      </c>
      <c r="O40" s="2">
        <f t="shared" si="30"/>
        <v>2570</v>
      </c>
      <c r="P40" s="2">
        <f t="shared" si="31"/>
        <v>3715</v>
      </c>
      <c r="Q40" s="2">
        <f t="shared" si="32"/>
        <v>2250</v>
      </c>
    </row>
    <row r="41" spans="1:17" x14ac:dyDescent="0.35">
      <c r="A41" s="32" t="str">
        <f>CONCATENATE(TEXT(K3,"DD-MMM-YYY")," to ",TEXT(K9,"DD-MMM-YYYY"))</f>
        <v>28-Aug-2023 to 03-Sep-2023</v>
      </c>
      <c r="B41" s="2">
        <f>L10</f>
        <v>39646.5</v>
      </c>
      <c r="C41" s="2">
        <f t="shared" ref="C41:G41" si="35">M10</f>
        <v>92508.5</v>
      </c>
      <c r="D41" s="2">
        <f t="shared" si="35"/>
        <v>132155</v>
      </c>
      <c r="E41" s="2">
        <f t="shared" si="35"/>
        <v>52160</v>
      </c>
      <c r="F41" s="2">
        <f t="shared" si="35"/>
        <v>79995</v>
      </c>
      <c r="G41" s="2">
        <f t="shared" si="35"/>
        <v>31660</v>
      </c>
      <c r="H41" s="2">
        <f>B41/3</f>
        <v>13215.5</v>
      </c>
      <c r="K41" s="9">
        <f t="shared" si="27"/>
        <v>45192</v>
      </c>
      <c r="L41" s="4">
        <f t="shared" si="34"/>
        <v>2331</v>
      </c>
      <c r="M41" s="4">
        <f t="shared" si="28"/>
        <v>5439</v>
      </c>
      <c r="N41" s="4">
        <f t="shared" si="29"/>
        <v>7770</v>
      </c>
      <c r="O41" s="4">
        <f t="shared" si="30"/>
        <v>4470</v>
      </c>
      <c r="P41" s="4">
        <f t="shared" si="31"/>
        <v>3300</v>
      </c>
      <c r="Q41" s="4">
        <f t="shared" si="32"/>
        <v>2000</v>
      </c>
    </row>
    <row r="42" spans="1:17" x14ac:dyDescent="0.35">
      <c r="A42" s="32" t="str">
        <f>CONCATENATE(TEXT(K14,"DD-MMM-YYY")," to ",TEXT(K20,"DD-MMM-YYYY"))</f>
        <v>04-Sep-2023 to 10-Sep-2023</v>
      </c>
      <c r="B42" s="4">
        <f>L21</f>
        <v>37610.1</v>
      </c>
      <c r="C42" s="4">
        <f t="shared" ref="C42:G42" si="36">M21</f>
        <v>87756.9</v>
      </c>
      <c r="D42" s="4">
        <f t="shared" si="36"/>
        <v>125367</v>
      </c>
      <c r="E42" s="4">
        <f t="shared" si="36"/>
        <v>40209</v>
      </c>
      <c r="F42" s="4">
        <f t="shared" si="36"/>
        <v>85158</v>
      </c>
      <c r="G42" s="4">
        <f t="shared" si="36"/>
        <v>140020</v>
      </c>
      <c r="H42" s="2">
        <f t="shared" ref="H42:H45" si="37">B42/3</f>
        <v>12536.699999999999</v>
      </c>
      <c r="K42" s="8">
        <f t="shared" si="27"/>
        <v>45193</v>
      </c>
      <c r="L42" s="2">
        <f t="shared" si="34"/>
        <v>29644.5</v>
      </c>
      <c r="M42" s="2">
        <f t="shared" si="28"/>
        <v>69170.5</v>
      </c>
      <c r="N42" s="2">
        <f t="shared" si="29"/>
        <v>98815</v>
      </c>
      <c r="O42" s="2">
        <f t="shared" si="30"/>
        <v>38130</v>
      </c>
      <c r="P42" s="2">
        <f t="shared" si="31"/>
        <v>60685</v>
      </c>
      <c r="Q42" s="2">
        <f t="shared" si="32"/>
        <v>2900</v>
      </c>
    </row>
    <row r="43" spans="1:17" x14ac:dyDescent="0.35">
      <c r="A43" s="32" t="str">
        <f>CONCATENATE(TEXT(K25,"DD-MMM-YYY")," to ",TEXT(K31,"DD-MMM-YYYY"))</f>
        <v>11-Sep-2023 to 17-Sep-2023</v>
      </c>
      <c r="B43" s="2">
        <f>L32</f>
        <v>57363</v>
      </c>
      <c r="C43" s="2">
        <f t="shared" ref="C43:G43" si="38">M32</f>
        <v>133847</v>
      </c>
      <c r="D43" s="2">
        <f t="shared" si="38"/>
        <v>191210</v>
      </c>
      <c r="E43" s="2">
        <f t="shared" si="38"/>
        <v>60900</v>
      </c>
      <c r="F43" s="2">
        <f t="shared" si="38"/>
        <v>130310</v>
      </c>
      <c r="G43" s="2">
        <f t="shared" si="38"/>
        <v>38275</v>
      </c>
      <c r="H43" s="2">
        <f t="shared" si="37"/>
        <v>19121</v>
      </c>
      <c r="K43" s="3" t="s">
        <v>4</v>
      </c>
      <c r="L43" s="4">
        <f t="shared" ref="L43:Q43" si="39">SUM(L36:L42)</f>
        <v>57127.8</v>
      </c>
      <c r="M43" s="4">
        <f t="shared" si="39"/>
        <v>133298.20000000001</v>
      </c>
      <c r="N43" s="4">
        <f t="shared" si="39"/>
        <v>190426</v>
      </c>
      <c r="O43" s="4">
        <f t="shared" si="39"/>
        <v>67740</v>
      </c>
      <c r="P43" s="4">
        <f t="shared" si="39"/>
        <v>122686</v>
      </c>
      <c r="Q43" s="4">
        <f t="shared" si="39"/>
        <v>18670</v>
      </c>
    </row>
    <row r="44" spans="1:17" x14ac:dyDescent="0.35">
      <c r="A44" s="32" t="str">
        <f>CONCATENATE(TEXT(K36,"DD-MMM-YYY")," to ",TEXT(K42,"DD-MMM-YYYY"))</f>
        <v>18-Sep-2023 to 24-Sep-2023</v>
      </c>
      <c r="B44" s="4">
        <f>L43</f>
        <v>57127.8</v>
      </c>
      <c r="C44" s="4">
        <f t="shared" ref="C44:G44" si="40">M43</f>
        <v>133298.20000000001</v>
      </c>
      <c r="D44" s="4">
        <f t="shared" si="40"/>
        <v>190426</v>
      </c>
      <c r="E44" s="4">
        <f t="shared" si="40"/>
        <v>67740</v>
      </c>
      <c r="F44" s="4">
        <f t="shared" si="40"/>
        <v>122686</v>
      </c>
      <c r="G44" s="4">
        <f t="shared" si="40"/>
        <v>18670</v>
      </c>
      <c r="H44" s="2">
        <f t="shared" si="37"/>
        <v>19042.600000000002</v>
      </c>
      <c r="K44" s="3" t="s">
        <v>0</v>
      </c>
      <c r="L44" s="2">
        <f>L43/3</f>
        <v>19042.600000000002</v>
      </c>
      <c r="M44" s="2"/>
      <c r="N44" s="2"/>
      <c r="O44" s="2"/>
      <c r="P44" s="2"/>
      <c r="Q44" s="2"/>
    </row>
    <row r="45" spans="1:17" x14ac:dyDescent="0.35">
      <c r="A45" s="32" t="str">
        <f>CONCATENATE(TEXT(K47,"DD-MMM-YYY")," to ",TEXT(K53,"DD-MMM-YYYY"))</f>
        <v>25-Sep-2023 to 01-Oct-2023</v>
      </c>
      <c r="B45" s="2">
        <f>L54</f>
        <v>55606.799999999996</v>
      </c>
      <c r="C45" s="2">
        <f t="shared" ref="C45:G45" si="41">M54</f>
        <v>129749.20000000001</v>
      </c>
      <c r="D45" s="2">
        <f t="shared" si="41"/>
        <v>185356</v>
      </c>
      <c r="E45" s="2">
        <f t="shared" si="41"/>
        <v>64190</v>
      </c>
      <c r="F45" s="2">
        <f t="shared" si="41"/>
        <v>121166</v>
      </c>
      <c r="G45" s="2">
        <f t="shared" si="41"/>
        <v>9590</v>
      </c>
      <c r="H45" s="2">
        <f t="shared" si="37"/>
        <v>18535.599999999999</v>
      </c>
    </row>
    <row r="46" spans="1:17" x14ac:dyDescent="0.35">
      <c r="A46" s="32" t="str">
        <f>CONCATENATE(TEXT(K59,"DD-MMM-YYY")," to ",TEXT(K58,"DD-MMM-YYYY"))</f>
        <v>01-Sep-2023 to Date</v>
      </c>
      <c r="B46" s="4">
        <f>SUM(B41:B45)</f>
        <v>247354.2</v>
      </c>
      <c r="C46" s="4">
        <f t="shared" ref="C46:H46" si="42">SUM(C41:C45)</f>
        <v>577159.80000000005</v>
      </c>
      <c r="D46" s="4">
        <f t="shared" si="42"/>
        <v>824514</v>
      </c>
      <c r="E46" s="4">
        <f t="shared" si="42"/>
        <v>285199</v>
      </c>
      <c r="F46" s="4">
        <f t="shared" si="42"/>
        <v>539315</v>
      </c>
      <c r="G46" s="4">
        <f t="shared" si="42"/>
        <v>238215</v>
      </c>
      <c r="H46" s="4">
        <f t="shared" si="42"/>
        <v>82451.399999999994</v>
      </c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C47" s="67" t="s">
        <v>4</v>
      </c>
      <c r="D47" s="67"/>
      <c r="E47" s="67"/>
      <c r="F47" s="67"/>
      <c r="G47" s="68"/>
      <c r="H47" s="2"/>
      <c r="K47" s="8">
        <f t="shared" ref="K47:K53" si="43">A30</f>
        <v>45194</v>
      </c>
      <c r="L47" s="2">
        <f>N47*0.3</f>
        <v>3183</v>
      </c>
      <c r="M47" s="2">
        <f t="shared" ref="M47:M53" si="44">N47-L47</f>
        <v>7427</v>
      </c>
      <c r="N47" s="2">
        <f t="shared" ref="N47:N53" si="45">O47+P47</f>
        <v>10610</v>
      </c>
      <c r="O47" s="2">
        <f t="shared" ref="O47:O52" si="46">VLOOKUP(K47,$A$1:$H$37,5,0)</f>
        <v>4900</v>
      </c>
      <c r="P47" s="2">
        <f t="shared" ref="P47:P53" si="47">VLOOKUP(K47,$A$1:$H$37,6,0)</f>
        <v>5710</v>
      </c>
      <c r="Q47" s="2">
        <f t="shared" ref="Q47:Q53" si="48">VLOOKUP(K47,$A$1:$H$37,7,0)</f>
        <v>1000</v>
      </c>
    </row>
    <row r="48" spans="1:17" x14ac:dyDescent="0.35">
      <c r="K48" s="9">
        <f t="shared" si="43"/>
        <v>45195</v>
      </c>
      <c r="L48" s="4">
        <f>N48*0.3</f>
        <v>3172.2</v>
      </c>
      <c r="M48" s="4">
        <f t="shared" si="44"/>
        <v>7401.8</v>
      </c>
      <c r="N48" s="4">
        <f t="shared" si="45"/>
        <v>10574</v>
      </c>
      <c r="O48" s="4">
        <f t="shared" si="46"/>
        <v>4660</v>
      </c>
      <c r="P48" s="4">
        <f t="shared" si="47"/>
        <v>5914</v>
      </c>
      <c r="Q48" s="4">
        <f t="shared" si="48"/>
        <v>2000</v>
      </c>
    </row>
    <row r="49" spans="11:17" x14ac:dyDescent="0.35">
      <c r="K49" s="8">
        <f t="shared" si="43"/>
        <v>45196</v>
      </c>
      <c r="L49" s="2">
        <f t="shared" ref="L49:L53" si="49">N49*0.3</f>
        <v>6768</v>
      </c>
      <c r="M49" s="2">
        <f t="shared" si="44"/>
        <v>15792</v>
      </c>
      <c r="N49" s="2">
        <f t="shared" si="45"/>
        <v>22560</v>
      </c>
      <c r="O49" s="2">
        <f t="shared" si="46"/>
        <v>6840</v>
      </c>
      <c r="P49" s="2">
        <f t="shared" si="47"/>
        <v>15720</v>
      </c>
      <c r="Q49" s="2">
        <f t="shared" si="48"/>
        <v>250</v>
      </c>
    </row>
    <row r="50" spans="11:17" x14ac:dyDescent="0.35">
      <c r="K50" s="9">
        <f t="shared" si="43"/>
        <v>45197</v>
      </c>
      <c r="L50" s="4">
        <f t="shared" si="49"/>
        <v>10357.5</v>
      </c>
      <c r="M50" s="4">
        <f t="shared" si="44"/>
        <v>24167.5</v>
      </c>
      <c r="N50" s="4">
        <f t="shared" si="45"/>
        <v>34525</v>
      </c>
      <c r="O50" s="4">
        <f t="shared" si="46"/>
        <v>900</v>
      </c>
      <c r="P50" s="4">
        <f t="shared" si="47"/>
        <v>33625</v>
      </c>
      <c r="Q50" s="4">
        <f t="shared" si="48"/>
        <v>200</v>
      </c>
    </row>
    <row r="51" spans="11:17" x14ac:dyDescent="0.35">
      <c r="K51" s="8">
        <f t="shared" si="43"/>
        <v>45198</v>
      </c>
      <c r="L51" s="2">
        <f t="shared" si="49"/>
        <v>6171</v>
      </c>
      <c r="M51" s="2">
        <f t="shared" si="44"/>
        <v>14399</v>
      </c>
      <c r="N51" s="2">
        <f t="shared" si="45"/>
        <v>20570</v>
      </c>
      <c r="O51" s="2">
        <f t="shared" si="46"/>
        <v>1570</v>
      </c>
      <c r="P51" s="2">
        <f t="shared" si="47"/>
        <v>19000</v>
      </c>
      <c r="Q51" s="2">
        <f t="shared" si="48"/>
        <v>500</v>
      </c>
    </row>
    <row r="52" spans="11:17" x14ac:dyDescent="0.35">
      <c r="K52" s="9">
        <f t="shared" si="43"/>
        <v>45199</v>
      </c>
      <c r="L52" s="4">
        <f t="shared" si="49"/>
        <v>20859</v>
      </c>
      <c r="M52" s="4">
        <f t="shared" si="44"/>
        <v>48671</v>
      </c>
      <c r="N52" s="4">
        <f t="shared" si="45"/>
        <v>69530</v>
      </c>
      <c r="O52" s="4">
        <f t="shared" si="46"/>
        <v>38210</v>
      </c>
      <c r="P52" s="4">
        <f t="shared" si="47"/>
        <v>31320</v>
      </c>
      <c r="Q52" s="4">
        <f t="shared" si="48"/>
        <v>1940</v>
      </c>
    </row>
    <row r="53" spans="11:17" x14ac:dyDescent="0.35">
      <c r="K53" s="8">
        <f t="shared" si="43"/>
        <v>45200</v>
      </c>
      <c r="L53" s="2">
        <f t="shared" si="49"/>
        <v>5096.0999999999995</v>
      </c>
      <c r="M53" s="2">
        <f t="shared" si="44"/>
        <v>11890.900000000001</v>
      </c>
      <c r="N53" s="2">
        <f t="shared" si="45"/>
        <v>16987</v>
      </c>
      <c r="O53" s="2">
        <f>VLOOKUP(K53,$A$1:$H$37,5,0)</f>
        <v>7110</v>
      </c>
      <c r="P53" s="2">
        <f t="shared" si="47"/>
        <v>9877</v>
      </c>
      <c r="Q53" s="2">
        <f t="shared" si="48"/>
        <v>3700</v>
      </c>
    </row>
    <row r="54" spans="11:17" x14ac:dyDescent="0.35">
      <c r="K54" s="3" t="s">
        <v>4</v>
      </c>
      <c r="L54" s="4">
        <f t="shared" ref="L54:Q54" si="50">SUM(L47:L53)</f>
        <v>55606.799999999996</v>
      </c>
      <c r="M54" s="4">
        <f t="shared" si="50"/>
        <v>129749.20000000001</v>
      </c>
      <c r="N54" s="4">
        <f t="shared" si="50"/>
        <v>185356</v>
      </c>
      <c r="O54" s="4">
        <f t="shared" si="50"/>
        <v>64190</v>
      </c>
      <c r="P54" s="4">
        <f t="shared" si="50"/>
        <v>121166</v>
      </c>
      <c r="Q54" s="4">
        <f t="shared" si="50"/>
        <v>9590</v>
      </c>
    </row>
    <row r="55" spans="11:17" x14ac:dyDescent="0.35">
      <c r="K55" s="3" t="s">
        <v>0</v>
      </c>
      <c r="L55" s="2">
        <f>L54/3</f>
        <v>18535.599999999999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A6</f>
        <v>45170</v>
      </c>
      <c r="L59" s="4">
        <f>SUM(B7:B36)</f>
        <v>288777.05999999994</v>
      </c>
      <c r="M59" s="4">
        <f t="shared" ref="M59:Q59" si="51">SUM(C7:C36)</f>
        <v>451676.94</v>
      </c>
      <c r="N59" s="4">
        <f t="shared" si="51"/>
        <v>740454</v>
      </c>
      <c r="O59" s="4">
        <f t="shared" si="51"/>
        <v>264479</v>
      </c>
      <c r="P59" s="4">
        <f t="shared" si="51"/>
        <v>475975</v>
      </c>
      <c r="Q59" s="4">
        <f t="shared" si="51"/>
        <v>222655</v>
      </c>
    </row>
    <row r="60" spans="11:17" x14ac:dyDescent="0.35">
      <c r="K60" s="3" t="s">
        <v>0</v>
      </c>
      <c r="L60" s="2">
        <f>L59/3</f>
        <v>96259.019999999975</v>
      </c>
      <c r="M60" s="2"/>
      <c r="N60" s="2"/>
      <c r="O60" s="2"/>
      <c r="P60" s="2"/>
      <c r="Q60" s="2"/>
    </row>
  </sheetData>
  <mergeCells count="1">
    <mergeCell ref="C47:G47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BF29-3F9D-450F-AB95-ABFEC9CF3226}">
  <dimension ref="A1:Q60"/>
  <sheetViews>
    <sheetView zoomScale="90" zoomScaleNormal="90" workbookViewId="0">
      <pane ySplit="1" topLeftCell="A24" activePane="bottomLeft" state="frozen"/>
      <selection pane="bottomLeft" activeCell="B37" sqref="B37:I37"/>
    </sheetView>
  </sheetViews>
  <sheetFormatPr defaultColWidth="26" defaultRowHeight="14.5" x14ac:dyDescent="0.35"/>
  <cols>
    <col min="1" max="1" width="24.7265625" bestFit="1" customWidth="1"/>
    <col min="2" max="4" width="10" style="1" bestFit="1" customWidth="1"/>
    <col min="5" max="5" width="12.54296875" style="1" bestFit="1" customWidth="1"/>
    <col min="6" max="6" width="16.36328125" style="1" bestFit="1" customWidth="1"/>
    <col min="7" max="7" width="9" style="1" bestFit="1" customWidth="1"/>
    <col min="8" max="8" width="10.1796875" bestFit="1" customWidth="1"/>
    <col min="9" max="9" width="8" bestFit="1" customWidth="1"/>
    <col min="10" max="10" width="6.54296875" customWidth="1"/>
    <col min="11" max="11" width="16.81640625" bestFit="1" customWidth="1"/>
    <col min="12" max="15" width="10" bestFit="1" customWidth="1"/>
    <col min="16" max="16" width="16.36328125" bestFit="1" customWidth="1"/>
    <col min="17" max="17" width="9" bestFit="1" customWidth="1"/>
  </cols>
  <sheetData>
    <row r="1" spans="1:17" s="23" customFormat="1" ht="29" x14ac:dyDescent="0.35">
      <c r="A1" s="30" t="s">
        <v>7</v>
      </c>
      <c r="B1" s="28" t="s">
        <v>6</v>
      </c>
      <c r="C1" s="28" t="s">
        <v>5</v>
      </c>
      <c r="D1" s="28" t="s">
        <v>4</v>
      </c>
      <c r="E1" s="29" t="s">
        <v>3</v>
      </c>
      <c r="F1" s="29" t="s">
        <v>2</v>
      </c>
      <c r="G1" s="28" t="s">
        <v>1</v>
      </c>
      <c r="H1" s="27" t="s">
        <v>9</v>
      </c>
      <c r="I1" s="26" t="s">
        <v>8</v>
      </c>
      <c r="K1" s="25" t="s">
        <v>7</v>
      </c>
      <c r="L1" s="24" t="s">
        <v>6</v>
      </c>
      <c r="M1" s="24" t="s">
        <v>5</v>
      </c>
      <c r="N1" s="24" t="s">
        <v>4</v>
      </c>
      <c r="O1" s="24" t="s">
        <v>3</v>
      </c>
      <c r="P1" s="24" t="s">
        <v>2</v>
      </c>
      <c r="Q1" s="24" t="s">
        <v>1</v>
      </c>
    </row>
    <row r="2" spans="1:17" x14ac:dyDescent="0.35">
      <c r="A2" s="21">
        <v>45201</v>
      </c>
      <c r="B2" s="20">
        <f t="shared" ref="B2:B36" si="0">D2*0.39</f>
        <v>12559.95</v>
      </c>
      <c r="C2" s="20">
        <f t="shared" ref="C2:C36" si="1">D2-B2</f>
        <v>19645.05</v>
      </c>
      <c r="D2" s="20">
        <f t="shared" ref="D2:D36" si="2">E2+F2+G2</f>
        <v>32205</v>
      </c>
      <c r="E2" s="20">
        <v>6620</v>
      </c>
      <c r="F2" s="20">
        <v>24015</v>
      </c>
      <c r="G2" s="20">
        <v>1570</v>
      </c>
      <c r="H2" s="19">
        <f t="shared" ref="H2:H36" si="3">IFERROR(B2/C2,0)</f>
        <v>0.63934426229508201</v>
      </c>
      <c r="I2" s="18">
        <f>SUM($D$2:D2)-SUM($G$2:G2)</f>
        <v>30635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1">
        <v>45202</v>
      </c>
      <c r="B3" s="20">
        <f t="shared" si="0"/>
        <v>19568.25</v>
      </c>
      <c r="C3" s="20">
        <f t="shared" si="1"/>
        <v>30606.75</v>
      </c>
      <c r="D3" s="20">
        <f t="shared" si="2"/>
        <v>50175</v>
      </c>
      <c r="E3" s="20">
        <f>11810+940</f>
        <v>12750</v>
      </c>
      <c r="F3" s="20">
        <v>25825</v>
      </c>
      <c r="G3" s="20">
        <f>6500+5100</f>
        <v>11600</v>
      </c>
      <c r="H3" s="19">
        <f t="shared" si="3"/>
        <v>0.63934426229508201</v>
      </c>
      <c r="I3" s="18">
        <f>SUM($D$2:D3)-SUM($G$2:G3)</f>
        <v>69210</v>
      </c>
      <c r="K3" s="8">
        <f t="shared" ref="K3:K9" si="4">A2</f>
        <v>45201</v>
      </c>
      <c r="L3" s="2">
        <f>N3*0.3</f>
        <v>9190.5</v>
      </c>
      <c r="M3" s="2">
        <f t="shared" ref="M3:M9" si="5">N3-L3</f>
        <v>21444.5</v>
      </c>
      <c r="N3" s="2">
        <f t="shared" ref="N3:N9" si="6">O3+P3</f>
        <v>30635</v>
      </c>
      <c r="O3" s="2">
        <f t="shared" ref="O3:O9" si="7">VLOOKUP(K3,$A$1:$H$37,5,0)</f>
        <v>6620</v>
      </c>
      <c r="P3" s="2">
        <f t="shared" ref="P3:P9" si="8">VLOOKUP(K3,$A$1:$H$37,6,0)</f>
        <v>24015</v>
      </c>
      <c r="Q3" s="2">
        <f t="shared" ref="Q3:Q9" si="9">VLOOKUP(K3,$A$1:$H$37,7,0)</f>
        <v>1570</v>
      </c>
    </row>
    <row r="4" spans="1:17" x14ac:dyDescent="0.35">
      <c r="A4" s="21">
        <v>45203</v>
      </c>
      <c r="B4" s="20">
        <f t="shared" si="0"/>
        <v>37869</v>
      </c>
      <c r="C4" s="20">
        <f t="shared" si="1"/>
        <v>59231</v>
      </c>
      <c r="D4" s="20">
        <f t="shared" si="2"/>
        <v>97100</v>
      </c>
      <c r="E4" s="22">
        <v>43700</v>
      </c>
      <c r="F4" s="22">
        <v>33690</v>
      </c>
      <c r="G4" s="22">
        <v>19710</v>
      </c>
      <c r="H4" s="19">
        <f t="shared" si="3"/>
        <v>0.63934426229508201</v>
      </c>
      <c r="I4" s="18">
        <f>SUM($D$2:D4)-SUM($G$2:G4)</f>
        <v>146600</v>
      </c>
      <c r="K4" s="9">
        <f t="shared" si="4"/>
        <v>45202</v>
      </c>
      <c r="L4" s="4">
        <f>N4*0.3</f>
        <v>11572.5</v>
      </c>
      <c r="M4" s="4">
        <f t="shared" si="5"/>
        <v>27002.5</v>
      </c>
      <c r="N4" s="4">
        <f t="shared" si="6"/>
        <v>38575</v>
      </c>
      <c r="O4" s="4">
        <f t="shared" si="7"/>
        <v>12750</v>
      </c>
      <c r="P4" s="4">
        <f t="shared" si="8"/>
        <v>25825</v>
      </c>
      <c r="Q4" s="4">
        <f t="shared" si="9"/>
        <v>11600</v>
      </c>
    </row>
    <row r="5" spans="1:17" x14ac:dyDescent="0.35">
      <c r="A5" s="21">
        <v>45204</v>
      </c>
      <c r="B5" s="20">
        <f t="shared" si="0"/>
        <v>4329</v>
      </c>
      <c r="C5" s="20">
        <f t="shared" si="1"/>
        <v>6771</v>
      </c>
      <c r="D5" s="20">
        <f t="shared" si="2"/>
        <v>11100</v>
      </c>
      <c r="E5" s="20">
        <v>10000</v>
      </c>
      <c r="F5" s="20"/>
      <c r="G5" s="20">
        <v>1100</v>
      </c>
      <c r="H5" s="19">
        <f t="shared" si="3"/>
        <v>0.63934426229508201</v>
      </c>
      <c r="I5" s="18">
        <f>SUM($D$2:D5)-SUM($G$2:G5)</f>
        <v>156600</v>
      </c>
      <c r="K5" s="8">
        <f t="shared" si="4"/>
        <v>45203</v>
      </c>
      <c r="L5" s="2">
        <f t="shared" ref="L5:L9" si="10">N5*0.3</f>
        <v>23217</v>
      </c>
      <c r="M5" s="2">
        <f t="shared" si="5"/>
        <v>54173</v>
      </c>
      <c r="N5" s="2">
        <f t="shared" si="6"/>
        <v>77390</v>
      </c>
      <c r="O5" s="2">
        <f t="shared" si="7"/>
        <v>43700</v>
      </c>
      <c r="P5" s="2">
        <f t="shared" si="8"/>
        <v>33690</v>
      </c>
      <c r="Q5" s="2">
        <f t="shared" si="9"/>
        <v>19710</v>
      </c>
    </row>
    <row r="6" spans="1:17" x14ac:dyDescent="0.35">
      <c r="A6" s="21">
        <v>45205</v>
      </c>
      <c r="B6" s="20">
        <f t="shared" si="0"/>
        <v>8028.5789999999997</v>
      </c>
      <c r="C6" s="20">
        <f t="shared" si="1"/>
        <v>12557.520999999999</v>
      </c>
      <c r="D6" s="20">
        <f t="shared" si="2"/>
        <v>20586.099999999999</v>
      </c>
      <c r="E6" s="20">
        <v>9000</v>
      </c>
      <c r="F6" s="20">
        <v>9586.1</v>
      </c>
      <c r="G6" s="20">
        <v>2000</v>
      </c>
      <c r="H6" s="19">
        <f t="shared" si="3"/>
        <v>0.63934426229508201</v>
      </c>
      <c r="I6" s="18">
        <f>SUM($D$2:D6)-SUM($G$2:G6)</f>
        <v>175186.1</v>
      </c>
      <c r="K6" s="9">
        <f t="shared" si="4"/>
        <v>45204</v>
      </c>
      <c r="L6" s="4">
        <f t="shared" si="10"/>
        <v>3000</v>
      </c>
      <c r="M6" s="4">
        <f t="shared" si="5"/>
        <v>7000</v>
      </c>
      <c r="N6" s="4">
        <f t="shared" si="6"/>
        <v>10000</v>
      </c>
      <c r="O6" s="4">
        <f t="shared" si="7"/>
        <v>10000</v>
      </c>
      <c r="P6" s="4">
        <f t="shared" si="8"/>
        <v>0</v>
      </c>
      <c r="Q6" s="4">
        <f t="shared" si="9"/>
        <v>1100</v>
      </c>
    </row>
    <row r="7" spans="1:17" x14ac:dyDescent="0.35">
      <c r="A7" s="21">
        <v>45206</v>
      </c>
      <c r="B7" s="20">
        <f t="shared" si="0"/>
        <v>19970.34</v>
      </c>
      <c r="C7" s="20">
        <f t="shared" si="1"/>
        <v>31235.66</v>
      </c>
      <c r="D7" s="20">
        <f t="shared" si="2"/>
        <v>51206</v>
      </c>
      <c r="E7" s="22">
        <v>25500</v>
      </c>
      <c r="F7" s="22">
        <v>24456</v>
      </c>
      <c r="G7" s="22">
        <v>1250</v>
      </c>
      <c r="H7" s="19">
        <f t="shared" si="3"/>
        <v>0.63934426229508201</v>
      </c>
      <c r="I7" s="18">
        <f>SUM($D$2:D7)-SUM($G$2:G7)</f>
        <v>225142.09999999998</v>
      </c>
      <c r="K7" s="8">
        <f t="shared" si="4"/>
        <v>45205</v>
      </c>
      <c r="L7" s="2">
        <f t="shared" si="10"/>
        <v>5575.829999999999</v>
      </c>
      <c r="M7" s="2">
        <f t="shared" si="5"/>
        <v>13010.27</v>
      </c>
      <c r="N7" s="2">
        <f t="shared" si="6"/>
        <v>18586.099999999999</v>
      </c>
      <c r="O7" s="2">
        <f t="shared" si="7"/>
        <v>9000</v>
      </c>
      <c r="P7" s="2">
        <f t="shared" si="8"/>
        <v>9586.1</v>
      </c>
      <c r="Q7" s="2">
        <f t="shared" si="9"/>
        <v>2000</v>
      </c>
    </row>
    <row r="8" spans="1:17" x14ac:dyDescent="0.35">
      <c r="A8" s="21">
        <v>45207</v>
      </c>
      <c r="B8" s="20">
        <f t="shared" si="0"/>
        <v>23602.799999999999</v>
      </c>
      <c r="C8" s="20">
        <f t="shared" si="1"/>
        <v>36917.199999999997</v>
      </c>
      <c r="D8" s="20">
        <f t="shared" si="2"/>
        <v>60520</v>
      </c>
      <c r="E8" s="22">
        <v>55000</v>
      </c>
      <c r="F8" s="22">
        <v>3520</v>
      </c>
      <c r="G8" s="22">
        <v>2000</v>
      </c>
      <c r="H8" s="19">
        <f t="shared" si="3"/>
        <v>0.63934426229508201</v>
      </c>
      <c r="I8" s="18">
        <f>SUM($D$2:D8)-SUM($G$2:G8)</f>
        <v>283662.09999999998</v>
      </c>
      <c r="K8" s="9">
        <f t="shared" si="4"/>
        <v>45206</v>
      </c>
      <c r="L8" s="4">
        <f t="shared" si="10"/>
        <v>14986.8</v>
      </c>
      <c r="M8" s="4">
        <f t="shared" si="5"/>
        <v>34969.199999999997</v>
      </c>
      <c r="N8" s="4">
        <f t="shared" si="6"/>
        <v>49956</v>
      </c>
      <c r="O8" s="4">
        <f t="shared" si="7"/>
        <v>25500</v>
      </c>
      <c r="P8" s="4">
        <f t="shared" si="8"/>
        <v>24456</v>
      </c>
      <c r="Q8" s="4">
        <f t="shared" si="9"/>
        <v>1250</v>
      </c>
    </row>
    <row r="9" spans="1:17" x14ac:dyDescent="0.35">
      <c r="A9" s="21">
        <v>45208</v>
      </c>
      <c r="B9" s="20">
        <f t="shared" si="0"/>
        <v>34585.200000000004</v>
      </c>
      <c r="C9" s="20">
        <f t="shared" si="1"/>
        <v>54094.799999999996</v>
      </c>
      <c r="D9" s="20">
        <f t="shared" si="2"/>
        <v>88680</v>
      </c>
      <c r="E9" s="20">
        <v>15600</v>
      </c>
      <c r="F9" s="20">
        <v>70080</v>
      </c>
      <c r="G9" s="20">
        <v>3000</v>
      </c>
      <c r="H9" s="19">
        <f t="shared" si="3"/>
        <v>0.63934426229508212</v>
      </c>
      <c r="I9" s="18">
        <f>SUM($D$2:D9)-SUM($G$2:G9)</f>
        <v>369342.1</v>
      </c>
      <c r="K9" s="8">
        <f t="shared" si="4"/>
        <v>45207</v>
      </c>
      <c r="L9" s="2">
        <f t="shared" si="10"/>
        <v>17556</v>
      </c>
      <c r="M9" s="2">
        <f t="shared" si="5"/>
        <v>40964</v>
      </c>
      <c r="N9" s="2">
        <f t="shared" si="6"/>
        <v>58520</v>
      </c>
      <c r="O9" s="2">
        <f t="shared" si="7"/>
        <v>55000</v>
      </c>
      <c r="P9" s="2">
        <f t="shared" si="8"/>
        <v>3520</v>
      </c>
      <c r="Q9" s="2">
        <f t="shared" si="9"/>
        <v>2000</v>
      </c>
    </row>
    <row r="10" spans="1:17" x14ac:dyDescent="0.35">
      <c r="A10" s="21">
        <v>45209</v>
      </c>
      <c r="B10" s="20">
        <f t="shared" si="0"/>
        <v>33404.28</v>
      </c>
      <c r="C10" s="20">
        <f t="shared" si="1"/>
        <v>52247.72</v>
      </c>
      <c r="D10" s="20">
        <f t="shared" si="2"/>
        <v>85652</v>
      </c>
      <c r="E10" s="20">
        <v>26500</v>
      </c>
      <c r="F10" s="20">
        <v>53302</v>
      </c>
      <c r="G10" s="20">
        <v>5850</v>
      </c>
      <c r="H10" s="19">
        <f t="shared" si="3"/>
        <v>0.6393442622950819</v>
      </c>
      <c r="I10" s="18">
        <f>SUM($D$2:D10)-SUM($G$2:G10)</f>
        <v>449144.1</v>
      </c>
      <c r="K10" s="3" t="s">
        <v>4</v>
      </c>
      <c r="L10" s="3">
        <f>SUM(L3:L9)</f>
        <v>85098.63</v>
      </c>
      <c r="M10" s="3">
        <f>SUM(M2:M9)</f>
        <v>198563.47</v>
      </c>
      <c r="N10" s="3">
        <f>SUM(N2:N9)</f>
        <v>283662.09999999998</v>
      </c>
      <c r="O10" s="3">
        <f>SUM(O2:O9)</f>
        <v>162570</v>
      </c>
      <c r="P10" s="3">
        <f>SUM(P2:P9)</f>
        <v>121092.1</v>
      </c>
      <c r="Q10" s="3">
        <f>SUM(Q2:Q9)</f>
        <v>39230</v>
      </c>
    </row>
    <row r="11" spans="1:17" x14ac:dyDescent="0.35">
      <c r="A11" s="21">
        <v>45210</v>
      </c>
      <c r="B11" s="20">
        <f t="shared" si="0"/>
        <v>50719.11</v>
      </c>
      <c r="C11" s="20">
        <f t="shared" si="1"/>
        <v>79329.89</v>
      </c>
      <c r="D11" s="20">
        <f t="shared" si="2"/>
        <v>130049</v>
      </c>
      <c r="E11" s="20">
        <f>17000+2400+51600</f>
        <v>71000</v>
      </c>
      <c r="F11" s="20">
        <v>54249</v>
      </c>
      <c r="G11" s="20">
        <v>4800</v>
      </c>
      <c r="H11" s="19">
        <f t="shared" si="3"/>
        <v>0.63934426229508201</v>
      </c>
      <c r="I11" s="18">
        <f>SUM($D$2:D11)-SUM($G$2:G11)</f>
        <v>574393.1</v>
      </c>
      <c r="K11" s="3" t="s">
        <v>0</v>
      </c>
      <c r="L11" s="3">
        <f>L10/3</f>
        <v>28366.210000000003</v>
      </c>
      <c r="M11" s="3"/>
      <c r="N11" s="3"/>
      <c r="O11" s="2"/>
      <c r="P11" s="2"/>
      <c r="Q11" s="2"/>
    </row>
    <row r="12" spans="1:17" x14ac:dyDescent="0.35">
      <c r="A12" s="21">
        <v>45211</v>
      </c>
      <c r="B12" s="20">
        <f t="shared" si="0"/>
        <v>20009.73</v>
      </c>
      <c r="C12" s="20">
        <f t="shared" si="1"/>
        <v>31297.27</v>
      </c>
      <c r="D12" s="20">
        <f t="shared" si="2"/>
        <v>51307</v>
      </c>
      <c r="E12" s="20">
        <v>7000</v>
      </c>
      <c r="F12" s="20">
        <v>42657</v>
      </c>
      <c r="G12" s="20">
        <v>1650</v>
      </c>
      <c r="H12" s="19">
        <f t="shared" si="3"/>
        <v>0.6393442622950819</v>
      </c>
      <c r="I12" s="18">
        <f>SUM($D$2:D12)-SUM($G$2:G12)</f>
        <v>624050.1</v>
      </c>
    </row>
    <row r="13" spans="1:17" x14ac:dyDescent="0.35">
      <c r="A13" s="21">
        <v>45212</v>
      </c>
      <c r="B13" s="20">
        <f t="shared" si="0"/>
        <v>11864.970000000001</v>
      </c>
      <c r="C13" s="20">
        <f t="shared" si="1"/>
        <v>18558.03</v>
      </c>
      <c r="D13" s="20">
        <f t="shared" si="2"/>
        <v>30423</v>
      </c>
      <c r="E13" s="20">
        <v>10000</v>
      </c>
      <c r="F13" s="20">
        <v>15023</v>
      </c>
      <c r="G13" s="20">
        <v>5400</v>
      </c>
      <c r="H13" s="19">
        <f t="shared" si="3"/>
        <v>0.63934426229508212</v>
      </c>
      <c r="I13" s="18">
        <f>SUM($D$2:D13)-SUM($G$2:G13)</f>
        <v>649073.1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1">
        <v>45213</v>
      </c>
      <c r="B14" s="20">
        <f t="shared" si="0"/>
        <v>45277.83</v>
      </c>
      <c r="C14" s="20">
        <f t="shared" si="1"/>
        <v>70819.17</v>
      </c>
      <c r="D14" s="20">
        <f t="shared" si="2"/>
        <v>116097</v>
      </c>
      <c r="E14" s="20">
        <v>54500</v>
      </c>
      <c r="F14" s="20">
        <v>57297</v>
      </c>
      <c r="G14" s="20">
        <v>4300</v>
      </c>
      <c r="H14" s="19">
        <f t="shared" si="3"/>
        <v>0.63934426229508201</v>
      </c>
      <c r="I14" s="18">
        <f>SUM($D$2:D14)-SUM($G$2:G14)</f>
        <v>760870.1</v>
      </c>
      <c r="K14" s="8">
        <f t="shared" ref="K14:K20" si="11">A9</f>
        <v>45208</v>
      </c>
      <c r="L14" s="2">
        <f>N14*0.3</f>
        <v>25704</v>
      </c>
      <c r="M14" s="2">
        <f t="shared" ref="M14:M20" si="12">N14-L14</f>
        <v>59976</v>
      </c>
      <c r="N14" s="2">
        <f t="shared" ref="N14:N20" si="13">O14+P14</f>
        <v>85680</v>
      </c>
      <c r="O14" s="2">
        <f t="shared" ref="O14:O20" si="14">VLOOKUP(K14,$A$1:$H$37,5,0)</f>
        <v>15600</v>
      </c>
      <c r="P14" s="2">
        <f t="shared" ref="P14:P20" si="15">VLOOKUP(K14,$A$1:$H$37,6,0)</f>
        <v>70080</v>
      </c>
      <c r="Q14" s="2">
        <f t="shared" ref="Q14:Q20" si="16">VLOOKUP(K14,$A$1:$H$37,7,0)</f>
        <v>3000</v>
      </c>
    </row>
    <row r="15" spans="1:17" x14ac:dyDescent="0.35">
      <c r="A15" s="21">
        <v>45214</v>
      </c>
      <c r="B15" s="20">
        <f t="shared" si="0"/>
        <v>57464.94</v>
      </c>
      <c r="C15" s="20">
        <f t="shared" si="1"/>
        <v>89881.06</v>
      </c>
      <c r="D15" s="20">
        <f t="shared" si="2"/>
        <v>147346</v>
      </c>
      <c r="E15" s="20">
        <v>75000</v>
      </c>
      <c r="F15" s="20">
        <v>63346</v>
      </c>
      <c r="G15" s="20">
        <v>9000</v>
      </c>
      <c r="H15" s="19">
        <f t="shared" si="3"/>
        <v>0.63934426229508201</v>
      </c>
      <c r="I15" s="18">
        <f>SUM($D$2:D15)-SUM($G$2:G15)</f>
        <v>899216.1</v>
      </c>
      <c r="K15" s="9">
        <f t="shared" si="11"/>
        <v>45209</v>
      </c>
      <c r="L15" s="4">
        <f>N15*0.3</f>
        <v>23940.6</v>
      </c>
      <c r="M15" s="4">
        <f t="shared" si="12"/>
        <v>55861.4</v>
      </c>
      <c r="N15" s="4">
        <f t="shared" si="13"/>
        <v>79802</v>
      </c>
      <c r="O15" s="4">
        <f t="shared" si="14"/>
        <v>26500</v>
      </c>
      <c r="P15" s="4">
        <f t="shared" si="15"/>
        <v>53302</v>
      </c>
      <c r="Q15" s="4">
        <f t="shared" si="16"/>
        <v>5850</v>
      </c>
    </row>
    <row r="16" spans="1:17" x14ac:dyDescent="0.35">
      <c r="A16" s="21">
        <v>45215</v>
      </c>
      <c r="B16" s="20">
        <f t="shared" si="0"/>
        <v>48851.4</v>
      </c>
      <c r="C16" s="20">
        <f t="shared" si="1"/>
        <v>76408.600000000006</v>
      </c>
      <c r="D16" s="20">
        <f t="shared" si="2"/>
        <v>125260</v>
      </c>
      <c r="E16" s="20">
        <v>46500</v>
      </c>
      <c r="F16" s="20">
        <v>73260</v>
      </c>
      <c r="G16" s="20">
        <v>5500</v>
      </c>
      <c r="H16" s="19">
        <f t="shared" si="3"/>
        <v>0.6393442622950819</v>
      </c>
      <c r="I16" s="18">
        <f>SUM($D$2:D16)-SUM($G$2:G16)</f>
        <v>1018976.1000000001</v>
      </c>
      <c r="K16" s="8">
        <f t="shared" si="11"/>
        <v>45210</v>
      </c>
      <c r="L16" s="2">
        <f t="shared" ref="L16:L20" si="17">N16*0.3</f>
        <v>37574.699999999997</v>
      </c>
      <c r="M16" s="2">
        <f t="shared" si="12"/>
        <v>87674.3</v>
      </c>
      <c r="N16" s="2">
        <f t="shared" si="13"/>
        <v>125249</v>
      </c>
      <c r="O16" s="2">
        <f t="shared" si="14"/>
        <v>71000</v>
      </c>
      <c r="P16" s="2">
        <f t="shared" si="15"/>
        <v>54249</v>
      </c>
      <c r="Q16" s="2">
        <f t="shared" si="16"/>
        <v>4800</v>
      </c>
    </row>
    <row r="17" spans="1:17" x14ac:dyDescent="0.35">
      <c r="A17" s="21">
        <v>45216</v>
      </c>
      <c r="B17" s="20">
        <f t="shared" si="0"/>
        <v>35948.25</v>
      </c>
      <c r="C17" s="20">
        <f t="shared" si="1"/>
        <v>56226.75</v>
      </c>
      <c r="D17" s="20">
        <f t="shared" si="2"/>
        <v>92175</v>
      </c>
      <c r="E17" s="20">
        <v>63000</v>
      </c>
      <c r="F17" s="20">
        <v>21475</v>
      </c>
      <c r="G17" s="20">
        <v>7700</v>
      </c>
      <c r="H17" s="19">
        <f t="shared" si="3"/>
        <v>0.63934426229508201</v>
      </c>
      <c r="I17" s="18">
        <f>SUM($D$2:D17)-SUM($G$2:G17)</f>
        <v>1103451.1000000001</v>
      </c>
      <c r="K17" s="9">
        <f t="shared" si="11"/>
        <v>45211</v>
      </c>
      <c r="L17" s="4">
        <f t="shared" si="17"/>
        <v>14897.099999999999</v>
      </c>
      <c r="M17" s="4">
        <f t="shared" si="12"/>
        <v>34759.9</v>
      </c>
      <c r="N17" s="4">
        <f t="shared" si="13"/>
        <v>49657</v>
      </c>
      <c r="O17" s="4">
        <f t="shared" si="14"/>
        <v>7000</v>
      </c>
      <c r="P17" s="4">
        <f t="shared" si="15"/>
        <v>42657</v>
      </c>
      <c r="Q17" s="4">
        <f t="shared" si="16"/>
        <v>1650</v>
      </c>
    </row>
    <row r="18" spans="1:17" x14ac:dyDescent="0.35">
      <c r="A18" s="21">
        <v>45217</v>
      </c>
      <c r="B18" s="20">
        <f t="shared" si="0"/>
        <v>26715</v>
      </c>
      <c r="C18" s="20">
        <f t="shared" si="1"/>
        <v>41785</v>
      </c>
      <c r="D18" s="20">
        <f t="shared" si="2"/>
        <v>68500</v>
      </c>
      <c r="E18" s="20">
        <v>46000</v>
      </c>
      <c r="F18" s="20">
        <v>15500</v>
      </c>
      <c r="G18" s="20">
        <v>7000</v>
      </c>
      <c r="H18" s="19">
        <f t="shared" si="3"/>
        <v>0.63934426229508201</v>
      </c>
      <c r="I18" s="18">
        <f>SUM($D$2:D18)-SUM($G$2:G18)</f>
        <v>1164951.1000000001</v>
      </c>
      <c r="K18" s="8">
        <f t="shared" si="11"/>
        <v>45212</v>
      </c>
      <c r="L18" s="2">
        <f t="shared" si="17"/>
        <v>7506.9</v>
      </c>
      <c r="M18" s="2">
        <f t="shared" si="12"/>
        <v>17516.099999999999</v>
      </c>
      <c r="N18" s="2">
        <f t="shared" si="13"/>
        <v>25023</v>
      </c>
      <c r="O18" s="2">
        <f t="shared" si="14"/>
        <v>10000</v>
      </c>
      <c r="P18" s="2">
        <f t="shared" si="15"/>
        <v>15023</v>
      </c>
      <c r="Q18" s="2">
        <f t="shared" si="16"/>
        <v>5400</v>
      </c>
    </row>
    <row r="19" spans="1:17" x14ac:dyDescent="0.35">
      <c r="A19" s="21">
        <v>45218</v>
      </c>
      <c r="B19" s="20">
        <f t="shared" si="0"/>
        <v>48405.630000000005</v>
      </c>
      <c r="C19" s="20">
        <f t="shared" si="1"/>
        <v>75711.37</v>
      </c>
      <c r="D19" s="20">
        <f t="shared" si="2"/>
        <v>124117</v>
      </c>
      <c r="E19" s="20">
        <v>65500</v>
      </c>
      <c r="F19" s="20">
        <v>51617</v>
      </c>
      <c r="G19" s="20">
        <v>7000</v>
      </c>
      <c r="H19" s="19">
        <f t="shared" si="3"/>
        <v>0.63934426229508212</v>
      </c>
      <c r="I19" s="18">
        <f>SUM($D$2:D19)-SUM($G$2:G19)</f>
        <v>1282068.1000000001</v>
      </c>
      <c r="K19" s="9">
        <f t="shared" si="11"/>
        <v>45213</v>
      </c>
      <c r="L19" s="4">
        <f t="shared" si="17"/>
        <v>33539.1</v>
      </c>
      <c r="M19" s="4">
        <f t="shared" si="12"/>
        <v>78257.899999999994</v>
      </c>
      <c r="N19" s="4">
        <f t="shared" si="13"/>
        <v>111797</v>
      </c>
      <c r="O19" s="4">
        <f t="shared" si="14"/>
        <v>54500</v>
      </c>
      <c r="P19" s="4">
        <f t="shared" si="15"/>
        <v>57297</v>
      </c>
      <c r="Q19" s="4">
        <f t="shared" si="16"/>
        <v>4300</v>
      </c>
    </row>
    <row r="20" spans="1:17" x14ac:dyDescent="0.35">
      <c r="A20" s="21">
        <v>45219</v>
      </c>
      <c r="B20" s="20">
        <f t="shared" si="0"/>
        <v>98188.74</v>
      </c>
      <c r="C20" s="20">
        <f t="shared" si="1"/>
        <v>153577.26</v>
      </c>
      <c r="D20" s="20">
        <f t="shared" si="2"/>
        <v>251766</v>
      </c>
      <c r="E20" s="20">
        <v>114500</v>
      </c>
      <c r="F20" s="20">
        <v>78116</v>
      </c>
      <c r="G20" s="20">
        <v>59150</v>
      </c>
      <c r="H20" s="19">
        <f t="shared" si="3"/>
        <v>0.63934426229508201</v>
      </c>
      <c r="I20" s="18">
        <f>SUM($D$2:D20)-SUM($G$2:G20)</f>
        <v>1474684.1</v>
      </c>
      <c r="K20" s="8">
        <f t="shared" si="11"/>
        <v>45214</v>
      </c>
      <c r="L20" s="2">
        <f t="shared" si="17"/>
        <v>41503.799999999996</v>
      </c>
      <c r="M20" s="2">
        <f t="shared" si="12"/>
        <v>96842.200000000012</v>
      </c>
      <c r="N20" s="2">
        <f t="shared" si="13"/>
        <v>138346</v>
      </c>
      <c r="O20" s="2">
        <f t="shared" si="14"/>
        <v>75000</v>
      </c>
      <c r="P20" s="2">
        <f t="shared" si="15"/>
        <v>63346</v>
      </c>
      <c r="Q20" s="2">
        <f t="shared" si="16"/>
        <v>9000</v>
      </c>
    </row>
    <row r="21" spans="1:17" x14ac:dyDescent="0.35">
      <c r="A21" s="21">
        <v>45220</v>
      </c>
      <c r="B21" s="20">
        <f t="shared" si="0"/>
        <v>41712.450000000004</v>
      </c>
      <c r="C21" s="20">
        <f t="shared" si="1"/>
        <v>65242.549999999996</v>
      </c>
      <c r="D21" s="20">
        <f t="shared" si="2"/>
        <v>106955</v>
      </c>
      <c r="E21" s="20">
        <v>31500</v>
      </c>
      <c r="F21" s="20">
        <v>65455</v>
      </c>
      <c r="G21" s="20">
        <v>10000</v>
      </c>
      <c r="H21" s="19">
        <f t="shared" si="3"/>
        <v>0.63934426229508212</v>
      </c>
      <c r="I21" s="18">
        <f>SUM($D$2:D21)-SUM($G$2:G21)</f>
        <v>1571639.1</v>
      </c>
      <c r="K21" s="3" t="s">
        <v>4</v>
      </c>
      <c r="L21" s="3">
        <f t="shared" ref="L21:Q21" si="18">SUM(L14:L20)</f>
        <v>184666.19999999998</v>
      </c>
      <c r="M21" s="3">
        <f t="shared" si="18"/>
        <v>430887.8</v>
      </c>
      <c r="N21" s="3">
        <f t="shared" si="18"/>
        <v>615554</v>
      </c>
      <c r="O21" s="3">
        <f t="shared" si="18"/>
        <v>259600</v>
      </c>
      <c r="P21" s="3">
        <f t="shared" si="18"/>
        <v>355954</v>
      </c>
      <c r="Q21" s="3">
        <f t="shared" si="18"/>
        <v>34000</v>
      </c>
    </row>
    <row r="22" spans="1:17" x14ac:dyDescent="0.35">
      <c r="A22" s="21">
        <v>45221</v>
      </c>
      <c r="B22" s="20">
        <f t="shared" si="0"/>
        <v>51129.39</v>
      </c>
      <c r="C22" s="20">
        <f t="shared" si="1"/>
        <v>79971.61</v>
      </c>
      <c r="D22" s="20">
        <f t="shared" si="2"/>
        <v>131101</v>
      </c>
      <c r="E22" s="20">
        <v>114600</v>
      </c>
      <c r="F22" s="20">
        <v>12901</v>
      </c>
      <c r="G22" s="20">
        <v>3600</v>
      </c>
      <c r="H22" s="19">
        <f t="shared" si="3"/>
        <v>0.6393442622950819</v>
      </c>
      <c r="I22" s="18">
        <f>SUM($D$2:D22)-SUM($G$2:G22)</f>
        <v>1699140.1</v>
      </c>
      <c r="K22" s="3" t="s">
        <v>0</v>
      </c>
      <c r="L22" s="3">
        <f>L21/3</f>
        <v>61555.399999999994</v>
      </c>
      <c r="M22" s="3"/>
      <c r="N22" s="3">
        <f>M22+L22</f>
        <v>61555.399999999994</v>
      </c>
      <c r="O22" s="2"/>
      <c r="P22" s="2"/>
      <c r="Q22" s="2"/>
    </row>
    <row r="23" spans="1:17" x14ac:dyDescent="0.35">
      <c r="A23" s="21">
        <v>45222</v>
      </c>
      <c r="B23" s="20">
        <f t="shared" si="0"/>
        <v>10218</v>
      </c>
      <c r="C23" s="20">
        <f t="shared" si="1"/>
        <v>15982</v>
      </c>
      <c r="D23" s="20">
        <f t="shared" si="2"/>
        <v>26200</v>
      </c>
      <c r="E23" s="20">
        <v>11800</v>
      </c>
      <c r="F23" s="20">
        <v>8710</v>
      </c>
      <c r="G23" s="20">
        <v>5690</v>
      </c>
      <c r="H23" s="19">
        <f t="shared" si="3"/>
        <v>0.63934426229508201</v>
      </c>
      <c r="I23" s="18">
        <f>SUM($D$2:D23)-SUM($G$2:G23)</f>
        <v>1719650.1</v>
      </c>
      <c r="M23" t="s">
        <v>19</v>
      </c>
    </row>
    <row r="24" spans="1:17" x14ac:dyDescent="0.35">
      <c r="A24" s="21">
        <v>45223</v>
      </c>
      <c r="B24" s="20">
        <f t="shared" si="0"/>
        <v>34788</v>
      </c>
      <c r="C24" s="20">
        <f t="shared" si="1"/>
        <v>54412</v>
      </c>
      <c r="D24" s="20">
        <f t="shared" si="2"/>
        <v>89200</v>
      </c>
      <c r="E24" s="20">
        <v>66700</v>
      </c>
      <c r="F24" s="20">
        <v>16800</v>
      </c>
      <c r="G24" s="20">
        <v>5700</v>
      </c>
      <c r="H24" s="19">
        <f t="shared" si="3"/>
        <v>0.63934426229508201</v>
      </c>
      <c r="I24" s="18">
        <f>SUM($D$2:D24)-SUM($G$2:G24)</f>
        <v>1803150.1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1">
        <v>45224</v>
      </c>
      <c r="B25" s="20">
        <f t="shared" si="0"/>
        <v>129336.09000000001</v>
      </c>
      <c r="C25" s="20">
        <f t="shared" si="1"/>
        <v>202294.90999999997</v>
      </c>
      <c r="D25" s="20">
        <f t="shared" si="2"/>
        <v>331631</v>
      </c>
      <c r="E25" s="20">
        <v>167200</v>
      </c>
      <c r="F25" s="20">
        <v>21231</v>
      </c>
      <c r="G25" s="20">
        <v>143200</v>
      </c>
      <c r="H25" s="19">
        <f t="shared" si="3"/>
        <v>0.63934426229508212</v>
      </c>
      <c r="I25" s="18">
        <f>SUM($D$2:D25)-SUM($G$2:G25)</f>
        <v>1991581.1</v>
      </c>
      <c r="K25" s="8">
        <f t="shared" ref="K25:K31" si="19">A16</f>
        <v>45215</v>
      </c>
      <c r="L25" s="2">
        <f>N25*0.3</f>
        <v>21978</v>
      </c>
      <c r="M25" s="2">
        <f t="shared" ref="M25:M31" si="20">N25-L25</f>
        <v>51282</v>
      </c>
      <c r="N25" s="2">
        <f t="shared" ref="N25:N31" si="21">O25+P25</f>
        <v>73260</v>
      </c>
      <c r="O25" s="2">
        <v>0</v>
      </c>
      <c r="P25" s="2">
        <f t="shared" ref="P25:P31" si="22">VLOOKUP(K25,$A$1:$H$37,6,0)</f>
        <v>73260</v>
      </c>
      <c r="Q25" s="2">
        <f t="shared" ref="Q25:Q31" si="23">VLOOKUP(K25,$A$1:$H$37,7,0)</f>
        <v>5500</v>
      </c>
    </row>
    <row r="26" spans="1:17" x14ac:dyDescent="0.35">
      <c r="A26" s="21">
        <v>45225</v>
      </c>
      <c r="B26" s="20">
        <f t="shared" si="0"/>
        <v>101869.56</v>
      </c>
      <c r="C26" s="20">
        <f t="shared" si="1"/>
        <v>159334.44</v>
      </c>
      <c r="D26" s="20">
        <f t="shared" si="2"/>
        <v>261204</v>
      </c>
      <c r="E26" s="20">
        <v>228600</v>
      </c>
      <c r="F26" s="20">
        <v>29604</v>
      </c>
      <c r="G26" s="20">
        <v>3000</v>
      </c>
      <c r="H26" s="19">
        <f t="shared" si="3"/>
        <v>0.6393442622950819</v>
      </c>
      <c r="I26" s="18">
        <f>SUM($D$2:D26)-SUM($G$2:G26)</f>
        <v>2249785.1</v>
      </c>
      <c r="K26" s="9">
        <f t="shared" si="19"/>
        <v>45216</v>
      </c>
      <c r="L26" s="4">
        <f>N26*0.3</f>
        <v>25342.5</v>
      </c>
      <c r="M26" s="4">
        <f t="shared" si="20"/>
        <v>59132.5</v>
      </c>
      <c r="N26" s="4">
        <f t="shared" si="21"/>
        <v>84475</v>
      </c>
      <c r="O26" s="4">
        <f t="shared" ref="O26:O31" si="24">VLOOKUP(K26,$A$1:$H$37,5,0)</f>
        <v>63000</v>
      </c>
      <c r="P26" s="4">
        <f t="shared" si="22"/>
        <v>21475</v>
      </c>
      <c r="Q26" s="4">
        <f t="shared" si="23"/>
        <v>7700</v>
      </c>
    </row>
    <row r="27" spans="1:17" x14ac:dyDescent="0.35">
      <c r="A27" s="21">
        <v>45226</v>
      </c>
      <c r="B27" s="20">
        <f t="shared" si="0"/>
        <v>178105.2</v>
      </c>
      <c r="C27" s="20">
        <f t="shared" si="1"/>
        <v>278574.8</v>
      </c>
      <c r="D27" s="20">
        <f t="shared" si="2"/>
        <v>456680</v>
      </c>
      <c r="E27" s="20">
        <v>262800</v>
      </c>
      <c r="F27" s="20">
        <v>98240</v>
      </c>
      <c r="G27" s="20">
        <v>95640</v>
      </c>
      <c r="H27" s="19">
        <f t="shared" si="3"/>
        <v>0.63934426229508201</v>
      </c>
      <c r="I27" s="18">
        <f>SUM($D$2:D27)-SUM($G$2:G27)</f>
        <v>2610825.1</v>
      </c>
      <c r="K27" s="8">
        <f t="shared" si="19"/>
        <v>45217</v>
      </c>
      <c r="L27" s="2">
        <f t="shared" ref="L27:L31" si="25">N27*0.3</f>
        <v>18450</v>
      </c>
      <c r="M27" s="2">
        <f t="shared" si="20"/>
        <v>43050</v>
      </c>
      <c r="N27" s="2">
        <f t="shared" si="21"/>
        <v>61500</v>
      </c>
      <c r="O27" s="2">
        <f t="shared" si="24"/>
        <v>46000</v>
      </c>
      <c r="P27" s="2">
        <f t="shared" si="22"/>
        <v>15500</v>
      </c>
      <c r="Q27" s="2">
        <f t="shared" si="23"/>
        <v>7000</v>
      </c>
    </row>
    <row r="28" spans="1:17" x14ac:dyDescent="0.35">
      <c r="A28" s="21">
        <v>45227</v>
      </c>
      <c r="B28" s="20">
        <f t="shared" si="0"/>
        <v>133630.38</v>
      </c>
      <c r="C28" s="20">
        <f t="shared" si="1"/>
        <v>209011.62</v>
      </c>
      <c r="D28" s="20">
        <f t="shared" si="2"/>
        <v>342642</v>
      </c>
      <c r="E28" s="20">
        <v>264500</v>
      </c>
      <c r="F28" s="20">
        <v>75142</v>
      </c>
      <c r="G28" s="20">
        <v>3000</v>
      </c>
      <c r="H28" s="19">
        <f t="shared" si="3"/>
        <v>0.63934426229508201</v>
      </c>
      <c r="I28" s="18">
        <f>SUM($D$2:D28)-SUM($G$2:G28)</f>
        <v>2950467.1</v>
      </c>
      <c r="K28" s="9">
        <f t="shared" si="19"/>
        <v>45218</v>
      </c>
      <c r="L28" s="4">
        <f>N28*0.3</f>
        <v>35135.1</v>
      </c>
      <c r="M28" s="4">
        <f t="shared" si="20"/>
        <v>81981.899999999994</v>
      </c>
      <c r="N28" s="4">
        <f t="shared" si="21"/>
        <v>117117</v>
      </c>
      <c r="O28" s="4">
        <f t="shared" si="24"/>
        <v>65500</v>
      </c>
      <c r="P28" s="4">
        <f t="shared" si="22"/>
        <v>51617</v>
      </c>
      <c r="Q28" s="4">
        <f t="shared" si="23"/>
        <v>7000</v>
      </c>
    </row>
    <row r="29" spans="1:17" x14ac:dyDescent="0.35">
      <c r="A29" s="21">
        <v>45228</v>
      </c>
      <c r="B29" s="20">
        <f t="shared" si="0"/>
        <v>129743.25</v>
      </c>
      <c r="C29" s="20">
        <f t="shared" si="1"/>
        <v>202931.75</v>
      </c>
      <c r="D29" s="20">
        <f t="shared" si="2"/>
        <v>332675</v>
      </c>
      <c r="E29" s="20">
        <v>268800</v>
      </c>
      <c r="F29" s="20">
        <v>57075</v>
      </c>
      <c r="G29" s="20">
        <v>6800</v>
      </c>
      <c r="H29" s="19">
        <f t="shared" si="3"/>
        <v>0.63934426229508201</v>
      </c>
      <c r="I29" s="18">
        <f>SUM($D$2:D29)-SUM($G$2:G29)</f>
        <v>3276342.1</v>
      </c>
      <c r="K29" s="8">
        <f t="shared" si="19"/>
        <v>45219</v>
      </c>
      <c r="L29" s="2">
        <f t="shared" si="25"/>
        <v>57784.799999999996</v>
      </c>
      <c r="M29" s="2">
        <f t="shared" si="20"/>
        <v>134831.20000000001</v>
      </c>
      <c r="N29" s="2">
        <f t="shared" si="21"/>
        <v>192616</v>
      </c>
      <c r="O29" s="2">
        <f t="shared" si="24"/>
        <v>114500</v>
      </c>
      <c r="P29" s="2">
        <f t="shared" si="22"/>
        <v>78116</v>
      </c>
      <c r="Q29" s="2">
        <f t="shared" si="23"/>
        <v>59150</v>
      </c>
    </row>
    <row r="30" spans="1:17" x14ac:dyDescent="0.35">
      <c r="A30" s="21">
        <v>45229</v>
      </c>
      <c r="B30" s="20">
        <f t="shared" si="0"/>
        <v>109790.85</v>
      </c>
      <c r="C30" s="20">
        <f t="shared" si="1"/>
        <v>171724.15</v>
      </c>
      <c r="D30" s="20">
        <f t="shared" si="2"/>
        <v>281515</v>
      </c>
      <c r="E30" s="20">
        <v>200000</v>
      </c>
      <c r="F30" s="20">
        <v>77515</v>
      </c>
      <c r="G30" s="20">
        <v>4000</v>
      </c>
      <c r="H30" s="19">
        <f t="shared" si="3"/>
        <v>0.63934426229508201</v>
      </c>
      <c r="I30" s="18">
        <f>SUM($D$2:D30)-SUM($G$2:G30)</f>
        <v>3553857.1</v>
      </c>
      <c r="K30" s="9">
        <f t="shared" si="19"/>
        <v>45220</v>
      </c>
      <c r="L30" s="4">
        <f t="shared" si="25"/>
        <v>29086.5</v>
      </c>
      <c r="M30" s="4">
        <f t="shared" si="20"/>
        <v>67868.5</v>
      </c>
      <c r="N30" s="4">
        <f t="shared" si="21"/>
        <v>96955</v>
      </c>
      <c r="O30" s="4">
        <f t="shared" si="24"/>
        <v>31500</v>
      </c>
      <c r="P30" s="4">
        <f t="shared" si="22"/>
        <v>65455</v>
      </c>
      <c r="Q30" s="4">
        <f t="shared" si="23"/>
        <v>10000</v>
      </c>
    </row>
    <row r="31" spans="1:17" x14ac:dyDescent="0.35">
      <c r="A31" s="21">
        <v>45230</v>
      </c>
      <c r="B31" s="20">
        <f t="shared" si="0"/>
        <v>99699.6</v>
      </c>
      <c r="C31" s="20">
        <f t="shared" si="1"/>
        <v>155940.4</v>
      </c>
      <c r="D31" s="20">
        <f t="shared" si="2"/>
        <v>255640</v>
      </c>
      <c r="E31" s="20">
        <v>115000</v>
      </c>
      <c r="F31" s="20">
        <v>136640</v>
      </c>
      <c r="G31" s="20">
        <v>4000</v>
      </c>
      <c r="H31" s="19">
        <f t="shared" si="3"/>
        <v>0.63934426229508201</v>
      </c>
      <c r="I31" s="18">
        <f>SUM($D$2:D31)-SUM($G$2:G31)</f>
        <v>3805497.0999999996</v>
      </c>
      <c r="K31" s="8">
        <f t="shared" si="19"/>
        <v>45221</v>
      </c>
      <c r="L31" s="2">
        <f t="shared" si="25"/>
        <v>38250.299999999996</v>
      </c>
      <c r="M31" s="2">
        <f t="shared" si="20"/>
        <v>89250.700000000012</v>
      </c>
      <c r="N31" s="2">
        <f t="shared" si="21"/>
        <v>127501</v>
      </c>
      <c r="O31" s="2">
        <f t="shared" si="24"/>
        <v>114600</v>
      </c>
      <c r="P31" s="2">
        <f t="shared" si="22"/>
        <v>12901</v>
      </c>
      <c r="Q31" s="2">
        <f t="shared" si="23"/>
        <v>3600</v>
      </c>
    </row>
    <row r="32" spans="1:17" x14ac:dyDescent="0.35">
      <c r="A32" s="21">
        <v>45200</v>
      </c>
      <c r="B32" s="20">
        <f t="shared" si="0"/>
        <v>8067.93</v>
      </c>
      <c r="C32" s="20">
        <f t="shared" si="1"/>
        <v>12619.07</v>
      </c>
      <c r="D32" s="20">
        <f t="shared" si="2"/>
        <v>20687</v>
      </c>
      <c r="E32" s="22">
        <v>7110</v>
      </c>
      <c r="F32" s="22">
        <v>9877</v>
      </c>
      <c r="G32" s="22">
        <v>3700</v>
      </c>
      <c r="H32" s="19">
        <f t="shared" si="3"/>
        <v>0.63934426229508201</v>
      </c>
      <c r="I32" s="18">
        <f>SUM($D$2:D32)-SUM($G$2:G32)</f>
        <v>3822484.0999999996</v>
      </c>
      <c r="K32" s="3" t="s">
        <v>4</v>
      </c>
      <c r="L32" s="2">
        <f t="shared" ref="L32:Q32" si="26">SUM(L25:L31)</f>
        <v>226027.19999999998</v>
      </c>
      <c r="M32" s="2">
        <f t="shared" si="26"/>
        <v>527396.80000000005</v>
      </c>
      <c r="N32" s="2">
        <f t="shared" si="26"/>
        <v>753424</v>
      </c>
      <c r="O32" s="2">
        <f t="shared" si="26"/>
        <v>435100</v>
      </c>
      <c r="P32" s="2">
        <f t="shared" si="26"/>
        <v>318324</v>
      </c>
      <c r="Q32" s="2">
        <f t="shared" si="26"/>
        <v>99950</v>
      </c>
    </row>
    <row r="33" spans="1:17" x14ac:dyDescent="0.35">
      <c r="A33" s="21">
        <v>45232</v>
      </c>
      <c r="B33" s="20">
        <f t="shared" si="0"/>
        <v>0</v>
      </c>
      <c r="C33" s="20">
        <f t="shared" si="1"/>
        <v>0</v>
      </c>
      <c r="D33" s="20">
        <f t="shared" si="2"/>
        <v>0</v>
      </c>
      <c r="E33" s="20"/>
      <c r="F33" s="20"/>
      <c r="G33" s="20"/>
      <c r="H33" s="19">
        <f t="shared" si="3"/>
        <v>0</v>
      </c>
      <c r="I33" s="18">
        <f>SUM($D$2:D33)-SUM($G$2:G33)</f>
        <v>3822484.0999999996</v>
      </c>
      <c r="K33" s="3" t="s">
        <v>0</v>
      </c>
      <c r="L33" s="4">
        <f>L32/3</f>
        <v>75342.399999999994</v>
      </c>
      <c r="M33" s="4"/>
      <c r="N33" s="4"/>
      <c r="O33" s="4"/>
      <c r="P33" s="4"/>
      <c r="Q33" s="4"/>
    </row>
    <row r="34" spans="1:17" x14ac:dyDescent="0.35">
      <c r="A34" s="21">
        <v>45233</v>
      </c>
      <c r="B34" s="20">
        <f t="shared" si="0"/>
        <v>0</v>
      </c>
      <c r="C34" s="20">
        <f t="shared" si="1"/>
        <v>0</v>
      </c>
      <c r="D34" s="20">
        <f t="shared" si="2"/>
        <v>0</v>
      </c>
      <c r="E34" s="20"/>
      <c r="F34" s="20"/>
      <c r="G34" s="20"/>
      <c r="H34" s="19">
        <f t="shared" si="3"/>
        <v>0</v>
      </c>
      <c r="I34" s="18">
        <f>SUM($D$2:D34)-SUM($G$2:G34)</f>
        <v>3822484.0999999996</v>
      </c>
    </row>
    <row r="35" spans="1:17" x14ac:dyDescent="0.35">
      <c r="A35" s="21">
        <v>45234</v>
      </c>
      <c r="B35" s="20">
        <f t="shared" si="0"/>
        <v>0</v>
      </c>
      <c r="C35" s="20">
        <f t="shared" si="1"/>
        <v>0</v>
      </c>
      <c r="D35" s="20">
        <f t="shared" si="2"/>
        <v>0</v>
      </c>
      <c r="E35" s="22"/>
      <c r="F35" s="22"/>
      <c r="G35" s="22"/>
      <c r="H35" s="19">
        <f t="shared" si="3"/>
        <v>0</v>
      </c>
      <c r="I35" s="18">
        <f>SUM($D$2:D35)-SUM($G$2:G35)</f>
        <v>3822484.0999999996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1">
        <v>45235</v>
      </c>
      <c r="B36" s="20">
        <f t="shared" si="0"/>
        <v>0</v>
      </c>
      <c r="C36" s="20">
        <f t="shared" si="1"/>
        <v>0</v>
      </c>
      <c r="D36" s="20">
        <f t="shared" si="2"/>
        <v>0</v>
      </c>
      <c r="E36" s="22"/>
      <c r="F36" s="22"/>
      <c r="G36" s="22"/>
      <c r="H36" s="19">
        <f t="shared" si="3"/>
        <v>0</v>
      </c>
      <c r="I36" s="18">
        <f>SUM($D$2:D36)-SUM($G$2:G36)</f>
        <v>3822484.0999999996</v>
      </c>
      <c r="K36" s="9">
        <f t="shared" ref="K36:K42" si="27">A23</f>
        <v>45222</v>
      </c>
      <c r="L36" s="2">
        <f>N36*0.3</f>
        <v>6153</v>
      </c>
      <c r="M36" s="2">
        <f t="shared" ref="M36:M42" si="28">N36-L36</f>
        <v>14357</v>
      </c>
      <c r="N36" s="2">
        <f t="shared" ref="N36:N42" si="29">O36+P36</f>
        <v>20510</v>
      </c>
      <c r="O36" s="2">
        <f t="shared" ref="O36:O42" si="30">VLOOKUP(K36,$A$1:$H$37,5,0)</f>
        <v>11800</v>
      </c>
      <c r="P36" s="2">
        <f t="shared" ref="P36:P42" si="31">VLOOKUP(K36,$A$1:$H$37,6,0)</f>
        <v>8710</v>
      </c>
      <c r="Q36" s="2">
        <f t="shared" ref="Q36:Q42" si="32">VLOOKUP(K36,$A$1:$H$37,7,0)</f>
        <v>5690</v>
      </c>
    </row>
    <row r="37" spans="1:17" ht="15" thickBot="1" x14ac:dyDescent="0.4">
      <c r="A37" s="17" t="s">
        <v>4</v>
      </c>
      <c r="B37" s="16">
        <f>SUM(B2:B36)</f>
        <v>1665453.6990000003</v>
      </c>
      <c r="C37" s="16">
        <f t="shared" ref="C37:I37" si="33">SUM(C2:C36)</f>
        <v>2604940.4009999996</v>
      </c>
      <c r="D37" s="16">
        <f t="shared" si="33"/>
        <v>4270394.0999999996</v>
      </c>
      <c r="E37" s="16">
        <f t="shared" si="33"/>
        <v>2496280</v>
      </c>
      <c r="F37" s="16">
        <f t="shared" si="33"/>
        <v>1326204.1000000001</v>
      </c>
      <c r="G37" s="16">
        <f t="shared" si="33"/>
        <v>447910</v>
      </c>
      <c r="H37" s="16">
        <f t="shared" si="33"/>
        <v>19.819672131147549</v>
      </c>
      <c r="I37" s="16">
        <f t="shared" si="33"/>
        <v>57801609.100000016</v>
      </c>
      <c r="K37" s="9">
        <f t="shared" si="27"/>
        <v>45223</v>
      </c>
      <c r="L37" s="4">
        <f>N37*0.3</f>
        <v>25050</v>
      </c>
      <c r="M37" s="4">
        <f t="shared" si="28"/>
        <v>58450</v>
      </c>
      <c r="N37" s="4">
        <f t="shared" si="29"/>
        <v>83500</v>
      </c>
      <c r="O37" s="4">
        <f t="shared" si="30"/>
        <v>66700</v>
      </c>
      <c r="P37" s="4">
        <f t="shared" si="31"/>
        <v>16800</v>
      </c>
      <c r="Q37" s="4">
        <f t="shared" si="32"/>
        <v>5700</v>
      </c>
    </row>
    <row r="38" spans="1:17" x14ac:dyDescent="0.35">
      <c r="A38" s="12"/>
      <c r="B38" s="11">
        <f>B37/3</f>
        <v>555151.23300000012</v>
      </c>
      <c r="C38" s="11"/>
      <c r="E38" s="13">
        <f>D37*0.42</f>
        <v>1793565.5219999999</v>
      </c>
      <c r="F38" s="11"/>
      <c r="G38" s="11"/>
      <c r="H38" s="10"/>
      <c r="K38" s="8">
        <f t="shared" si="27"/>
        <v>45224</v>
      </c>
      <c r="L38" s="2">
        <f t="shared" ref="L38:L42" si="34">N38*0.3</f>
        <v>56529.299999999996</v>
      </c>
      <c r="M38" s="2">
        <f t="shared" si="28"/>
        <v>131901.70000000001</v>
      </c>
      <c r="N38" s="2">
        <f t="shared" si="29"/>
        <v>188431</v>
      </c>
      <c r="O38" s="2">
        <f t="shared" si="30"/>
        <v>167200</v>
      </c>
      <c r="P38" s="2">
        <f t="shared" si="31"/>
        <v>21231</v>
      </c>
      <c r="Q38" s="2">
        <f t="shared" si="32"/>
        <v>143200</v>
      </c>
    </row>
    <row r="39" spans="1:17" x14ac:dyDescent="0.35">
      <c r="A39" s="12"/>
      <c r="B39" s="11">
        <f>B38*100/D37</f>
        <v>13.000000000000004</v>
      </c>
      <c r="C39" s="11"/>
      <c r="E39" s="11">
        <f>E38/3</f>
        <v>597855.174</v>
      </c>
      <c r="F39" s="11"/>
      <c r="G39" s="11"/>
      <c r="H39" s="10"/>
      <c r="K39" s="9">
        <f t="shared" si="27"/>
        <v>45225</v>
      </c>
      <c r="L39" s="4">
        <f t="shared" si="34"/>
        <v>77461.2</v>
      </c>
      <c r="M39" s="4">
        <f t="shared" si="28"/>
        <v>180742.8</v>
      </c>
      <c r="N39" s="4">
        <f t="shared" si="29"/>
        <v>258204</v>
      </c>
      <c r="O39" s="4">
        <f t="shared" si="30"/>
        <v>228600</v>
      </c>
      <c r="P39" s="4">
        <f t="shared" si="31"/>
        <v>29604</v>
      </c>
      <c r="Q39" s="4">
        <f t="shared" si="32"/>
        <v>3000</v>
      </c>
    </row>
    <row r="40" spans="1:17" x14ac:dyDescent="0.35">
      <c r="A40" s="7" t="s">
        <v>7</v>
      </c>
      <c r="B40" s="6" t="s">
        <v>6</v>
      </c>
      <c r="C40" s="6" t="s">
        <v>5</v>
      </c>
      <c r="D40" s="6" t="s">
        <v>4</v>
      </c>
      <c r="E40" s="6" t="s">
        <v>3</v>
      </c>
      <c r="F40" s="6" t="s">
        <v>2</v>
      </c>
      <c r="G40" s="6" t="s">
        <v>1</v>
      </c>
      <c r="H40" s="31" t="s">
        <v>0</v>
      </c>
      <c r="K40" s="8">
        <f t="shared" si="27"/>
        <v>45226</v>
      </c>
      <c r="L40" s="2">
        <f t="shared" si="34"/>
        <v>108312</v>
      </c>
      <c r="M40" s="2">
        <f t="shared" si="28"/>
        <v>252728</v>
      </c>
      <c r="N40" s="2">
        <f t="shared" si="29"/>
        <v>361040</v>
      </c>
      <c r="O40" s="2">
        <f t="shared" si="30"/>
        <v>262800</v>
      </c>
      <c r="P40" s="2">
        <f t="shared" si="31"/>
        <v>98240</v>
      </c>
      <c r="Q40" s="2">
        <f t="shared" si="32"/>
        <v>95640</v>
      </c>
    </row>
    <row r="41" spans="1:17" x14ac:dyDescent="0.35">
      <c r="A41" s="32" t="str">
        <f>CONCATENATE(TEXT(K3,"DD-MMM-YYY")," to ",TEXT(K9,"DD-MMM-YYYY"))</f>
        <v>02-Oct-2023 to 08-Oct-2023</v>
      </c>
      <c r="B41" s="2">
        <f>L10</f>
        <v>85098.63</v>
      </c>
      <c r="C41" s="2">
        <f t="shared" ref="C41:G41" si="35">M10</f>
        <v>198563.47</v>
      </c>
      <c r="D41" s="2">
        <f t="shared" si="35"/>
        <v>283662.09999999998</v>
      </c>
      <c r="E41" s="2">
        <f t="shared" si="35"/>
        <v>162570</v>
      </c>
      <c r="F41" s="2">
        <f t="shared" si="35"/>
        <v>121092.1</v>
      </c>
      <c r="G41" s="2">
        <f t="shared" si="35"/>
        <v>39230</v>
      </c>
      <c r="H41" s="2">
        <f>B41/3</f>
        <v>28366.210000000003</v>
      </c>
      <c r="K41" s="9">
        <f t="shared" si="27"/>
        <v>45227</v>
      </c>
      <c r="L41" s="4">
        <f t="shared" si="34"/>
        <v>101892.59999999999</v>
      </c>
      <c r="M41" s="4">
        <f t="shared" si="28"/>
        <v>237749.40000000002</v>
      </c>
      <c r="N41" s="4">
        <f t="shared" si="29"/>
        <v>339642</v>
      </c>
      <c r="O41" s="4">
        <f t="shared" si="30"/>
        <v>264500</v>
      </c>
      <c r="P41" s="4">
        <f t="shared" si="31"/>
        <v>75142</v>
      </c>
      <c r="Q41" s="4">
        <f t="shared" si="32"/>
        <v>3000</v>
      </c>
    </row>
    <row r="42" spans="1:17" x14ac:dyDescent="0.35">
      <c r="A42" s="32" t="str">
        <f>CONCATENATE(TEXT(K14,"DD-MMM-YYY")," to ",TEXT(K20,"DD-MMM-YYYY"))</f>
        <v>09-Oct-2023 to 15-Oct-2023</v>
      </c>
      <c r="B42" s="4">
        <f>L21</f>
        <v>184666.19999999998</v>
      </c>
      <c r="C42" s="4">
        <f t="shared" ref="C42:G42" si="36">M21</f>
        <v>430887.8</v>
      </c>
      <c r="D42" s="4">
        <f t="shared" si="36"/>
        <v>615554</v>
      </c>
      <c r="E42" s="4">
        <f t="shared" si="36"/>
        <v>259600</v>
      </c>
      <c r="F42" s="4">
        <f t="shared" si="36"/>
        <v>355954</v>
      </c>
      <c r="G42" s="4">
        <f t="shared" si="36"/>
        <v>34000</v>
      </c>
      <c r="H42" s="2">
        <f t="shared" ref="H42:H45" si="37">B42/3</f>
        <v>61555.399999999994</v>
      </c>
      <c r="K42" s="8">
        <f t="shared" si="27"/>
        <v>45228</v>
      </c>
      <c r="L42" s="2">
        <f t="shared" si="34"/>
        <v>97762.5</v>
      </c>
      <c r="M42" s="2">
        <f t="shared" si="28"/>
        <v>228112.5</v>
      </c>
      <c r="N42" s="2">
        <f t="shared" si="29"/>
        <v>325875</v>
      </c>
      <c r="O42" s="2">
        <f t="shared" si="30"/>
        <v>268800</v>
      </c>
      <c r="P42" s="2">
        <f t="shared" si="31"/>
        <v>57075</v>
      </c>
      <c r="Q42" s="2">
        <f t="shared" si="32"/>
        <v>6800</v>
      </c>
    </row>
    <row r="43" spans="1:17" x14ac:dyDescent="0.35">
      <c r="A43" s="32" t="str">
        <f>CONCATENATE(TEXT(K25,"DD-MMM-YYY")," to ",TEXT(K31,"DD-MMM-YYYY"))</f>
        <v>16-Oct-2023 to 22-Oct-2023</v>
      </c>
      <c r="B43" s="2">
        <f>L32</f>
        <v>226027.19999999998</v>
      </c>
      <c r="C43" s="2">
        <f t="shared" ref="C43:G43" si="38">M32</f>
        <v>527396.80000000005</v>
      </c>
      <c r="D43" s="2">
        <f t="shared" si="38"/>
        <v>753424</v>
      </c>
      <c r="E43" s="2">
        <f t="shared" si="38"/>
        <v>435100</v>
      </c>
      <c r="F43" s="2">
        <f t="shared" si="38"/>
        <v>318324</v>
      </c>
      <c r="G43" s="2">
        <f t="shared" si="38"/>
        <v>99950</v>
      </c>
      <c r="H43" s="2">
        <f t="shared" si="37"/>
        <v>75342.399999999994</v>
      </c>
      <c r="K43" s="3" t="s">
        <v>4</v>
      </c>
      <c r="L43" s="4">
        <f t="shared" ref="L43:Q43" si="39">SUM(L36:L42)</f>
        <v>473160.6</v>
      </c>
      <c r="M43" s="4">
        <f t="shared" si="39"/>
        <v>1104041.3999999999</v>
      </c>
      <c r="N43" s="4">
        <f t="shared" si="39"/>
        <v>1577202</v>
      </c>
      <c r="O43" s="4">
        <f t="shared" si="39"/>
        <v>1270400</v>
      </c>
      <c r="P43" s="4">
        <f t="shared" si="39"/>
        <v>306802</v>
      </c>
      <c r="Q43" s="4">
        <f t="shared" si="39"/>
        <v>263030</v>
      </c>
    </row>
    <row r="44" spans="1:17" x14ac:dyDescent="0.35">
      <c r="A44" s="32" t="str">
        <f>CONCATENATE(TEXT(K36,"DD-MMM-YYY")," to ",TEXT(K42,"DD-MMM-YYYY"))</f>
        <v>23-Oct-2023 to 29-Oct-2023</v>
      </c>
      <c r="B44" s="4">
        <f>L43</f>
        <v>473160.6</v>
      </c>
      <c r="C44" s="4">
        <f t="shared" ref="C44:G44" si="40">M43</f>
        <v>1104041.3999999999</v>
      </c>
      <c r="D44" s="4">
        <f t="shared" si="40"/>
        <v>1577202</v>
      </c>
      <c r="E44" s="4">
        <f t="shared" si="40"/>
        <v>1270400</v>
      </c>
      <c r="F44" s="4">
        <f t="shared" si="40"/>
        <v>306802</v>
      </c>
      <c r="G44" s="4">
        <f t="shared" si="40"/>
        <v>263030</v>
      </c>
      <c r="H44" s="2">
        <f t="shared" si="37"/>
        <v>157720.19999999998</v>
      </c>
      <c r="K44" s="3" t="s">
        <v>0</v>
      </c>
      <c r="L44" s="2">
        <f>L43/3</f>
        <v>157720.19999999998</v>
      </c>
      <c r="M44" s="2"/>
      <c r="N44" s="2"/>
      <c r="O44" s="2"/>
      <c r="P44" s="2"/>
      <c r="Q44" s="2"/>
    </row>
    <row r="45" spans="1:17" x14ac:dyDescent="0.35">
      <c r="A45" s="32" t="str">
        <f>CONCATENATE(TEXT(K47,"DD-MMM-YYY")," to ",TEXT(K53,"DD-MMM-YYYY"))</f>
        <v>30-Oct-2023 to 05-Nov-2023</v>
      </c>
      <c r="B45" s="2">
        <f>L54</f>
        <v>163842.6</v>
      </c>
      <c r="C45" s="2">
        <f t="shared" ref="C45:G45" si="41">M54</f>
        <v>382299.4</v>
      </c>
      <c r="D45" s="2">
        <f t="shared" si="41"/>
        <v>546142</v>
      </c>
      <c r="E45" s="2">
        <f t="shared" si="41"/>
        <v>322110</v>
      </c>
      <c r="F45" s="2">
        <f t="shared" si="41"/>
        <v>224032</v>
      </c>
      <c r="G45" s="2">
        <f t="shared" si="41"/>
        <v>11700</v>
      </c>
      <c r="H45" s="2">
        <f t="shared" si="37"/>
        <v>54614.200000000004</v>
      </c>
    </row>
    <row r="46" spans="1:17" x14ac:dyDescent="0.35">
      <c r="A46" s="32" t="str">
        <f>CONCATENATE(TEXT(K59,"DD-MMM-YYY")," to ",TEXT(K58,"DD-MMM-YYYY"))</f>
        <v>06-Oct-2023 to Date</v>
      </c>
      <c r="B46" s="4">
        <f>SUM(B41:B45)</f>
        <v>1132795.23</v>
      </c>
      <c r="C46" s="4">
        <f t="shared" ref="C46:H46" si="42">SUM(C41:C45)</f>
        <v>2643188.8699999996</v>
      </c>
      <c r="D46" s="4">
        <f t="shared" si="42"/>
        <v>3775984.1</v>
      </c>
      <c r="E46" s="4">
        <f t="shared" si="42"/>
        <v>2449780</v>
      </c>
      <c r="F46" s="4">
        <f t="shared" si="42"/>
        <v>1326204.1000000001</v>
      </c>
      <c r="G46" s="4">
        <f t="shared" si="42"/>
        <v>447910</v>
      </c>
      <c r="H46" s="4">
        <f t="shared" si="42"/>
        <v>377598.41</v>
      </c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C47" s="67" t="s">
        <v>4</v>
      </c>
      <c r="D47" s="67"/>
      <c r="E47" s="67"/>
      <c r="F47" s="67"/>
      <c r="G47" s="68"/>
      <c r="H47" s="2"/>
      <c r="K47" s="8">
        <f t="shared" ref="K47:K53" si="43">A30</f>
        <v>45229</v>
      </c>
      <c r="L47" s="2">
        <f>N47*0.3</f>
        <v>83254.5</v>
      </c>
      <c r="M47" s="2">
        <f t="shared" ref="M47:M53" si="44">N47-L47</f>
        <v>194260.5</v>
      </c>
      <c r="N47" s="2">
        <f t="shared" ref="N47:N53" si="45">O47+P47</f>
        <v>277515</v>
      </c>
      <c r="O47" s="2">
        <f t="shared" ref="O47:O52" si="46">VLOOKUP(K47,$A$1:$H$37,5,0)</f>
        <v>200000</v>
      </c>
      <c r="P47" s="2">
        <f t="shared" ref="P47:P53" si="47">VLOOKUP(K47,$A$1:$H$37,6,0)</f>
        <v>77515</v>
      </c>
      <c r="Q47" s="2">
        <f t="shared" ref="Q47:Q53" si="48">VLOOKUP(K47,$A$1:$H$37,7,0)</f>
        <v>4000</v>
      </c>
    </row>
    <row r="48" spans="1:17" x14ac:dyDescent="0.35">
      <c r="K48" s="9">
        <f t="shared" si="43"/>
        <v>45230</v>
      </c>
      <c r="L48" s="4">
        <f>N48*0.3</f>
        <v>75492</v>
      </c>
      <c r="M48" s="4">
        <f t="shared" si="44"/>
        <v>176148</v>
      </c>
      <c r="N48" s="4">
        <f t="shared" si="45"/>
        <v>251640</v>
      </c>
      <c r="O48" s="4">
        <f t="shared" si="46"/>
        <v>115000</v>
      </c>
      <c r="P48" s="4">
        <f t="shared" si="47"/>
        <v>136640</v>
      </c>
      <c r="Q48" s="4">
        <f t="shared" si="48"/>
        <v>4000</v>
      </c>
    </row>
    <row r="49" spans="11:17" x14ac:dyDescent="0.35">
      <c r="K49" s="8">
        <f t="shared" si="43"/>
        <v>45200</v>
      </c>
      <c r="L49" s="2">
        <f t="shared" ref="L49:L53" si="49">N49*0.3</f>
        <v>5096.0999999999995</v>
      </c>
      <c r="M49" s="2">
        <f t="shared" si="44"/>
        <v>11890.900000000001</v>
      </c>
      <c r="N49" s="2">
        <f t="shared" si="45"/>
        <v>16987</v>
      </c>
      <c r="O49" s="2">
        <f t="shared" si="46"/>
        <v>7110</v>
      </c>
      <c r="P49" s="2">
        <f t="shared" si="47"/>
        <v>9877</v>
      </c>
      <c r="Q49" s="2">
        <f t="shared" si="48"/>
        <v>3700</v>
      </c>
    </row>
    <row r="50" spans="11:17" x14ac:dyDescent="0.35">
      <c r="K50" s="9">
        <f t="shared" si="43"/>
        <v>45232</v>
      </c>
      <c r="L50" s="4">
        <f t="shared" si="49"/>
        <v>0</v>
      </c>
      <c r="M50" s="4">
        <f t="shared" si="44"/>
        <v>0</v>
      </c>
      <c r="N50" s="4">
        <f t="shared" si="45"/>
        <v>0</v>
      </c>
      <c r="O50" s="4">
        <f t="shared" si="46"/>
        <v>0</v>
      </c>
      <c r="P50" s="4">
        <f t="shared" si="47"/>
        <v>0</v>
      </c>
      <c r="Q50" s="4">
        <f t="shared" si="48"/>
        <v>0</v>
      </c>
    </row>
    <row r="51" spans="11:17" x14ac:dyDescent="0.35">
      <c r="K51" s="8">
        <f t="shared" si="43"/>
        <v>45233</v>
      </c>
      <c r="L51" s="2">
        <f t="shared" si="49"/>
        <v>0</v>
      </c>
      <c r="M51" s="2">
        <f t="shared" si="44"/>
        <v>0</v>
      </c>
      <c r="N51" s="2">
        <f t="shared" si="45"/>
        <v>0</v>
      </c>
      <c r="O51" s="2">
        <f t="shared" si="46"/>
        <v>0</v>
      </c>
      <c r="P51" s="2">
        <f t="shared" si="47"/>
        <v>0</v>
      </c>
      <c r="Q51" s="2">
        <f t="shared" si="48"/>
        <v>0</v>
      </c>
    </row>
    <row r="52" spans="11:17" x14ac:dyDescent="0.35">
      <c r="K52" s="9">
        <f t="shared" si="43"/>
        <v>45234</v>
      </c>
      <c r="L52" s="4">
        <f t="shared" si="49"/>
        <v>0</v>
      </c>
      <c r="M52" s="4">
        <f t="shared" si="44"/>
        <v>0</v>
      </c>
      <c r="N52" s="4">
        <f t="shared" si="45"/>
        <v>0</v>
      </c>
      <c r="O52" s="4">
        <f t="shared" si="46"/>
        <v>0</v>
      </c>
      <c r="P52" s="4">
        <f t="shared" si="47"/>
        <v>0</v>
      </c>
      <c r="Q52" s="4">
        <f t="shared" si="48"/>
        <v>0</v>
      </c>
    </row>
    <row r="53" spans="11:17" x14ac:dyDescent="0.35">
      <c r="K53" s="8">
        <f t="shared" si="43"/>
        <v>45235</v>
      </c>
      <c r="L53" s="2">
        <f t="shared" si="49"/>
        <v>0</v>
      </c>
      <c r="M53" s="2">
        <f t="shared" si="44"/>
        <v>0</v>
      </c>
      <c r="N53" s="2">
        <f t="shared" si="45"/>
        <v>0</v>
      </c>
      <c r="O53" s="2">
        <f>VLOOKUP(K53,$A$1:$H$37,5,0)</f>
        <v>0</v>
      </c>
      <c r="P53" s="2">
        <f t="shared" si="47"/>
        <v>0</v>
      </c>
      <c r="Q53" s="2">
        <f t="shared" si="48"/>
        <v>0</v>
      </c>
    </row>
    <row r="54" spans="11:17" x14ac:dyDescent="0.35">
      <c r="K54" s="3" t="s">
        <v>4</v>
      </c>
      <c r="L54" s="4">
        <f t="shared" ref="L54:Q54" si="50">SUM(L47:L53)</f>
        <v>163842.6</v>
      </c>
      <c r="M54" s="4">
        <f t="shared" si="50"/>
        <v>382299.4</v>
      </c>
      <c r="N54" s="4">
        <f t="shared" si="50"/>
        <v>546142</v>
      </c>
      <c r="O54" s="4">
        <f t="shared" si="50"/>
        <v>322110</v>
      </c>
      <c r="P54" s="4">
        <f t="shared" si="50"/>
        <v>224032</v>
      </c>
      <c r="Q54" s="4">
        <f t="shared" si="50"/>
        <v>11700</v>
      </c>
    </row>
    <row r="55" spans="11:17" x14ac:dyDescent="0.35">
      <c r="K55" s="3" t="s">
        <v>0</v>
      </c>
      <c r="L55" s="2">
        <f>L54/3</f>
        <v>54614.200000000004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A6</f>
        <v>45205</v>
      </c>
      <c r="L59" s="4">
        <f>SUM(B7:B36)</f>
        <v>1583098.9200000002</v>
      </c>
      <c r="M59" s="4">
        <f t="shared" ref="M59:Q59" si="51">SUM(C7:C36)</f>
        <v>2476129.0799999996</v>
      </c>
      <c r="N59" s="4">
        <f t="shared" si="51"/>
        <v>4059228</v>
      </c>
      <c r="O59" s="4">
        <f t="shared" si="51"/>
        <v>2414210</v>
      </c>
      <c r="P59" s="4">
        <f t="shared" si="51"/>
        <v>1233088</v>
      </c>
      <c r="Q59" s="4">
        <f t="shared" si="51"/>
        <v>411930</v>
      </c>
    </row>
    <row r="60" spans="11:17" x14ac:dyDescent="0.35">
      <c r="K60" s="3" t="s">
        <v>0</v>
      </c>
      <c r="L60" s="2">
        <f>L59/3</f>
        <v>527699.64</v>
      </c>
      <c r="M60" s="2"/>
      <c r="N60" s="2"/>
      <c r="O60" s="2"/>
      <c r="P60" s="2"/>
      <c r="Q60" s="2"/>
    </row>
  </sheetData>
  <mergeCells count="1">
    <mergeCell ref="C47:G47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B565-C527-4B27-ABBE-DDDF6A498C48}">
  <dimension ref="A1:Q60"/>
  <sheetViews>
    <sheetView zoomScale="90" zoomScaleNormal="90" workbookViewId="0">
      <pane ySplit="1" topLeftCell="A19" activePane="bottomLeft" state="frozen"/>
      <selection pane="bottomLeft" activeCell="E30" sqref="E30:G36"/>
    </sheetView>
  </sheetViews>
  <sheetFormatPr defaultColWidth="26" defaultRowHeight="14.5" x14ac:dyDescent="0.35"/>
  <cols>
    <col min="1" max="1" width="24.7265625" bestFit="1" customWidth="1"/>
    <col min="2" max="4" width="10" style="1" bestFit="1" customWidth="1"/>
    <col min="5" max="5" width="12.54296875" style="1" bestFit="1" customWidth="1"/>
    <col min="6" max="6" width="16.36328125" style="1" bestFit="1" customWidth="1"/>
    <col min="7" max="7" width="9" style="1" bestFit="1" customWidth="1"/>
    <col min="8" max="8" width="10.1796875" bestFit="1" customWidth="1"/>
    <col min="9" max="9" width="11.54296875" bestFit="1" customWidth="1"/>
    <col min="10" max="10" width="6.54296875" customWidth="1"/>
    <col min="11" max="11" width="16.81640625" bestFit="1" customWidth="1"/>
    <col min="12" max="15" width="10" bestFit="1" customWidth="1"/>
    <col min="16" max="16" width="16.36328125" bestFit="1" customWidth="1"/>
    <col min="17" max="17" width="9" bestFit="1" customWidth="1"/>
  </cols>
  <sheetData>
    <row r="1" spans="1:17" s="23" customFormat="1" ht="29" x14ac:dyDescent="0.35">
      <c r="A1" s="30" t="s">
        <v>7</v>
      </c>
      <c r="B1" s="28" t="s">
        <v>6</v>
      </c>
      <c r="C1" s="28" t="s">
        <v>5</v>
      </c>
      <c r="D1" s="28" t="s">
        <v>4</v>
      </c>
      <c r="E1" s="29" t="s">
        <v>3</v>
      </c>
      <c r="F1" s="29" t="s">
        <v>2</v>
      </c>
      <c r="G1" s="28" t="s">
        <v>1</v>
      </c>
      <c r="H1" s="27" t="s">
        <v>9</v>
      </c>
      <c r="I1" s="26" t="s">
        <v>8</v>
      </c>
      <c r="K1" s="25" t="s">
        <v>7</v>
      </c>
      <c r="L1" s="24" t="s">
        <v>6</v>
      </c>
      <c r="M1" s="24" t="s">
        <v>5</v>
      </c>
      <c r="N1" s="24" t="s">
        <v>4</v>
      </c>
      <c r="O1" s="24" t="s">
        <v>3</v>
      </c>
      <c r="P1" s="24" t="s">
        <v>2</v>
      </c>
      <c r="Q1" s="24" t="s">
        <v>1</v>
      </c>
    </row>
    <row r="2" spans="1:17" x14ac:dyDescent="0.35">
      <c r="A2" s="21">
        <v>45229</v>
      </c>
      <c r="B2" s="20">
        <f t="shared" ref="B2:B36" si="0">D2*0.39</f>
        <v>108230.85</v>
      </c>
      <c r="C2" s="20">
        <f t="shared" ref="C2:C36" si="1">D2-B2</f>
        <v>169284.15</v>
      </c>
      <c r="D2" s="20">
        <f t="shared" ref="D2:D36" si="2">E2+F2</f>
        <v>277515</v>
      </c>
      <c r="E2" s="20">
        <v>200000</v>
      </c>
      <c r="F2" s="20">
        <v>77515</v>
      </c>
      <c r="G2" s="20">
        <v>4000</v>
      </c>
      <c r="H2" s="19">
        <f t="shared" ref="H2:H36" si="3">IFERROR(B2/C2,0)</f>
        <v>0.63934426229508201</v>
      </c>
      <c r="I2" s="18">
        <f>SUM($D$2:D2)-SUM($G$2:G2)</f>
        <v>273515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1">
        <v>45230</v>
      </c>
      <c r="B3" s="20">
        <f t="shared" si="0"/>
        <v>98139.6</v>
      </c>
      <c r="C3" s="20">
        <f t="shared" si="1"/>
        <v>153500.4</v>
      </c>
      <c r="D3" s="20">
        <f t="shared" si="2"/>
        <v>251640</v>
      </c>
      <c r="E3" s="20">
        <v>115000</v>
      </c>
      <c r="F3" s="20">
        <v>136640</v>
      </c>
      <c r="G3" s="20">
        <v>4000</v>
      </c>
      <c r="H3" s="19">
        <f t="shared" si="3"/>
        <v>0.63934426229508201</v>
      </c>
      <c r="I3" s="18">
        <f>SUM($D$2:D3)-SUM($G$2:G3)</f>
        <v>521155</v>
      </c>
      <c r="K3" s="8">
        <f t="shared" ref="K3:K9" si="4">A2</f>
        <v>45229</v>
      </c>
      <c r="L3" s="2">
        <f>N3*0.3</f>
        <v>83254.5</v>
      </c>
      <c r="M3" s="2">
        <f t="shared" ref="M3:M9" si="5">N3-L3</f>
        <v>194260.5</v>
      </c>
      <c r="N3" s="2">
        <f t="shared" ref="N3:N9" si="6">O3+P3</f>
        <v>277515</v>
      </c>
      <c r="O3" s="2">
        <f t="shared" ref="O3:O9" si="7">VLOOKUP(K3,$A$1:$H$37,5,0)</f>
        <v>200000</v>
      </c>
      <c r="P3" s="2">
        <f t="shared" ref="P3:P9" si="8">VLOOKUP(K3,$A$1:$H$37,6,0)</f>
        <v>77515</v>
      </c>
      <c r="Q3" s="2">
        <f t="shared" ref="Q3:Q9" si="9">VLOOKUP(K3,$A$1:$H$37,7,0)</f>
        <v>4000</v>
      </c>
    </row>
    <row r="4" spans="1:17" x14ac:dyDescent="0.35">
      <c r="A4" s="21">
        <v>45231</v>
      </c>
      <c r="B4" s="20">
        <f t="shared" si="0"/>
        <v>54093</v>
      </c>
      <c r="C4" s="20">
        <f t="shared" si="1"/>
        <v>84607</v>
      </c>
      <c r="D4" s="20">
        <f t="shared" si="2"/>
        <v>138700</v>
      </c>
      <c r="E4" s="22">
        <v>110000</v>
      </c>
      <c r="F4" s="22">
        <v>28700</v>
      </c>
      <c r="G4" s="22">
        <v>104000</v>
      </c>
      <c r="H4" s="19">
        <f t="shared" si="3"/>
        <v>0.63934426229508201</v>
      </c>
      <c r="I4" s="18">
        <f>SUM($D$2:D4)-SUM($G$2:G4)</f>
        <v>555855</v>
      </c>
      <c r="K4" s="9">
        <f t="shared" si="4"/>
        <v>45230</v>
      </c>
      <c r="L4" s="4">
        <f>N4*0.3</f>
        <v>75492</v>
      </c>
      <c r="M4" s="4">
        <f t="shared" si="5"/>
        <v>176148</v>
      </c>
      <c r="N4" s="4">
        <f t="shared" si="6"/>
        <v>251640</v>
      </c>
      <c r="O4" s="4">
        <f t="shared" si="7"/>
        <v>115000</v>
      </c>
      <c r="P4" s="4">
        <f t="shared" si="8"/>
        <v>136640</v>
      </c>
      <c r="Q4" s="4">
        <f t="shared" si="9"/>
        <v>4000</v>
      </c>
    </row>
    <row r="5" spans="1:17" x14ac:dyDescent="0.35">
      <c r="A5" s="21">
        <v>45232</v>
      </c>
      <c r="B5" s="20">
        <f t="shared" si="0"/>
        <v>89505</v>
      </c>
      <c r="C5" s="20">
        <f t="shared" si="1"/>
        <v>139995</v>
      </c>
      <c r="D5" s="20">
        <f t="shared" si="2"/>
        <v>229500</v>
      </c>
      <c r="E5" s="20">
        <v>94000</v>
      </c>
      <c r="F5" s="20">
        <v>135500</v>
      </c>
      <c r="G5" s="20">
        <v>51140</v>
      </c>
      <c r="H5" s="19">
        <f t="shared" si="3"/>
        <v>0.63934426229508201</v>
      </c>
      <c r="I5" s="18">
        <f>SUM($D$2:D5)-SUM($G$2:G5)</f>
        <v>734215</v>
      </c>
      <c r="K5" s="8">
        <f t="shared" si="4"/>
        <v>45231</v>
      </c>
      <c r="L5" s="2">
        <f t="shared" ref="L5:L9" si="10">N5*0.3</f>
        <v>41610</v>
      </c>
      <c r="M5" s="2">
        <f t="shared" si="5"/>
        <v>97090</v>
      </c>
      <c r="N5" s="2">
        <f t="shared" si="6"/>
        <v>138700</v>
      </c>
      <c r="O5" s="2">
        <f t="shared" si="7"/>
        <v>110000</v>
      </c>
      <c r="P5" s="2">
        <f t="shared" si="8"/>
        <v>28700</v>
      </c>
      <c r="Q5" s="2">
        <f t="shared" si="9"/>
        <v>104000</v>
      </c>
    </row>
    <row r="6" spans="1:17" x14ac:dyDescent="0.35">
      <c r="A6" s="21">
        <v>45233</v>
      </c>
      <c r="B6" s="20">
        <f t="shared" si="0"/>
        <v>119940.6</v>
      </c>
      <c r="C6" s="20">
        <f t="shared" si="1"/>
        <v>187599.4</v>
      </c>
      <c r="D6" s="20">
        <f t="shared" si="2"/>
        <v>307540</v>
      </c>
      <c r="E6" s="20">
        <v>211600</v>
      </c>
      <c r="F6" s="20">
        <v>95940</v>
      </c>
      <c r="G6" s="20">
        <v>5400</v>
      </c>
      <c r="H6" s="19">
        <f t="shared" si="3"/>
        <v>0.63934426229508201</v>
      </c>
      <c r="I6" s="18">
        <f>SUM($D$2:D6)-SUM($G$2:G6)</f>
        <v>1036355</v>
      </c>
      <c r="K6" s="9">
        <f t="shared" si="4"/>
        <v>45232</v>
      </c>
      <c r="L6" s="4">
        <f t="shared" si="10"/>
        <v>68850</v>
      </c>
      <c r="M6" s="4">
        <f t="shared" si="5"/>
        <v>160650</v>
      </c>
      <c r="N6" s="4">
        <f t="shared" si="6"/>
        <v>229500</v>
      </c>
      <c r="O6" s="4">
        <f t="shared" si="7"/>
        <v>94000</v>
      </c>
      <c r="P6" s="4">
        <f t="shared" si="8"/>
        <v>135500</v>
      </c>
      <c r="Q6" s="4">
        <f t="shared" si="9"/>
        <v>51140</v>
      </c>
    </row>
    <row r="7" spans="1:17" x14ac:dyDescent="0.35">
      <c r="A7" s="21">
        <v>45234</v>
      </c>
      <c r="B7" s="20">
        <f t="shared" si="0"/>
        <v>142842.57</v>
      </c>
      <c r="C7" s="20">
        <f t="shared" si="1"/>
        <v>223420.43</v>
      </c>
      <c r="D7" s="20">
        <f t="shared" si="2"/>
        <v>366263</v>
      </c>
      <c r="E7" s="22">
        <v>236000</v>
      </c>
      <c r="F7" s="22">
        <v>130263</v>
      </c>
      <c r="G7" s="22">
        <v>7500</v>
      </c>
      <c r="H7" s="19">
        <f t="shared" si="3"/>
        <v>0.63934426229508201</v>
      </c>
      <c r="I7" s="18">
        <f>SUM($D$2:D7)-SUM($G$2:G7)</f>
        <v>1395118</v>
      </c>
      <c r="K7" s="8">
        <f t="shared" si="4"/>
        <v>45233</v>
      </c>
      <c r="L7" s="2">
        <f t="shared" si="10"/>
        <v>92262</v>
      </c>
      <c r="M7" s="2">
        <f t="shared" si="5"/>
        <v>215278</v>
      </c>
      <c r="N7" s="2">
        <f t="shared" si="6"/>
        <v>307540</v>
      </c>
      <c r="O7" s="2">
        <f t="shared" si="7"/>
        <v>211600</v>
      </c>
      <c r="P7" s="2">
        <f t="shared" si="8"/>
        <v>95940</v>
      </c>
      <c r="Q7" s="2">
        <f t="shared" si="9"/>
        <v>5400</v>
      </c>
    </row>
    <row r="8" spans="1:17" x14ac:dyDescent="0.35">
      <c r="A8" s="21">
        <v>45235</v>
      </c>
      <c r="B8" s="20">
        <f t="shared" si="0"/>
        <v>101868</v>
      </c>
      <c r="C8" s="20">
        <f t="shared" si="1"/>
        <v>159332</v>
      </c>
      <c r="D8" s="20">
        <f t="shared" si="2"/>
        <v>261200</v>
      </c>
      <c r="E8" s="22">
        <v>193000</v>
      </c>
      <c r="F8" s="22">
        <v>68200</v>
      </c>
      <c r="G8" s="22">
        <v>8900</v>
      </c>
      <c r="H8" s="19">
        <f t="shared" si="3"/>
        <v>0.63934426229508201</v>
      </c>
      <c r="I8" s="18">
        <f>SUM($D$2:D8)-SUM($G$2:G8)</f>
        <v>1647418</v>
      </c>
      <c r="K8" s="9">
        <f t="shared" si="4"/>
        <v>45234</v>
      </c>
      <c r="L8" s="4">
        <f t="shared" si="10"/>
        <v>109878.9</v>
      </c>
      <c r="M8" s="4">
        <f t="shared" si="5"/>
        <v>256384.1</v>
      </c>
      <c r="N8" s="4">
        <f t="shared" si="6"/>
        <v>366263</v>
      </c>
      <c r="O8" s="4">
        <f t="shared" si="7"/>
        <v>236000</v>
      </c>
      <c r="P8" s="4">
        <f t="shared" si="8"/>
        <v>130263</v>
      </c>
      <c r="Q8" s="4">
        <f t="shared" si="9"/>
        <v>7500</v>
      </c>
    </row>
    <row r="9" spans="1:17" x14ac:dyDescent="0.35">
      <c r="A9" s="21">
        <v>45236</v>
      </c>
      <c r="B9" s="20">
        <f t="shared" si="0"/>
        <v>91776.75</v>
      </c>
      <c r="C9" s="20">
        <f t="shared" si="1"/>
        <v>143548.25</v>
      </c>
      <c r="D9" s="20">
        <f t="shared" si="2"/>
        <v>235325</v>
      </c>
      <c r="E9" s="20">
        <f>159500+7700</f>
        <v>167200</v>
      </c>
      <c r="F9" s="20">
        <v>68125</v>
      </c>
      <c r="G9" s="20">
        <v>77000</v>
      </c>
      <c r="H9" s="19">
        <f t="shared" si="3"/>
        <v>0.63934426229508201</v>
      </c>
      <c r="I9" s="18">
        <f>SUM($D$2:D9)-SUM($G$2:G9)</f>
        <v>1805743</v>
      </c>
      <c r="K9" s="8">
        <f t="shared" si="4"/>
        <v>45235</v>
      </c>
      <c r="L9" s="2">
        <f t="shared" si="10"/>
        <v>78360</v>
      </c>
      <c r="M9" s="2">
        <f t="shared" si="5"/>
        <v>182840</v>
      </c>
      <c r="N9" s="2">
        <f t="shared" si="6"/>
        <v>261200</v>
      </c>
      <c r="O9" s="2">
        <f t="shared" si="7"/>
        <v>193000</v>
      </c>
      <c r="P9" s="2">
        <f t="shared" si="8"/>
        <v>68200</v>
      </c>
      <c r="Q9" s="2">
        <f t="shared" si="9"/>
        <v>8900</v>
      </c>
    </row>
    <row r="10" spans="1:17" x14ac:dyDescent="0.35">
      <c r="A10" s="21">
        <v>45237</v>
      </c>
      <c r="B10" s="20">
        <f t="shared" si="0"/>
        <v>75453.3</v>
      </c>
      <c r="C10" s="20">
        <f t="shared" si="1"/>
        <v>118016.7</v>
      </c>
      <c r="D10" s="20">
        <f t="shared" si="2"/>
        <v>193470</v>
      </c>
      <c r="E10" s="20">
        <f>83500+67000</f>
        <v>150500</v>
      </c>
      <c r="F10" s="20">
        <v>42970</v>
      </c>
      <c r="G10" s="20">
        <v>67000</v>
      </c>
      <c r="H10" s="19">
        <f t="shared" si="3"/>
        <v>0.63934426229508201</v>
      </c>
      <c r="I10" s="18">
        <f>SUM($D$2:D10)-SUM($G$2:G10)</f>
        <v>1932213</v>
      </c>
      <c r="K10" s="3" t="s">
        <v>4</v>
      </c>
      <c r="L10" s="3">
        <f>SUM(L3:L9)</f>
        <v>549707.4</v>
      </c>
      <c r="M10" s="3">
        <f>SUM(M2:M9)</f>
        <v>1282650.6000000001</v>
      </c>
      <c r="N10" s="3">
        <f>SUM(N2:N9)</f>
        <v>1832358</v>
      </c>
      <c r="O10" s="3">
        <f>SUM(O2:O9)</f>
        <v>1159600</v>
      </c>
      <c r="P10" s="3">
        <f>SUM(P2:P9)</f>
        <v>672758</v>
      </c>
      <c r="Q10" s="3">
        <f>SUM(Q2:Q9)</f>
        <v>184940</v>
      </c>
    </row>
    <row r="11" spans="1:17" x14ac:dyDescent="0.35">
      <c r="A11" s="21">
        <v>45238</v>
      </c>
      <c r="B11" s="20">
        <f t="shared" si="0"/>
        <v>76598.73</v>
      </c>
      <c r="C11" s="20">
        <f t="shared" si="1"/>
        <v>119808.27</v>
      </c>
      <c r="D11" s="20">
        <f t="shared" si="2"/>
        <v>196407</v>
      </c>
      <c r="E11" s="20">
        <f>70400+52900</f>
        <v>123300</v>
      </c>
      <c r="F11" s="20">
        <v>73107</v>
      </c>
      <c r="G11" s="20">
        <v>52900</v>
      </c>
      <c r="H11" s="19">
        <f t="shared" si="3"/>
        <v>0.6393442622950819</v>
      </c>
      <c r="I11" s="18">
        <f>SUM($D$2:D11)-SUM($G$2:G11)</f>
        <v>2075720</v>
      </c>
      <c r="K11" s="3" t="s">
        <v>0</v>
      </c>
      <c r="L11" s="3">
        <f>L10/3</f>
        <v>183235.80000000002</v>
      </c>
      <c r="M11" s="3"/>
      <c r="N11" s="3"/>
      <c r="O11" s="2"/>
      <c r="P11" s="2"/>
      <c r="Q11" s="2"/>
    </row>
    <row r="12" spans="1:17" x14ac:dyDescent="0.35">
      <c r="A12" s="21">
        <v>45239</v>
      </c>
      <c r="B12" s="20">
        <f t="shared" si="0"/>
        <v>76691.16</v>
      </c>
      <c r="C12" s="20">
        <f t="shared" si="1"/>
        <v>119952.84</v>
      </c>
      <c r="D12" s="20">
        <f t="shared" si="2"/>
        <v>196644</v>
      </c>
      <c r="E12" s="20">
        <f>146000+4000</f>
        <v>150000</v>
      </c>
      <c r="F12" s="20">
        <v>46644</v>
      </c>
      <c r="G12" s="20">
        <v>4000</v>
      </c>
      <c r="H12" s="19">
        <f t="shared" si="3"/>
        <v>0.63934426229508201</v>
      </c>
      <c r="I12" s="18">
        <f>SUM($D$2:D12)-SUM($G$2:G12)</f>
        <v>2268364</v>
      </c>
    </row>
    <row r="13" spans="1:17" x14ac:dyDescent="0.35">
      <c r="A13" s="21">
        <v>45240</v>
      </c>
      <c r="B13" s="20">
        <f t="shared" si="0"/>
        <v>46961.85</v>
      </c>
      <c r="C13" s="20">
        <f t="shared" si="1"/>
        <v>73453.149999999994</v>
      </c>
      <c r="D13" s="20">
        <f t="shared" si="2"/>
        <v>120415</v>
      </c>
      <c r="E13" s="20">
        <f>82000+4000</f>
        <v>86000</v>
      </c>
      <c r="F13" s="20">
        <v>34415</v>
      </c>
      <c r="G13" s="20">
        <v>4000</v>
      </c>
      <c r="H13" s="19">
        <f t="shared" si="3"/>
        <v>0.63934426229508201</v>
      </c>
      <c r="I13" s="18">
        <f>SUM($D$2:D13)-SUM($G$2:G13)</f>
        <v>2384779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1">
        <v>45241</v>
      </c>
      <c r="B14" s="20">
        <f t="shared" si="0"/>
        <v>42564.6</v>
      </c>
      <c r="C14" s="20">
        <f t="shared" si="1"/>
        <v>66575.399999999994</v>
      </c>
      <c r="D14" s="20">
        <f t="shared" si="2"/>
        <v>109140</v>
      </c>
      <c r="E14" s="20">
        <f>70000+4000</f>
        <v>74000</v>
      </c>
      <c r="F14" s="20">
        <v>35140</v>
      </c>
      <c r="G14" s="20">
        <v>4000</v>
      </c>
      <c r="H14" s="19">
        <f t="shared" si="3"/>
        <v>0.63934426229508201</v>
      </c>
      <c r="I14" s="18">
        <f>SUM($D$2:D14)-SUM($G$2:G14)</f>
        <v>2489919</v>
      </c>
      <c r="K14" s="8">
        <f t="shared" ref="K14:K20" si="11">A9</f>
        <v>45236</v>
      </c>
      <c r="L14" s="2">
        <f>N14*0.3</f>
        <v>70597.5</v>
      </c>
      <c r="M14" s="2">
        <f t="shared" ref="M14:M20" si="12">N14-L14</f>
        <v>164727.5</v>
      </c>
      <c r="N14" s="2">
        <f t="shared" ref="N14:N20" si="13">O14+P14</f>
        <v>235325</v>
      </c>
      <c r="O14" s="2">
        <f t="shared" ref="O14:O20" si="14">VLOOKUP(K14,$A$1:$H$37,5,0)</f>
        <v>167200</v>
      </c>
      <c r="P14" s="2">
        <f t="shared" ref="P14:P20" si="15">VLOOKUP(K14,$A$1:$H$37,6,0)</f>
        <v>68125</v>
      </c>
      <c r="Q14" s="2">
        <f t="shared" ref="Q14:Q20" si="16">VLOOKUP(K14,$A$1:$H$37,7,0)</f>
        <v>77000</v>
      </c>
    </row>
    <row r="15" spans="1:17" x14ac:dyDescent="0.35">
      <c r="A15" s="21">
        <v>45242</v>
      </c>
      <c r="B15" s="20">
        <f t="shared" si="0"/>
        <v>4414.8</v>
      </c>
      <c r="C15" s="20">
        <f t="shared" si="1"/>
        <v>6905.2</v>
      </c>
      <c r="D15" s="20">
        <f t="shared" si="2"/>
        <v>11320</v>
      </c>
      <c r="E15" s="20">
        <v>7550</v>
      </c>
      <c r="F15" s="20">
        <v>3770</v>
      </c>
      <c r="G15" s="20">
        <v>1000</v>
      </c>
      <c r="H15" s="19">
        <f t="shared" si="3"/>
        <v>0.63934426229508201</v>
      </c>
      <c r="I15" s="18">
        <f>SUM($D$2:D15)-SUM($G$2:G15)</f>
        <v>2500239</v>
      </c>
      <c r="K15" s="9">
        <f t="shared" si="11"/>
        <v>45237</v>
      </c>
      <c r="L15" s="4">
        <f>N15*0.3</f>
        <v>58041</v>
      </c>
      <c r="M15" s="4">
        <f t="shared" si="12"/>
        <v>135429</v>
      </c>
      <c r="N15" s="4">
        <f t="shared" si="13"/>
        <v>193470</v>
      </c>
      <c r="O15" s="4">
        <f t="shared" si="14"/>
        <v>150500</v>
      </c>
      <c r="P15" s="4">
        <f t="shared" si="15"/>
        <v>42970</v>
      </c>
      <c r="Q15" s="4">
        <f t="shared" si="16"/>
        <v>67000</v>
      </c>
    </row>
    <row r="16" spans="1:17" x14ac:dyDescent="0.35">
      <c r="A16" s="21">
        <v>45243</v>
      </c>
      <c r="B16" s="20">
        <f t="shared" si="0"/>
        <v>5401.5</v>
      </c>
      <c r="C16" s="20">
        <f t="shared" si="1"/>
        <v>8448.5</v>
      </c>
      <c r="D16" s="20">
        <f t="shared" si="2"/>
        <v>13850</v>
      </c>
      <c r="E16" s="20">
        <v>7500</v>
      </c>
      <c r="F16" s="20">
        <v>6350</v>
      </c>
      <c r="G16" s="20">
        <v>1000</v>
      </c>
      <c r="H16" s="19">
        <f t="shared" si="3"/>
        <v>0.63934426229508201</v>
      </c>
      <c r="I16" s="18">
        <f>SUM($D$2:D16)-SUM($G$2:G16)</f>
        <v>2513089</v>
      </c>
      <c r="K16" s="8">
        <f t="shared" si="11"/>
        <v>45238</v>
      </c>
      <c r="L16" s="2">
        <f t="shared" ref="L16:L20" si="17">N16*0.3</f>
        <v>58922.1</v>
      </c>
      <c r="M16" s="2">
        <f t="shared" si="12"/>
        <v>137484.9</v>
      </c>
      <c r="N16" s="2">
        <f t="shared" si="13"/>
        <v>196407</v>
      </c>
      <c r="O16" s="2">
        <f t="shared" si="14"/>
        <v>123300</v>
      </c>
      <c r="P16" s="2">
        <f t="shared" si="15"/>
        <v>73107</v>
      </c>
      <c r="Q16" s="2">
        <f t="shared" si="16"/>
        <v>52900</v>
      </c>
    </row>
    <row r="17" spans="1:17" x14ac:dyDescent="0.35">
      <c r="A17" s="21">
        <v>45244</v>
      </c>
      <c r="B17" s="20">
        <f t="shared" si="0"/>
        <v>3685.5</v>
      </c>
      <c r="C17" s="20">
        <f t="shared" si="1"/>
        <v>5764.5</v>
      </c>
      <c r="D17" s="20">
        <f t="shared" si="2"/>
        <v>9450</v>
      </c>
      <c r="E17" s="20">
        <v>8600</v>
      </c>
      <c r="F17" s="20">
        <v>850</v>
      </c>
      <c r="G17" s="20">
        <v>200</v>
      </c>
      <c r="H17" s="19">
        <f t="shared" si="3"/>
        <v>0.63934426229508201</v>
      </c>
      <c r="I17" s="18">
        <f>SUM($D$2:D17)-SUM($G$2:G17)</f>
        <v>2522339</v>
      </c>
      <c r="K17" s="9">
        <f t="shared" si="11"/>
        <v>45239</v>
      </c>
      <c r="L17" s="4">
        <f t="shared" si="17"/>
        <v>58993.2</v>
      </c>
      <c r="M17" s="4">
        <f t="shared" si="12"/>
        <v>137650.79999999999</v>
      </c>
      <c r="N17" s="4">
        <f t="shared" si="13"/>
        <v>196644</v>
      </c>
      <c r="O17" s="4">
        <f t="shared" si="14"/>
        <v>150000</v>
      </c>
      <c r="P17" s="4">
        <f t="shared" si="15"/>
        <v>46644</v>
      </c>
      <c r="Q17" s="4">
        <f t="shared" si="16"/>
        <v>4000</v>
      </c>
    </row>
    <row r="18" spans="1:17" x14ac:dyDescent="0.35">
      <c r="A18" s="21">
        <v>45245</v>
      </c>
      <c r="B18" s="20">
        <f t="shared" si="0"/>
        <v>7082.4000000000005</v>
      </c>
      <c r="C18" s="20">
        <f t="shared" si="1"/>
        <v>11077.599999999999</v>
      </c>
      <c r="D18" s="20">
        <f t="shared" si="2"/>
        <v>18160</v>
      </c>
      <c r="E18" s="20">
        <v>11800</v>
      </c>
      <c r="F18" s="20">
        <v>6360</v>
      </c>
      <c r="G18" s="20">
        <v>800</v>
      </c>
      <c r="H18" s="19">
        <f t="shared" si="3"/>
        <v>0.63934426229508212</v>
      </c>
      <c r="I18" s="18">
        <f>SUM($D$2:D18)-SUM($G$2:G18)</f>
        <v>2539699</v>
      </c>
      <c r="K18" s="8">
        <f t="shared" si="11"/>
        <v>45240</v>
      </c>
      <c r="L18" s="2">
        <f t="shared" si="17"/>
        <v>36124.5</v>
      </c>
      <c r="M18" s="2">
        <f t="shared" si="12"/>
        <v>84290.5</v>
      </c>
      <c r="N18" s="2">
        <f t="shared" si="13"/>
        <v>120415</v>
      </c>
      <c r="O18" s="2">
        <f t="shared" si="14"/>
        <v>86000</v>
      </c>
      <c r="P18" s="2">
        <f t="shared" si="15"/>
        <v>34415</v>
      </c>
      <c r="Q18" s="2">
        <f t="shared" si="16"/>
        <v>4000</v>
      </c>
    </row>
    <row r="19" spans="1:17" x14ac:dyDescent="0.35">
      <c r="A19" s="21">
        <v>45246</v>
      </c>
      <c r="B19" s="20">
        <f t="shared" si="0"/>
        <v>0</v>
      </c>
      <c r="C19" s="20">
        <f t="shared" si="1"/>
        <v>0</v>
      </c>
      <c r="D19" s="20">
        <f t="shared" si="2"/>
        <v>0</v>
      </c>
      <c r="E19" s="20"/>
      <c r="F19" s="20"/>
      <c r="G19" s="20"/>
      <c r="H19" s="19">
        <f t="shared" si="3"/>
        <v>0</v>
      </c>
      <c r="I19" s="18">
        <f>SUM($D$2:D19)-SUM($G$2:G19)</f>
        <v>2539699</v>
      </c>
      <c r="K19" s="9">
        <f t="shared" si="11"/>
        <v>45241</v>
      </c>
      <c r="L19" s="4">
        <f t="shared" si="17"/>
        <v>32742</v>
      </c>
      <c r="M19" s="4">
        <f t="shared" si="12"/>
        <v>76398</v>
      </c>
      <c r="N19" s="4">
        <f t="shared" si="13"/>
        <v>109140</v>
      </c>
      <c r="O19" s="4">
        <f t="shared" si="14"/>
        <v>74000</v>
      </c>
      <c r="P19" s="4">
        <f t="shared" si="15"/>
        <v>35140</v>
      </c>
      <c r="Q19" s="4">
        <f t="shared" si="16"/>
        <v>4000</v>
      </c>
    </row>
    <row r="20" spans="1:17" x14ac:dyDescent="0.35">
      <c r="A20" s="21">
        <v>45247</v>
      </c>
      <c r="B20" s="20">
        <f t="shared" si="0"/>
        <v>0</v>
      </c>
      <c r="C20" s="20">
        <f t="shared" si="1"/>
        <v>0</v>
      </c>
      <c r="D20" s="20">
        <f t="shared" si="2"/>
        <v>0</v>
      </c>
      <c r="E20" s="20"/>
      <c r="F20" s="20"/>
      <c r="G20" s="20"/>
      <c r="H20" s="19">
        <f t="shared" si="3"/>
        <v>0</v>
      </c>
      <c r="I20" s="18">
        <f>SUM($D$2:D20)-SUM($G$2:G20)</f>
        <v>2539699</v>
      </c>
      <c r="K20" s="8">
        <f t="shared" si="11"/>
        <v>45242</v>
      </c>
      <c r="L20" s="2">
        <f t="shared" si="17"/>
        <v>3396</v>
      </c>
      <c r="M20" s="2">
        <f t="shared" si="12"/>
        <v>7924</v>
      </c>
      <c r="N20" s="2">
        <f t="shared" si="13"/>
        <v>11320</v>
      </c>
      <c r="O20" s="2">
        <f t="shared" si="14"/>
        <v>7550</v>
      </c>
      <c r="P20" s="2">
        <f t="shared" si="15"/>
        <v>3770</v>
      </c>
      <c r="Q20" s="2">
        <f t="shared" si="16"/>
        <v>1000</v>
      </c>
    </row>
    <row r="21" spans="1:17" x14ac:dyDescent="0.35">
      <c r="A21" s="21">
        <v>45248</v>
      </c>
      <c r="B21" s="20">
        <f t="shared" si="0"/>
        <v>0</v>
      </c>
      <c r="C21" s="20">
        <f t="shared" si="1"/>
        <v>0</v>
      </c>
      <c r="D21" s="20">
        <f t="shared" si="2"/>
        <v>0</v>
      </c>
      <c r="E21" s="20"/>
      <c r="F21" s="20"/>
      <c r="G21" s="20"/>
      <c r="H21" s="19">
        <f t="shared" si="3"/>
        <v>0</v>
      </c>
      <c r="I21" s="18">
        <f>SUM($D$2:D21)-SUM($G$2:G21)</f>
        <v>2539699</v>
      </c>
      <c r="K21" s="3" t="s">
        <v>4</v>
      </c>
      <c r="L21" s="3">
        <f t="shared" ref="L21:Q21" si="18">SUM(L14:L20)</f>
        <v>318816.3</v>
      </c>
      <c r="M21" s="3">
        <f t="shared" si="18"/>
        <v>743904.7</v>
      </c>
      <c r="N21" s="3">
        <f t="shared" si="18"/>
        <v>1062721</v>
      </c>
      <c r="O21" s="3">
        <f t="shared" si="18"/>
        <v>758550</v>
      </c>
      <c r="P21" s="3">
        <f t="shared" si="18"/>
        <v>304171</v>
      </c>
      <c r="Q21" s="3">
        <f t="shared" si="18"/>
        <v>209900</v>
      </c>
    </row>
    <row r="22" spans="1:17" x14ac:dyDescent="0.35">
      <c r="A22" s="21">
        <v>45249</v>
      </c>
      <c r="B22" s="20">
        <f t="shared" si="0"/>
        <v>0</v>
      </c>
      <c r="C22" s="20">
        <f t="shared" si="1"/>
        <v>0</v>
      </c>
      <c r="D22" s="20">
        <f t="shared" si="2"/>
        <v>0</v>
      </c>
      <c r="E22" s="20"/>
      <c r="F22" s="20"/>
      <c r="G22" s="20"/>
      <c r="H22" s="19">
        <f t="shared" si="3"/>
        <v>0</v>
      </c>
      <c r="I22" s="18">
        <f>SUM($D$2:D22)-SUM($G$2:G22)</f>
        <v>2539699</v>
      </c>
      <c r="K22" s="3" t="s">
        <v>0</v>
      </c>
      <c r="L22" s="3">
        <f>L21/3</f>
        <v>106272.09999999999</v>
      </c>
      <c r="M22" s="3"/>
      <c r="N22" s="3">
        <f>M22+L22</f>
        <v>106272.09999999999</v>
      </c>
      <c r="O22" s="2"/>
      <c r="P22" s="2"/>
      <c r="Q22" s="2"/>
    </row>
    <row r="23" spans="1:17" x14ac:dyDescent="0.35">
      <c r="A23" s="21">
        <v>45250</v>
      </c>
      <c r="B23" s="20">
        <f t="shared" si="0"/>
        <v>12513.15</v>
      </c>
      <c r="C23" s="20">
        <f t="shared" si="1"/>
        <v>19571.849999999999</v>
      </c>
      <c r="D23" s="20">
        <f t="shared" si="2"/>
        <v>32085</v>
      </c>
      <c r="E23" s="20">
        <v>22530</v>
      </c>
      <c r="F23" s="20">
        <v>9555</v>
      </c>
      <c r="G23" s="20">
        <v>2060</v>
      </c>
      <c r="H23" s="19">
        <f t="shared" si="3"/>
        <v>0.63934426229508201</v>
      </c>
      <c r="I23" s="18">
        <f>SUM($D$2:D23)-SUM($G$2:G23)</f>
        <v>2569724</v>
      </c>
      <c r="M23" t="s">
        <v>19</v>
      </c>
    </row>
    <row r="24" spans="1:17" x14ac:dyDescent="0.35">
      <c r="A24" s="21">
        <v>45251</v>
      </c>
      <c r="B24" s="20">
        <f t="shared" si="0"/>
        <v>7842.9000000000005</v>
      </c>
      <c r="C24" s="20">
        <f t="shared" si="1"/>
        <v>12267.099999999999</v>
      </c>
      <c r="D24" s="20">
        <f t="shared" si="2"/>
        <v>20110</v>
      </c>
      <c r="E24" s="20">
        <v>15960</v>
      </c>
      <c r="F24" s="20">
        <v>4150</v>
      </c>
      <c r="G24" s="20">
        <v>34000</v>
      </c>
      <c r="H24" s="19">
        <f t="shared" si="3"/>
        <v>0.63934426229508212</v>
      </c>
      <c r="I24" s="18">
        <f>SUM($D$2:D24)-SUM($G$2:G24)</f>
        <v>2555834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1">
        <v>45252</v>
      </c>
      <c r="B25" s="20">
        <f t="shared" si="0"/>
        <v>2733.9</v>
      </c>
      <c r="C25" s="20">
        <f t="shared" si="1"/>
        <v>4276.1000000000004</v>
      </c>
      <c r="D25" s="20">
        <f t="shared" si="2"/>
        <v>7010</v>
      </c>
      <c r="E25" s="20">
        <v>5380</v>
      </c>
      <c r="F25" s="20">
        <v>1630</v>
      </c>
      <c r="G25" s="20">
        <v>2470</v>
      </c>
      <c r="H25" s="19">
        <f t="shared" si="3"/>
        <v>0.6393442622950819</v>
      </c>
      <c r="I25" s="18">
        <f>SUM($D$2:D25)-SUM($G$2:G25)</f>
        <v>2560374</v>
      </c>
      <c r="K25" s="8">
        <f t="shared" ref="K25:K31" si="19">A16</f>
        <v>45243</v>
      </c>
      <c r="L25" s="2">
        <f>N25*0.3</f>
        <v>1905</v>
      </c>
      <c r="M25" s="2">
        <f t="shared" ref="M25:M31" si="20">N25-L25</f>
        <v>4445</v>
      </c>
      <c r="N25" s="2">
        <f t="shared" ref="N25:N31" si="21">O25+P25</f>
        <v>6350</v>
      </c>
      <c r="O25" s="2">
        <v>0</v>
      </c>
      <c r="P25" s="2">
        <f t="shared" ref="P25:P31" si="22">VLOOKUP(K25,$A$1:$H$37,6,0)</f>
        <v>6350</v>
      </c>
      <c r="Q25" s="2">
        <f t="shared" ref="Q25:Q31" si="23">VLOOKUP(K25,$A$1:$H$37,7,0)</f>
        <v>1000</v>
      </c>
    </row>
    <row r="26" spans="1:17" x14ac:dyDescent="0.35">
      <c r="A26" s="21">
        <v>45253</v>
      </c>
      <c r="B26" s="20">
        <f t="shared" si="0"/>
        <v>11891.1</v>
      </c>
      <c r="C26" s="20">
        <f t="shared" si="1"/>
        <v>18598.900000000001</v>
      </c>
      <c r="D26" s="20">
        <f t="shared" si="2"/>
        <v>30490</v>
      </c>
      <c r="E26" s="20">
        <v>20100</v>
      </c>
      <c r="F26" s="20">
        <v>10390</v>
      </c>
      <c r="G26" s="20">
        <v>200</v>
      </c>
      <c r="H26" s="19">
        <f t="shared" si="3"/>
        <v>0.6393442622950819</v>
      </c>
      <c r="I26" s="18">
        <f>SUM($D$2:D26)-SUM($G$2:G26)</f>
        <v>2590664</v>
      </c>
      <c r="K26" s="9">
        <f t="shared" si="19"/>
        <v>45244</v>
      </c>
      <c r="L26" s="4">
        <f>N26*0.3</f>
        <v>2835</v>
      </c>
      <c r="M26" s="4">
        <f t="shared" si="20"/>
        <v>6615</v>
      </c>
      <c r="N26" s="4">
        <f t="shared" si="21"/>
        <v>9450</v>
      </c>
      <c r="O26" s="4">
        <f t="shared" ref="O26:O31" si="24">VLOOKUP(K26,$A$1:$H$37,5,0)</f>
        <v>8600</v>
      </c>
      <c r="P26" s="4">
        <f t="shared" si="22"/>
        <v>850</v>
      </c>
      <c r="Q26" s="4">
        <f t="shared" si="23"/>
        <v>200</v>
      </c>
    </row>
    <row r="27" spans="1:17" x14ac:dyDescent="0.35">
      <c r="A27" s="21">
        <v>45254</v>
      </c>
      <c r="B27" s="20">
        <f t="shared" si="0"/>
        <v>14082.9</v>
      </c>
      <c r="C27" s="20">
        <f t="shared" si="1"/>
        <v>22027.1</v>
      </c>
      <c r="D27" s="20">
        <f t="shared" si="2"/>
        <v>36110</v>
      </c>
      <c r="E27" s="20">
        <v>8610</v>
      </c>
      <c r="F27" s="20">
        <v>27500</v>
      </c>
      <c r="G27" s="20">
        <v>200</v>
      </c>
      <c r="H27" s="19">
        <f t="shared" si="3"/>
        <v>0.63934426229508201</v>
      </c>
      <c r="I27" s="18">
        <f>SUM($D$2:D27)-SUM($G$2:G27)</f>
        <v>2626574</v>
      </c>
      <c r="K27" s="8">
        <f t="shared" si="19"/>
        <v>45245</v>
      </c>
      <c r="L27" s="2">
        <f t="shared" ref="L27:L31" si="25">N27*0.3</f>
        <v>5448</v>
      </c>
      <c r="M27" s="2">
        <f t="shared" si="20"/>
        <v>12712</v>
      </c>
      <c r="N27" s="2">
        <f t="shared" si="21"/>
        <v>18160</v>
      </c>
      <c r="O27" s="2">
        <f t="shared" si="24"/>
        <v>11800</v>
      </c>
      <c r="P27" s="2">
        <f t="shared" si="22"/>
        <v>6360</v>
      </c>
      <c r="Q27" s="2">
        <f t="shared" si="23"/>
        <v>800</v>
      </c>
    </row>
    <row r="28" spans="1:17" x14ac:dyDescent="0.35">
      <c r="A28" s="21">
        <v>45255</v>
      </c>
      <c r="B28" s="20">
        <f t="shared" si="0"/>
        <v>6489.6</v>
      </c>
      <c r="C28" s="20">
        <f t="shared" si="1"/>
        <v>10150.4</v>
      </c>
      <c r="D28" s="20">
        <f t="shared" si="2"/>
        <v>16640</v>
      </c>
      <c r="E28" s="20">
        <v>8510</v>
      </c>
      <c r="F28" s="20">
        <v>8130</v>
      </c>
      <c r="G28" s="20">
        <v>900</v>
      </c>
      <c r="H28" s="19">
        <f t="shared" si="3"/>
        <v>0.63934426229508201</v>
      </c>
      <c r="I28" s="18">
        <f>SUM($D$2:D28)-SUM($G$2:G28)</f>
        <v>2642314</v>
      </c>
      <c r="K28" s="9">
        <f t="shared" si="19"/>
        <v>45246</v>
      </c>
      <c r="L28" s="4">
        <f>N28*0.3</f>
        <v>0</v>
      </c>
      <c r="M28" s="4">
        <f t="shared" si="20"/>
        <v>0</v>
      </c>
      <c r="N28" s="4">
        <f t="shared" si="21"/>
        <v>0</v>
      </c>
      <c r="O28" s="4">
        <f t="shared" si="24"/>
        <v>0</v>
      </c>
      <c r="P28" s="4">
        <f t="shared" si="22"/>
        <v>0</v>
      </c>
      <c r="Q28" s="4">
        <f t="shared" si="23"/>
        <v>0</v>
      </c>
    </row>
    <row r="29" spans="1:17" x14ac:dyDescent="0.35">
      <c r="A29" s="21">
        <v>45256</v>
      </c>
      <c r="B29" s="20">
        <f t="shared" si="0"/>
        <v>7725.9000000000005</v>
      </c>
      <c r="C29" s="20">
        <f t="shared" si="1"/>
        <v>12084.099999999999</v>
      </c>
      <c r="D29" s="20">
        <f t="shared" si="2"/>
        <v>19810</v>
      </c>
      <c r="E29" s="20">
        <v>7000</v>
      </c>
      <c r="F29" s="20">
        <f>7770+5040</f>
        <v>12810</v>
      </c>
      <c r="G29" s="20">
        <v>700</v>
      </c>
      <c r="H29" s="19">
        <f t="shared" si="3"/>
        <v>0.63934426229508212</v>
      </c>
      <c r="I29" s="18">
        <f>SUM($D$2:D29)-SUM($G$2:G29)</f>
        <v>2661424</v>
      </c>
      <c r="K29" s="8">
        <f t="shared" si="19"/>
        <v>45247</v>
      </c>
      <c r="L29" s="2">
        <f t="shared" si="25"/>
        <v>0</v>
      </c>
      <c r="M29" s="2">
        <f t="shared" si="20"/>
        <v>0</v>
      </c>
      <c r="N29" s="2">
        <f t="shared" si="21"/>
        <v>0</v>
      </c>
      <c r="O29" s="2">
        <f t="shared" si="24"/>
        <v>0</v>
      </c>
      <c r="P29" s="2">
        <f t="shared" si="22"/>
        <v>0</v>
      </c>
      <c r="Q29" s="2">
        <f t="shared" si="23"/>
        <v>0</v>
      </c>
    </row>
    <row r="30" spans="1:17" x14ac:dyDescent="0.35">
      <c r="A30" s="21">
        <v>45257</v>
      </c>
      <c r="B30" s="20">
        <f t="shared" si="0"/>
        <v>5370.3</v>
      </c>
      <c r="C30" s="20">
        <f t="shared" si="1"/>
        <v>8399.7000000000007</v>
      </c>
      <c r="D30" s="20">
        <f t="shared" si="2"/>
        <v>13770</v>
      </c>
      <c r="E30" s="20">
        <v>6530</v>
      </c>
      <c r="F30" s="20">
        <v>7240</v>
      </c>
      <c r="G30" s="20">
        <v>100</v>
      </c>
      <c r="H30" s="19">
        <f t="shared" si="3"/>
        <v>0.6393442622950819</v>
      </c>
      <c r="I30" s="18">
        <f>SUM($D$2:D30)-SUM($G$2:G30)</f>
        <v>2675094</v>
      </c>
      <c r="K30" s="9">
        <f t="shared" si="19"/>
        <v>45248</v>
      </c>
      <c r="L30" s="4">
        <f t="shared" si="25"/>
        <v>0</v>
      </c>
      <c r="M30" s="4">
        <f t="shared" si="20"/>
        <v>0</v>
      </c>
      <c r="N30" s="4">
        <f t="shared" si="21"/>
        <v>0</v>
      </c>
      <c r="O30" s="4">
        <f t="shared" si="24"/>
        <v>0</v>
      </c>
      <c r="P30" s="4">
        <f t="shared" si="22"/>
        <v>0</v>
      </c>
      <c r="Q30" s="4">
        <f t="shared" si="23"/>
        <v>0</v>
      </c>
    </row>
    <row r="31" spans="1:17" x14ac:dyDescent="0.35">
      <c r="A31" s="21">
        <v>45258</v>
      </c>
      <c r="B31" s="20">
        <f t="shared" si="0"/>
        <v>6552</v>
      </c>
      <c r="C31" s="20">
        <f t="shared" si="1"/>
        <v>10248</v>
      </c>
      <c r="D31" s="20">
        <f t="shared" si="2"/>
        <v>16800</v>
      </c>
      <c r="E31" s="20">
        <v>11630</v>
      </c>
      <c r="F31" s="20">
        <v>5170</v>
      </c>
      <c r="G31" s="20">
        <v>5840</v>
      </c>
      <c r="H31" s="19">
        <f t="shared" si="3"/>
        <v>0.63934426229508201</v>
      </c>
      <c r="I31" s="18">
        <f>SUM($D$2:D31)-SUM($G$2:G31)</f>
        <v>2686054</v>
      </c>
      <c r="K31" s="8">
        <f t="shared" si="19"/>
        <v>45249</v>
      </c>
      <c r="L31" s="2">
        <f t="shared" si="25"/>
        <v>0</v>
      </c>
      <c r="M31" s="2">
        <f t="shared" si="20"/>
        <v>0</v>
      </c>
      <c r="N31" s="2">
        <f t="shared" si="21"/>
        <v>0</v>
      </c>
      <c r="O31" s="2">
        <f t="shared" si="24"/>
        <v>0</v>
      </c>
      <c r="P31" s="2">
        <f t="shared" si="22"/>
        <v>0</v>
      </c>
      <c r="Q31" s="2">
        <f t="shared" si="23"/>
        <v>0</v>
      </c>
    </row>
    <row r="32" spans="1:17" x14ac:dyDescent="0.35">
      <c r="A32" s="21">
        <v>45259</v>
      </c>
      <c r="B32" s="20">
        <f t="shared" si="0"/>
        <v>6204.9000000000005</v>
      </c>
      <c r="C32" s="20">
        <f t="shared" si="1"/>
        <v>9705.0999999999985</v>
      </c>
      <c r="D32" s="20">
        <f t="shared" si="2"/>
        <v>15910</v>
      </c>
      <c r="E32" s="22">
        <v>9890</v>
      </c>
      <c r="F32" s="22">
        <v>6020</v>
      </c>
      <c r="G32" s="22">
        <v>1450</v>
      </c>
      <c r="H32" s="19">
        <f t="shared" si="3"/>
        <v>0.63934426229508212</v>
      </c>
      <c r="I32" s="18">
        <f>SUM($D$2:D32)-SUM($G$2:G32)</f>
        <v>2700514</v>
      </c>
      <c r="K32" s="3" t="s">
        <v>4</v>
      </c>
      <c r="L32" s="2">
        <f t="shared" ref="L32:Q32" si="26">SUM(L25:L31)</f>
        <v>10188</v>
      </c>
      <c r="M32" s="2">
        <f t="shared" si="26"/>
        <v>23772</v>
      </c>
      <c r="N32" s="2">
        <f t="shared" si="26"/>
        <v>33960</v>
      </c>
      <c r="O32" s="2">
        <f t="shared" si="26"/>
        <v>20400</v>
      </c>
      <c r="P32" s="2">
        <f t="shared" si="26"/>
        <v>13560</v>
      </c>
      <c r="Q32" s="2">
        <f t="shared" si="26"/>
        <v>2000</v>
      </c>
    </row>
    <row r="33" spans="1:17" x14ac:dyDescent="0.35">
      <c r="A33" s="21">
        <v>45260</v>
      </c>
      <c r="B33" s="20">
        <f t="shared" si="0"/>
        <v>11356.800000000001</v>
      </c>
      <c r="C33" s="20">
        <f t="shared" si="1"/>
        <v>17763.199999999997</v>
      </c>
      <c r="D33" s="20">
        <f t="shared" si="2"/>
        <v>29120</v>
      </c>
      <c r="E33" s="20">
        <v>10920</v>
      </c>
      <c r="F33" s="20">
        <v>18200</v>
      </c>
      <c r="G33" s="20">
        <v>250</v>
      </c>
      <c r="H33" s="19">
        <f t="shared" si="3"/>
        <v>0.63934426229508212</v>
      </c>
      <c r="I33" s="18">
        <f>SUM($D$2:D33)-SUM($G$2:G33)</f>
        <v>2729384</v>
      </c>
      <c r="K33" s="3" t="s">
        <v>0</v>
      </c>
      <c r="L33" s="4">
        <f>L32/3</f>
        <v>3396</v>
      </c>
      <c r="M33" s="4"/>
      <c r="N33" s="4"/>
      <c r="O33" s="4"/>
      <c r="P33" s="4"/>
      <c r="Q33" s="4"/>
    </row>
    <row r="34" spans="1:17" x14ac:dyDescent="0.35">
      <c r="A34" s="21">
        <v>45261</v>
      </c>
      <c r="B34" s="20">
        <f t="shared" si="0"/>
        <v>2850.9</v>
      </c>
      <c r="C34" s="20">
        <f t="shared" si="1"/>
        <v>4459.1000000000004</v>
      </c>
      <c r="D34" s="20">
        <f t="shared" si="2"/>
        <v>7310</v>
      </c>
      <c r="E34" s="20">
        <v>2000</v>
      </c>
      <c r="F34" s="20">
        <v>5310</v>
      </c>
      <c r="G34" s="20">
        <v>1170</v>
      </c>
      <c r="H34" s="19">
        <f t="shared" si="3"/>
        <v>0.6393442622950819</v>
      </c>
      <c r="I34" s="18">
        <f>SUM($D$2:D34)-SUM($G$2:G34)</f>
        <v>2735524</v>
      </c>
    </row>
    <row r="35" spans="1:17" x14ac:dyDescent="0.35">
      <c r="A35" s="21">
        <v>45262</v>
      </c>
      <c r="B35" s="20">
        <f t="shared" si="0"/>
        <v>3962.4</v>
      </c>
      <c r="C35" s="20">
        <f t="shared" si="1"/>
        <v>6197.6</v>
      </c>
      <c r="D35" s="20">
        <f t="shared" si="2"/>
        <v>10160</v>
      </c>
      <c r="E35" s="22">
        <v>2360</v>
      </c>
      <c r="F35" s="22">
        <v>7800</v>
      </c>
      <c r="G35" s="22">
        <v>1900</v>
      </c>
      <c r="H35" s="19">
        <f t="shared" si="3"/>
        <v>0.6393442622950819</v>
      </c>
      <c r="I35" s="18">
        <f>SUM($D$2:D35)-SUM($G$2:G35)</f>
        <v>2743784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1">
        <v>45263</v>
      </c>
      <c r="B36" s="20">
        <f t="shared" si="0"/>
        <v>6353.1</v>
      </c>
      <c r="C36" s="20">
        <f t="shared" si="1"/>
        <v>9936.9</v>
      </c>
      <c r="D36" s="20">
        <f t="shared" si="2"/>
        <v>16290</v>
      </c>
      <c r="E36" s="22">
        <v>9840</v>
      </c>
      <c r="F36" s="22">
        <v>6450</v>
      </c>
      <c r="G36" s="22">
        <v>2150</v>
      </c>
      <c r="H36" s="19">
        <f t="shared" si="3"/>
        <v>0.63934426229508201</v>
      </c>
      <c r="I36" s="18">
        <f>SUM($D$2:D36)-SUM($G$2:G36)</f>
        <v>2757924</v>
      </c>
      <c r="K36" s="9">
        <f t="shared" ref="K36:K42" si="27">A23</f>
        <v>45250</v>
      </c>
      <c r="L36" s="2">
        <f>N36*0.3</f>
        <v>9625.5</v>
      </c>
      <c r="M36" s="2">
        <f t="shared" ref="M36:M42" si="28">N36-L36</f>
        <v>22459.5</v>
      </c>
      <c r="N36" s="2">
        <f t="shared" ref="N36:N42" si="29">O36+P36</f>
        <v>32085</v>
      </c>
      <c r="O36" s="2">
        <f t="shared" ref="O36:O42" si="30">VLOOKUP(K36,$A$1:$H$37,5,0)</f>
        <v>22530</v>
      </c>
      <c r="P36" s="2">
        <f t="shared" ref="P36:P42" si="31">VLOOKUP(K36,$A$1:$H$37,6,0)</f>
        <v>9555</v>
      </c>
      <c r="Q36" s="2">
        <f t="shared" ref="Q36:Q42" si="32">VLOOKUP(K36,$A$1:$H$37,7,0)</f>
        <v>2060</v>
      </c>
    </row>
    <row r="37" spans="1:17" ht="15" thickBot="1" x14ac:dyDescent="0.4">
      <c r="A37" s="17" t="s">
        <v>4</v>
      </c>
      <c r="B37" s="16">
        <f>SUM(B4:B36)</f>
        <v>1044809.6100000002</v>
      </c>
      <c r="C37" s="16">
        <f t="shared" ref="C37:I37" si="33">SUM(C4:C36)</f>
        <v>1634189.3900000004</v>
      </c>
      <c r="D37" s="16">
        <f t="shared" si="33"/>
        <v>2678999</v>
      </c>
      <c r="E37" s="16">
        <f t="shared" si="33"/>
        <v>1772310</v>
      </c>
      <c r="F37" s="16">
        <f t="shared" si="33"/>
        <v>906689</v>
      </c>
      <c r="G37" s="16">
        <f t="shared" si="33"/>
        <v>442230</v>
      </c>
      <c r="H37" s="16">
        <f t="shared" si="33"/>
        <v>18.540983606557386</v>
      </c>
      <c r="I37" s="16">
        <f t="shared" si="33"/>
        <v>75795047</v>
      </c>
      <c r="K37" s="9">
        <f t="shared" si="27"/>
        <v>45251</v>
      </c>
      <c r="L37" s="4">
        <f>N37*0.3</f>
        <v>6033</v>
      </c>
      <c r="M37" s="4">
        <f t="shared" si="28"/>
        <v>14077</v>
      </c>
      <c r="N37" s="4">
        <f t="shared" si="29"/>
        <v>20110</v>
      </c>
      <c r="O37" s="4">
        <f t="shared" si="30"/>
        <v>15960</v>
      </c>
      <c r="P37" s="4">
        <f t="shared" si="31"/>
        <v>4150</v>
      </c>
      <c r="Q37" s="4">
        <f t="shared" si="32"/>
        <v>34000</v>
      </c>
    </row>
    <row r="38" spans="1:17" x14ac:dyDescent="0.35">
      <c r="A38" s="12"/>
      <c r="B38" s="11">
        <f>B37/3</f>
        <v>348269.87000000005</v>
      </c>
      <c r="C38" s="11"/>
      <c r="E38" s="13">
        <f>D37*0.42</f>
        <v>1125179.58</v>
      </c>
      <c r="F38" s="11"/>
      <c r="G38" s="11"/>
      <c r="H38" s="10"/>
      <c r="K38" s="8">
        <f t="shared" si="27"/>
        <v>45252</v>
      </c>
      <c r="L38" s="2">
        <f t="shared" ref="L38:L42" si="34">N38*0.3</f>
        <v>2103</v>
      </c>
      <c r="M38" s="2">
        <f t="shared" si="28"/>
        <v>4907</v>
      </c>
      <c r="N38" s="2">
        <f t="shared" si="29"/>
        <v>7010</v>
      </c>
      <c r="O38" s="2">
        <f t="shared" si="30"/>
        <v>5380</v>
      </c>
      <c r="P38" s="2">
        <f t="shared" si="31"/>
        <v>1630</v>
      </c>
      <c r="Q38" s="2">
        <f t="shared" si="32"/>
        <v>2470</v>
      </c>
    </row>
    <row r="39" spans="1:17" x14ac:dyDescent="0.35">
      <c r="A39" s="12"/>
      <c r="B39" s="11">
        <f>B38*100/D37</f>
        <v>13.000000000000004</v>
      </c>
      <c r="C39" s="11"/>
      <c r="E39" s="11">
        <f>E38/3</f>
        <v>375059.86000000004</v>
      </c>
      <c r="F39" s="11"/>
      <c r="G39" s="11"/>
      <c r="H39" s="10"/>
      <c r="K39" s="9">
        <f t="shared" si="27"/>
        <v>45253</v>
      </c>
      <c r="L39" s="4">
        <f t="shared" si="34"/>
        <v>9147</v>
      </c>
      <c r="M39" s="4">
        <f t="shared" si="28"/>
        <v>21343</v>
      </c>
      <c r="N39" s="4">
        <f t="shared" si="29"/>
        <v>30490</v>
      </c>
      <c r="O39" s="4">
        <f t="shared" si="30"/>
        <v>20100</v>
      </c>
      <c r="P39" s="4">
        <f t="shared" si="31"/>
        <v>10390</v>
      </c>
      <c r="Q39" s="4">
        <f t="shared" si="32"/>
        <v>200</v>
      </c>
    </row>
    <row r="40" spans="1:17" x14ac:dyDescent="0.35">
      <c r="A40" s="7" t="s">
        <v>7</v>
      </c>
      <c r="B40" s="6" t="s">
        <v>6</v>
      </c>
      <c r="C40" s="6" t="s">
        <v>5</v>
      </c>
      <c r="D40" s="6" t="s">
        <v>4</v>
      </c>
      <c r="E40" s="6" t="s">
        <v>3</v>
      </c>
      <c r="F40" s="6" t="s">
        <v>2</v>
      </c>
      <c r="G40" s="6" t="s">
        <v>1</v>
      </c>
      <c r="H40" s="31" t="s">
        <v>0</v>
      </c>
      <c r="K40" s="8">
        <f t="shared" si="27"/>
        <v>45254</v>
      </c>
      <c r="L40" s="2">
        <f t="shared" si="34"/>
        <v>10833</v>
      </c>
      <c r="M40" s="2">
        <f t="shared" si="28"/>
        <v>25277</v>
      </c>
      <c r="N40" s="2">
        <f t="shared" si="29"/>
        <v>36110</v>
      </c>
      <c r="O40" s="2">
        <f t="shared" si="30"/>
        <v>8610</v>
      </c>
      <c r="P40" s="2">
        <f t="shared" si="31"/>
        <v>27500</v>
      </c>
      <c r="Q40" s="2">
        <f t="shared" si="32"/>
        <v>200</v>
      </c>
    </row>
    <row r="41" spans="1:17" x14ac:dyDescent="0.35">
      <c r="A41" s="32" t="str">
        <f>CONCATENATE(TEXT(K3,"DD-MMM-YYY")," to ",TEXT(K9,"DD-MMM-YYYY"))</f>
        <v>30-Oct-2023 to 05-Nov-2023</v>
      </c>
      <c r="B41" s="2">
        <f>L10</f>
        <v>549707.4</v>
      </c>
      <c r="C41" s="2">
        <f t="shared" ref="C41:G41" si="35">M10</f>
        <v>1282650.6000000001</v>
      </c>
      <c r="D41" s="2">
        <f t="shared" si="35"/>
        <v>1832358</v>
      </c>
      <c r="E41" s="2">
        <f t="shared" si="35"/>
        <v>1159600</v>
      </c>
      <c r="F41" s="2">
        <f t="shared" si="35"/>
        <v>672758</v>
      </c>
      <c r="G41" s="2">
        <f t="shared" si="35"/>
        <v>184940</v>
      </c>
      <c r="H41" s="2">
        <f>B41/3</f>
        <v>183235.80000000002</v>
      </c>
      <c r="K41" s="9">
        <f t="shared" si="27"/>
        <v>45255</v>
      </c>
      <c r="L41" s="4">
        <f t="shared" si="34"/>
        <v>4992</v>
      </c>
      <c r="M41" s="4">
        <f t="shared" si="28"/>
        <v>11648</v>
      </c>
      <c r="N41" s="4">
        <f t="shared" si="29"/>
        <v>16640</v>
      </c>
      <c r="O41" s="4">
        <f t="shared" si="30"/>
        <v>8510</v>
      </c>
      <c r="P41" s="4">
        <f t="shared" si="31"/>
        <v>8130</v>
      </c>
      <c r="Q41" s="4">
        <f t="shared" si="32"/>
        <v>900</v>
      </c>
    </row>
    <row r="42" spans="1:17" x14ac:dyDescent="0.35">
      <c r="A42" s="32" t="str">
        <f>CONCATENATE(TEXT(K14,"DD-MMM-YYY")," to ",TEXT(K20,"DD-MMM-YYYY"))</f>
        <v>06-Nov-2023 to 12-Nov-2023</v>
      </c>
      <c r="B42" s="4">
        <f>L21</f>
        <v>318816.3</v>
      </c>
      <c r="C42" s="4">
        <f t="shared" ref="C42:G42" si="36">M21</f>
        <v>743904.7</v>
      </c>
      <c r="D42" s="4">
        <f t="shared" si="36"/>
        <v>1062721</v>
      </c>
      <c r="E42" s="4">
        <f t="shared" si="36"/>
        <v>758550</v>
      </c>
      <c r="F42" s="4">
        <f t="shared" si="36"/>
        <v>304171</v>
      </c>
      <c r="G42" s="4">
        <f t="shared" si="36"/>
        <v>209900</v>
      </c>
      <c r="H42" s="2">
        <f t="shared" ref="H42:H45" si="37">B42/3</f>
        <v>106272.09999999999</v>
      </c>
      <c r="K42" s="8">
        <f t="shared" si="27"/>
        <v>45256</v>
      </c>
      <c r="L42" s="2">
        <f t="shared" si="34"/>
        <v>5943</v>
      </c>
      <c r="M42" s="2">
        <f t="shared" si="28"/>
        <v>13867</v>
      </c>
      <c r="N42" s="2">
        <f t="shared" si="29"/>
        <v>19810</v>
      </c>
      <c r="O42" s="2">
        <f t="shared" si="30"/>
        <v>7000</v>
      </c>
      <c r="P42" s="2">
        <f t="shared" si="31"/>
        <v>12810</v>
      </c>
      <c r="Q42" s="2">
        <f t="shared" si="32"/>
        <v>700</v>
      </c>
    </row>
    <row r="43" spans="1:17" x14ac:dyDescent="0.35">
      <c r="A43" s="32" t="str">
        <f>CONCATENATE(TEXT(K25,"DD-MMM-YYY")," to ",TEXT(K31,"DD-MMM-YYYY"))</f>
        <v>13-Nov-2023 to 19-Nov-2023</v>
      </c>
      <c r="B43" s="2">
        <f>L32</f>
        <v>10188</v>
      </c>
      <c r="C43" s="2">
        <f t="shared" ref="C43:G43" si="38">M32</f>
        <v>23772</v>
      </c>
      <c r="D43" s="2">
        <f t="shared" si="38"/>
        <v>33960</v>
      </c>
      <c r="E43" s="2">
        <f t="shared" si="38"/>
        <v>20400</v>
      </c>
      <c r="F43" s="2">
        <f t="shared" si="38"/>
        <v>13560</v>
      </c>
      <c r="G43" s="2">
        <f t="shared" si="38"/>
        <v>2000</v>
      </c>
      <c r="H43" s="2">
        <f t="shared" si="37"/>
        <v>3396</v>
      </c>
      <c r="K43" s="3" t="s">
        <v>4</v>
      </c>
      <c r="L43" s="4">
        <f t="shared" ref="L43:Q43" si="39">SUM(L36:L42)</f>
        <v>48676.5</v>
      </c>
      <c r="M43" s="4">
        <f t="shared" si="39"/>
        <v>113578.5</v>
      </c>
      <c r="N43" s="4">
        <f t="shared" si="39"/>
        <v>162255</v>
      </c>
      <c r="O43" s="4">
        <f t="shared" si="39"/>
        <v>88090</v>
      </c>
      <c r="P43" s="4">
        <f t="shared" si="39"/>
        <v>74165</v>
      </c>
      <c r="Q43" s="4">
        <f t="shared" si="39"/>
        <v>40530</v>
      </c>
    </row>
    <row r="44" spans="1:17" x14ac:dyDescent="0.35">
      <c r="A44" s="32" t="str">
        <f>CONCATENATE(TEXT(K36,"DD-MMM-YYY")," to ",TEXT(K42,"DD-MMM-YYYY"))</f>
        <v>20-Nov-2023 to 26-Nov-2023</v>
      </c>
      <c r="B44" s="4">
        <f>L43</f>
        <v>48676.5</v>
      </c>
      <c r="C44" s="4">
        <f t="shared" ref="C44:G44" si="40">M43</f>
        <v>113578.5</v>
      </c>
      <c r="D44" s="4">
        <f t="shared" si="40"/>
        <v>162255</v>
      </c>
      <c r="E44" s="4">
        <f t="shared" si="40"/>
        <v>88090</v>
      </c>
      <c r="F44" s="4">
        <f t="shared" si="40"/>
        <v>74165</v>
      </c>
      <c r="G44" s="4">
        <f t="shared" si="40"/>
        <v>40530</v>
      </c>
      <c r="H44" s="2">
        <f t="shared" si="37"/>
        <v>16225.5</v>
      </c>
      <c r="K44" s="3" t="s">
        <v>0</v>
      </c>
      <c r="L44" s="2">
        <f>L43/3</f>
        <v>16225.5</v>
      </c>
      <c r="M44" s="2"/>
      <c r="N44" s="2"/>
      <c r="O44" s="2"/>
      <c r="P44" s="2"/>
      <c r="Q44" s="2"/>
    </row>
    <row r="45" spans="1:17" x14ac:dyDescent="0.35">
      <c r="A45" s="32" t="str">
        <f>CONCATENATE(TEXT(K47,"DD-MMM-YYY")," to ",TEXT(K53,"DD-MMM-YYYY"))</f>
        <v>27-Nov-2023 to 03-Dec-2023</v>
      </c>
      <c r="B45" s="2">
        <f>L54</f>
        <v>32808</v>
      </c>
      <c r="C45" s="2">
        <f t="shared" ref="C45:G45" si="41">M54</f>
        <v>76552</v>
      </c>
      <c r="D45" s="2">
        <f t="shared" si="41"/>
        <v>109360</v>
      </c>
      <c r="E45" s="2">
        <f t="shared" si="41"/>
        <v>53170</v>
      </c>
      <c r="F45" s="2">
        <f t="shared" si="41"/>
        <v>56190</v>
      </c>
      <c r="G45" s="2">
        <f t="shared" si="41"/>
        <v>12860</v>
      </c>
      <c r="H45" s="2">
        <f t="shared" si="37"/>
        <v>10936</v>
      </c>
    </row>
    <row r="46" spans="1:17" x14ac:dyDescent="0.35">
      <c r="A46" s="32" t="str">
        <f>CONCATENATE(TEXT(K59,"DD-MMM-YYY")," to ",TEXT(K58,"DD-MMM-YYYY"))</f>
        <v>03-Nov-2023 to Date</v>
      </c>
      <c r="B46" s="4">
        <f>SUM(B41:B45)</f>
        <v>960196.2</v>
      </c>
      <c r="C46" s="4">
        <f t="shared" ref="C46:H46" si="42">SUM(C41:C45)</f>
        <v>2240457.7999999998</v>
      </c>
      <c r="D46" s="4">
        <f t="shared" si="42"/>
        <v>3200654</v>
      </c>
      <c r="E46" s="4">
        <f t="shared" si="42"/>
        <v>2079810</v>
      </c>
      <c r="F46" s="4">
        <f t="shared" si="42"/>
        <v>1120844</v>
      </c>
      <c r="G46" s="4">
        <f t="shared" si="42"/>
        <v>450230</v>
      </c>
      <c r="H46" s="4">
        <f t="shared" si="42"/>
        <v>320065.40000000002</v>
      </c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C47" s="67" t="s">
        <v>4</v>
      </c>
      <c r="D47" s="67"/>
      <c r="E47" s="67"/>
      <c r="F47" s="67"/>
      <c r="G47" s="68"/>
      <c r="H47" s="2"/>
      <c r="K47" s="8">
        <f t="shared" ref="K47:K53" si="43">A30</f>
        <v>45257</v>
      </c>
      <c r="L47" s="2">
        <f>N47*0.3</f>
        <v>4131</v>
      </c>
      <c r="M47" s="2">
        <f t="shared" ref="M47:M53" si="44">N47-L47</f>
        <v>9639</v>
      </c>
      <c r="N47" s="2">
        <f t="shared" ref="N47:N53" si="45">O47+P47</f>
        <v>13770</v>
      </c>
      <c r="O47" s="2">
        <f t="shared" ref="O47:O52" si="46">VLOOKUP(K47,$A$1:$H$37,5,0)</f>
        <v>6530</v>
      </c>
      <c r="P47" s="2">
        <f t="shared" ref="P47:P53" si="47">VLOOKUP(K47,$A$1:$H$37,6,0)</f>
        <v>7240</v>
      </c>
      <c r="Q47" s="2">
        <f t="shared" ref="Q47:Q53" si="48">VLOOKUP(K47,$A$1:$H$37,7,0)</f>
        <v>100</v>
      </c>
    </row>
    <row r="48" spans="1:17" x14ac:dyDescent="0.35">
      <c r="K48" s="9">
        <f t="shared" si="43"/>
        <v>45258</v>
      </c>
      <c r="L48" s="4">
        <f>N48*0.3</f>
        <v>5040</v>
      </c>
      <c r="M48" s="4">
        <f t="shared" si="44"/>
        <v>11760</v>
      </c>
      <c r="N48" s="4">
        <f t="shared" si="45"/>
        <v>16800</v>
      </c>
      <c r="O48" s="4">
        <f t="shared" si="46"/>
        <v>11630</v>
      </c>
      <c r="P48" s="4">
        <f t="shared" si="47"/>
        <v>5170</v>
      </c>
      <c r="Q48" s="4">
        <f t="shared" si="48"/>
        <v>5840</v>
      </c>
    </row>
    <row r="49" spans="11:17" x14ac:dyDescent="0.35">
      <c r="K49" s="8">
        <f t="shared" si="43"/>
        <v>45259</v>
      </c>
      <c r="L49" s="2">
        <f t="shared" ref="L49:L53" si="49">N49*0.3</f>
        <v>4773</v>
      </c>
      <c r="M49" s="2">
        <f t="shared" si="44"/>
        <v>11137</v>
      </c>
      <c r="N49" s="2">
        <f t="shared" si="45"/>
        <v>15910</v>
      </c>
      <c r="O49" s="2">
        <f t="shared" si="46"/>
        <v>9890</v>
      </c>
      <c r="P49" s="2">
        <f t="shared" si="47"/>
        <v>6020</v>
      </c>
      <c r="Q49" s="2">
        <f t="shared" si="48"/>
        <v>1450</v>
      </c>
    </row>
    <row r="50" spans="11:17" x14ac:dyDescent="0.35">
      <c r="K50" s="9">
        <f t="shared" si="43"/>
        <v>45260</v>
      </c>
      <c r="L50" s="4">
        <f t="shared" si="49"/>
        <v>8736</v>
      </c>
      <c r="M50" s="4">
        <f t="shared" si="44"/>
        <v>20384</v>
      </c>
      <c r="N50" s="4">
        <f t="shared" si="45"/>
        <v>29120</v>
      </c>
      <c r="O50" s="4">
        <f t="shared" si="46"/>
        <v>10920</v>
      </c>
      <c r="P50" s="4">
        <f t="shared" si="47"/>
        <v>18200</v>
      </c>
      <c r="Q50" s="4">
        <f t="shared" si="48"/>
        <v>250</v>
      </c>
    </row>
    <row r="51" spans="11:17" x14ac:dyDescent="0.35">
      <c r="K51" s="8">
        <f t="shared" si="43"/>
        <v>45261</v>
      </c>
      <c r="L51" s="2">
        <f t="shared" si="49"/>
        <v>2193</v>
      </c>
      <c r="M51" s="2">
        <f t="shared" si="44"/>
        <v>5117</v>
      </c>
      <c r="N51" s="2">
        <f t="shared" si="45"/>
        <v>7310</v>
      </c>
      <c r="O51" s="2">
        <f t="shared" si="46"/>
        <v>2000</v>
      </c>
      <c r="P51" s="2">
        <f t="shared" si="47"/>
        <v>5310</v>
      </c>
      <c r="Q51" s="2">
        <f t="shared" si="48"/>
        <v>1170</v>
      </c>
    </row>
    <row r="52" spans="11:17" x14ac:dyDescent="0.35">
      <c r="K52" s="9">
        <f t="shared" si="43"/>
        <v>45262</v>
      </c>
      <c r="L52" s="4">
        <f t="shared" si="49"/>
        <v>3048</v>
      </c>
      <c r="M52" s="4">
        <f t="shared" si="44"/>
        <v>7112</v>
      </c>
      <c r="N52" s="4">
        <f t="shared" si="45"/>
        <v>10160</v>
      </c>
      <c r="O52" s="4">
        <f t="shared" si="46"/>
        <v>2360</v>
      </c>
      <c r="P52" s="4">
        <f t="shared" si="47"/>
        <v>7800</v>
      </c>
      <c r="Q52" s="4">
        <f t="shared" si="48"/>
        <v>1900</v>
      </c>
    </row>
    <row r="53" spans="11:17" x14ac:dyDescent="0.35">
      <c r="K53" s="8">
        <f t="shared" si="43"/>
        <v>45263</v>
      </c>
      <c r="L53" s="2">
        <f t="shared" si="49"/>
        <v>4887</v>
      </c>
      <c r="M53" s="2">
        <f t="shared" si="44"/>
        <v>11403</v>
      </c>
      <c r="N53" s="2">
        <f t="shared" si="45"/>
        <v>16290</v>
      </c>
      <c r="O53" s="2">
        <f>VLOOKUP(K53,$A$1:$H$37,5,0)</f>
        <v>9840</v>
      </c>
      <c r="P53" s="2">
        <f t="shared" si="47"/>
        <v>6450</v>
      </c>
      <c r="Q53" s="2">
        <f t="shared" si="48"/>
        <v>2150</v>
      </c>
    </row>
    <row r="54" spans="11:17" x14ac:dyDescent="0.35">
      <c r="K54" s="3" t="s">
        <v>4</v>
      </c>
      <c r="L54" s="4">
        <f t="shared" ref="L54:Q54" si="50">SUM(L47:L53)</f>
        <v>32808</v>
      </c>
      <c r="M54" s="4">
        <f t="shared" si="50"/>
        <v>76552</v>
      </c>
      <c r="N54" s="4">
        <f t="shared" si="50"/>
        <v>109360</v>
      </c>
      <c r="O54" s="4">
        <f t="shared" si="50"/>
        <v>53170</v>
      </c>
      <c r="P54" s="4">
        <f t="shared" si="50"/>
        <v>56190</v>
      </c>
      <c r="Q54" s="4">
        <f t="shared" si="50"/>
        <v>12860</v>
      </c>
    </row>
    <row r="55" spans="11:17" x14ac:dyDescent="0.35">
      <c r="K55" s="3" t="s">
        <v>0</v>
      </c>
      <c r="L55" s="2">
        <f>L54/3</f>
        <v>10936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A6</f>
        <v>45233</v>
      </c>
      <c r="L59" s="4">
        <f>SUM(B7:B36)</f>
        <v>781271.01000000024</v>
      </c>
      <c r="M59" s="4">
        <f t="shared" ref="M59:Q59" si="51">SUM(C7:C36)</f>
        <v>1221987.9900000002</v>
      </c>
      <c r="N59" s="4">
        <f t="shared" si="51"/>
        <v>2003259</v>
      </c>
      <c r="O59" s="4">
        <f t="shared" si="51"/>
        <v>1356710</v>
      </c>
      <c r="P59" s="4">
        <f t="shared" si="51"/>
        <v>646549</v>
      </c>
      <c r="Q59" s="4">
        <f t="shared" si="51"/>
        <v>281690</v>
      </c>
    </row>
    <row r="60" spans="11:17" x14ac:dyDescent="0.35">
      <c r="K60" s="3" t="s">
        <v>0</v>
      </c>
      <c r="L60" s="2">
        <f>L59/3</f>
        <v>260423.67000000007</v>
      </c>
      <c r="M60" s="2"/>
      <c r="N60" s="2"/>
      <c r="O60" s="2"/>
      <c r="P60" s="2"/>
      <c r="Q60" s="2"/>
    </row>
  </sheetData>
  <mergeCells count="1">
    <mergeCell ref="C47:G47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12E7-6C43-43BF-A186-A55335071C0C}">
  <dimension ref="A1:Q60"/>
  <sheetViews>
    <sheetView tabSelected="1" zoomScale="90" zoomScaleNormal="90" workbookViewId="0">
      <pane ySplit="1" topLeftCell="A24" activePane="bottomLeft" state="frozen"/>
      <selection pane="bottomLeft" activeCell="D46" sqref="D46"/>
    </sheetView>
  </sheetViews>
  <sheetFormatPr defaultColWidth="26" defaultRowHeight="14.5" x14ac:dyDescent="0.35"/>
  <cols>
    <col min="1" max="1" width="24.7265625" bestFit="1" customWidth="1"/>
    <col min="2" max="4" width="10" style="1" bestFit="1" customWidth="1"/>
    <col min="5" max="5" width="12.54296875" style="1" bestFit="1" customWidth="1"/>
    <col min="6" max="6" width="16.36328125" style="1" bestFit="1" customWidth="1"/>
    <col min="7" max="7" width="9" style="1" bestFit="1" customWidth="1"/>
    <col min="8" max="8" width="10.1796875" bestFit="1" customWidth="1"/>
    <col min="9" max="9" width="11.54296875" bestFit="1" customWidth="1"/>
    <col min="10" max="10" width="6.54296875" customWidth="1"/>
    <col min="11" max="11" width="16.81640625" bestFit="1" customWidth="1"/>
    <col min="12" max="15" width="10" bestFit="1" customWidth="1"/>
    <col min="16" max="16" width="16.36328125" bestFit="1" customWidth="1"/>
    <col min="17" max="17" width="9" bestFit="1" customWidth="1"/>
  </cols>
  <sheetData>
    <row r="1" spans="1:17" s="23" customFormat="1" ht="29" x14ac:dyDescent="0.35">
      <c r="A1" s="30" t="s">
        <v>7</v>
      </c>
      <c r="B1" s="28" t="s">
        <v>6</v>
      </c>
      <c r="C1" s="28" t="s">
        <v>5</v>
      </c>
      <c r="D1" s="28" t="s">
        <v>4</v>
      </c>
      <c r="E1" s="29" t="s">
        <v>3</v>
      </c>
      <c r="F1" s="29" t="s">
        <v>2</v>
      </c>
      <c r="G1" s="28" t="s">
        <v>1</v>
      </c>
      <c r="H1" s="27" t="s">
        <v>9</v>
      </c>
      <c r="I1" s="26" t="s">
        <v>8</v>
      </c>
      <c r="K1" s="25" t="s">
        <v>7</v>
      </c>
      <c r="L1" s="24" t="s">
        <v>6</v>
      </c>
      <c r="M1" s="24" t="s">
        <v>5</v>
      </c>
      <c r="N1" s="24" t="s">
        <v>4</v>
      </c>
      <c r="O1" s="24" t="s">
        <v>3</v>
      </c>
      <c r="P1" s="24" t="s">
        <v>2</v>
      </c>
      <c r="Q1" s="24" t="s">
        <v>1</v>
      </c>
    </row>
    <row r="2" spans="1:17" x14ac:dyDescent="0.35">
      <c r="A2" s="21">
        <v>45257</v>
      </c>
      <c r="B2" s="20">
        <f t="shared" ref="B2:B36" si="0">D2*0.39</f>
        <v>5370.3</v>
      </c>
      <c r="C2" s="20">
        <f t="shared" ref="C2:C36" si="1">D2-B2</f>
        <v>8399.7000000000007</v>
      </c>
      <c r="D2" s="20">
        <f t="shared" ref="D2:D36" si="2">E2+F2</f>
        <v>13770</v>
      </c>
      <c r="E2" s="20">
        <v>6530</v>
      </c>
      <c r="F2" s="20">
        <v>7240</v>
      </c>
      <c r="G2" s="20">
        <v>100</v>
      </c>
      <c r="H2" s="19">
        <f t="shared" ref="H2:H36" si="3">IFERROR(B2/C2,0)</f>
        <v>0.6393442622950819</v>
      </c>
      <c r="I2" s="18">
        <f>SUM($D$2:D2)-SUM($G$2:G2)</f>
        <v>13670</v>
      </c>
      <c r="K2" s="9" t="s">
        <v>10</v>
      </c>
      <c r="L2" s="4"/>
      <c r="M2" s="4"/>
      <c r="N2" s="4"/>
      <c r="O2" s="4"/>
      <c r="P2" s="4"/>
      <c r="Q2" s="4">
        <v>0</v>
      </c>
    </row>
    <row r="3" spans="1:17" x14ac:dyDescent="0.35">
      <c r="A3" s="21">
        <v>45258</v>
      </c>
      <c r="B3" s="20">
        <f t="shared" si="0"/>
        <v>6552</v>
      </c>
      <c r="C3" s="20">
        <f t="shared" si="1"/>
        <v>10248</v>
      </c>
      <c r="D3" s="20">
        <f t="shared" si="2"/>
        <v>16800</v>
      </c>
      <c r="E3" s="20">
        <v>11630</v>
      </c>
      <c r="F3" s="20">
        <v>5170</v>
      </c>
      <c r="G3" s="20">
        <v>5840</v>
      </c>
      <c r="H3" s="19">
        <f t="shared" si="3"/>
        <v>0.63934426229508201</v>
      </c>
      <c r="I3" s="18">
        <f>SUM($D$2:D3)-SUM($G$2:G3)</f>
        <v>24630</v>
      </c>
      <c r="K3" s="8">
        <f t="shared" ref="K3:K9" si="4">A2</f>
        <v>45257</v>
      </c>
      <c r="L3" s="2">
        <f>N3*0.3</f>
        <v>4131</v>
      </c>
      <c r="M3" s="2">
        <f t="shared" ref="M3:M9" si="5">N3-L3</f>
        <v>9639</v>
      </c>
      <c r="N3" s="2">
        <f t="shared" ref="N3:N9" si="6">O3+P3</f>
        <v>13770</v>
      </c>
      <c r="O3" s="2">
        <f t="shared" ref="O3:O9" si="7">VLOOKUP(K3,$A$1:$H$37,5,0)</f>
        <v>6530</v>
      </c>
      <c r="P3" s="2">
        <f t="shared" ref="P3:P9" si="8">VLOOKUP(K3,$A$1:$H$37,6,0)</f>
        <v>7240</v>
      </c>
      <c r="Q3" s="2">
        <f t="shared" ref="Q3:Q9" si="9">VLOOKUP(K3,$A$1:$H$37,7,0)</f>
        <v>100</v>
      </c>
    </row>
    <row r="4" spans="1:17" x14ac:dyDescent="0.35">
      <c r="A4" s="21">
        <v>45259</v>
      </c>
      <c r="B4" s="20">
        <f t="shared" si="0"/>
        <v>6204.9000000000005</v>
      </c>
      <c r="C4" s="20">
        <f t="shared" si="1"/>
        <v>9705.0999999999985</v>
      </c>
      <c r="D4" s="20">
        <f t="shared" si="2"/>
        <v>15910</v>
      </c>
      <c r="E4" s="22">
        <v>9890</v>
      </c>
      <c r="F4" s="22">
        <v>6020</v>
      </c>
      <c r="G4" s="22">
        <v>1450</v>
      </c>
      <c r="H4" s="19">
        <f t="shared" si="3"/>
        <v>0.63934426229508212</v>
      </c>
      <c r="I4" s="18">
        <f>SUM($D$2:D4)-SUM($G$2:G4)</f>
        <v>39090</v>
      </c>
      <c r="K4" s="9">
        <f t="shared" si="4"/>
        <v>45258</v>
      </c>
      <c r="L4" s="4">
        <f>N4*0.3</f>
        <v>5040</v>
      </c>
      <c r="M4" s="4">
        <f t="shared" si="5"/>
        <v>11760</v>
      </c>
      <c r="N4" s="4">
        <f t="shared" si="6"/>
        <v>16800</v>
      </c>
      <c r="O4" s="4">
        <f t="shared" si="7"/>
        <v>11630</v>
      </c>
      <c r="P4" s="4">
        <f t="shared" si="8"/>
        <v>5170</v>
      </c>
      <c r="Q4" s="4">
        <f t="shared" si="9"/>
        <v>5840</v>
      </c>
    </row>
    <row r="5" spans="1:17" x14ac:dyDescent="0.35">
      <c r="A5" s="21">
        <v>45260</v>
      </c>
      <c r="B5" s="20">
        <f t="shared" si="0"/>
        <v>11356.800000000001</v>
      </c>
      <c r="C5" s="20">
        <f t="shared" si="1"/>
        <v>17763.199999999997</v>
      </c>
      <c r="D5" s="20">
        <f t="shared" si="2"/>
        <v>29120</v>
      </c>
      <c r="E5" s="20">
        <v>10920</v>
      </c>
      <c r="F5" s="20">
        <v>18200</v>
      </c>
      <c r="G5" s="20">
        <v>250</v>
      </c>
      <c r="H5" s="19">
        <f t="shared" si="3"/>
        <v>0.63934426229508212</v>
      </c>
      <c r="I5" s="18">
        <f>SUM($D$2:D5)-SUM($G$2:G5)</f>
        <v>67960</v>
      </c>
      <c r="K5" s="8">
        <f t="shared" si="4"/>
        <v>45259</v>
      </c>
      <c r="L5" s="2">
        <f t="shared" ref="L5:L9" si="10">N5*0.3</f>
        <v>4773</v>
      </c>
      <c r="M5" s="2">
        <f t="shared" si="5"/>
        <v>11137</v>
      </c>
      <c r="N5" s="2">
        <f t="shared" si="6"/>
        <v>15910</v>
      </c>
      <c r="O5" s="2">
        <f t="shared" si="7"/>
        <v>9890</v>
      </c>
      <c r="P5" s="2">
        <f t="shared" si="8"/>
        <v>6020</v>
      </c>
      <c r="Q5" s="2">
        <f t="shared" si="9"/>
        <v>1450</v>
      </c>
    </row>
    <row r="6" spans="1:17" x14ac:dyDescent="0.35">
      <c r="A6" s="21">
        <v>45261</v>
      </c>
      <c r="B6" s="20">
        <f t="shared" si="0"/>
        <v>2850.9</v>
      </c>
      <c r="C6" s="20">
        <f t="shared" si="1"/>
        <v>4459.1000000000004</v>
      </c>
      <c r="D6" s="20">
        <f t="shared" si="2"/>
        <v>7310</v>
      </c>
      <c r="E6" s="20">
        <v>2000</v>
      </c>
      <c r="F6" s="20">
        <v>5310</v>
      </c>
      <c r="G6" s="20">
        <v>1170</v>
      </c>
      <c r="H6" s="19">
        <f t="shared" si="3"/>
        <v>0.6393442622950819</v>
      </c>
      <c r="I6" s="18">
        <f>SUM($D$2:D6)-SUM($G$2:G6)</f>
        <v>74100</v>
      </c>
      <c r="K6" s="9">
        <f t="shared" si="4"/>
        <v>45260</v>
      </c>
      <c r="L6" s="4">
        <f t="shared" si="10"/>
        <v>8736</v>
      </c>
      <c r="M6" s="4">
        <f t="shared" si="5"/>
        <v>20384</v>
      </c>
      <c r="N6" s="4">
        <f t="shared" si="6"/>
        <v>29120</v>
      </c>
      <c r="O6" s="4">
        <f t="shared" si="7"/>
        <v>10920</v>
      </c>
      <c r="P6" s="4">
        <f t="shared" si="8"/>
        <v>18200</v>
      </c>
      <c r="Q6" s="4">
        <f t="shared" si="9"/>
        <v>250</v>
      </c>
    </row>
    <row r="7" spans="1:17" x14ac:dyDescent="0.35">
      <c r="A7" s="21">
        <v>45262</v>
      </c>
      <c r="B7" s="20">
        <f t="shared" si="0"/>
        <v>3962.4</v>
      </c>
      <c r="C7" s="20">
        <f t="shared" si="1"/>
        <v>6197.6</v>
      </c>
      <c r="D7" s="20">
        <f t="shared" si="2"/>
        <v>10160</v>
      </c>
      <c r="E7" s="22">
        <v>2360</v>
      </c>
      <c r="F7" s="22">
        <v>7800</v>
      </c>
      <c r="G7" s="22">
        <v>1900</v>
      </c>
      <c r="H7" s="19">
        <f t="shared" si="3"/>
        <v>0.6393442622950819</v>
      </c>
      <c r="I7" s="18">
        <f>SUM($D$2:D7)-SUM($G$2:G7)</f>
        <v>82360</v>
      </c>
      <c r="K7" s="8">
        <f t="shared" si="4"/>
        <v>45261</v>
      </c>
      <c r="L7" s="2">
        <f t="shared" si="10"/>
        <v>2193</v>
      </c>
      <c r="M7" s="2">
        <f t="shared" si="5"/>
        <v>5117</v>
      </c>
      <c r="N7" s="2">
        <f t="shared" si="6"/>
        <v>7310</v>
      </c>
      <c r="O7" s="2">
        <f t="shared" si="7"/>
        <v>2000</v>
      </c>
      <c r="P7" s="2">
        <f t="shared" si="8"/>
        <v>5310</v>
      </c>
      <c r="Q7" s="2">
        <f t="shared" si="9"/>
        <v>1170</v>
      </c>
    </row>
    <row r="8" spans="1:17" x14ac:dyDescent="0.35">
      <c r="A8" s="21">
        <v>45263</v>
      </c>
      <c r="B8" s="20">
        <f t="shared" si="0"/>
        <v>6353.1</v>
      </c>
      <c r="C8" s="20">
        <f t="shared" si="1"/>
        <v>9936.9</v>
      </c>
      <c r="D8" s="20">
        <f t="shared" si="2"/>
        <v>16290</v>
      </c>
      <c r="E8" s="22">
        <v>9840</v>
      </c>
      <c r="F8" s="22">
        <v>6450</v>
      </c>
      <c r="G8" s="22">
        <v>2150</v>
      </c>
      <c r="H8" s="19">
        <f t="shared" si="3"/>
        <v>0.63934426229508201</v>
      </c>
      <c r="I8" s="18">
        <f>SUM($D$2:D8)-SUM($G$2:G8)</f>
        <v>96500</v>
      </c>
      <c r="K8" s="9">
        <f t="shared" si="4"/>
        <v>45262</v>
      </c>
      <c r="L8" s="4">
        <f t="shared" si="10"/>
        <v>3048</v>
      </c>
      <c r="M8" s="4">
        <f t="shared" si="5"/>
        <v>7112</v>
      </c>
      <c r="N8" s="4">
        <f t="shared" si="6"/>
        <v>10160</v>
      </c>
      <c r="O8" s="4">
        <f t="shared" si="7"/>
        <v>2360</v>
      </c>
      <c r="P8" s="4">
        <f t="shared" si="8"/>
        <v>7800</v>
      </c>
      <c r="Q8" s="4">
        <f t="shared" si="9"/>
        <v>1900</v>
      </c>
    </row>
    <row r="9" spans="1:17" x14ac:dyDescent="0.35">
      <c r="A9" s="21">
        <v>45264</v>
      </c>
      <c r="B9" s="20">
        <f t="shared" si="0"/>
        <v>12807.6</v>
      </c>
      <c r="C9" s="20">
        <f t="shared" si="1"/>
        <v>20032.400000000001</v>
      </c>
      <c r="D9" s="20">
        <f t="shared" si="2"/>
        <v>32840</v>
      </c>
      <c r="E9" s="20">
        <v>17570</v>
      </c>
      <c r="F9" s="20">
        <v>15270</v>
      </c>
      <c r="G9" s="20">
        <v>7870</v>
      </c>
      <c r="H9" s="19">
        <f t="shared" si="3"/>
        <v>0.6393442622950819</v>
      </c>
      <c r="I9" s="18">
        <f>SUM($D$2:D9)-SUM($G$2:G9)</f>
        <v>121470</v>
      </c>
      <c r="K9" s="8">
        <f t="shared" si="4"/>
        <v>45263</v>
      </c>
      <c r="L9" s="2">
        <f t="shared" si="10"/>
        <v>4887</v>
      </c>
      <c r="M9" s="2">
        <f t="shared" si="5"/>
        <v>11403</v>
      </c>
      <c r="N9" s="2">
        <f t="shared" si="6"/>
        <v>16290</v>
      </c>
      <c r="O9" s="2">
        <f t="shared" si="7"/>
        <v>9840</v>
      </c>
      <c r="P9" s="2">
        <f t="shared" si="8"/>
        <v>6450</v>
      </c>
      <c r="Q9" s="2">
        <f t="shared" si="9"/>
        <v>2150</v>
      </c>
    </row>
    <row r="10" spans="1:17" x14ac:dyDescent="0.35">
      <c r="A10" s="21">
        <v>45265</v>
      </c>
      <c r="B10" s="20">
        <f t="shared" si="0"/>
        <v>5674.5</v>
      </c>
      <c r="C10" s="20">
        <f t="shared" si="1"/>
        <v>8875.5</v>
      </c>
      <c r="D10" s="20">
        <f t="shared" si="2"/>
        <v>14550</v>
      </c>
      <c r="E10" s="20">
        <v>6150</v>
      </c>
      <c r="F10" s="20">
        <v>8400</v>
      </c>
      <c r="G10" s="20">
        <f>1750+4740</f>
        <v>6490</v>
      </c>
      <c r="H10" s="19">
        <f t="shared" si="3"/>
        <v>0.63934426229508201</v>
      </c>
      <c r="I10" s="18">
        <f>SUM($D$2:D10)-SUM($G$2:G10)</f>
        <v>129530</v>
      </c>
      <c r="K10" s="3" t="s">
        <v>4</v>
      </c>
      <c r="L10" s="3">
        <f>SUM(L3:L9)</f>
        <v>32808</v>
      </c>
      <c r="M10" s="3">
        <f>SUM(M2:M9)</f>
        <v>76552</v>
      </c>
      <c r="N10" s="3">
        <f>SUM(N2:N9)</f>
        <v>109360</v>
      </c>
      <c r="O10" s="3">
        <f>SUM(O2:O9)</f>
        <v>53170</v>
      </c>
      <c r="P10" s="3">
        <f>SUM(P2:P9)</f>
        <v>56190</v>
      </c>
      <c r="Q10" s="3">
        <f>SUM(Q2:Q9)</f>
        <v>12860</v>
      </c>
    </row>
    <row r="11" spans="1:17" x14ac:dyDescent="0.35">
      <c r="A11" s="21">
        <v>45266</v>
      </c>
      <c r="B11" s="20">
        <f t="shared" si="0"/>
        <v>6696.3</v>
      </c>
      <c r="C11" s="20">
        <f t="shared" si="1"/>
        <v>10473.700000000001</v>
      </c>
      <c r="D11" s="20">
        <f t="shared" si="2"/>
        <v>17170</v>
      </c>
      <c r="E11" s="20">
        <v>2540</v>
      </c>
      <c r="F11" s="20">
        <v>14630</v>
      </c>
      <c r="G11" s="20">
        <v>130</v>
      </c>
      <c r="H11" s="19">
        <f t="shared" si="3"/>
        <v>0.6393442622950819</v>
      </c>
      <c r="I11" s="18">
        <f>SUM($D$2:D11)-SUM($G$2:G11)</f>
        <v>146570</v>
      </c>
      <c r="K11" s="3" t="s">
        <v>0</v>
      </c>
      <c r="L11" s="3">
        <f>L10/3</f>
        <v>10936</v>
      </c>
      <c r="M11" s="3"/>
      <c r="N11" s="3"/>
      <c r="O11" s="2"/>
      <c r="P11" s="2"/>
      <c r="Q11" s="2"/>
    </row>
    <row r="12" spans="1:17" x14ac:dyDescent="0.35">
      <c r="A12" s="21">
        <v>45267</v>
      </c>
      <c r="B12" s="20">
        <f t="shared" si="0"/>
        <v>11093.550000000001</v>
      </c>
      <c r="C12" s="20">
        <f t="shared" si="1"/>
        <v>17351.449999999997</v>
      </c>
      <c r="D12" s="20">
        <f t="shared" si="2"/>
        <v>28445</v>
      </c>
      <c r="E12" s="20">
        <v>3430</v>
      </c>
      <c r="F12" s="20">
        <v>25015</v>
      </c>
      <c r="G12" s="20">
        <f>3300+150</f>
        <v>3450</v>
      </c>
      <c r="H12" s="19">
        <f t="shared" si="3"/>
        <v>0.63934426229508212</v>
      </c>
      <c r="I12" s="18">
        <f>SUM($D$2:D12)-SUM($G$2:G12)</f>
        <v>171565</v>
      </c>
    </row>
    <row r="13" spans="1:17" x14ac:dyDescent="0.35">
      <c r="A13" s="21">
        <v>45268</v>
      </c>
      <c r="B13" s="20">
        <f t="shared" si="0"/>
        <v>2193.75</v>
      </c>
      <c r="C13" s="20">
        <f t="shared" si="1"/>
        <v>3431.25</v>
      </c>
      <c r="D13" s="20">
        <f t="shared" si="2"/>
        <v>5625</v>
      </c>
      <c r="E13" s="20">
        <v>3865</v>
      </c>
      <c r="F13" s="20">
        <v>1760</v>
      </c>
      <c r="G13" s="20">
        <v>100</v>
      </c>
      <c r="H13" s="19">
        <f t="shared" si="3"/>
        <v>0.63934426229508201</v>
      </c>
      <c r="I13" s="18">
        <f>SUM($D$2:D13)-SUM($G$2:G13)</f>
        <v>177090</v>
      </c>
      <c r="K13" s="7" t="s">
        <v>7</v>
      </c>
      <c r="L13" s="6" t="s">
        <v>6</v>
      </c>
      <c r="M13" s="6" t="s">
        <v>5</v>
      </c>
      <c r="N13" s="6" t="s">
        <v>4</v>
      </c>
      <c r="O13" s="6" t="s">
        <v>3</v>
      </c>
      <c r="P13" s="6" t="s">
        <v>2</v>
      </c>
      <c r="Q13" s="6" t="s">
        <v>1</v>
      </c>
    </row>
    <row r="14" spans="1:17" x14ac:dyDescent="0.35">
      <c r="A14" s="21">
        <v>45269</v>
      </c>
      <c r="B14" s="20">
        <f t="shared" si="0"/>
        <v>5196.75</v>
      </c>
      <c r="C14" s="20">
        <f t="shared" si="1"/>
        <v>8128.25</v>
      </c>
      <c r="D14" s="20">
        <f t="shared" si="2"/>
        <v>13325</v>
      </c>
      <c r="E14" s="20">
        <v>6600</v>
      </c>
      <c r="F14" s="20">
        <v>6725</v>
      </c>
      <c r="G14" s="20">
        <v>7625</v>
      </c>
      <c r="H14" s="19">
        <f t="shared" si="3"/>
        <v>0.63934426229508201</v>
      </c>
      <c r="I14" s="18">
        <f>SUM($D$2:D14)-SUM($G$2:G14)</f>
        <v>182790</v>
      </c>
      <c r="K14" s="8">
        <f t="shared" ref="K14:K20" si="11">A9</f>
        <v>45264</v>
      </c>
      <c r="L14" s="2">
        <f>N14*0.3</f>
        <v>9852</v>
      </c>
      <c r="M14" s="2">
        <f t="shared" ref="M14:M20" si="12">N14-L14</f>
        <v>22988</v>
      </c>
      <c r="N14" s="2">
        <f t="shared" ref="N14:N20" si="13">O14+P14</f>
        <v>32840</v>
      </c>
      <c r="O14" s="2">
        <f t="shared" ref="O14:O20" si="14">VLOOKUP(K14,$A$1:$H$37,5,0)</f>
        <v>17570</v>
      </c>
      <c r="P14" s="2">
        <f t="shared" ref="P14:P20" si="15">VLOOKUP(K14,$A$1:$H$37,6,0)</f>
        <v>15270</v>
      </c>
      <c r="Q14" s="2">
        <f t="shared" ref="Q14:Q20" si="16">VLOOKUP(K14,$A$1:$H$37,7,0)</f>
        <v>7870</v>
      </c>
    </row>
    <row r="15" spans="1:17" x14ac:dyDescent="0.35">
      <c r="A15" s="21">
        <v>45270</v>
      </c>
      <c r="B15" s="20">
        <f t="shared" si="0"/>
        <v>8886.15</v>
      </c>
      <c r="C15" s="20">
        <f t="shared" si="1"/>
        <v>13898.85</v>
      </c>
      <c r="D15" s="20">
        <f t="shared" si="2"/>
        <v>22785</v>
      </c>
      <c r="E15" s="20">
        <v>8025</v>
      </c>
      <c r="F15" s="20">
        <v>14760</v>
      </c>
      <c r="G15" s="20">
        <v>250</v>
      </c>
      <c r="H15" s="19">
        <f t="shared" si="3"/>
        <v>0.6393442622950819</v>
      </c>
      <c r="I15" s="18">
        <f>SUM($D$2:D15)-SUM($G$2:G15)</f>
        <v>205325</v>
      </c>
      <c r="K15" s="9">
        <f t="shared" si="11"/>
        <v>45265</v>
      </c>
      <c r="L15" s="4">
        <f>N15*0.3</f>
        <v>4365</v>
      </c>
      <c r="M15" s="4">
        <f t="shared" si="12"/>
        <v>10185</v>
      </c>
      <c r="N15" s="4">
        <f t="shared" si="13"/>
        <v>14550</v>
      </c>
      <c r="O15" s="4">
        <f t="shared" si="14"/>
        <v>6150</v>
      </c>
      <c r="P15" s="4">
        <f t="shared" si="15"/>
        <v>8400</v>
      </c>
      <c r="Q15" s="4">
        <f t="shared" si="16"/>
        <v>6490</v>
      </c>
    </row>
    <row r="16" spans="1:17" x14ac:dyDescent="0.35">
      <c r="A16" s="21">
        <v>45271</v>
      </c>
      <c r="B16" s="20">
        <f t="shared" si="0"/>
        <v>8989.5</v>
      </c>
      <c r="C16" s="20">
        <f t="shared" si="1"/>
        <v>14060.5</v>
      </c>
      <c r="D16" s="20">
        <f t="shared" si="2"/>
        <v>23050</v>
      </c>
      <c r="E16" s="20">
        <v>7620</v>
      </c>
      <c r="F16" s="20">
        <v>15430</v>
      </c>
      <c r="G16" s="20">
        <v>15500</v>
      </c>
      <c r="H16" s="19">
        <f t="shared" si="3"/>
        <v>0.63934426229508201</v>
      </c>
      <c r="I16" s="18">
        <f>SUM($D$2:D16)-SUM($G$2:G16)</f>
        <v>212875</v>
      </c>
      <c r="K16" s="8">
        <f t="shared" si="11"/>
        <v>45266</v>
      </c>
      <c r="L16" s="2">
        <f t="shared" ref="L16:L20" si="17">N16*0.3</f>
        <v>5151</v>
      </c>
      <c r="M16" s="2">
        <f t="shared" si="12"/>
        <v>12019</v>
      </c>
      <c r="N16" s="2">
        <f t="shared" si="13"/>
        <v>17170</v>
      </c>
      <c r="O16" s="2">
        <f t="shared" si="14"/>
        <v>2540</v>
      </c>
      <c r="P16" s="2">
        <f t="shared" si="15"/>
        <v>14630</v>
      </c>
      <c r="Q16" s="2">
        <f t="shared" si="16"/>
        <v>130</v>
      </c>
    </row>
    <row r="17" spans="1:17" x14ac:dyDescent="0.35">
      <c r="A17" s="21">
        <v>45272</v>
      </c>
      <c r="B17" s="20">
        <f t="shared" si="0"/>
        <v>10171.98</v>
      </c>
      <c r="C17" s="20">
        <f t="shared" si="1"/>
        <v>15910.02</v>
      </c>
      <c r="D17" s="20">
        <f t="shared" si="2"/>
        <v>26082</v>
      </c>
      <c r="E17" s="20">
        <v>6050</v>
      </c>
      <c r="F17" s="20">
        <v>20032</v>
      </c>
      <c r="G17" s="20">
        <v>3020</v>
      </c>
      <c r="H17" s="19">
        <f t="shared" si="3"/>
        <v>0.6393442622950819</v>
      </c>
      <c r="I17" s="18">
        <f>SUM($D$2:D17)-SUM($G$2:G17)</f>
        <v>235937</v>
      </c>
      <c r="K17" s="9">
        <f t="shared" si="11"/>
        <v>45267</v>
      </c>
      <c r="L17" s="4">
        <f t="shared" si="17"/>
        <v>8533.5</v>
      </c>
      <c r="M17" s="4">
        <f t="shared" si="12"/>
        <v>19911.5</v>
      </c>
      <c r="N17" s="4">
        <f t="shared" si="13"/>
        <v>28445</v>
      </c>
      <c r="O17" s="4">
        <f t="shared" si="14"/>
        <v>3430</v>
      </c>
      <c r="P17" s="4">
        <f t="shared" si="15"/>
        <v>25015</v>
      </c>
      <c r="Q17" s="4">
        <f t="shared" si="16"/>
        <v>3450</v>
      </c>
    </row>
    <row r="18" spans="1:17" x14ac:dyDescent="0.35">
      <c r="A18" s="21">
        <v>45273</v>
      </c>
      <c r="B18" s="20">
        <f t="shared" si="0"/>
        <v>13242.45</v>
      </c>
      <c r="C18" s="20">
        <f t="shared" si="1"/>
        <v>20712.55</v>
      </c>
      <c r="D18" s="20">
        <f t="shared" si="2"/>
        <v>33955</v>
      </c>
      <c r="E18" s="20">
        <v>19365</v>
      </c>
      <c r="F18" s="20">
        <v>14590</v>
      </c>
      <c r="G18" s="20">
        <v>2385</v>
      </c>
      <c r="H18" s="19">
        <f t="shared" si="3"/>
        <v>0.63934426229508201</v>
      </c>
      <c r="I18" s="18">
        <f>SUM($D$2:D18)-SUM($G$2:G18)</f>
        <v>267507</v>
      </c>
      <c r="K18" s="8">
        <f t="shared" si="11"/>
        <v>45268</v>
      </c>
      <c r="L18" s="2">
        <f t="shared" si="17"/>
        <v>1687.5</v>
      </c>
      <c r="M18" s="2">
        <f t="shared" si="12"/>
        <v>3937.5</v>
      </c>
      <c r="N18" s="2">
        <f t="shared" si="13"/>
        <v>5625</v>
      </c>
      <c r="O18" s="2">
        <f t="shared" si="14"/>
        <v>3865</v>
      </c>
      <c r="P18" s="2">
        <f t="shared" si="15"/>
        <v>1760</v>
      </c>
      <c r="Q18" s="2">
        <f t="shared" si="16"/>
        <v>100</v>
      </c>
    </row>
    <row r="19" spans="1:17" x14ac:dyDescent="0.35">
      <c r="A19" s="21">
        <v>45274</v>
      </c>
      <c r="B19" s="20">
        <f t="shared" si="0"/>
        <v>2556.4500000000003</v>
      </c>
      <c r="C19" s="20">
        <f t="shared" si="1"/>
        <v>3998.5499999999997</v>
      </c>
      <c r="D19" s="20">
        <f t="shared" si="2"/>
        <v>6555</v>
      </c>
      <c r="E19" s="20">
        <v>5500</v>
      </c>
      <c r="F19" s="20">
        <v>1055</v>
      </c>
      <c r="G19" s="20">
        <f>190+1150</f>
        <v>1340</v>
      </c>
      <c r="H19" s="19">
        <f t="shared" si="3"/>
        <v>0.63934426229508212</v>
      </c>
      <c r="I19" s="18">
        <f>SUM($D$2:D19)-SUM($G$2:G19)</f>
        <v>272722</v>
      </c>
      <c r="K19" s="9">
        <f t="shared" si="11"/>
        <v>45269</v>
      </c>
      <c r="L19" s="4">
        <f t="shared" si="17"/>
        <v>3997.5</v>
      </c>
      <c r="M19" s="4">
        <f t="shared" si="12"/>
        <v>9327.5</v>
      </c>
      <c r="N19" s="4">
        <f t="shared" si="13"/>
        <v>13325</v>
      </c>
      <c r="O19" s="4">
        <f t="shared" si="14"/>
        <v>6600</v>
      </c>
      <c r="P19" s="4">
        <f t="shared" si="15"/>
        <v>6725</v>
      </c>
      <c r="Q19" s="4">
        <f t="shared" si="16"/>
        <v>7625</v>
      </c>
    </row>
    <row r="20" spans="1:17" x14ac:dyDescent="0.35">
      <c r="A20" s="21">
        <v>45275</v>
      </c>
      <c r="B20" s="20">
        <f t="shared" si="0"/>
        <v>4451.8500000000004</v>
      </c>
      <c r="C20" s="20">
        <f t="shared" si="1"/>
        <v>6963.15</v>
      </c>
      <c r="D20" s="20">
        <f t="shared" si="2"/>
        <v>11415</v>
      </c>
      <c r="E20" s="20">
        <v>4160</v>
      </c>
      <c r="F20" s="20">
        <v>7255</v>
      </c>
      <c r="G20" s="20">
        <v>1000</v>
      </c>
      <c r="H20" s="19">
        <f t="shared" si="3"/>
        <v>0.63934426229508201</v>
      </c>
      <c r="I20" s="18">
        <f>SUM($D$2:D20)-SUM($G$2:G20)</f>
        <v>283137</v>
      </c>
      <c r="K20" s="8">
        <f t="shared" si="11"/>
        <v>45270</v>
      </c>
      <c r="L20" s="2">
        <f t="shared" si="17"/>
        <v>6835.5</v>
      </c>
      <c r="M20" s="2">
        <f t="shared" si="12"/>
        <v>15949.5</v>
      </c>
      <c r="N20" s="2">
        <f t="shared" si="13"/>
        <v>22785</v>
      </c>
      <c r="O20" s="2">
        <f t="shared" si="14"/>
        <v>8025</v>
      </c>
      <c r="P20" s="2">
        <f t="shared" si="15"/>
        <v>14760</v>
      </c>
      <c r="Q20" s="2">
        <f t="shared" si="16"/>
        <v>250</v>
      </c>
    </row>
    <row r="21" spans="1:17" x14ac:dyDescent="0.35">
      <c r="A21" s="21">
        <v>45276</v>
      </c>
      <c r="B21" s="20">
        <f t="shared" si="0"/>
        <v>10085.4</v>
      </c>
      <c r="C21" s="20">
        <f t="shared" si="1"/>
        <v>15774.6</v>
      </c>
      <c r="D21" s="20">
        <f t="shared" si="2"/>
        <v>25860</v>
      </c>
      <c r="E21" s="20">
        <v>4000</v>
      </c>
      <c r="F21" s="20">
        <v>21860</v>
      </c>
      <c r="G21" s="20">
        <v>50</v>
      </c>
      <c r="H21" s="19">
        <f t="shared" si="3"/>
        <v>0.6393442622950819</v>
      </c>
      <c r="I21" s="18">
        <f>SUM($D$2:D21)-SUM($G$2:G21)</f>
        <v>308947</v>
      </c>
      <c r="K21" s="3" t="s">
        <v>4</v>
      </c>
      <c r="L21" s="3">
        <f t="shared" ref="L21:Q21" si="18">SUM(L14:L20)</f>
        <v>40422</v>
      </c>
      <c r="M21" s="3">
        <f t="shared" si="18"/>
        <v>94318</v>
      </c>
      <c r="N21" s="3">
        <f t="shared" si="18"/>
        <v>134740</v>
      </c>
      <c r="O21" s="3">
        <f t="shared" si="18"/>
        <v>48180</v>
      </c>
      <c r="P21" s="3">
        <f t="shared" si="18"/>
        <v>86560</v>
      </c>
      <c r="Q21" s="3">
        <f t="shared" si="18"/>
        <v>25915</v>
      </c>
    </row>
    <row r="22" spans="1:17" x14ac:dyDescent="0.35">
      <c r="A22" s="21">
        <v>45277</v>
      </c>
      <c r="B22" s="20">
        <f t="shared" si="0"/>
        <v>5358.6</v>
      </c>
      <c r="C22" s="20">
        <f t="shared" si="1"/>
        <v>8381.4</v>
      </c>
      <c r="D22" s="20">
        <f t="shared" si="2"/>
        <v>13740</v>
      </c>
      <c r="E22" s="20">
        <v>7740</v>
      </c>
      <c r="F22" s="20">
        <v>6000</v>
      </c>
      <c r="G22" s="20">
        <v>350</v>
      </c>
      <c r="H22" s="19">
        <f t="shared" si="3"/>
        <v>0.63934426229508201</v>
      </c>
      <c r="I22" s="18">
        <f>SUM($D$2:D22)-SUM($G$2:G22)</f>
        <v>322337</v>
      </c>
      <c r="K22" s="3" t="s">
        <v>0</v>
      </c>
      <c r="L22" s="3">
        <f>L21/3</f>
        <v>13474</v>
      </c>
      <c r="M22" s="3"/>
      <c r="N22" s="3">
        <f>M22+L22</f>
        <v>13474</v>
      </c>
      <c r="O22" s="2"/>
      <c r="P22" s="2"/>
      <c r="Q22" s="2"/>
    </row>
    <row r="23" spans="1:17" x14ac:dyDescent="0.35">
      <c r="A23" s="21">
        <v>45278</v>
      </c>
      <c r="B23" s="20">
        <f t="shared" si="0"/>
        <v>11814.27</v>
      </c>
      <c r="C23" s="20">
        <f t="shared" si="1"/>
        <v>18478.73</v>
      </c>
      <c r="D23" s="20">
        <f t="shared" si="2"/>
        <v>30293</v>
      </c>
      <c r="E23" s="20">
        <v>7160</v>
      </c>
      <c r="F23" s="20">
        <v>23133</v>
      </c>
      <c r="G23" s="20">
        <v>6500</v>
      </c>
      <c r="H23" s="19">
        <f t="shared" si="3"/>
        <v>0.63934426229508201</v>
      </c>
      <c r="I23" s="18">
        <f>SUM($D$2:D23)-SUM($G$2:G23)</f>
        <v>346130</v>
      </c>
      <c r="M23" t="s">
        <v>19</v>
      </c>
    </row>
    <row r="24" spans="1:17" x14ac:dyDescent="0.35">
      <c r="A24" s="21">
        <v>45279</v>
      </c>
      <c r="B24" s="20">
        <f t="shared" si="0"/>
        <v>11282.7</v>
      </c>
      <c r="C24" s="20">
        <f t="shared" si="1"/>
        <v>17647.3</v>
      </c>
      <c r="D24" s="20">
        <f t="shared" si="2"/>
        <v>28930</v>
      </c>
      <c r="E24" s="20">
        <v>17900</v>
      </c>
      <c r="F24" s="20">
        <v>11030</v>
      </c>
      <c r="G24" s="20">
        <v>100</v>
      </c>
      <c r="H24" s="19">
        <f t="shared" si="3"/>
        <v>0.63934426229508201</v>
      </c>
      <c r="I24" s="18">
        <f>SUM($D$2:D24)-SUM($G$2:G24)</f>
        <v>374960</v>
      </c>
      <c r="K24" s="7" t="s">
        <v>7</v>
      </c>
      <c r="L24" s="6" t="s">
        <v>6</v>
      </c>
      <c r="M24" s="6" t="s">
        <v>5</v>
      </c>
      <c r="N24" s="6" t="s">
        <v>4</v>
      </c>
      <c r="O24" s="6" t="s">
        <v>3</v>
      </c>
      <c r="P24" s="6" t="s">
        <v>2</v>
      </c>
      <c r="Q24" s="6" t="s">
        <v>1</v>
      </c>
    </row>
    <row r="25" spans="1:17" x14ac:dyDescent="0.35">
      <c r="A25" s="21">
        <v>45280</v>
      </c>
      <c r="B25" s="20">
        <f t="shared" si="0"/>
        <v>15202.2</v>
      </c>
      <c r="C25" s="20">
        <f t="shared" si="1"/>
        <v>23777.8</v>
      </c>
      <c r="D25" s="20">
        <f t="shared" si="2"/>
        <v>38980</v>
      </c>
      <c r="E25" s="20">
        <v>29500</v>
      </c>
      <c r="F25" s="20">
        <v>9480</v>
      </c>
      <c r="G25" s="20">
        <v>760</v>
      </c>
      <c r="H25" s="19">
        <f t="shared" si="3"/>
        <v>0.63934426229508201</v>
      </c>
      <c r="I25" s="18">
        <f>SUM($D$2:D25)-SUM($G$2:G25)</f>
        <v>413180</v>
      </c>
      <c r="K25" s="8">
        <f t="shared" ref="K25:K31" si="19">A16</f>
        <v>45271</v>
      </c>
      <c r="L25" s="2">
        <f>N25*0.3</f>
        <v>4629</v>
      </c>
      <c r="M25" s="2">
        <f t="shared" ref="M25:M31" si="20">N25-L25</f>
        <v>10801</v>
      </c>
      <c r="N25" s="2">
        <f t="shared" ref="N25:N31" si="21">O25+P25</f>
        <v>15430</v>
      </c>
      <c r="O25" s="2">
        <v>0</v>
      </c>
      <c r="P25" s="2">
        <f t="shared" ref="P25:P31" si="22">VLOOKUP(K25,$A$1:$H$37,6,0)</f>
        <v>15430</v>
      </c>
      <c r="Q25" s="2">
        <f t="shared" ref="Q25:Q31" si="23">VLOOKUP(K25,$A$1:$H$37,7,0)</f>
        <v>15500</v>
      </c>
    </row>
    <row r="26" spans="1:17" x14ac:dyDescent="0.35">
      <c r="A26" s="21">
        <v>45281</v>
      </c>
      <c r="B26" s="20">
        <f t="shared" si="0"/>
        <v>10303.800000000001</v>
      </c>
      <c r="C26" s="20">
        <f t="shared" si="1"/>
        <v>16116.199999999999</v>
      </c>
      <c r="D26" s="20">
        <f t="shared" si="2"/>
        <v>26420</v>
      </c>
      <c r="E26" s="20">
        <v>7920</v>
      </c>
      <c r="F26" s="20">
        <v>18500</v>
      </c>
      <c r="G26" s="20">
        <v>1330</v>
      </c>
      <c r="H26" s="19">
        <f t="shared" si="3"/>
        <v>0.63934426229508212</v>
      </c>
      <c r="I26" s="18">
        <f>SUM($D$2:D26)-SUM($G$2:G26)</f>
        <v>438270</v>
      </c>
      <c r="K26" s="9">
        <f t="shared" si="19"/>
        <v>45272</v>
      </c>
      <c r="L26" s="4">
        <f>N26*0.3</f>
        <v>7824.5999999999995</v>
      </c>
      <c r="M26" s="4">
        <f t="shared" si="20"/>
        <v>18257.400000000001</v>
      </c>
      <c r="N26" s="4">
        <f t="shared" si="21"/>
        <v>26082</v>
      </c>
      <c r="O26" s="4">
        <f t="shared" ref="O26:O31" si="24">VLOOKUP(K26,$A$1:$H$37,5,0)</f>
        <v>6050</v>
      </c>
      <c r="P26" s="4">
        <f t="shared" si="22"/>
        <v>20032</v>
      </c>
      <c r="Q26" s="4">
        <f t="shared" si="23"/>
        <v>3020</v>
      </c>
    </row>
    <row r="27" spans="1:17" x14ac:dyDescent="0.35">
      <c r="A27" s="21">
        <v>45282</v>
      </c>
      <c r="B27" s="20">
        <f t="shared" si="0"/>
        <v>3233.1</v>
      </c>
      <c r="C27" s="20">
        <f t="shared" si="1"/>
        <v>5056.8999999999996</v>
      </c>
      <c r="D27" s="20">
        <f t="shared" si="2"/>
        <v>8290</v>
      </c>
      <c r="E27" s="20">
        <v>5840</v>
      </c>
      <c r="F27" s="20">
        <v>2450</v>
      </c>
      <c r="G27" s="20">
        <v>1010</v>
      </c>
      <c r="H27" s="19">
        <f t="shared" si="3"/>
        <v>0.63934426229508201</v>
      </c>
      <c r="I27" s="18">
        <f>SUM($D$2:D27)-SUM($G$2:G27)</f>
        <v>445550</v>
      </c>
      <c r="K27" s="8">
        <f t="shared" si="19"/>
        <v>45273</v>
      </c>
      <c r="L27" s="2">
        <f t="shared" ref="L27:L31" si="25">N27*0.3</f>
        <v>10186.5</v>
      </c>
      <c r="M27" s="2">
        <f t="shared" si="20"/>
        <v>23768.5</v>
      </c>
      <c r="N27" s="2">
        <f t="shared" si="21"/>
        <v>33955</v>
      </c>
      <c r="O27" s="2">
        <f t="shared" si="24"/>
        <v>19365</v>
      </c>
      <c r="P27" s="2">
        <f t="shared" si="22"/>
        <v>14590</v>
      </c>
      <c r="Q27" s="2">
        <f t="shared" si="23"/>
        <v>2385</v>
      </c>
    </row>
    <row r="28" spans="1:17" x14ac:dyDescent="0.35">
      <c r="A28" s="21">
        <v>45283</v>
      </c>
      <c r="B28" s="20">
        <f t="shared" si="0"/>
        <v>5524.35</v>
      </c>
      <c r="C28" s="20">
        <f t="shared" si="1"/>
        <v>8640.65</v>
      </c>
      <c r="D28" s="20">
        <f t="shared" si="2"/>
        <v>14165</v>
      </c>
      <c r="E28" s="20">
        <v>3550</v>
      </c>
      <c r="F28" s="20">
        <v>10615</v>
      </c>
      <c r="G28" s="20">
        <v>1730</v>
      </c>
      <c r="H28" s="19">
        <f t="shared" si="3"/>
        <v>0.63934426229508201</v>
      </c>
      <c r="I28" s="18">
        <f>SUM($D$2:D28)-SUM($G$2:G28)</f>
        <v>457985</v>
      </c>
      <c r="K28" s="9">
        <f t="shared" si="19"/>
        <v>45274</v>
      </c>
      <c r="L28" s="4">
        <f>N28*0.3</f>
        <v>1966.5</v>
      </c>
      <c r="M28" s="4">
        <f t="shared" si="20"/>
        <v>4588.5</v>
      </c>
      <c r="N28" s="4">
        <f t="shared" si="21"/>
        <v>6555</v>
      </c>
      <c r="O28" s="4">
        <f t="shared" si="24"/>
        <v>5500</v>
      </c>
      <c r="P28" s="4">
        <f t="shared" si="22"/>
        <v>1055</v>
      </c>
      <c r="Q28" s="4">
        <f t="shared" si="23"/>
        <v>1340</v>
      </c>
    </row>
    <row r="29" spans="1:17" x14ac:dyDescent="0.35">
      <c r="A29" s="21">
        <v>45284</v>
      </c>
      <c r="B29" s="20">
        <f t="shared" si="0"/>
        <v>0</v>
      </c>
      <c r="C29" s="20">
        <f t="shared" si="1"/>
        <v>0</v>
      </c>
      <c r="D29" s="20">
        <f t="shared" si="2"/>
        <v>0</v>
      </c>
      <c r="E29" s="20"/>
      <c r="F29" s="20"/>
      <c r="G29" s="20"/>
      <c r="H29" s="19">
        <f t="shared" si="3"/>
        <v>0</v>
      </c>
      <c r="I29" s="18">
        <f>SUM($D$2:D29)-SUM($G$2:G29)</f>
        <v>457985</v>
      </c>
      <c r="K29" s="8">
        <f t="shared" si="19"/>
        <v>45275</v>
      </c>
      <c r="L29" s="2">
        <f t="shared" si="25"/>
        <v>3424.5</v>
      </c>
      <c r="M29" s="2">
        <f t="shared" si="20"/>
        <v>7990.5</v>
      </c>
      <c r="N29" s="2">
        <f t="shared" si="21"/>
        <v>11415</v>
      </c>
      <c r="O29" s="2">
        <f t="shared" si="24"/>
        <v>4160</v>
      </c>
      <c r="P29" s="2">
        <f t="shared" si="22"/>
        <v>7255</v>
      </c>
      <c r="Q29" s="2">
        <f t="shared" si="23"/>
        <v>1000</v>
      </c>
    </row>
    <row r="30" spans="1:17" x14ac:dyDescent="0.35">
      <c r="A30" s="21">
        <v>45285</v>
      </c>
      <c r="B30" s="20">
        <f t="shared" si="0"/>
        <v>0</v>
      </c>
      <c r="C30" s="20">
        <f t="shared" si="1"/>
        <v>0</v>
      </c>
      <c r="D30" s="20">
        <f t="shared" si="2"/>
        <v>0</v>
      </c>
      <c r="E30" s="20"/>
      <c r="F30" s="20"/>
      <c r="G30" s="20"/>
      <c r="H30" s="19">
        <f t="shared" si="3"/>
        <v>0</v>
      </c>
      <c r="I30" s="18">
        <f>SUM($D$2:D30)-SUM($G$2:G30)</f>
        <v>457985</v>
      </c>
      <c r="K30" s="9">
        <f t="shared" si="19"/>
        <v>45276</v>
      </c>
      <c r="L30" s="4">
        <f t="shared" si="25"/>
        <v>7758</v>
      </c>
      <c r="M30" s="4">
        <f t="shared" si="20"/>
        <v>18102</v>
      </c>
      <c r="N30" s="4">
        <f t="shared" si="21"/>
        <v>25860</v>
      </c>
      <c r="O30" s="4">
        <f t="shared" si="24"/>
        <v>4000</v>
      </c>
      <c r="P30" s="4">
        <f t="shared" si="22"/>
        <v>21860</v>
      </c>
      <c r="Q30" s="4">
        <f t="shared" si="23"/>
        <v>50</v>
      </c>
    </row>
    <row r="31" spans="1:17" x14ac:dyDescent="0.35">
      <c r="A31" s="21">
        <v>45286</v>
      </c>
      <c r="B31" s="20">
        <f t="shared" si="0"/>
        <v>0</v>
      </c>
      <c r="C31" s="20">
        <f t="shared" si="1"/>
        <v>0</v>
      </c>
      <c r="D31" s="20">
        <f t="shared" si="2"/>
        <v>0</v>
      </c>
      <c r="E31" s="20"/>
      <c r="F31" s="20"/>
      <c r="G31" s="20"/>
      <c r="H31" s="19">
        <f t="shared" si="3"/>
        <v>0</v>
      </c>
      <c r="I31" s="18">
        <f>SUM($D$2:D31)-SUM($G$2:G31)</f>
        <v>457985</v>
      </c>
      <c r="K31" s="8">
        <f t="shared" si="19"/>
        <v>45277</v>
      </c>
      <c r="L31" s="2">
        <f t="shared" si="25"/>
        <v>4122</v>
      </c>
      <c r="M31" s="2">
        <f t="shared" si="20"/>
        <v>9618</v>
      </c>
      <c r="N31" s="2">
        <f t="shared" si="21"/>
        <v>13740</v>
      </c>
      <c r="O31" s="2">
        <f t="shared" si="24"/>
        <v>7740</v>
      </c>
      <c r="P31" s="2">
        <f t="shared" si="22"/>
        <v>6000</v>
      </c>
      <c r="Q31" s="2">
        <f t="shared" si="23"/>
        <v>350</v>
      </c>
    </row>
    <row r="32" spans="1:17" x14ac:dyDescent="0.35">
      <c r="A32" s="21">
        <v>45287</v>
      </c>
      <c r="B32" s="20">
        <f t="shared" si="0"/>
        <v>0</v>
      </c>
      <c r="C32" s="20">
        <f t="shared" si="1"/>
        <v>0</v>
      </c>
      <c r="D32" s="20">
        <f t="shared" si="2"/>
        <v>0</v>
      </c>
      <c r="E32" s="22"/>
      <c r="F32" s="22"/>
      <c r="G32" s="22"/>
      <c r="H32" s="19">
        <f t="shared" si="3"/>
        <v>0</v>
      </c>
      <c r="I32" s="18">
        <f>SUM($D$2:D32)-SUM($G$2:G32)</f>
        <v>457985</v>
      </c>
      <c r="K32" s="3" t="s">
        <v>4</v>
      </c>
      <c r="L32" s="2">
        <f t="shared" ref="L32:Q32" si="26">SUM(L25:L31)</f>
        <v>39911.1</v>
      </c>
      <c r="M32" s="2">
        <f t="shared" si="26"/>
        <v>93125.9</v>
      </c>
      <c r="N32" s="2">
        <f t="shared" si="26"/>
        <v>133037</v>
      </c>
      <c r="O32" s="2">
        <f t="shared" si="26"/>
        <v>46815</v>
      </c>
      <c r="P32" s="2">
        <f t="shared" si="26"/>
        <v>86222</v>
      </c>
      <c r="Q32" s="2">
        <f t="shared" si="26"/>
        <v>23645</v>
      </c>
    </row>
    <row r="33" spans="1:17" x14ac:dyDescent="0.35">
      <c r="A33" s="21">
        <v>45288</v>
      </c>
      <c r="B33" s="20">
        <f t="shared" si="0"/>
        <v>0</v>
      </c>
      <c r="C33" s="20">
        <f t="shared" si="1"/>
        <v>0</v>
      </c>
      <c r="D33" s="20">
        <f t="shared" si="2"/>
        <v>0</v>
      </c>
      <c r="E33" s="20"/>
      <c r="F33" s="20"/>
      <c r="G33" s="20"/>
      <c r="H33" s="19">
        <f t="shared" si="3"/>
        <v>0</v>
      </c>
      <c r="I33" s="18">
        <f>SUM($D$2:D33)-SUM($G$2:G33)</f>
        <v>457985</v>
      </c>
      <c r="K33" s="3" t="s">
        <v>0</v>
      </c>
      <c r="L33" s="4">
        <f>L32/3</f>
        <v>13303.699999999999</v>
      </c>
      <c r="M33" s="4"/>
      <c r="N33" s="4"/>
      <c r="O33" s="4"/>
      <c r="P33" s="4"/>
      <c r="Q33" s="4"/>
    </row>
    <row r="34" spans="1:17" x14ac:dyDescent="0.35">
      <c r="A34" s="21">
        <v>45289</v>
      </c>
      <c r="B34" s="20">
        <f t="shared" si="0"/>
        <v>0</v>
      </c>
      <c r="C34" s="20">
        <f t="shared" si="1"/>
        <v>0</v>
      </c>
      <c r="D34" s="20">
        <f t="shared" si="2"/>
        <v>0</v>
      </c>
      <c r="E34" s="20"/>
      <c r="F34" s="20"/>
      <c r="G34" s="20"/>
      <c r="H34" s="19">
        <f t="shared" si="3"/>
        <v>0</v>
      </c>
      <c r="I34" s="18">
        <f>SUM($D$2:D34)-SUM($G$2:G34)</f>
        <v>457985</v>
      </c>
    </row>
    <row r="35" spans="1:17" x14ac:dyDescent="0.35">
      <c r="A35" s="21">
        <v>45290</v>
      </c>
      <c r="B35" s="20">
        <f t="shared" si="0"/>
        <v>0</v>
      </c>
      <c r="C35" s="20">
        <f t="shared" si="1"/>
        <v>0</v>
      </c>
      <c r="D35" s="20">
        <f t="shared" si="2"/>
        <v>0</v>
      </c>
      <c r="E35" s="22"/>
      <c r="F35" s="22"/>
      <c r="G35" s="22"/>
      <c r="H35" s="19">
        <f t="shared" si="3"/>
        <v>0</v>
      </c>
      <c r="I35" s="18">
        <f>SUM($D$2:D35)-SUM($G$2:G35)</f>
        <v>457985</v>
      </c>
      <c r="K35" s="7" t="s">
        <v>7</v>
      </c>
      <c r="L35" s="6" t="s">
        <v>6</v>
      </c>
      <c r="M35" s="6" t="s">
        <v>5</v>
      </c>
      <c r="N35" s="6" t="s">
        <v>4</v>
      </c>
      <c r="O35" s="6" t="s">
        <v>3</v>
      </c>
      <c r="P35" s="6" t="s">
        <v>2</v>
      </c>
      <c r="Q35" s="6" t="s">
        <v>1</v>
      </c>
    </row>
    <row r="36" spans="1:17" x14ac:dyDescent="0.35">
      <c r="A36" s="21">
        <v>45291</v>
      </c>
      <c r="B36" s="20">
        <f t="shared" si="0"/>
        <v>0</v>
      </c>
      <c r="C36" s="20">
        <f t="shared" si="1"/>
        <v>0</v>
      </c>
      <c r="D36" s="20">
        <f t="shared" si="2"/>
        <v>0</v>
      </c>
      <c r="E36" s="22"/>
      <c r="F36" s="22"/>
      <c r="G36" s="22"/>
      <c r="H36" s="19">
        <f t="shared" si="3"/>
        <v>0</v>
      </c>
      <c r="I36" s="18">
        <f>SUM($D$2:D36)-SUM($G$2:G36)</f>
        <v>457985</v>
      </c>
      <c r="K36" s="9">
        <f t="shared" ref="K36:K42" si="27">A23</f>
        <v>45278</v>
      </c>
      <c r="L36" s="2">
        <f>N36*0.3</f>
        <v>9087.9</v>
      </c>
      <c r="M36" s="2">
        <f t="shared" ref="M36:M42" si="28">N36-L36</f>
        <v>21205.1</v>
      </c>
      <c r="N36" s="2">
        <f t="shared" ref="N36:N42" si="29">O36+P36</f>
        <v>30293</v>
      </c>
      <c r="O36" s="2">
        <f t="shared" ref="O36:O42" si="30">VLOOKUP(K36,$A$1:$H$37,5,0)</f>
        <v>7160</v>
      </c>
      <c r="P36" s="2">
        <f t="shared" ref="P36:P42" si="31">VLOOKUP(K36,$A$1:$H$37,6,0)</f>
        <v>23133</v>
      </c>
      <c r="Q36" s="2">
        <f t="shared" ref="Q36:Q42" si="32">VLOOKUP(K36,$A$1:$H$37,7,0)</f>
        <v>6500</v>
      </c>
    </row>
    <row r="37" spans="1:17" ht="15" thickBot="1" x14ac:dyDescent="0.4">
      <c r="A37" s="17" t="s">
        <v>4</v>
      </c>
      <c r="B37" s="16">
        <f>SUM(B4:B36)</f>
        <v>195493.35</v>
      </c>
      <c r="C37" s="16">
        <f t="shared" ref="C37:I37" si="33">SUM(C4:C36)</f>
        <v>305771.65000000002</v>
      </c>
      <c r="D37" s="16">
        <f t="shared" si="33"/>
        <v>501265</v>
      </c>
      <c r="E37" s="16">
        <f t="shared" si="33"/>
        <v>209495</v>
      </c>
      <c r="F37" s="16">
        <f t="shared" si="33"/>
        <v>291770</v>
      </c>
      <c r="G37" s="16">
        <f t="shared" si="33"/>
        <v>67910</v>
      </c>
      <c r="H37" s="16">
        <f t="shared" si="33"/>
        <v>15.983606557377055</v>
      </c>
      <c r="I37" s="16">
        <f t="shared" si="33"/>
        <v>9537767</v>
      </c>
      <c r="K37" s="9">
        <f t="shared" si="27"/>
        <v>45279</v>
      </c>
      <c r="L37" s="4">
        <f>N37*0.3</f>
        <v>8679</v>
      </c>
      <c r="M37" s="4">
        <f t="shared" si="28"/>
        <v>20251</v>
      </c>
      <c r="N37" s="4">
        <f t="shared" si="29"/>
        <v>28930</v>
      </c>
      <c r="O37" s="4">
        <f t="shared" si="30"/>
        <v>17900</v>
      </c>
      <c r="P37" s="4">
        <f t="shared" si="31"/>
        <v>11030</v>
      </c>
      <c r="Q37" s="4">
        <f t="shared" si="32"/>
        <v>100</v>
      </c>
    </row>
    <row r="38" spans="1:17" x14ac:dyDescent="0.35">
      <c r="A38" s="12"/>
      <c r="B38" s="11">
        <f>B37/3</f>
        <v>65164.450000000004</v>
      </c>
      <c r="C38" s="11"/>
      <c r="E38" s="13">
        <f>D37*0.42</f>
        <v>210531.3</v>
      </c>
      <c r="F38" s="11"/>
      <c r="G38" s="11"/>
      <c r="H38" s="10"/>
      <c r="K38" s="8">
        <f t="shared" si="27"/>
        <v>45280</v>
      </c>
      <c r="L38" s="2">
        <f t="shared" ref="L38:L42" si="34">N38*0.3</f>
        <v>11694</v>
      </c>
      <c r="M38" s="2">
        <f t="shared" si="28"/>
        <v>27286</v>
      </c>
      <c r="N38" s="2">
        <f t="shared" si="29"/>
        <v>38980</v>
      </c>
      <c r="O38" s="2">
        <f t="shared" si="30"/>
        <v>29500</v>
      </c>
      <c r="P38" s="2">
        <f t="shared" si="31"/>
        <v>9480</v>
      </c>
      <c r="Q38" s="2">
        <f t="shared" si="32"/>
        <v>760</v>
      </c>
    </row>
    <row r="39" spans="1:17" x14ac:dyDescent="0.35">
      <c r="A39" s="12"/>
      <c r="B39" s="11">
        <f>B38*100/D37</f>
        <v>13</v>
      </c>
      <c r="C39" s="11"/>
      <c r="E39" s="11">
        <f>E38/3</f>
        <v>70177.099999999991</v>
      </c>
      <c r="F39" s="11"/>
      <c r="G39" s="11"/>
      <c r="H39" s="10"/>
      <c r="K39" s="9">
        <f t="shared" si="27"/>
        <v>45281</v>
      </c>
      <c r="L39" s="4">
        <f t="shared" si="34"/>
        <v>7926</v>
      </c>
      <c r="M39" s="4">
        <f t="shared" si="28"/>
        <v>18494</v>
      </c>
      <c r="N39" s="4">
        <f t="shared" si="29"/>
        <v>26420</v>
      </c>
      <c r="O39" s="4">
        <f t="shared" si="30"/>
        <v>7920</v>
      </c>
      <c r="P39" s="4">
        <f t="shared" si="31"/>
        <v>18500</v>
      </c>
      <c r="Q39" s="4">
        <f t="shared" si="32"/>
        <v>1330</v>
      </c>
    </row>
    <row r="40" spans="1:17" x14ac:dyDescent="0.35">
      <c r="A40" s="7" t="s">
        <v>7</v>
      </c>
      <c r="B40" s="6" t="s">
        <v>6</v>
      </c>
      <c r="C40" s="6" t="s">
        <v>5</v>
      </c>
      <c r="D40" s="6" t="s">
        <v>4</v>
      </c>
      <c r="E40" s="6" t="s">
        <v>3</v>
      </c>
      <c r="F40" s="6" t="s">
        <v>2</v>
      </c>
      <c r="G40" s="6" t="s">
        <v>1</v>
      </c>
      <c r="H40" s="31" t="s">
        <v>0</v>
      </c>
      <c r="K40" s="8">
        <f t="shared" si="27"/>
        <v>45282</v>
      </c>
      <c r="L40" s="2">
        <f t="shared" si="34"/>
        <v>2487</v>
      </c>
      <c r="M40" s="2">
        <f t="shared" si="28"/>
        <v>5803</v>
      </c>
      <c r="N40" s="2">
        <f t="shared" si="29"/>
        <v>8290</v>
      </c>
      <c r="O40" s="2">
        <f t="shared" si="30"/>
        <v>5840</v>
      </c>
      <c r="P40" s="2">
        <f t="shared" si="31"/>
        <v>2450</v>
      </c>
      <c r="Q40" s="2">
        <f t="shared" si="32"/>
        <v>1010</v>
      </c>
    </row>
    <row r="41" spans="1:17" x14ac:dyDescent="0.35">
      <c r="A41" s="32" t="str">
        <f>CONCATENATE(TEXT(K3,"DD-MMM-YYY")," to ",TEXT(K9,"DD-MMM-YYYY"))</f>
        <v>27-Nov-2023 to 03-Dec-2023</v>
      </c>
      <c r="B41" s="2">
        <f>L10</f>
        <v>32808</v>
      </c>
      <c r="C41" s="2">
        <f t="shared" ref="C41:G41" si="35">M10</f>
        <v>76552</v>
      </c>
      <c r="D41" s="2">
        <f t="shared" si="35"/>
        <v>109360</v>
      </c>
      <c r="E41" s="2">
        <f t="shared" si="35"/>
        <v>53170</v>
      </c>
      <c r="F41" s="2">
        <f t="shared" si="35"/>
        <v>56190</v>
      </c>
      <c r="G41" s="2">
        <f t="shared" si="35"/>
        <v>12860</v>
      </c>
      <c r="H41" s="2">
        <f>B41/3</f>
        <v>10936</v>
      </c>
      <c r="K41" s="9">
        <f t="shared" si="27"/>
        <v>45283</v>
      </c>
      <c r="L41" s="4">
        <f t="shared" si="34"/>
        <v>4249.5</v>
      </c>
      <c r="M41" s="4">
        <f t="shared" si="28"/>
        <v>9915.5</v>
      </c>
      <c r="N41" s="4">
        <f t="shared" si="29"/>
        <v>14165</v>
      </c>
      <c r="O41" s="4">
        <f t="shared" si="30"/>
        <v>3550</v>
      </c>
      <c r="P41" s="4">
        <f t="shared" si="31"/>
        <v>10615</v>
      </c>
      <c r="Q41" s="4">
        <f t="shared" si="32"/>
        <v>1730</v>
      </c>
    </row>
    <row r="42" spans="1:17" x14ac:dyDescent="0.35">
      <c r="A42" s="32" t="str">
        <f>CONCATENATE(TEXT(K14,"DD-MMM-YYY")," to ",TEXT(K20,"DD-MMM-YYYY"))</f>
        <v>04-Dec-2023 to 10-Dec-2023</v>
      </c>
      <c r="B42" s="4">
        <f>L21</f>
        <v>40422</v>
      </c>
      <c r="C42" s="4">
        <f t="shared" ref="C42:G42" si="36">M21</f>
        <v>94318</v>
      </c>
      <c r="D42" s="4">
        <f t="shared" si="36"/>
        <v>134740</v>
      </c>
      <c r="E42" s="4">
        <f t="shared" si="36"/>
        <v>48180</v>
      </c>
      <c r="F42" s="4">
        <f t="shared" si="36"/>
        <v>86560</v>
      </c>
      <c r="G42" s="4">
        <f t="shared" si="36"/>
        <v>25915</v>
      </c>
      <c r="H42" s="2">
        <f t="shared" ref="H42:H45" si="37">B42/3</f>
        <v>13474</v>
      </c>
      <c r="K42" s="8">
        <f t="shared" si="27"/>
        <v>45284</v>
      </c>
      <c r="L42" s="2">
        <f t="shared" si="34"/>
        <v>0</v>
      </c>
      <c r="M42" s="2">
        <f t="shared" si="28"/>
        <v>0</v>
      </c>
      <c r="N42" s="2">
        <f t="shared" si="29"/>
        <v>0</v>
      </c>
      <c r="O42" s="2">
        <f t="shared" si="30"/>
        <v>0</v>
      </c>
      <c r="P42" s="2">
        <f t="shared" si="31"/>
        <v>0</v>
      </c>
      <c r="Q42" s="2">
        <f t="shared" si="32"/>
        <v>0</v>
      </c>
    </row>
    <row r="43" spans="1:17" x14ac:dyDescent="0.35">
      <c r="A43" s="32" t="str">
        <f>CONCATENATE(TEXT(K25,"DD-MMM-YYY")," to ",TEXT(K31,"DD-MMM-YYYY"))</f>
        <v>11-Dec-2023 to 17-Dec-2023</v>
      </c>
      <c r="B43" s="2">
        <f>L32</f>
        <v>39911.1</v>
      </c>
      <c r="C43" s="2">
        <f t="shared" ref="C43:G43" si="38">M32</f>
        <v>93125.9</v>
      </c>
      <c r="D43" s="2">
        <f t="shared" si="38"/>
        <v>133037</v>
      </c>
      <c r="E43" s="2">
        <f t="shared" si="38"/>
        <v>46815</v>
      </c>
      <c r="F43" s="2">
        <f t="shared" si="38"/>
        <v>86222</v>
      </c>
      <c r="G43" s="2">
        <f t="shared" si="38"/>
        <v>23645</v>
      </c>
      <c r="H43" s="2">
        <f t="shared" si="37"/>
        <v>13303.699999999999</v>
      </c>
      <c r="K43" s="3" t="s">
        <v>4</v>
      </c>
      <c r="L43" s="2">
        <f t="shared" ref="L43" si="39">SUM(L36:L42)</f>
        <v>44123.4</v>
      </c>
      <c r="M43" s="4">
        <f t="shared" ref="L43:Q43" si="40">SUM(M36:M42)</f>
        <v>102954.6</v>
      </c>
      <c r="N43" s="4">
        <f t="shared" si="40"/>
        <v>147078</v>
      </c>
      <c r="O43" s="4">
        <f t="shared" si="40"/>
        <v>71870</v>
      </c>
      <c r="P43" s="4">
        <f t="shared" si="40"/>
        <v>75208</v>
      </c>
      <c r="Q43" s="4">
        <f t="shared" si="40"/>
        <v>11430</v>
      </c>
    </row>
    <row r="44" spans="1:17" x14ac:dyDescent="0.35">
      <c r="A44" s="32" t="str">
        <f>CONCATENATE(TEXT(K36,"DD-MMM-YYY")," to ",TEXT(K42,"DD-MMM-YYYY"))</f>
        <v>18-Dec-2023 to 24-Dec-2023</v>
      </c>
      <c r="B44" s="4">
        <f>L43</f>
        <v>44123.4</v>
      </c>
      <c r="C44" s="4">
        <f t="shared" ref="C44:G44" si="41">M43</f>
        <v>102954.6</v>
      </c>
      <c r="D44" s="4">
        <f t="shared" si="41"/>
        <v>147078</v>
      </c>
      <c r="E44" s="4">
        <f t="shared" si="41"/>
        <v>71870</v>
      </c>
      <c r="F44" s="4">
        <f t="shared" si="41"/>
        <v>75208</v>
      </c>
      <c r="G44" s="4">
        <f t="shared" si="41"/>
        <v>11430</v>
      </c>
      <c r="H44" s="2">
        <f t="shared" si="37"/>
        <v>14707.800000000001</v>
      </c>
      <c r="K44" s="3" t="s">
        <v>0</v>
      </c>
      <c r="L44" s="2">
        <f>L43/3</f>
        <v>14707.800000000001</v>
      </c>
      <c r="M44" s="2"/>
      <c r="N44" s="2"/>
      <c r="O44" s="2"/>
      <c r="P44" s="2"/>
      <c r="Q44" s="2"/>
    </row>
    <row r="45" spans="1:17" x14ac:dyDescent="0.35">
      <c r="A45" s="32" t="str">
        <f>CONCATENATE(TEXT(K47,"DD-MMM-YYY")," to ",TEXT(K53,"DD-MMM-YYYY"))</f>
        <v>25-Dec-2023 to 31-Dec-2023</v>
      </c>
      <c r="B45" s="2">
        <f>L54</f>
        <v>0</v>
      </c>
      <c r="C45" s="2">
        <f t="shared" ref="C45:G45" si="42">M54</f>
        <v>0</v>
      </c>
      <c r="D45" s="2">
        <f t="shared" si="42"/>
        <v>0</v>
      </c>
      <c r="E45" s="2">
        <f t="shared" si="42"/>
        <v>0</v>
      </c>
      <c r="F45" s="2">
        <f t="shared" si="42"/>
        <v>0</v>
      </c>
      <c r="G45" s="2">
        <f t="shared" si="42"/>
        <v>0</v>
      </c>
      <c r="H45" s="2">
        <f t="shared" si="37"/>
        <v>0</v>
      </c>
    </row>
    <row r="46" spans="1:17" x14ac:dyDescent="0.35">
      <c r="A46" s="32" t="str">
        <f>CONCATENATE(TEXT(K59,"DD-MMM-YYY")," to ",TEXT(K58,"DD-MMM-YYYY"))</f>
        <v>01-Dec-2023 to Date</v>
      </c>
      <c r="B46" s="4">
        <f>SUM(B41:B45)</f>
        <v>157264.5</v>
      </c>
      <c r="C46" s="4">
        <f t="shared" ref="C46:H46" si="43">SUM(C41:C45)</f>
        <v>366950.5</v>
      </c>
      <c r="D46" s="4">
        <f t="shared" si="43"/>
        <v>524215</v>
      </c>
      <c r="E46" s="4">
        <f t="shared" si="43"/>
        <v>220035</v>
      </c>
      <c r="F46" s="4">
        <f t="shared" si="43"/>
        <v>304180</v>
      </c>
      <c r="G46" s="4">
        <f t="shared" si="43"/>
        <v>73850</v>
      </c>
      <c r="H46" s="4">
        <f t="shared" si="43"/>
        <v>52421.5</v>
      </c>
      <c r="K46" s="7" t="s">
        <v>7</v>
      </c>
      <c r="L46" s="6" t="s">
        <v>6</v>
      </c>
      <c r="M46" s="6" t="s">
        <v>5</v>
      </c>
      <c r="N46" s="6" t="s">
        <v>4</v>
      </c>
      <c r="O46" s="6" t="s">
        <v>3</v>
      </c>
      <c r="P46" s="6" t="s">
        <v>2</v>
      </c>
      <c r="Q46" s="6" t="s">
        <v>1</v>
      </c>
    </row>
    <row r="47" spans="1:17" x14ac:dyDescent="0.35">
      <c r="C47" s="67" t="s">
        <v>4</v>
      </c>
      <c r="D47" s="67"/>
      <c r="E47" s="67"/>
      <c r="F47" s="67"/>
      <c r="G47" s="68"/>
      <c r="H47" s="2"/>
      <c r="K47" s="8">
        <f t="shared" ref="K47:K53" si="44">A30</f>
        <v>45285</v>
      </c>
      <c r="L47" s="2">
        <f>N47*0.3</f>
        <v>0</v>
      </c>
      <c r="M47" s="2">
        <f t="shared" ref="M47:M53" si="45">N47-L47</f>
        <v>0</v>
      </c>
      <c r="N47" s="2">
        <f t="shared" ref="N47:N53" si="46">O47+P47</f>
        <v>0</v>
      </c>
      <c r="O47" s="2">
        <f t="shared" ref="O47:O52" si="47">VLOOKUP(K47,$A$1:$H$37,5,0)</f>
        <v>0</v>
      </c>
      <c r="P47" s="2">
        <f t="shared" ref="P47:P53" si="48">VLOOKUP(K47,$A$1:$H$37,6,0)</f>
        <v>0</v>
      </c>
      <c r="Q47" s="2">
        <f t="shared" ref="Q47:Q53" si="49">VLOOKUP(K47,$A$1:$H$37,7,0)</f>
        <v>0</v>
      </c>
    </row>
    <row r="48" spans="1:17" x14ac:dyDescent="0.35">
      <c r="K48" s="9">
        <f t="shared" si="44"/>
        <v>45286</v>
      </c>
      <c r="L48" s="4">
        <f>N48*0.3</f>
        <v>0</v>
      </c>
      <c r="M48" s="4">
        <f t="shared" si="45"/>
        <v>0</v>
      </c>
      <c r="N48" s="4">
        <f t="shared" si="46"/>
        <v>0</v>
      </c>
      <c r="O48" s="4">
        <f t="shared" si="47"/>
        <v>0</v>
      </c>
      <c r="P48" s="4">
        <f t="shared" si="48"/>
        <v>0</v>
      </c>
      <c r="Q48" s="4">
        <f t="shared" si="49"/>
        <v>0</v>
      </c>
    </row>
    <row r="49" spans="11:17" x14ac:dyDescent="0.35">
      <c r="K49" s="8">
        <f t="shared" si="44"/>
        <v>45287</v>
      </c>
      <c r="L49" s="2">
        <f t="shared" ref="L49:L53" si="50">N49*0.3</f>
        <v>0</v>
      </c>
      <c r="M49" s="2">
        <f t="shared" si="45"/>
        <v>0</v>
      </c>
      <c r="N49" s="2">
        <f t="shared" si="46"/>
        <v>0</v>
      </c>
      <c r="O49" s="2">
        <f t="shared" si="47"/>
        <v>0</v>
      </c>
      <c r="P49" s="2">
        <f t="shared" si="48"/>
        <v>0</v>
      </c>
      <c r="Q49" s="2">
        <f t="shared" si="49"/>
        <v>0</v>
      </c>
    </row>
    <row r="50" spans="11:17" x14ac:dyDescent="0.35">
      <c r="K50" s="9">
        <f t="shared" si="44"/>
        <v>45288</v>
      </c>
      <c r="L50" s="4">
        <f t="shared" si="50"/>
        <v>0</v>
      </c>
      <c r="M50" s="4">
        <f t="shared" si="45"/>
        <v>0</v>
      </c>
      <c r="N50" s="4">
        <f t="shared" si="46"/>
        <v>0</v>
      </c>
      <c r="O50" s="4">
        <f t="shared" si="47"/>
        <v>0</v>
      </c>
      <c r="P50" s="4">
        <f t="shared" si="48"/>
        <v>0</v>
      </c>
      <c r="Q50" s="4">
        <f t="shared" si="49"/>
        <v>0</v>
      </c>
    </row>
    <row r="51" spans="11:17" x14ac:dyDescent="0.35">
      <c r="K51" s="8">
        <f t="shared" si="44"/>
        <v>45289</v>
      </c>
      <c r="L51" s="2">
        <f t="shared" si="50"/>
        <v>0</v>
      </c>
      <c r="M51" s="2">
        <f t="shared" si="45"/>
        <v>0</v>
      </c>
      <c r="N51" s="2">
        <f t="shared" si="46"/>
        <v>0</v>
      </c>
      <c r="O51" s="2">
        <f t="shared" si="47"/>
        <v>0</v>
      </c>
      <c r="P51" s="2">
        <f t="shared" si="48"/>
        <v>0</v>
      </c>
      <c r="Q51" s="2">
        <f t="shared" si="49"/>
        <v>0</v>
      </c>
    </row>
    <row r="52" spans="11:17" x14ac:dyDescent="0.35">
      <c r="K52" s="9">
        <f t="shared" si="44"/>
        <v>45290</v>
      </c>
      <c r="L52" s="4">
        <f t="shared" si="50"/>
        <v>0</v>
      </c>
      <c r="M52" s="4">
        <f t="shared" si="45"/>
        <v>0</v>
      </c>
      <c r="N52" s="4">
        <f t="shared" si="46"/>
        <v>0</v>
      </c>
      <c r="O52" s="4">
        <f t="shared" si="47"/>
        <v>0</v>
      </c>
      <c r="P52" s="4">
        <f t="shared" si="48"/>
        <v>0</v>
      </c>
      <c r="Q52" s="4">
        <f t="shared" si="49"/>
        <v>0</v>
      </c>
    </row>
    <row r="53" spans="11:17" x14ac:dyDescent="0.35">
      <c r="K53" s="8">
        <f t="shared" si="44"/>
        <v>45291</v>
      </c>
      <c r="L53" s="2">
        <f t="shared" si="50"/>
        <v>0</v>
      </c>
      <c r="M53" s="2">
        <f t="shared" si="45"/>
        <v>0</v>
      </c>
      <c r="N53" s="2">
        <f t="shared" si="46"/>
        <v>0</v>
      </c>
      <c r="O53" s="2">
        <f>VLOOKUP(K53,$A$1:$H$37,5,0)</f>
        <v>0</v>
      </c>
      <c r="P53" s="2">
        <f t="shared" si="48"/>
        <v>0</v>
      </c>
      <c r="Q53" s="2">
        <f t="shared" si="49"/>
        <v>0</v>
      </c>
    </row>
    <row r="54" spans="11:17" x14ac:dyDescent="0.35">
      <c r="K54" s="3" t="s">
        <v>4</v>
      </c>
      <c r="L54" s="4">
        <f t="shared" ref="L54:Q54" si="51">SUM(L47:L53)</f>
        <v>0</v>
      </c>
      <c r="M54" s="4">
        <f t="shared" si="51"/>
        <v>0</v>
      </c>
      <c r="N54" s="4">
        <f t="shared" si="51"/>
        <v>0</v>
      </c>
      <c r="O54" s="4">
        <f t="shared" si="51"/>
        <v>0</v>
      </c>
      <c r="P54" s="4">
        <f t="shared" si="51"/>
        <v>0</v>
      </c>
      <c r="Q54" s="4">
        <f t="shared" si="51"/>
        <v>0</v>
      </c>
    </row>
    <row r="55" spans="11:17" x14ac:dyDescent="0.35">
      <c r="K55" s="3" t="s">
        <v>0</v>
      </c>
      <c r="L55" s="2">
        <f>L54/3</f>
        <v>0</v>
      </c>
      <c r="M55" s="2"/>
      <c r="N55" s="2"/>
      <c r="O55" s="2"/>
      <c r="P55" s="2"/>
      <c r="Q55" s="2"/>
    </row>
    <row r="58" spans="11:17" x14ac:dyDescent="0.35">
      <c r="K58" s="7" t="s">
        <v>7</v>
      </c>
      <c r="L58" s="6" t="s">
        <v>6</v>
      </c>
      <c r="M58" s="6" t="s">
        <v>5</v>
      </c>
      <c r="N58" s="6" t="s">
        <v>4</v>
      </c>
      <c r="O58" s="6" t="s">
        <v>3</v>
      </c>
      <c r="P58" s="6" t="s">
        <v>2</v>
      </c>
      <c r="Q58" s="6" t="s">
        <v>1</v>
      </c>
    </row>
    <row r="59" spans="11:17" x14ac:dyDescent="0.35">
      <c r="K59" s="5">
        <f>A6</f>
        <v>45261</v>
      </c>
      <c r="L59" s="4">
        <f>SUM(B7:B36)</f>
        <v>175080.75000000003</v>
      </c>
      <c r="M59" s="4">
        <f t="shared" ref="M59:Q59" si="52">SUM(C7:C36)</f>
        <v>273844.25</v>
      </c>
      <c r="N59" s="4">
        <f t="shared" si="52"/>
        <v>448925</v>
      </c>
      <c r="O59" s="4">
        <f t="shared" si="52"/>
        <v>186685</v>
      </c>
      <c r="P59" s="4">
        <f t="shared" si="52"/>
        <v>262240</v>
      </c>
      <c r="Q59" s="4">
        <f t="shared" si="52"/>
        <v>65040</v>
      </c>
    </row>
    <row r="60" spans="11:17" x14ac:dyDescent="0.35">
      <c r="K60" s="3" t="s">
        <v>0</v>
      </c>
      <c r="L60" s="2">
        <f>L59/3</f>
        <v>58360.250000000007</v>
      </c>
      <c r="M60" s="2"/>
      <c r="N60" s="2"/>
      <c r="O60" s="2"/>
      <c r="P60" s="2"/>
      <c r="Q60" s="2"/>
    </row>
  </sheetData>
  <mergeCells count="1">
    <mergeCell ref="C47:G47"/>
  </mergeCells>
  <conditionalFormatting sqref="A1:H1">
    <cfRule type="dataBar" priority="9">
      <dataBar>
        <cfvo type="min"/>
        <cfvo type="max"/>
        <color rgb="FF638EC6"/>
      </dataBar>
    </cfRule>
  </conditionalFormatting>
  <conditionalFormatting sqref="A40:H40">
    <cfRule type="dataBar" priority="1">
      <dataBar>
        <cfvo type="min"/>
        <cfvo type="max"/>
        <color rgb="FF638EC6"/>
      </dataBar>
    </cfRule>
  </conditionalFormatting>
  <conditionalFormatting sqref="H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Q1">
    <cfRule type="dataBar" priority="3">
      <dataBar>
        <cfvo type="min"/>
        <cfvo type="max"/>
        <color rgb="FF638EC6"/>
      </dataBar>
    </cfRule>
  </conditionalFormatting>
  <conditionalFormatting sqref="K13:Q13">
    <cfRule type="dataBar" priority="7">
      <dataBar>
        <cfvo type="min"/>
        <cfvo type="max"/>
        <color rgb="FF638EC6"/>
      </dataBar>
    </cfRule>
  </conditionalFormatting>
  <conditionalFormatting sqref="K24:Q24">
    <cfRule type="dataBar" priority="6">
      <dataBar>
        <cfvo type="min"/>
        <cfvo type="max"/>
        <color rgb="FF638EC6"/>
      </dataBar>
    </cfRule>
  </conditionalFormatting>
  <conditionalFormatting sqref="K35:Q35">
    <cfRule type="dataBar" priority="5">
      <dataBar>
        <cfvo type="min"/>
        <cfvo type="max"/>
        <color rgb="FF638EC6"/>
      </dataBar>
    </cfRule>
  </conditionalFormatting>
  <conditionalFormatting sqref="K46:Q46">
    <cfRule type="dataBar" priority="2">
      <dataBar>
        <cfvo type="min"/>
        <cfvo type="max"/>
        <color rgb="FF638EC6"/>
      </dataBar>
    </cfRule>
  </conditionalFormatting>
  <conditionalFormatting sqref="K58:Q58">
    <cfRule type="dataBar" priority="4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BF87-2A51-46B1-B81B-B672F91D8CE3}">
  <dimension ref="A1:L41"/>
  <sheetViews>
    <sheetView workbookViewId="0">
      <selection sqref="A1:E1"/>
    </sheetView>
  </sheetViews>
  <sheetFormatPr defaultRowHeight="14.5" x14ac:dyDescent="0.35"/>
  <cols>
    <col min="1" max="1" width="16.26953125" customWidth="1"/>
    <col min="2" max="2" width="14.90625" bestFit="1" customWidth="1"/>
    <col min="3" max="3" width="26" bestFit="1" customWidth="1"/>
    <col min="4" max="4" width="16.26953125" bestFit="1" customWidth="1"/>
    <col min="5" max="5" width="11.08984375" bestFit="1" customWidth="1"/>
    <col min="10" max="10" width="45.81640625" bestFit="1" customWidth="1"/>
    <col min="12" max="12" width="16.6328125" bestFit="1" customWidth="1"/>
  </cols>
  <sheetData>
    <row r="1" spans="1:12" x14ac:dyDescent="0.35">
      <c r="A1" s="69" t="s">
        <v>476</v>
      </c>
      <c r="B1" s="69"/>
      <c r="C1" s="69"/>
      <c r="D1" s="69"/>
      <c r="E1" s="69"/>
    </row>
    <row r="2" spans="1:12" x14ac:dyDescent="0.35">
      <c r="A2" s="50" t="s">
        <v>7</v>
      </c>
      <c r="B2" s="50" t="s">
        <v>24</v>
      </c>
      <c r="C2" s="50" t="s">
        <v>22</v>
      </c>
      <c r="D2" s="50" t="s">
        <v>23</v>
      </c>
      <c r="E2" s="50" t="s">
        <v>4</v>
      </c>
      <c r="J2" t="s">
        <v>49</v>
      </c>
    </row>
    <row r="3" spans="1:12" ht="29" x14ac:dyDescent="0.35">
      <c r="A3" s="51" t="s">
        <v>21</v>
      </c>
      <c r="B3" s="52">
        <v>84517</v>
      </c>
      <c r="C3" s="52">
        <v>3712552.1</v>
      </c>
      <c r="D3" s="52">
        <v>2883759</v>
      </c>
      <c r="E3" s="52">
        <f>SUM(B3:D3)</f>
        <v>6680828.0999999996</v>
      </c>
      <c r="J3" t="s">
        <v>40</v>
      </c>
      <c r="K3">
        <v>615900</v>
      </c>
    </row>
    <row r="4" spans="1:12" x14ac:dyDescent="0.35">
      <c r="J4" t="s">
        <v>41</v>
      </c>
      <c r="K4">
        <v>35000</v>
      </c>
    </row>
    <row r="5" spans="1:12" x14ac:dyDescent="0.35">
      <c r="A5" s="50" t="s">
        <v>1</v>
      </c>
      <c r="B5" s="52">
        <v>1500000</v>
      </c>
      <c r="C5" s="50" t="s">
        <v>25</v>
      </c>
      <c r="E5" s="39">
        <f>E3*0.1</f>
        <v>668082.81000000006</v>
      </c>
      <c r="G5" s="40">
        <v>45047</v>
      </c>
      <c r="H5">
        <v>61546</v>
      </c>
      <c r="J5" t="s">
        <v>42</v>
      </c>
      <c r="K5">
        <v>37000</v>
      </c>
    </row>
    <row r="6" spans="1:12" x14ac:dyDescent="0.35">
      <c r="A6" s="50"/>
      <c r="B6" s="52">
        <v>300000</v>
      </c>
      <c r="C6" s="50" t="s">
        <v>26</v>
      </c>
      <c r="G6" s="40">
        <v>45017</v>
      </c>
      <c r="H6" s="4">
        <v>65481.599999999999</v>
      </c>
      <c r="J6" t="s">
        <v>43</v>
      </c>
      <c r="K6">
        <v>37000</v>
      </c>
    </row>
    <row r="7" spans="1:12" x14ac:dyDescent="0.35">
      <c r="A7" s="50"/>
      <c r="B7" s="52">
        <v>300000</v>
      </c>
      <c r="C7" s="50" t="s">
        <v>27</v>
      </c>
      <c r="G7" s="40">
        <v>45078</v>
      </c>
      <c r="H7">
        <v>39649.5</v>
      </c>
      <c r="J7" t="s">
        <v>44</v>
      </c>
      <c r="K7">
        <v>60000</v>
      </c>
    </row>
    <row r="8" spans="1:12" x14ac:dyDescent="0.35">
      <c r="A8" s="50"/>
      <c r="B8" s="52">
        <v>60000</v>
      </c>
      <c r="C8" s="50" t="s">
        <v>28</v>
      </c>
      <c r="G8" s="40">
        <v>45108</v>
      </c>
      <c r="H8">
        <v>39649.5</v>
      </c>
      <c r="J8" t="s">
        <v>45</v>
      </c>
      <c r="K8">
        <v>1000</v>
      </c>
    </row>
    <row r="9" spans="1:12" x14ac:dyDescent="0.35">
      <c r="A9" s="50"/>
      <c r="B9" s="52">
        <v>300000</v>
      </c>
      <c r="C9" s="50" t="s">
        <v>29</v>
      </c>
      <c r="G9" s="40">
        <v>45139</v>
      </c>
      <c r="H9">
        <v>67802.2</v>
      </c>
      <c r="J9" t="s">
        <v>46</v>
      </c>
      <c r="K9">
        <v>25000</v>
      </c>
    </row>
    <row r="10" spans="1:12" x14ac:dyDescent="0.35">
      <c r="A10" s="50"/>
      <c r="B10" s="52">
        <v>131000</v>
      </c>
      <c r="C10" s="50" t="s">
        <v>30</v>
      </c>
      <c r="G10" s="40">
        <v>45170</v>
      </c>
      <c r="H10">
        <v>82451.399999999994</v>
      </c>
      <c r="J10" t="s">
        <v>47</v>
      </c>
      <c r="K10">
        <v>4224</v>
      </c>
    </row>
    <row r="11" spans="1:12" x14ac:dyDescent="0.35">
      <c r="A11" s="50"/>
      <c r="B11" s="52">
        <v>100000</v>
      </c>
      <c r="C11" s="50" t="s">
        <v>31</v>
      </c>
      <c r="J11" t="s">
        <v>48</v>
      </c>
      <c r="K11">
        <v>32500</v>
      </c>
    </row>
    <row r="12" spans="1:12" x14ac:dyDescent="0.35">
      <c r="A12" s="50"/>
      <c r="B12" s="52">
        <v>210000</v>
      </c>
      <c r="C12" s="50" t="s">
        <v>33</v>
      </c>
      <c r="H12">
        <f>SUM(H5:H11)</f>
        <v>356580.19999999995</v>
      </c>
    </row>
    <row r="13" spans="1:12" x14ac:dyDescent="0.35">
      <c r="A13" s="50"/>
      <c r="B13" s="52">
        <v>100000</v>
      </c>
      <c r="C13" s="50" t="s">
        <v>34</v>
      </c>
      <c r="J13" t="s">
        <v>473</v>
      </c>
      <c r="K13">
        <f>SUM(K3:K12)</f>
        <v>847624</v>
      </c>
    </row>
    <row r="14" spans="1:12" x14ac:dyDescent="0.35">
      <c r="A14" s="50"/>
      <c r="B14" s="52">
        <v>200000</v>
      </c>
      <c r="C14" s="50" t="s">
        <v>35</v>
      </c>
    </row>
    <row r="15" spans="1:12" x14ac:dyDescent="0.35">
      <c r="A15" s="50"/>
      <c r="B15" s="52">
        <v>356580.19999999995</v>
      </c>
      <c r="C15" s="50" t="s">
        <v>36</v>
      </c>
      <c r="J15" s="43" t="s">
        <v>413</v>
      </c>
      <c r="K15" s="49">
        <v>11000</v>
      </c>
      <c r="L15" t="s">
        <v>463</v>
      </c>
    </row>
    <row r="16" spans="1:12" x14ac:dyDescent="0.35">
      <c r="A16" s="50"/>
      <c r="B16" s="52">
        <v>668082.81000000006</v>
      </c>
      <c r="C16" s="50" t="s">
        <v>37</v>
      </c>
      <c r="J16" s="43" t="s">
        <v>414</v>
      </c>
      <c r="K16" s="49">
        <v>2470</v>
      </c>
      <c r="L16" t="s">
        <v>464</v>
      </c>
    </row>
    <row r="17" spans="1:12" x14ac:dyDescent="0.35">
      <c r="A17" s="50"/>
      <c r="B17" s="52">
        <v>50000</v>
      </c>
      <c r="C17" s="50" t="s">
        <v>39</v>
      </c>
      <c r="J17" s="43" t="s">
        <v>415</v>
      </c>
      <c r="K17" s="49">
        <v>14182</v>
      </c>
      <c r="L17" t="s">
        <v>464</v>
      </c>
    </row>
    <row r="18" spans="1:12" x14ac:dyDescent="0.35">
      <c r="A18" s="50"/>
      <c r="B18" s="52">
        <v>847624</v>
      </c>
      <c r="C18" s="50" t="s">
        <v>49</v>
      </c>
      <c r="J18" s="43" t="s">
        <v>416</v>
      </c>
      <c r="K18" s="49">
        <v>5500</v>
      </c>
      <c r="L18" t="s">
        <v>464</v>
      </c>
    </row>
    <row r="19" spans="1:12" x14ac:dyDescent="0.35">
      <c r="A19" s="50"/>
      <c r="B19" s="52">
        <v>84040</v>
      </c>
      <c r="C19" s="50" t="s">
        <v>474</v>
      </c>
      <c r="J19" s="43" t="s">
        <v>417</v>
      </c>
      <c r="K19" s="49">
        <v>5000</v>
      </c>
      <c r="L19" t="s">
        <v>465</v>
      </c>
    </row>
    <row r="20" spans="1:12" x14ac:dyDescent="0.35">
      <c r="A20" s="50"/>
      <c r="B20" s="52">
        <v>39580</v>
      </c>
      <c r="C20" s="50" t="s">
        <v>401</v>
      </c>
      <c r="J20" s="43" t="s">
        <v>418</v>
      </c>
      <c r="K20" s="49">
        <v>10000</v>
      </c>
      <c r="L20" t="s">
        <v>465</v>
      </c>
    </row>
    <row r="21" spans="1:12" x14ac:dyDescent="0.35">
      <c r="A21" s="50"/>
      <c r="B21" s="52">
        <v>95441</v>
      </c>
      <c r="C21" s="50" t="s">
        <v>402</v>
      </c>
      <c r="J21" s="43" t="s">
        <v>419</v>
      </c>
      <c r="K21" s="49">
        <v>15000</v>
      </c>
      <c r="L21" t="s">
        <v>465</v>
      </c>
    </row>
    <row r="22" spans="1:12" x14ac:dyDescent="0.35">
      <c r="A22" s="50"/>
      <c r="B22" s="52">
        <v>63660</v>
      </c>
      <c r="C22" s="50" t="s">
        <v>266</v>
      </c>
      <c r="J22" s="43" t="s">
        <v>421</v>
      </c>
      <c r="K22" s="49">
        <v>10000</v>
      </c>
      <c r="L22" t="s">
        <v>466</v>
      </c>
    </row>
    <row r="23" spans="1:12" x14ac:dyDescent="0.35">
      <c r="A23" s="50"/>
      <c r="B23" s="52">
        <v>159620</v>
      </c>
      <c r="C23" s="50" t="s">
        <v>473</v>
      </c>
      <c r="J23" s="43" t="s">
        <v>422</v>
      </c>
      <c r="K23" s="49">
        <v>10000</v>
      </c>
      <c r="L23" t="s">
        <v>466</v>
      </c>
    </row>
    <row r="24" spans="1:12" x14ac:dyDescent="0.35">
      <c r="A24" s="50"/>
      <c r="B24" s="52">
        <v>15200</v>
      </c>
      <c r="C24" s="50" t="s">
        <v>475</v>
      </c>
      <c r="J24" s="43" t="s">
        <v>423</v>
      </c>
      <c r="K24" s="49">
        <v>8000</v>
      </c>
      <c r="L24" t="s">
        <v>467</v>
      </c>
    </row>
    <row r="25" spans="1:12" x14ac:dyDescent="0.35">
      <c r="A25" s="50"/>
      <c r="B25" s="53">
        <v>800000</v>
      </c>
      <c r="C25" s="50" t="s">
        <v>3</v>
      </c>
      <c r="J25" s="43" t="s">
        <v>424</v>
      </c>
      <c r="K25" s="49">
        <v>2000</v>
      </c>
      <c r="L25" t="s">
        <v>467</v>
      </c>
    </row>
    <row r="26" spans="1:12" x14ac:dyDescent="0.35">
      <c r="A26" s="50"/>
      <c r="B26" s="52">
        <v>300000</v>
      </c>
      <c r="C26" s="50" t="s">
        <v>38</v>
      </c>
      <c r="J26" s="43" t="s">
        <v>425</v>
      </c>
      <c r="K26" s="49">
        <v>10000</v>
      </c>
      <c r="L26" t="s">
        <v>468</v>
      </c>
    </row>
    <row r="27" spans="1:12" x14ac:dyDescent="0.35">
      <c r="A27" s="50"/>
      <c r="B27" s="50"/>
      <c r="C27" s="50"/>
      <c r="J27" s="43" t="s">
        <v>405</v>
      </c>
      <c r="K27" s="49">
        <v>9751</v>
      </c>
      <c r="L27" t="s">
        <v>470</v>
      </c>
    </row>
    <row r="28" spans="1:12" x14ac:dyDescent="0.35">
      <c r="A28" s="50" t="s">
        <v>4</v>
      </c>
      <c r="B28" s="53">
        <f>SUM(B5:B27)</f>
        <v>6680828.0099999998</v>
      </c>
      <c r="C28" s="50"/>
      <c r="J28" s="43" t="s">
        <v>426</v>
      </c>
      <c r="K28" s="49">
        <v>700</v>
      </c>
      <c r="L28" t="s">
        <v>471</v>
      </c>
    </row>
    <row r="29" spans="1:12" x14ac:dyDescent="0.35">
      <c r="B29" s="39">
        <f>E3-B28</f>
        <v>8.9999999850988388E-2</v>
      </c>
      <c r="J29" s="43" t="s">
        <v>427</v>
      </c>
      <c r="K29" s="49">
        <v>100</v>
      </c>
      <c r="L29" t="s">
        <v>469</v>
      </c>
    </row>
    <row r="30" spans="1:12" x14ac:dyDescent="0.35">
      <c r="J30" s="43" t="s">
        <v>433</v>
      </c>
      <c r="K30" s="49">
        <v>1600</v>
      </c>
      <c r="L30" t="s">
        <v>470</v>
      </c>
    </row>
    <row r="31" spans="1:12" x14ac:dyDescent="0.35">
      <c r="J31" s="43" t="s">
        <v>435</v>
      </c>
      <c r="K31" s="49">
        <v>20000</v>
      </c>
      <c r="L31" t="s">
        <v>470</v>
      </c>
    </row>
    <row r="32" spans="1:12" x14ac:dyDescent="0.35">
      <c r="J32" s="43" t="s">
        <v>436</v>
      </c>
      <c r="K32" s="49">
        <v>16000</v>
      </c>
      <c r="L32" t="s">
        <v>470</v>
      </c>
    </row>
    <row r="33" spans="10:12" x14ac:dyDescent="0.35">
      <c r="J33" s="43" t="s">
        <v>447</v>
      </c>
      <c r="K33" s="49">
        <v>7000</v>
      </c>
      <c r="L33" t="s">
        <v>472</v>
      </c>
    </row>
    <row r="34" spans="10:12" x14ac:dyDescent="0.35">
      <c r="J34" s="43" t="s">
        <v>448</v>
      </c>
      <c r="K34" s="49">
        <v>1300</v>
      </c>
      <c r="L34" t="s">
        <v>472</v>
      </c>
    </row>
    <row r="35" spans="10:12" x14ac:dyDescent="0.35">
      <c r="K35" s="49"/>
    </row>
    <row r="36" spans="10:12" x14ac:dyDescent="0.35">
      <c r="K36" s="49"/>
    </row>
    <row r="37" spans="10:12" x14ac:dyDescent="0.35">
      <c r="K37" s="49"/>
    </row>
    <row r="38" spans="10:12" x14ac:dyDescent="0.35">
      <c r="K38" s="49"/>
    </row>
    <row r="39" spans="10:12" x14ac:dyDescent="0.35">
      <c r="K39" s="49"/>
    </row>
    <row r="40" spans="10:12" x14ac:dyDescent="0.35">
      <c r="K40" s="49"/>
    </row>
    <row r="41" spans="10:12" x14ac:dyDescent="0.35">
      <c r="K41" s="49"/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41CB-05E9-4CB4-B0C4-F6AFD55DDCB5}">
  <dimension ref="A1:H296"/>
  <sheetViews>
    <sheetView topLeftCell="D46" workbookViewId="0">
      <selection activeCell="J58" sqref="J58"/>
    </sheetView>
  </sheetViews>
  <sheetFormatPr defaultRowHeight="12.5" x14ac:dyDescent="0.25"/>
  <cols>
    <col min="1" max="1" width="7.90625" style="44" bestFit="1" customWidth="1"/>
    <col min="2" max="2" width="132.54296875" style="44" bestFit="1" customWidth="1"/>
    <col min="3" max="3" width="45.36328125" style="44" bestFit="1" customWidth="1"/>
    <col min="4" max="4" width="14.08984375" style="44" bestFit="1" customWidth="1"/>
    <col min="5" max="6" width="8.7265625" style="44"/>
    <col min="7" max="7" width="49.1796875" style="44" bestFit="1" customWidth="1"/>
    <col min="8" max="8" width="9.1796875" style="44" bestFit="1" customWidth="1"/>
    <col min="9" max="9" width="7.81640625" style="44" bestFit="1" customWidth="1"/>
    <col min="10" max="21" width="8.81640625" style="44" bestFit="1" customWidth="1"/>
    <col min="22" max="22" width="10.81640625" style="44" bestFit="1" customWidth="1"/>
    <col min="23" max="23" width="93.36328125" style="44" bestFit="1" customWidth="1"/>
    <col min="24" max="24" width="87.6328125" style="44" bestFit="1" customWidth="1"/>
    <col min="25" max="25" width="69.26953125" style="44" bestFit="1" customWidth="1"/>
    <col min="26" max="26" width="68.54296875" style="44" bestFit="1" customWidth="1"/>
    <col min="27" max="27" width="67.6328125" style="44" bestFit="1" customWidth="1"/>
    <col min="28" max="28" width="64" style="44" bestFit="1" customWidth="1"/>
    <col min="29" max="29" width="43.81640625" style="44" bestFit="1" customWidth="1"/>
    <col min="30" max="30" width="39.81640625" style="44" bestFit="1" customWidth="1"/>
    <col min="31" max="31" width="85.26953125" style="44" bestFit="1" customWidth="1"/>
    <col min="32" max="32" width="84.08984375" style="44" bestFit="1" customWidth="1"/>
    <col min="33" max="33" width="91" style="44" bestFit="1" customWidth="1"/>
    <col min="34" max="34" width="79" style="44" bestFit="1" customWidth="1"/>
    <col min="35" max="35" width="89.90625" style="44" bestFit="1" customWidth="1"/>
    <col min="36" max="42" width="90.90625" style="44" bestFit="1" customWidth="1"/>
    <col min="43" max="43" width="91.90625" style="44" bestFit="1" customWidth="1"/>
    <col min="44" max="44" width="73.08984375" style="44" bestFit="1" customWidth="1"/>
    <col min="45" max="45" width="61.1796875" style="44" bestFit="1" customWidth="1"/>
    <col min="46" max="46" width="94.1796875" style="44" bestFit="1" customWidth="1"/>
    <col min="47" max="47" width="84.453125" style="44" bestFit="1" customWidth="1"/>
    <col min="48" max="48" width="86.81640625" style="44" bestFit="1" customWidth="1"/>
    <col min="49" max="49" width="90.08984375" style="44" bestFit="1" customWidth="1"/>
    <col min="50" max="50" width="86.7265625" style="44" bestFit="1" customWidth="1"/>
    <col min="51" max="51" width="87.6328125" style="44" bestFit="1" customWidth="1"/>
    <col min="52" max="54" width="97.6328125" style="44" bestFit="1" customWidth="1"/>
    <col min="55" max="55" width="72.54296875" style="44" bestFit="1" customWidth="1"/>
    <col min="56" max="56" width="73.6328125" style="44" bestFit="1" customWidth="1"/>
    <col min="57" max="57" width="58.6328125" style="44" bestFit="1" customWidth="1"/>
    <col min="58" max="59" width="74.08984375" style="44" bestFit="1" customWidth="1"/>
    <col min="60" max="60" width="75.54296875" style="44" bestFit="1" customWidth="1"/>
    <col min="61" max="61" width="92" style="44" bestFit="1" customWidth="1"/>
    <col min="62" max="62" width="93.54296875" style="44" bestFit="1" customWidth="1"/>
    <col min="63" max="64" width="75.54296875" style="44" bestFit="1" customWidth="1"/>
    <col min="65" max="65" width="78.08984375" style="44" bestFit="1" customWidth="1"/>
    <col min="66" max="66" width="70" style="44" bestFit="1" customWidth="1"/>
    <col min="67" max="67" width="84.81640625" style="44" bestFit="1" customWidth="1"/>
    <col min="68" max="68" width="93" style="44" bestFit="1" customWidth="1"/>
    <col min="69" max="69" width="83.453125" style="44" bestFit="1" customWidth="1"/>
    <col min="70" max="70" width="100.90625" style="44" bestFit="1" customWidth="1"/>
    <col min="71" max="73" width="64.54296875" style="44" bestFit="1" customWidth="1"/>
    <col min="74" max="75" width="82.7265625" style="44" bestFit="1" customWidth="1"/>
    <col min="76" max="76" width="99.453125" style="44" bestFit="1" customWidth="1"/>
    <col min="77" max="77" width="78.1796875" style="44" bestFit="1" customWidth="1"/>
    <col min="78" max="78" width="71.36328125" style="44" bestFit="1" customWidth="1"/>
    <col min="79" max="79" width="71.26953125" style="44" bestFit="1" customWidth="1"/>
    <col min="80" max="83" width="76.453125" style="44" bestFit="1" customWidth="1"/>
    <col min="84" max="84" width="70.54296875" style="44" bestFit="1" customWidth="1"/>
    <col min="85" max="85" width="63.36328125" style="44" bestFit="1" customWidth="1"/>
    <col min="86" max="86" width="97.81640625" style="44" bestFit="1" customWidth="1"/>
    <col min="87" max="88" width="73" style="44" bestFit="1" customWidth="1"/>
    <col min="89" max="89" width="79" style="44" bestFit="1" customWidth="1"/>
    <col min="90" max="90" width="73" style="44" bestFit="1" customWidth="1"/>
    <col min="91" max="91" width="82.1796875" style="44" bestFit="1" customWidth="1"/>
    <col min="92" max="92" width="61.453125" style="44" bestFit="1" customWidth="1"/>
    <col min="93" max="94" width="99.90625" style="44" bestFit="1" customWidth="1"/>
    <col min="95" max="95" width="100.36328125" style="44" bestFit="1" customWidth="1"/>
    <col min="96" max="96" width="84.453125" style="44" bestFit="1" customWidth="1"/>
    <col min="97" max="97" width="113.36328125" style="44" bestFit="1" customWidth="1"/>
    <col min="98" max="98" width="98.453125" style="44" bestFit="1" customWidth="1"/>
    <col min="99" max="99" width="99.7265625" style="44" bestFit="1" customWidth="1"/>
    <col min="100" max="100" width="99.54296875" style="44" bestFit="1" customWidth="1"/>
    <col min="101" max="101" width="96.81640625" style="44" bestFit="1" customWidth="1"/>
    <col min="102" max="102" width="94.08984375" style="44" bestFit="1" customWidth="1"/>
    <col min="103" max="103" width="100.453125" style="44" bestFit="1" customWidth="1"/>
    <col min="104" max="104" width="98.6328125" style="44" bestFit="1" customWidth="1"/>
    <col min="105" max="105" width="77.453125" style="44" bestFit="1" customWidth="1"/>
    <col min="106" max="106" width="95.1796875" style="44" bestFit="1" customWidth="1"/>
    <col min="107" max="107" width="86.6328125" style="44" bestFit="1" customWidth="1"/>
    <col min="108" max="108" width="77.26953125" style="44" bestFit="1" customWidth="1"/>
    <col min="109" max="109" width="85.1796875" style="44" bestFit="1" customWidth="1"/>
    <col min="110" max="110" width="74.7265625" style="44" bestFit="1" customWidth="1"/>
    <col min="111" max="111" width="92" style="44" bestFit="1" customWidth="1"/>
    <col min="112" max="112" width="72.26953125" style="44" bestFit="1" customWidth="1"/>
    <col min="113" max="113" width="97.08984375" style="44" bestFit="1" customWidth="1"/>
    <col min="114" max="114" width="77.08984375" style="44" bestFit="1" customWidth="1"/>
    <col min="115" max="115" width="85.08984375" style="44" bestFit="1" customWidth="1"/>
    <col min="116" max="117" width="83.1796875" style="44" bestFit="1" customWidth="1"/>
    <col min="118" max="118" width="82.6328125" style="44" bestFit="1" customWidth="1"/>
    <col min="119" max="119" width="86.26953125" style="44" bestFit="1" customWidth="1"/>
    <col min="120" max="120" width="71.1796875" style="44" bestFit="1" customWidth="1"/>
    <col min="121" max="121" width="66.6328125" style="44" bestFit="1" customWidth="1"/>
    <col min="122" max="123" width="83.1796875" style="44" bestFit="1" customWidth="1"/>
    <col min="124" max="124" width="67.08984375" style="44" bestFit="1" customWidth="1"/>
    <col min="125" max="125" width="76.54296875" style="44" bestFit="1" customWidth="1"/>
    <col min="126" max="126" width="94.08984375" style="44" bestFit="1" customWidth="1"/>
    <col min="127" max="127" width="89.08984375" style="44" bestFit="1" customWidth="1"/>
    <col min="128" max="128" width="68.1796875" style="44" bestFit="1" customWidth="1"/>
    <col min="129" max="129" width="91.7265625" style="44" bestFit="1" customWidth="1"/>
    <col min="130" max="130" width="63.36328125" style="44" bestFit="1" customWidth="1"/>
    <col min="131" max="131" width="66.6328125" style="44" bestFit="1" customWidth="1"/>
    <col min="132" max="132" width="63.36328125" style="44" bestFit="1" customWidth="1"/>
    <col min="133" max="133" width="63.453125" style="44" bestFit="1" customWidth="1"/>
    <col min="134" max="134" width="87.54296875" style="44" bestFit="1" customWidth="1"/>
    <col min="135" max="135" width="93.81640625" style="44" bestFit="1" customWidth="1"/>
    <col min="136" max="136" width="66.453125" style="44" bestFit="1" customWidth="1"/>
    <col min="137" max="138" width="110" style="44" bestFit="1" customWidth="1"/>
    <col min="139" max="139" width="103.1796875" style="44" bestFit="1" customWidth="1"/>
    <col min="140" max="140" width="62.453125" style="44" bestFit="1" customWidth="1"/>
    <col min="141" max="141" width="77.453125" style="44" bestFit="1" customWidth="1"/>
    <col min="142" max="142" width="91.54296875" style="44" bestFit="1" customWidth="1"/>
    <col min="143" max="143" width="88.08984375" style="44" bestFit="1" customWidth="1"/>
    <col min="144" max="144" width="80.6328125" style="44" bestFit="1" customWidth="1"/>
    <col min="145" max="145" width="77.453125" style="44" bestFit="1" customWidth="1"/>
    <col min="146" max="146" width="85.1796875" style="44" bestFit="1" customWidth="1"/>
    <col min="147" max="150" width="72.36328125" style="44" bestFit="1" customWidth="1"/>
    <col min="151" max="152" width="95" style="44" bestFit="1" customWidth="1"/>
    <col min="153" max="153" width="64.08984375" style="44" bestFit="1" customWidth="1"/>
    <col min="154" max="154" width="110.08984375" style="44" bestFit="1" customWidth="1"/>
    <col min="155" max="155" width="86.36328125" style="44" bestFit="1" customWidth="1"/>
    <col min="156" max="156" width="89.36328125" style="44" bestFit="1" customWidth="1"/>
    <col min="157" max="157" width="89.81640625" style="44" bestFit="1" customWidth="1"/>
    <col min="158" max="158" width="64.26953125" style="44" bestFit="1" customWidth="1"/>
    <col min="159" max="159" width="85.7265625" style="44" bestFit="1" customWidth="1"/>
    <col min="160" max="160" width="73" style="44" bestFit="1" customWidth="1"/>
    <col min="161" max="161" width="92.7265625" style="44" bestFit="1" customWidth="1"/>
    <col min="162" max="162" width="92.36328125" style="44" bestFit="1" customWidth="1"/>
    <col min="163" max="163" width="72" style="44" bestFit="1" customWidth="1"/>
    <col min="164" max="164" width="82" style="44" bestFit="1" customWidth="1"/>
    <col min="165" max="165" width="79.36328125" style="44" bestFit="1" customWidth="1"/>
    <col min="166" max="166" width="81" style="44" bestFit="1" customWidth="1"/>
    <col min="167" max="167" width="72.90625" style="44" bestFit="1" customWidth="1"/>
    <col min="168" max="168" width="90.81640625" style="44" bestFit="1" customWidth="1"/>
    <col min="169" max="169" width="84" style="44" bestFit="1" customWidth="1"/>
    <col min="170" max="171" width="73.36328125" style="44" bestFit="1" customWidth="1"/>
    <col min="172" max="172" width="90.6328125" style="44" bestFit="1" customWidth="1"/>
    <col min="173" max="173" width="89.453125" style="44" bestFit="1" customWidth="1"/>
    <col min="174" max="174" width="84.6328125" style="44" bestFit="1" customWidth="1"/>
    <col min="175" max="175" width="74.54296875" style="44" bestFit="1" customWidth="1"/>
    <col min="176" max="176" width="76.90625" style="44" bestFit="1" customWidth="1"/>
    <col min="177" max="177" width="83" style="44" bestFit="1" customWidth="1"/>
    <col min="178" max="178" width="85.81640625" style="44" bestFit="1" customWidth="1"/>
    <col min="179" max="179" width="83.7265625" style="44" bestFit="1" customWidth="1"/>
    <col min="180" max="180" width="79.54296875" style="44" bestFit="1" customWidth="1"/>
    <col min="181" max="181" width="80.54296875" style="44" bestFit="1" customWidth="1"/>
    <col min="182" max="182" width="89.54296875" style="44" bestFit="1" customWidth="1"/>
    <col min="183" max="183" width="85.36328125" style="44" bestFit="1" customWidth="1"/>
    <col min="184" max="184" width="61.6328125" style="44" bestFit="1" customWidth="1"/>
    <col min="185" max="185" width="132.54296875" style="44" bestFit="1" customWidth="1"/>
    <col min="186" max="186" width="93.1796875" style="44" bestFit="1" customWidth="1"/>
    <col min="187" max="187" width="91.08984375" style="44" bestFit="1" customWidth="1"/>
    <col min="188" max="188" width="81.7265625" style="44" bestFit="1" customWidth="1"/>
    <col min="189" max="190" width="80.90625" style="44" bestFit="1" customWidth="1"/>
    <col min="191" max="191" width="83.26953125" style="44" bestFit="1" customWidth="1"/>
    <col min="192" max="192" width="101.453125" style="44" bestFit="1" customWidth="1"/>
    <col min="193" max="193" width="110.1796875" style="44" bestFit="1" customWidth="1"/>
    <col min="194" max="194" width="74.6328125" style="44" bestFit="1" customWidth="1"/>
    <col min="195" max="198" width="84.54296875" style="44" bestFit="1" customWidth="1"/>
    <col min="199" max="199" width="74.36328125" style="44" bestFit="1" customWidth="1"/>
    <col min="200" max="200" width="88.1796875" style="44" bestFit="1" customWidth="1"/>
    <col min="201" max="201" width="78.6328125" style="44" bestFit="1" customWidth="1"/>
    <col min="202" max="202" width="76.81640625" style="44" bestFit="1" customWidth="1"/>
    <col min="203" max="203" width="74.7265625" style="44" bestFit="1" customWidth="1"/>
    <col min="204" max="204" width="87.26953125" style="44" bestFit="1" customWidth="1"/>
    <col min="205" max="205" width="85.54296875" style="44" bestFit="1" customWidth="1"/>
    <col min="206" max="206" width="100.26953125" style="44" bestFit="1" customWidth="1"/>
    <col min="207" max="207" width="71.36328125" style="44" bestFit="1" customWidth="1"/>
    <col min="208" max="208" width="105.453125" style="44" bestFit="1" customWidth="1"/>
    <col min="209" max="209" width="103.08984375" style="44" bestFit="1" customWidth="1"/>
    <col min="210" max="210" width="85.7265625" style="44" bestFit="1" customWidth="1"/>
    <col min="211" max="211" width="99.26953125" style="44" bestFit="1" customWidth="1"/>
    <col min="212" max="212" width="83.54296875" style="44" bestFit="1" customWidth="1"/>
    <col min="213" max="213" width="96.90625" style="44" bestFit="1" customWidth="1"/>
    <col min="214" max="214" width="74.26953125" style="44" bestFit="1" customWidth="1"/>
    <col min="215" max="215" width="98.36328125" style="44" bestFit="1" customWidth="1"/>
    <col min="216" max="216" width="74.453125" style="44" bestFit="1" customWidth="1"/>
    <col min="217" max="217" width="88.81640625" style="44" bestFit="1" customWidth="1"/>
    <col min="218" max="218" width="67.6328125" style="44" bestFit="1" customWidth="1"/>
    <col min="219" max="219" width="93.08984375" style="44" bestFit="1" customWidth="1"/>
    <col min="220" max="220" width="101.453125" style="44" bestFit="1" customWidth="1"/>
    <col min="221" max="223" width="76.81640625" style="44" bestFit="1" customWidth="1"/>
    <col min="224" max="224" width="87.08984375" style="44" bestFit="1" customWidth="1"/>
    <col min="225" max="225" width="72.453125" style="44" bestFit="1" customWidth="1"/>
    <col min="226" max="226" width="87.81640625" style="44" bestFit="1" customWidth="1"/>
    <col min="227" max="227" width="71.7265625" style="44" bestFit="1" customWidth="1"/>
    <col min="228" max="228" width="74" style="44" bestFit="1" customWidth="1"/>
    <col min="229" max="229" width="74.08984375" style="44" bestFit="1" customWidth="1"/>
    <col min="230" max="232" width="86.81640625" style="44" bestFit="1" customWidth="1"/>
    <col min="233" max="233" width="104.7265625" style="44" bestFit="1" customWidth="1"/>
    <col min="234" max="234" width="101.81640625" style="44" bestFit="1" customWidth="1"/>
    <col min="235" max="235" width="64.453125" style="44" bestFit="1" customWidth="1"/>
    <col min="236" max="236" width="65.1796875" style="44" bestFit="1" customWidth="1"/>
    <col min="237" max="237" width="72.453125" style="44" bestFit="1" customWidth="1"/>
    <col min="238" max="238" width="81.36328125" style="44" bestFit="1" customWidth="1"/>
    <col min="239" max="239" width="65.1796875" style="44" bestFit="1" customWidth="1"/>
    <col min="240" max="240" width="80.90625" style="44" bestFit="1" customWidth="1"/>
    <col min="241" max="241" width="71.7265625" style="44" bestFit="1" customWidth="1"/>
    <col min="242" max="242" width="73.6328125" style="44" bestFit="1" customWidth="1"/>
    <col min="243" max="244" width="85.36328125" style="44" bestFit="1" customWidth="1"/>
    <col min="245" max="245" width="92.26953125" style="44" bestFit="1" customWidth="1"/>
    <col min="246" max="246" width="106.1796875" style="44" bestFit="1" customWidth="1"/>
    <col min="247" max="247" width="86.6328125" style="44" bestFit="1" customWidth="1"/>
    <col min="248" max="249" width="68.90625" style="44" bestFit="1" customWidth="1"/>
    <col min="250" max="250" width="80.54296875" style="44" bestFit="1" customWidth="1"/>
    <col min="251" max="251" width="68.90625" style="44" bestFit="1" customWidth="1"/>
    <col min="252" max="252" width="79.1796875" style="44" bestFit="1" customWidth="1"/>
    <col min="253" max="253" width="79.26953125" style="44" bestFit="1" customWidth="1"/>
    <col min="254" max="254" width="80.1796875" style="44" bestFit="1" customWidth="1"/>
    <col min="255" max="255" width="84.81640625" style="44" bestFit="1" customWidth="1"/>
    <col min="256" max="256" width="76.81640625" style="44" bestFit="1" customWidth="1"/>
    <col min="257" max="257" width="7.90625" style="44" bestFit="1" customWidth="1"/>
    <col min="258" max="258" width="132.54296875" style="44" bestFit="1" customWidth="1"/>
    <col min="259" max="259" width="45.36328125" style="44" bestFit="1" customWidth="1"/>
    <col min="260" max="260" width="14.08984375" style="44" bestFit="1" customWidth="1"/>
    <col min="261" max="262" width="8.7265625" style="44"/>
    <col min="263" max="263" width="49.7265625" style="44" bestFit="1" customWidth="1"/>
    <col min="264" max="264" width="7.90625" style="44" bestFit="1" customWidth="1"/>
    <col min="265" max="265" width="7.81640625" style="44" bestFit="1" customWidth="1"/>
    <col min="266" max="277" width="8.81640625" style="44" bestFit="1" customWidth="1"/>
    <col min="278" max="278" width="10.81640625" style="44" bestFit="1" customWidth="1"/>
    <col min="279" max="279" width="93.36328125" style="44" bestFit="1" customWidth="1"/>
    <col min="280" max="280" width="87.6328125" style="44" bestFit="1" customWidth="1"/>
    <col min="281" max="281" width="69.26953125" style="44" bestFit="1" customWidth="1"/>
    <col min="282" max="282" width="68.54296875" style="44" bestFit="1" customWidth="1"/>
    <col min="283" max="283" width="67.6328125" style="44" bestFit="1" customWidth="1"/>
    <col min="284" max="284" width="64" style="44" bestFit="1" customWidth="1"/>
    <col min="285" max="285" width="43.81640625" style="44" bestFit="1" customWidth="1"/>
    <col min="286" max="286" width="39.81640625" style="44" bestFit="1" customWidth="1"/>
    <col min="287" max="287" width="85.26953125" style="44" bestFit="1" customWidth="1"/>
    <col min="288" max="288" width="84.08984375" style="44" bestFit="1" customWidth="1"/>
    <col min="289" max="289" width="91" style="44" bestFit="1" customWidth="1"/>
    <col min="290" max="290" width="79" style="44" bestFit="1" customWidth="1"/>
    <col min="291" max="291" width="89.90625" style="44" bestFit="1" customWidth="1"/>
    <col min="292" max="298" width="90.90625" style="44" bestFit="1" customWidth="1"/>
    <col min="299" max="299" width="91.90625" style="44" bestFit="1" customWidth="1"/>
    <col min="300" max="300" width="73.08984375" style="44" bestFit="1" customWidth="1"/>
    <col min="301" max="301" width="61.1796875" style="44" bestFit="1" customWidth="1"/>
    <col min="302" max="302" width="94.1796875" style="44" bestFit="1" customWidth="1"/>
    <col min="303" max="303" width="84.453125" style="44" bestFit="1" customWidth="1"/>
    <col min="304" max="304" width="86.81640625" style="44" bestFit="1" customWidth="1"/>
    <col min="305" max="305" width="90.08984375" style="44" bestFit="1" customWidth="1"/>
    <col min="306" max="306" width="86.7265625" style="44" bestFit="1" customWidth="1"/>
    <col min="307" max="307" width="87.6328125" style="44" bestFit="1" customWidth="1"/>
    <col min="308" max="310" width="97.6328125" style="44" bestFit="1" customWidth="1"/>
    <col min="311" max="311" width="72.54296875" style="44" bestFit="1" customWidth="1"/>
    <col min="312" max="312" width="73.6328125" style="44" bestFit="1" customWidth="1"/>
    <col min="313" max="313" width="58.6328125" style="44" bestFit="1" customWidth="1"/>
    <col min="314" max="315" width="74.08984375" style="44" bestFit="1" customWidth="1"/>
    <col min="316" max="316" width="75.54296875" style="44" bestFit="1" customWidth="1"/>
    <col min="317" max="317" width="92" style="44" bestFit="1" customWidth="1"/>
    <col min="318" max="318" width="93.54296875" style="44" bestFit="1" customWidth="1"/>
    <col min="319" max="320" width="75.54296875" style="44" bestFit="1" customWidth="1"/>
    <col min="321" max="321" width="78.08984375" style="44" bestFit="1" customWidth="1"/>
    <col min="322" max="322" width="70" style="44" bestFit="1" customWidth="1"/>
    <col min="323" max="323" width="84.81640625" style="44" bestFit="1" customWidth="1"/>
    <col min="324" max="324" width="93" style="44" bestFit="1" customWidth="1"/>
    <col min="325" max="325" width="83.453125" style="44" bestFit="1" customWidth="1"/>
    <col min="326" max="326" width="100.90625" style="44" bestFit="1" customWidth="1"/>
    <col min="327" max="329" width="64.54296875" style="44" bestFit="1" customWidth="1"/>
    <col min="330" max="331" width="82.7265625" style="44" bestFit="1" customWidth="1"/>
    <col min="332" max="332" width="99.453125" style="44" bestFit="1" customWidth="1"/>
    <col min="333" max="333" width="78.1796875" style="44" bestFit="1" customWidth="1"/>
    <col min="334" max="334" width="71.36328125" style="44" bestFit="1" customWidth="1"/>
    <col min="335" max="335" width="71.26953125" style="44" bestFit="1" customWidth="1"/>
    <col min="336" max="339" width="76.453125" style="44" bestFit="1" customWidth="1"/>
    <col min="340" max="340" width="70.54296875" style="44" bestFit="1" customWidth="1"/>
    <col min="341" max="341" width="63.36328125" style="44" bestFit="1" customWidth="1"/>
    <col min="342" max="342" width="97.81640625" style="44" bestFit="1" customWidth="1"/>
    <col min="343" max="344" width="73" style="44" bestFit="1" customWidth="1"/>
    <col min="345" max="345" width="79" style="44" bestFit="1" customWidth="1"/>
    <col min="346" max="346" width="73" style="44" bestFit="1" customWidth="1"/>
    <col min="347" max="347" width="82.1796875" style="44" bestFit="1" customWidth="1"/>
    <col min="348" max="348" width="61.453125" style="44" bestFit="1" customWidth="1"/>
    <col min="349" max="350" width="99.90625" style="44" bestFit="1" customWidth="1"/>
    <col min="351" max="351" width="100.36328125" style="44" bestFit="1" customWidth="1"/>
    <col min="352" max="352" width="84.453125" style="44" bestFit="1" customWidth="1"/>
    <col min="353" max="353" width="113.36328125" style="44" bestFit="1" customWidth="1"/>
    <col min="354" max="354" width="98.453125" style="44" bestFit="1" customWidth="1"/>
    <col min="355" max="355" width="99.7265625" style="44" bestFit="1" customWidth="1"/>
    <col min="356" max="356" width="99.54296875" style="44" bestFit="1" customWidth="1"/>
    <col min="357" max="357" width="96.81640625" style="44" bestFit="1" customWidth="1"/>
    <col min="358" max="358" width="94.08984375" style="44" bestFit="1" customWidth="1"/>
    <col min="359" max="359" width="100.453125" style="44" bestFit="1" customWidth="1"/>
    <col min="360" max="360" width="98.6328125" style="44" bestFit="1" customWidth="1"/>
    <col min="361" max="361" width="77.453125" style="44" bestFit="1" customWidth="1"/>
    <col min="362" max="362" width="95.1796875" style="44" bestFit="1" customWidth="1"/>
    <col min="363" max="363" width="86.6328125" style="44" bestFit="1" customWidth="1"/>
    <col min="364" max="364" width="77.26953125" style="44" bestFit="1" customWidth="1"/>
    <col min="365" max="365" width="85.1796875" style="44" bestFit="1" customWidth="1"/>
    <col min="366" max="366" width="74.7265625" style="44" bestFit="1" customWidth="1"/>
    <col min="367" max="367" width="92" style="44" bestFit="1" customWidth="1"/>
    <col min="368" max="368" width="72.26953125" style="44" bestFit="1" customWidth="1"/>
    <col min="369" max="369" width="97.08984375" style="44" bestFit="1" customWidth="1"/>
    <col min="370" max="370" width="77.08984375" style="44" bestFit="1" customWidth="1"/>
    <col min="371" max="371" width="85.08984375" style="44" bestFit="1" customWidth="1"/>
    <col min="372" max="373" width="83.1796875" style="44" bestFit="1" customWidth="1"/>
    <col min="374" max="374" width="82.6328125" style="44" bestFit="1" customWidth="1"/>
    <col min="375" max="375" width="86.26953125" style="44" bestFit="1" customWidth="1"/>
    <col min="376" max="376" width="71.1796875" style="44" bestFit="1" customWidth="1"/>
    <col min="377" max="377" width="66.6328125" style="44" bestFit="1" customWidth="1"/>
    <col min="378" max="379" width="83.1796875" style="44" bestFit="1" customWidth="1"/>
    <col min="380" max="380" width="67.08984375" style="44" bestFit="1" customWidth="1"/>
    <col min="381" max="381" width="76.54296875" style="44" bestFit="1" customWidth="1"/>
    <col min="382" max="382" width="94.08984375" style="44" bestFit="1" customWidth="1"/>
    <col min="383" max="383" width="89.08984375" style="44" bestFit="1" customWidth="1"/>
    <col min="384" max="384" width="68.1796875" style="44" bestFit="1" customWidth="1"/>
    <col min="385" max="385" width="91.7265625" style="44" bestFit="1" customWidth="1"/>
    <col min="386" max="386" width="63.36328125" style="44" bestFit="1" customWidth="1"/>
    <col min="387" max="387" width="66.6328125" style="44" bestFit="1" customWidth="1"/>
    <col min="388" max="388" width="63.36328125" style="44" bestFit="1" customWidth="1"/>
    <col min="389" max="389" width="63.453125" style="44" bestFit="1" customWidth="1"/>
    <col min="390" max="390" width="87.54296875" style="44" bestFit="1" customWidth="1"/>
    <col min="391" max="391" width="93.81640625" style="44" bestFit="1" customWidth="1"/>
    <col min="392" max="392" width="66.453125" style="44" bestFit="1" customWidth="1"/>
    <col min="393" max="394" width="110" style="44" bestFit="1" customWidth="1"/>
    <col min="395" max="395" width="103.1796875" style="44" bestFit="1" customWidth="1"/>
    <col min="396" max="396" width="62.453125" style="44" bestFit="1" customWidth="1"/>
    <col min="397" max="397" width="77.453125" style="44" bestFit="1" customWidth="1"/>
    <col min="398" max="398" width="91.54296875" style="44" bestFit="1" customWidth="1"/>
    <col min="399" max="399" width="88.08984375" style="44" bestFit="1" customWidth="1"/>
    <col min="400" max="400" width="80.6328125" style="44" bestFit="1" customWidth="1"/>
    <col min="401" max="401" width="77.453125" style="44" bestFit="1" customWidth="1"/>
    <col min="402" max="402" width="85.1796875" style="44" bestFit="1" customWidth="1"/>
    <col min="403" max="406" width="72.36328125" style="44" bestFit="1" customWidth="1"/>
    <col min="407" max="408" width="95" style="44" bestFit="1" customWidth="1"/>
    <col min="409" max="409" width="64.08984375" style="44" bestFit="1" customWidth="1"/>
    <col min="410" max="410" width="110.08984375" style="44" bestFit="1" customWidth="1"/>
    <col min="411" max="411" width="86.36328125" style="44" bestFit="1" customWidth="1"/>
    <col min="412" max="412" width="89.36328125" style="44" bestFit="1" customWidth="1"/>
    <col min="413" max="413" width="89.81640625" style="44" bestFit="1" customWidth="1"/>
    <col min="414" max="414" width="64.26953125" style="44" bestFit="1" customWidth="1"/>
    <col min="415" max="415" width="85.7265625" style="44" bestFit="1" customWidth="1"/>
    <col min="416" max="416" width="73" style="44" bestFit="1" customWidth="1"/>
    <col min="417" max="417" width="92.7265625" style="44" bestFit="1" customWidth="1"/>
    <col min="418" max="418" width="92.36328125" style="44" bestFit="1" customWidth="1"/>
    <col min="419" max="419" width="72" style="44" bestFit="1" customWidth="1"/>
    <col min="420" max="420" width="82" style="44" bestFit="1" customWidth="1"/>
    <col min="421" max="421" width="79.36328125" style="44" bestFit="1" customWidth="1"/>
    <col min="422" max="422" width="81" style="44" bestFit="1" customWidth="1"/>
    <col min="423" max="423" width="72.90625" style="44" bestFit="1" customWidth="1"/>
    <col min="424" max="424" width="90.81640625" style="44" bestFit="1" customWidth="1"/>
    <col min="425" max="425" width="84" style="44" bestFit="1" customWidth="1"/>
    <col min="426" max="427" width="73.36328125" style="44" bestFit="1" customWidth="1"/>
    <col min="428" max="428" width="90.6328125" style="44" bestFit="1" customWidth="1"/>
    <col min="429" max="429" width="89.453125" style="44" bestFit="1" customWidth="1"/>
    <col min="430" max="430" width="84.6328125" style="44" bestFit="1" customWidth="1"/>
    <col min="431" max="431" width="74.54296875" style="44" bestFit="1" customWidth="1"/>
    <col min="432" max="432" width="76.90625" style="44" bestFit="1" customWidth="1"/>
    <col min="433" max="433" width="83" style="44" bestFit="1" customWidth="1"/>
    <col min="434" max="434" width="85.81640625" style="44" bestFit="1" customWidth="1"/>
    <col min="435" max="435" width="83.7265625" style="44" bestFit="1" customWidth="1"/>
    <col min="436" max="436" width="79.54296875" style="44" bestFit="1" customWidth="1"/>
    <col min="437" max="437" width="80.54296875" style="44" bestFit="1" customWidth="1"/>
    <col min="438" max="438" width="89.54296875" style="44" bestFit="1" customWidth="1"/>
    <col min="439" max="439" width="85.36328125" style="44" bestFit="1" customWidth="1"/>
    <col min="440" max="440" width="61.6328125" style="44" bestFit="1" customWidth="1"/>
    <col min="441" max="441" width="132.54296875" style="44" bestFit="1" customWidth="1"/>
    <col min="442" max="442" width="93.1796875" style="44" bestFit="1" customWidth="1"/>
    <col min="443" max="443" width="91.08984375" style="44" bestFit="1" customWidth="1"/>
    <col min="444" max="444" width="81.7265625" style="44" bestFit="1" customWidth="1"/>
    <col min="445" max="446" width="80.90625" style="44" bestFit="1" customWidth="1"/>
    <col min="447" max="447" width="83.26953125" style="44" bestFit="1" customWidth="1"/>
    <col min="448" max="448" width="101.453125" style="44" bestFit="1" customWidth="1"/>
    <col min="449" max="449" width="110.1796875" style="44" bestFit="1" customWidth="1"/>
    <col min="450" max="450" width="74.6328125" style="44" bestFit="1" customWidth="1"/>
    <col min="451" max="454" width="84.54296875" style="44" bestFit="1" customWidth="1"/>
    <col min="455" max="455" width="74.36328125" style="44" bestFit="1" customWidth="1"/>
    <col min="456" max="456" width="88.1796875" style="44" bestFit="1" customWidth="1"/>
    <col min="457" max="457" width="78.6328125" style="44" bestFit="1" customWidth="1"/>
    <col min="458" max="458" width="76.81640625" style="44" bestFit="1" customWidth="1"/>
    <col min="459" max="459" width="74.7265625" style="44" bestFit="1" customWidth="1"/>
    <col min="460" max="460" width="87.26953125" style="44" bestFit="1" customWidth="1"/>
    <col min="461" max="461" width="85.54296875" style="44" bestFit="1" customWidth="1"/>
    <col min="462" max="462" width="100.26953125" style="44" bestFit="1" customWidth="1"/>
    <col min="463" max="463" width="71.36328125" style="44" bestFit="1" customWidth="1"/>
    <col min="464" max="464" width="105.453125" style="44" bestFit="1" customWidth="1"/>
    <col min="465" max="465" width="103.08984375" style="44" bestFit="1" customWidth="1"/>
    <col min="466" max="466" width="85.7265625" style="44" bestFit="1" customWidth="1"/>
    <col min="467" max="467" width="99.26953125" style="44" bestFit="1" customWidth="1"/>
    <col min="468" max="468" width="83.54296875" style="44" bestFit="1" customWidth="1"/>
    <col min="469" max="469" width="96.90625" style="44" bestFit="1" customWidth="1"/>
    <col min="470" max="470" width="74.26953125" style="44" bestFit="1" customWidth="1"/>
    <col min="471" max="471" width="98.36328125" style="44" bestFit="1" customWidth="1"/>
    <col min="472" max="472" width="74.453125" style="44" bestFit="1" customWidth="1"/>
    <col min="473" max="473" width="88.81640625" style="44" bestFit="1" customWidth="1"/>
    <col min="474" max="474" width="67.6328125" style="44" bestFit="1" customWidth="1"/>
    <col min="475" max="475" width="93.08984375" style="44" bestFit="1" customWidth="1"/>
    <col min="476" max="476" width="101.453125" style="44" bestFit="1" customWidth="1"/>
    <col min="477" max="479" width="76.81640625" style="44" bestFit="1" customWidth="1"/>
    <col min="480" max="480" width="87.08984375" style="44" bestFit="1" customWidth="1"/>
    <col min="481" max="481" width="72.453125" style="44" bestFit="1" customWidth="1"/>
    <col min="482" max="482" width="87.81640625" style="44" bestFit="1" customWidth="1"/>
    <col min="483" max="483" width="71.7265625" style="44" bestFit="1" customWidth="1"/>
    <col min="484" max="484" width="74" style="44" bestFit="1" customWidth="1"/>
    <col min="485" max="485" width="74.08984375" style="44" bestFit="1" customWidth="1"/>
    <col min="486" max="488" width="86.81640625" style="44" bestFit="1" customWidth="1"/>
    <col min="489" max="489" width="104.7265625" style="44" bestFit="1" customWidth="1"/>
    <col min="490" max="490" width="101.81640625" style="44" bestFit="1" customWidth="1"/>
    <col min="491" max="491" width="64.453125" style="44" bestFit="1" customWidth="1"/>
    <col min="492" max="492" width="65.1796875" style="44" bestFit="1" customWidth="1"/>
    <col min="493" max="493" width="72.453125" style="44" bestFit="1" customWidth="1"/>
    <col min="494" max="494" width="81.36328125" style="44" bestFit="1" customWidth="1"/>
    <col min="495" max="495" width="65.1796875" style="44" bestFit="1" customWidth="1"/>
    <col min="496" max="496" width="80.90625" style="44" bestFit="1" customWidth="1"/>
    <col min="497" max="497" width="71.7265625" style="44" bestFit="1" customWidth="1"/>
    <col min="498" max="498" width="73.6328125" style="44" bestFit="1" customWidth="1"/>
    <col min="499" max="500" width="85.36328125" style="44" bestFit="1" customWidth="1"/>
    <col min="501" max="501" width="92.26953125" style="44" bestFit="1" customWidth="1"/>
    <col min="502" max="502" width="106.1796875" style="44" bestFit="1" customWidth="1"/>
    <col min="503" max="503" width="86.6328125" style="44" bestFit="1" customWidth="1"/>
    <col min="504" max="505" width="68.90625" style="44" bestFit="1" customWidth="1"/>
    <col min="506" max="506" width="80.54296875" style="44" bestFit="1" customWidth="1"/>
    <col min="507" max="507" width="68.90625" style="44" bestFit="1" customWidth="1"/>
    <col min="508" max="508" width="79.1796875" style="44" bestFit="1" customWidth="1"/>
    <col min="509" max="509" width="79.26953125" style="44" bestFit="1" customWidth="1"/>
    <col min="510" max="510" width="80.1796875" style="44" bestFit="1" customWidth="1"/>
    <col min="511" max="511" width="84.81640625" style="44" bestFit="1" customWidth="1"/>
    <col min="512" max="512" width="76.81640625" style="44" bestFit="1" customWidth="1"/>
    <col min="513" max="513" width="7.90625" style="44" bestFit="1" customWidth="1"/>
    <col min="514" max="514" width="132.54296875" style="44" bestFit="1" customWidth="1"/>
    <col min="515" max="515" width="45.36328125" style="44" bestFit="1" customWidth="1"/>
    <col min="516" max="516" width="14.08984375" style="44" bestFit="1" customWidth="1"/>
    <col min="517" max="518" width="8.7265625" style="44"/>
    <col min="519" max="519" width="49.7265625" style="44" bestFit="1" customWidth="1"/>
    <col min="520" max="520" width="7.90625" style="44" bestFit="1" customWidth="1"/>
    <col min="521" max="521" width="7.81640625" style="44" bestFit="1" customWidth="1"/>
    <col min="522" max="533" width="8.81640625" style="44" bestFit="1" customWidth="1"/>
    <col min="534" max="534" width="10.81640625" style="44" bestFit="1" customWidth="1"/>
    <col min="535" max="535" width="93.36328125" style="44" bestFit="1" customWidth="1"/>
    <col min="536" max="536" width="87.6328125" style="44" bestFit="1" customWidth="1"/>
    <col min="537" max="537" width="69.26953125" style="44" bestFit="1" customWidth="1"/>
    <col min="538" max="538" width="68.54296875" style="44" bestFit="1" customWidth="1"/>
    <col min="539" max="539" width="67.6328125" style="44" bestFit="1" customWidth="1"/>
    <col min="540" max="540" width="64" style="44" bestFit="1" customWidth="1"/>
    <col min="541" max="541" width="43.81640625" style="44" bestFit="1" customWidth="1"/>
    <col min="542" max="542" width="39.81640625" style="44" bestFit="1" customWidth="1"/>
    <col min="543" max="543" width="85.26953125" style="44" bestFit="1" customWidth="1"/>
    <col min="544" max="544" width="84.08984375" style="44" bestFit="1" customWidth="1"/>
    <col min="545" max="545" width="91" style="44" bestFit="1" customWidth="1"/>
    <col min="546" max="546" width="79" style="44" bestFit="1" customWidth="1"/>
    <col min="547" max="547" width="89.90625" style="44" bestFit="1" customWidth="1"/>
    <col min="548" max="554" width="90.90625" style="44" bestFit="1" customWidth="1"/>
    <col min="555" max="555" width="91.90625" style="44" bestFit="1" customWidth="1"/>
    <col min="556" max="556" width="73.08984375" style="44" bestFit="1" customWidth="1"/>
    <col min="557" max="557" width="61.1796875" style="44" bestFit="1" customWidth="1"/>
    <col min="558" max="558" width="94.1796875" style="44" bestFit="1" customWidth="1"/>
    <col min="559" max="559" width="84.453125" style="44" bestFit="1" customWidth="1"/>
    <col min="560" max="560" width="86.81640625" style="44" bestFit="1" customWidth="1"/>
    <col min="561" max="561" width="90.08984375" style="44" bestFit="1" customWidth="1"/>
    <col min="562" max="562" width="86.7265625" style="44" bestFit="1" customWidth="1"/>
    <col min="563" max="563" width="87.6328125" style="44" bestFit="1" customWidth="1"/>
    <col min="564" max="566" width="97.6328125" style="44" bestFit="1" customWidth="1"/>
    <col min="567" max="567" width="72.54296875" style="44" bestFit="1" customWidth="1"/>
    <col min="568" max="568" width="73.6328125" style="44" bestFit="1" customWidth="1"/>
    <col min="569" max="569" width="58.6328125" style="44" bestFit="1" customWidth="1"/>
    <col min="570" max="571" width="74.08984375" style="44" bestFit="1" customWidth="1"/>
    <col min="572" max="572" width="75.54296875" style="44" bestFit="1" customWidth="1"/>
    <col min="573" max="573" width="92" style="44" bestFit="1" customWidth="1"/>
    <col min="574" max="574" width="93.54296875" style="44" bestFit="1" customWidth="1"/>
    <col min="575" max="576" width="75.54296875" style="44" bestFit="1" customWidth="1"/>
    <col min="577" max="577" width="78.08984375" style="44" bestFit="1" customWidth="1"/>
    <col min="578" max="578" width="70" style="44" bestFit="1" customWidth="1"/>
    <col min="579" max="579" width="84.81640625" style="44" bestFit="1" customWidth="1"/>
    <col min="580" max="580" width="93" style="44" bestFit="1" customWidth="1"/>
    <col min="581" max="581" width="83.453125" style="44" bestFit="1" customWidth="1"/>
    <col min="582" max="582" width="100.90625" style="44" bestFit="1" customWidth="1"/>
    <col min="583" max="585" width="64.54296875" style="44" bestFit="1" customWidth="1"/>
    <col min="586" max="587" width="82.7265625" style="44" bestFit="1" customWidth="1"/>
    <col min="588" max="588" width="99.453125" style="44" bestFit="1" customWidth="1"/>
    <col min="589" max="589" width="78.1796875" style="44" bestFit="1" customWidth="1"/>
    <col min="590" max="590" width="71.36328125" style="44" bestFit="1" customWidth="1"/>
    <col min="591" max="591" width="71.26953125" style="44" bestFit="1" customWidth="1"/>
    <col min="592" max="595" width="76.453125" style="44" bestFit="1" customWidth="1"/>
    <col min="596" max="596" width="70.54296875" style="44" bestFit="1" customWidth="1"/>
    <col min="597" max="597" width="63.36328125" style="44" bestFit="1" customWidth="1"/>
    <col min="598" max="598" width="97.81640625" style="44" bestFit="1" customWidth="1"/>
    <col min="599" max="600" width="73" style="44" bestFit="1" customWidth="1"/>
    <col min="601" max="601" width="79" style="44" bestFit="1" customWidth="1"/>
    <col min="602" max="602" width="73" style="44" bestFit="1" customWidth="1"/>
    <col min="603" max="603" width="82.1796875" style="44" bestFit="1" customWidth="1"/>
    <col min="604" max="604" width="61.453125" style="44" bestFit="1" customWidth="1"/>
    <col min="605" max="606" width="99.90625" style="44" bestFit="1" customWidth="1"/>
    <col min="607" max="607" width="100.36328125" style="44" bestFit="1" customWidth="1"/>
    <col min="608" max="608" width="84.453125" style="44" bestFit="1" customWidth="1"/>
    <col min="609" max="609" width="113.36328125" style="44" bestFit="1" customWidth="1"/>
    <col min="610" max="610" width="98.453125" style="44" bestFit="1" customWidth="1"/>
    <col min="611" max="611" width="99.7265625" style="44" bestFit="1" customWidth="1"/>
    <col min="612" max="612" width="99.54296875" style="44" bestFit="1" customWidth="1"/>
    <col min="613" max="613" width="96.81640625" style="44" bestFit="1" customWidth="1"/>
    <col min="614" max="614" width="94.08984375" style="44" bestFit="1" customWidth="1"/>
    <col min="615" max="615" width="100.453125" style="44" bestFit="1" customWidth="1"/>
    <col min="616" max="616" width="98.6328125" style="44" bestFit="1" customWidth="1"/>
    <col min="617" max="617" width="77.453125" style="44" bestFit="1" customWidth="1"/>
    <col min="618" max="618" width="95.1796875" style="44" bestFit="1" customWidth="1"/>
    <col min="619" max="619" width="86.6328125" style="44" bestFit="1" customWidth="1"/>
    <col min="620" max="620" width="77.26953125" style="44" bestFit="1" customWidth="1"/>
    <col min="621" max="621" width="85.1796875" style="44" bestFit="1" customWidth="1"/>
    <col min="622" max="622" width="74.7265625" style="44" bestFit="1" customWidth="1"/>
    <col min="623" max="623" width="92" style="44" bestFit="1" customWidth="1"/>
    <col min="624" max="624" width="72.26953125" style="44" bestFit="1" customWidth="1"/>
    <col min="625" max="625" width="97.08984375" style="44" bestFit="1" customWidth="1"/>
    <col min="626" max="626" width="77.08984375" style="44" bestFit="1" customWidth="1"/>
    <col min="627" max="627" width="85.08984375" style="44" bestFit="1" customWidth="1"/>
    <col min="628" max="629" width="83.1796875" style="44" bestFit="1" customWidth="1"/>
    <col min="630" max="630" width="82.6328125" style="44" bestFit="1" customWidth="1"/>
    <col min="631" max="631" width="86.26953125" style="44" bestFit="1" customWidth="1"/>
    <col min="632" max="632" width="71.1796875" style="44" bestFit="1" customWidth="1"/>
    <col min="633" max="633" width="66.6328125" style="44" bestFit="1" customWidth="1"/>
    <col min="634" max="635" width="83.1796875" style="44" bestFit="1" customWidth="1"/>
    <col min="636" max="636" width="67.08984375" style="44" bestFit="1" customWidth="1"/>
    <col min="637" max="637" width="76.54296875" style="44" bestFit="1" customWidth="1"/>
    <col min="638" max="638" width="94.08984375" style="44" bestFit="1" customWidth="1"/>
    <col min="639" max="639" width="89.08984375" style="44" bestFit="1" customWidth="1"/>
    <col min="640" max="640" width="68.1796875" style="44" bestFit="1" customWidth="1"/>
    <col min="641" max="641" width="91.7265625" style="44" bestFit="1" customWidth="1"/>
    <col min="642" max="642" width="63.36328125" style="44" bestFit="1" customWidth="1"/>
    <col min="643" max="643" width="66.6328125" style="44" bestFit="1" customWidth="1"/>
    <col min="644" max="644" width="63.36328125" style="44" bestFit="1" customWidth="1"/>
    <col min="645" max="645" width="63.453125" style="44" bestFit="1" customWidth="1"/>
    <col min="646" max="646" width="87.54296875" style="44" bestFit="1" customWidth="1"/>
    <col min="647" max="647" width="93.81640625" style="44" bestFit="1" customWidth="1"/>
    <col min="648" max="648" width="66.453125" style="44" bestFit="1" customWidth="1"/>
    <col min="649" max="650" width="110" style="44" bestFit="1" customWidth="1"/>
    <col min="651" max="651" width="103.1796875" style="44" bestFit="1" customWidth="1"/>
    <col min="652" max="652" width="62.453125" style="44" bestFit="1" customWidth="1"/>
    <col min="653" max="653" width="77.453125" style="44" bestFit="1" customWidth="1"/>
    <col min="654" max="654" width="91.54296875" style="44" bestFit="1" customWidth="1"/>
    <col min="655" max="655" width="88.08984375" style="44" bestFit="1" customWidth="1"/>
    <col min="656" max="656" width="80.6328125" style="44" bestFit="1" customWidth="1"/>
    <col min="657" max="657" width="77.453125" style="44" bestFit="1" customWidth="1"/>
    <col min="658" max="658" width="85.1796875" style="44" bestFit="1" customWidth="1"/>
    <col min="659" max="662" width="72.36328125" style="44" bestFit="1" customWidth="1"/>
    <col min="663" max="664" width="95" style="44" bestFit="1" customWidth="1"/>
    <col min="665" max="665" width="64.08984375" style="44" bestFit="1" customWidth="1"/>
    <col min="666" max="666" width="110.08984375" style="44" bestFit="1" customWidth="1"/>
    <col min="667" max="667" width="86.36328125" style="44" bestFit="1" customWidth="1"/>
    <col min="668" max="668" width="89.36328125" style="44" bestFit="1" customWidth="1"/>
    <col min="669" max="669" width="89.81640625" style="44" bestFit="1" customWidth="1"/>
    <col min="670" max="670" width="64.26953125" style="44" bestFit="1" customWidth="1"/>
    <col min="671" max="671" width="85.7265625" style="44" bestFit="1" customWidth="1"/>
    <col min="672" max="672" width="73" style="44" bestFit="1" customWidth="1"/>
    <col min="673" max="673" width="92.7265625" style="44" bestFit="1" customWidth="1"/>
    <col min="674" max="674" width="92.36328125" style="44" bestFit="1" customWidth="1"/>
    <col min="675" max="675" width="72" style="44" bestFit="1" customWidth="1"/>
    <col min="676" max="676" width="82" style="44" bestFit="1" customWidth="1"/>
    <col min="677" max="677" width="79.36328125" style="44" bestFit="1" customWidth="1"/>
    <col min="678" max="678" width="81" style="44" bestFit="1" customWidth="1"/>
    <col min="679" max="679" width="72.90625" style="44" bestFit="1" customWidth="1"/>
    <col min="680" max="680" width="90.81640625" style="44" bestFit="1" customWidth="1"/>
    <col min="681" max="681" width="84" style="44" bestFit="1" customWidth="1"/>
    <col min="682" max="683" width="73.36328125" style="44" bestFit="1" customWidth="1"/>
    <col min="684" max="684" width="90.6328125" style="44" bestFit="1" customWidth="1"/>
    <col min="685" max="685" width="89.453125" style="44" bestFit="1" customWidth="1"/>
    <col min="686" max="686" width="84.6328125" style="44" bestFit="1" customWidth="1"/>
    <col min="687" max="687" width="74.54296875" style="44" bestFit="1" customWidth="1"/>
    <col min="688" max="688" width="76.90625" style="44" bestFit="1" customWidth="1"/>
    <col min="689" max="689" width="83" style="44" bestFit="1" customWidth="1"/>
    <col min="690" max="690" width="85.81640625" style="44" bestFit="1" customWidth="1"/>
    <col min="691" max="691" width="83.7265625" style="44" bestFit="1" customWidth="1"/>
    <col min="692" max="692" width="79.54296875" style="44" bestFit="1" customWidth="1"/>
    <col min="693" max="693" width="80.54296875" style="44" bestFit="1" customWidth="1"/>
    <col min="694" max="694" width="89.54296875" style="44" bestFit="1" customWidth="1"/>
    <col min="695" max="695" width="85.36328125" style="44" bestFit="1" customWidth="1"/>
    <col min="696" max="696" width="61.6328125" style="44" bestFit="1" customWidth="1"/>
    <col min="697" max="697" width="132.54296875" style="44" bestFit="1" customWidth="1"/>
    <col min="698" max="698" width="93.1796875" style="44" bestFit="1" customWidth="1"/>
    <col min="699" max="699" width="91.08984375" style="44" bestFit="1" customWidth="1"/>
    <col min="700" max="700" width="81.7265625" style="44" bestFit="1" customWidth="1"/>
    <col min="701" max="702" width="80.90625" style="44" bestFit="1" customWidth="1"/>
    <col min="703" max="703" width="83.26953125" style="44" bestFit="1" customWidth="1"/>
    <col min="704" max="704" width="101.453125" style="44" bestFit="1" customWidth="1"/>
    <col min="705" max="705" width="110.1796875" style="44" bestFit="1" customWidth="1"/>
    <col min="706" max="706" width="74.6328125" style="44" bestFit="1" customWidth="1"/>
    <col min="707" max="710" width="84.54296875" style="44" bestFit="1" customWidth="1"/>
    <col min="711" max="711" width="74.36328125" style="44" bestFit="1" customWidth="1"/>
    <col min="712" max="712" width="88.1796875" style="44" bestFit="1" customWidth="1"/>
    <col min="713" max="713" width="78.6328125" style="44" bestFit="1" customWidth="1"/>
    <col min="714" max="714" width="76.81640625" style="44" bestFit="1" customWidth="1"/>
    <col min="715" max="715" width="74.7265625" style="44" bestFit="1" customWidth="1"/>
    <col min="716" max="716" width="87.26953125" style="44" bestFit="1" customWidth="1"/>
    <col min="717" max="717" width="85.54296875" style="44" bestFit="1" customWidth="1"/>
    <col min="718" max="718" width="100.26953125" style="44" bestFit="1" customWidth="1"/>
    <col min="719" max="719" width="71.36328125" style="44" bestFit="1" customWidth="1"/>
    <col min="720" max="720" width="105.453125" style="44" bestFit="1" customWidth="1"/>
    <col min="721" max="721" width="103.08984375" style="44" bestFit="1" customWidth="1"/>
    <col min="722" max="722" width="85.7265625" style="44" bestFit="1" customWidth="1"/>
    <col min="723" max="723" width="99.26953125" style="44" bestFit="1" customWidth="1"/>
    <col min="724" max="724" width="83.54296875" style="44" bestFit="1" customWidth="1"/>
    <col min="725" max="725" width="96.90625" style="44" bestFit="1" customWidth="1"/>
    <col min="726" max="726" width="74.26953125" style="44" bestFit="1" customWidth="1"/>
    <col min="727" max="727" width="98.36328125" style="44" bestFit="1" customWidth="1"/>
    <col min="728" max="728" width="74.453125" style="44" bestFit="1" customWidth="1"/>
    <col min="729" max="729" width="88.81640625" style="44" bestFit="1" customWidth="1"/>
    <col min="730" max="730" width="67.6328125" style="44" bestFit="1" customWidth="1"/>
    <col min="731" max="731" width="93.08984375" style="44" bestFit="1" customWidth="1"/>
    <col min="732" max="732" width="101.453125" style="44" bestFit="1" customWidth="1"/>
    <col min="733" max="735" width="76.81640625" style="44" bestFit="1" customWidth="1"/>
    <col min="736" max="736" width="87.08984375" style="44" bestFit="1" customWidth="1"/>
    <col min="737" max="737" width="72.453125" style="44" bestFit="1" customWidth="1"/>
    <col min="738" max="738" width="87.81640625" style="44" bestFit="1" customWidth="1"/>
    <col min="739" max="739" width="71.7265625" style="44" bestFit="1" customWidth="1"/>
    <col min="740" max="740" width="74" style="44" bestFit="1" customWidth="1"/>
    <col min="741" max="741" width="74.08984375" style="44" bestFit="1" customWidth="1"/>
    <col min="742" max="744" width="86.81640625" style="44" bestFit="1" customWidth="1"/>
    <col min="745" max="745" width="104.7265625" style="44" bestFit="1" customWidth="1"/>
    <col min="746" max="746" width="101.81640625" style="44" bestFit="1" customWidth="1"/>
    <col min="747" max="747" width="64.453125" style="44" bestFit="1" customWidth="1"/>
    <col min="748" max="748" width="65.1796875" style="44" bestFit="1" customWidth="1"/>
    <col min="749" max="749" width="72.453125" style="44" bestFit="1" customWidth="1"/>
    <col min="750" max="750" width="81.36328125" style="44" bestFit="1" customWidth="1"/>
    <col min="751" max="751" width="65.1796875" style="44" bestFit="1" customWidth="1"/>
    <col min="752" max="752" width="80.90625" style="44" bestFit="1" customWidth="1"/>
    <col min="753" max="753" width="71.7265625" style="44" bestFit="1" customWidth="1"/>
    <col min="754" max="754" width="73.6328125" style="44" bestFit="1" customWidth="1"/>
    <col min="755" max="756" width="85.36328125" style="44" bestFit="1" customWidth="1"/>
    <col min="757" max="757" width="92.26953125" style="44" bestFit="1" customWidth="1"/>
    <col min="758" max="758" width="106.1796875" style="44" bestFit="1" customWidth="1"/>
    <col min="759" max="759" width="86.6328125" style="44" bestFit="1" customWidth="1"/>
    <col min="760" max="761" width="68.90625" style="44" bestFit="1" customWidth="1"/>
    <col min="762" max="762" width="80.54296875" style="44" bestFit="1" customWidth="1"/>
    <col min="763" max="763" width="68.90625" style="44" bestFit="1" customWidth="1"/>
    <col min="764" max="764" width="79.1796875" style="44" bestFit="1" customWidth="1"/>
    <col min="765" max="765" width="79.26953125" style="44" bestFit="1" customWidth="1"/>
    <col min="766" max="766" width="80.1796875" style="44" bestFit="1" customWidth="1"/>
    <col min="767" max="767" width="84.81640625" style="44" bestFit="1" customWidth="1"/>
    <col min="768" max="768" width="76.81640625" style="44" bestFit="1" customWidth="1"/>
    <col min="769" max="769" width="7.90625" style="44" bestFit="1" customWidth="1"/>
    <col min="770" max="770" width="132.54296875" style="44" bestFit="1" customWidth="1"/>
    <col min="771" max="771" width="45.36328125" style="44" bestFit="1" customWidth="1"/>
    <col min="772" max="772" width="14.08984375" style="44" bestFit="1" customWidth="1"/>
    <col min="773" max="774" width="8.7265625" style="44"/>
    <col min="775" max="775" width="49.7265625" style="44" bestFit="1" customWidth="1"/>
    <col min="776" max="776" width="7.90625" style="44" bestFit="1" customWidth="1"/>
    <col min="777" max="777" width="7.81640625" style="44" bestFit="1" customWidth="1"/>
    <col min="778" max="789" width="8.81640625" style="44" bestFit="1" customWidth="1"/>
    <col min="790" max="790" width="10.81640625" style="44" bestFit="1" customWidth="1"/>
    <col min="791" max="791" width="93.36328125" style="44" bestFit="1" customWidth="1"/>
    <col min="792" max="792" width="87.6328125" style="44" bestFit="1" customWidth="1"/>
    <col min="793" max="793" width="69.26953125" style="44" bestFit="1" customWidth="1"/>
    <col min="794" max="794" width="68.54296875" style="44" bestFit="1" customWidth="1"/>
    <col min="795" max="795" width="67.6328125" style="44" bestFit="1" customWidth="1"/>
    <col min="796" max="796" width="64" style="44" bestFit="1" customWidth="1"/>
    <col min="797" max="797" width="43.81640625" style="44" bestFit="1" customWidth="1"/>
    <col min="798" max="798" width="39.81640625" style="44" bestFit="1" customWidth="1"/>
    <col min="799" max="799" width="85.26953125" style="44" bestFit="1" customWidth="1"/>
    <col min="800" max="800" width="84.08984375" style="44" bestFit="1" customWidth="1"/>
    <col min="801" max="801" width="91" style="44" bestFit="1" customWidth="1"/>
    <col min="802" max="802" width="79" style="44" bestFit="1" customWidth="1"/>
    <col min="803" max="803" width="89.90625" style="44" bestFit="1" customWidth="1"/>
    <col min="804" max="810" width="90.90625" style="44" bestFit="1" customWidth="1"/>
    <col min="811" max="811" width="91.90625" style="44" bestFit="1" customWidth="1"/>
    <col min="812" max="812" width="73.08984375" style="44" bestFit="1" customWidth="1"/>
    <col min="813" max="813" width="61.1796875" style="44" bestFit="1" customWidth="1"/>
    <col min="814" max="814" width="94.1796875" style="44" bestFit="1" customWidth="1"/>
    <col min="815" max="815" width="84.453125" style="44" bestFit="1" customWidth="1"/>
    <col min="816" max="816" width="86.81640625" style="44" bestFit="1" customWidth="1"/>
    <col min="817" max="817" width="90.08984375" style="44" bestFit="1" customWidth="1"/>
    <col min="818" max="818" width="86.7265625" style="44" bestFit="1" customWidth="1"/>
    <col min="819" max="819" width="87.6328125" style="44" bestFit="1" customWidth="1"/>
    <col min="820" max="822" width="97.6328125" style="44" bestFit="1" customWidth="1"/>
    <col min="823" max="823" width="72.54296875" style="44" bestFit="1" customWidth="1"/>
    <col min="824" max="824" width="73.6328125" style="44" bestFit="1" customWidth="1"/>
    <col min="825" max="825" width="58.6328125" style="44" bestFit="1" customWidth="1"/>
    <col min="826" max="827" width="74.08984375" style="44" bestFit="1" customWidth="1"/>
    <col min="828" max="828" width="75.54296875" style="44" bestFit="1" customWidth="1"/>
    <col min="829" max="829" width="92" style="44" bestFit="1" customWidth="1"/>
    <col min="830" max="830" width="93.54296875" style="44" bestFit="1" customWidth="1"/>
    <col min="831" max="832" width="75.54296875" style="44" bestFit="1" customWidth="1"/>
    <col min="833" max="833" width="78.08984375" style="44" bestFit="1" customWidth="1"/>
    <col min="834" max="834" width="70" style="44" bestFit="1" customWidth="1"/>
    <col min="835" max="835" width="84.81640625" style="44" bestFit="1" customWidth="1"/>
    <col min="836" max="836" width="93" style="44" bestFit="1" customWidth="1"/>
    <col min="837" max="837" width="83.453125" style="44" bestFit="1" customWidth="1"/>
    <col min="838" max="838" width="100.90625" style="44" bestFit="1" customWidth="1"/>
    <col min="839" max="841" width="64.54296875" style="44" bestFit="1" customWidth="1"/>
    <col min="842" max="843" width="82.7265625" style="44" bestFit="1" customWidth="1"/>
    <col min="844" max="844" width="99.453125" style="44" bestFit="1" customWidth="1"/>
    <col min="845" max="845" width="78.1796875" style="44" bestFit="1" customWidth="1"/>
    <col min="846" max="846" width="71.36328125" style="44" bestFit="1" customWidth="1"/>
    <col min="847" max="847" width="71.26953125" style="44" bestFit="1" customWidth="1"/>
    <col min="848" max="851" width="76.453125" style="44" bestFit="1" customWidth="1"/>
    <col min="852" max="852" width="70.54296875" style="44" bestFit="1" customWidth="1"/>
    <col min="853" max="853" width="63.36328125" style="44" bestFit="1" customWidth="1"/>
    <col min="854" max="854" width="97.81640625" style="44" bestFit="1" customWidth="1"/>
    <col min="855" max="856" width="73" style="44" bestFit="1" customWidth="1"/>
    <col min="857" max="857" width="79" style="44" bestFit="1" customWidth="1"/>
    <col min="858" max="858" width="73" style="44" bestFit="1" customWidth="1"/>
    <col min="859" max="859" width="82.1796875" style="44" bestFit="1" customWidth="1"/>
    <col min="860" max="860" width="61.453125" style="44" bestFit="1" customWidth="1"/>
    <col min="861" max="862" width="99.90625" style="44" bestFit="1" customWidth="1"/>
    <col min="863" max="863" width="100.36328125" style="44" bestFit="1" customWidth="1"/>
    <col min="864" max="864" width="84.453125" style="44" bestFit="1" customWidth="1"/>
    <col min="865" max="865" width="113.36328125" style="44" bestFit="1" customWidth="1"/>
    <col min="866" max="866" width="98.453125" style="44" bestFit="1" customWidth="1"/>
    <col min="867" max="867" width="99.7265625" style="44" bestFit="1" customWidth="1"/>
    <col min="868" max="868" width="99.54296875" style="44" bestFit="1" customWidth="1"/>
    <col min="869" max="869" width="96.81640625" style="44" bestFit="1" customWidth="1"/>
    <col min="870" max="870" width="94.08984375" style="44" bestFit="1" customWidth="1"/>
    <col min="871" max="871" width="100.453125" style="44" bestFit="1" customWidth="1"/>
    <col min="872" max="872" width="98.6328125" style="44" bestFit="1" customWidth="1"/>
    <col min="873" max="873" width="77.453125" style="44" bestFit="1" customWidth="1"/>
    <col min="874" max="874" width="95.1796875" style="44" bestFit="1" customWidth="1"/>
    <col min="875" max="875" width="86.6328125" style="44" bestFit="1" customWidth="1"/>
    <col min="876" max="876" width="77.26953125" style="44" bestFit="1" customWidth="1"/>
    <col min="877" max="877" width="85.1796875" style="44" bestFit="1" customWidth="1"/>
    <col min="878" max="878" width="74.7265625" style="44" bestFit="1" customWidth="1"/>
    <col min="879" max="879" width="92" style="44" bestFit="1" customWidth="1"/>
    <col min="880" max="880" width="72.26953125" style="44" bestFit="1" customWidth="1"/>
    <col min="881" max="881" width="97.08984375" style="44" bestFit="1" customWidth="1"/>
    <col min="882" max="882" width="77.08984375" style="44" bestFit="1" customWidth="1"/>
    <col min="883" max="883" width="85.08984375" style="44" bestFit="1" customWidth="1"/>
    <col min="884" max="885" width="83.1796875" style="44" bestFit="1" customWidth="1"/>
    <col min="886" max="886" width="82.6328125" style="44" bestFit="1" customWidth="1"/>
    <col min="887" max="887" width="86.26953125" style="44" bestFit="1" customWidth="1"/>
    <col min="888" max="888" width="71.1796875" style="44" bestFit="1" customWidth="1"/>
    <col min="889" max="889" width="66.6328125" style="44" bestFit="1" customWidth="1"/>
    <col min="890" max="891" width="83.1796875" style="44" bestFit="1" customWidth="1"/>
    <col min="892" max="892" width="67.08984375" style="44" bestFit="1" customWidth="1"/>
    <col min="893" max="893" width="76.54296875" style="44" bestFit="1" customWidth="1"/>
    <col min="894" max="894" width="94.08984375" style="44" bestFit="1" customWidth="1"/>
    <col min="895" max="895" width="89.08984375" style="44" bestFit="1" customWidth="1"/>
    <col min="896" max="896" width="68.1796875" style="44" bestFit="1" customWidth="1"/>
    <col min="897" max="897" width="91.7265625" style="44" bestFit="1" customWidth="1"/>
    <col min="898" max="898" width="63.36328125" style="44" bestFit="1" customWidth="1"/>
    <col min="899" max="899" width="66.6328125" style="44" bestFit="1" customWidth="1"/>
    <col min="900" max="900" width="63.36328125" style="44" bestFit="1" customWidth="1"/>
    <col min="901" max="901" width="63.453125" style="44" bestFit="1" customWidth="1"/>
    <col min="902" max="902" width="87.54296875" style="44" bestFit="1" customWidth="1"/>
    <col min="903" max="903" width="93.81640625" style="44" bestFit="1" customWidth="1"/>
    <col min="904" max="904" width="66.453125" style="44" bestFit="1" customWidth="1"/>
    <col min="905" max="906" width="110" style="44" bestFit="1" customWidth="1"/>
    <col min="907" max="907" width="103.1796875" style="44" bestFit="1" customWidth="1"/>
    <col min="908" max="908" width="62.453125" style="44" bestFit="1" customWidth="1"/>
    <col min="909" max="909" width="77.453125" style="44" bestFit="1" customWidth="1"/>
    <col min="910" max="910" width="91.54296875" style="44" bestFit="1" customWidth="1"/>
    <col min="911" max="911" width="88.08984375" style="44" bestFit="1" customWidth="1"/>
    <col min="912" max="912" width="80.6328125" style="44" bestFit="1" customWidth="1"/>
    <col min="913" max="913" width="77.453125" style="44" bestFit="1" customWidth="1"/>
    <col min="914" max="914" width="85.1796875" style="44" bestFit="1" customWidth="1"/>
    <col min="915" max="918" width="72.36328125" style="44" bestFit="1" customWidth="1"/>
    <col min="919" max="920" width="95" style="44" bestFit="1" customWidth="1"/>
    <col min="921" max="921" width="64.08984375" style="44" bestFit="1" customWidth="1"/>
    <col min="922" max="922" width="110.08984375" style="44" bestFit="1" customWidth="1"/>
    <col min="923" max="923" width="86.36328125" style="44" bestFit="1" customWidth="1"/>
    <col min="924" max="924" width="89.36328125" style="44" bestFit="1" customWidth="1"/>
    <col min="925" max="925" width="89.81640625" style="44" bestFit="1" customWidth="1"/>
    <col min="926" max="926" width="64.26953125" style="44" bestFit="1" customWidth="1"/>
    <col min="927" max="927" width="85.7265625" style="44" bestFit="1" customWidth="1"/>
    <col min="928" max="928" width="73" style="44" bestFit="1" customWidth="1"/>
    <col min="929" max="929" width="92.7265625" style="44" bestFit="1" customWidth="1"/>
    <col min="930" max="930" width="92.36328125" style="44" bestFit="1" customWidth="1"/>
    <col min="931" max="931" width="72" style="44" bestFit="1" customWidth="1"/>
    <col min="932" max="932" width="82" style="44" bestFit="1" customWidth="1"/>
    <col min="933" max="933" width="79.36328125" style="44" bestFit="1" customWidth="1"/>
    <col min="934" max="934" width="81" style="44" bestFit="1" customWidth="1"/>
    <col min="935" max="935" width="72.90625" style="44" bestFit="1" customWidth="1"/>
    <col min="936" max="936" width="90.81640625" style="44" bestFit="1" customWidth="1"/>
    <col min="937" max="937" width="84" style="44" bestFit="1" customWidth="1"/>
    <col min="938" max="939" width="73.36328125" style="44" bestFit="1" customWidth="1"/>
    <col min="940" max="940" width="90.6328125" style="44" bestFit="1" customWidth="1"/>
    <col min="941" max="941" width="89.453125" style="44" bestFit="1" customWidth="1"/>
    <col min="942" max="942" width="84.6328125" style="44" bestFit="1" customWidth="1"/>
    <col min="943" max="943" width="74.54296875" style="44" bestFit="1" customWidth="1"/>
    <col min="944" max="944" width="76.90625" style="44" bestFit="1" customWidth="1"/>
    <col min="945" max="945" width="83" style="44" bestFit="1" customWidth="1"/>
    <col min="946" max="946" width="85.81640625" style="44" bestFit="1" customWidth="1"/>
    <col min="947" max="947" width="83.7265625" style="44" bestFit="1" customWidth="1"/>
    <col min="948" max="948" width="79.54296875" style="44" bestFit="1" customWidth="1"/>
    <col min="949" max="949" width="80.54296875" style="44" bestFit="1" customWidth="1"/>
    <col min="950" max="950" width="89.54296875" style="44" bestFit="1" customWidth="1"/>
    <col min="951" max="951" width="85.36328125" style="44" bestFit="1" customWidth="1"/>
    <col min="952" max="952" width="61.6328125" style="44" bestFit="1" customWidth="1"/>
    <col min="953" max="953" width="132.54296875" style="44" bestFit="1" customWidth="1"/>
    <col min="954" max="954" width="93.1796875" style="44" bestFit="1" customWidth="1"/>
    <col min="955" max="955" width="91.08984375" style="44" bestFit="1" customWidth="1"/>
    <col min="956" max="956" width="81.7265625" style="44" bestFit="1" customWidth="1"/>
    <col min="957" max="958" width="80.90625" style="44" bestFit="1" customWidth="1"/>
    <col min="959" max="959" width="83.26953125" style="44" bestFit="1" customWidth="1"/>
    <col min="960" max="960" width="101.453125" style="44" bestFit="1" customWidth="1"/>
    <col min="961" max="961" width="110.1796875" style="44" bestFit="1" customWidth="1"/>
    <col min="962" max="962" width="74.6328125" style="44" bestFit="1" customWidth="1"/>
    <col min="963" max="966" width="84.54296875" style="44" bestFit="1" customWidth="1"/>
    <col min="967" max="967" width="74.36328125" style="44" bestFit="1" customWidth="1"/>
    <col min="968" max="968" width="88.1796875" style="44" bestFit="1" customWidth="1"/>
    <col min="969" max="969" width="78.6328125" style="44" bestFit="1" customWidth="1"/>
    <col min="970" max="970" width="76.81640625" style="44" bestFit="1" customWidth="1"/>
    <col min="971" max="971" width="74.7265625" style="44" bestFit="1" customWidth="1"/>
    <col min="972" max="972" width="87.26953125" style="44" bestFit="1" customWidth="1"/>
    <col min="973" max="973" width="85.54296875" style="44" bestFit="1" customWidth="1"/>
    <col min="974" max="974" width="100.26953125" style="44" bestFit="1" customWidth="1"/>
    <col min="975" max="975" width="71.36328125" style="44" bestFit="1" customWidth="1"/>
    <col min="976" max="976" width="105.453125" style="44" bestFit="1" customWidth="1"/>
    <col min="977" max="977" width="103.08984375" style="44" bestFit="1" customWidth="1"/>
    <col min="978" max="978" width="85.7265625" style="44" bestFit="1" customWidth="1"/>
    <col min="979" max="979" width="99.26953125" style="44" bestFit="1" customWidth="1"/>
    <col min="980" max="980" width="83.54296875" style="44" bestFit="1" customWidth="1"/>
    <col min="981" max="981" width="96.90625" style="44" bestFit="1" customWidth="1"/>
    <col min="982" max="982" width="74.26953125" style="44" bestFit="1" customWidth="1"/>
    <col min="983" max="983" width="98.36328125" style="44" bestFit="1" customWidth="1"/>
    <col min="984" max="984" width="74.453125" style="44" bestFit="1" customWidth="1"/>
    <col min="985" max="985" width="88.81640625" style="44" bestFit="1" customWidth="1"/>
    <col min="986" max="986" width="67.6328125" style="44" bestFit="1" customWidth="1"/>
    <col min="987" max="987" width="93.08984375" style="44" bestFit="1" customWidth="1"/>
    <col min="988" max="988" width="101.453125" style="44" bestFit="1" customWidth="1"/>
    <col min="989" max="991" width="76.81640625" style="44" bestFit="1" customWidth="1"/>
    <col min="992" max="992" width="87.08984375" style="44" bestFit="1" customWidth="1"/>
    <col min="993" max="993" width="72.453125" style="44" bestFit="1" customWidth="1"/>
    <col min="994" max="994" width="87.81640625" style="44" bestFit="1" customWidth="1"/>
    <col min="995" max="995" width="71.7265625" style="44" bestFit="1" customWidth="1"/>
    <col min="996" max="996" width="74" style="44" bestFit="1" customWidth="1"/>
    <col min="997" max="997" width="74.08984375" style="44" bestFit="1" customWidth="1"/>
    <col min="998" max="1000" width="86.81640625" style="44" bestFit="1" customWidth="1"/>
    <col min="1001" max="1001" width="104.7265625" style="44" bestFit="1" customWidth="1"/>
    <col min="1002" max="1002" width="101.81640625" style="44" bestFit="1" customWidth="1"/>
    <col min="1003" max="1003" width="64.453125" style="44" bestFit="1" customWidth="1"/>
    <col min="1004" max="1004" width="65.1796875" style="44" bestFit="1" customWidth="1"/>
    <col min="1005" max="1005" width="72.453125" style="44" bestFit="1" customWidth="1"/>
    <col min="1006" max="1006" width="81.36328125" style="44" bestFit="1" customWidth="1"/>
    <col min="1007" max="1007" width="65.1796875" style="44" bestFit="1" customWidth="1"/>
    <col min="1008" max="1008" width="80.90625" style="44" bestFit="1" customWidth="1"/>
    <col min="1009" max="1009" width="71.7265625" style="44" bestFit="1" customWidth="1"/>
    <col min="1010" max="1010" width="73.6328125" style="44" bestFit="1" customWidth="1"/>
    <col min="1011" max="1012" width="85.36328125" style="44" bestFit="1" customWidth="1"/>
    <col min="1013" max="1013" width="92.26953125" style="44" bestFit="1" customWidth="1"/>
    <col min="1014" max="1014" width="106.1796875" style="44" bestFit="1" customWidth="1"/>
    <col min="1015" max="1015" width="86.6328125" style="44" bestFit="1" customWidth="1"/>
    <col min="1016" max="1017" width="68.90625" style="44" bestFit="1" customWidth="1"/>
    <col min="1018" max="1018" width="80.54296875" style="44" bestFit="1" customWidth="1"/>
    <col min="1019" max="1019" width="68.90625" style="44" bestFit="1" customWidth="1"/>
    <col min="1020" max="1020" width="79.1796875" style="44" bestFit="1" customWidth="1"/>
    <col min="1021" max="1021" width="79.26953125" style="44" bestFit="1" customWidth="1"/>
    <col min="1022" max="1022" width="80.1796875" style="44" bestFit="1" customWidth="1"/>
    <col min="1023" max="1023" width="84.81640625" style="44" bestFit="1" customWidth="1"/>
    <col min="1024" max="1024" width="76.81640625" style="44" bestFit="1" customWidth="1"/>
    <col min="1025" max="1025" width="7.90625" style="44" bestFit="1" customWidth="1"/>
    <col min="1026" max="1026" width="132.54296875" style="44" bestFit="1" customWidth="1"/>
    <col min="1027" max="1027" width="45.36328125" style="44" bestFit="1" customWidth="1"/>
    <col min="1028" max="1028" width="14.08984375" style="44" bestFit="1" customWidth="1"/>
    <col min="1029" max="1030" width="8.7265625" style="44"/>
    <col min="1031" max="1031" width="49.7265625" style="44" bestFit="1" customWidth="1"/>
    <col min="1032" max="1032" width="7.90625" style="44" bestFit="1" customWidth="1"/>
    <col min="1033" max="1033" width="7.81640625" style="44" bestFit="1" customWidth="1"/>
    <col min="1034" max="1045" width="8.81640625" style="44" bestFit="1" customWidth="1"/>
    <col min="1046" max="1046" width="10.81640625" style="44" bestFit="1" customWidth="1"/>
    <col min="1047" max="1047" width="93.36328125" style="44" bestFit="1" customWidth="1"/>
    <col min="1048" max="1048" width="87.6328125" style="44" bestFit="1" customWidth="1"/>
    <col min="1049" max="1049" width="69.26953125" style="44" bestFit="1" customWidth="1"/>
    <col min="1050" max="1050" width="68.54296875" style="44" bestFit="1" customWidth="1"/>
    <col min="1051" max="1051" width="67.6328125" style="44" bestFit="1" customWidth="1"/>
    <col min="1052" max="1052" width="64" style="44" bestFit="1" customWidth="1"/>
    <col min="1053" max="1053" width="43.81640625" style="44" bestFit="1" customWidth="1"/>
    <col min="1054" max="1054" width="39.81640625" style="44" bestFit="1" customWidth="1"/>
    <col min="1055" max="1055" width="85.26953125" style="44" bestFit="1" customWidth="1"/>
    <col min="1056" max="1056" width="84.08984375" style="44" bestFit="1" customWidth="1"/>
    <col min="1057" max="1057" width="91" style="44" bestFit="1" customWidth="1"/>
    <col min="1058" max="1058" width="79" style="44" bestFit="1" customWidth="1"/>
    <col min="1059" max="1059" width="89.90625" style="44" bestFit="1" customWidth="1"/>
    <col min="1060" max="1066" width="90.90625" style="44" bestFit="1" customWidth="1"/>
    <col min="1067" max="1067" width="91.90625" style="44" bestFit="1" customWidth="1"/>
    <col min="1068" max="1068" width="73.08984375" style="44" bestFit="1" customWidth="1"/>
    <col min="1069" max="1069" width="61.1796875" style="44" bestFit="1" customWidth="1"/>
    <col min="1070" max="1070" width="94.1796875" style="44" bestFit="1" customWidth="1"/>
    <col min="1071" max="1071" width="84.453125" style="44" bestFit="1" customWidth="1"/>
    <col min="1072" max="1072" width="86.81640625" style="44" bestFit="1" customWidth="1"/>
    <col min="1073" max="1073" width="90.08984375" style="44" bestFit="1" customWidth="1"/>
    <col min="1074" max="1074" width="86.7265625" style="44" bestFit="1" customWidth="1"/>
    <col min="1075" max="1075" width="87.6328125" style="44" bestFit="1" customWidth="1"/>
    <col min="1076" max="1078" width="97.6328125" style="44" bestFit="1" customWidth="1"/>
    <col min="1079" max="1079" width="72.54296875" style="44" bestFit="1" customWidth="1"/>
    <col min="1080" max="1080" width="73.6328125" style="44" bestFit="1" customWidth="1"/>
    <col min="1081" max="1081" width="58.6328125" style="44" bestFit="1" customWidth="1"/>
    <col min="1082" max="1083" width="74.08984375" style="44" bestFit="1" customWidth="1"/>
    <col min="1084" max="1084" width="75.54296875" style="44" bestFit="1" customWidth="1"/>
    <col min="1085" max="1085" width="92" style="44" bestFit="1" customWidth="1"/>
    <col min="1086" max="1086" width="93.54296875" style="44" bestFit="1" customWidth="1"/>
    <col min="1087" max="1088" width="75.54296875" style="44" bestFit="1" customWidth="1"/>
    <col min="1089" max="1089" width="78.08984375" style="44" bestFit="1" customWidth="1"/>
    <col min="1090" max="1090" width="70" style="44" bestFit="1" customWidth="1"/>
    <col min="1091" max="1091" width="84.81640625" style="44" bestFit="1" customWidth="1"/>
    <col min="1092" max="1092" width="93" style="44" bestFit="1" customWidth="1"/>
    <col min="1093" max="1093" width="83.453125" style="44" bestFit="1" customWidth="1"/>
    <col min="1094" max="1094" width="100.90625" style="44" bestFit="1" customWidth="1"/>
    <col min="1095" max="1097" width="64.54296875" style="44" bestFit="1" customWidth="1"/>
    <col min="1098" max="1099" width="82.7265625" style="44" bestFit="1" customWidth="1"/>
    <col min="1100" max="1100" width="99.453125" style="44" bestFit="1" customWidth="1"/>
    <col min="1101" max="1101" width="78.1796875" style="44" bestFit="1" customWidth="1"/>
    <col min="1102" max="1102" width="71.36328125" style="44" bestFit="1" customWidth="1"/>
    <col min="1103" max="1103" width="71.26953125" style="44" bestFit="1" customWidth="1"/>
    <col min="1104" max="1107" width="76.453125" style="44" bestFit="1" customWidth="1"/>
    <col min="1108" max="1108" width="70.54296875" style="44" bestFit="1" customWidth="1"/>
    <col min="1109" max="1109" width="63.36328125" style="44" bestFit="1" customWidth="1"/>
    <col min="1110" max="1110" width="97.81640625" style="44" bestFit="1" customWidth="1"/>
    <col min="1111" max="1112" width="73" style="44" bestFit="1" customWidth="1"/>
    <col min="1113" max="1113" width="79" style="44" bestFit="1" customWidth="1"/>
    <col min="1114" max="1114" width="73" style="44" bestFit="1" customWidth="1"/>
    <col min="1115" max="1115" width="82.1796875" style="44" bestFit="1" customWidth="1"/>
    <col min="1116" max="1116" width="61.453125" style="44" bestFit="1" customWidth="1"/>
    <col min="1117" max="1118" width="99.90625" style="44" bestFit="1" customWidth="1"/>
    <col min="1119" max="1119" width="100.36328125" style="44" bestFit="1" customWidth="1"/>
    <col min="1120" max="1120" width="84.453125" style="44" bestFit="1" customWidth="1"/>
    <col min="1121" max="1121" width="113.36328125" style="44" bestFit="1" customWidth="1"/>
    <col min="1122" max="1122" width="98.453125" style="44" bestFit="1" customWidth="1"/>
    <col min="1123" max="1123" width="99.7265625" style="44" bestFit="1" customWidth="1"/>
    <col min="1124" max="1124" width="99.54296875" style="44" bestFit="1" customWidth="1"/>
    <col min="1125" max="1125" width="96.81640625" style="44" bestFit="1" customWidth="1"/>
    <col min="1126" max="1126" width="94.08984375" style="44" bestFit="1" customWidth="1"/>
    <col min="1127" max="1127" width="100.453125" style="44" bestFit="1" customWidth="1"/>
    <col min="1128" max="1128" width="98.6328125" style="44" bestFit="1" customWidth="1"/>
    <col min="1129" max="1129" width="77.453125" style="44" bestFit="1" customWidth="1"/>
    <col min="1130" max="1130" width="95.1796875" style="44" bestFit="1" customWidth="1"/>
    <col min="1131" max="1131" width="86.6328125" style="44" bestFit="1" customWidth="1"/>
    <col min="1132" max="1132" width="77.26953125" style="44" bestFit="1" customWidth="1"/>
    <col min="1133" max="1133" width="85.1796875" style="44" bestFit="1" customWidth="1"/>
    <col min="1134" max="1134" width="74.7265625" style="44" bestFit="1" customWidth="1"/>
    <col min="1135" max="1135" width="92" style="44" bestFit="1" customWidth="1"/>
    <col min="1136" max="1136" width="72.26953125" style="44" bestFit="1" customWidth="1"/>
    <col min="1137" max="1137" width="97.08984375" style="44" bestFit="1" customWidth="1"/>
    <col min="1138" max="1138" width="77.08984375" style="44" bestFit="1" customWidth="1"/>
    <col min="1139" max="1139" width="85.08984375" style="44" bestFit="1" customWidth="1"/>
    <col min="1140" max="1141" width="83.1796875" style="44" bestFit="1" customWidth="1"/>
    <col min="1142" max="1142" width="82.6328125" style="44" bestFit="1" customWidth="1"/>
    <col min="1143" max="1143" width="86.26953125" style="44" bestFit="1" customWidth="1"/>
    <col min="1144" max="1144" width="71.1796875" style="44" bestFit="1" customWidth="1"/>
    <col min="1145" max="1145" width="66.6328125" style="44" bestFit="1" customWidth="1"/>
    <col min="1146" max="1147" width="83.1796875" style="44" bestFit="1" customWidth="1"/>
    <col min="1148" max="1148" width="67.08984375" style="44" bestFit="1" customWidth="1"/>
    <col min="1149" max="1149" width="76.54296875" style="44" bestFit="1" customWidth="1"/>
    <col min="1150" max="1150" width="94.08984375" style="44" bestFit="1" customWidth="1"/>
    <col min="1151" max="1151" width="89.08984375" style="44" bestFit="1" customWidth="1"/>
    <col min="1152" max="1152" width="68.1796875" style="44" bestFit="1" customWidth="1"/>
    <col min="1153" max="1153" width="91.7265625" style="44" bestFit="1" customWidth="1"/>
    <col min="1154" max="1154" width="63.36328125" style="44" bestFit="1" customWidth="1"/>
    <col min="1155" max="1155" width="66.6328125" style="44" bestFit="1" customWidth="1"/>
    <col min="1156" max="1156" width="63.36328125" style="44" bestFit="1" customWidth="1"/>
    <col min="1157" max="1157" width="63.453125" style="44" bestFit="1" customWidth="1"/>
    <col min="1158" max="1158" width="87.54296875" style="44" bestFit="1" customWidth="1"/>
    <col min="1159" max="1159" width="93.81640625" style="44" bestFit="1" customWidth="1"/>
    <col min="1160" max="1160" width="66.453125" style="44" bestFit="1" customWidth="1"/>
    <col min="1161" max="1162" width="110" style="44" bestFit="1" customWidth="1"/>
    <col min="1163" max="1163" width="103.1796875" style="44" bestFit="1" customWidth="1"/>
    <col min="1164" max="1164" width="62.453125" style="44" bestFit="1" customWidth="1"/>
    <col min="1165" max="1165" width="77.453125" style="44" bestFit="1" customWidth="1"/>
    <col min="1166" max="1166" width="91.54296875" style="44" bestFit="1" customWidth="1"/>
    <col min="1167" max="1167" width="88.08984375" style="44" bestFit="1" customWidth="1"/>
    <col min="1168" max="1168" width="80.6328125" style="44" bestFit="1" customWidth="1"/>
    <col min="1169" max="1169" width="77.453125" style="44" bestFit="1" customWidth="1"/>
    <col min="1170" max="1170" width="85.1796875" style="44" bestFit="1" customWidth="1"/>
    <col min="1171" max="1174" width="72.36328125" style="44" bestFit="1" customWidth="1"/>
    <col min="1175" max="1176" width="95" style="44" bestFit="1" customWidth="1"/>
    <col min="1177" max="1177" width="64.08984375" style="44" bestFit="1" customWidth="1"/>
    <col min="1178" max="1178" width="110.08984375" style="44" bestFit="1" customWidth="1"/>
    <col min="1179" max="1179" width="86.36328125" style="44" bestFit="1" customWidth="1"/>
    <col min="1180" max="1180" width="89.36328125" style="44" bestFit="1" customWidth="1"/>
    <col min="1181" max="1181" width="89.81640625" style="44" bestFit="1" customWidth="1"/>
    <col min="1182" max="1182" width="64.26953125" style="44" bestFit="1" customWidth="1"/>
    <col min="1183" max="1183" width="85.7265625" style="44" bestFit="1" customWidth="1"/>
    <col min="1184" max="1184" width="73" style="44" bestFit="1" customWidth="1"/>
    <col min="1185" max="1185" width="92.7265625" style="44" bestFit="1" customWidth="1"/>
    <col min="1186" max="1186" width="92.36328125" style="44" bestFit="1" customWidth="1"/>
    <col min="1187" max="1187" width="72" style="44" bestFit="1" customWidth="1"/>
    <col min="1188" max="1188" width="82" style="44" bestFit="1" customWidth="1"/>
    <col min="1189" max="1189" width="79.36328125" style="44" bestFit="1" customWidth="1"/>
    <col min="1190" max="1190" width="81" style="44" bestFit="1" customWidth="1"/>
    <col min="1191" max="1191" width="72.90625" style="44" bestFit="1" customWidth="1"/>
    <col min="1192" max="1192" width="90.81640625" style="44" bestFit="1" customWidth="1"/>
    <col min="1193" max="1193" width="84" style="44" bestFit="1" customWidth="1"/>
    <col min="1194" max="1195" width="73.36328125" style="44" bestFit="1" customWidth="1"/>
    <col min="1196" max="1196" width="90.6328125" style="44" bestFit="1" customWidth="1"/>
    <col min="1197" max="1197" width="89.453125" style="44" bestFit="1" customWidth="1"/>
    <col min="1198" max="1198" width="84.6328125" style="44" bestFit="1" customWidth="1"/>
    <col min="1199" max="1199" width="74.54296875" style="44" bestFit="1" customWidth="1"/>
    <col min="1200" max="1200" width="76.90625" style="44" bestFit="1" customWidth="1"/>
    <col min="1201" max="1201" width="83" style="44" bestFit="1" customWidth="1"/>
    <col min="1202" max="1202" width="85.81640625" style="44" bestFit="1" customWidth="1"/>
    <col min="1203" max="1203" width="83.7265625" style="44" bestFit="1" customWidth="1"/>
    <col min="1204" max="1204" width="79.54296875" style="44" bestFit="1" customWidth="1"/>
    <col min="1205" max="1205" width="80.54296875" style="44" bestFit="1" customWidth="1"/>
    <col min="1206" max="1206" width="89.54296875" style="44" bestFit="1" customWidth="1"/>
    <col min="1207" max="1207" width="85.36328125" style="44" bestFit="1" customWidth="1"/>
    <col min="1208" max="1208" width="61.6328125" style="44" bestFit="1" customWidth="1"/>
    <col min="1209" max="1209" width="132.54296875" style="44" bestFit="1" customWidth="1"/>
    <col min="1210" max="1210" width="93.1796875" style="44" bestFit="1" customWidth="1"/>
    <col min="1211" max="1211" width="91.08984375" style="44" bestFit="1" customWidth="1"/>
    <col min="1212" max="1212" width="81.7265625" style="44" bestFit="1" customWidth="1"/>
    <col min="1213" max="1214" width="80.90625" style="44" bestFit="1" customWidth="1"/>
    <col min="1215" max="1215" width="83.26953125" style="44" bestFit="1" customWidth="1"/>
    <col min="1216" max="1216" width="101.453125" style="44" bestFit="1" customWidth="1"/>
    <col min="1217" max="1217" width="110.1796875" style="44" bestFit="1" customWidth="1"/>
    <col min="1218" max="1218" width="74.6328125" style="44" bestFit="1" customWidth="1"/>
    <col min="1219" max="1222" width="84.54296875" style="44" bestFit="1" customWidth="1"/>
    <col min="1223" max="1223" width="74.36328125" style="44" bestFit="1" customWidth="1"/>
    <col min="1224" max="1224" width="88.1796875" style="44" bestFit="1" customWidth="1"/>
    <col min="1225" max="1225" width="78.6328125" style="44" bestFit="1" customWidth="1"/>
    <col min="1226" max="1226" width="76.81640625" style="44" bestFit="1" customWidth="1"/>
    <col min="1227" max="1227" width="74.7265625" style="44" bestFit="1" customWidth="1"/>
    <col min="1228" max="1228" width="87.26953125" style="44" bestFit="1" customWidth="1"/>
    <col min="1229" max="1229" width="85.54296875" style="44" bestFit="1" customWidth="1"/>
    <col min="1230" max="1230" width="100.26953125" style="44" bestFit="1" customWidth="1"/>
    <col min="1231" max="1231" width="71.36328125" style="44" bestFit="1" customWidth="1"/>
    <col min="1232" max="1232" width="105.453125" style="44" bestFit="1" customWidth="1"/>
    <col min="1233" max="1233" width="103.08984375" style="44" bestFit="1" customWidth="1"/>
    <col min="1234" max="1234" width="85.7265625" style="44" bestFit="1" customWidth="1"/>
    <col min="1235" max="1235" width="99.26953125" style="44" bestFit="1" customWidth="1"/>
    <col min="1236" max="1236" width="83.54296875" style="44" bestFit="1" customWidth="1"/>
    <col min="1237" max="1237" width="96.90625" style="44" bestFit="1" customWidth="1"/>
    <col min="1238" max="1238" width="74.26953125" style="44" bestFit="1" customWidth="1"/>
    <col min="1239" max="1239" width="98.36328125" style="44" bestFit="1" customWidth="1"/>
    <col min="1240" max="1240" width="74.453125" style="44" bestFit="1" customWidth="1"/>
    <col min="1241" max="1241" width="88.81640625" style="44" bestFit="1" customWidth="1"/>
    <col min="1242" max="1242" width="67.6328125" style="44" bestFit="1" customWidth="1"/>
    <col min="1243" max="1243" width="93.08984375" style="44" bestFit="1" customWidth="1"/>
    <col min="1244" max="1244" width="101.453125" style="44" bestFit="1" customWidth="1"/>
    <col min="1245" max="1247" width="76.81640625" style="44" bestFit="1" customWidth="1"/>
    <col min="1248" max="1248" width="87.08984375" style="44" bestFit="1" customWidth="1"/>
    <col min="1249" max="1249" width="72.453125" style="44" bestFit="1" customWidth="1"/>
    <col min="1250" max="1250" width="87.81640625" style="44" bestFit="1" customWidth="1"/>
    <col min="1251" max="1251" width="71.7265625" style="44" bestFit="1" customWidth="1"/>
    <col min="1252" max="1252" width="74" style="44" bestFit="1" customWidth="1"/>
    <col min="1253" max="1253" width="74.08984375" style="44" bestFit="1" customWidth="1"/>
    <col min="1254" max="1256" width="86.81640625" style="44" bestFit="1" customWidth="1"/>
    <col min="1257" max="1257" width="104.7265625" style="44" bestFit="1" customWidth="1"/>
    <col min="1258" max="1258" width="101.81640625" style="44" bestFit="1" customWidth="1"/>
    <col min="1259" max="1259" width="64.453125" style="44" bestFit="1" customWidth="1"/>
    <col min="1260" max="1260" width="65.1796875" style="44" bestFit="1" customWidth="1"/>
    <col min="1261" max="1261" width="72.453125" style="44" bestFit="1" customWidth="1"/>
    <col min="1262" max="1262" width="81.36328125" style="44" bestFit="1" customWidth="1"/>
    <col min="1263" max="1263" width="65.1796875" style="44" bestFit="1" customWidth="1"/>
    <col min="1264" max="1264" width="80.90625" style="44" bestFit="1" customWidth="1"/>
    <col min="1265" max="1265" width="71.7265625" style="44" bestFit="1" customWidth="1"/>
    <col min="1266" max="1266" width="73.6328125" style="44" bestFit="1" customWidth="1"/>
    <col min="1267" max="1268" width="85.36328125" style="44" bestFit="1" customWidth="1"/>
    <col min="1269" max="1269" width="92.26953125" style="44" bestFit="1" customWidth="1"/>
    <col min="1270" max="1270" width="106.1796875" style="44" bestFit="1" customWidth="1"/>
    <col min="1271" max="1271" width="86.6328125" style="44" bestFit="1" customWidth="1"/>
    <col min="1272" max="1273" width="68.90625" style="44" bestFit="1" customWidth="1"/>
    <col min="1274" max="1274" width="80.54296875" style="44" bestFit="1" customWidth="1"/>
    <col min="1275" max="1275" width="68.90625" style="44" bestFit="1" customWidth="1"/>
    <col min="1276" max="1276" width="79.1796875" style="44" bestFit="1" customWidth="1"/>
    <col min="1277" max="1277" width="79.26953125" style="44" bestFit="1" customWidth="1"/>
    <col min="1278" max="1278" width="80.1796875" style="44" bestFit="1" customWidth="1"/>
    <col min="1279" max="1279" width="84.81640625" style="44" bestFit="1" customWidth="1"/>
    <col min="1280" max="1280" width="76.81640625" style="44" bestFit="1" customWidth="1"/>
    <col min="1281" max="1281" width="7.90625" style="44" bestFit="1" customWidth="1"/>
    <col min="1282" max="1282" width="132.54296875" style="44" bestFit="1" customWidth="1"/>
    <col min="1283" max="1283" width="45.36328125" style="44" bestFit="1" customWidth="1"/>
    <col min="1284" max="1284" width="14.08984375" style="44" bestFit="1" customWidth="1"/>
    <col min="1285" max="1286" width="8.7265625" style="44"/>
    <col min="1287" max="1287" width="49.7265625" style="44" bestFit="1" customWidth="1"/>
    <col min="1288" max="1288" width="7.90625" style="44" bestFit="1" customWidth="1"/>
    <col min="1289" max="1289" width="7.81640625" style="44" bestFit="1" customWidth="1"/>
    <col min="1290" max="1301" width="8.81640625" style="44" bestFit="1" customWidth="1"/>
    <col min="1302" max="1302" width="10.81640625" style="44" bestFit="1" customWidth="1"/>
    <col min="1303" max="1303" width="93.36328125" style="44" bestFit="1" customWidth="1"/>
    <col min="1304" max="1304" width="87.6328125" style="44" bestFit="1" customWidth="1"/>
    <col min="1305" max="1305" width="69.26953125" style="44" bestFit="1" customWidth="1"/>
    <col min="1306" max="1306" width="68.54296875" style="44" bestFit="1" customWidth="1"/>
    <col min="1307" max="1307" width="67.6328125" style="44" bestFit="1" customWidth="1"/>
    <col min="1308" max="1308" width="64" style="44" bestFit="1" customWidth="1"/>
    <col min="1309" max="1309" width="43.81640625" style="44" bestFit="1" customWidth="1"/>
    <col min="1310" max="1310" width="39.81640625" style="44" bestFit="1" customWidth="1"/>
    <col min="1311" max="1311" width="85.26953125" style="44" bestFit="1" customWidth="1"/>
    <col min="1312" max="1312" width="84.08984375" style="44" bestFit="1" customWidth="1"/>
    <col min="1313" max="1313" width="91" style="44" bestFit="1" customWidth="1"/>
    <col min="1314" max="1314" width="79" style="44" bestFit="1" customWidth="1"/>
    <col min="1315" max="1315" width="89.90625" style="44" bestFit="1" customWidth="1"/>
    <col min="1316" max="1322" width="90.90625" style="44" bestFit="1" customWidth="1"/>
    <col min="1323" max="1323" width="91.90625" style="44" bestFit="1" customWidth="1"/>
    <col min="1324" max="1324" width="73.08984375" style="44" bestFit="1" customWidth="1"/>
    <col min="1325" max="1325" width="61.1796875" style="44" bestFit="1" customWidth="1"/>
    <col min="1326" max="1326" width="94.1796875" style="44" bestFit="1" customWidth="1"/>
    <col min="1327" max="1327" width="84.453125" style="44" bestFit="1" customWidth="1"/>
    <col min="1328" max="1328" width="86.81640625" style="44" bestFit="1" customWidth="1"/>
    <col min="1329" max="1329" width="90.08984375" style="44" bestFit="1" customWidth="1"/>
    <col min="1330" max="1330" width="86.7265625" style="44" bestFit="1" customWidth="1"/>
    <col min="1331" max="1331" width="87.6328125" style="44" bestFit="1" customWidth="1"/>
    <col min="1332" max="1334" width="97.6328125" style="44" bestFit="1" customWidth="1"/>
    <col min="1335" max="1335" width="72.54296875" style="44" bestFit="1" customWidth="1"/>
    <col min="1336" max="1336" width="73.6328125" style="44" bestFit="1" customWidth="1"/>
    <col min="1337" max="1337" width="58.6328125" style="44" bestFit="1" customWidth="1"/>
    <col min="1338" max="1339" width="74.08984375" style="44" bestFit="1" customWidth="1"/>
    <col min="1340" max="1340" width="75.54296875" style="44" bestFit="1" customWidth="1"/>
    <col min="1341" max="1341" width="92" style="44" bestFit="1" customWidth="1"/>
    <col min="1342" max="1342" width="93.54296875" style="44" bestFit="1" customWidth="1"/>
    <col min="1343" max="1344" width="75.54296875" style="44" bestFit="1" customWidth="1"/>
    <col min="1345" max="1345" width="78.08984375" style="44" bestFit="1" customWidth="1"/>
    <col min="1346" max="1346" width="70" style="44" bestFit="1" customWidth="1"/>
    <col min="1347" max="1347" width="84.81640625" style="44" bestFit="1" customWidth="1"/>
    <col min="1348" max="1348" width="93" style="44" bestFit="1" customWidth="1"/>
    <col min="1349" max="1349" width="83.453125" style="44" bestFit="1" customWidth="1"/>
    <col min="1350" max="1350" width="100.90625" style="44" bestFit="1" customWidth="1"/>
    <col min="1351" max="1353" width="64.54296875" style="44" bestFit="1" customWidth="1"/>
    <col min="1354" max="1355" width="82.7265625" style="44" bestFit="1" customWidth="1"/>
    <col min="1356" max="1356" width="99.453125" style="44" bestFit="1" customWidth="1"/>
    <col min="1357" max="1357" width="78.1796875" style="44" bestFit="1" customWidth="1"/>
    <col min="1358" max="1358" width="71.36328125" style="44" bestFit="1" customWidth="1"/>
    <col min="1359" max="1359" width="71.26953125" style="44" bestFit="1" customWidth="1"/>
    <col min="1360" max="1363" width="76.453125" style="44" bestFit="1" customWidth="1"/>
    <col min="1364" max="1364" width="70.54296875" style="44" bestFit="1" customWidth="1"/>
    <col min="1365" max="1365" width="63.36328125" style="44" bestFit="1" customWidth="1"/>
    <col min="1366" max="1366" width="97.81640625" style="44" bestFit="1" customWidth="1"/>
    <col min="1367" max="1368" width="73" style="44" bestFit="1" customWidth="1"/>
    <col min="1369" max="1369" width="79" style="44" bestFit="1" customWidth="1"/>
    <col min="1370" max="1370" width="73" style="44" bestFit="1" customWidth="1"/>
    <col min="1371" max="1371" width="82.1796875" style="44" bestFit="1" customWidth="1"/>
    <col min="1372" max="1372" width="61.453125" style="44" bestFit="1" customWidth="1"/>
    <col min="1373" max="1374" width="99.90625" style="44" bestFit="1" customWidth="1"/>
    <col min="1375" max="1375" width="100.36328125" style="44" bestFit="1" customWidth="1"/>
    <col min="1376" max="1376" width="84.453125" style="44" bestFit="1" customWidth="1"/>
    <col min="1377" max="1377" width="113.36328125" style="44" bestFit="1" customWidth="1"/>
    <col min="1378" max="1378" width="98.453125" style="44" bestFit="1" customWidth="1"/>
    <col min="1379" max="1379" width="99.7265625" style="44" bestFit="1" customWidth="1"/>
    <col min="1380" max="1380" width="99.54296875" style="44" bestFit="1" customWidth="1"/>
    <col min="1381" max="1381" width="96.81640625" style="44" bestFit="1" customWidth="1"/>
    <col min="1382" max="1382" width="94.08984375" style="44" bestFit="1" customWidth="1"/>
    <col min="1383" max="1383" width="100.453125" style="44" bestFit="1" customWidth="1"/>
    <col min="1384" max="1384" width="98.6328125" style="44" bestFit="1" customWidth="1"/>
    <col min="1385" max="1385" width="77.453125" style="44" bestFit="1" customWidth="1"/>
    <col min="1386" max="1386" width="95.1796875" style="44" bestFit="1" customWidth="1"/>
    <col min="1387" max="1387" width="86.6328125" style="44" bestFit="1" customWidth="1"/>
    <col min="1388" max="1388" width="77.26953125" style="44" bestFit="1" customWidth="1"/>
    <col min="1389" max="1389" width="85.1796875" style="44" bestFit="1" customWidth="1"/>
    <col min="1390" max="1390" width="74.7265625" style="44" bestFit="1" customWidth="1"/>
    <col min="1391" max="1391" width="92" style="44" bestFit="1" customWidth="1"/>
    <col min="1392" max="1392" width="72.26953125" style="44" bestFit="1" customWidth="1"/>
    <col min="1393" max="1393" width="97.08984375" style="44" bestFit="1" customWidth="1"/>
    <col min="1394" max="1394" width="77.08984375" style="44" bestFit="1" customWidth="1"/>
    <col min="1395" max="1395" width="85.08984375" style="44" bestFit="1" customWidth="1"/>
    <col min="1396" max="1397" width="83.1796875" style="44" bestFit="1" customWidth="1"/>
    <col min="1398" max="1398" width="82.6328125" style="44" bestFit="1" customWidth="1"/>
    <col min="1399" max="1399" width="86.26953125" style="44" bestFit="1" customWidth="1"/>
    <col min="1400" max="1400" width="71.1796875" style="44" bestFit="1" customWidth="1"/>
    <col min="1401" max="1401" width="66.6328125" style="44" bestFit="1" customWidth="1"/>
    <col min="1402" max="1403" width="83.1796875" style="44" bestFit="1" customWidth="1"/>
    <col min="1404" max="1404" width="67.08984375" style="44" bestFit="1" customWidth="1"/>
    <col min="1405" max="1405" width="76.54296875" style="44" bestFit="1" customWidth="1"/>
    <col min="1406" max="1406" width="94.08984375" style="44" bestFit="1" customWidth="1"/>
    <col min="1407" max="1407" width="89.08984375" style="44" bestFit="1" customWidth="1"/>
    <col min="1408" max="1408" width="68.1796875" style="44" bestFit="1" customWidth="1"/>
    <col min="1409" max="1409" width="91.7265625" style="44" bestFit="1" customWidth="1"/>
    <col min="1410" max="1410" width="63.36328125" style="44" bestFit="1" customWidth="1"/>
    <col min="1411" max="1411" width="66.6328125" style="44" bestFit="1" customWidth="1"/>
    <col min="1412" max="1412" width="63.36328125" style="44" bestFit="1" customWidth="1"/>
    <col min="1413" max="1413" width="63.453125" style="44" bestFit="1" customWidth="1"/>
    <col min="1414" max="1414" width="87.54296875" style="44" bestFit="1" customWidth="1"/>
    <col min="1415" max="1415" width="93.81640625" style="44" bestFit="1" customWidth="1"/>
    <col min="1416" max="1416" width="66.453125" style="44" bestFit="1" customWidth="1"/>
    <col min="1417" max="1418" width="110" style="44" bestFit="1" customWidth="1"/>
    <col min="1419" max="1419" width="103.1796875" style="44" bestFit="1" customWidth="1"/>
    <col min="1420" max="1420" width="62.453125" style="44" bestFit="1" customWidth="1"/>
    <col min="1421" max="1421" width="77.453125" style="44" bestFit="1" customWidth="1"/>
    <col min="1422" max="1422" width="91.54296875" style="44" bestFit="1" customWidth="1"/>
    <col min="1423" max="1423" width="88.08984375" style="44" bestFit="1" customWidth="1"/>
    <col min="1424" max="1424" width="80.6328125" style="44" bestFit="1" customWidth="1"/>
    <col min="1425" max="1425" width="77.453125" style="44" bestFit="1" customWidth="1"/>
    <col min="1426" max="1426" width="85.1796875" style="44" bestFit="1" customWidth="1"/>
    <col min="1427" max="1430" width="72.36328125" style="44" bestFit="1" customWidth="1"/>
    <col min="1431" max="1432" width="95" style="44" bestFit="1" customWidth="1"/>
    <col min="1433" max="1433" width="64.08984375" style="44" bestFit="1" customWidth="1"/>
    <col min="1434" max="1434" width="110.08984375" style="44" bestFit="1" customWidth="1"/>
    <col min="1435" max="1435" width="86.36328125" style="44" bestFit="1" customWidth="1"/>
    <col min="1436" max="1436" width="89.36328125" style="44" bestFit="1" customWidth="1"/>
    <col min="1437" max="1437" width="89.81640625" style="44" bestFit="1" customWidth="1"/>
    <col min="1438" max="1438" width="64.26953125" style="44" bestFit="1" customWidth="1"/>
    <col min="1439" max="1439" width="85.7265625" style="44" bestFit="1" customWidth="1"/>
    <col min="1440" max="1440" width="73" style="44" bestFit="1" customWidth="1"/>
    <col min="1441" max="1441" width="92.7265625" style="44" bestFit="1" customWidth="1"/>
    <col min="1442" max="1442" width="92.36328125" style="44" bestFit="1" customWidth="1"/>
    <col min="1443" max="1443" width="72" style="44" bestFit="1" customWidth="1"/>
    <col min="1444" max="1444" width="82" style="44" bestFit="1" customWidth="1"/>
    <col min="1445" max="1445" width="79.36328125" style="44" bestFit="1" customWidth="1"/>
    <col min="1446" max="1446" width="81" style="44" bestFit="1" customWidth="1"/>
    <col min="1447" max="1447" width="72.90625" style="44" bestFit="1" customWidth="1"/>
    <col min="1448" max="1448" width="90.81640625" style="44" bestFit="1" customWidth="1"/>
    <col min="1449" max="1449" width="84" style="44" bestFit="1" customWidth="1"/>
    <col min="1450" max="1451" width="73.36328125" style="44" bestFit="1" customWidth="1"/>
    <col min="1452" max="1452" width="90.6328125" style="44" bestFit="1" customWidth="1"/>
    <col min="1453" max="1453" width="89.453125" style="44" bestFit="1" customWidth="1"/>
    <col min="1454" max="1454" width="84.6328125" style="44" bestFit="1" customWidth="1"/>
    <col min="1455" max="1455" width="74.54296875" style="44" bestFit="1" customWidth="1"/>
    <col min="1456" max="1456" width="76.90625" style="44" bestFit="1" customWidth="1"/>
    <col min="1457" max="1457" width="83" style="44" bestFit="1" customWidth="1"/>
    <col min="1458" max="1458" width="85.81640625" style="44" bestFit="1" customWidth="1"/>
    <col min="1459" max="1459" width="83.7265625" style="44" bestFit="1" customWidth="1"/>
    <col min="1460" max="1460" width="79.54296875" style="44" bestFit="1" customWidth="1"/>
    <col min="1461" max="1461" width="80.54296875" style="44" bestFit="1" customWidth="1"/>
    <col min="1462" max="1462" width="89.54296875" style="44" bestFit="1" customWidth="1"/>
    <col min="1463" max="1463" width="85.36328125" style="44" bestFit="1" customWidth="1"/>
    <col min="1464" max="1464" width="61.6328125" style="44" bestFit="1" customWidth="1"/>
    <col min="1465" max="1465" width="132.54296875" style="44" bestFit="1" customWidth="1"/>
    <col min="1466" max="1466" width="93.1796875" style="44" bestFit="1" customWidth="1"/>
    <col min="1467" max="1467" width="91.08984375" style="44" bestFit="1" customWidth="1"/>
    <col min="1468" max="1468" width="81.7265625" style="44" bestFit="1" customWidth="1"/>
    <col min="1469" max="1470" width="80.90625" style="44" bestFit="1" customWidth="1"/>
    <col min="1471" max="1471" width="83.26953125" style="44" bestFit="1" customWidth="1"/>
    <col min="1472" max="1472" width="101.453125" style="44" bestFit="1" customWidth="1"/>
    <col min="1473" max="1473" width="110.1796875" style="44" bestFit="1" customWidth="1"/>
    <col min="1474" max="1474" width="74.6328125" style="44" bestFit="1" customWidth="1"/>
    <col min="1475" max="1478" width="84.54296875" style="44" bestFit="1" customWidth="1"/>
    <col min="1479" max="1479" width="74.36328125" style="44" bestFit="1" customWidth="1"/>
    <col min="1480" max="1480" width="88.1796875" style="44" bestFit="1" customWidth="1"/>
    <col min="1481" max="1481" width="78.6328125" style="44" bestFit="1" customWidth="1"/>
    <col min="1482" max="1482" width="76.81640625" style="44" bestFit="1" customWidth="1"/>
    <col min="1483" max="1483" width="74.7265625" style="44" bestFit="1" customWidth="1"/>
    <col min="1484" max="1484" width="87.26953125" style="44" bestFit="1" customWidth="1"/>
    <col min="1485" max="1485" width="85.54296875" style="44" bestFit="1" customWidth="1"/>
    <col min="1486" max="1486" width="100.26953125" style="44" bestFit="1" customWidth="1"/>
    <col min="1487" max="1487" width="71.36328125" style="44" bestFit="1" customWidth="1"/>
    <col min="1488" max="1488" width="105.453125" style="44" bestFit="1" customWidth="1"/>
    <col min="1489" max="1489" width="103.08984375" style="44" bestFit="1" customWidth="1"/>
    <col min="1490" max="1490" width="85.7265625" style="44" bestFit="1" customWidth="1"/>
    <col min="1491" max="1491" width="99.26953125" style="44" bestFit="1" customWidth="1"/>
    <col min="1492" max="1492" width="83.54296875" style="44" bestFit="1" customWidth="1"/>
    <col min="1493" max="1493" width="96.90625" style="44" bestFit="1" customWidth="1"/>
    <col min="1494" max="1494" width="74.26953125" style="44" bestFit="1" customWidth="1"/>
    <col min="1495" max="1495" width="98.36328125" style="44" bestFit="1" customWidth="1"/>
    <col min="1496" max="1496" width="74.453125" style="44" bestFit="1" customWidth="1"/>
    <col min="1497" max="1497" width="88.81640625" style="44" bestFit="1" customWidth="1"/>
    <col min="1498" max="1498" width="67.6328125" style="44" bestFit="1" customWidth="1"/>
    <col min="1499" max="1499" width="93.08984375" style="44" bestFit="1" customWidth="1"/>
    <col min="1500" max="1500" width="101.453125" style="44" bestFit="1" customWidth="1"/>
    <col min="1501" max="1503" width="76.81640625" style="44" bestFit="1" customWidth="1"/>
    <col min="1504" max="1504" width="87.08984375" style="44" bestFit="1" customWidth="1"/>
    <col min="1505" max="1505" width="72.453125" style="44" bestFit="1" customWidth="1"/>
    <col min="1506" max="1506" width="87.81640625" style="44" bestFit="1" customWidth="1"/>
    <col min="1507" max="1507" width="71.7265625" style="44" bestFit="1" customWidth="1"/>
    <col min="1508" max="1508" width="74" style="44" bestFit="1" customWidth="1"/>
    <col min="1509" max="1509" width="74.08984375" style="44" bestFit="1" customWidth="1"/>
    <col min="1510" max="1512" width="86.81640625" style="44" bestFit="1" customWidth="1"/>
    <col min="1513" max="1513" width="104.7265625" style="44" bestFit="1" customWidth="1"/>
    <col min="1514" max="1514" width="101.81640625" style="44" bestFit="1" customWidth="1"/>
    <col min="1515" max="1515" width="64.453125" style="44" bestFit="1" customWidth="1"/>
    <col min="1516" max="1516" width="65.1796875" style="44" bestFit="1" customWidth="1"/>
    <col min="1517" max="1517" width="72.453125" style="44" bestFit="1" customWidth="1"/>
    <col min="1518" max="1518" width="81.36328125" style="44" bestFit="1" customWidth="1"/>
    <col min="1519" max="1519" width="65.1796875" style="44" bestFit="1" customWidth="1"/>
    <col min="1520" max="1520" width="80.90625" style="44" bestFit="1" customWidth="1"/>
    <col min="1521" max="1521" width="71.7265625" style="44" bestFit="1" customWidth="1"/>
    <col min="1522" max="1522" width="73.6328125" style="44" bestFit="1" customWidth="1"/>
    <col min="1523" max="1524" width="85.36328125" style="44" bestFit="1" customWidth="1"/>
    <col min="1525" max="1525" width="92.26953125" style="44" bestFit="1" customWidth="1"/>
    <col min="1526" max="1526" width="106.1796875" style="44" bestFit="1" customWidth="1"/>
    <col min="1527" max="1527" width="86.6328125" style="44" bestFit="1" customWidth="1"/>
    <col min="1528" max="1529" width="68.90625" style="44" bestFit="1" customWidth="1"/>
    <col min="1530" max="1530" width="80.54296875" style="44" bestFit="1" customWidth="1"/>
    <col min="1531" max="1531" width="68.90625" style="44" bestFit="1" customWidth="1"/>
    <col min="1532" max="1532" width="79.1796875" style="44" bestFit="1" customWidth="1"/>
    <col min="1533" max="1533" width="79.26953125" style="44" bestFit="1" customWidth="1"/>
    <col min="1534" max="1534" width="80.1796875" style="44" bestFit="1" customWidth="1"/>
    <col min="1535" max="1535" width="84.81640625" style="44" bestFit="1" customWidth="1"/>
    <col min="1536" max="1536" width="76.81640625" style="44" bestFit="1" customWidth="1"/>
    <col min="1537" max="1537" width="7.90625" style="44" bestFit="1" customWidth="1"/>
    <col min="1538" max="1538" width="132.54296875" style="44" bestFit="1" customWidth="1"/>
    <col min="1539" max="1539" width="45.36328125" style="44" bestFit="1" customWidth="1"/>
    <col min="1540" max="1540" width="14.08984375" style="44" bestFit="1" customWidth="1"/>
    <col min="1541" max="1542" width="8.7265625" style="44"/>
    <col min="1543" max="1543" width="49.7265625" style="44" bestFit="1" customWidth="1"/>
    <col min="1544" max="1544" width="7.90625" style="44" bestFit="1" customWidth="1"/>
    <col min="1545" max="1545" width="7.81640625" style="44" bestFit="1" customWidth="1"/>
    <col min="1546" max="1557" width="8.81640625" style="44" bestFit="1" customWidth="1"/>
    <col min="1558" max="1558" width="10.81640625" style="44" bestFit="1" customWidth="1"/>
    <col min="1559" max="1559" width="93.36328125" style="44" bestFit="1" customWidth="1"/>
    <col min="1560" max="1560" width="87.6328125" style="44" bestFit="1" customWidth="1"/>
    <col min="1561" max="1561" width="69.26953125" style="44" bestFit="1" customWidth="1"/>
    <col min="1562" max="1562" width="68.54296875" style="44" bestFit="1" customWidth="1"/>
    <col min="1563" max="1563" width="67.6328125" style="44" bestFit="1" customWidth="1"/>
    <col min="1564" max="1564" width="64" style="44" bestFit="1" customWidth="1"/>
    <col min="1565" max="1565" width="43.81640625" style="44" bestFit="1" customWidth="1"/>
    <col min="1566" max="1566" width="39.81640625" style="44" bestFit="1" customWidth="1"/>
    <col min="1567" max="1567" width="85.26953125" style="44" bestFit="1" customWidth="1"/>
    <col min="1568" max="1568" width="84.08984375" style="44" bestFit="1" customWidth="1"/>
    <col min="1569" max="1569" width="91" style="44" bestFit="1" customWidth="1"/>
    <col min="1570" max="1570" width="79" style="44" bestFit="1" customWidth="1"/>
    <col min="1571" max="1571" width="89.90625" style="44" bestFit="1" customWidth="1"/>
    <col min="1572" max="1578" width="90.90625" style="44" bestFit="1" customWidth="1"/>
    <col min="1579" max="1579" width="91.90625" style="44" bestFit="1" customWidth="1"/>
    <col min="1580" max="1580" width="73.08984375" style="44" bestFit="1" customWidth="1"/>
    <col min="1581" max="1581" width="61.1796875" style="44" bestFit="1" customWidth="1"/>
    <col min="1582" max="1582" width="94.1796875" style="44" bestFit="1" customWidth="1"/>
    <col min="1583" max="1583" width="84.453125" style="44" bestFit="1" customWidth="1"/>
    <col min="1584" max="1584" width="86.81640625" style="44" bestFit="1" customWidth="1"/>
    <col min="1585" max="1585" width="90.08984375" style="44" bestFit="1" customWidth="1"/>
    <col min="1586" max="1586" width="86.7265625" style="44" bestFit="1" customWidth="1"/>
    <col min="1587" max="1587" width="87.6328125" style="44" bestFit="1" customWidth="1"/>
    <col min="1588" max="1590" width="97.6328125" style="44" bestFit="1" customWidth="1"/>
    <col min="1591" max="1591" width="72.54296875" style="44" bestFit="1" customWidth="1"/>
    <col min="1592" max="1592" width="73.6328125" style="44" bestFit="1" customWidth="1"/>
    <col min="1593" max="1593" width="58.6328125" style="44" bestFit="1" customWidth="1"/>
    <col min="1594" max="1595" width="74.08984375" style="44" bestFit="1" customWidth="1"/>
    <col min="1596" max="1596" width="75.54296875" style="44" bestFit="1" customWidth="1"/>
    <col min="1597" max="1597" width="92" style="44" bestFit="1" customWidth="1"/>
    <col min="1598" max="1598" width="93.54296875" style="44" bestFit="1" customWidth="1"/>
    <col min="1599" max="1600" width="75.54296875" style="44" bestFit="1" customWidth="1"/>
    <col min="1601" max="1601" width="78.08984375" style="44" bestFit="1" customWidth="1"/>
    <col min="1602" max="1602" width="70" style="44" bestFit="1" customWidth="1"/>
    <col min="1603" max="1603" width="84.81640625" style="44" bestFit="1" customWidth="1"/>
    <col min="1604" max="1604" width="93" style="44" bestFit="1" customWidth="1"/>
    <col min="1605" max="1605" width="83.453125" style="44" bestFit="1" customWidth="1"/>
    <col min="1606" max="1606" width="100.90625" style="44" bestFit="1" customWidth="1"/>
    <col min="1607" max="1609" width="64.54296875" style="44" bestFit="1" customWidth="1"/>
    <col min="1610" max="1611" width="82.7265625" style="44" bestFit="1" customWidth="1"/>
    <col min="1612" max="1612" width="99.453125" style="44" bestFit="1" customWidth="1"/>
    <col min="1613" max="1613" width="78.1796875" style="44" bestFit="1" customWidth="1"/>
    <col min="1614" max="1614" width="71.36328125" style="44" bestFit="1" customWidth="1"/>
    <col min="1615" max="1615" width="71.26953125" style="44" bestFit="1" customWidth="1"/>
    <col min="1616" max="1619" width="76.453125" style="44" bestFit="1" customWidth="1"/>
    <col min="1620" max="1620" width="70.54296875" style="44" bestFit="1" customWidth="1"/>
    <col min="1621" max="1621" width="63.36328125" style="44" bestFit="1" customWidth="1"/>
    <col min="1622" max="1622" width="97.81640625" style="44" bestFit="1" customWidth="1"/>
    <col min="1623" max="1624" width="73" style="44" bestFit="1" customWidth="1"/>
    <col min="1625" max="1625" width="79" style="44" bestFit="1" customWidth="1"/>
    <col min="1626" max="1626" width="73" style="44" bestFit="1" customWidth="1"/>
    <col min="1627" max="1627" width="82.1796875" style="44" bestFit="1" customWidth="1"/>
    <col min="1628" max="1628" width="61.453125" style="44" bestFit="1" customWidth="1"/>
    <col min="1629" max="1630" width="99.90625" style="44" bestFit="1" customWidth="1"/>
    <col min="1631" max="1631" width="100.36328125" style="44" bestFit="1" customWidth="1"/>
    <col min="1632" max="1632" width="84.453125" style="44" bestFit="1" customWidth="1"/>
    <col min="1633" max="1633" width="113.36328125" style="44" bestFit="1" customWidth="1"/>
    <col min="1634" max="1634" width="98.453125" style="44" bestFit="1" customWidth="1"/>
    <col min="1635" max="1635" width="99.7265625" style="44" bestFit="1" customWidth="1"/>
    <col min="1636" max="1636" width="99.54296875" style="44" bestFit="1" customWidth="1"/>
    <col min="1637" max="1637" width="96.81640625" style="44" bestFit="1" customWidth="1"/>
    <col min="1638" max="1638" width="94.08984375" style="44" bestFit="1" customWidth="1"/>
    <col min="1639" max="1639" width="100.453125" style="44" bestFit="1" customWidth="1"/>
    <col min="1640" max="1640" width="98.6328125" style="44" bestFit="1" customWidth="1"/>
    <col min="1641" max="1641" width="77.453125" style="44" bestFit="1" customWidth="1"/>
    <col min="1642" max="1642" width="95.1796875" style="44" bestFit="1" customWidth="1"/>
    <col min="1643" max="1643" width="86.6328125" style="44" bestFit="1" customWidth="1"/>
    <col min="1644" max="1644" width="77.26953125" style="44" bestFit="1" customWidth="1"/>
    <col min="1645" max="1645" width="85.1796875" style="44" bestFit="1" customWidth="1"/>
    <col min="1646" max="1646" width="74.7265625" style="44" bestFit="1" customWidth="1"/>
    <col min="1647" max="1647" width="92" style="44" bestFit="1" customWidth="1"/>
    <col min="1648" max="1648" width="72.26953125" style="44" bestFit="1" customWidth="1"/>
    <col min="1649" max="1649" width="97.08984375" style="44" bestFit="1" customWidth="1"/>
    <col min="1650" max="1650" width="77.08984375" style="44" bestFit="1" customWidth="1"/>
    <col min="1651" max="1651" width="85.08984375" style="44" bestFit="1" customWidth="1"/>
    <col min="1652" max="1653" width="83.1796875" style="44" bestFit="1" customWidth="1"/>
    <col min="1654" max="1654" width="82.6328125" style="44" bestFit="1" customWidth="1"/>
    <col min="1655" max="1655" width="86.26953125" style="44" bestFit="1" customWidth="1"/>
    <col min="1656" max="1656" width="71.1796875" style="44" bestFit="1" customWidth="1"/>
    <col min="1657" max="1657" width="66.6328125" style="44" bestFit="1" customWidth="1"/>
    <col min="1658" max="1659" width="83.1796875" style="44" bestFit="1" customWidth="1"/>
    <col min="1660" max="1660" width="67.08984375" style="44" bestFit="1" customWidth="1"/>
    <col min="1661" max="1661" width="76.54296875" style="44" bestFit="1" customWidth="1"/>
    <col min="1662" max="1662" width="94.08984375" style="44" bestFit="1" customWidth="1"/>
    <col min="1663" max="1663" width="89.08984375" style="44" bestFit="1" customWidth="1"/>
    <col min="1664" max="1664" width="68.1796875" style="44" bestFit="1" customWidth="1"/>
    <col min="1665" max="1665" width="91.7265625" style="44" bestFit="1" customWidth="1"/>
    <col min="1666" max="1666" width="63.36328125" style="44" bestFit="1" customWidth="1"/>
    <col min="1667" max="1667" width="66.6328125" style="44" bestFit="1" customWidth="1"/>
    <col min="1668" max="1668" width="63.36328125" style="44" bestFit="1" customWidth="1"/>
    <col min="1669" max="1669" width="63.453125" style="44" bestFit="1" customWidth="1"/>
    <col min="1670" max="1670" width="87.54296875" style="44" bestFit="1" customWidth="1"/>
    <col min="1671" max="1671" width="93.81640625" style="44" bestFit="1" customWidth="1"/>
    <col min="1672" max="1672" width="66.453125" style="44" bestFit="1" customWidth="1"/>
    <col min="1673" max="1674" width="110" style="44" bestFit="1" customWidth="1"/>
    <col min="1675" max="1675" width="103.1796875" style="44" bestFit="1" customWidth="1"/>
    <col min="1676" max="1676" width="62.453125" style="44" bestFit="1" customWidth="1"/>
    <col min="1677" max="1677" width="77.453125" style="44" bestFit="1" customWidth="1"/>
    <col min="1678" max="1678" width="91.54296875" style="44" bestFit="1" customWidth="1"/>
    <col min="1679" max="1679" width="88.08984375" style="44" bestFit="1" customWidth="1"/>
    <col min="1680" max="1680" width="80.6328125" style="44" bestFit="1" customWidth="1"/>
    <col min="1681" max="1681" width="77.453125" style="44" bestFit="1" customWidth="1"/>
    <col min="1682" max="1682" width="85.1796875" style="44" bestFit="1" customWidth="1"/>
    <col min="1683" max="1686" width="72.36328125" style="44" bestFit="1" customWidth="1"/>
    <col min="1687" max="1688" width="95" style="44" bestFit="1" customWidth="1"/>
    <col min="1689" max="1689" width="64.08984375" style="44" bestFit="1" customWidth="1"/>
    <col min="1690" max="1690" width="110.08984375" style="44" bestFit="1" customWidth="1"/>
    <col min="1691" max="1691" width="86.36328125" style="44" bestFit="1" customWidth="1"/>
    <col min="1692" max="1692" width="89.36328125" style="44" bestFit="1" customWidth="1"/>
    <col min="1693" max="1693" width="89.81640625" style="44" bestFit="1" customWidth="1"/>
    <col min="1694" max="1694" width="64.26953125" style="44" bestFit="1" customWidth="1"/>
    <col min="1695" max="1695" width="85.7265625" style="44" bestFit="1" customWidth="1"/>
    <col min="1696" max="1696" width="73" style="44" bestFit="1" customWidth="1"/>
    <col min="1697" max="1697" width="92.7265625" style="44" bestFit="1" customWidth="1"/>
    <col min="1698" max="1698" width="92.36328125" style="44" bestFit="1" customWidth="1"/>
    <col min="1699" max="1699" width="72" style="44" bestFit="1" customWidth="1"/>
    <col min="1700" max="1700" width="82" style="44" bestFit="1" customWidth="1"/>
    <col min="1701" max="1701" width="79.36328125" style="44" bestFit="1" customWidth="1"/>
    <col min="1702" max="1702" width="81" style="44" bestFit="1" customWidth="1"/>
    <col min="1703" max="1703" width="72.90625" style="44" bestFit="1" customWidth="1"/>
    <col min="1704" max="1704" width="90.81640625" style="44" bestFit="1" customWidth="1"/>
    <col min="1705" max="1705" width="84" style="44" bestFit="1" customWidth="1"/>
    <col min="1706" max="1707" width="73.36328125" style="44" bestFit="1" customWidth="1"/>
    <col min="1708" max="1708" width="90.6328125" style="44" bestFit="1" customWidth="1"/>
    <col min="1709" max="1709" width="89.453125" style="44" bestFit="1" customWidth="1"/>
    <col min="1710" max="1710" width="84.6328125" style="44" bestFit="1" customWidth="1"/>
    <col min="1711" max="1711" width="74.54296875" style="44" bestFit="1" customWidth="1"/>
    <col min="1712" max="1712" width="76.90625" style="44" bestFit="1" customWidth="1"/>
    <col min="1713" max="1713" width="83" style="44" bestFit="1" customWidth="1"/>
    <col min="1714" max="1714" width="85.81640625" style="44" bestFit="1" customWidth="1"/>
    <col min="1715" max="1715" width="83.7265625" style="44" bestFit="1" customWidth="1"/>
    <col min="1716" max="1716" width="79.54296875" style="44" bestFit="1" customWidth="1"/>
    <col min="1717" max="1717" width="80.54296875" style="44" bestFit="1" customWidth="1"/>
    <col min="1718" max="1718" width="89.54296875" style="44" bestFit="1" customWidth="1"/>
    <col min="1719" max="1719" width="85.36328125" style="44" bestFit="1" customWidth="1"/>
    <col min="1720" max="1720" width="61.6328125" style="44" bestFit="1" customWidth="1"/>
    <col min="1721" max="1721" width="132.54296875" style="44" bestFit="1" customWidth="1"/>
    <col min="1722" max="1722" width="93.1796875" style="44" bestFit="1" customWidth="1"/>
    <col min="1723" max="1723" width="91.08984375" style="44" bestFit="1" customWidth="1"/>
    <col min="1724" max="1724" width="81.7265625" style="44" bestFit="1" customWidth="1"/>
    <col min="1725" max="1726" width="80.90625" style="44" bestFit="1" customWidth="1"/>
    <col min="1727" max="1727" width="83.26953125" style="44" bestFit="1" customWidth="1"/>
    <col min="1728" max="1728" width="101.453125" style="44" bestFit="1" customWidth="1"/>
    <col min="1729" max="1729" width="110.1796875" style="44" bestFit="1" customWidth="1"/>
    <col min="1730" max="1730" width="74.6328125" style="44" bestFit="1" customWidth="1"/>
    <col min="1731" max="1734" width="84.54296875" style="44" bestFit="1" customWidth="1"/>
    <col min="1735" max="1735" width="74.36328125" style="44" bestFit="1" customWidth="1"/>
    <col min="1736" max="1736" width="88.1796875" style="44" bestFit="1" customWidth="1"/>
    <col min="1737" max="1737" width="78.6328125" style="44" bestFit="1" customWidth="1"/>
    <col min="1738" max="1738" width="76.81640625" style="44" bestFit="1" customWidth="1"/>
    <col min="1739" max="1739" width="74.7265625" style="44" bestFit="1" customWidth="1"/>
    <col min="1740" max="1740" width="87.26953125" style="44" bestFit="1" customWidth="1"/>
    <col min="1741" max="1741" width="85.54296875" style="44" bestFit="1" customWidth="1"/>
    <col min="1742" max="1742" width="100.26953125" style="44" bestFit="1" customWidth="1"/>
    <col min="1743" max="1743" width="71.36328125" style="44" bestFit="1" customWidth="1"/>
    <col min="1744" max="1744" width="105.453125" style="44" bestFit="1" customWidth="1"/>
    <col min="1745" max="1745" width="103.08984375" style="44" bestFit="1" customWidth="1"/>
    <col min="1746" max="1746" width="85.7265625" style="44" bestFit="1" customWidth="1"/>
    <col min="1747" max="1747" width="99.26953125" style="44" bestFit="1" customWidth="1"/>
    <col min="1748" max="1748" width="83.54296875" style="44" bestFit="1" customWidth="1"/>
    <col min="1749" max="1749" width="96.90625" style="44" bestFit="1" customWidth="1"/>
    <col min="1750" max="1750" width="74.26953125" style="44" bestFit="1" customWidth="1"/>
    <col min="1751" max="1751" width="98.36328125" style="44" bestFit="1" customWidth="1"/>
    <col min="1752" max="1752" width="74.453125" style="44" bestFit="1" customWidth="1"/>
    <col min="1753" max="1753" width="88.81640625" style="44" bestFit="1" customWidth="1"/>
    <col min="1754" max="1754" width="67.6328125" style="44" bestFit="1" customWidth="1"/>
    <col min="1755" max="1755" width="93.08984375" style="44" bestFit="1" customWidth="1"/>
    <col min="1756" max="1756" width="101.453125" style="44" bestFit="1" customWidth="1"/>
    <col min="1757" max="1759" width="76.81640625" style="44" bestFit="1" customWidth="1"/>
    <col min="1760" max="1760" width="87.08984375" style="44" bestFit="1" customWidth="1"/>
    <col min="1761" max="1761" width="72.453125" style="44" bestFit="1" customWidth="1"/>
    <col min="1762" max="1762" width="87.81640625" style="44" bestFit="1" customWidth="1"/>
    <col min="1763" max="1763" width="71.7265625" style="44" bestFit="1" customWidth="1"/>
    <col min="1764" max="1764" width="74" style="44" bestFit="1" customWidth="1"/>
    <col min="1765" max="1765" width="74.08984375" style="44" bestFit="1" customWidth="1"/>
    <col min="1766" max="1768" width="86.81640625" style="44" bestFit="1" customWidth="1"/>
    <col min="1769" max="1769" width="104.7265625" style="44" bestFit="1" customWidth="1"/>
    <col min="1770" max="1770" width="101.81640625" style="44" bestFit="1" customWidth="1"/>
    <col min="1771" max="1771" width="64.453125" style="44" bestFit="1" customWidth="1"/>
    <col min="1772" max="1772" width="65.1796875" style="44" bestFit="1" customWidth="1"/>
    <col min="1773" max="1773" width="72.453125" style="44" bestFit="1" customWidth="1"/>
    <col min="1774" max="1774" width="81.36328125" style="44" bestFit="1" customWidth="1"/>
    <col min="1775" max="1775" width="65.1796875" style="44" bestFit="1" customWidth="1"/>
    <col min="1776" max="1776" width="80.90625" style="44" bestFit="1" customWidth="1"/>
    <col min="1777" max="1777" width="71.7265625" style="44" bestFit="1" customWidth="1"/>
    <col min="1778" max="1778" width="73.6328125" style="44" bestFit="1" customWidth="1"/>
    <col min="1779" max="1780" width="85.36328125" style="44" bestFit="1" customWidth="1"/>
    <col min="1781" max="1781" width="92.26953125" style="44" bestFit="1" customWidth="1"/>
    <col min="1782" max="1782" width="106.1796875" style="44" bestFit="1" customWidth="1"/>
    <col min="1783" max="1783" width="86.6328125" style="44" bestFit="1" customWidth="1"/>
    <col min="1784" max="1785" width="68.90625" style="44" bestFit="1" customWidth="1"/>
    <col min="1786" max="1786" width="80.54296875" style="44" bestFit="1" customWidth="1"/>
    <col min="1787" max="1787" width="68.90625" style="44" bestFit="1" customWidth="1"/>
    <col min="1788" max="1788" width="79.1796875" style="44" bestFit="1" customWidth="1"/>
    <col min="1789" max="1789" width="79.26953125" style="44" bestFit="1" customWidth="1"/>
    <col min="1790" max="1790" width="80.1796875" style="44" bestFit="1" customWidth="1"/>
    <col min="1791" max="1791" width="84.81640625" style="44" bestFit="1" customWidth="1"/>
    <col min="1792" max="1792" width="76.81640625" style="44" bestFit="1" customWidth="1"/>
    <col min="1793" max="1793" width="7.90625" style="44" bestFit="1" customWidth="1"/>
    <col min="1794" max="1794" width="132.54296875" style="44" bestFit="1" customWidth="1"/>
    <col min="1795" max="1795" width="45.36328125" style="44" bestFit="1" customWidth="1"/>
    <col min="1796" max="1796" width="14.08984375" style="44" bestFit="1" customWidth="1"/>
    <col min="1797" max="1798" width="8.7265625" style="44"/>
    <col min="1799" max="1799" width="49.7265625" style="44" bestFit="1" customWidth="1"/>
    <col min="1800" max="1800" width="7.90625" style="44" bestFit="1" customWidth="1"/>
    <col min="1801" max="1801" width="7.81640625" style="44" bestFit="1" customWidth="1"/>
    <col min="1802" max="1813" width="8.81640625" style="44" bestFit="1" customWidth="1"/>
    <col min="1814" max="1814" width="10.81640625" style="44" bestFit="1" customWidth="1"/>
    <col min="1815" max="1815" width="93.36328125" style="44" bestFit="1" customWidth="1"/>
    <col min="1816" max="1816" width="87.6328125" style="44" bestFit="1" customWidth="1"/>
    <col min="1817" max="1817" width="69.26953125" style="44" bestFit="1" customWidth="1"/>
    <col min="1818" max="1818" width="68.54296875" style="44" bestFit="1" customWidth="1"/>
    <col min="1819" max="1819" width="67.6328125" style="44" bestFit="1" customWidth="1"/>
    <col min="1820" max="1820" width="64" style="44" bestFit="1" customWidth="1"/>
    <col min="1821" max="1821" width="43.81640625" style="44" bestFit="1" customWidth="1"/>
    <col min="1822" max="1822" width="39.81640625" style="44" bestFit="1" customWidth="1"/>
    <col min="1823" max="1823" width="85.26953125" style="44" bestFit="1" customWidth="1"/>
    <col min="1824" max="1824" width="84.08984375" style="44" bestFit="1" customWidth="1"/>
    <col min="1825" max="1825" width="91" style="44" bestFit="1" customWidth="1"/>
    <col min="1826" max="1826" width="79" style="44" bestFit="1" customWidth="1"/>
    <col min="1827" max="1827" width="89.90625" style="44" bestFit="1" customWidth="1"/>
    <col min="1828" max="1834" width="90.90625" style="44" bestFit="1" customWidth="1"/>
    <col min="1835" max="1835" width="91.90625" style="44" bestFit="1" customWidth="1"/>
    <col min="1836" max="1836" width="73.08984375" style="44" bestFit="1" customWidth="1"/>
    <col min="1837" max="1837" width="61.1796875" style="44" bestFit="1" customWidth="1"/>
    <col min="1838" max="1838" width="94.1796875" style="44" bestFit="1" customWidth="1"/>
    <col min="1839" max="1839" width="84.453125" style="44" bestFit="1" customWidth="1"/>
    <col min="1840" max="1840" width="86.81640625" style="44" bestFit="1" customWidth="1"/>
    <col min="1841" max="1841" width="90.08984375" style="44" bestFit="1" customWidth="1"/>
    <col min="1842" max="1842" width="86.7265625" style="44" bestFit="1" customWidth="1"/>
    <col min="1843" max="1843" width="87.6328125" style="44" bestFit="1" customWidth="1"/>
    <col min="1844" max="1846" width="97.6328125" style="44" bestFit="1" customWidth="1"/>
    <col min="1847" max="1847" width="72.54296875" style="44" bestFit="1" customWidth="1"/>
    <col min="1848" max="1848" width="73.6328125" style="44" bestFit="1" customWidth="1"/>
    <col min="1849" max="1849" width="58.6328125" style="44" bestFit="1" customWidth="1"/>
    <col min="1850" max="1851" width="74.08984375" style="44" bestFit="1" customWidth="1"/>
    <col min="1852" max="1852" width="75.54296875" style="44" bestFit="1" customWidth="1"/>
    <col min="1853" max="1853" width="92" style="44" bestFit="1" customWidth="1"/>
    <col min="1854" max="1854" width="93.54296875" style="44" bestFit="1" customWidth="1"/>
    <col min="1855" max="1856" width="75.54296875" style="44" bestFit="1" customWidth="1"/>
    <col min="1857" max="1857" width="78.08984375" style="44" bestFit="1" customWidth="1"/>
    <col min="1858" max="1858" width="70" style="44" bestFit="1" customWidth="1"/>
    <col min="1859" max="1859" width="84.81640625" style="44" bestFit="1" customWidth="1"/>
    <col min="1860" max="1860" width="93" style="44" bestFit="1" customWidth="1"/>
    <col min="1861" max="1861" width="83.453125" style="44" bestFit="1" customWidth="1"/>
    <col min="1862" max="1862" width="100.90625" style="44" bestFit="1" customWidth="1"/>
    <col min="1863" max="1865" width="64.54296875" style="44" bestFit="1" customWidth="1"/>
    <col min="1866" max="1867" width="82.7265625" style="44" bestFit="1" customWidth="1"/>
    <col min="1868" max="1868" width="99.453125" style="44" bestFit="1" customWidth="1"/>
    <col min="1869" max="1869" width="78.1796875" style="44" bestFit="1" customWidth="1"/>
    <col min="1870" max="1870" width="71.36328125" style="44" bestFit="1" customWidth="1"/>
    <col min="1871" max="1871" width="71.26953125" style="44" bestFit="1" customWidth="1"/>
    <col min="1872" max="1875" width="76.453125" style="44" bestFit="1" customWidth="1"/>
    <col min="1876" max="1876" width="70.54296875" style="44" bestFit="1" customWidth="1"/>
    <col min="1877" max="1877" width="63.36328125" style="44" bestFit="1" customWidth="1"/>
    <col min="1878" max="1878" width="97.81640625" style="44" bestFit="1" customWidth="1"/>
    <col min="1879" max="1880" width="73" style="44" bestFit="1" customWidth="1"/>
    <col min="1881" max="1881" width="79" style="44" bestFit="1" customWidth="1"/>
    <col min="1882" max="1882" width="73" style="44" bestFit="1" customWidth="1"/>
    <col min="1883" max="1883" width="82.1796875" style="44" bestFit="1" customWidth="1"/>
    <col min="1884" max="1884" width="61.453125" style="44" bestFit="1" customWidth="1"/>
    <col min="1885" max="1886" width="99.90625" style="44" bestFit="1" customWidth="1"/>
    <col min="1887" max="1887" width="100.36328125" style="44" bestFit="1" customWidth="1"/>
    <col min="1888" max="1888" width="84.453125" style="44" bestFit="1" customWidth="1"/>
    <col min="1889" max="1889" width="113.36328125" style="44" bestFit="1" customWidth="1"/>
    <col min="1890" max="1890" width="98.453125" style="44" bestFit="1" customWidth="1"/>
    <col min="1891" max="1891" width="99.7265625" style="44" bestFit="1" customWidth="1"/>
    <col min="1892" max="1892" width="99.54296875" style="44" bestFit="1" customWidth="1"/>
    <col min="1893" max="1893" width="96.81640625" style="44" bestFit="1" customWidth="1"/>
    <col min="1894" max="1894" width="94.08984375" style="44" bestFit="1" customWidth="1"/>
    <col min="1895" max="1895" width="100.453125" style="44" bestFit="1" customWidth="1"/>
    <col min="1896" max="1896" width="98.6328125" style="44" bestFit="1" customWidth="1"/>
    <col min="1897" max="1897" width="77.453125" style="44" bestFit="1" customWidth="1"/>
    <col min="1898" max="1898" width="95.1796875" style="44" bestFit="1" customWidth="1"/>
    <col min="1899" max="1899" width="86.6328125" style="44" bestFit="1" customWidth="1"/>
    <col min="1900" max="1900" width="77.26953125" style="44" bestFit="1" customWidth="1"/>
    <col min="1901" max="1901" width="85.1796875" style="44" bestFit="1" customWidth="1"/>
    <col min="1902" max="1902" width="74.7265625" style="44" bestFit="1" customWidth="1"/>
    <col min="1903" max="1903" width="92" style="44" bestFit="1" customWidth="1"/>
    <col min="1904" max="1904" width="72.26953125" style="44" bestFit="1" customWidth="1"/>
    <col min="1905" max="1905" width="97.08984375" style="44" bestFit="1" customWidth="1"/>
    <col min="1906" max="1906" width="77.08984375" style="44" bestFit="1" customWidth="1"/>
    <col min="1907" max="1907" width="85.08984375" style="44" bestFit="1" customWidth="1"/>
    <col min="1908" max="1909" width="83.1796875" style="44" bestFit="1" customWidth="1"/>
    <col min="1910" max="1910" width="82.6328125" style="44" bestFit="1" customWidth="1"/>
    <col min="1911" max="1911" width="86.26953125" style="44" bestFit="1" customWidth="1"/>
    <col min="1912" max="1912" width="71.1796875" style="44" bestFit="1" customWidth="1"/>
    <col min="1913" max="1913" width="66.6328125" style="44" bestFit="1" customWidth="1"/>
    <col min="1914" max="1915" width="83.1796875" style="44" bestFit="1" customWidth="1"/>
    <col min="1916" max="1916" width="67.08984375" style="44" bestFit="1" customWidth="1"/>
    <col min="1917" max="1917" width="76.54296875" style="44" bestFit="1" customWidth="1"/>
    <col min="1918" max="1918" width="94.08984375" style="44" bestFit="1" customWidth="1"/>
    <col min="1919" max="1919" width="89.08984375" style="44" bestFit="1" customWidth="1"/>
    <col min="1920" max="1920" width="68.1796875" style="44" bestFit="1" customWidth="1"/>
    <col min="1921" max="1921" width="91.7265625" style="44" bestFit="1" customWidth="1"/>
    <col min="1922" max="1922" width="63.36328125" style="44" bestFit="1" customWidth="1"/>
    <col min="1923" max="1923" width="66.6328125" style="44" bestFit="1" customWidth="1"/>
    <col min="1924" max="1924" width="63.36328125" style="44" bestFit="1" customWidth="1"/>
    <col min="1925" max="1925" width="63.453125" style="44" bestFit="1" customWidth="1"/>
    <col min="1926" max="1926" width="87.54296875" style="44" bestFit="1" customWidth="1"/>
    <col min="1927" max="1927" width="93.81640625" style="44" bestFit="1" customWidth="1"/>
    <col min="1928" max="1928" width="66.453125" style="44" bestFit="1" customWidth="1"/>
    <col min="1929" max="1930" width="110" style="44" bestFit="1" customWidth="1"/>
    <col min="1931" max="1931" width="103.1796875" style="44" bestFit="1" customWidth="1"/>
    <col min="1932" max="1932" width="62.453125" style="44" bestFit="1" customWidth="1"/>
    <col min="1933" max="1933" width="77.453125" style="44" bestFit="1" customWidth="1"/>
    <col min="1934" max="1934" width="91.54296875" style="44" bestFit="1" customWidth="1"/>
    <col min="1935" max="1935" width="88.08984375" style="44" bestFit="1" customWidth="1"/>
    <col min="1936" max="1936" width="80.6328125" style="44" bestFit="1" customWidth="1"/>
    <col min="1937" max="1937" width="77.453125" style="44" bestFit="1" customWidth="1"/>
    <col min="1938" max="1938" width="85.1796875" style="44" bestFit="1" customWidth="1"/>
    <col min="1939" max="1942" width="72.36328125" style="44" bestFit="1" customWidth="1"/>
    <col min="1943" max="1944" width="95" style="44" bestFit="1" customWidth="1"/>
    <col min="1945" max="1945" width="64.08984375" style="44" bestFit="1" customWidth="1"/>
    <col min="1946" max="1946" width="110.08984375" style="44" bestFit="1" customWidth="1"/>
    <col min="1947" max="1947" width="86.36328125" style="44" bestFit="1" customWidth="1"/>
    <col min="1948" max="1948" width="89.36328125" style="44" bestFit="1" customWidth="1"/>
    <col min="1949" max="1949" width="89.81640625" style="44" bestFit="1" customWidth="1"/>
    <col min="1950" max="1950" width="64.26953125" style="44" bestFit="1" customWidth="1"/>
    <col min="1951" max="1951" width="85.7265625" style="44" bestFit="1" customWidth="1"/>
    <col min="1952" max="1952" width="73" style="44" bestFit="1" customWidth="1"/>
    <col min="1953" max="1953" width="92.7265625" style="44" bestFit="1" customWidth="1"/>
    <col min="1954" max="1954" width="92.36328125" style="44" bestFit="1" customWidth="1"/>
    <col min="1955" max="1955" width="72" style="44" bestFit="1" customWidth="1"/>
    <col min="1956" max="1956" width="82" style="44" bestFit="1" customWidth="1"/>
    <col min="1957" max="1957" width="79.36328125" style="44" bestFit="1" customWidth="1"/>
    <col min="1958" max="1958" width="81" style="44" bestFit="1" customWidth="1"/>
    <col min="1959" max="1959" width="72.90625" style="44" bestFit="1" customWidth="1"/>
    <col min="1960" max="1960" width="90.81640625" style="44" bestFit="1" customWidth="1"/>
    <col min="1961" max="1961" width="84" style="44" bestFit="1" customWidth="1"/>
    <col min="1962" max="1963" width="73.36328125" style="44" bestFit="1" customWidth="1"/>
    <col min="1964" max="1964" width="90.6328125" style="44" bestFit="1" customWidth="1"/>
    <col min="1965" max="1965" width="89.453125" style="44" bestFit="1" customWidth="1"/>
    <col min="1966" max="1966" width="84.6328125" style="44" bestFit="1" customWidth="1"/>
    <col min="1967" max="1967" width="74.54296875" style="44" bestFit="1" customWidth="1"/>
    <col min="1968" max="1968" width="76.90625" style="44" bestFit="1" customWidth="1"/>
    <col min="1969" max="1969" width="83" style="44" bestFit="1" customWidth="1"/>
    <col min="1970" max="1970" width="85.81640625" style="44" bestFit="1" customWidth="1"/>
    <col min="1971" max="1971" width="83.7265625" style="44" bestFit="1" customWidth="1"/>
    <col min="1972" max="1972" width="79.54296875" style="44" bestFit="1" customWidth="1"/>
    <col min="1973" max="1973" width="80.54296875" style="44" bestFit="1" customWidth="1"/>
    <col min="1974" max="1974" width="89.54296875" style="44" bestFit="1" customWidth="1"/>
    <col min="1975" max="1975" width="85.36328125" style="44" bestFit="1" customWidth="1"/>
    <col min="1976" max="1976" width="61.6328125" style="44" bestFit="1" customWidth="1"/>
    <col min="1977" max="1977" width="132.54296875" style="44" bestFit="1" customWidth="1"/>
    <col min="1978" max="1978" width="93.1796875" style="44" bestFit="1" customWidth="1"/>
    <col min="1979" max="1979" width="91.08984375" style="44" bestFit="1" customWidth="1"/>
    <col min="1980" max="1980" width="81.7265625" style="44" bestFit="1" customWidth="1"/>
    <col min="1981" max="1982" width="80.90625" style="44" bestFit="1" customWidth="1"/>
    <col min="1983" max="1983" width="83.26953125" style="44" bestFit="1" customWidth="1"/>
    <col min="1984" max="1984" width="101.453125" style="44" bestFit="1" customWidth="1"/>
    <col min="1985" max="1985" width="110.1796875" style="44" bestFit="1" customWidth="1"/>
    <col min="1986" max="1986" width="74.6328125" style="44" bestFit="1" customWidth="1"/>
    <col min="1987" max="1990" width="84.54296875" style="44" bestFit="1" customWidth="1"/>
    <col min="1991" max="1991" width="74.36328125" style="44" bestFit="1" customWidth="1"/>
    <col min="1992" max="1992" width="88.1796875" style="44" bestFit="1" customWidth="1"/>
    <col min="1993" max="1993" width="78.6328125" style="44" bestFit="1" customWidth="1"/>
    <col min="1994" max="1994" width="76.81640625" style="44" bestFit="1" customWidth="1"/>
    <col min="1995" max="1995" width="74.7265625" style="44" bestFit="1" customWidth="1"/>
    <col min="1996" max="1996" width="87.26953125" style="44" bestFit="1" customWidth="1"/>
    <col min="1997" max="1997" width="85.54296875" style="44" bestFit="1" customWidth="1"/>
    <col min="1998" max="1998" width="100.26953125" style="44" bestFit="1" customWidth="1"/>
    <col min="1999" max="1999" width="71.36328125" style="44" bestFit="1" customWidth="1"/>
    <col min="2000" max="2000" width="105.453125" style="44" bestFit="1" customWidth="1"/>
    <col min="2001" max="2001" width="103.08984375" style="44" bestFit="1" customWidth="1"/>
    <col min="2002" max="2002" width="85.7265625" style="44" bestFit="1" customWidth="1"/>
    <col min="2003" max="2003" width="99.26953125" style="44" bestFit="1" customWidth="1"/>
    <col min="2004" max="2004" width="83.54296875" style="44" bestFit="1" customWidth="1"/>
    <col min="2005" max="2005" width="96.90625" style="44" bestFit="1" customWidth="1"/>
    <col min="2006" max="2006" width="74.26953125" style="44" bestFit="1" customWidth="1"/>
    <col min="2007" max="2007" width="98.36328125" style="44" bestFit="1" customWidth="1"/>
    <col min="2008" max="2008" width="74.453125" style="44" bestFit="1" customWidth="1"/>
    <col min="2009" max="2009" width="88.81640625" style="44" bestFit="1" customWidth="1"/>
    <col min="2010" max="2010" width="67.6328125" style="44" bestFit="1" customWidth="1"/>
    <col min="2011" max="2011" width="93.08984375" style="44" bestFit="1" customWidth="1"/>
    <col min="2012" max="2012" width="101.453125" style="44" bestFit="1" customWidth="1"/>
    <col min="2013" max="2015" width="76.81640625" style="44" bestFit="1" customWidth="1"/>
    <col min="2016" max="2016" width="87.08984375" style="44" bestFit="1" customWidth="1"/>
    <col min="2017" max="2017" width="72.453125" style="44" bestFit="1" customWidth="1"/>
    <col min="2018" max="2018" width="87.81640625" style="44" bestFit="1" customWidth="1"/>
    <col min="2019" max="2019" width="71.7265625" style="44" bestFit="1" customWidth="1"/>
    <col min="2020" max="2020" width="74" style="44" bestFit="1" customWidth="1"/>
    <col min="2021" max="2021" width="74.08984375" style="44" bestFit="1" customWidth="1"/>
    <col min="2022" max="2024" width="86.81640625" style="44" bestFit="1" customWidth="1"/>
    <col min="2025" max="2025" width="104.7265625" style="44" bestFit="1" customWidth="1"/>
    <col min="2026" max="2026" width="101.81640625" style="44" bestFit="1" customWidth="1"/>
    <col min="2027" max="2027" width="64.453125" style="44" bestFit="1" customWidth="1"/>
    <col min="2028" max="2028" width="65.1796875" style="44" bestFit="1" customWidth="1"/>
    <col min="2029" max="2029" width="72.453125" style="44" bestFit="1" customWidth="1"/>
    <col min="2030" max="2030" width="81.36328125" style="44" bestFit="1" customWidth="1"/>
    <col min="2031" max="2031" width="65.1796875" style="44" bestFit="1" customWidth="1"/>
    <col min="2032" max="2032" width="80.90625" style="44" bestFit="1" customWidth="1"/>
    <col min="2033" max="2033" width="71.7265625" style="44" bestFit="1" customWidth="1"/>
    <col min="2034" max="2034" width="73.6328125" style="44" bestFit="1" customWidth="1"/>
    <col min="2035" max="2036" width="85.36328125" style="44" bestFit="1" customWidth="1"/>
    <col min="2037" max="2037" width="92.26953125" style="44" bestFit="1" customWidth="1"/>
    <col min="2038" max="2038" width="106.1796875" style="44" bestFit="1" customWidth="1"/>
    <col min="2039" max="2039" width="86.6328125" style="44" bestFit="1" customWidth="1"/>
    <col min="2040" max="2041" width="68.90625" style="44" bestFit="1" customWidth="1"/>
    <col min="2042" max="2042" width="80.54296875" style="44" bestFit="1" customWidth="1"/>
    <col min="2043" max="2043" width="68.90625" style="44" bestFit="1" customWidth="1"/>
    <col min="2044" max="2044" width="79.1796875" style="44" bestFit="1" customWidth="1"/>
    <col min="2045" max="2045" width="79.26953125" style="44" bestFit="1" customWidth="1"/>
    <col min="2046" max="2046" width="80.1796875" style="44" bestFit="1" customWidth="1"/>
    <col min="2047" max="2047" width="84.81640625" style="44" bestFit="1" customWidth="1"/>
    <col min="2048" max="2048" width="76.81640625" style="44" bestFit="1" customWidth="1"/>
    <col min="2049" max="2049" width="7.90625" style="44" bestFit="1" customWidth="1"/>
    <col min="2050" max="2050" width="132.54296875" style="44" bestFit="1" customWidth="1"/>
    <col min="2051" max="2051" width="45.36328125" style="44" bestFit="1" customWidth="1"/>
    <col min="2052" max="2052" width="14.08984375" style="44" bestFit="1" customWidth="1"/>
    <col min="2053" max="2054" width="8.7265625" style="44"/>
    <col min="2055" max="2055" width="49.7265625" style="44" bestFit="1" customWidth="1"/>
    <col min="2056" max="2056" width="7.90625" style="44" bestFit="1" customWidth="1"/>
    <col min="2057" max="2057" width="7.81640625" style="44" bestFit="1" customWidth="1"/>
    <col min="2058" max="2069" width="8.81640625" style="44" bestFit="1" customWidth="1"/>
    <col min="2070" max="2070" width="10.81640625" style="44" bestFit="1" customWidth="1"/>
    <col min="2071" max="2071" width="93.36328125" style="44" bestFit="1" customWidth="1"/>
    <col min="2072" max="2072" width="87.6328125" style="44" bestFit="1" customWidth="1"/>
    <col min="2073" max="2073" width="69.26953125" style="44" bestFit="1" customWidth="1"/>
    <col min="2074" max="2074" width="68.54296875" style="44" bestFit="1" customWidth="1"/>
    <col min="2075" max="2075" width="67.6328125" style="44" bestFit="1" customWidth="1"/>
    <col min="2076" max="2076" width="64" style="44" bestFit="1" customWidth="1"/>
    <col min="2077" max="2077" width="43.81640625" style="44" bestFit="1" customWidth="1"/>
    <col min="2078" max="2078" width="39.81640625" style="44" bestFit="1" customWidth="1"/>
    <col min="2079" max="2079" width="85.26953125" style="44" bestFit="1" customWidth="1"/>
    <col min="2080" max="2080" width="84.08984375" style="44" bestFit="1" customWidth="1"/>
    <col min="2081" max="2081" width="91" style="44" bestFit="1" customWidth="1"/>
    <col min="2082" max="2082" width="79" style="44" bestFit="1" customWidth="1"/>
    <col min="2083" max="2083" width="89.90625" style="44" bestFit="1" customWidth="1"/>
    <col min="2084" max="2090" width="90.90625" style="44" bestFit="1" customWidth="1"/>
    <col min="2091" max="2091" width="91.90625" style="44" bestFit="1" customWidth="1"/>
    <col min="2092" max="2092" width="73.08984375" style="44" bestFit="1" customWidth="1"/>
    <col min="2093" max="2093" width="61.1796875" style="44" bestFit="1" customWidth="1"/>
    <col min="2094" max="2094" width="94.1796875" style="44" bestFit="1" customWidth="1"/>
    <col min="2095" max="2095" width="84.453125" style="44" bestFit="1" customWidth="1"/>
    <col min="2096" max="2096" width="86.81640625" style="44" bestFit="1" customWidth="1"/>
    <col min="2097" max="2097" width="90.08984375" style="44" bestFit="1" customWidth="1"/>
    <col min="2098" max="2098" width="86.7265625" style="44" bestFit="1" customWidth="1"/>
    <col min="2099" max="2099" width="87.6328125" style="44" bestFit="1" customWidth="1"/>
    <col min="2100" max="2102" width="97.6328125" style="44" bestFit="1" customWidth="1"/>
    <col min="2103" max="2103" width="72.54296875" style="44" bestFit="1" customWidth="1"/>
    <col min="2104" max="2104" width="73.6328125" style="44" bestFit="1" customWidth="1"/>
    <col min="2105" max="2105" width="58.6328125" style="44" bestFit="1" customWidth="1"/>
    <col min="2106" max="2107" width="74.08984375" style="44" bestFit="1" customWidth="1"/>
    <col min="2108" max="2108" width="75.54296875" style="44" bestFit="1" customWidth="1"/>
    <col min="2109" max="2109" width="92" style="44" bestFit="1" customWidth="1"/>
    <col min="2110" max="2110" width="93.54296875" style="44" bestFit="1" customWidth="1"/>
    <col min="2111" max="2112" width="75.54296875" style="44" bestFit="1" customWidth="1"/>
    <col min="2113" max="2113" width="78.08984375" style="44" bestFit="1" customWidth="1"/>
    <col min="2114" max="2114" width="70" style="44" bestFit="1" customWidth="1"/>
    <col min="2115" max="2115" width="84.81640625" style="44" bestFit="1" customWidth="1"/>
    <col min="2116" max="2116" width="93" style="44" bestFit="1" customWidth="1"/>
    <col min="2117" max="2117" width="83.453125" style="44" bestFit="1" customWidth="1"/>
    <col min="2118" max="2118" width="100.90625" style="44" bestFit="1" customWidth="1"/>
    <col min="2119" max="2121" width="64.54296875" style="44" bestFit="1" customWidth="1"/>
    <col min="2122" max="2123" width="82.7265625" style="44" bestFit="1" customWidth="1"/>
    <col min="2124" max="2124" width="99.453125" style="44" bestFit="1" customWidth="1"/>
    <col min="2125" max="2125" width="78.1796875" style="44" bestFit="1" customWidth="1"/>
    <col min="2126" max="2126" width="71.36328125" style="44" bestFit="1" customWidth="1"/>
    <col min="2127" max="2127" width="71.26953125" style="44" bestFit="1" customWidth="1"/>
    <col min="2128" max="2131" width="76.453125" style="44" bestFit="1" customWidth="1"/>
    <col min="2132" max="2132" width="70.54296875" style="44" bestFit="1" customWidth="1"/>
    <col min="2133" max="2133" width="63.36328125" style="44" bestFit="1" customWidth="1"/>
    <col min="2134" max="2134" width="97.81640625" style="44" bestFit="1" customWidth="1"/>
    <col min="2135" max="2136" width="73" style="44" bestFit="1" customWidth="1"/>
    <col min="2137" max="2137" width="79" style="44" bestFit="1" customWidth="1"/>
    <col min="2138" max="2138" width="73" style="44" bestFit="1" customWidth="1"/>
    <col min="2139" max="2139" width="82.1796875" style="44" bestFit="1" customWidth="1"/>
    <col min="2140" max="2140" width="61.453125" style="44" bestFit="1" customWidth="1"/>
    <col min="2141" max="2142" width="99.90625" style="44" bestFit="1" customWidth="1"/>
    <col min="2143" max="2143" width="100.36328125" style="44" bestFit="1" customWidth="1"/>
    <col min="2144" max="2144" width="84.453125" style="44" bestFit="1" customWidth="1"/>
    <col min="2145" max="2145" width="113.36328125" style="44" bestFit="1" customWidth="1"/>
    <col min="2146" max="2146" width="98.453125" style="44" bestFit="1" customWidth="1"/>
    <col min="2147" max="2147" width="99.7265625" style="44" bestFit="1" customWidth="1"/>
    <col min="2148" max="2148" width="99.54296875" style="44" bestFit="1" customWidth="1"/>
    <col min="2149" max="2149" width="96.81640625" style="44" bestFit="1" customWidth="1"/>
    <col min="2150" max="2150" width="94.08984375" style="44" bestFit="1" customWidth="1"/>
    <col min="2151" max="2151" width="100.453125" style="44" bestFit="1" customWidth="1"/>
    <col min="2152" max="2152" width="98.6328125" style="44" bestFit="1" customWidth="1"/>
    <col min="2153" max="2153" width="77.453125" style="44" bestFit="1" customWidth="1"/>
    <col min="2154" max="2154" width="95.1796875" style="44" bestFit="1" customWidth="1"/>
    <col min="2155" max="2155" width="86.6328125" style="44" bestFit="1" customWidth="1"/>
    <col min="2156" max="2156" width="77.26953125" style="44" bestFit="1" customWidth="1"/>
    <col min="2157" max="2157" width="85.1796875" style="44" bestFit="1" customWidth="1"/>
    <col min="2158" max="2158" width="74.7265625" style="44" bestFit="1" customWidth="1"/>
    <col min="2159" max="2159" width="92" style="44" bestFit="1" customWidth="1"/>
    <col min="2160" max="2160" width="72.26953125" style="44" bestFit="1" customWidth="1"/>
    <col min="2161" max="2161" width="97.08984375" style="44" bestFit="1" customWidth="1"/>
    <col min="2162" max="2162" width="77.08984375" style="44" bestFit="1" customWidth="1"/>
    <col min="2163" max="2163" width="85.08984375" style="44" bestFit="1" customWidth="1"/>
    <col min="2164" max="2165" width="83.1796875" style="44" bestFit="1" customWidth="1"/>
    <col min="2166" max="2166" width="82.6328125" style="44" bestFit="1" customWidth="1"/>
    <col min="2167" max="2167" width="86.26953125" style="44" bestFit="1" customWidth="1"/>
    <col min="2168" max="2168" width="71.1796875" style="44" bestFit="1" customWidth="1"/>
    <col min="2169" max="2169" width="66.6328125" style="44" bestFit="1" customWidth="1"/>
    <col min="2170" max="2171" width="83.1796875" style="44" bestFit="1" customWidth="1"/>
    <col min="2172" max="2172" width="67.08984375" style="44" bestFit="1" customWidth="1"/>
    <col min="2173" max="2173" width="76.54296875" style="44" bestFit="1" customWidth="1"/>
    <col min="2174" max="2174" width="94.08984375" style="44" bestFit="1" customWidth="1"/>
    <col min="2175" max="2175" width="89.08984375" style="44" bestFit="1" customWidth="1"/>
    <col min="2176" max="2176" width="68.1796875" style="44" bestFit="1" customWidth="1"/>
    <col min="2177" max="2177" width="91.7265625" style="44" bestFit="1" customWidth="1"/>
    <col min="2178" max="2178" width="63.36328125" style="44" bestFit="1" customWidth="1"/>
    <col min="2179" max="2179" width="66.6328125" style="44" bestFit="1" customWidth="1"/>
    <col min="2180" max="2180" width="63.36328125" style="44" bestFit="1" customWidth="1"/>
    <col min="2181" max="2181" width="63.453125" style="44" bestFit="1" customWidth="1"/>
    <col min="2182" max="2182" width="87.54296875" style="44" bestFit="1" customWidth="1"/>
    <col min="2183" max="2183" width="93.81640625" style="44" bestFit="1" customWidth="1"/>
    <col min="2184" max="2184" width="66.453125" style="44" bestFit="1" customWidth="1"/>
    <col min="2185" max="2186" width="110" style="44" bestFit="1" customWidth="1"/>
    <col min="2187" max="2187" width="103.1796875" style="44" bestFit="1" customWidth="1"/>
    <col min="2188" max="2188" width="62.453125" style="44" bestFit="1" customWidth="1"/>
    <col min="2189" max="2189" width="77.453125" style="44" bestFit="1" customWidth="1"/>
    <col min="2190" max="2190" width="91.54296875" style="44" bestFit="1" customWidth="1"/>
    <col min="2191" max="2191" width="88.08984375" style="44" bestFit="1" customWidth="1"/>
    <col min="2192" max="2192" width="80.6328125" style="44" bestFit="1" customWidth="1"/>
    <col min="2193" max="2193" width="77.453125" style="44" bestFit="1" customWidth="1"/>
    <col min="2194" max="2194" width="85.1796875" style="44" bestFit="1" customWidth="1"/>
    <col min="2195" max="2198" width="72.36328125" style="44" bestFit="1" customWidth="1"/>
    <col min="2199" max="2200" width="95" style="44" bestFit="1" customWidth="1"/>
    <col min="2201" max="2201" width="64.08984375" style="44" bestFit="1" customWidth="1"/>
    <col min="2202" max="2202" width="110.08984375" style="44" bestFit="1" customWidth="1"/>
    <col min="2203" max="2203" width="86.36328125" style="44" bestFit="1" customWidth="1"/>
    <col min="2204" max="2204" width="89.36328125" style="44" bestFit="1" customWidth="1"/>
    <col min="2205" max="2205" width="89.81640625" style="44" bestFit="1" customWidth="1"/>
    <col min="2206" max="2206" width="64.26953125" style="44" bestFit="1" customWidth="1"/>
    <col min="2207" max="2207" width="85.7265625" style="44" bestFit="1" customWidth="1"/>
    <col min="2208" max="2208" width="73" style="44" bestFit="1" customWidth="1"/>
    <col min="2209" max="2209" width="92.7265625" style="44" bestFit="1" customWidth="1"/>
    <col min="2210" max="2210" width="92.36328125" style="44" bestFit="1" customWidth="1"/>
    <col min="2211" max="2211" width="72" style="44" bestFit="1" customWidth="1"/>
    <col min="2212" max="2212" width="82" style="44" bestFit="1" customWidth="1"/>
    <col min="2213" max="2213" width="79.36328125" style="44" bestFit="1" customWidth="1"/>
    <col min="2214" max="2214" width="81" style="44" bestFit="1" customWidth="1"/>
    <col min="2215" max="2215" width="72.90625" style="44" bestFit="1" customWidth="1"/>
    <col min="2216" max="2216" width="90.81640625" style="44" bestFit="1" customWidth="1"/>
    <col min="2217" max="2217" width="84" style="44" bestFit="1" customWidth="1"/>
    <col min="2218" max="2219" width="73.36328125" style="44" bestFit="1" customWidth="1"/>
    <col min="2220" max="2220" width="90.6328125" style="44" bestFit="1" customWidth="1"/>
    <col min="2221" max="2221" width="89.453125" style="44" bestFit="1" customWidth="1"/>
    <col min="2222" max="2222" width="84.6328125" style="44" bestFit="1" customWidth="1"/>
    <col min="2223" max="2223" width="74.54296875" style="44" bestFit="1" customWidth="1"/>
    <col min="2224" max="2224" width="76.90625" style="44" bestFit="1" customWidth="1"/>
    <col min="2225" max="2225" width="83" style="44" bestFit="1" customWidth="1"/>
    <col min="2226" max="2226" width="85.81640625" style="44" bestFit="1" customWidth="1"/>
    <col min="2227" max="2227" width="83.7265625" style="44" bestFit="1" customWidth="1"/>
    <col min="2228" max="2228" width="79.54296875" style="44" bestFit="1" customWidth="1"/>
    <col min="2229" max="2229" width="80.54296875" style="44" bestFit="1" customWidth="1"/>
    <col min="2230" max="2230" width="89.54296875" style="44" bestFit="1" customWidth="1"/>
    <col min="2231" max="2231" width="85.36328125" style="44" bestFit="1" customWidth="1"/>
    <col min="2232" max="2232" width="61.6328125" style="44" bestFit="1" customWidth="1"/>
    <col min="2233" max="2233" width="132.54296875" style="44" bestFit="1" customWidth="1"/>
    <col min="2234" max="2234" width="93.1796875" style="44" bestFit="1" customWidth="1"/>
    <col min="2235" max="2235" width="91.08984375" style="44" bestFit="1" customWidth="1"/>
    <col min="2236" max="2236" width="81.7265625" style="44" bestFit="1" customWidth="1"/>
    <col min="2237" max="2238" width="80.90625" style="44" bestFit="1" customWidth="1"/>
    <col min="2239" max="2239" width="83.26953125" style="44" bestFit="1" customWidth="1"/>
    <col min="2240" max="2240" width="101.453125" style="44" bestFit="1" customWidth="1"/>
    <col min="2241" max="2241" width="110.1796875" style="44" bestFit="1" customWidth="1"/>
    <col min="2242" max="2242" width="74.6328125" style="44" bestFit="1" customWidth="1"/>
    <col min="2243" max="2246" width="84.54296875" style="44" bestFit="1" customWidth="1"/>
    <col min="2247" max="2247" width="74.36328125" style="44" bestFit="1" customWidth="1"/>
    <col min="2248" max="2248" width="88.1796875" style="44" bestFit="1" customWidth="1"/>
    <col min="2249" max="2249" width="78.6328125" style="44" bestFit="1" customWidth="1"/>
    <col min="2250" max="2250" width="76.81640625" style="44" bestFit="1" customWidth="1"/>
    <col min="2251" max="2251" width="74.7265625" style="44" bestFit="1" customWidth="1"/>
    <col min="2252" max="2252" width="87.26953125" style="44" bestFit="1" customWidth="1"/>
    <col min="2253" max="2253" width="85.54296875" style="44" bestFit="1" customWidth="1"/>
    <col min="2254" max="2254" width="100.26953125" style="44" bestFit="1" customWidth="1"/>
    <col min="2255" max="2255" width="71.36328125" style="44" bestFit="1" customWidth="1"/>
    <col min="2256" max="2256" width="105.453125" style="44" bestFit="1" customWidth="1"/>
    <col min="2257" max="2257" width="103.08984375" style="44" bestFit="1" customWidth="1"/>
    <col min="2258" max="2258" width="85.7265625" style="44" bestFit="1" customWidth="1"/>
    <col min="2259" max="2259" width="99.26953125" style="44" bestFit="1" customWidth="1"/>
    <col min="2260" max="2260" width="83.54296875" style="44" bestFit="1" customWidth="1"/>
    <col min="2261" max="2261" width="96.90625" style="44" bestFit="1" customWidth="1"/>
    <col min="2262" max="2262" width="74.26953125" style="44" bestFit="1" customWidth="1"/>
    <col min="2263" max="2263" width="98.36328125" style="44" bestFit="1" customWidth="1"/>
    <col min="2264" max="2264" width="74.453125" style="44" bestFit="1" customWidth="1"/>
    <col min="2265" max="2265" width="88.81640625" style="44" bestFit="1" customWidth="1"/>
    <col min="2266" max="2266" width="67.6328125" style="44" bestFit="1" customWidth="1"/>
    <col min="2267" max="2267" width="93.08984375" style="44" bestFit="1" customWidth="1"/>
    <col min="2268" max="2268" width="101.453125" style="44" bestFit="1" customWidth="1"/>
    <col min="2269" max="2271" width="76.81640625" style="44" bestFit="1" customWidth="1"/>
    <col min="2272" max="2272" width="87.08984375" style="44" bestFit="1" customWidth="1"/>
    <col min="2273" max="2273" width="72.453125" style="44" bestFit="1" customWidth="1"/>
    <col min="2274" max="2274" width="87.81640625" style="44" bestFit="1" customWidth="1"/>
    <col min="2275" max="2275" width="71.7265625" style="44" bestFit="1" customWidth="1"/>
    <col min="2276" max="2276" width="74" style="44" bestFit="1" customWidth="1"/>
    <col min="2277" max="2277" width="74.08984375" style="44" bestFit="1" customWidth="1"/>
    <col min="2278" max="2280" width="86.81640625" style="44" bestFit="1" customWidth="1"/>
    <col min="2281" max="2281" width="104.7265625" style="44" bestFit="1" customWidth="1"/>
    <col min="2282" max="2282" width="101.81640625" style="44" bestFit="1" customWidth="1"/>
    <col min="2283" max="2283" width="64.453125" style="44" bestFit="1" customWidth="1"/>
    <col min="2284" max="2284" width="65.1796875" style="44" bestFit="1" customWidth="1"/>
    <col min="2285" max="2285" width="72.453125" style="44" bestFit="1" customWidth="1"/>
    <col min="2286" max="2286" width="81.36328125" style="44" bestFit="1" customWidth="1"/>
    <col min="2287" max="2287" width="65.1796875" style="44" bestFit="1" customWidth="1"/>
    <col min="2288" max="2288" width="80.90625" style="44" bestFit="1" customWidth="1"/>
    <col min="2289" max="2289" width="71.7265625" style="44" bestFit="1" customWidth="1"/>
    <col min="2290" max="2290" width="73.6328125" style="44" bestFit="1" customWidth="1"/>
    <col min="2291" max="2292" width="85.36328125" style="44" bestFit="1" customWidth="1"/>
    <col min="2293" max="2293" width="92.26953125" style="44" bestFit="1" customWidth="1"/>
    <col min="2294" max="2294" width="106.1796875" style="44" bestFit="1" customWidth="1"/>
    <col min="2295" max="2295" width="86.6328125" style="44" bestFit="1" customWidth="1"/>
    <col min="2296" max="2297" width="68.90625" style="44" bestFit="1" customWidth="1"/>
    <col min="2298" max="2298" width="80.54296875" style="44" bestFit="1" customWidth="1"/>
    <col min="2299" max="2299" width="68.90625" style="44" bestFit="1" customWidth="1"/>
    <col min="2300" max="2300" width="79.1796875" style="44" bestFit="1" customWidth="1"/>
    <col min="2301" max="2301" width="79.26953125" style="44" bestFit="1" customWidth="1"/>
    <col min="2302" max="2302" width="80.1796875" style="44" bestFit="1" customWidth="1"/>
    <col min="2303" max="2303" width="84.81640625" style="44" bestFit="1" customWidth="1"/>
    <col min="2304" max="2304" width="76.81640625" style="44" bestFit="1" customWidth="1"/>
    <col min="2305" max="2305" width="7.90625" style="44" bestFit="1" customWidth="1"/>
    <col min="2306" max="2306" width="132.54296875" style="44" bestFit="1" customWidth="1"/>
    <col min="2307" max="2307" width="45.36328125" style="44" bestFit="1" customWidth="1"/>
    <col min="2308" max="2308" width="14.08984375" style="44" bestFit="1" customWidth="1"/>
    <col min="2309" max="2310" width="8.7265625" style="44"/>
    <col min="2311" max="2311" width="49.7265625" style="44" bestFit="1" customWidth="1"/>
    <col min="2312" max="2312" width="7.90625" style="44" bestFit="1" customWidth="1"/>
    <col min="2313" max="2313" width="7.81640625" style="44" bestFit="1" customWidth="1"/>
    <col min="2314" max="2325" width="8.81640625" style="44" bestFit="1" customWidth="1"/>
    <col min="2326" max="2326" width="10.81640625" style="44" bestFit="1" customWidth="1"/>
    <col min="2327" max="2327" width="93.36328125" style="44" bestFit="1" customWidth="1"/>
    <col min="2328" max="2328" width="87.6328125" style="44" bestFit="1" customWidth="1"/>
    <col min="2329" max="2329" width="69.26953125" style="44" bestFit="1" customWidth="1"/>
    <col min="2330" max="2330" width="68.54296875" style="44" bestFit="1" customWidth="1"/>
    <col min="2331" max="2331" width="67.6328125" style="44" bestFit="1" customWidth="1"/>
    <col min="2332" max="2332" width="64" style="44" bestFit="1" customWidth="1"/>
    <col min="2333" max="2333" width="43.81640625" style="44" bestFit="1" customWidth="1"/>
    <col min="2334" max="2334" width="39.81640625" style="44" bestFit="1" customWidth="1"/>
    <col min="2335" max="2335" width="85.26953125" style="44" bestFit="1" customWidth="1"/>
    <col min="2336" max="2336" width="84.08984375" style="44" bestFit="1" customWidth="1"/>
    <col min="2337" max="2337" width="91" style="44" bestFit="1" customWidth="1"/>
    <col min="2338" max="2338" width="79" style="44" bestFit="1" customWidth="1"/>
    <col min="2339" max="2339" width="89.90625" style="44" bestFit="1" customWidth="1"/>
    <col min="2340" max="2346" width="90.90625" style="44" bestFit="1" customWidth="1"/>
    <col min="2347" max="2347" width="91.90625" style="44" bestFit="1" customWidth="1"/>
    <col min="2348" max="2348" width="73.08984375" style="44" bestFit="1" customWidth="1"/>
    <col min="2349" max="2349" width="61.1796875" style="44" bestFit="1" customWidth="1"/>
    <col min="2350" max="2350" width="94.1796875" style="44" bestFit="1" customWidth="1"/>
    <col min="2351" max="2351" width="84.453125" style="44" bestFit="1" customWidth="1"/>
    <col min="2352" max="2352" width="86.81640625" style="44" bestFit="1" customWidth="1"/>
    <col min="2353" max="2353" width="90.08984375" style="44" bestFit="1" customWidth="1"/>
    <col min="2354" max="2354" width="86.7265625" style="44" bestFit="1" customWidth="1"/>
    <col min="2355" max="2355" width="87.6328125" style="44" bestFit="1" customWidth="1"/>
    <col min="2356" max="2358" width="97.6328125" style="44" bestFit="1" customWidth="1"/>
    <col min="2359" max="2359" width="72.54296875" style="44" bestFit="1" customWidth="1"/>
    <col min="2360" max="2360" width="73.6328125" style="44" bestFit="1" customWidth="1"/>
    <col min="2361" max="2361" width="58.6328125" style="44" bestFit="1" customWidth="1"/>
    <col min="2362" max="2363" width="74.08984375" style="44" bestFit="1" customWidth="1"/>
    <col min="2364" max="2364" width="75.54296875" style="44" bestFit="1" customWidth="1"/>
    <col min="2365" max="2365" width="92" style="44" bestFit="1" customWidth="1"/>
    <col min="2366" max="2366" width="93.54296875" style="44" bestFit="1" customWidth="1"/>
    <col min="2367" max="2368" width="75.54296875" style="44" bestFit="1" customWidth="1"/>
    <col min="2369" max="2369" width="78.08984375" style="44" bestFit="1" customWidth="1"/>
    <col min="2370" max="2370" width="70" style="44" bestFit="1" customWidth="1"/>
    <col min="2371" max="2371" width="84.81640625" style="44" bestFit="1" customWidth="1"/>
    <col min="2372" max="2372" width="93" style="44" bestFit="1" customWidth="1"/>
    <col min="2373" max="2373" width="83.453125" style="44" bestFit="1" customWidth="1"/>
    <col min="2374" max="2374" width="100.90625" style="44" bestFit="1" customWidth="1"/>
    <col min="2375" max="2377" width="64.54296875" style="44" bestFit="1" customWidth="1"/>
    <col min="2378" max="2379" width="82.7265625" style="44" bestFit="1" customWidth="1"/>
    <col min="2380" max="2380" width="99.453125" style="44" bestFit="1" customWidth="1"/>
    <col min="2381" max="2381" width="78.1796875" style="44" bestFit="1" customWidth="1"/>
    <col min="2382" max="2382" width="71.36328125" style="44" bestFit="1" customWidth="1"/>
    <col min="2383" max="2383" width="71.26953125" style="44" bestFit="1" customWidth="1"/>
    <col min="2384" max="2387" width="76.453125" style="44" bestFit="1" customWidth="1"/>
    <col min="2388" max="2388" width="70.54296875" style="44" bestFit="1" customWidth="1"/>
    <col min="2389" max="2389" width="63.36328125" style="44" bestFit="1" customWidth="1"/>
    <col min="2390" max="2390" width="97.81640625" style="44" bestFit="1" customWidth="1"/>
    <col min="2391" max="2392" width="73" style="44" bestFit="1" customWidth="1"/>
    <col min="2393" max="2393" width="79" style="44" bestFit="1" customWidth="1"/>
    <col min="2394" max="2394" width="73" style="44" bestFit="1" customWidth="1"/>
    <col min="2395" max="2395" width="82.1796875" style="44" bestFit="1" customWidth="1"/>
    <col min="2396" max="2396" width="61.453125" style="44" bestFit="1" customWidth="1"/>
    <col min="2397" max="2398" width="99.90625" style="44" bestFit="1" customWidth="1"/>
    <col min="2399" max="2399" width="100.36328125" style="44" bestFit="1" customWidth="1"/>
    <col min="2400" max="2400" width="84.453125" style="44" bestFit="1" customWidth="1"/>
    <col min="2401" max="2401" width="113.36328125" style="44" bestFit="1" customWidth="1"/>
    <col min="2402" max="2402" width="98.453125" style="44" bestFit="1" customWidth="1"/>
    <col min="2403" max="2403" width="99.7265625" style="44" bestFit="1" customWidth="1"/>
    <col min="2404" max="2404" width="99.54296875" style="44" bestFit="1" customWidth="1"/>
    <col min="2405" max="2405" width="96.81640625" style="44" bestFit="1" customWidth="1"/>
    <col min="2406" max="2406" width="94.08984375" style="44" bestFit="1" customWidth="1"/>
    <col min="2407" max="2407" width="100.453125" style="44" bestFit="1" customWidth="1"/>
    <col min="2408" max="2408" width="98.6328125" style="44" bestFit="1" customWidth="1"/>
    <col min="2409" max="2409" width="77.453125" style="44" bestFit="1" customWidth="1"/>
    <col min="2410" max="2410" width="95.1796875" style="44" bestFit="1" customWidth="1"/>
    <col min="2411" max="2411" width="86.6328125" style="44" bestFit="1" customWidth="1"/>
    <col min="2412" max="2412" width="77.26953125" style="44" bestFit="1" customWidth="1"/>
    <col min="2413" max="2413" width="85.1796875" style="44" bestFit="1" customWidth="1"/>
    <col min="2414" max="2414" width="74.7265625" style="44" bestFit="1" customWidth="1"/>
    <col min="2415" max="2415" width="92" style="44" bestFit="1" customWidth="1"/>
    <col min="2416" max="2416" width="72.26953125" style="44" bestFit="1" customWidth="1"/>
    <col min="2417" max="2417" width="97.08984375" style="44" bestFit="1" customWidth="1"/>
    <col min="2418" max="2418" width="77.08984375" style="44" bestFit="1" customWidth="1"/>
    <col min="2419" max="2419" width="85.08984375" style="44" bestFit="1" customWidth="1"/>
    <col min="2420" max="2421" width="83.1796875" style="44" bestFit="1" customWidth="1"/>
    <col min="2422" max="2422" width="82.6328125" style="44" bestFit="1" customWidth="1"/>
    <col min="2423" max="2423" width="86.26953125" style="44" bestFit="1" customWidth="1"/>
    <col min="2424" max="2424" width="71.1796875" style="44" bestFit="1" customWidth="1"/>
    <col min="2425" max="2425" width="66.6328125" style="44" bestFit="1" customWidth="1"/>
    <col min="2426" max="2427" width="83.1796875" style="44" bestFit="1" customWidth="1"/>
    <col min="2428" max="2428" width="67.08984375" style="44" bestFit="1" customWidth="1"/>
    <col min="2429" max="2429" width="76.54296875" style="44" bestFit="1" customWidth="1"/>
    <col min="2430" max="2430" width="94.08984375" style="44" bestFit="1" customWidth="1"/>
    <col min="2431" max="2431" width="89.08984375" style="44" bestFit="1" customWidth="1"/>
    <col min="2432" max="2432" width="68.1796875" style="44" bestFit="1" customWidth="1"/>
    <col min="2433" max="2433" width="91.7265625" style="44" bestFit="1" customWidth="1"/>
    <col min="2434" max="2434" width="63.36328125" style="44" bestFit="1" customWidth="1"/>
    <col min="2435" max="2435" width="66.6328125" style="44" bestFit="1" customWidth="1"/>
    <col min="2436" max="2436" width="63.36328125" style="44" bestFit="1" customWidth="1"/>
    <col min="2437" max="2437" width="63.453125" style="44" bestFit="1" customWidth="1"/>
    <col min="2438" max="2438" width="87.54296875" style="44" bestFit="1" customWidth="1"/>
    <col min="2439" max="2439" width="93.81640625" style="44" bestFit="1" customWidth="1"/>
    <col min="2440" max="2440" width="66.453125" style="44" bestFit="1" customWidth="1"/>
    <col min="2441" max="2442" width="110" style="44" bestFit="1" customWidth="1"/>
    <col min="2443" max="2443" width="103.1796875" style="44" bestFit="1" customWidth="1"/>
    <col min="2444" max="2444" width="62.453125" style="44" bestFit="1" customWidth="1"/>
    <col min="2445" max="2445" width="77.453125" style="44" bestFit="1" customWidth="1"/>
    <col min="2446" max="2446" width="91.54296875" style="44" bestFit="1" customWidth="1"/>
    <col min="2447" max="2447" width="88.08984375" style="44" bestFit="1" customWidth="1"/>
    <col min="2448" max="2448" width="80.6328125" style="44" bestFit="1" customWidth="1"/>
    <col min="2449" max="2449" width="77.453125" style="44" bestFit="1" customWidth="1"/>
    <col min="2450" max="2450" width="85.1796875" style="44" bestFit="1" customWidth="1"/>
    <col min="2451" max="2454" width="72.36328125" style="44" bestFit="1" customWidth="1"/>
    <col min="2455" max="2456" width="95" style="44" bestFit="1" customWidth="1"/>
    <col min="2457" max="2457" width="64.08984375" style="44" bestFit="1" customWidth="1"/>
    <col min="2458" max="2458" width="110.08984375" style="44" bestFit="1" customWidth="1"/>
    <col min="2459" max="2459" width="86.36328125" style="44" bestFit="1" customWidth="1"/>
    <col min="2460" max="2460" width="89.36328125" style="44" bestFit="1" customWidth="1"/>
    <col min="2461" max="2461" width="89.81640625" style="44" bestFit="1" customWidth="1"/>
    <col min="2462" max="2462" width="64.26953125" style="44" bestFit="1" customWidth="1"/>
    <col min="2463" max="2463" width="85.7265625" style="44" bestFit="1" customWidth="1"/>
    <col min="2464" max="2464" width="73" style="44" bestFit="1" customWidth="1"/>
    <col min="2465" max="2465" width="92.7265625" style="44" bestFit="1" customWidth="1"/>
    <col min="2466" max="2466" width="92.36328125" style="44" bestFit="1" customWidth="1"/>
    <col min="2467" max="2467" width="72" style="44" bestFit="1" customWidth="1"/>
    <col min="2468" max="2468" width="82" style="44" bestFit="1" customWidth="1"/>
    <col min="2469" max="2469" width="79.36328125" style="44" bestFit="1" customWidth="1"/>
    <col min="2470" max="2470" width="81" style="44" bestFit="1" customWidth="1"/>
    <col min="2471" max="2471" width="72.90625" style="44" bestFit="1" customWidth="1"/>
    <col min="2472" max="2472" width="90.81640625" style="44" bestFit="1" customWidth="1"/>
    <col min="2473" max="2473" width="84" style="44" bestFit="1" customWidth="1"/>
    <col min="2474" max="2475" width="73.36328125" style="44" bestFit="1" customWidth="1"/>
    <col min="2476" max="2476" width="90.6328125" style="44" bestFit="1" customWidth="1"/>
    <col min="2477" max="2477" width="89.453125" style="44" bestFit="1" customWidth="1"/>
    <col min="2478" max="2478" width="84.6328125" style="44" bestFit="1" customWidth="1"/>
    <col min="2479" max="2479" width="74.54296875" style="44" bestFit="1" customWidth="1"/>
    <col min="2480" max="2480" width="76.90625" style="44" bestFit="1" customWidth="1"/>
    <col min="2481" max="2481" width="83" style="44" bestFit="1" customWidth="1"/>
    <col min="2482" max="2482" width="85.81640625" style="44" bestFit="1" customWidth="1"/>
    <col min="2483" max="2483" width="83.7265625" style="44" bestFit="1" customWidth="1"/>
    <col min="2484" max="2484" width="79.54296875" style="44" bestFit="1" customWidth="1"/>
    <col min="2485" max="2485" width="80.54296875" style="44" bestFit="1" customWidth="1"/>
    <col min="2486" max="2486" width="89.54296875" style="44" bestFit="1" customWidth="1"/>
    <col min="2487" max="2487" width="85.36328125" style="44" bestFit="1" customWidth="1"/>
    <col min="2488" max="2488" width="61.6328125" style="44" bestFit="1" customWidth="1"/>
    <col min="2489" max="2489" width="132.54296875" style="44" bestFit="1" customWidth="1"/>
    <col min="2490" max="2490" width="93.1796875" style="44" bestFit="1" customWidth="1"/>
    <col min="2491" max="2491" width="91.08984375" style="44" bestFit="1" customWidth="1"/>
    <col min="2492" max="2492" width="81.7265625" style="44" bestFit="1" customWidth="1"/>
    <col min="2493" max="2494" width="80.90625" style="44" bestFit="1" customWidth="1"/>
    <col min="2495" max="2495" width="83.26953125" style="44" bestFit="1" customWidth="1"/>
    <col min="2496" max="2496" width="101.453125" style="44" bestFit="1" customWidth="1"/>
    <col min="2497" max="2497" width="110.1796875" style="44" bestFit="1" customWidth="1"/>
    <col min="2498" max="2498" width="74.6328125" style="44" bestFit="1" customWidth="1"/>
    <col min="2499" max="2502" width="84.54296875" style="44" bestFit="1" customWidth="1"/>
    <col min="2503" max="2503" width="74.36328125" style="44" bestFit="1" customWidth="1"/>
    <col min="2504" max="2504" width="88.1796875" style="44" bestFit="1" customWidth="1"/>
    <col min="2505" max="2505" width="78.6328125" style="44" bestFit="1" customWidth="1"/>
    <col min="2506" max="2506" width="76.81640625" style="44" bestFit="1" customWidth="1"/>
    <col min="2507" max="2507" width="74.7265625" style="44" bestFit="1" customWidth="1"/>
    <col min="2508" max="2508" width="87.26953125" style="44" bestFit="1" customWidth="1"/>
    <col min="2509" max="2509" width="85.54296875" style="44" bestFit="1" customWidth="1"/>
    <col min="2510" max="2510" width="100.26953125" style="44" bestFit="1" customWidth="1"/>
    <col min="2511" max="2511" width="71.36328125" style="44" bestFit="1" customWidth="1"/>
    <col min="2512" max="2512" width="105.453125" style="44" bestFit="1" customWidth="1"/>
    <col min="2513" max="2513" width="103.08984375" style="44" bestFit="1" customWidth="1"/>
    <col min="2514" max="2514" width="85.7265625" style="44" bestFit="1" customWidth="1"/>
    <col min="2515" max="2515" width="99.26953125" style="44" bestFit="1" customWidth="1"/>
    <col min="2516" max="2516" width="83.54296875" style="44" bestFit="1" customWidth="1"/>
    <col min="2517" max="2517" width="96.90625" style="44" bestFit="1" customWidth="1"/>
    <col min="2518" max="2518" width="74.26953125" style="44" bestFit="1" customWidth="1"/>
    <col min="2519" max="2519" width="98.36328125" style="44" bestFit="1" customWidth="1"/>
    <col min="2520" max="2520" width="74.453125" style="44" bestFit="1" customWidth="1"/>
    <col min="2521" max="2521" width="88.81640625" style="44" bestFit="1" customWidth="1"/>
    <col min="2522" max="2522" width="67.6328125" style="44" bestFit="1" customWidth="1"/>
    <col min="2523" max="2523" width="93.08984375" style="44" bestFit="1" customWidth="1"/>
    <col min="2524" max="2524" width="101.453125" style="44" bestFit="1" customWidth="1"/>
    <col min="2525" max="2527" width="76.81640625" style="44" bestFit="1" customWidth="1"/>
    <col min="2528" max="2528" width="87.08984375" style="44" bestFit="1" customWidth="1"/>
    <col min="2529" max="2529" width="72.453125" style="44" bestFit="1" customWidth="1"/>
    <col min="2530" max="2530" width="87.81640625" style="44" bestFit="1" customWidth="1"/>
    <col min="2531" max="2531" width="71.7265625" style="44" bestFit="1" customWidth="1"/>
    <col min="2532" max="2532" width="74" style="44" bestFit="1" customWidth="1"/>
    <col min="2533" max="2533" width="74.08984375" style="44" bestFit="1" customWidth="1"/>
    <col min="2534" max="2536" width="86.81640625" style="44" bestFit="1" customWidth="1"/>
    <col min="2537" max="2537" width="104.7265625" style="44" bestFit="1" customWidth="1"/>
    <col min="2538" max="2538" width="101.81640625" style="44" bestFit="1" customWidth="1"/>
    <col min="2539" max="2539" width="64.453125" style="44" bestFit="1" customWidth="1"/>
    <col min="2540" max="2540" width="65.1796875" style="44" bestFit="1" customWidth="1"/>
    <col min="2541" max="2541" width="72.453125" style="44" bestFit="1" customWidth="1"/>
    <col min="2542" max="2542" width="81.36328125" style="44" bestFit="1" customWidth="1"/>
    <col min="2543" max="2543" width="65.1796875" style="44" bestFit="1" customWidth="1"/>
    <col min="2544" max="2544" width="80.90625" style="44" bestFit="1" customWidth="1"/>
    <col min="2545" max="2545" width="71.7265625" style="44" bestFit="1" customWidth="1"/>
    <col min="2546" max="2546" width="73.6328125" style="44" bestFit="1" customWidth="1"/>
    <col min="2547" max="2548" width="85.36328125" style="44" bestFit="1" customWidth="1"/>
    <col min="2549" max="2549" width="92.26953125" style="44" bestFit="1" customWidth="1"/>
    <col min="2550" max="2550" width="106.1796875" style="44" bestFit="1" customWidth="1"/>
    <col min="2551" max="2551" width="86.6328125" style="44" bestFit="1" customWidth="1"/>
    <col min="2552" max="2553" width="68.90625" style="44" bestFit="1" customWidth="1"/>
    <col min="2554" max="2554" width="80.54296875" style="44" bestFit="1" customWidth="1"/>
    <col min="2555" max="2555" width="68.90625" style="44" bestFit="1" customWidth="1"/>
    <col min="2556" max="2556" width="79.1796875" style="44" bestFit="1" customWidth="1"/>
    <col min="2557" max="2557" width="79.26953125" style="44" bestFit="1" customWidth="1"/>
    <col min="2558" max="2558" width="80.1796875" style="44" bestFit="1" customWidth="1"/>
    <col min="2559" max="2559" width="84.81640625" style="44" bestFit="1" customWidth="1"/>
    <col min="2560" max="2560" width="76.81640625" style="44" bestFit="1" customWidth="1"/>
    <col min="2561" max="2561" width="7.90625" style="44" bestFit="1" customWidth="1"/>
    <col min="2562" max="2562" width="132.54296875" style="44" bestFit="1" customWidth="1"/>
    <col min="2563" max="2563" width="45.36328125" style="44" bestFit="1" customWidth="1"/>
    <col min="2564" max="2564" width="14.08984375" style="44" bestFit="1" customWidth="1"/>
    <col min="2565" max="2566" width="8.7265625" style="44"/>
    <col min="2567" max="2567" width="49.7265625" style="44" bestFit="1" customWidth="1"/>
    <col min="2568" max="2568" width="7.90625" style="44" bestFit="1" customWidth="1"/>
    <col min="2569" max="2569" width="7.81640625" style="44" bestFit="1" customWidth="1"/>
    <col min="2570" max="2581" width="8.81640625" style="44" bestFit="1" customWidth="1"/>
    <col min="2582" max="2582" width="10.81640625" style="44" bestFit="1" customWidth="1"/>
    <col min="2583" max="2583" width="93.36328125" style="44" bestFit="1" customWidth="1"/>
    <col min="2584" max="2584" width="87.6328125" style="44" bestFit="1" customWidth="1"/>
    <col min="2585" max="2585" width="69.26953125" style="44" bestFit="1" customWidth="1"/>
    <col min="2586" max="2586" width="68.54296875" style="44" bestFit="1" customWidth="1"/>
    <col min="2587" max="2587" width="67.6328125" style="44" bestFit="1" customWidth="1"/>
    <col min="2588" max="2588" width="64" style="44" bestFit="1" customWidth="1"/>
    <col min="2589" max="2589" width="43.81640625" style="44" bestFit="1" customWidth="1"/>
    <col min="2590" max="2590" width="39.81640625" style="44" bestFit="1" customWidth="1"/>
    <col min="2591" max="2591" width="85.26953125" style="44" bestFit="1" customWidth="1"/>
    <col min="2592" max="2592" width="84.08984375" style="44" bestFit="1" customWidth="1"/>
    <col min="2593" max="2593" width="91" style="44" bestFit="1" customWidth="1"/>
    <col min="2594" max="2594" width="79" style="44" bestFit="1" customWidth="1"/>
    <col min="2595" max="2595" width="89.90625" style="44" bestFit="1" customWidth="1"/>
    <col min="2596" max="2602" width="90.90625" style="44" bestFit="1" customWidth="1"/>
    <col min="2603" max="2603" width="91.90625" style="44" bestFit="1" customWidth="1"/>
    <col min="2604" max="2604" width="73.08984375" style="44" bestFit="1" customWidth="1"/>
    <col min="2605" max="2605" width="61.1796875" style="44" bestFit="1" customWidth="1"/>
    <col min="2606" max="2606" width="94.1796875" style="44" bestFit="1" customWidth="1"/>
    <col min="2607" max="2607" width="84.453125" style="44" bestFit="1" customWidth="1"/>
    <col min="2608" max="2608" width="86.81640625" style="44" bestFit="1" customWidth="1"/>
    <col min="2609" max="2609" width="90.08984375" style="44" bestFit="1" customWidth="1"/>
    <col min="2610" max="2610" width="86.7265625" style="44" bestFit="1" customWidth="1"/>
    <col min="2611" max="2611" width="87.6328125" style="44" bestFit="1" customWidth="1"/>
    <col min="2612" max="2614" width="97.6328125" style="44" bestFit="1" customWidth="1"/>
    <col min="2615" max="2615" width="72.54296875" style="44" bestFit="1" customWidth="1"/>
    <col min="2616" max="2616" width="73.6328125" style="44" bestFit="1" customWidth="1"/>
    <col min="2617" max="2617" width="58.6328125" style="44" bestFit="1" customWidth="1"/>
    <col min="2618" max="2619" width="74.08984375" style="44" bestFit="1" customWidth="1"/>
    <col min="2620" max="2620" width="75.54296875" style="44" bestFit="1" customWidth="1"/>
    <col min="2621" max="2621" width="92" style="44" bestFit="1" customWidth="1"/>
    <col min="2622" max="2622" width="93.54296875" style="44" bestFit="1" customWidth="1"/>
    <col min="2623" max="2624" width="75.54296875" style="44" bestFit="1" customWidth="1"/>
    <col min="2625" max="2625" width="78.08984375" style="44" bestFit="1" customWidth="1"/>
    <col min="2626" max="2626" width="70" style="44" bestFit="1" customWidth="1"/>
    <col min="2627" max="2627" width="84.81640625" style="44" bestFit="1" customWidth="1"/>
    <col min="2628" max="2628" width="93" style="44" bestFit="1" customWidth="1"/>
    <col min="2629" max="2629" width="83.453125" style="44" bestFit="1" customWidth="1"/>
    <col min="2630" max="2630" width="100.90625" style="44" bestFit="1" customWidth="1"/>
    <col min="2631" max="2633" width="64.54296875" style="44" bestFit="1" customWidth="1"/>
    <col min="2634" max="2635" width="82.7265625" style="44" bestFit="1" customWidth="1"/>
    <col min="2636" max="2636" width="99.453125" style="44" bestFit="1" customWidth="1"/>
    <col min="2637" max="2637" width="78.1796875" style="44" bestFit="1" customWidth="1"/>
    <col min="2638" max="2638" width="71.36328125" style="44" bestFit="1" customWidth="1"/>
    <col min="2639" max="2639" width="71.26953125" style="44" bestFit="1" customWidth="1"/>
    <col min="2640" max="2643" width="76.453125" style="44" bestFit="1" customWidth="1"/>
    <col min="2644" max="2644" width="70.54296875" style="44" bestFit="1" customWidth="1"/>
    <col min="2645" max="2645" width="63.36328125" style="44" bestFit="1" customWidth="1"/>
    <col min="2646" max="2646" width="97.81640625" style="44" bestFit="1" customWidth="1"/>
    <col min="2647" max="2648" width="73" style="44" bestFit="1" customWidth="1"/>
    <col min="2649" max="2649" width="79" style="44" bestFit="1" customWidth="1"/>
    <col min="2650" max="2650" width="73" style="44" bestFit="1" customWidth="1"/>
    <col min="2651" max="2651" width="82.1796875" style="44" bestFit="1" customWidth="1"/>
    <col min="2652" max="2652" width="61.453125" style="44" bestFit="1" customWidth="1"/>
    <col min="2653" max="2654" width="99.90625" style="44" bestFit="1" customWidth="1"/>
    <col min="2655" max="2655" width="100.36328125" style="44" bestFit="1" customWidth="1"/>
    <col min="2656" max="2656" width="84.453125" style="44" bestFit="1" customWidth="1"/>
    <col min="2657" max="2657" width="113.36328125" style="44" bestFit="1" customWidth="1"/>
    <col min="2658" max="2658" width="98.453125" style="44" bestFit="1" customWidth="1"/>
    <col min="2659" max="2659" width="99.7265625" style="44" bestFit="1" customWidth="1"/>
    <col min="2660" max="2660" width="99.54296875" style="44" bestFit="1" customWidth="1"/>
    <col min="2661" max="2661" width="96.81640625" style="44" bestFit="1" customWidth="1"/>
    <col min="2662" max="2662" width="94.08984375" style="44" bestFit="1" customWidth="1"/>
    <col min="2663" max="2663" width="100.453125" style="44" bestFit="1" customWidth="1"/>
    <col min="2664" max="2664" width="98.6328125" style="44" bestFit="1" customWidth="1"/>
    <col min="2665" max="2665" width="77.453125" style="44" bestFit="1" customWidth="1"/>
    <col min="2666" max="2666" width="95.1796875" style="44" bestFit="1" customWidth="1"/>
    <col min="2667" max="2667" width="86.6328125" style="44" bestFit="1" customWidth="1"/>
    <col min="2668" max="2668" width="77.26953125" style="44" bestFit="1" customWidth="1"/>
    <col min="2669" max="2669" width="85.1796875" style="44" bestFit="1" customWidth="1"/>
    <col min="2670" max="2670" width="74.7265625" style="44" bestFit="1" customWidth="1"/>
    <col min="2671" max="2671" width="92" style="44" bestFit="1" customWidth="1"/>
    <col min="2672" max="2672" width="72.26953125" style="44" bestFit="1" customWidth="1"/>
    <col min="2673" max="2673" width="97.08984375" style="44" bestFit="1" customWidth="1"/>
    <col min="2674" max="2674" width="77.08984375" style="44" bestFit="1" customWidth="1"/>
    <col min="2675" max="2675" width="85.08984375" style="44" bestFit="1" customWidth="1"/>
    <col min="2676" max="2677" width="83.1796875" style="44" bestFit="1" customWidth="1"/>
    <col min="2678" max="2678" width="82.6328125" style="44" bestFit="1" customWidth="1"/>
    <col min="2679" max="2679" width="86.26953125" style="44" bestFit="1" customWidth="1"/>
    <col min="2680" max="2680" width="71.1796875" style="44" bestFit="1" customWidth="1"/>
    <col min="2681" max="2681" width="66.6328125" style="44" bestFit="1" customWidth="1"/>
    <col min="2682" max="2683" width="83.1796875" style="44" bestFit="1" customWidth="1"/>
    <col min="2684" max="2684" width="67.08984375" style="44" bestFit="1" customWidth="1"/>
    <col min="2685" max="2685" width="76.54296875" style="44" bestFit="1" customWidth="1"/>
    <col min="2686" max="2686" width="94.08984375" style="44" bestFit="1" customWidth="1"/>
    <col min="2687" max="2687" width="89.08984375" style="44" bestFit="1" customWidth="1"/>
    <col min="2688" max="2688" width="68.1796875" style="44" bestFit="1" customWidth="1"/>
    <col min="2689" max="2689" width="91.7265625" style="44" bestFit="1" customWidth="1"/>
    <col min="2690" max="2690" width="63.36328125" style="44" bestFit="1" customWidth="1"/>
    <col min="2691" max="2691" width="66.6328125" style="44" bestFit="1" customWidth="1"/>
    <col min="2692" max="2692" width="63.36328125" style="44" bestFit="1" customWidth="1"/>
    <col min="2693" max="2693" width="63.453125" style="44" bestFit="1" customWidth="1"/>
    <col min="2694" max="2694" width="87.54296875" style="44" bestFit="1" customWidth="1"/>
    <col min="2695" max="2695" width="93.81640625" style="44" bestFit="1" customWidth="1"/>
    <col min="2696" max="2696" width="66.453125" style="44" bestFit="1" customWidth="1"/>
    <col min="2697" max="2698" width="110" style="44" bestFit="1" customWidth="1"/>
    <col min="2699" max="2699" width="103.1796875" style="44" bestFit="1" customWidth="1"/>
    <col min="2700" max="2700" width="62.453125" style="44" bestFit="1" customWidth="1"/>
    <col min="2701" max="2701" width="77.453125" style="44" bestFit="1" customWidth="1"/>
    <col min="2702" max="2702" width="91.54296875" style="44" bestFit="1" customWidth="1"/>
    <col min="2703" max="2703" width="88.08984375" style="44" bestFit="1" customWidth="1"/>
    <col min="2704" max="2704" width="80.6328125" style="44" bestFit="1" customWidth="1"/>
    <col min="2705" max="2705" width="77.453125" style="44" bestFit="1" customWidth="1"/>
    <col min="2706" max="2706" width="85.1796875" style="44" bestFit="1" customWidth="1"/>
    <col min="2707" max="2710" width="72.36328125" style="44" bestFit="1" customWidth="1"/>
    <col min="2711" max="2712" width="95" style="44" bestFit="1" customWidth="1"/>
    <col min="2713" max="2713" width="64.08984375" style="44" bestFit="1" customWidth="1"/>
    <col min="2714" max="2714" width="110.08984375" style="44" bestFit="1" customWidth="1"/>
    <col min="2715" max="2715" width="86.36328125" style="44" bestFit="1" customWidth="1"/>
    <col min="2716" max="2716" width="89.36328125" style="44" bestFit="1" customWidth="1"/>
    <col min="2717" max="2717" width="89.81640625" style="44" bestFit="1" customWidth="1"/>
    <col min="2718" max="2718" width="64.26953125" style="44" bestFit="1" customWidth="1"/>
    <col min="2719" max="2719" width="85.7265625" style="44" bestFit="1" customWidth="1"/>
    <col min="2720" max="2720" width="73" style="44" bestFit="1" customWidth="1"/>
    <col min="2721" max="2721" width="92.7265625" style="44" bestFit="1" customWidth="1"/>
    <col min="2722" max="2722" width="92.36328125" style="44" bestFit="1" customWidth="1"/>
    <col min="2723" max="2723" width="72" style="44" bestFit="1" customWidth="1"/>
    <col min="2724" max="2724" width="82" style="44" bestFit="1" customWidth="1"/>
    <col min="2725" max="2725" width="79.36328125" style="44" bestFit="1" customWidth="1"/>
    <col min="2726" max="2726" width="81" style="44" bestFit="1" customWidth="1"/>
    <col min="2727" max="2727" width="72.90625" style="44" bestFit="1" customWidth="1"/>
    <col min="2728" max="2728" width="90.81640625" style="44" bestFit="1" customWidth="1"/>
    <col min="2729" max="2729" width="84" style="44" bestFit="1" customWidth="1"/>
    <col min="2730" max="2731" width="73.36328125" style="44" bestFit="1" customWidth="1"/>
    <col min="2732" max="2732" width="90.6328125" style="44" bestFit="1" customWidth="1"/>
    <col min="2733" max="2733" width="89.453125" style="44" bestFit="1" customWidth="1"/>
    <col min="2734" max="2734" width="84.6328125" style="44" bestFit="1" customWidth="1"/>
    <col min="2735" max="2735" width="74.54296875" style="44" bestFit="1" customWidth="1"/>
    <col min="2736" max="2736" width="76.90625" style="44" bestFit="1" customWidth="1"/>
    <col min="2737" max="2737" width="83" style="44" bestFit="1" customWidth="1"/>
    <col min="2738" max="2738" width="85.81640625" style="44" bestFit="1" customWidth="1"/>
    <col min="2739" max="2739" width="83.7265625" style="44" bestFit="1" customWidth="1"/>
    <col min="2740" max="2740" width="79.54296875" style="44" bestFit="1" customWidth="1"/>
    <col min="2741" max="2741" width="80.54296875" style="44" bestFit="1" customWidth="1"/>
    <col min="2742" max="2742" width="89.54296875" style="44" bestFit="1" customWidth="1"/>
    <col min="2743" max="2743" width="85.36328125" style="44" bestFit="1" customWidth="1"/>
    <col min="2744" max="2744" width="61.6328125" style="44" bestFit="1" customWidth="1"/>
    <col min="2745" max="2745" width="132.54296875" style="44" bestFit="1" customWidth="1"/>
    <col min="2746" max="2746" width="93.1796875" style="44" bestFit="1" customWidth="1"/>
    <col min="2747" max="2747" width="91.08984375" style="44" bestFit="1" customWidth="1"/>
    <col min="2748" max="2748" width="81.7265625" style="44" bestFit="1" customWidth="1"/>
    <col min="2749" max="2750" width="80.90625" style="44" bestFit="1" customWidth="1"/>
    <col min="2751" max="2751" width="83.26953125" style="44" bestFit="1" customWidth="1"/>
    <col min="2752" max="2752" width="101.453125" style="44" bestFit="1" customWidth="1"/>
    <col min="2753" max="2753" width="110.1796875" style="44" bestFit="1" customWidth="1"/>
    <col min="2754" max="2754" width="74.6328125" style="44" bestFit="1" customWidth="1"/>
    <col min="2755" max="2758" width="84.54296875" style="44" bestFit="1" customWidth="1"/>
    <col min="2759" max="2759" width="74.36328125" style="44" bestFit="1" customWidth="1"/>
    <col min="2760" max="2760" width="88.1796875" style="44" bestFit="1" customWidth="1"/>
    <col min="2761" max="2761" width="78.6328125" style="44" bestFit="1" customWidth="1"/>
    <col min="2762" max="2762" width="76.81640625" style="44" bestFit="1" customWidth="1"/>
    <col min="2763" max="2763" width="74.7265625" style="44" bestFit="1" customWidth="1"/>
    <col min="2764" max="2764" width="87.26953125" style="44" bestFit="1" customWidth="1"/>
    <col min="2765" max="2765" width="85.54296875" style="44" bestFit="1" customWidth="1"/>
    <col min="2766" max="2766" width="100.26953125" style="44" bestFit="1" customWidth="1"/>
    <col min="2767" max="2767" width="71.36328125" style="44" bestFit="1" customWidth="1"/>
    <col min="2768" max="2768" width="105.453125" style="44" bestFit="1" customWidth="1"/>
    <col min="2769" max="2769" width="103.08984375" style="44" bestFit="1" customWidth="1"/>
    <col min="2770" max="2770" width="85.7265625" style="44" bestFit="1" customWidth="1"/>
    <col min="2771" max="2771" width="99.26953125" style="44" bestFit="1" customWidth="1"/>
    <col min="2772" max="2772" width="83.54296875" style="44" bestFit="1" customWidth="1"/>
    <col min="2773" max="2773" width="96.90625" style="44" bestFit="1" customWidth="1"/>
    <col min="2774" max="2774" width="74.26953125" style="44" bestFit="1" customWidth="1"/>
    <col min="2775" max="2775" width="98.36328125" style="44" bestFit="1" customWidth="1"/>
    <col min="2776" max="2776" width="74.453125" style="44" bestFit="1" customWidth="1"/>
    <col min="2777" max="2777" width="88.81640625" style="44" bestFit="1" customWidth="1"/>
    <col min="2778" max="2778" width="67.6328125" style="44" bestFit="1" customWidth="1"/>
    <col min="2779" max="2779" width="93.08984375" style="44" bestFit="1" customWidth="1"/>
    <col min="2780" max="2780" width="101.453125" style="44" bestFit="1" customWidth="1"/>
    <col min="2781" max="2783" width="76.81640625" style="44" bestFit="1" customWidth="1"/>
    <col min="2784" max="2784" width="87.08984375" style="44" bestFit="1" customWidth="1"/>
    <col min="2785" max="2785" width="72.453125" style="44" bestFit="1" customWidth="1"/>
    <col min="2786" max="2786" width="87.81640625" style="44" bestFit="1" customWidth="1"/>
    <col min="2787" max="2787" width="71.7265625" style="44" bestFit="1" customWidth="1"/>
    <col min="2788" max="2788" width="74" style="44" bestFit="1" customWidth="1"/>
    <col min="2789" max="2789" width="74.08984375" style="44" bestFit="1" customWidth="1"/>
    <col min="2790" max="2792" width="86.81640625" style="44" bestFit="1" customWidth="1"/>
    <col min="2793" max="2793" width="104.7265625" style="44" bestFit="1" customWidth="1"/>
    <col min="2794" max="2794" width="101.81640625" style="44" bestFit="1" customWidth="1"/>
    <col min="2795" max="2795" width="64.453125" style="44" bestFit="1" customWidth="1"/>
    <col min="2796" max="2796" width="65.1796875" style="44" bestFit="1" customWidth="1"/>
    <col min="2797" max="2797" width="72.453125" style="44" bestFit="1" customWidth="1"/>
    <col min="2798" max="2798" width="81.36328125" style="44" bestFit="1" customWidth="1"/>
    <col min="2799" max="2799" width="65.1796875" style="44" bestFit="1" customWidth="1"/>
    <col min="2800" max="2800" width="80.90625" style="44" bestFit="1" customWidth="1"/>
    <col min="2801" max="2801" width="71.7265625" style="44" bestFit="1" customWidth="1"/>
    <col min="2802" max="2802" width="73.6328125" style="44" bestFit="1" customWidth="1"/>
    <col min="2803" max="2804" width="85.36328125" style="44" bestFit="1" customWidth="1"/>
    <col min="2805" max="2805" width="92.26953125" style="44" bestFit="1" customWidth="1"/>
    <col min="2806" max="2806" width="106.1796875" style="44" bestFit="1" customWidth="1"/>
    <col min="2807" max="2807" width="86.6328125" style="44" bestFit="1" customWidth="1"/>
    <col min="2808" max="2809" width="68.90625" style="44" bestFit="1" customWidth="1"/>
    <col min="2810" max="2810" width="80.54296875" style="44" bestFit="1" customWidth="1"/>
    <col min="2811" max="2811" width="68.90625" style="44" bestFit="1" customWidth="1"/>
    <col min="2812" max="2812" width="79.1796875" style="44" bestFit="1" customWidth="1"/>
    <col min="2813" max="2813" width="79.26953125" style="44" bestFit="1" customWidth="1"/>
    <col min="2814" max="2814" width="80.1796875" style="44" bestFit="1" customWidth="1"/>
    <col min="2815" max="2815" width="84.81640625" style="44" bestFit="1" customWidth="1"/>
    <col min="2816" max="2816" width="76.81640625" style="44" bestFit="1" customWidth="1"/>
    <col min="2817" max="2817" width="7.90625" style="44" bestFit="1" customWidth="1"/>
    <col min="2818" max="2818" width="132.54296875" style="44" bestFit="1" customWidth="1"/>
    <col min="2819" max="2819" width="45.36328125" style="44" bestFit="1" customWidth="1"/>
    <col min="2820" max="2820" width="14.08984375" style="44" bestFit="1" customWidth="1"/>
    <col min="2821" max="2822" width="8.7265625" style="44"/>
    <col min="2823" max="2823" width="49.7265625" style="44" bestFit="1" customWidth="1"/>
    <col min="2824" max="2824" width="7.90625" style="44" bestFit="1" customWidth="1"/>
    <col min="2825" max="2825" width="7.81640625" style="44" bestFit="1" customWidth="1"/>
    <col min="2826" max="2837" width="8.81640625" style="44" bestFit="1" customWidth="1"/>
    <col min="2838" max="2838" width="10.81640625" style="44" bestFit="1" customWidth="1"/>
    <col min="2839" max="2839" width="93.36328125" style="44" bestFit="1" customWidth="1"/>
    <col min="2840" max="2840" width="87.6328125" style="44" bestFit="1" customWidth="1"/>
    <col min="2841" max="2841" width="69.26953125" style="44" bestFit="1" customWidth="1"/>
    <col min="2842" max="2842" width="68.54296875" style="44" bestFit="1" customWidth="1"/>
    <col min="2843" max="2843" width="67.6328125" style="44" bestFit="1" customWidth="1"/>
    <col min="2844" max="2844" width="64" style="44" bestFit="1" customWidth="1"/>
    <col min="2845" max="2845" width="43.81640625" style="44" bestFit="1" customWidth="1"/>
    <col min="2846" max="2846" width="39.81640625" style="44" bestFit="1" customWidth="1"/>
    <col min="2847" max="2847" width="85.26953125" style="44" bestFit="1" customWidth="1"/>
    <col min="2848" max="2848" width="84.08984375" style="44" bestFit="1" customWidth="1"/>
    <col min="2849" max="2849" width="91" style="44" bestFit="1" customWidth="1"/>
    <col min="2850" max="2850" width="79" style="44" bestFit="1" customWidth="1"/>
    <col min="2851" max="2851" width="89.90625" style="44" bestFit="1" customWidth="1"/>
    <col min="2852" max="2858" width="90.90625" style="44" bestFit="1" customWidth="1"/>
    <col min="2859" max="2859" width="91.90625" style="44" bestFit="1" customWidth="1"/>
    <col min="2860" max="2860" width="73.08984375" style="44" bestFit="1" customWidth="1"/>
    <col min="2861" max="2861" width="61.1796875" style="44" bestFit="1" customWidth="1"/>
    <col min="2862" max="2862" width="94.1796875" style="44" bestFit="1" customWidth="1"/>
    <col min="2863" max="2863" width="84.453125" style="44" bestFit="1" customWidth="1"/>
    <col min="2864" max="2864" width="86.81640625" style="44" bestFit="1" customWidth="1"/>
    <col min="2865" max="2865" width="90.08984375" style="44" bestFit="1" customWidth="1"/>
    <col min="2866" max="2866" width="86.7265625" style="44" bestFit="1" customWidth="1"/>
    <col min="2867" max="2867" width="87.6328125" style="44" bestFit="1" customWidth="1"/>
    <col min="2868" max="2870" width="97.6328125" style="44" bestFit="1" customWidth="1"/>
    <col min="2871" max="2871" width="72.54296875" style="44" bestFit="1" customWidth="1"/>
    <col min="2872" max="2872" width="73.6328125" style="44" bestFit="1" customWidth="1"/>
    <col min="2873" max="2873" width="58.6328125" style="44" bestFit="1" customWidth="1"/>
    <col min="2874" max="2875" width="74.08984375" style="44" bestFit="1" customWidth="1"/>
    <col min="2876" max="2876" width="75.54296875" style="44" bestFit="1" customWidth="1"/>
    <col min="2877" max="2877" width="92" style="44" bestFit="1" customWidth="1"/>
    <col min="2878" max="2878" width="93.54296875" style="44" bestFit="1" customWidth="1"/>
    <col min="2879" max="2880" width="75.54296875" style="44" bestFit="1" customWidth="1"/>
    <col min="2881" max="2881" width="78.08984375" style="44" bestFit="1" customWidth="1"/>
    <col min="2882" max="2882" width="70" style="44" bestFit="1" customWidth="1"/>
    <col min="2883" max="2883" width="84.81640625" style="44" bestFit="1" customWidth="1"/>
    <col min="2884" max="2884" width="93" style="44" bestFit="1" customWidth="1"/>
    <col min="2885" max="2885" width="83.453125" style="44" bestFit="1" customWidth="1"/>
    <col min="2886" max="2886" width="100.90625" style="44" bestFit="1" customWidth="1"/>
    <col min="2887" max="2889" width="64.54296875" style="44" bestFit="1" customWidth="1"/>
    <col min="2890" max="2891" width="82.7265625" style="44" bestFit="1" customWidth="1"/>
    <col min="2892" max="2892" width="99.453125" style="44" bestFit="1" customWidth="1"/>
    <col min="2893" max="2893" width="78.1796875" style="44" bestFit="1" customWidth="1"/>
    <col min="2894" max="2894" width="71.36328125" style="44" bestFit="1" customWidth="1"/>
    <col min="2895" max="2895" width="71.26953125" style="44" bestFit="1" customWidth="1"/>
    <col min="2896" max="2899" width="76.453125" style="44" bestFit="1" customWidth="1"/>
    <col min="2900" max="2900" width="70.54296875" style="44" bestFit="1" customWidth="1"/>
    <col min="2901" max="2901" width="63.36328125" style="44" bestFit="1" customWidth="1"/>
    <col min="2902" max="2902" width="97.81640625" style="44" bestFit="1" customWidth="1"/>
    <col min="2903" max="2904" width="73" style="44" bestFit="1" customWidth="1"/>
    <col min="2905" max="2905" width="79" style="44" bestFit="1" customWidth="1"/>
    <col min="2906" max="2906" width="73" style="44" bestFit="1" customWidth="1"/>
    <col min="2907" max="2907" width="82.1796875" style="44" bestFit="1" customWidth="1"/>
    <col min="2908" max="2908" width="61.453125" style="44" bestFit="1" customWidth="1"/>
    <col min="2909" max="2910" width="99.90625" style="44" bestFit="1" customWidth="1"/>
    <col min="2911" max="2911" width="100.36328125" style="44" bestFit="1" customWidth="1"/>
    <col min="2912" max="2912" width="84.453125" style="44" bestFit="1" customWidth="1"/>
    <col min="2913" max="2913" width="113.36328125" style="44" bestFit="1" customWidth="1"/>
    <col min="2914" max="2914" width="98.453125" style="44" bestFit="1" customWidth="1"/>
    <col min="2915" max="2915" width="99.7265625" style="44" bestFit="1" customWidth="1"/>
    <col min="2916" max="2916" width="99.54296875" style="44" bestFit="1" customWidth="1"/>
    <col min="2917" max="2917" width="96.81640625" style="44" bestFit="1" customWidth="1"/>
    <col min="2918" max="2918" width="94.08984375" style="44" bestFit="1" customWidth="1"/>
    <col min="2919" max="2919" width="100.453125" style="44" bestFit="1" customWidth="1"/>
    <col min="2920" max="2920" width="98.6328125" style="44" bestFit="1" customWidth="1"/>
    <col min="2921" max="2921" width="77.453125" style="44" bestFit="1" customWidth="1"/>
    <col min="2922" max="2922" width="95.1796875" style="44" bestFit="1" customWidth="1"/>
    <col min="2923" max="2923" width="86.6328125" style="44" bestFit="1" customWidth="1"/>
    <col min="2924" max="2924" width="77.26953125" style="44" bestFit="1" customWidth="1"/>
    <col min="2925" max="2925" width="85.1796875" style="44" bestFit="1" customWidth="1"/>
    <col min="2926" max="2926" width="74.7265625" style="44" bestFit="1" customWidth="1"/>
    <col min="2927" max="2927" width="92" style="44" bestFit="1" customWidth="1"/>
    <col min="2928" max="2928" width="72.26953125" style="44" bestFit="1" customWidth="1"/>
    <col min="2929" max="2929" width="97.08984375" style="44" bestFit="1" customWidth="1"/>
    <col min="2930" max="2930" width="77.08984375" style="44" bestFit="1" customWidth="1"/>
    <col min="2931" max="2931" width="85.08984375" style="44" bestFit="1" customWidth="1"/>
    <col min="2932" max="2933" width="83.1796875" style="44" bestFit="1" customWidth="1"/>
    <col min="2934" max="2934" width="82.6328125" style="44" bestFit="1" customWidth="1"/>
    <col min="2935" max="2935" width="86.26953125" style="44" bestFit="1" customWidth="1"/>
    <col min="2936" max="2936" width="71.1796875" style="44" bestFit="1" customWidth="1"/>
    <col min="2937" max="2937" width="66.6328125" style="44" bestFit="1" customWidth="1"/>
    <col min="2938" max="2939" width="83.1796875" style="44" bestFit="1" customWidth="1"/>
    <col min="2940" max="2940" width="67.08984375" style="44" bestFit="1" customWidth="1"/>
    <col min="2941" max="2941" width="76.54296875" style="44" bestFit="1" customWidth="1"/>
    <col min="2942" max="2942" width="94.08984375" style="44" bestFit="1" customWidth="1"/>
    <col min="2943" max="2943" width="89.08984375" style="44" bestFit="1" customWidth="1"/>
    <col min="2944" max="2944" width="68.1796875" style="44" bestFit="1" customWidth="1"/>
    <col min="2945" max="2945" width="91.7265625" style="44" bestFit="1" customWidth="1"/>
    <col min="2946" max="2946" width="63.36328125" style="44" bestFit="1" customWidth="1"/>
    <col min="2947" max="2947" width="66.6328125" style="44" bestFit="1" customWidth="1"/>
    <col min="2948" max="2948" width="63.36328125" style="44" bestFit="1" customWidth="1"/>
    <col min="2949" max="2949" width="63.453125" style="44" bestFit="1" customWidth="1"/>
    <col min="2950" max="2950" width="87.54296875" style="44" bestFit="1" customWidth="1"/>
    <col min="2951" max="2951" width="93.81640625" style="44" bestFit="1" customWidth="1"/>
    <col min="2952" max="2952" width="66.453125" style="44" bestFit="1" customWidth="1"/>
    <col min="2953" max="2954" width="110" style="44" bestFit="1" customWidth="1"/>
    <col min="2955" max="2955" width="103.1796875" style="44" bestFit="1" customWidth="1"/>
    <col min="2956" max="2956" width="62.453125" style="44" bestFit="1" customWidth="1"/>
    <col min="2957" max="2957" width="77.453125" style="44" bestFit="1" customWidth="1"/>
    <col min="2958" max="2958" width="91.54296875" style="44" bestFit="1" customWidth="1"/>
    <col min="2959" max="2959" width="88.08984375" style="44" bestFit="1" customWidth="1"/>
    <col min="2960" max="2960" width="80.6328125" style="44" bestFit="1" customWidth="1"/>
    <col min="2961" max="2961" width="77.453125" style="44" bestFit="1" customWidth="1"/>
    <col min="2962" max="2962" width="85.1796875" style="44" bestFit="1" customWidth="1"/>
    <col min="2963" max="2966" width="72.36328125" style="44" bestFit="1" customWidth="1"/>
    <col min="2967" max="2968" width="95" style="44" bestFit="1" customWidth="1"/>
    <col min="2969" max="2969" width="64.08984375" style="44" bestFit="1" customWidth="1"/>
    <col min="2970" max="2970" width="110.08984375" style="44" bestFit="1" customWidth="1"/>
    <col min="2971" max="2971" width="86.36328125" style="44" bestFit="1" customWidth="1"/>
    <col min="2972" max="2972" width="89.36328125" style="44" bestFit="1" customWidth="1"/>
    <col min="2973" max="2973" width="89.81640625" style="44" bestFit="1" customWidth="1"/>
    <col min="2974" max="2974" width="64.26953125" style="44" bestFit="1" customWidth="1"/>
    <col min="2975" max="2975" width="85.7265625" style="44" bestFit="1" customWidth="1"/>
    <col min="2976" max="2976" width="73" style="44" bestFit="1" customWidth="1"/>
    <col min="2977" max="2977" width="92.7265625" style="44" bestFit="1" customWidth="1"/>
    <col min="2978" max="2978" width="92.36328125" style="44" bestFit="1" customWidth="1"/>
    <col min="2979" max="2979" width="72" style="44" bestFit="1" customWidth="1"/>
    <col min="2980" max="2980" width="82" style="44" bestFit="1" customWidth="1"/>
    <col min="2981" max="2981" width="79.36328125" style="44" bestFit="1" customWidth="1"/>
    <col min="2982" max="2982" width="81" style="44" bestFit="1" customWidth="1"/>
    <col min="2983" max="2983" width="72.90625" style="44" bestFit="1" customWidth="1"/>
    <col min="2984" max="2984" width="90.81640625" style="44" bestFit="1" customWidth="1"/>
    <col min="2985" max="2985" width="84" style="44" bestFit="1" customWidth="1"/>
    <col min="2986" max="2987" width="73.36328125" style="44" bestFit="1" customWidth="1"/>
    <col min="2988" max="2988" width="90.6328125" style="44" bestFit="1" customWidth="1"/>
    <col min="2989" max="2989" width="89.453125" style="44" bestFit="1" customWidth="1"/>
    <col min="2990" max="2990" width="84.6328125" style="44" bestFit="1" customWidth="1"/>
    <col min="2991" max="2991" width="74.54296875" style="44" bestFit="1" customWidth="1"/>
    <col min="2992" max="2992" width="76.90625" style="44" bestFit="1" customWidth="1"/>
    <col min="2993" max="2993" width="83" style="44" bestFit="1" customWidth="1"/>
    <col min="2994" max="2994" width="85.81640625" style="44" bestFit="1" customWidth="1"/>
    <col min="2995" max="2995" width="83.7265625" style="44" bestFit="1" customWidth="1"/>
    <col min="2996" max="2996" width="79.54296875" style="44" bestFit="1" customWidth="1"/>
    <col min="2997" max="2997" width="80.54296875" style="44" bestFit="1" customWidth="1"/>
    <col min="2998" max="2998" width="89.54296875" style="44" bestFit="1" customWidth="1"/>
    <col min="2999" max="2999" width="85.36328125" style="44" bestFit="1" customWidth="1"/>
    <col min="3000" max="3000" width="61.6328125" style="44" bestFit="1" customWidth="1"/>
    <col min="3001" max="3001" width="132.54296875" style="44" bestFit="1" customWidth="1"/>
    <col min="3002" max="3002" width="93.1796875" style="44" bestFit="1" customWidth="1"/>
    <col min="3003" max="3003" width="91.08984375" style="44" bestFit="1" customWidth="1"/>
    <col min="3004" max="3004" width="81.7265625" style="44" bestFit="1" customWidth="1"/>
    <col min="3005" max="3006" width="80.90625" style="44" bestFit="1" customWidth="1"/>
    <col min="3007" max="3007" width="83.26953125" style="44" bestFit="1" customWidth="1"/>
    <col min="3008" max="3008" width="101.453125" style="44" bestFit="1" customWidth="1"/>
    <col min="3009" max="3009" width="110.1796875" style="44" bestFit="1" customWidth="1"/>
    <col min="3010" max="3010" width="74.6328125" style="44" bestFit="1" customWidth="1"/>
    <col min="3011" max="3014" width="84.54296875" style="44" bestFit="1" customWidth="1"/>
    <col min="3015" max="3015" width="74.36328125" style="44" bestFit="1" customWidth="1"/>
    <col min="3016" max="3016" width="88.1796875" style="44" bestFit="1" customWidth="1"/>
    <col min="3017" max="3017" width="78.6328125" style="44" bestFit="1" customWidth="1"/>
    <col min="3018" max="3018" width="76.81640625" style="44" bestFit="1" customWidth="1"/>
    <col min="3019" max="3019" width="74.7265625" style="44" bestFit="1" customWidth="1"/>
    <col min="3020" max="3020" width="87.26953125" style="44" bestFit="1" customWidth="1"/>
    <col min="3021" max="3021" width="85.54296875" style="44" bestFit="1" customWidth="1"/>
    <col min="3022" max="3022" width="100.26953125" style="44" bestFit="1" customWidth="1"/>
    <col min="3023" max="3023" width="71.36328125" style="44" bestFit="1" customWidth="1"/>
    <col min="3024" max="3024" width="105.453125" style="44" bestFit="1" customWidth="1"/>
    <col min="3025" max="3025" width="103.08984375" style="44" bestFit="1" customWidth="1"/>
    <col min="3026" max="3026" width="85.7265625" style="44" bestFit="1" customWidth="1"/>
    <col min="3027" max="3027" width="99.26953125" style="44" bestFit="1" customWidth="1"/>
    <col min="3028" max="3028" width="83.54296875" style="44" bestFit="1" customWidth="1"/>
    <col min="3029" max="3029" width="96.90625" style="44" bestFit="1" customWidth="1"/>
    <col min="3030" max="3030" width="74.26953125" style="44" bestFit="1" customWidth="1"/>
    <col min="3031" max="3031" width="98.36328125" style="44" bestFit="1" customWidth="1"/>
    <col min="3032" max="3032" width="74.453125" style="44" bestFit="1" customWidth="1"/>
    <col min="3033" max="3033" width="88.81640625" style="44" bestFit="1" customWidth="1"/>
    <col min="3034" max="3034" width="67.6328125" style="44" bestFit="1" customWidth="1"/>
    <col min="3035" max="3035" width="93.08984375" style="44" bestFit="1" customWidth="1"/>
    <col min="3036" max="3036" width="101.453125" style="44" bestFit="1" customWidth="1"/>
    <col min="3037" max="3039" width="76.81640625" style="44" bestFit="1" customWidth="1"/>
    <col min="3040" max="3040" width="87.08984375" style="44" bestFit="1" customWidth="1"/>
    <col min="3041" max="3041" width="72.453125" style="44" bestFit="1" customWidth="1"/>
    <col min="3042" max="3042" width="87.81640625" style="44" bestFit="1" customWidth="1"/>
    <col min="3043" max="3043" width="71.7265625" style="44" bestFit="1" customWidth="1"/>
    <col min="3044" max="3044" width="74" style="44" bestFit="1" customWidth="1"/>
    <col min="3045" max="3045" width="74.08984375" style="44" bestFit="1" customWidth="1"/>
    <col min="3046" max="3048" width="86.81640625" style="44" bestFit="1" customWidth="1"/>
    <col min="3049" max="3049" width="104.7265625" style="44" bestFit="1" customWidth="1"/>
    <col min="3050" max="3050" width="101.81640625" style="44" bestFit="1" customWidth="1"/>
    <col min="3051" max="3051" width="64.453125" style="44" bestFit="1" customWidth="1"/>
    <col min="3052" max="3052" width="65.1796875" style="44" bestFit="1" customWidth="1"/>
    <col min="3053" max="3053" width="72.453125" style="44" bestFit="1" customWidth="1"/>
    <col min="3054" max="3054" width="81.36328125" style="44" bestFit="1" customWidth="1"/>
    <col min="3055" max="3055" width="65.1796875" style="44" bestFit="1" customWidth="1"/>
    <col min="3056" max="3056" width="80.90625" style="44" bestFit="1" customWidth="1"/>
    <col min="3057" max="3057" width="71.7265625" style="44" bestFit="1" customWidth="1"/>
    <col min="3058" max="3058" width="73.6328125" style="44" bestFit="1" customWidth="1"/>
    <col min="3059" max="3060" width="85.36328125" style="44" bestFit="1" customWidth="1"/>
    <col min="3061" max="3061" width="92.26953125" style="44" bestFit="1" customWidth="1"/>
    <col min="3062" max="3062" width="106.1796875" style="44" bestFit="1" customWidth="1"/>
    <col min="3063" max="3063" width="86.6328125" style="44" bestFit="1" customWidth="1"/>
    <col min="3064" max="3065" width="68.90625" style="44" bestFit="1" customWidth="1"/>
    <col min="3066" max="3066" width="80.54296875" style="44" bestFit="1" customWidth="1"/>
    <col min="3067" max="3067" width="68.90625" style="44" bestFit="1" customWidth="1"/>
    <col min="3068" max="3068" width="79.1796875" style="44" bestFit="1" customWidth="1"/>
    <col min="3069" max="3069" width="79.26953125" style="44" bestFit="1" customWidth="1"/>
    <col min="3070" max="3070" width="80.1796875" style="44" bestFit="1" customWidth="1"/>
    <col min="3071" max="3071" width="84.81640625" style="44" bestFit="1" customWidth="1"/>
    <col min="3072" max="3072" width="76.81640625" style="44" bestFit="1" customWidth="1"/>
    <col min="3073" max="3073" width="7.90625" style="44" bestFit="1" customWidth="1"/>
    <col min="3074" max="3074" width="132.54296875" style="44" bestFit="1" customWidth="1"/>
    <col min="3075" max="3075" width="45.36328125" style="44" bestFit="1" customWidth="1"/>
    <col min="3076" max="3076" width="14.08984375" style="44" bestFit="1" customWidth="1"/>
    <col min="3077" max="3078" width="8.7265625" style="44"/>
    <col min="3079" max="3079" width="49.7265625" style="44" bestFit="1" customWidth="1"/>
    <col min="3080" max="3080" width="7.90625" style="44" bestFit="1" customWidth="1"/>
    <col min="3081" max="3081" width="7.81640625" style="44" bestFit="1" customWidth="1"/>
    <col min="3082" max="3093" width="8.81640625" style="44" bestFit="1" customWidth="1"/>
    <col min="3094" max="3094" width="10.81640625" style="44" bestFit="1" customWidth="1"/>
    <col min="3095" max="3095" width="93.36328125" style="44" bestFit="1" customWidth="1"/>
    <col min="3096" max="3096" width="87.6328125" style="44" bestFit="1" customWidth="1"/>
    <col min="3097" max="3097" width="69.26953125" style="44" bestFit="1" customWidth="1"/>
    <col min="3098" max="3098" width="68.54296875" style="44" bestFit="1" customWidth="1"/>
    <col min="3099" max="3099" width="67.6328125" style="44" bestFit="1" customWidth="1"/>
    <col min="3100" max="3100" width="64" style="44" bestFit="1" customWidth="1"/>
    <col min="3101" max="3101" width="43.81640625" style="44" bestFit="1" customWidth="1"/>
    <col min="3102" max="3102" width="39.81640625" style="44" bestFit="1" customWidth="1"/>
    <col min="3103" max="3103" width="85.26953125" style="44" bestFit="1" customWidth="1"/>
    <col min="3104" max="3104" width="84.08984375" style="44" bestFit="1" customWidth="1"/>
    <col min="3105" max="3105" width="91" style="44" bestFit="1" customWidth="1"/>
    <col min="3106" max="3106" width="79" style="44" bestFit="1" customWidth="1"/>
    <col min="3107" max="3107" width="89.90625" style="44" bestFit="1" customWidth="1"/>
    <col min="3108" max="3114" width="90.90625" style="44" bestFit="1" customWidth="1"/>
    <col min="3115" max="3115" width="91.90625" style="44" bestFit="1" customWidth="1"/>
    <col min="3116" max="3116" width="73.08984375" style="44" bestFit="1" customWidth="1"/>
    <col min="3117" max="3117" width="61.1796875" style="44" bestFit="1" customWidth="1"/>
    <col min="3118" max="3118" width="94.1796875" style="44" bestFit="1" customWidth="1"/>
    <col min="3119" max="3119" width="84.453125" style="44" bestFit="1" customWidth="1"/>
    <col min="3120" max="3120" width="86.81640625" style="44" bestFit="1" customWidth="1"/>
    <col min="3121" max="3121" width="90.08984375" style="44" bestFit="1" customWidth="1"/>
    <col min="3122" max="3122" width="86.7265625" style="44" bestFit="1" customWidth="1"/>
    <col min="3123" max="3123" width="87.6328125" style="44" bestFit="1" customWidth="1"/>
    <col min="3124" max="3126" width="97.6328125" style="44" bestFit="1" customWidth="1"/>
    <col min="3127" max="3127" width="72.54296875" style="44" bestFit="1" customWidth="1"/>
    <col min="3128" max="3128" width="73.6328125" style="44" bestFit="1" customWidth="1"/>
    <col min="3129" max="3129" width="58.6328125" style="44" bestFit="1" customWidth="1"/>
    <col min="3130" max="3131" width="74.08984375" style="44" bestFit="1" customWidth="1"/>
    <col min="3132" max="3132" width="75.54296875" style="44" bestFit="1" customWidth="1"/>
    <col min="3133" max="3133" width="92" style="44" bestFit="1" customWidth="1"/>
    <col min="3134" max="3134" width="93.54296875" style="44" bestFit="1" customWidth="1"/>
    <col min="3135" max="3136" width="75.54296875" style="44" bestFit="1" customWidth="1"/>
    <col min="3137" max="3137" width="78.08984375" style="44" bestFit="1" customWidth="1"/>
    <col min="3138" max="3138" width="70" style="44" bestFit="1" customWidth="1"/>
    <col min="3139" max="3139" width="84.81640625" style="44" bestFit="1" customWidth="1"/>
    <col min="3140" max="3140" width="93" style="44" bestFit="1" customWidth="1"/>
    <col min="3141" max="3141" width="83.453125" style="44" bestFit="1" customWidth="1"/>
    <col min="3142" max="3142" width="100.90625" style="44" bestFit="1" customWidth="1"/>
    <col min="3143" max="3145" width="64.54296875" style="44" bestFit="1" customWidth="1"/>
    <col min="3146" max="3147" width="82.7265625" style="44" bestFit="1" customWidth="1"/>
    <col min="3148" max="3148" width="99.453125" style="44" bestFit="1" customWidth="1"/>
    <col min="3149" max="3149" width="78.1796875" style="44" bestFit="1" customWidth="1"/>
    <col min="3150" max="3150" width="71.36328125" style="44" bestFit="1" customWidth="1"/>
    <col min="3151" max="3151" width="71.26953125" style="44" bestFit="1" customWidth="1"/>
    <col min="3152" max="3155" width="76.453125" style="44" bestFit="1" customWidth="1"/>
    <col min="3156" max="3156" width="70.54296875" style="44" bestFit="1" customWidth="1"/>
    <col min="3157" max="3157" width="63.36328125" style="44" bestFit="1" customWidth="1"/>
    <col min="3158" max="3158" width="97.81640625" style="44" bestFit="1" customWidth="1"/>
    <col min="3159" max="3160" width="73" style="44" bestFit="1" customWidth="1"/>
    <col min="3161" max="3161" width="79" style="44" bestFit="1" customWidth="1"/>
    <col min="3162" max="3162" width="73" style="44" bestFit="1" customWidth="1"/>
    <col min="3163" max="3163" width="82.1796875" style="44" bestFit="1" customWidth="1"/>
    <col min="3164" max="3164" width="61.453125" style="44" bestFit="1" customWidth="1"/>
    <col min="3165" max="3166" width="99.90625" style="44" bestFit="1" customWidth="1"/>
    <col min="3167" max="3167" width="100.36328125" style="44" bestFit="1" customWidth="1"/>
    <col min="3168" max="3168" width="84.453125" style="44" bestFit="1" customWidth="1"/>
    <col min="3169" max="3169" width="113.36328125" style="44" bestFit="1" customWidth="1"/>
    <col min="3170" max="3170" width="98.453125" style="44" bestFit="1" customWidth="1"/>
    <col min="3171" max="3171" width="99.7265625" style="44" bestFit="1" customWidth="1"/>
    <col min="3172" max="3172" width="99.54296875" style="44" bestFit="1" customWidth="1"/>
    <col min="3173" max="3173" width="96.81640625" style="44" bestFit="1" customWidth="1"/>
    <col min="3174" max="3174" width="94.08984375" style="44" bestFit="1" customWidth="1"/>
    <col min="3175" max="3175" width="100.453125" style="44" bestFit="1" customWidth="1"/>
    <col min="3176" max="3176" width="98.6328125" style="44" bestFit="1" customWidth="1"/>
    <col min="3177" max="3177" width="77.453125" style="44" bestFit="1" customWidth="1"/>
    <col min="3178" max="3178" width="95.1796875" style="44" bestFit="1" customWidth="1"/>
    <col min="3179" max="3179" width="86.6328125" style="44" bestFit="1" customWidth="1"/>
    <col min="3180" max="3180" width="77.26953125" style="44" bestFit="1" customWidth="1"/>
    <col min="3181" max="3181" width="85.1796875" style="44" bestFit="1" customWidth="1"/>
    <col min="3182" max="3182" width="74.7265625" style="44" bestFit="1" customWidth="1"/>
    <col min="3183" max="3183" width="92" style="44" bestFit="1" customWidth="1"/>
    <col min="3184" max="3184" width="72.26953125" style="44" bestFit="1" customWidth="1"/>
    <col min="3185" max="3185" width="97.08984375" style="44" bestFit="1" customWidth="1"/>
    <col min="3186" max="3186" width="77.08984375" style="44" bestFit="1" customWidth="1"/>
    <col min="3187" max="3187" width="85.08984375" style="44" bestFit="1" customWidth="1"/>
    <col min="3188" max="3189" width="83.1796875" style="44" bestFit="1" customWidth="1"/>
    <col min="3190" max="3190" width="82.6328125" style="44" bestFit="1" customWidth="1"/>
    <col min="3191" max="3191" width="86.26953125" style="44" bestFit="1" customWidth="1"/>
    <col min="3192" max="3192" width="71.1796875" style="44" bestFit="1" customWidth="1"/>
    <col min="3193" max="3193" width="66.6328125" style="44" bestFit="1" customWidth="1"/>
    <col min="3194" max="3195" width="83.1796875" style="44" bestFit="1" customWidth="1"/>
    <col min="3196" max="3196" width="67.08984375" style="44" bestFit="1" customWidth="1"/>
    <col min="3197" max="3197" width="76.54296875" style="44" bestFit="1" customWidth="1"/>
    <col min="3198" max="3198" width="94.08984375" style="44" bestFit="1" customWidth="1"/>
    <col min="3199" max="3199" width="89.08984375" style="44" bestFit="1" customWidth="1"/>
    <col min="3200" max="3200" width="68.1796875" style="44" bestFit="1" customWidth="1"/>
    <col min="3201" max="3201" width="91.7265625" style="44" bestFit="1" customWidth="1"/>
    <col min="3202" max="3202" width="63.36328125" style="44" bestFit="1" customWidth="1"/>
    <col min="3203" max="3203" width="66.6328125" style="44" bestFit="1" customWidth="1"/>
    <col min="3204" max="3204" width="63.36328125" style="44" bestFit="1" customWidth="1"/>
    <col min="3205" max="3205" width="63.453125" style="44" bestFit="1" customWidth="1"/>
    <col min="3206" max="3206" width="87.54296875" style="44" bestFit="1" customWidth="1"/>
    <col min="3207" max="3207" width="93.81640625" style="44" bestFit="1" customWidth="1"/>
    <col min="3208" max="3208" width="66.453125" style="44" bestFit="1" customWidth="1"/>
    <col min="3209" max="3210" width="110" style="44" bestFit="1" customWidth="1"/>
    <col min="3211" max="3211" width="103.1796875" style="44" bestFit="1" customWidth="1"/>
    <col min="3212" max="3212" width="62.453125" style="44" bestFit="1" customWidth="1"/>
    <col min="3213" max="3213" width="77.453125" style="44" bestFit="1" customWidth="1"/>
    <col min="3214" max="3214" width="91.54296875" style="44" bestFit="1" customWidth="1"/>
    <col min="3215" max="3215" width="88.08984375" style="44" bestFit="1" customWidth="1"/>
    <col min="3216" max="3216" width="80.6328125" style="44" bestFit="1" customWidth="1"/>
    <col min="3217" max="3217" width="77.453125" style="44" bestFit="1" customWidth="1"/>
    <col min="3218" max="3218" width="85.1796875" style="44" bestFit="1" customWidth="1"/>
    <col min="3219" max="3222" width="72.36328125" style="44" bestFit="1" customWidth="1"/>
    <col min="3223" max="3224" width="95" style="44" bestFit="1" customWidth="1"/>
    <col min="3225" max="3225" width="64.08984375" style="44" bestFit="1" customWidth="1"/>
    <col min="3226" max="3226" width="110.08984375" style="44" bestFit="1" customWidth="1"/>
    <col min="3227" max="3227" width="86.36328125" style="44" bestFit="1" customWidth="1"/>
    <col min="3228" max="3228" width="89.36328125" style="44" bestFit="1" customWidth="1"/>
    <col min="3229" max="3229" width="89.81640625" style="44" bestFit="1" customWidth="1"/>
    <col min="3230" max="3230" width="64.26953125" style="44" bestFit="1" customWidth="1"/>
    <col min="3231" max="3231" width="85.7265625" style="44" bestFit="1" customWidth="1"/>
    <col min="3232" max="3232" width="73" style="44" bestFit="1" customWidth="1"/>
    <col min="3233" max="3233" width="92.7265625" style="44" bestFit="1" customWidth="1"/>
    <col min="3234" max="3234" width="92.36328125" style="44" bestFit="1" customWidth="1"/>
    <col min="3235" max="3235" width="72" style="44" bestFit="1" customWidth="1"/>
    <col min="3236" max="3236" width="82" style="44" bestFit="1" customWidth="1"/>
    <col min="3237" max="3237" width="79.36328125" style="44" bestFit="1" customWidth="1"/>
    <col min="3238" max="3238" width="81" style="44" bestFit="1" customWidth="1"/>
    <col min="3239" max="3239" width="72.90625" style="44" bestFit="1" customWidth="1"/>
    <col min="3240" max="3240" width="90.81640625" style="44" bestFit="1" customWidth="1"/>
    <col min="3241" max="3241" width="84" style="44" bestFit="1" customWidth="1"/>
    <col min="3242" max="3243" width="73.36328125" style="44" bestFit="1" customWidth="1"/>
    <col min="3244" max="3244" width="90.6328125" style="44" bestFit="1" customWidth="1"/>
    <col min="3245" max="3245" width="89.453125" style="44" bestFit="1" customWidth="1"/>
    <col min="3246" max="3246" width="84.6328125" style="44" bestFit="1" customWidth="1"/>
    <col min="3247" max="3247" width="74.54296875" style="44" bestFit="1" customWidth="1"/>
    <col min="3248" max="3248" width="76.90625" style="44" bestFit="1" customWidth="1"/>
    <col min="3249" max="3249" width="83" style="44" bestFit="1" customWidth="1"/>
    <col min="3250" max="3250" width="85.81640625" style="44" bestFit="1" customWidth="1"/>
    <col min="3251" max="3251" width="83.7265625" style="44" bestFit="1" customWidth="1"/>
    <col min="3252" max="3252" width="79.54296875" style="44" bestFit="1" customWidth="1"/>
    <col min="3253" max="3253" width="80.54296875" style="44" bestFit="1" customWidth="1"/>
    <col min="3254" max="3254" width="89.54296875" style="44" bestFit="1" customWidth="1"/>
    <col min="3255" max="3255" width="85.36328125" style="44" bestFit="1" customWidth="1"/>
    <col min="3256" max="3256" width="61.6328125" style="44" bestFit="1" customWidth="1"/>
    <col min="3257" max="3257" width="132.54296875" style="44" bestFit="1" customWidth="1"/>
    <col min="3258" max="3258" width="93.1796875" style="44" bestFit="1" customWidth="1"/>
    <col min="3259" max="3259" width="91.08984375" style="44" bestFit="1" customWidth="1"/>
    <col min="3260" max="3260" width="81.7265625" style="44" bestFit="1" customWidth="1"/>
    <col min="3261" max="3262" width="80.90625" style="44" bestFit="1" customWidth="1"/>
    <col min="3263" max="3263" width="83.26953125" style="44" bestFit="1" customWidth="1"/>
    <col min="3264" max="3264" width="101.453125" style="44" bestFit="1" customWidth="1"/>
    <col min="3265" max="3265" width="110.1796875" style="44" bestFit="1" customWidth="1"/>
    <col min="3266" max="3266" width="74.6328125" style="44" bestFit="1" customWidth="1"/>
    <col min="3267" max="3270" width="84.54296875" style="44" bestFit="1" customWidth="1"/>
    <col min="3271" max="3271" width="74.36328125" style="44" bestFit="1" customWidth="1"/>
    <col min="3272" max="3272" width="88.1796875" style="44" bestFit="1" customWidth="1"/>
    <col min="3273" max="3273" width="78.6328125" style="44" bestFit="1" customWidth="1"/>
    <col min="3274" max="3274" width="76.81640625" style="44" bestFit="1" customWidth="1"/>
    <col min="3275" max="3275" width="74.7265625" style="44" bestFit="1" customWidth="1"/>
    <col min="3276" max="3276" width="87.26953125" style="44" bestFit="1" customWidth="1"/>
    <col min="3277" max="3277" width="85.54296875" style="44" bestFit="1" customWidth="1"/>
    <col min="3278" max="3278" width="100.26953125" style="44" bestFit="1" customWidth="1"/>
    <col min="3279" max="3279" width="71.36328125" style="44" bestFit="1" customWidth="1"/>
    <col min="3280" max="3280" width="105.453125" style="44" bestFit="1" customWidth="1"/>
    <col min="3281" max="3281" width="103.08984375" style="44" bestFit="1" customWidth="1"/>
    <col min="3282" max="3282" width="85.7265625" style="44" bestFit="1" customWidth="1"/>
    <col min="3283" max="3283" width="99.26953125" style="44" bestFit="1" customWidth="1"/>
    <col min="3284" max="3284" width="83.54296875" style="44" bestFit="1" customWidth="1"/>
    <col min="3285" max="3285" width="96.90625" style="44" bestFit="1" customWidth="1"/>
    <col min="3286" max="3286" width="74.26953125" style="44" bestFit="1" customWidth="1"/>
    <col min="3287" max="3287" width="98.36328125" style="44" bestFit="1" customWidth="1"/>
    <col min="3288" max="3288" width="74.453125" style="44" bestFit="1" customWidth="1"/>
    <col min="3289" max="3289" width="88.81640625" style="44" bestFit="1" customWidth="1"/>
    <col min="3290" max="3290" width="67.6328125" style="44" bestFit="1" customWidth="1"/>
    <col min="3291" max="3291" width="93.08984375" style="44" bestFit="1" customWidth="1"/>
    <col min="3292" max="3292" width="101.453125" style="44" bestFit="1" customWidth="1"/>
    <col min="3293" max="3295" width="76.81640625" style="44" bestFit="1" customWidth="1"/>
    <col min="3296" max="3296" width="87.08984375" style="44" bestFit="1" customWidth="1"/>
    <col min="3297" max="3297" width="72.453125" style="44" bestFit="1" customWidth="1"/>
    <col min="3298" max="3298" width="87.81640625" style="44" bestFit="1" customWidth="1"/>
    <col min="3299" max="3299" width="71.7265625" style="44" bestFit="1" customWidth="1"/>
    <col min="3300" max="3300" width="74" style="44" bestFit="1" customWidth="1"/>
    <col min="3301" max="3301" width="74.08984375" style="44" bestFit="1" customWidth="1"/>
    <col min="3302" max="3304" width="86.81640625" style="44" bestFit="1" customWidth="1"/>
    <col min="3305" max="3305" width="104.7265625" style="44" bestFit="1" customWidth="1"/>
    <col min="3306" max="3306" width="101.81640625" style="44" bestFit="1" customWidth="1"/>
    <col min="3307" max="3307" width="64.453125" style="44" bestFit="1" customWidth="1"/>
    <col min="3308" max="3308" width="65.1796875" style="44" bestFit="1" customWidth="1"/>
    <col min="3309" max="3309" width="72.453125" style="44" bestFit="1" customWidth="1"/>
    <col min="3310" max="3310" width="81.36328125" style="44" bestFit="1" customWidth="1"/>
    <col min="3311" max="3311" width="65.1796875" style="44" bestFit="1" customWidth="1"/>
    <col min="3312" max="3312" width="80.90625" style="44" bestFit="1" customWidth="1"/>
    <col min="3313" max="3313" width="71.7265625" style="44" bestFit="1" customWidth="1"/>
    <col min="3314" max="3314" width="73.6328125" style="44" bestFit="1" customWidth="1"/>
    <col min="3315" max="3316" width="85.36328125" style="44" bestFit="1" customWidth="1"/>
    <col min="3317" max="3317" width="92.26953125" style="44" bestFit="1" customWidth="1"/>
    <col min="3318" max="3318" width="106.1796875" style="44" bestFit="1" customWidth="1"/>
    <col min="3319" max="3319" width="86.6328125" style="44" bestFit="1" customWidth="1"/>
    <col min="3320" max="3321" width="68.90625" style="44" bestFit="1" customWidth="1"/>
    <col min="3322" max="3322" width="80.54296875" style="44" bestFit="1" customWidth="1"/>
    <col min="3323" max="3323" width="68.90625" style="44" bestFit="1" customWidth="1"/>
    <col min="3324" max="3324" width="79.1796875" style="44" bestFit="1" customWidth="1"/>
    <col min="3325" max="3325" width="79.26953125" style="44" bestFit="1" customWidth="1"/>
    <col min="3326" max="3326" width="80.1796875" style="44" bestFit="1" customWidth="1"/>
    <col min="3327" max="3327" width="84.81640625" style="44" bestFit="1" customWidth="1"/>
    <col min="3328" max="3328" width="76.81640625" style="44" bestFit="1" customWidth="1"/>
    <col min="3329" max="3329" width="7.90625" style="44" bestFit="1" customWidth="1"/>
    <col min="3330" max="3330" width="132.54296875" style="44" bestFit="1" customWidth="1"/>
    <col min="3331" max="3331" width="45.36328125" style="44" bestFit="1" customWidth="1"/>
    <col min="3332" max="3332" width="14.08984375" style="44" bestFit="1" customWidth="1"/>
    <col min="3333" max="3334" width="8.7265625" style="44"/>
    <col min="3335" max="3335" width="49.7265625" style="44" bestFit="1" customWidth="1"/>
    <col min="3336" max="3336" width="7.90625" style="44" bestFit="1" customWidth="1"/>
    <col min="3337" max="3337" width="7.81640625" style="44" bestFit="1" customWidth="1"/>
    <col min="3338" max="3349" width="8.81640625" style="44" bestFit="1" customWidth="1"/>
    <col min="3350" max="3350" width="10.81640625" style="44" bestFit="1" customWidth="1"/>
    <col min="3351" max="3351" width="93.36328125" style="44" bestFit="1" customWidth="1"/>
    <col min="3352" max="3352" width="87.6328125" style="44" bestFit="1" customWidth="1"/>
    <col min="3353" max="3353" width="69.26953125" style="44" bestFit="1" customWidth="1"/>
    <col min="3354" max="3354" width="68.54296875" style="44" bestFit="1" customWidth="1"/>
    <col min="3355" max="3355" width="67.6328125" style="44" bestFit="1" customWidth="1"/>
    <col min="3356" max="3356" width="64" style="44" bestFit="1" customWidth="1"/>
    <col min="3357" max="3357" width="43.81640625" style="44" bestFit="1" customWidth="1"/>
    <col min="3358" max="3358" width="39.81640625" style="44" bestFit="1" customWidth="1"/>
    <col min="3359" max="3359" width="85.26953125" style="44" bestFit="1" customWidth="1"/>
    <col min="3360" max="3360" width="84.08984375" style="44" bestFit="1" customWidth="1"/>
    <col min="3361" max="3361" width="91" style="44" bestFit="1" customWidth="1"/>
    <col min="3362" max="3362" width="79" style="44" bestFit="1" customWidth="1"/>
    <col min="3363" max="3363" width="89.90625" style="44" bestFit="1" customWidth="1"/>
    <col min="3364" max="3370" width="90.90625" style="44" bestFit="1" customWidth="1"/>
    <col min="3371" max="3371" width="91.90625" style="44" bestFit="1" customWidth="1"/>
    <col min="3372" max="3372" width="73.08984375" style="44" bestFit="1" customWidth="1"/>
    <col min="3373" max="3373" width="61.1796875" style="44" bestFit="1" customWidth="1"/>
    <col min="3374" max="3374" width="94.1796875" style="44" bestFit="1" customWidth="1"/>
    <col min="3375" max="3375" width="84.453125" style="44" bestFit="1" customWidth="1"/>
    <col min="3376" max="3376" width="86.81640625" style="44" bestFit="1" customWidth="1"/>
    <col min="3377" max="3377" width="90.08984375" style="44" bestFit="1" customWidth="1"/>
    <col min="3378" max="3378" width="86.7265625" style="44" bestFit="1" customWidth="1"/>
    <col min="3379" max="3379" width="87.6328125" style="44" bestFit="1" customWidth="1"/>
    <col min="3380" max="3382" width="97.6328125" style="44" bestFit="1" customWidth="1"/>
    <col min="3383" max="3383" width="72.54296875" style="44" bestFit="1" customWidth="1"/>
    <col min="3384" max="3384" width="73.6328125" style="44" bestFit="1" customWidth="1"/>
    <col min="3385" max="3385" width="58.6328125" style="44" bestFit="1" customWidth="1"/>
    <col min="3386" max="3387" width="74.08984375" style="44" bestFit="1" customWidth="1"/>
    <col min="3388" max="3388" width="75.54296875" style="44" bestFit="1" customWidth="1"/>
    <col min="3389" max="3389" width="92" style="44" bestFit="1" customWidth="1"/>
    <col min="3390" max="3390" width="93.54296875" style="44" bestFit="1" customWidth="1"/>
    <col min="3391" max="3392" width="75.54296875" style="44" bestFit="1" customWidth="1"/>
    <col min="3393" max="3393" width="78.08984375" style="44" bestFit="1" customWidth="1"/>
    <col min="3394" max="3394" width="70" style="44" bestFit="1" customWidth="1"/>
    <col min="3395" max="3395" width="84.81640625" style="44" bestFit="1" customWidth="1"/>
    <col min="3396" max="3396" width="93" style="44" bestFit="1" customWidth="1"/>
    <col min="3397" max="3397" width="83.453125" style="44" bestFit="1" customWidth="1"/>
    <col min="3398" max="3398" width="100.90625" style="44" bestFit="1" customWidth="1"/>
    <col min="3399" max="3401" width="64.54296875" style="44" bestFit="1" customWidth="1"/>
    <col min="3402" max="3403" width="82.7265625" style="44" bestFit="1" customWidth="1"/>
    <col min="3404" max="3404" width="99.453125" style="44" bestFit="1" customWidth="1"/>
    <col min="3405" max="3405" width="78.1796875" style="44" bestFit="1" customWidth="1"/>
    <col min="3406" max="3406" width="71.36328125" style="44" bestFit="1" customWidth="1"/>
    <col min="3407" max="3407" width="71.26953125" style="44" bestFit="1" customWidth="1"/>
    <col min="3408" max="3411" width="76.453125" style="44" bestFit="1" customWidth="1"/>
    <col min="3412" max="3412" width="70.54296875" style="44" bestFit="1" customWidth="1"/>
    <col min="3413" max="3413" width="63.36328125" style="44" bestFit="1" customWidth="1"/>
    <col min="3414" max="3414" width="97.81640625" style="44" bestFit="1" customWidth="1"/>
    <col min="3415" max="3416" width="73" style="44" bestFit="1" customWidth="1"/>
    <col min="3417" max="3417" width="79" style="44" bestFit="1" customWidth="1"/>
    <col min="3418" max="3418" width="73" style="44" bestFit="1" customWidth="1"/>
    <col min="3419" max="3419" width="82.1796875" style="44" bestFit="1" customWidth="1"/>
    <col min="3420" max="3420" width="61.453125" style="44" bestFit="1" customWidth="1"/>
    <col min="3421" max="3422" width="99.90625" style="44" bestFit="1" customWidth="1"/>
    <col min="3423" max="3423" width="100.36328125" style="44" bestFit="1" customWidth="1"/>
    <col min="3424" max="3424" width="84.453125" style="44" bestFit="1" customWidth="1"/>
    <col min="3425" max="3425" width="113.36328125" style="44" bestFit="1" customWidth="1"/>
    <col min="3426" max="3426" width="98.453125" style="44" bestFit="1" customWidth="1"/>
    <col min="3427" max="3427" width="99.7265625" style="44" bestFit="1" customWidth="1"/>
    <col min="3428" max="3428" width="99.54296875" style="44" bestFit="1" customWidth="1"/>
    <col min="3429" max="3429" width="96.81640625" style="44" bestFit="1" customWidth="1"/>
    <col min="3430" max="3430" width="94.08984375" style="44" bestFit="1" customWidth="1"/>
    <col min="3431" max="3431" width="100.453125" style="44" bestFit="1" customWidth="1"/>
    <col min="3432" max="3432" width="98.6328125" style="44" bestFit="1" customWidth="1"/>
    <col min="3433" max="3433" width="77.453125" style="44" bestFit="1" customWidth="1"/>
    <col min="3434" max="3434" width="95.1796875" style="44" bestFit="1" customWidth="1"/>
    <col min="3435" max="3435" width="86.6328125" style="44" bestFit="1" customWidth="1"/>
    <col min="3436" max="3436" width="77.26953125" style="44" bestFit="1" customWidth="1"/>
    <col min="3437" max="3437" width="85.1796875" style="44" bestFit="1" customWidth="1"/>
    <col min="3438" max="3438" width="74.7265625" style="44" bestFit="1" customWidth="1"/>
    <col min="3439" max="3439" width="92" style="44" bestFit="1" customWidth="1"/>
    <col min="3440" max="3440" width="72.26953125" style="44" bestFit="1" customWidth="1"/>
    <col min="3441" max="3441" width="97.08984375" style="44" bestFit="1" customWidth="1"/>
    <col min="3442" max="3442" width="77.08984375" style="44" bestFit="1" customWidth="1"/>
    <col min="3443" max="3443" width="85.08984375" style="44" bestFit="1" customWidth="1"/>
    <col min="3444" max="3445" width="83.1796875" style="44" bestFit="1" customWidth="1"/>
    <col min="3446" max="3446" width="82.6328125" style="44" bestFit="1" customWidth="1"/>
    <col min="3447" max="3447" width="86.26953125" style="44" bestFit="1" customWidth="1"/>
    <col min="3448" max="3448" width="71.1796875" style="44" bestFit="1" customWidth="1"/>
    <col min="3449" max="3449" width="66.6328125" style="44" bestFit="1" customWidth="1"/>
    <col min="3450" max="3451" width="83.1796875" style="44" bestFit="1" customWidth="1"/>
    <col min="3452" max="3452" width="67.08984375" style="44" bestFit="1" customWidth="1"/>
    <col min="3453" max="3453" width="76.54296875" style="44" bestFit="1" customWidth="1"/>
    <col min="3454" max="3454" width="94.08984375" style="44" bestFit="1" customWidth="1"/>
    <col min="3455" max="3455" width="89.08984375" style="44" bestFit="1" customWidth="1"/>
    <col min="3456" max="3456" width="68.1796875" style="44" bestFit="1" customWidth="1"/>
    <col min="3457" max="3457" width="91.7265625" style="44" bestFit="1" customWidth="1"/>
    <col min="3458" max="3458" width="63.36328125" style="44" bestFit="1" customWidth="1"/>
    <col min="3459" max="3459" width="66.6328125" style="44" bestFit="1" customWidth="1"/>
    <col min="3460" max="3460" width="63.36328125" style="44" bestFit="1" customWidth="1"/>
    <col min="3461" max="3461" width="63.453125" style="44" bestFit="1" customWidth="1"/>
    <col min="3462" max="3462" width="87.54296875" style="44" bestFit="1" customWidth="1"/>
    <col min="3463" max="3463" width="93.81640625" style="44" bestFit="1" customWidth="1"/>
    <col min="3464" max="3464" width="66.453125" style="44" bestFit="1" customWidth="1"/>
    <col min="3465" max="3466" width="110" style="44" bestFit="1" customWidth="1"/>
    <col min="3467" max="3467" width="103.1796875" style="44" bestFit="1" customWidth="1"/>
    <col min="3468" max="3468" width="62.453125" style="44" bestFit="1" customWidth="1"/>
    <col min="3469" max="3469" width="77.453125" style="44" bestFit="1" customWidth="1"/>
    <col min="3470" max="3470" width="91.54296875" style="44" bestFit="1" customWidth="1"/>
    <col min="3471" max="3471" width="88.08984375" style="44" bestFit="1" customWidth="1"/>
    <col min="3472" max="3472" width="80.6328125" style="44" bestFit="1" customWidth="1"/>
    <col min="3473" max="3473" width="77.453125" style="44" bestFit="1" customWidth="1"/>
    <col min="3474" max="3474" width="85.1796875" style="44" bestFit="1" customWidth="1"/>
    <col min="3475" max="3478" width="72.36328125" style="44" bestFit="1" customWidth="1"/>
    <col min="3479" max="3480" width="95" style="44" bestFit="1" customWidth="1"/>
    <col min="3481" max="3481" width="64.08984375" style="44" bestFit="1" customWidth="1"/>
    <col min="3482" max="3482" width="110.08984375" style="44" bestFit="1" customWidth="1"/>
    <col min="3483" max="3483" width="86.36328125" style="44" bestFit="1" customWidth="1"/>
    <col min="3484" max="3484" width="89.36328125" style="44" bestFit="1" customWidth="1"/>
    <col min="3485" max="3485" width="89.81640625" style="44" bestFit="1" customWidth="1"/>
    <col min="3486" max="3486" width="64.26953125" style="44" bestFit="1" customWidth="1"/>
    <col min="3487" max="3487" width="85.7265625" style="44" bestFit="1" customWidth="1"/>
    <col min="3488" max="3488" width="73" style="44" bestFit="1" customWidth="1"/>
    <col min="3489" max="3489" width="92.7265625" style="44" bestFit="1" customWidth="1"/>
    <col min="3490" max="3490" width="92.36328125" style="44" bestFit="1" customWidth="1"/>
    <col min="3491" max="3491" width="72" style="44" bestFit="1" customWidth="1"/>
    <col min="3492" max="3492" width="82" style="44" bestFit="1" customWidth="1"/>
    <col min="3493" max="3493" width="79.36328125" style="44" bestFit="1" customWidth="1"/>
    <col min="3494" max="3494" width="81" style="44" bestFit="1" customWidth="1"/>
    <col min="3495" max="3495" width="72.90625" style="44" bestFit="1" customWidth="1"/>
    <col min="3496" max="3496" width="90.81640625" style="44" bestFit="1" customWidth="1"/>
    <col min="3497" max="3497" width="84" style="44" bestFit="1" customWidth="1"/>
    <col min="3498" max="3499" width="73.36328125" style="44" bestFit="1" customWidth="1"/>
    <col min="3500" max="3500" width="90.6328125" style="44" bestFit="1" customWidth="1"/>
    <col min="3501" max="3501" width="89.453125" style="44" bestFit="1" customWidth="1"/>
    <col min="3502" max="3502" width="84.6328125" style="44" bestFit="1" customWidth="1"/>
    <col min="3503" max="3503" width="74.54296875" style="44" bestFit="1" customWidth="1"/>
    <col min="3504" max="3504" width="76.90625" style="44" bestFit="1" customWidth="1"/>
    <col min="3505" max="3505" width="83" style="44" bestFit="1" customWidth="1"/>
    <col min="3506" max="3506" width="85.81640625" style="44" bestFit="1" customWidth="1"/>
    <col min="3507" max="3507" width="83.7265625" style="44" bestFit="1" customWidth="1"/>
    <col min="3508" max="3508" width="79.54296875" style="44" bestFit="1" customWidth="1"/>
    <col min="3509" max="3509" width="80.54296875" style="44" bestFit="1" customWidth="1"/>
    <col min="3510" max="3510" width="89.54296875" style="44" bestFit="1" customWidth="1"/>
    <col min="3511" max="3511" width="85.36328125" style="44" bestFit="1" customWidth="1"/>
    <col min="3512" max="3512" width="61.6328125" style="44" bestFit="1" customWidth="1"/>
    <col min="3513" max="3513" width="132.54296875" style="44" bestFit="1" customWidth="1"/>
    <col min="3514" max="3514" width="93.1796875" style="44" bestFit="1" customWidth="1"/>
    <col min="3515" max="3515" width="91.08984375" style="44" bestFit="1" customWidth="1"/>
    <col min="3516" max="3516" width="81.7265625" style="44" bestFit="1" customWidth="1"/>
    <col min="3517" max="3518" width="80.90625" style="44" bestFit="1" customWidth="1"/>
    <col min="3519" max="3519" width="83.26953125" style="44" bestFit="1" customWidth="1"/>
    <col min="3520" max="3520" width="101.453125" style="44" bestFit="1" customWidth="1"/>
    <col min="3521" max="3521" width="110.1796875" style="44" bestFit="1" customWidth="1"/>
    <col min="3522" max="3522" width="74.6328125" style="44" bestFit="1" customWidth="1"/>
    <col min="3523" max="3526" width="84.54296875" style="44" bestFit="1" customWidth="1"/>
    <col min="3527" max="3527" width="74.36328125" style="44" bestFit="1" customWidth="1"/>
    <col min="3528" max="3528" width="88.1796875" style="44" bestFit="1" customWidth="1"/>
    <col min="3529" max="3529" width="78.6328125" style="44" bestFit="1" customWidth="1"/>
    <col min="3530" max="3530" width="76.81640625" style="44" bestFit="1" customWidth="1"/>
    <col min="3531" max="3531" width="74.7265625" style="44" bestFit="1" customWidth="1"/>
    <col min="3532" max="3532" width="87.26953125" style="44" bestFit="1" customWidth="1"/>
    <col min="3533" max="3533" width="85.54296875" style="44" bestFit="1" customWidth="1"/>
    <col min="3534" max="3534" width="100.26953125" style="44" bestFit="1" customWidth="1"/>
    <col min="3535" max="3535" width="71.36328125" style="44" bestFit="1" customWidth="1"/>
    <col min="3536" max="3536" width="105.453125" style="44" bestFit="1" customWidth="1"/>
    <col min="3537" max="3537" width="103.08984375" style="44" bestFit="1" customWidth="1"/>
    <col min="3538" max="3538" width="85.7265625" style="44" bestFit="1" customWidth="1"/>
    <col min="3539" max="3539" width="99.26953125" style="44" bestFit="1" customWidth="1"/>
    <col min="3540" max="3540" width="83.54296875" style="44" bestFit="1" customWidth="1"/>
    <col min="3541" max="3541" width="96.90625" style="44" bestFit="1" customWidth="1"/>
    <col min="3542" max="3542" width="74.26953125" style="44" bestFit="1" customWidth="1"/>
    <col min="3543" max="3543" width="98.36328125" style="44" bestFit="1" customWidth="1"/>
    <col min="3544" max="3544" width="74.453125" style="44" bestFit="1" customWidth="1"/>
    <col min="3545" max="3545" width="88.81640625" style="44" bestFit="1" customWidth="1"/>
    <col min="3546" max="3546" width="67.6328125" style="44" bestFit="1" customWidth="1"/>
    <col min="3547" max="3547" width="93.08984375" style="44" bestFit="1" customWidth="1"/>
    <col min="3548" max="3548" width="101.453125" style="44" bestFit="1" customWidth="1"/>
    <col min="3549" max="3551" width="76.81640625" style="44" bestFit="1" customWidth="1"/>
    <col min="3552" max="3552" width="87.08984375" style="44" bestFit="1" customWidth="1"/>
    <col min="3553" max="3553" width="72.453125" style="44" bestFit="1" customWidth="1"/>
    <col min="3554" max="3554" width="87.81640625" style="44" bestFit="1" customWidth="1"/>
    <col min="3555" max="3555" width="71.7265625" style="44" bestFit="1" customWidth="1"/>
    <col min="3556" max="3556" width="74" style="44" bestFit="1" customWidth="1"/>
    <col min="3557" max="3557" width="74.08984375" style="44" bestFit="1" customWidth="1"/>
    <col min="3558" max="3560" width="86.81640625" style="44" bestFit="1" customWidth="1"/>
    <col min="3561" max="3561" width="104.7265625" style="44" bestFit="1" customWidth="1"/>
    <col min="3562" max="3562" width="101.81640625" style="44" bestFit="1" customWidth="1"/>
    <col min="3563" max="3563" width="64.453125" style="44" bestFit="1" customWidth="1"/>
    <col min="3564" max="3564" width="65.1796875" style="44" bestFit="1" customWidth="1"/>
    <col min="3565" max="3565" width="72.453125" style="44" bestFit="1" customWidth="1"/>
    <col min="3566" max="3566" width="81.36328125" style="44" bestFit="1" customWidth="1"/>
    <col min="3567" max="3567" width="65.1796875" style="44" bestFit="1" customWidth="1"/>
    <col min="3568" max="3568" width="80.90625" style="44" bestFit="1" customWidth="1"/>
    <col min="3569" max="3569" width="71.7265625" style="44" bestFit="1" customWidth="1"/>
    <col min="3570" max="3570" width="73.6328125" style="44" bestFit="1" customWidth="1"/>
    <col min="3571" max="3572" width="85.36328125" style="44" bestFit="1" customWidth="1"/>
    <col min="3573" max="3573" width="92.26953125" style="44" bestFit="1" customWidth="1"/>
    <col min="3574" max="3574" width="106.1796875" style="44" bestFit="1" customWidth="1"/>
    <col min="3575" max="3575" width="86.6328125" style="44" bestFit="1" customWidth="1"/>
    <col min="3576" max="3577" width="68.90625" style="44" bestFit="1" customWidth="1"/>
    <col min="3578" max="3578" width="80.54296875" style="44" bestFit="1" customWidth="1"/>
    <col min="3579" max="3579" width="68.90625" style="44" bestFit="1" customWidth="1"/>
    <col min="3580" max="3580" width="79.1796875" style="44" bestFit="1" customWidth="1"/>
    <col min="3581" max="3581" width="79.26953125" style="44" bestFit="1" customWidth="1"/>
    <col min="3582" max="3582" width="80.1796875" style="44" bestFit="1" customWidth="1"/>
    <col min="3583" max="3583" width="84.81640625" style="44" bestFit="1" customWidth="1"/>
    <col min="3584" max="3584" width="76.81640625" style="44" bestFit="1" customWidth="1"/>
    <col min="3585" max="3585" width="7.90625" style="44" bestFit="1" customWidth="1"/>
    <col min="3586" max="3586" width="132.54296875" style="44" bestFit="1" customWidth="1"/>
    <col min="3587" max="3587" width="45.36328125" style="44" bestFit="1" customWidth="1"/>
    <col min="3588" max="3588" width="14.08984375" style="44" bestFit="1" customWidth="1"/>
    <col min="3589" max="3590" width="8.7265625" style="44"/>
    <col min="3591" max="3591" width="49.7265625" style="44" bestFit="1" customWidth="1"/>
    <col min="3592" max="3592" width="7.90625" style="44" bestFit="1" customWidth="1"/>
    <col min="3593" max="3593" width="7.81640625" style="44" bestFit="1" customWidth="1"/>
    <col min="3594" max="3605" width="8.81640625" style="44" bestFit="1" customWidth="1"/>
    <col min="3606" max="3606" width="10.81640625" style="44" bestFit="1" customWidth="1"/>
    <col min="3607" max="3607" width="93.36328125" style="44" bestFit="1" customWidth="1"/>
    <col min="3608" max="3608" width="87.6328125" style="44" bestFit="1" customWidth="1"/>
    <col min="3609" max="3609" width="69.26953125" style="44" bestFit="1" customWidth="1"/>
    <col min="3610" max="3610" width="68.54296875" style="44" bestFit="1" customWidth="1"/>
    <col min="3611" max="3611" width="67.6328125" style="44" bestFit="1" customWidth="1"/>
    <col min="3612" max="3612" width="64" style="44" bestFit="1" customWidth="1"/>
    <col min="3613" max="3613" width="43.81640625" style="44" bestFit="1" customWidth="1"/>
    <col min="3614" max="3614" width="39.81640625" style="44" bestFit="1" customWidth="1"/>
    <col min="3615" max="3615" width="85.26953125" style="44" bestFit="1" customWidth="1"/>
    <col min="3616" max="3616" width="84.08984375" style="44" bestFit="1" customWidth="1"/>
    <col min="3617" max="3617" width="91" style="44" bestFit="1" customWidth="1"/>
    <col min="3618" max="3618" width="79" style="44" bestFit="1" customWidth="1"/>
    <col min="3619" max="3619" width="89.90625" style="44" bestFit="1" customWidth="1"/>
    <col min="3620" max="3626" width="90.90625" style="44" bestFit="1" customWidth="1"/>
    <col min="3627" max="3627" width="91.90625" style="44" bestFit="1" customWidth="1"/>
    <col min="3628" max="3628" width="73.08984375" style="44" bestFit="1" customWidth="1"/>
    <col min="3629" max="3629" width="61.1796875" style="44" bestFit="1" customWidth="1"/>
    <col min="3630" max="3630" width="94.1796875" style="44" bestFit="1" customWidth="1"/>
    <col min="3631" max="3631" width="84.453125" style="44" bestFit="1" customWidth="1"/>
    <col min="3632" max="3632" width="86.81640625" style="44" bestFit="1" customWidth="1"/>
    <col min="3633" max="3633" width="90.08984375" style="44" bestFit="1" customWidth="1"/>
    <col min="3634" max="3634" width="86.7265625" style="44" bestFit="1" customWidth="1"/>
    <col min="3635" max="3635" width="87.6328125" style="44" bestFit="1" customWidth="1"/>
    <col min="3636" max="3638" width="97.6328125" style="44" bestFit="1" customWidth="1"/>
    <col min="3639" max="3639" width="72.54296875" style="44" bestFit="1" customWidth="1"/>
    <col min="3640" max="3640" width="73.6328125" style="44" bestFit="1" customWidth="1"/>
    <col min="3641" max="3641" width="58.6328125" style="44" bestFit="1" customWidth="1"/>
    <col min="3642" max="3643" width="74.08984375" style="44" bestFit="1" customWidth="1"/>
    <col min="3644" max="3644" width="75.54296875" style="44" bestFit="1" customWidth="1"/>
    <col min="3645" max="3645" width="92" style="44" bestFit="1" customWidth="1"/>
    <col min="3646" max="3646" width="93.54296875" style="44" bestFit="1" customWidth="1"/>
    <col min="3647" max="3648" width="75.54296875" style="44" bestFit="1" customWidth="1"/>
    <col min="3649" max="3649" width="78.08984375" style="44" bestFit="1" customWidth="1"/>
    <col min="3650" max="3650" width="70" style="44" bestFit="1" customWidth="1"/>
    <col min="3651" max="3651" width="84.81640625" style="44" bestFit="1" customWidth="1"/>
    <col min="3652" max="3652" width="93" style="44" bestFit="1" customWidth="1"/>
    <col min="3653" max="3653" width="83.453125" style="44" bestFit="1" customWidth="1"/>
    <col min="3654" max="3654" width="100.90625" style="44" bestFit="1" customWidth="1"/>
    <col min="3655" max="3657" width="64.54296875" style="44" bestFit="1" customWidth="1"/>
    <col min="3658" max="3659" width="82.7265625" style="44" bestFit="1" customWidth="1"/>
    <col min="3660" max="3660" width="99.453125" style="44" bestFit="1" customWidth="1"/>
    <col min="3661" max="3661" width="78.1796875" style="44" bestFit="1" customWidth="1"/>
    <col min="3662" max="3662" width="71.36328125" style="44" bestFit="1" customWidth="1"/>
    <col min="3663" max="3663" width="71.26953125" style="44" bestFit="1" customWidth="1"/>
    <col min="3664" max="3667" width="76.453125" style="44" bestFit="1" customWidth="1"/>
    <col min="3668" max="3668" width="70.54296875" style="44" bestFit="1" customWidth="1"/>
    <col min="3669" max="3669" width="63.36328125" style="44" bestFit="1" customWidth="1"/>
    <col min="3670" max="3670" width="97.81640625" style="44" bestFit="1" customWidth="1"/>
    <col min="3671" max="3672" width="73" style="44" bestFit="1" customWidth="1"/>
    <col min="3673" max="3673" width="79" style="44" bestFit="1" customWidth="1"/>
    <col min="3674" max="3674" width="73" style="44" bestFit="1" customWidth="1"/>
    <col min="3675" max="3675" width="82.1796875" style="44" bestFit="1" customWidth="1"/>
    <col min="3676" max="3676" width="61.453125" style="44" bestFit="1" customWidth="1"/>
    <col min="3677" max="3678" width="99.90625" style="44" bestFit="1" customWidth="1"/>
    <col min="3679" max="3679" width="100.36328125" style="44" bestFit="1" customWidth="1"/>
    <col min="3680" max="3680" width="84.453125" style="44" bestFit="1" customWidth="1"/>
    <col min="3681" max="3681" width="113.36328125" style="44" bestFit="1" customWidth="1"/>
    <col min="3682" max="3682" width="98.453125" style="44" bestFit="1" customWidth="1"/>
    <col min="3683" max="3683" width="99.7265625" style="44" bestFit="1" customWidth="1"/>
    <col min="3684" max="3684" width="99.54296875" style="44" bestFit="1" customWidth="1"/>
    <col min="3685" max="3685" width="96.81640625" style="44" bestFit="1" customWidth="1"/>
    <col min="3686" max="3686" width="94.08984375" style="44" bestFit="1" customWidth="1"/>
    <col min="3687" max="3687" width="100.453125" style="44" bestFit="1" customWidth="1"/>
    <col min="3688" max="3688" width="98.6328125" style="44" bestFit="1" customWidth="1"/>
    <col min="3689" max="3689" width="77.453125" style="44" bestFit="1" customWidth="1"/>
    <col min="3690" max="3690" width="95.1796875" style="44" bestFit="1" customWidth="1"/>
    <col min="3691" max="3691" width="86.6328125" style="44" bestFit="1" customWidth="1"/>
    <col min="3692" max="3692" width="77.26953125" style="44" bestFit="1" customWidth="1"/>
    <col min="3693" max="3693" width="85.1796875" style="44" bestFit="1" customWidth="1"/>
    <col min="3694" max="3694" width="74.7265625" style="44" bestFit="1" customWidth="1"/>
    <col min="3695" max="3695" width="92" style="44" bestFit="1" customWidth="1"/>
    <col min="3696" max="3696" width="72.26953125" style="44" bestFit="1" customWidth="1"/>
    <col min="3697" max="3697" width="97.08984375" style="44" bestFit="1" customWidth="1"/>
    <col min="3698" max="3698" width="77.08984375" style="44" bestFit="1" customWidth="1"/>
    <col min="3699" max="3699" width="85.08984375" style="44" bestFit="1" customWidth="1"/>
    <col min="3700" max="3701" width="83.1796875" style="44" bestFit="1" customWidth="1"/>
    <col min="3702" max="3702" width="82.6328125" style="44" bestFit="1" customWidth="1"/>
    <col min="3703" max="3703" width="86.26953125" style="44" bestFit="1" customWidth="1"/>
    <col min="3704" max="3704" width="71.1796875" style="44" bestFit="1" customWidth="1"/>
    <col min="3705" max="3705" width="66.6328125" style="44" bestFit="1" customWidth="1"/>
    <col min="3706" max="3707" width="83.1796875" style="44" bestFit="1" customWidth="1"/>
    <col min="3708" max="3708" width="67.08984375" style="44" bestFit="1" customWidth="1"/>
    <col min="3709" max="3709" width="76.54296875" style="44" bestFit="1" customWidth="1"/>
    <col min="3710" max="3710" width="94.08984375" style="44" bestFit="1" customWidth="1"/>
    <col min="3711" max="3711" width="89.08984375" style="44" bestFit="1" customWidth="1"/>
    <col min="3712" max="3712" width="68.1796875" style="44" bestFit="1" customWidth="1"/>
    <col min="3713" max="3713" width="91.7265625" style="44" bestFit="1" customWidth="1"/>
    <col min="3714" max="3714" width="63.36328125" style="44" bestFit="1" customWidth="1"/>
    <col min="3715" max="3715" width="66.6328125" style="44" bestFit="1" customWidth="1"/>
    <col min="3716" max="3716" width="63.36328125" style="44" bestFit="1" customWidth="1"/>
    <col min="3717" max="3717" width="63.453125" style="44" bestFit="1" customWidth="1"/>
    <col min="3718" max="3718" width="87.54296875" style="44" bestFit="1" customWidth="1"/>
    <col min="3719" max="3719" width="93.81640625" style="44" bestFit="1" customWidth="1"/>
    <col min="3720" max="3720" width="66.453125" style="44" bestFit="1" customWidth="1"/>
    <col min="3721" max="3722" width="110" style="44" bestFit="1" customWidth="1"/>
    <col min="3723" max="3723" width="103.1796875" style="44" bestFit="1" customWidth="1"/>
    <col min="3724" max="3724" width="62.453125" style="44" bestFit="1" customWidth="1"/>
    <col min="3725" max="3725" width="77.453125" style="44" bestFit="1" customWidth="1"/>
    <col min="3726" max="3726" width="91.54296875" style="44" bestFit="1" customWidth="1"/>
    <col min="3727" max="3727" width="88.08984375" style="44" bestFit="1" customWidth="1"/>
    <col min="3728" max="3728" width="80.6328125" style="44" bestFit="1" customWidth="1"/>
    <col min="3729" max="3729" width="77.453125" style="44" bestFit="1" customWidth="1"/>
    <col min="3730" max="3730" width="85.1796875" style="44" bestFit="1" customWidth="1"/>
    <col min="3731" max="3734" width="72.36328125" style="44" bestFit="1" customWidth="1"/>
    <col min="3735" max="3736" width="95" style="44" bestFit="1" customWidth="1"/>
    <col min="3737" max="3737" width="64.08984375" style="44" bestFit="1" customWidth="1"/>
    <col min="3738" max="3738" width="110.08984375" style="44" bestFit="1" customWidth="1"/>
    <col min="3739" max="3739" width="86.36328125" style="44" bestFit="1" customWidth="1"/>
    <col min="3740" max="3740" width="89.36328125" style="44" bestFit="1" customWidth="1"/>
    <col min="3741" max="3741" width="89.81640625" style="44" bestFit="1" customWidth="1"/>
    <col min="3742" max="3742" width="64.26953125" style="44" bestFit="1" customWidth="1"/>
    <col min="3743" max="3743" width="85.7265625" style="44" bestFit="1" customWidth="1"/>
    <col min="3744" max="3744" width="73" style="44" bestFit="1" customWidth="1"/>
    <col min="3745" max="3745" width="92.7265625" style="44" bestFit="1" customWidth="1"/>
    <col min="3746" max="3746" width="92.36328125" style="44" bestFit="1" customWidth="1"/>
    <col min="3747" max="3747" width="72" style="44" bestFit="1" customWidth="1"/>
    <col min="3748" max="3748" width="82" style="44" bestFit="1" customWidth="1"/>
    <col min="3749" max="3749" width="79.36328125" style="44" bestFit="1" customWidth="1"/>
    <col min="3750" max="3750" width="81" style="44" bestFit="1" customWidth="1"/>
    <col min="3751" max="3751" width="72.90625" style="44" bestFit="1" customWidth="1"/>
    <col min="3752" max="3752" width="90.81640625" style="44" bestFit="1" customWidth="1"/>
    <col min="3753" max="3753" width="84" style="44" bestFit="1" customWidth="1"/>
    <col min="3754" max="3755" width="73.36328125" style="44" bestFit="1" customWidth="1"/>
    <col min="3756" max="3756" width="90.6328125" style="44" bestFit="1" customWidth="1"/>
    <col min="3757" max="3757" width="89.453125" style="44" bestFit="1" customWidth="1"/>
    <col min="3758" max="3758" width="84.6328125" style="44" bestFit="1" customWidth="1"/>
    <col min="3759" max="3759" width="74.54296875" style="44" bestFit="1" customWidth="1"/>
    <col min="3760" max="3760" width="76.90625" style="44" bestFit="1" customWidth="1"/>
    <col min="3761" max="3761" width="83" style="44" bestFit="1" customWidth="1"/>
    <col min="3762" max="3762" width="85.81640625" style="44" bestFit="1" customWidth="1"/>
    <col min="3763" max="3763" width="83.7265625" style="44" bestFit="1" customWidth="1"/>
    <col min="3764" max="3764" width="79.54296875" style="44" bestFit="1" customWidth="1"/>
    <col min="3765" max="3765" width="80.54296875" style="44" bestFit="1" customWidth="1"/>
    <col min="3766" max="3766" width="89.54296875" style="44" bestFit="1" customWidth="1"/>
    <col min="3767" max="3767" width="85.36328125" style="44" bestFit="1" customWidth="1"/>
    <col min="3768" max="3768" width="61.6328125" style="44" bestFit="1" customWidth="1"/>
    <col min="3769" max="3769" width="132.54296875" style="44" bestFit="1" customWidth="1"/>
    <col min="3770" max="3770" width="93.1796875" style="44" bestFit="1" customWidth="1"/>
    <col min="3771" max="3771" width="91.08984375" style="44" bestFit="1" customWidth="1"/>
    <col min="3772" max="3772" width="81.7265625" style="44" bestFit="1" customWidth="1"/>
    <col min="3773" max="3774" width="80.90625" style="44" bestFit="1" customWidth="1"/>
    <col min="3775" max="3775" width="83.26953125" style="44" bestFit="1" customWidth="1"/>
    <col min="3776" max="3776" width="101.453125" style="44" bestFit="1" customWidth="1"/>
    <col min="3777" max="3777" width="110.1796875" style="44" bestFit="1" customWidth="1"/>
    <col min="3778" max="3778" width="74.6328125" style="44" bestFit="1" customWidth="1"/>
    <col min="3779" max="3782" width="84.54296875" style="44" bestFit="1" customWidth="1"/>
    <col min="3783" max="3783" width="74.36328125" style="44" bestFit="1" customWidth="1"/>
    <col min="3784" max="3784" width="88.1796875" style="44" bestFit="1" customWidth="1"/>
    <col min="3785" max="3785" width="78.6328125" style="44" bestFit="1" customWidth="1"/>
    <col min="3786" max="3786" width="76.81640625" style="44" bestFit="1" customWidth="1"/>
    <col min="3787" max="3787" width="74.7265625" style="44" bestFit="1" customWidth="1"/>
    <col min="3788" max="3788" width="87.26953125" style="44" bestFit="1" customWidth="1"/>
    <col min="3789" max="3789" width="85.54296875" style="44" bestFit="1" customWidth="1"/>
    <col min="3790" max="3790" width="100.26953125" style="44" bestFit="1" customWidth="1"/>
    <col min="3791" max="3791" width="71.36328125" style="44" bestFit="1" customWidth="1"/>
    <col min="3792" max="3792" width="105.453125" style="44" bestFit="1" customWidth="1"/>
    <col min="3793" max="3793" width="103.08984375" style="44" bestFit="1" customWidth="1"/>
    <col min="3794" max="3794" width="85.7265625" style="44" bestFit="1" customWidth="1"/>
    <col min="3795" max="3795" width="99.26953125" style="44" bestFit="1" customWidth="1"/>
    <col min="3796" max="3796" width="83.54296875" style="44" bestFit="1" customWidth="1"/>
    <col min="3797" max="3797" width="96.90625" style="44" bestFit="1" customWidth="1"/>
    <col min="3798" max="3798" width="74.26953125" style="44" bestFit="1" customWidth="1"/>
    <col min="3799" max="3799" width="98.36328125" style="44" bestFit="1" customWidth="1"/>
    <col min="3800" max="3800" width="74.453125" style="44" bestFit="1" customWidth="1"/>
    <col min="3801" max="3801" width="88.81640625" style="44" bestFit="1" customWidth="1"/>
    <col min="3802" max="3802" width="67.6328125" style="44" bestFit="1" customWidth="1"/>
    <col min="3803" max="3803" width="93.08984375" style="44" bestFit="1" customWidth="1"/>
    <col min="3804" max="3804" width="101.453125" style="44" bestFit="1" customWidth="1"/>
    <col min="3805" max="3807" width="76.81640625" style="44" bestFit="1" customWidth="1"/>
    <col min="3808" max="3808" width="87.08984375" style="44" bestFit="1" customWidth="1"/>
    <col min="3809" max="3809" width="72.453125" style="44" bestFit="1" customWidth="1"/>
    <col min="3810" max="3810" width="87.81640625" style="44" bestFit="1" customWidth="1"/>
    <col min="3811" max="3811" width="71.7265625" style="44" bestFit="1" customWidth="1"/>
    <col min="3812" max="3812" width="74" style="44" bestFit="1" customWidth="1"/>
    <col min="3813" max="3813" width="74.08984375" style="44" bestFit="1" customWidth="1"/>
    <col min="3814" max="3816" width="86.81640625" style="44" bestFit="1" customWidth="1"/>
    <col min="3817" max="3817" width="104.7265625" style="44" bestFit="1" customWidth="1"/>
    <col min="3818" max="3818" width="101.81640625" style="44" bestFit="1" customWidth="1"/>
    <col min="3819" max="3819" width="64.453125" style="44" bestFit="1" customWidth="1"/>
    <col min="3820" max="3820" width="65.1796875" style="44" bestFit="1" customWidth="1"/>
    <col min="3821" max="3821" width="72.453125" style="44" bestFit="1" customWidth="1"/>
    <col min="3822" max="3822" width="81.36328125" style="44" bestFit="1" customWidth="1"/>
    <col min="3823" max="3823" width="65.1796875" style="44" bestFit="1" customWidth="1"/>
    <col min="3824" max="3824" width="80.90625" style="44" bestFit="1" customWidth="1"/>
    <col min="3825" max="3825" width="71.7265625" style="44" bestFit="1" customWidth="1"/>
    <col min="3826" max="3826" width="73.6328125" style="44" bestFit="1" customWidth="1"/>
    <col min="3827" max="3828" width="85.36328125" style="44" bestFit="1" customWidth="1"/>
    <col min="3829" max="3829" width="92.26953125" style="44" bestFit="1" customWidth="1"/>
    <col min="3830" max="3830" width="106.1796875" style="44" bestFit="1" customWidth="1"/>
    <col min="3831" max="3831" width="86.6328125" style="44" bestFit="1" customWidth="1"/>
    <col min="3832" max="3833" width="68.90625" style="44" bestFit="1" customWidth="1"/>
    <col min="3834" max="3834" width="80.54296875" style="44" bestFit="1" customWidth="1"/>
    <col min="3835" max="3835" width="68.90625" style="44" bestFit="1" customWidth="1"/>
    <col min="3836" max="3836" width="79.1796875" style="44" bestFit="1" customWidth="1"/>
    <col min="3837" max="3837" width="79.26953125" style="44" bestFit="1" customWidth="1"/>
    <col min="3838" max="3838" width="80.1796875" style="44" bestFit="1" customWidth="1"/>
    <col min="3839" max="3839" width="84.81640625" style="44" bestFit="1" customWidth="1"/>
    <col min="3840" max="3840" width="76.81640625" style="44" bestFit="1" customWidth="1"/>
    <col min="3841" max="3841" width="7.90625" style="44" bestFit="1" customWidth="1"/>
    <col min="3842" max="3842" width="132.54296875" style="44" bestFit="1" customWidth="1"/>
    <col min="3843" max="3843" width="45.36328125" style="44" bestFit="1" customWidth="1"/>
    <col min="3844" max="3844" width="14.08984375" style="44" bestFit="1" customWidth="1"/>
    <col min="3845" max="3846" width="8.7265625" style="44"/>
    <col min="3847" max="3847" width="49.7265625" style="44" bestFit="1" customWidth="1"/>
    <col min="3848" max="3848" width="7.90625" style="44" bestFit="1" customWidth="1"/>
    <col min="3849" max="3849" width="7.81640625" style="44" bestFit="1" customWidth="1"/>
    <col min="3850" max="3861" width="8.81640625" style="44" bestFit="1" customWidth="1"/>
    <col min="3862" max="3862" width="10.81640625" style="44" bestFit="1" customWidth="1"/>
    <col min="3863" max="3863" width="93.36328125" style="44" bestFit="1" customWidth="1"/>
    <col min="3864" max="3864" width="87.6328125" style="44" bestFit="1" customWidth="1"/>
    <col min="3865" max="3865" width="69.26953125" style="44" bestFit="1" customWidth="1"/>
    <col min="3866" max="3866" width="68.54296875" style="44" bestFit="1" customWidth="1"/>
    <col min="3867" max="3867" width="67.6328125" style="44" bestFit="1" customWidth="1"/>
    <col min="3868" max="3868" width="64" style="44" bestFit="1" customWidth="1"/>
    <col min="3869" max="3869" width="43.81640625" style="44" bestFit="1" customWidth="1"/>
    <col min="3870" max="3870" width="39.81640625" style="44" bestFit="1" customWidth="1"/>
    <col min="3871" max="3871" width="85.26953125" style="44" bestFit="1" customWidth="1"/>
    <col min="3872" max="3872" width="84.08984375" style="44" bestFit="1" customWidth="1"/>
    <col min="3873" max="3873" width="91" style="44" bestFit="1" customWidth="1"/>
    <col min="3874" max="3874" width="79" style="44" bestFit="1" customWidth="1"/>
    <col min="3875" max="3875" width="89.90625" style="44" bestFit="1" customWidth="1"/>
    <col min="3876" max="3882" width="90.90625" style="44" bestFit="1" customWidth="1"/>
    <col min="3883" max="3883" width="91.90625" style="44" bestFit="1" customWidth="1"/>
    <col min="3884" max="3884" width="73.08984375" style="44" bestFit="1" customWidth="1"/>
    <col min="3885" max="3885" width="61.1796875" style="44" bestFit="1" customWidth="1"/>
    <col min="3886" max="3886" width="94.1796875" style="44" bestFit="1" customWidth="1"/>
    <col min="3887" max="3887" width="84.453125" style="44" bestFit="1" customWidth="1"/>
    <col min="3888" max="3888" width="86.81640625" style="44" bestFit="1" customWidth="1"/>
    <col min="3889" max="3889" width="90.08984375" style="44" bestFit="1" customWidth="1"/>
    <col min="3890" max="3890" width="86.7265625" style="44" bestFit="1" customWidth="1"/>
    <col min="3891" max="3891" width="87.6328125" style="44" bestFit="1" customWidth="1"/>
    <col min="3892" max="3894" width="97.6328125" style="44" bestFit="1" customWidth="1"/>
    <col min="3895" max="3895" width="72.54296875" style="44" bestFit="1" customWidth="1"/>
    <col min="3896" max="3896" width="73.6328125" style="44" bestFit="1" customWidth="1"/>
    <col min="3897" max="3897" width="58.6328125" style="44" bestFit="1" customWidth="1"/>
    <col min="3898" max="3899" width="74.08984375" style="44" bestFit="1" customWidth="1"/>
    <col min="3900" max="3900" width="75.54296875" style="44" bestFit="1" customWidth="1"/>
    <col min="3901" max="3901" width="92" style="44" bestFit="1" customWidth="1"/>
    <col min="3902" max="3902" width="93.54296875" style="44" bestFit="1" customWidth="1"/>
    <col min="3903" max="3904" width="75.54296875" style="44" bestFit="1" customWidth="1"/>
    <col min="3905" max="3905" width="78.08984375" style="44" bestFit="1" customWidth="1"/>
    <col min="3906" max="3906" width="70" style="44" bestFit="1" customWidth="1"/>
    <col min="3907" max="3907" width="84.81640625" style="44" bestFit="1" customWidth="1"/>
    <col min="3908" max="3908" width="93" style="44" bestFit="1" customWidth="1"/>
    <col min="3909" max="3909" width="83.453125" style="44" bestFit="1" customWidth="1"/>
    <col min="3910" max="3910" width="100.90625" style="44" bestFit="1" customWidth="1"/>
    <col min="3911" max="3913" width="64.54296875" style="44" bestFit="1" customWidth="1"/>
    <col min="3914" max="3915" width="82.7265625" style="44" bestFit="1" customWidth="1"/>
    <col min="3916" max="3916" width="99.453125" style="44" bestFit="1" customWidth="1"/>
    <col min="3917" max="3917" width="78.1796875" style="44" bestFit="1" customWidth="1"/>
    <col min="3918" max="3918" width="71.36328125" style="44" bestFit="1" customWidth="1"/>
    <col min="3919" max="3919" width="71.26953125" style="44" bestFit="1" customWidth="1"/>
    <col min="3920" max="3923" width="76.453125" style="44" bestFit="1" customWidth="1"/>
    <col min="3924" max="3924" width="70.54296875" style="44" bestFit="1" customWidth="1"/>
    <col min="3925" max="3925" width="63.36328125" style="44" bestFit="1" customWidth="1"/>
    <col min="3926" max="3926" width="97.81640625" style="44" bestFit="1" customWidth="1"/>
    <col min="3927" max="3928" width="73" style="44" bestFit="1" customWidth="1"/>
    <col min="3929" max="3929" width="79" style="44" bestFit="1" customWidth="1"/>
    <col min="3930" max="3930" width="73" style="44" bestFit="1" customWidth="1"/>
    <col min="3931" max="3931" width="82.1796875" style="44" bestFit="1" customWidth="1"/>
    <col min="3932" max="3932" width="61.453125" style="44" bestFit="1" customWidth="1"/>
    <col min="3933" max="3934" width="99.90625" style="44" bestFit="1" customWidth="1"/>
    <col min="3935" max="3935" width="100.36328125" style="44" bestFit="1" customWidth="1"/>
    <col min="3936" max="3936" width="84.453125" style="44" bestFit="1" customWidth="1"/>
    <col min="3937" max="3937" width="113.36328125" style="44" bestFit="1" customWidth="1"/>
    <col min="3938" max="3938" width="98.453125" style="44" bestFit="1" customWidth="1"/>
    <col min="3939" max="3939" width="99.7265625" style="44" bestFit="1" customWidth="1"/>
    <col min="3940" max="3940" width="99.54296875" style="44" bestFit="1" customWidth="1"/>
    <col min="3941" max="3941" width="96.81640625" style="44" bestFit="1" customWidth="1"/>
    <col min="3942" max="3942" width="94.08984375" style="44" bestFit="1" customWidth="1"/>
    <col min="3943" max="3943" width="100.453125" style="44" bestFit="1" customWidth="1"/>
    <col min="3944" max="3944" width="98.6328125" style="44" bestFit="1" customWidth="1"/>
    <col min="3945" max="3945" width="77.453125" style="44" bestFit="1" customWidth="1"/>
    <col min="3946" max="3946" width="95.1796875" style="44" bestFit="1" customWidth="1"/>
    <col min="3947" max="3947" width="86.6328125" style="44" bestFit="1" customWidth="1"/>
    <col min="3948" max="3948" width="77.26953125" style="44" bestFit="1" customWidth="1"/>
    <col min="3949" max="3949" width="85.1796875" style="44" bestFit="1" customWidth="1"/>
    <col min="3950" max="3950" width="74.7265625" style="44" bestFit="1" customWidth="1"/>
    <col min="3951" max="3951" width="92" style="44" bestFit="1" customWidth="1"/>
    <col min="3952" max="3952" width="72.26953125" style="44" bestFit="1" customWidth="1"/>
    <col min="3953" max="3953" width="97.08984375" style="44" bestFit="1" customWidth="1"/>
    <col min="3954" max="3954" width="77.08984375" style="44" bestFit="1" customWidth="1"/>
    <col min="3955" max="3955" width="85.08984375" style="44" bestFit="1" customWidth="1"/>
    <col min="3956" max="3957" width="83.1796875" style="44" bestFit="1" customWidth="1"/>
    <col min="3958" max="3958" width="82.6328125" style="44" bestFit="1" customWidth="1"/>
    <col min="3959" max="3959" width="86.26953125" style="44" bestFit="1" customWidth="1"/>
    <col min="3960" max="3960" width="71.1796875" style="44" bestFit="1" customWidth="1"/>
    <col min="3961" max="3961" width="66.6328125" style="44" bestFit="1" customWidth="1"/>
    <col min="3962" max="3963" width="83.1796875" style="44" bestFit="1" customWidth="1"/>
    <col min="3964" max="3964" width="67.08984375" style="44" bestFit="1" customWidth="1"/>
    <col min="3965" max="3965" width="76.54296875" style="44" bestFit="1" customWidth="1"/>
    <col min="3966" max="3966" width="94.08984375" style="44" bestFit="1" customWidth="1"/>
    <col min="3967" max="3967" width="89.08984375" style="44" bestFit="1" customWidth="1"/>
    <col min="3968" max="3968" width="68.1796875" style="44" bestFit="1" customWidth="1"/>
    <col min="3969" max="3969" width="91.7265625" style="44" bestFit="1" customWidth="1"/>
    <col min="3970" max="3970" width="63.36328125" style="44" bestFit="1" customWidth="1"/>
    <col min="3971" max="3971" width="66.6328125" style="44" bestFit="1" customWidth="1"/>
    <col min="3972" max="3972" width="63.36328125" style="44" bestFit="1" customWidth="1"/>
    <col min="3973" max="3973" width="63.453125" style="44" bestFit="1" customWidth="1"/>
    <col min="3974" max="3974" width="87.54296875" style="44" bestFit="1" customWidth="1"/>
    <col min="3975" max="3975" width="93.81640625" style="44" bestFit="1" customWidth="1"/>
    <col min="3976" max="3976" width="66.453125" style="44" bestFit="1" customWidth="1"/>
    <col min="3977" max="3978" width="110" style="44" bestFit="1" customWidth="1"/>
    <col min="3979" max="3979" width="103.1796875" style="44" bestFit="1" customWidth="1"/>
    <col min="3980" max="3980" width="62.453125" style="44" bestFit="1" customWidth="1"/>
    <col min="3981" max="3981" width="77.453125" style="44" bestFit="1" customWidth="1"/>
    <col min="3982" max="3982" width="91.54296875" style="44" bestFit="1" customWidth="1"/>
    <col min="3983" max="3983" width="88.08984375" style="44" bestFit="1" customWidth="1"/>
    <col min="3984" max="3984" width="80.6328125" style="44" bestFit="1" customWidth="1"/>
    <col min="3985" max="3985" width="77.453125" style="44" bestFit="1" customWidth="1"/>
    <col min="3986" max="3986" width="85.1796875" style="44" bestFit="1" customWidth="1"/>
    <col min="3987" max="3990" width="72.36328125" style="44" bestFit="1" customWidth="1"/>
    <col min="3991" max="3992" width="95" style="44" bestFit="1" customWidth="1"/>
    <col min="3993" max="3993" width="64.08984375" style="44" bestFit="1" customWidth="1"/>
    <col min="3994" max="3994" width="110.08984375" style="44" bestFit="1" customWidth="1"/>
    <col min="3995" max="3995" width="86.36328125" style="44" bestFit="1" customWidth="1"/>
    <col min="3996" max="3996" width="89.36328125" style="44" bestFit="1" customWidth="1"/>
    <col min="3997" max="3997" width="89.81640625" style="44" bestFit="1" customWidth="1"/>
    <col min="3998" max="3998" width="64.26953125" style="44" bestFit="1" customWidth="1"/>
    <col min="3999" max="3999" width="85.7265625" style="44" bestFit="1" customWidth="1"/>
    <col min="4000" max="4000" width="73" style="44" bestFit="1" customWidth="1"/>
    <col min="4001" max="4001" width="92.7265625" style="44" bestFit="1" customWidth="1"/>
    <col min="4002" max="4002" width="92.36328125" style="44" bestFit="1" customWidth="1"/>
    <col min="4003" max="4003" width="72" style="44" bestFit="1" customWidth="1"/>
    <col min="4004" max="4004" width="82" style="44" bestFit="1" customWidth="1"/>
    <col min="4005" max="4005" width="79.36328125" style="44" bestFit="1" customWidth="1"/>
    <col min="4006" max="4006" width="81" style="44" bestFit="1" customWidth="1"/>
    <col min="4007" max="4007" width="72.90625" style="44" bestFit="1" customWidth="1"/>
    <col min="4008" max="4008" width="90.81640625" style="44" bestFit="1" customWidth="1"/>
    <col min="4009" max="4009" width="84" style="44" bestFit="1" customWidth="1"/>
    <col min="4010" max="4011" width="73.36328125" style="44" bestFit="1" customWidth="1"/>
    <col min="4012" max="4012" width="90.6328125" style="44" bestFit="1" customWidth="1"/>
    <col min="4013" max="4013" width="89.453125" style="44" bestFit="1" customWidth="1"/>
    <col min="4014" max="4014" width="84.6328125" style="44" bestFit="1" customWidth="1"/>
    <col min="4015" max="4015" width="74.54296875" style="44" bestFit="1" customWidth="1"/>
    <col min="4016" max="4016" width="76.90625" style="44" bestFit="1" customWidth="1"/>
    <col min="4017" max="4017" width="83" style="44" bestFit="1" customWidth="1"/>
    <col min="4018" max="4018" width="85.81640625" style="44" bestFit="1" customWidth="1"/>
    <col min="4019" max="4019" width="83.7265625" style="44" bestFit="1" customWidth="1"/>
    <col min="4020" max="4020" width="79.54296875" style="44" bestFit="1" customWidth="1"/>
    <col min="4021" max="4021" width="80.54296875" style="44" bestFit="1" customWidth="1"/>
    <col min="4022" max="4022" width="89.54296875" style="44" bestFit="1" customWidth="1"/>
    <col min="4023" max="4023" width="85.36328125" style="44" bestFit="1" customWidth="1"/>
    <col min="4024" max="4024" width="61.6328125" style="44" bestFit="1" customWidth="1"/>
    <col min="4025" max="4025" width="132.54296875" style="44" bestFit="1" customWidth="1"/>
    <col min="4026" max="4026" width="93.1796875" style="44" bestFit="1" customWidth="1"/>
    <col min="4027" max="4027" width="91.08984375" style="44" bestFit="1" customWidth="1"/>
    <col min="4028" max="4028" width="81.7265625" style="44" bestFit="1" customWidth="1"/>
    <col min="4029" max="4030" width="80.90625" style="44" bestFit="1" customWidth="1"/>
    <col min="4031" max="4031" width="83.26953125" style="44" bestFit="1" customWidth="1"/>
    <col min="4032" max="4032" width="101.453125" style="44" bestFit="1" customWidth="1"/>
    <col min="4033" max="4033" width="110.1796875" style="44" bestFit="1" customWidth="1"/>
    <col min="4034" max="4034" width="74.6328125" style="44" bestFit="1" customWidth="1"/>
    <col min="4035" max="4038" width="84.54296875" style="44" bestFit="1" customWidth="1"/>
    <col min="4039" max="4039" width="74.36328125" style="44" bestFit="1" customWidth="1"/>
    <col min="4040" max="4040" width="88.1796875" style="44" bestFit="1" customWidth="1"/>
    <col min="4041" max="4041" width="78.6328125" style="44" bestFit="1" customWidth="1"/>
    <col min="4042" max="4042" width="76.81640625" style="44" bestFit="1" customWidth="1"/>
    <col min="4043" max="4043" width="74.7265625" style="44" bestFit="1" customWidth="1"/>
    <col min="4044" max="4044" width="87.26953125" style="44" bestFit="1" customWidth="1"/>
    <col min="4045" max="4045" width="85.54296875" style="44" bestFit="1" customWidth="1"/>
    <col min="4046" max="4046" width="100.26953125" style="44" bestFit="1" customWidth="1"/>
    <col min="4047" max="4047" width="71.36328125" style="44" bestFit="1" customWidth="1"/>
    <col min="4048" max="4048" width="105.453125" style="44" bestFit="1" customWidth="1"/>
    <col min="4049" max="4049" width="103.08984375" style="44" bestFit="1" customWidth="1"/>
    <col min="4050" max="4050" width="85.7265625" style="44" bestFit="1" customWidth="1"/>
    <col min="4051" max="4051" width="99.26953125" style="44" bestFit="1" customWidth="1"/>
    <col min="4052" max="4052" width="83.54296875" style="44" bestFit="1" customWidth="1"/>
    <col min="4053" max="4053" width="96.90625" style="44" bestFit="1" customWidth="1"/>
    <col min="4054" max="4054" width="74.26953125" style="44" bestFit="1" customWidth="1"/>
    <col min="4055" max="4055" width="98.36328125" style="44" bestFit="1" customWidth="1"/>
    <col min="4056" max="4056" width="74.453125" style="44" bestFit="1" customWidth="1"/>
    <col min="4057" max="4057" width="88.81640625" style="44" bestFit="1" customWidth="1"/>
    <col min="4058" max="4058" width="67.6328125" style="44" bestFit="1" customWidth="1"/>
    <col min="4059" max="4059" width="93.08984375" style="44" bestFit="1" customWidth="1"/>
    <col min="4060" max="4060" width="101.453125" style="44" bestFit="1" customWidth="1"/>
    <col min="4061" max="4063" width="76.81640625" style="44" bestFit="1" customWidth="1"/>
    <col min="4064" max="4064" width="87.08984375" style="44" bestFit="1" customWidth="1"/>
    <col min="4065" max="4065" width="72.453125" style="44" bestFit="1" customWidth="1"/>
    <col min="4066" max="4066" width="87.81640625" style="44" bestFit="1" customWidth="1"/>
    <col min="4067" max="4067" width="71.7265625" style="44" bestFit="1" customWidth="1"/>
    <col min="4068" max="4068" width="74" style="44" bestFit="1" customWidth="1"/>
    <col min="4069" max="4069" width="74.08984375" style="44" bestFit="1" customWidth="1"/>
    <col min="4070" max="4072" width="86.81640625" style="44" bestFit="1" customWidth="1"/>
    <col min="4073" max="4073" width="104.7265625" style="44" bestFit="1" customWidth="1"/>
    <col min="4074" max="4074" width="101.81640625" style="44" bestFit="1" customWidth="1"/>
    <col min="4075" max="4075" width="64.453125" style="44" bestFit="1" customWidth="1"/>
    <col min="4076" max="4076" width="65.1796875" style="44" bestFit="1" customWidth="1"/>
    <col min="4077" max="4077" width="72.453125" style="44" bestFit="1" customWidth="1"/>
    <col min="4078" max="4078" width="81.36328125" style="44" bestFit="1" customWidth="1"/>
    <col min="4079" max="4079" width="65.1796875" style="44" bestFit="1" customWidth="1"/>
    <col min="4080" max="4080" width="80.90625" style="44" bestFit="1" customWidth="1"/>
    <col min="4081" max="4081" width="71.7265625" style="44" bestFit="1" customWidth="1"/>
    <col min="4082" max="4082" width="73.6328125" style="44" bestFit="1" customWidth="1"/>
    <col min="4083" max="4084" width="85.36328125" style="44" bestFit="1" customWidth="1"/>
    <col min="4085" max="4085" width="92.26953125" style="44" bestFit="1" customWidth="1"/>
    <col min="4086" max="4086" width="106.1796875" style="44" bestFit="1" customWidth="1"/>
    <col min="4087" max="4087" width="86.6328125" style="44" bestFit="1" customWidth="1"/>
    <col min="4088" max="4089" width="68.90625" style="44" bestFit="1" customWidth="1"/>
    <col min="4090" max="4090" width="80.54296875" style="44" bestFit="1" customWidth="1"/>
    <col min="4091" max="4091" width="68.90625" style="44" bestFit="1" customWidth="1"/>
    <col min="4092" max="4092" width="79.1796875" style="44" bestFit="1" customWidth="1"/>
    <col min="4093" max="4093" width="79.26953125" style="44" bestFit="1" customWidth="1"/>
    <col min="4094" max="4094" width="80.1796875" style="44" bestFit="1" customWidth="1"/>
    <col min="4095" max="4095" width="84.81640625" style="44" bestFit="1" customWidth="1"/>
    <col min="4096" max="4096" width="76.81640625" style="44" bestFit="1" customWidth="1"/>
    <col min="4097" max="4097" width="7.90625" style="44" bestFit="1" customWidth="1"/>
    <col min="4098" max="4098" width="132.54296875" style="44" bestFit="1" customWidth="1"/>
    <col min="4099" max="4099" width="45.36328125" style="44" bestFit="1" customWidth="1"/>
    <col min="4100" max="4100" width="14.08984375" style="44" bestFit="1" customWidth="1"/>
    <col min="4101" max="4102" width="8.7265625" style="44"/>
    <col min="4103" max="4103" width="49.7265625" style="44" bestFit="1" customWidth="1"/>
    <col min="4104" max="4104" width="7.90625" style="44" bestFit="1" customWidth="1"/>
    <col min="4105" max="4105" width="7.81640625" style="44" bestFit="1" customWidth="1"/>
    <col min="4106" max="4117" width="8.81640625" style="44" bestFit="1" customWidth="1"/>
    <col min="4118" max="4118" width="10.81640625" style="44" bestFit="1" customWidth="1"/>
    <col min="4119" max="4119" width="93.36328125" style="44" bestFit="1" customWidth="1"/>
    <col min="4120" max="4120" width="87.6328125" style="44" bestFit="1" customWidth="1"/>
    <col min="4121" max="4121" width="69.26953125" style="44" bestFit="1" customWidth="1"/>
    <col min="4122" max="4122" width="68.54296875" style="44" bestFit="1" customWidth="1"/>
    <col min="4123" max="4123" width="67.6328125" style="44" bestFit="1" customWidth="1"/>
    <col min="4124" max="4124" width="64" style="44" bestFit="1" customWidth="1"/>
    <col min="4125" max="4125" width="43.81640625" style="44" bestFit="1" customWidth="1"/>
    <col min="4126" max="4126" width="39.81640625" style="44" bestFit="1" customWidth="1"/>
    <col min="4127" max="4127" width="85.26953125" style="44" bestFit="1" customWidth="1"/>
    <col min="4128" max="4128" width="84.08984375" style="44" bestFit="1" customWidth="1"/>
    <col min="4129" max="4129" width="91" style="44" bestFit="1" customWidth="1"/>
    <col min="4130" max="4130" width="79" style="44" bestFit="1" customWidth="1"/>
    <col min="4131" max="4131" width="89.90625" style="44" bestFit="1" customWidth="1"/>
    <col min="4132" max="4138" width="90.90625" style="44" bestFit="1" customWidth="1"/>
    <col min="4139" max="4139" width="91.90625" style="44" bestFit="1" customWidth="1"/>
    <col min="4140" max="4140" width="73.08984375" style="44" bestFit="1" customWidth="1"/>
    <col min="4141" max="4141" width="61.1796875" style="44" bestFit="1" customWidth="1"/>
    <col min="4142" max="4142" width="94.1796875" style="44" bestFit="1" customWidth="1"/>
    <col min="4143" max="4143" width="84.453125" style="44" bestFit="1" customWidth="1"/>
    <col min="4144" max="4144" width="86.81640625" style="44" bestFit="1" customWidth="1"/>
    <col min="4145" max="4145" width="90.08984375" style="44" bestFit="1" customWidth="1"/>
    <col min="4146" max="4146" width="86.7265625" style="44" bestFit="1" customWidth="1"/>
    <col min="4147" max="4147" width="87.6328125" style="44" bestFit="1" customWidth="1"/>
    <col min="4148" max="4150" width="97.6328125" style="44" bestFit="1" customWidth="1"/>
    <col min="4151" max="4151" width="72.54296875" style="44" bestFit="1" customWidth="1"/>
    <col min="4152" max="4152" width="73.6328125" style="44" bestFit="1" customWidth="1"/>
    <col min="4153" max="4153" width="58.6328125" style="44" bestFit="1" customWidth="1"/>
    <col min="4154" max="4155" width="74.08984375" style="44" bestFit="1" customWidth="1"/>
    <col min="4156" max="4156" width="75.54296875" style="44" bestFit="1" customWidth="1"/>
    <col min="4157" max="4157" width="92" style="44" bestFit="1" customWidth="1"/>
    <col min="4158" max="4158" width="93.54296875" style="44" bestFit="1" customWidth="1"/>
    <col min="4159" max="4160" width="75.54296875" style="44" bestFit="1" customWidth="1"/>
    <col min="4161" max="4161" width="78.08984375" style="44" bestFit="1" customWidth="1"/>
    <col min="4162" max="4162" width="70" style="44" bestFit="1" customWidth="1"/>
    <col min="4163" max="4163" width="84.81640625" style="44" bestFit="1" customWidth="1"/>
    <col min="4164" max="4164" width="93" style="44" bestFit="1" customWidth="1"/>
    <col min="4165" max="4165" width="83.453125" style="44" bestFit="1" customWidth="1"/>
    <col min="4166" max="4166" width="100.90625" style="44" bestFit="1" customWidth="1"/>
    <col min="4167" max="4169" width="64.54296875" style="44" bestFit="1" customWidth="1"/>
    <col min="4170" max="4171" width="82.7265625" style="44" bestFit="1" customWidth="1"/>
    <col min="4172" max="4172" width="99.453125" style="44" bestFit="1" customWidth="1"/>
    <col min="4173" max="4173" width="78.1796875" style="44" bestFit="1" customWidth="1"/>
    <col min="4174" max="4174" width="71.36328125" style="44" bestFit="1" customWidth="1"/>
    <col min="4175" max="4175" width="71.26953125" style="44" bestFit="1" customWidth="1"/>
    <col min="4176" max="4179" width="76.453125" style="44" bestFit="1" customWidth="1"/>
    <col min="4180" max="4180" width="70.54296875" style="44" bestFit="1" customWidth="1"/>
    <col min="4181" max="4181" width="63.36328125" style="44" bestFit="1" customWidth="1"/>
    <col min="4182" max="4182" width="97.81640625" style="44" bestFit="1" customWidth="1"/>
    <col min="4183" max="4184" width="73" style="44" bestFit="1" customWidth="1"/>
    <col min="4185" max="4185" width="79" style="44" bestFit="1" customWidth="1"/>
    <col min="4186" max="4186" width="73" style="44" bestFit="1" customWidth="1"/>
    <col min="4187" max="4187" width="82.1796875" style="44" bestFit="1" customWidth="1"/>
    <col min="4188" max="4188" width="61.453125" style="44" bestFit="1" customWidth="1"/>
    <col min="4189" max="4190" width="99.90625" style="44" bestFit="1" customWidth="1"/>
    <col min="4191" max="4191" width="100.36328125" style="44" bestFit="1" customWidth="1"/>
    <col min="4192" max="4192" width="84.453125" style="44" bestFit="1" customWidth="1"/>
    <col min="4193" max="4193" width="113.36328125" style="44" bestFit="1" customWidth="1"/>
    <col min="4194" max="4194" width="98.453125" style="44" bestFit="1" customWidth="1"/>
    <col min="4195" max="4195" width="99.7265625" style="44" bestFit="1" customWidth="1"/>
    <col min="4196" max="4196" width="99.54296875" style="44" bestFit="1" customWidth="1"/>
    <col min="4197" max="4197" width="96.81640625" style="44" bestFit="1" customWidth="1"/>
    <col min="4198" max="4198" width="94.08984375" style="44" bestFit="1" customWidth="1"/>
    <col min="4199" max="4199" width="100.453125" style="44" bestFit="1" customWidth="1"/>
    <col min="4200" max="4200" width="98.6328125" style="44" bestFit="1" customWidth="1"/>
    <col min="4201" max="4201" width="77.453125" style="44" bestFit="1" customWidth="1"/>
    <col min="4202" max="4202" width="95.1796875" style="44" bestFit="1" customWidth="1"/>
    <col min="4203" max="4203" width="86.6328125" style="44" bestFit="1" customWidth="1"/>
    <col min="4204" max="4204" width="77.26953125" style="44" bestFit="1" customWidth="1"/>
    <col min="4205" max="4205" width="85.1796875" style="44" bestFit="1" customWidth="1"/>
    <col min="4206" max="4206" width="74.7265625" style="44" bestFit="1" customWidth="1"/>
    <col min="4207" max="4207" width="92" style="44" bestFit="1" customWidth="1"/>
    <col min="4208" max="4208" width="72.26953125" style="44" bestFit="1" customWidth="1"/>
    <col min="4209" max="4209" width="97.08984375" style="44" bestFit="1" customWidth="1"/>
    <col min="4210" max="4210" width="77.08984375" style="44" bestFit="1" customWidth="1"/>
    <col min="4211" max="4211" width="85.08984375" style="44" bestFit="1" customWidth="1"/>
    <col min="4212" max="4213" width="83.1796875" style="44" bestFit="1" customWidth="1"/>
    <col min="4214" max="4214" width="82.6328125" style="44" bestFit="1" customWidth="1"/>
    <col min="4215" max="4215" width="86.26953125" style="44" bestFit="1" customWidth="1"/>
    <col min="4216" max="4216" width="71.1796875" style="44" bestFit="1" customWidth="1"/>
    <col min="4217" max="4217" width="66.6328125" style="44" bestFit="1" customWidth="1"/>
    <col min="4218" max="4219" width="83.1796875" style="44" bestFit="1" customWidth="1"/>
    <col min="4220" max="4220" width="67.08984375" style="44" bestFit="1" customWidth="1"/>
    <col min="4221" max="4221" width="76.54296875" style="44" bestFit="1" customWidth="1"/>
    <col min="4222" max="4222" width="94.08984375" style="44" bestFit="1" customWidth="1"/>
    <col min="4223" max="4223" width="89.08984375" style="44" bestFit="1" customWidth="1"/>
    <col min="4224" max="4224" width="68.1796875" style="44" bestFit="1" customWidth="1"/>
    <col min="4225" max="4225" width="91.7265625" style="44" bestFit="1" customWidth="1"/>
    <col min="4226" max="4226" width="63.36328125" style="44" bestFit="1" customWidth="1"/>
    <col min="4227" max="4227" width="66.6328125" style="44" bestFit="1" customWidth="1"/>
    <col min="4228" max="4228" width="63.36328125" style="44" bestFit="1" customWidth="1"/>
    <col min="4229" max="4229" width="63.453125" style="44" bestFit="1" customWidth="1"/>
    <col min="4230" max="4230" width="87.54296875" style="44" bestFit="1" customWidth="1"/>
    <col min="4231" max="4231" width="93.81640625" style="44" bestFit="1" customWidth="1"/>
    <col min="4232" max="4232" width="66.453125" style="44" bestFit="1" customWidth="1"/>
    <col min="4233" max="4234" width="110" style="44" bestFit="1" customWidth="1"/>
    <col min="4235" max="4235" width="103.1796875" style="44" bestFit="1" customWidth="1"/>
    <col min="4236" max="4236" width="62.453125" style="44" bestFit="1" customWidth="1"/>
    <col min="4237" max="4237" width="77.453125" style="44" bestFit="1" customWidth="1"/>
    <col min="4238" max="4238" width="91.54296875" style="44" bestFit="1" customWidth="1"/>
    <col min="4239" max="4239" width="88.08984375" style="44" bestFit="1" customWidth="1"/>
    <col min="4240" max="4240" width="80.6328125" style="44" bestFit="1" customWidth="1"/>
    <col min="4241" max="4241" width="77.453125" style="44" bestFit="1" customWidth="1"/>
    <col min="4242" max="4242" width="85.1796875" style="44" bestFit="1" customWidth="1"/>
    <col min="4243" max="4246" width="72.36328125" style="44" bestFit="1" customWidth="1"/>
    <col min="4247" max="4248" width="95" style="44" bestFit="1" customWidth="1"/>
    <col min="4249" max="4249" width="64.08984375" style="44" bestFit="1" customWidth="1"/>
    <col min="4250" max="4250" width="110.08984375" style="44" bestFit="1" customWidth="1"/>
    <col min="4251" max="4251" width="86.36328125" style="44" bestFit="1" customWidth="1"/>
    <col min="4252" max="4252" width="89.36328125" style="44" bestFit="1" customWidth="1"/>
    <col min="4253" max="4253" width="89.81640625" style="44" bestFit="1" customWidth="1"/>
    <col min="4254" max="4254" width="64.26953125" style="44" bestFit="1" customWidth="1"/>
    <col min="4255" max="4255" width="85.7265625" style="44" bestFit="1" customWidth="1"/>
    <col min="4256" max="4256" width="73" style="44" bestFit="1" customWidth="1"/>
    <col min="4257" max="4257" width="92.7265625" style="44" bestFit="1" customWidth="1"/>
    <col min="4258" max="4258" width="92.36328125" style="44" bestFit="1" customWidth="1"/>
    <col min="4259" max="4259" width="72" style="44" bestFit="1" customWidth="1"/>
    <col min="4260" max="4260" width="82" style="44" bestFit="1" customWidth="1"/>
    <col min="4261" max="4261" width="79.36328125" style="44" bestFit="1" customWidth="1"/>
    <col min="4262" max="4262" width="81" style="44" bestFit="1" customWidth="1"/>
    <col min="4263" max="4263" width="72.90625" style="44" bestFit="1" customWidth="1"/>
    <col min="4264" max="4264" width="90.81640625" style="44" bestFit="1" customWidth="1"/>
    <col min="4265" max="4265" width="84" style="44" bestFit="1" customWidth="1"/>
    <col min="4266" max="4267" width="73.36328125" style="44" bestFit="1" customWidth="1"/>
    <col min="4268" max="4268" width="90.6328125" style="44" bestFit="1" customWidth="1"/>
    <col min="4269" max="4269" width="89.453125" style="44" bestFit="1" customWidth="1"/>
    <col min="4270" max="4270" width="84.6328125" style="44" bestFit="1" customWidth="1"/>
    <col min="4271" max="4271" width="74.54296875" style="44" bestFit="1" customWidth="1"/>
    <col min="4272" max="4272" width="76.90625" style="44" bestFit="1" customWidth="1"/>
    <col min="4273" max="4273" width="83" style="44" bestFit="1" customWidth="1"/>
    <col min="4274" max="4274" width="85.81640625" style="44" bestFit="1" customWidth="1"/>
    <col min="4275" max="4275" width="83.7265625" style="44" bestFit="1" customWidth="1"/>
    <col min="4276" max="4276" width="79.54296875" style="44" bestFit="1" customWidth="1"/>
    <col min="4277" max="4277" width="80.54296875" style="44" bestFit="1" customWidth="1"/>
    <col min="4278" max="4278" width="89.54296875" style="44" bestFit="1" customWidth="1"/>
    <col min="4279" max="4279" width="85.36328125" style="44" bestFit="1" customWidth="1"/>
    <col min="4280" max="4280" width="61.6328125" style="44" bestFit="1" customWidth="1"/>
    <col min="4281" max="4281" width="132.54296875" style="44" bestFit="1" customWidth="1"/>
    <col min="4282" max="4282" width="93.1796875" style="44" bestFit="1" customWidth="1"/>
    <col min="4283" max="4283" width="91.08984375" style="44" bestFit="1" customWidth="1"/>
    <col min="4284" max="4284" width="81.7265625" style="44" bestFit="1" customWidth="1"/>
    <col min="4285" max="4286" width="80.90625" style="44" bestFit="1" customWidth="1"/>
    <col min="4287" max="4287" width="83.26953125" style="44" bestFit="1" customWidth="1"/>
    <col min="4288" max="4288" width="101.453125" style="44" bestFit="1" customWidth="1"/>
    <col min="4289" max="4289" width="110.1796875" style="44" bestFit="1" customWidth="1"/>
    <col min="4290" max="4290" width="74.6328125" style="44" bestFit="1" customWidth="1"/>
    <col min="4291" max="4294" width="84.54296875" style="44" bestFit="1" customWidth="1"/>
    <col min="4295" max="4295" width="74.36328125" style="44" bestFit="1" customWidth="1"/>
    <col min="4296" max="4296" width="88.1796875" style="44" bestFit="1" customWidth="1"/>
    <col min="4297" max="4297" width="78.6328125" style="44" bestFit="1" customWidth="1"/>
    <col min="4298" max="4298" width="76.81640625" style="44" bestFit="1" customWidth="1"/>
    <col min="4299" max="4299" width="74.7265625" style="44" bestFit="1" customWidth="1"/>
    <col min="4300" max="4300" width="87.26953125" style="44" bestFit="1" customWidth="1"/>
    <col min="4301" max="4301" width="85.54296875" style="44" bestFit="1" customWidth="1"/>
    <col min="4302" max="4302" width="100.26953125" style="44" bestFit="1" customWidth="1"/>
    <col min="4303" max="4303" width="71.36328125" style="44" bestFit="1" customWidth="1"/>
    <col min="4304" max="4304" width="105.453125" style="44" bestFit="1" customWidth="1"/>
    <col min="4305" max="4305" width="103.08984375" style="44" bestFit="1" customWidth="1"/>
    <col min="4306" max="4306" width="85.7265625" style="44" bestFit="1" customWidth="1"/>
    <col min="4307" max="4307" width="99.26953125" style="44" bestFit="1" customWidth="1"/>
    <col min="4308" max="4308" width="83.54296875" style="44" bestFit="1" customWidth="1"/>
    <col min="4309" max="4309" width="96.90625" style="44" bestFit="1" customWidth="1"/>
    <col min="4310" max="4310" width="74.26953125" style="44" bestFit="1" customWidth="1"/>
    <col min="4311" max="4311" width="98.36328125" style="44" bestFit="1" customWidth="1"/>
    <col min="4312" max="4312" width="74.453125" style="44" bestFit="1" customWidth="1"/>
    <col min="4313" max="4313" width="88.81640625" style="44" bestFit="1" customWidth="1"/>
    <col min="4314" max="4314" width="67.6328125" style="44" bestFit="1" customWidth="1"/>
    <col min="4315" max="4315" width="93.08984375" style="44" bestFit="1" customWidth="1"/>
    <col min="4316" max="4316" width="101.453125" style="44" bestFit="1" customWidth="1"/>
    <col min="4317" max="4319" width="76.81640625" style="44" bestFit="1" customWidth="1"/>
    <col min="4320" max="4320" width="87.08984375" style="44" bestFit="1" customWidth="1"/>
    <col min="4321" max="4321" width="72.453125" style="44" bestFit="1" customWidth="1"/>
    <col min="4322" max="4322" width="87.81640625" style="44" bestFit="1" customWidth="1"/>
    <col min="4323" max="4323" width="71.7265625" style="44" bestFit="1" customWidth="1"/>
    <col min="4324" max="4324" width="74" style="44" bestFit="1" customWidth="1"/>
    <col min="4325" max="4325" width="74.08984375" style="44" bestFit="1" customWidth="1"/>
    <col min="4326" max="4328" width="86.81640625" style="44" bestFit="1" customWidth="1"/>
    <col min="4329" max="4329" width="104.7265625" style="44" bestFit="1" customWidth="1"/>
    <col min="4330" max="4330" width="101.81640625" style="44" bestFit="1" customWidth="1"/>
    <col min="4331" max="4331" width="64.453125" style="44" bestFit="1" customWidth="1"/>
    <col min="4332" max="4332" width="65.1796875" style="44" bestFit="1" customWidth="1"/>
    <col min="4333" max="4333" width="72.453125" style="44" bestFit="1" customWidth="1"/>
    <col min="4334" max="4334" width="81.36328125" style="44" bestFit="1" customWidth="1"/>
    <col min="4335" max="4335" width="65.1796875" style="44" bestFit="1" customWidth="1"/>
    <col min="4336" max="4336" width="80.90625" style="44" bestFit="1" customWidth="1"/>
    <col min="4337" max="4337" width="71.7265625" style="44" bestFit="1" customWidth="1"/>
    <col min="4338" max="4338" width="73.6328125" style="44" bestFit="1" customWidth="1"/>
    <col min="4339" max="4340" width="85.36328125" style="44" bestFit="1" customWidth="1"/>
    <col min="4341" max="4341" width="92.26953125" style="44" bestFit="1" customWidth="1"/>
    <col min="4342" max="4342" width="106.1796875" style="44" bestFit="1" customWidth="1"/>
    <col min="4343" max="4343" width="86.6328125" style="44" bestFit="1" customWidth="1"/>
    <col min="4344" max="4345" width="68.90625" style="44" bestFit="1" customWidth="1"/>
    <col min="4346" max="4346" width="80.54296875" style="44" bestFit="1" customWidth="1"/>
    <col min="4347" max="4347" width="68.90625" style="44" bestFit="1" customWidth="1"/>
    <col min="4348" max="4348" width="79.1796875" style="44" bestFit="1" customWidth="1"/>
    <col min="4349" max="4349" width="79.26953125" style="44" bestFit="1" customWidth="1"/>
    <col min="4350" max="4350" width="80.1796875" style="44" bestFit="1" customWidth="1"/>
    <col min="4351" max="4351" width="84.81640625" style="44" bestFit="1" customWidth="1"/>
    <col min="4352" max="4352" width="76.81640625" style="44" bestFit="1" customWidth="1"/>
    <col min="4353" max="4353" width="7.90625" style="44" bestFit="1" customWidth="1"/>
    <col min="4354" max="4354" width="132.54296875" style="44" bestFit="1" customWidth="1"/>
    <col min="4355" max="4355" width="45.36328125" style="44" bestFit="1" customWidth="1"/>
    <col min="4356" max="4356" width="14.08984375" style="44" bestFit="1" customWidth="1"/>
    <col min="4357" max="4358" width="8.7265625" style="44"/>
    <col min="4359" max="4359" width="49.7265625" style="44" bestFit="1" customWidth="1"/>
    <col min="4360" max="4360" width="7.90625" style="44" bestFit="1" customWidth="1"/>
    <col min="4361" max="4361" width="7.81640625" style="44" bestFit="1" customWidth="1"/>
    <col min="4362" max="4373" width="8.81640625" style="44" bestFit="1" customWidth="1"/>
    <col min="4374" max="4374" width="10.81640625" style="44" bestFit="1" customWidth="1"/>
    <col min="4375" max="4375" width="93.36328125" style="44" bestFit="1" customWidth="1"/>
    <col min="4376" max="4376" width="87.6328125" style="44" bestFit="1" customWidth="1"/>
    <col min="4377" max="4377" width="69.26953125" style="44" bestFit="1" customWidth="1"/>
    <col min="4378" max="4378" width="68.54296875" style="44" bestFit="1" customWidth="1"/>
    <col min="4379" max="4379" width="67.6328125" style="44" bestFit="1" customWidth="1"/>
    <col min="4380" max="4380" width="64" style="44" bestFit="1" customWidth="1"/>
    <col min="4381" max="4381" width="43.81640625" style="44" bestFit="1" customWidth="1"/>
    <col min="4382" max="4382" width="39.81640625" style="44" bestFit="1" customWidth="1"/>
    <col min="4383" max="4383" width="85.26953125" style="44" bestFit="1" customWidth="1"/>
    <col min="4384" max="4384" width="84.08984375" style="44" bestFit="1" customWidth="1"/>
    <col min="4385" max="4385" width="91" style="44" bestFit="1" customWidth="1"/>
    <col min="4386" max="4386" width="79" style="44" bestFit="1" customWidth="1"/>
    <col min="4387" max="4387" width="89.90625" style="44" bestFit="1" customWidth="1"/>
    <col min="4388" max="4394" width="90.90625" style="44" bestFit="1" customWidth="1"/>
    <col min="4395" max="4395" width="91.90625" style="44" bestFit="1" customWidth="1"/>
    <col min="4396" max="4396" width="73.08984375" style="44" bestFit="1" customWidth="1"/>
    <col min="4397" max="4397" width="61.1796875" style="44" bestFit="1" customWidth="1"/>
    <col min="4398" max="4398" width="94.1796875" style="44" bestFit="1" customWidth="1"/>
    <col min="4399" max="4399" width="84.453125" style="44" bestFit="1" customWidth="1"/>
    <col min="4400" max="4400" width="86.81640625" style="44" bestFit="1" customWidth="1"/>
    <col min="4401" max="4401" width="90.08984375" style="44" bestFit="1" customWidth="1"/>
    <col min="4402" max="4402" width="86.7265625" style="44" bestFit="1" customWidth="1"/>
    <col min="4403" max="4403" width="87.6328125" style="44" bestFit="1" customWidth="1"/>
    <col min="4404" max="4406" width="97.6328125" style="44" bestFit="1" customWidth="1"/>
    <col min="4407" max="4407" width="72.54296875" style="44" bestFit="1" customWidth="1"/>
    <col min="4408" max="4408" width="73.6328125" style="44" bestFit="1" customWidth="1"/>
    <col min="4409" max="4409" width="58.6328125" style="44" bestFit="1" customWidth="1"/>
    <col min="4410" max="4411" width="74.08984375" style="44" bestFit="1" customWidth="1"/>
    <col min="4412" max="4412" width="75.54296875" style="44" bestFit="1" customWidth="1"/>
    <col min="4413" max="4413" width="92" style="44" bestFit="1" customWidth="1"/>
    <col min="4414" max="4414" width="93.54296875" style="44" bestFit="1" customWidth="1"/>
    <col min="4415" max="4416" width="75.54296875" style="44" bestFit="1" customWidth="1"/>
    <col min="4417" max="4417" width="78.08984375" style="44" bestFit="1" customWidth="1"/>
    <col min="4418" max="4418" width="70" style="44" bestFit="1" customWidth="1"/>
    <col min="4419" max="4419" width="84.81640625" style="44" bestFit="1" customWidth="1"/>
    <col min="4420" max="4420" width="93" style="44" bestFit="1" customWidth="1"/>
    <col min="4421" max="4421" width="83.453125" style="44" bestFit="1" customWidth="1"/>
    <col min="4422" max="4422" width="100.90625" style="44" bestFit="1" customWidth="1"/>
    <col min="4423" max="4425" width="64.54296875" style="44" bestFit="1" customWidth="1"/>
    <col min="4426" max="4427" width="82.7265625" style="44" bestFit="1" customWidth="1"/>
    <col min="4428" max="4428" width="99.453125" style="44" bestFit="1" customWidth="1"/>
    <col min="4429" max="4429" width="78.1796875" style="44" bestFit="1" customWidth="1"/>
    <col min="4430" max="4430" width="71.36328125" style="44" bestFit="1" customWidth="1"/>
    <col min="4431" max="4431" width="71.26953125" style="44" bestFit="1" customWidth="1"/>
    <col min="4432" max="4435" width="76.453125" style="44" bestFit="1" customWidth="1"/>
    <col min="4436" max="4436" width="70.54296875" style="44" bestFit="1" customWidth="1"/>
    <col min="4437" max="4437" width="63.36328125" style="44" bestFit="1" customWidth="1"/>
    <col min="4438" max="4438" width="97.81640625" style="44" bestFit="1" customWidth="1"/>
    <col min="4439" max="4440" width="73" style="44" bestFit="1" customWidth="1"/>
    <col min="4441" max="4441" width="79" style="44" bestFit="1" customWidth="1"/>
    <col min="4442" max="4442" width="73" style="44" bestFit="1" customWidth="1"/>
    <col min="4443" max="4443" width="82.1796875" style="44" bestFit="1" customWidth="1"/>
    <col min="4444" max="4444" width="61.453125" style="44" bestFit="1" customWidth="1"/>
    <col min="4445" max="4446" width="99.90625" style="44" bestFit="1" customWidth="1"/>
    <col min="4447" max="4447" width="100.36328125" style="44" bestFit="1" customWidth="1"/>
    <col min="4448" max="4448" width="84.453125" style="44" bestFit="1" customWidth="1"/>
    <col min="4449" max="4449" width="113.36328125" style="44" bestFit="1" customWidth="1"/>
    <col min="4450" max="4450" width="98.453125" style="44" bestFit="1" customWidth="1"/>
    <col min="4451" max="4451" width="99.7265625" style="44" bestFit="1" customWidth="1"/>
    <col min="4452" max="4452" width="99.54296875" style="44" bestFit="1" customWidth="1"/>
    <col min="4453" max="4453" width="96.81640625" style="44" bestFit="1" customWidth="1"/>
    <col min="4454" max="4454" width="94.08984375" style="44" bestFit="1" customWidth="1"/>
    <col min="4455" max="4455" width="100.453125" style="44" bestFit="1" customWidth="1"/>
    <col min="4456" max="4456" width="98.6328125" style="44" bestFit="1" customWidth="1"/>
    <col min="4457" max="4457" width="77.453125" style="44" bestFit="1" customWidth="1"/>
    <col min="4458" max="4458" width="95.1796875" style="44" bestFit="1" customWidth="1"/>
    <col min="4459" max="4459" width="86.6328125" style="44" bestFit="1" customWidth="1"/>
    <col min="4460" max="4460" width="77.26953125" style="44" bestFit="1" customWidth="1"/>
    <col min="4461" max="4461" width="85.1796875" style="44" bestFit="1" customWidth="1"/>
    <col min="4462" max="4462" width="74.7265625" style="44" bestFit="1" customWidth="1"/>
    <col min="4463" max="4463" width="92" style="44" bestFit="1" customWidth="1"/>
    <col min="4464" max="4464" width="72.26953125" style="44" bestFit="1" customWidth="1"/>
    <col min="4465" max="4465" width="97.08984375" style="44" bestFit="1" customWidth="1"/>
    <col min="4466" max="4466" width="77.08984375" style="44" bestFit="1" customWidth="1"/>
    <col min="4467" max="4467" width="85.08984375" style="44" bestFit="1" customWidth="1"/>
    <col min="4468" max="4469" width="83.1796875" style="44" bestFit="1" customWidth="1"/>
    <col min="4470" max="4470" width="82.6328125" style="44" bestFit="1" customWidth="1"/>
    <col min="4471" max="4471" width="86.26953125" style="44" bestFit="1" customWidth="1"/>
    <col min="4472" max="4472" width="71.1796875" style="44" bestFit="1" customWidth="1"/>
    <col min="4473" max="4473" width="66.6328125" style="44" bestFit="1" customWidth="1"/>
    <col min="4474" max="4475" width="83.1796875" style="44" bestFit="1" customWidth="1"/>
    <col min="4476" max="4476" width="67.08984375" style="44" bestFit="1" customWidth="1"/>
    <col min="4477" max="4477" width="76.54296875" style="44" bestFit="1" customWidth="1"/>
    <col min="4478" max="4478" width="94.08984375" style="44" bestFit="1" customWidth="1"/>
    <col min="4479" max="4479" width="89.08984375" style="44" bestFit="1" customWidth="1"/>
    <col min="4480" max="4480" width="68.1796875" style="44" bestFit="1" customWidth="1"/>
    <col min="4481" max="4481" width="91.7265625" style="44" bestFit="1" customWidth="1"/>
    <col min="4482" max="4482" width="63.36328125" style="44" bestFit="1" customWidth="1"/>
    <col min="4483" max="4483" width="66.6328125" style="44" bestFit="1" customWidth="1"/>
    <col min="4484" max="4484" width="63.36328125" style="44" bestFit="1" customWidth="1"/>
    <col min="4485" max="4485" width="63.453125" style="44" bestFit="1" customWidth="1"/>
    <col min="4486" max="4486" width="87.54296875" style="44" bestFit="1" customWidth="1"/>
    <col min="4487" max="4487" width="93.81640625" style="44" bestFit="1" customWidth="1"/>
    <col min="4488" max="4488" width="66.453125" style="44" bestFit="1" customWidth="1"/>
    <col min="4489" max="4490" width="110" style="44" bestFit="1" customWidth="1"/>
    <col min="4491" max="4491" width="103.1796875" style="44" bestFit="1" customWidth="1"/>
    <col min="4492" max="4492" width="62.453125" style="44" bestFit="1" customWidth="1"/>
    <col min="4493" max="4493" width="77.453125" style="44" bestFit="1" customWidth="1"/>
    <col min="4494" max="4494" width="91.54296875" style="44" bestFit="1" customWidth="1"/>
    <col min="4495" max="4495" width="88.08984375" style="44" bestFit="1" customWidth="1"/>
    <col min="4496" max="4496" width="80.6328125" style="44" bestFit="1" customWidth="1"/>
    <col min="4497" max="4497" width="77.453125" style="44" bestFit="1" customWidth="1"/>
    <col min="4498" max="4498" width="85.1796875" style="44" bestFit="1" customWidth="1"/>
    <col min="4499" max="4502" width="72.36328125" style="44" bestFit="1" customWidth="1"/>
    <col min="4503" max="4504" width="95" style="44" bestFit="1" customWidth="1"/>
    <col min="4505" max="4505" width="64.08984375" style="44" bestFit="1" customWidth="1"/>
    <col min="4506" max="4506" width="110.08984375" style="44" bestFit="1" customWidth="1"/>
    <col min="4507" max="4507" width="86.36328125" style="44" bestFit="1" customWidth="1"/>
    <col min="4508" max="4508" width="89.36328125" style="44" bestFit="1" customWidth="1"/>
    <col min="4509" max="4509" width="89.81640625" style="44" bestFit="1" customWidth="1"/>
    <col min="4510" max="4510" width="64.26953125" style="44" bestFit="1" customWidth="1"/>
    <col min="4511" max="4511" width="85.7265625" style="44" bestFit="1" customWidth="1"/>
    <col min="4512" max="4512" width="73" style="44" bestFit="1" customWidth="1"/>
    <col min="4513" max="4513" width="92.7265625" style="44" bestFit="1" customWidth="1"/>
    <col min="4514" max="4514" width="92.36328125" style="44" bestFit="1" customWidth="1"/>
    <col min="4515" max="4515" width="72" style="44" bestFit="1" customWidth="1"/>
    <col min="4516" max="4516" width="82" style="44" bestFit="1" customWidth="1"/>
    <col min="4517" max="4517" width="79.36328125" style="44" bestFit="1" customWidth="1"/>
    <col min="4518" max="4518" width="81" style="44" bestFit="1" customWidth="1"/>
    <col min="4519" max="4519" width="72.90625" style="44" bestFit="1" customWidth="1"/>
    <col min="4520" max="4520" width="90.81640625" style="44" bestFit="1" customWidth="1"/>
    <col min="4521" max="4521" width="84" style="44" bestFit="1" customWidth="1"/>
    <col min="4522" max="4523" width="73.36328125" style="44" bestFit="1" customWidth="1"/>
    <col min="4524" max="4524" width="90.6328125" style="44" bestFit="1" customWidth="1"/>
    <col min="4525" max="4525" width="89.453125" style="44" bestFit="1" customWidth="1"/>
    <col min="4526" max="4526" width="84.6328125" style="44" bestFit="1" customWidth="1"/>
    <col min="4527" max="4527" width="74.54296875" style="44" bestFit="1" customWidth="1"/>
    <col min="4528" max="4528" width="76.90625" style="44" bestFit="1" customWidth="1"/>
    <col min="4529" max="4529" width="83" style="44" bestFit="1" customWidth="1"/>
    <col min="4530" max="4530" width="85.81640625" style="44" bestFit="1" customWidth="1"/>
    <col min="4531" max="4531" width="83.7265625" style="44" bestFit="1" customWidth="1"/>
    <col min="4532" max="4532" width="79.54296875" style="44" bestFit="1" customWidth="1"/>
    <col min="4533" max="4533" width="80.54296875" style="44" bestFit="1" customWidth="1"/>
    <col min="4534" max="4534" width="89.54296875" style="44" bestFit="1" customWidth="1"/>
    <col min="4535" max="4535" width="85.36328125" style="44" bestFit="1" customWidth="1"/>
    <col min="4536" max="4536" width="61.6328125" style="44" bestFit="1" customWidth="1"/>
    <col min="4537" max="4537" width="132.54296875" style="44" bestFit="1" customWidth="1"/>
    <col min="4538" max="4538" width="93.1796875" style="44" bestFit="1" customWidth="1"/>
    <col min="4539" max="4539" width="91.08984375" style="44" bestFit="1" customWidth="1"/>
    <col min="4540" max="4540" width="81.7265625" style="44" bestFit="1" customWidth="1"/>
    <col min="4541" max="4542" width="80.90625" style="44" bestFit="1" customWidth="1"/>
    <col min="4543" max="4543" width="83.26953125" style="44" bestFit="1" customWidth="1"/>
    <col min="4544" max="4544" width="101.453125" style="44" bestFit="1" customWidth="1"/>
    <col min="4545" max="4545" width="110.1796875" style="44" bestFit="1" customWidth="1"/>
    <col min="4546" max="4546" width="74.6328125" style="44" bestFit="1" customWidth="1"/>
    <col min="4547" max="4550" width="84.54296875" style="44" bestFit="1" customWidth="1"/>
    <col min="4551" max="4551" width="74.36328125" style="44" bestFit="1" customWidth="1"/>
    <col min="4552" max="4552" width="88.1796875" style="44" bestFit="1" customWidth="1"/>
    <col min="4553" max="4553" width="78.6328125" style="44" bestFit="1" customWidth="1"/>
    <col min="4554" max="4554" width="76.81640625" style="44" bestFit="1" customWidth="1"/>
    <col min="4555" max="4555" width="74.7265625" style="44" bestFit="1" customWidth="1"/>
    <col min="4556" max="4556" width="87.26953125" style="44" bestFit="1" customWidth="1"/>
    <col min="4557" max="4557" width="85.54296875" style="44" bestFit="1" customWidth="1"/>
    <col min="4558" max="4558" width="100.26953125" style="44" bestFit="1" customWidth="1"/>
    <col min="4559" max="4559" width="71.36328125" style="44" bestFit="1" customWidth="1"/>
    <col min="4560" max="4560" width="105.453125" style="44" bestFit="1" customWidth="1"/>
    <col min="4561" max="4561" width="103.08984375" style="44" bestFit="1" customWidth="1"/>
    <col min="4562" max="4562" width="85.7265625" style="44" bestFit="1" customWidth="1"/>
    <col min="4563" max="4563" width="99.26953125" style="44" bestFit="1" customWidth="1"/>
    <col min="4564" max="4564" width="83.54296875" style="44" bestFit="1" customWidth="1"/>
    <col min="4565" max="4565" width="96.90625" style="44" bestFit="1" customWidth="1"/>
    <col min="4566" max="4566" width="74.26953125" style="44" bestFit="1" customWidth="1"/>
    <col min="4567" max="4567" width="98.36328125" style="44" bestFit="1" customWidth="1"/>
    <col min="4568" max="4568" width="74.453125" style="44" bestFit="1" customWidth="1"/>
    <col min="4569" max="4569" width="88.81640625" style="44" bestFit="1" customWidth="1"/>
    <col min="4570" max="4570" width="67.6328125" style="44" bestFit="1" customWidth="1"/>
    <col min="4571" max="4571" width="93.08984375" style="44" bestFit="1" customWidth="1"/>
    <col min="4572" max="4572" width="101.453125" style="44" bestFit="1" customWidth="1"/>
    <col min="4573" max="4575" width="76.81640625" style="44" bestFit="1" customWidth="1"/>
    <col min="4576" max="4576" width="87.08984375" style="44" bestFit="1" customWidth="1"/>
    <col min="4577" max="4577" width="72.453125" style="44" bestFit="1" customWidth="1"/>
    <col min="4578" max="4578" width="87.81640625" style="44" bestFit="1" customWidth="1"/>
    <col min="4579" max="4579" width="71.7265625" style="44" bestFit="1" customWidth="1"/>
    <col min="4580" max="4580" width="74" style="44" bestFit="1" customWidth="1"/>
    <col min="4581" max="4581" width="74.08984375" style="44" bestFit="1" customWidth="1"/>
    <col min="4582" max="4584" width="86.81640625" style="44" bestFit="1" customWidth="1"/>
    <col min="4585" max="4585" width="104.7265625" style="44" bestFit="1" customWidth="1"/>
    <col min="4586" max="4586" width="101.81640625" style="44" bestFit="1" customWidth="1"/>
    <col min="4587" max="4587" width="64.453125" style="44" bestFit="1" customWidth="1"/>
    <col min="4588" max="4588" width="65.1796875" style="44" bestFit="1" customWidth="1"/>
    <col min="4589" max="4589" width="72.453125" style="44" bestFit="1" customWidth="1"/>
    <col min="4590" max="4590" width="81.36328125" style="44" bestFit="1" customWidth="1"/>
    <col min="4591" max="4591" width="65.1796875" style="44" bestFit="1" customWidth="1"/>
    <col min="4592" max="4592" width="80.90625" style="44" bestFit="1" customWidth="1"/>
    <col min="4593" max="4593" width="71.7265625" style="44" bestFit="1" customWidth="1"/>
    <col min="4594" max="4594" width="73.6328125" style="44" bestFit="1" customWidth="1"/>
    <col min="4595" max="4596" width="85.36328125" style="44" bestFit="1" customWidth="1"/>
    <col min="4597" max="4597" width="92.26953125" style="44" bestFit="1" customWidth="1"/>
    <col min="4598" max="4598" width="106.1796875" style="44" bestFit="1" customWidth="1"/>
    <col min="4599" max="4599" width="86.6328125" style="44" bestFit="1" customWidth="1"/>
    <col min="4600" max="4601" width="68.90625" style="44" bestFit="1" customWidth="1"/>
    <col min="4602" max="4602" width="80.54296875" style="44" bestFit="1" customWidth="1"/>
    <col min="4603" max="4603" width="68.90625" style="44" bestFit="1" customWidth="1"/>
    <col min="4604" max="4604" width="79.1796875" style="44" bestFit="1" customWidth="1"/>
    <col min="4605" max="4605" width="79.26953125" style="44" bestFit="1" customWidth="1"/>
    <col min="4606" max="4606" width="80.1796875" style="44" bestFit="1" customWidth="1"/>
    <col min="4607" max="4607" width="84.81640625" style="44" bestFit="1" customWidth="1"/>
    <col min="4608" max="4608" width="76.81640625" style="44" bestFit="1" customWidth="1"/>
    <col min="4609" max="4609" width="7.90625" style="44" bestFit="1" customWidth="1"/>
    <col min="4610" max="4610" width="132.54296875" style="44" bestFit="1" customWidth="1"/>
    <col min="4611" max="4611" width="45.36328125" style="44" bestFit="1" customWidth="1"/>
    <col min="4612" max="4612" width="14.08984375" style="44" bestFit="1" customWidth="1"/>
    <col min="4613" max="4614" width="8.7265625" style="44"/>
    <col min="4615" max="4615" width="49.7265625" style="44" bestFit="1" customWidth="1"/>
    <col min="4616" max="4616" width="7.90625" style="44" bestFit="1" customWidth="1"/>
    <col min="4617" max="4617" width="7.81640625" style="44" bestFit="1" customWidth="1"/>
    <col min="4618" max="4629" width="8.81640625" style="44" bestFit="1" customWidth="1"/>
    <col min="4630" max="4630" width="10.81640625" style="44" bestFit="1" customWidth="1"/>
    <col min="4631" max="4631" width="93.36328125" style="44" bestFit="1" customWidth="1"/>
    <col min="4632" max="4632" width="87.6328125" style="44" bestFit="1" customWidth="1"/>
    <col min="4633" max="4633" width="69.26953125" style="44" bestFit="1" customWidth="1"/>
    <col min="4634" max="4634" width="68.54296875" style="44" bestFit="1" customWidth="1"/>
    <col min="4635" max="4635" width="67.6328125" style="44" bestFit="1" customWidth="1"/>
    <col min="4636" max="4636" width="64" style="44" bestFit="1" customWidth="1"/>
    <col min="4637" max="4637" width="43.81640625" style="44" bestFit="1" customWidth="1"/>
    <col min="4638" max="4638" width="39.81640625" style="44" bestFit="1" customWidth="1"/>
    <col min="4639" max="4639" width="85.26953125" style="44" bestFit="1" customWidth="1"/>
    <col min="4640" max="4640" width="84.08984375" style="44" bestFit="1" customWidth="1"/>
    <col min="4641" max="4641" width="91" style="44" bestFit="1" customWidth="1"/>
    <col min="4642" max="4642" width="79" style="44" bestFit="1" customWidth="1"/>
    <col min="4643" max="4643" width="89.90625" style="44" bestFit="1" customWidth="1"/>
    <col min="4644" max="4650" width="90.90625" style="44" bestFit="1" customWidth="1"/>
    <col min="4651" max="4651" width="91.90625" style="44" bestFit="1" customWidth="1"/>
    <col min="4652" max="4652" width="73.08984375" style="44" bestFit="1" customWidth="1"/>
    <col min="4653" max="4653" width="61.1796875" style="44" bestFit="1" customWidth="1"/>
    <col min="4654" max="4654" width="94.1796875" style="44" bestFit="1" customWidth="1"/>
    <col min="4655" max="4655" width="84.453125" style="44" bestFit="1" customWidth="1"/>
    <col min="4656" max="4656" width="86.81640625" style="44" bestFit="1" customWidth="1"/>
    <col min="4657" max="4657" width="90.08984375" style="44" bestFit="1" customWidth="1"/>
    <col min="4658" max="4658" width="86.7265625" style="44" bestFit="1" customWidth="1"/>
    <col min="4659" max="4659" width="87.6328125" style="44" bestFit="1" customWidth="1"/>
    <col min="4660" max="4662" width="97.6328125" style="44" bestFit="1" customWidth="1"/>
    <col min="4663" max="4663" width="72.54296875" style="44" bestFit="1" customWidth="1"/>
    <col min="4664" max="4664" width="73.6328125" style="44" bestFit="1" customWidth="1"/>
    <col min="4665" max="4665" width="58.6328125" style="44" bestFit="1" customWidth="1"/>
    <col min="4666" max="4667" width="74.08984375" style="44" bestFit="1" customWidth="1"/>
    <col min="4668" max="4668" width="75.54296875" style="44" bestFit="1" customWidth="1"/>
    <col min="4669" max="4669" width="92" style="44" bestFit="1" customWidth="1"/>
    <col min="4670" max="4670" width="93.54296875" style="44" bestFit="1" customWidth="1"/>
    <col min="4671" max="4672" width="75.54296875" style="44" bestFit="1" customWidth="1"/>
    <col min="4673" max="4673" width="78.08984375" style="44" bestFit="1" customWidth="1"/>
    <col min="4674" max="4674" width="70" style="44" bestFit="1" customWidth="1"/>
    <col min="4675" max="4675" width="84.81640625" style="44" bestFit="1" customWidth="1"/>
    <col min="4676" max="4676" width="93" style="44" bestFit="1" customWidth="1"/>
    <col min="4677" max="4677" width="83.453125" style="44" bestFit="1" customWidth="1"/>
    <col min="4678" max="4678" width="100.90625" style="44" bestFit="1" customWidth="1"/>
    <col min="4679" max="4681" width="64.54296875" style="44" bestFit="1" customWidth="1"/>
    <col min="4682" max="4683" width="82.7265625" style="44" bestFit="1" customWidth="1"/>
    <col min="4684" max="4684" width="99.453125" style="44" bestFit="1" customWidth="1"/>
    <col min="4685" max="4685" width="78.1796875" style="44" bestFit="1" customWidth="1"/>
    <col min="4686" max="4686" width="71.36328125" style="44" bestFit="1" customWidth="1"/>
    <col min="4687" max="4687" width="71.26953125" style="44" bestFit="1" customWidth="1"/>
    <col min="4688" max="4691" width="76.453125" style="44" bestFit="1" customWidth="1"/>
    <col min="4692" max="4692" width="70.54296875" style="44" bestFit="1" customWidth="1"/>
    <col min="4693" max="4693" width="63.36328125" style="44" bestFit="1" customWidth="1"/>
    <col min="4694" max="4694" width="97.81640625" style="44" bestFit="1" customWidth="1"/>
    <col min="4695" max="4696" width="73" style="44" bestFit="1" customWidth="1"/>
    <col min="4697" max="4697" width="79" style="44" bestFit="1" customWidth="1"/>
    <col min="4698" max="4698" width="73" style="44" bestFit="1" customWidth="1"/>
    <col min="4699" max="4699" width="82.1796875" style="44" bestFit="1" customWidth="1"/>
    <col min="4700" max="4700" width="61.453125" style="44" bestFit="1" customWidth="1"/>
    <col min="4701" max="4702" width="99.90625" style="44" bestFit="1" customWidth="1"/>
    <col min="4703" max="4703" width="100.36328125" style="44" bestFit="1" customWidth="1"/>
    <col min="4704" max="4704" width="84.453125" style="44" bestFit="1" customWidth="1"/>
    <col min="4705" max="4705" width="113.36328125" style="44" bestFit="1" customWidth="1"/>
    <col min="4706" max="4706" width="98.453125" style="44" bestFit="1" customWidth="1"/>
    <col min="4707" max="4707" width="99.7265625" style="44" bestFit="1" customWidth="1"/>
    <col min="4708" max="4708" width="99.54296875" style="44" bestFit="1" customWidth="1"/>
    <col min="4709" max="4709" width="96.81640625" style="44" bestFit="1" customWidth="1"/>
    <col min="4710" max="4710" width="94.08984375" style="44" bestFit="1" customWidth="1"/>
    <col min="4711" max="4711" width="100.453125" style="44" bestFit="1" customWidth="1"/>
    <col min="4712" max="4712" width="98.6328125" style="44" bestFit="1" customWidth="1"/>
    <col min="4713" max="4713" width="77.453125" style="44" bestFit="1" customWidth="1"/>
    <col min="4714" max="4714" width="95.1796875" style="44" bestFit="1" customWidth="1"/>
    <col min="4715" max="4715" width="86.6328125" style="44" bestFit="1" customWidth="1"/>
    <col min="4716" max="4716" width="77.26953125" style="44" bestFit="1" customWidth="1"/>
    <col min="4717" max="4717" width="85.1796875" style="44" bestFit="1" customWidth="1"/>
    <col min="4718" max="4718" width="74.7265625" style="44" bestFit="1" customWidth="1"/>
    <col min="4719" max="4719" width="92" style="44" bestFit="1" customWidth="1"/>
    <col min="4720" max="4720" width="72.26953125" style="44" bestFit="1" customWidth="1"/>
    <col min="4721" max="4721" width="97.08984375" style="44" bestFit="1" customWidth="1"/>
    <col min="4722" max="4722" width="77.08984375" style="44" bestFit="1" customWidth="1"/>
    <col min="4723" max="4723" width="85.08984375" style="44" bestFit="1" customWidth="1"/>
    <col min="4724" max="4725" width="83.1796875" style="44" bestFit="1" customWidth="1"/>
    <col min="4726" max="4726" width="82.6328125" style="44" bestFit="1" customWidth="1"/>
    <col min="4727" max="4727" width="86.26953125" style="44" bestFit="1" customWidth="1"/>
    <col min="4728" max="4728" width="71.1796875" style="44" bestFit="1" customWidth="1"/>
    <col min="4729" max="4729" width="66.6328125" style="44" bestFit="1" customWidth="1"/>
    <col min="4730" max="4731" width="83.1796875" style="44" bestFit="1" customWidth="1"/>
    <col min="4732" max="4732" width="67.08984375" style="44" bestFit="1" customWidth="1"/>
    <col min="4733" max="4733" width="76.54296875" style="44" bestFit="1" customWidth="1"/>
    <col min="4734" max="4734" width="94.08984375" style="44" bestFit="1" customWidth="1"/>
    <col min="4735" max="4735" width="89.08984375" style="44" bestFit="1" customWidth="1"/>
    <col min="4736" max="4736" width="68.1796875" style="44" bestFit="1" customWidth="1"/>
    <col min="4737" max="4737" width="91.7265625" style="44" bestFit="1" customWidth="1"/>
    <col min="4738" max="4738" width="63.36328125" style="44" bestFit="1" customWidth="1"/>
    <col min="4739" max="4739" width="66.6328125" style="44" bestFit="1" customWidth="1"/>
    <col min="4740" max="4740" width="63.36328125" style="44" bestFit="1" customWidth="1"/>
    <col min="4741" max="4741" width="63.453125" style="44" bestFit="1" customWidth="1"/>
    <col min="4742" max="4742" width="87.54296875" style="44" bestFit="1" customWidth="1"/>
    <col min="4743" max="4743" width="93.81640625" style="44" bestFit="1" customWidth="1"/>
    <col min="4744" max="4744" width="66.453125" style="44" bestFit="1" customWidth="1"/>
    <col min="4745" max="4746" width="110" style="44" bestFit="1" customWidth="1"/>
    <col min="4747" max="4747" width="103.1796875" style="44" bestFit="1" customWidth="1"/>
    <col min="4748" max="4748" width="62.453125" style="44" bestFit="1" customWidth="1"/>
    <col min="4749" max="4749" width="77.453125" style="44" bestFit="1" customWidth="1"/>
    <col min="4750" max="4750" width="91.54296875" style="44" bestFit="1" customWidth="1"/>
    <col min="4751" max="4751" width="88.08984375" style="44" bestFit="1" customWidth="1"/>
    <col min="4752" max="4752" width="80.6328125" style="44" bestFit="1" customWidth="1"/>
    <col min="4753" max="4753" width="77.453125" style="44" bestFit="1" customWidth="1"/>
    <col min="4754" max="4754" width="85.1796875" style="44" bestFit="1" customWidth="1"/>
    <col min="4755" max="4758" width="72.36328125" style="44" bestFit="1" customWidth="1"/>
    <col min="4759" max="4760" width="95" style="44" bestFit="1" customWidth="1"/>
    <col min="4761" max="4761" width="64.08984375" style="44" bestFit="1" customWidth="1"/>
    <col min="4762" max="4762" width="110.08984375" style="44" bestFit="1" customWidth="1"/>
    <col min="4763" max="4763" width="86.36328125" style="44" bestFit="1" customWidth="1"/>
    <col min="4764" max="4764" width="89.36328125" style="44" bestFit="1" customWidth="1"/>
    <col min="4765" max="4765" width="89.81640625" style="44" bestFit="1" customWidth="1"/>
    <col min="4766" max="4766" width="64.26953125" style="44" bestFit="1" customWidth="1"/>
    <col min="4767" max="4767" width="85.7265625" style="44" bestFit="1" customWidth="1"/>
    <col min="4768" max="4768" width="73" style="44" bestFit="1" customWidth="1"/>
    <col min="4769" max="4769" width="92.7265625" style="44" bestFit="1" customWidth="1"/>
    <col min="4770" max="4770" width="92.36328125" style="44" bestFit="1" customWidth="1"/>
    <col min="4771" max="4771" width="72" style="44" bestFit="1" customWidth="1"/>
    <col min="4772" max="4772" width="82" style="44" bestFit="1" customWidth="1"/>
    <col min="4773" max="4773" width="79.36328125" style="44" bestFit="1" customWidth="1"/>
    <col min="4774" max="4774" width="81" style="44" bestFit="1" customWidth="1"/>
    <col min="4775" max="4775" width="72.90625" style="44" bestFit="1" customWidth="1"/>
    <col min="4776" max="4776" width="90.81640625" style="44" bestFit="1" customWidth="1"/>
    <col min="4777" max="4777" width="84" style="44" bestFit="1" customWidth="1"/>
    <col min="4778" max="4779" width="73.36328125" style="44" bestFit="1" customWidth="1"/>
    <col min="4780" max="4780" width="90.6328125" style="44" bestFit="1" customWidth="1"/>
    <col min="4781" max="4781" width="89.453125" style="44" bestFit="1" customWidth="1"/>
    <col min="4782" max="4782" width="84.6328125" style="44" bestFit="1" customWidth="1"/>
    <col min="4783" max="4783" width="74.54296875" style="44" bestFit="1" customWidth="1"/>
    <col min="4784" max="4784" width="76.90625" style="44" bestFit="1" customWidth="1"/>
    <col min="4785" max="4785" width="83" style="44" bestFit="1" customWidth="1"/>
    <col min="4786" max="4786" width="85.81640625" style="44" bestFit="1" customWidth="1"/>
    <col min="4787" max="4787" width="83.7265625" style="44" bestFit="1" customWidth="1"/>
    <col min="4788" max="4788" width="79.54296875" style="44" bestFit="1" customWidth="1"/>
    <col min="4789" max="4789" width="80.54296875" style="44" bestFit="1" customWidth="1"/>
    <col min="4790" max="4790" width="89.54296875" style="44" bestFit="1" customWidth="1"/>
    <col min="4791" max="4791" width="85.36328125" style="44" bestFit="1" customWidth="1"/>
    <col min="4792" max="4792" width="61.6328125" style="44" bestFit="1" customWidth="1"/>
    <col min="4793" max="4793" width="132.54296875" style="44" bestFit="1" customWidth="1"/>
    <col min="4794" max="4794" width="93.1796875" style="44" bestFit="1" customWidth="1"/>
    <col min="4795" max="4795" width="91.08984375" style="44" bestFit="1" customWidth="1"/>
    <col min="4796" max="4796" width="81.7265625" style="44" bestFit="1" customWidth="1"/>
    <col min="4797" max="4798" width="80.90625" style="44" bestFit="1" customWidth="1"/>
    <col min="4799" max="4799" width="83.26953125" style="44" bestFit="1" customWidth="1"/>
    <col min="4800" max="4800" width="101.453125" style="44" bestFit="1" customWidth="1"/>
    <col min="4801" max="4801" width="110.1796875" style="44" bestFit="1" customWidth="1"/>
    <col min="4802" max="4802" width="74.6328125" style="44" bestFit="1" customWidth="1"/>
    <col min="4803" max="4806" width="84.54296875" style="44" bestFit="1" customWidth="1"/>
    <col min="4807" max="4807" width="74.36328125" style="44" bestFit="1" customWidth="1"/>
    <col min="4808" max="4808" width="88.1796875" style="44" bestFit="1" customWidth="1"/>
    <col min="4809" max="4809" width="78.6328125" style="44" bestFit="1" customWidth="1"/>
    <col min="4810" max="4810" width="76.81640625" style="44" bestFit="1" customWidth="1"/>
    <col min="4811" max="4811" width="74.7265625" style="44" bestFit="1" customWidth="1"/>
    <col min="4812" max="4812" width="87.26953125" style="44" bestFit="1" customWidth="1"/>
    <col min="4813" max="4813" width="85.54296875" style="44" bestFit="1" customWidth="1"/>
    <col min="4814" max="4814" width="100.26953125" style="44" bestFit="1" customWidth="1"/>
    <col min="4815" max="4815" width="71.36328125" style="44" bestFit="1" customWidth="1"/>
    <col min="4816" max="4816" width="105.453125" style="44" bestFit="1" customWidth="1"/>
    <col min="4817" max="4817" width="103.08984375" style="44" bestFit="1" customWidth="1"/>
    <col min="4818" max="4818" width="85.7265625" style="44" bestFit="1" customWidth="1"/>
    <col min="4819" max="4819" width="99.26953125" style="44" bestFit="1" customWidth="1"/>
    <col min="4820" max="4820" width="83.54296875" style="44" bestFit="1" customWidth="1"/>
    <col min="4821" max="4821" width="96.90625" style="44" bestFit="1" customWidth="1"/>
    <col min="4822" max="4822" width="74.26953125" style="44" bestFit="1" customWidth="1"/>
    <col min="4823" max="4823" width="98.36328125" style="44" bestFit="1" customWidth="1"/>
    <col min="4824" max="4824" width="74.453125" style="44" bestFit="1" customWidth="1"/>
    <col min="4825" max="4825" width="88.81640625" style="44" bestFit="1" customWidth="1"/>
    <col min="4826" max="4826" width="67.6328125" style="44" bestFit="1" customWidth="1"/>
    <col min="4827" max="4827" width="93.08984375" style="44" bestFit="1" customWidth="1"/>
    <col min="4828" max="4828" width="101.453125" style="44" bestFit="1" customWidth="1"/>
    <col min="4829" max="4831" width="76.81640625" style="44" bestFit="1" customWidth="1"/>
    <col min="4832" max="4832" width="87.08984375" style="44" bestFit="1" customWidth="1"/>
    <col min="4833" max="4833" width="72.453125" style="44" bestFit="1" customWidth="1"/>
    <col min="4834" max="4834" width="87.81640625" style="44" bestFit="1" customWidth="1"/>
    <col min="4835" max="4835" width="71.7265625" style="44" bestFit="1" customWidth="1"/>
    <col min="4836" max="4836" width="74" style="44" bestFit="1" customWidth="1"/>
    <col min="4837" max="4837" width="74.08984375" style="44" bestFit="1" customWidth="1"/>
    <col min="4838" max="4840" width="86.81640625" style="44" bestFit="1" customWidth="1"/>
    <col min="4841" max="4841" width="104.7265625" style="44" bestFit="1" customWidth="1"/>
    <col min="4842" max="4842" width="101.81640625" style="44" bestFit="1" customWidth="1"/>
    <col min="4843" max="4843" width="64.453125" style="44" bestFit="1" customWidth="1"/>
    <col min="4844" max="4844" width="65.1796875" style="44" bestFit="1" customWidth="1"/>
    <col min="4845" max="4845" width="72.453125" style="44" bestFit="1" customWidth="1"/>
    <col min="4846" max="4846" width="81.36328125" style="44" bestFit="1" customWidth="1"/>
    <col min="4847" max="4847" width="65.1796875" style="44" bestFit="1" customWidth="1"/>
    <col min="4848" max="4848" width="80.90625" style="44" bestFit="1" customWidth="1"/>
    <col min="4849" max="4849" width="71.7265625" style="44" bestFit="1" customWidth="1"/>
    <col min="4850" max="4850" width="73.6328125" style="44" bestFit="1" customWidth="1"/>
    <col min="4851" max="4852" width="85.36328125" style="44" bestFit="1" customWidth="1"/>
    <col min="4853" max="4853" width="92.26953125" style="44" bestFit="1" customWidth="1"/>
    <col min="4854" max="4854" width="106.1796875" style="44" bestFit="1" customWidth="1"/>
    <col min="4855" max="4855" width="86.6328125" style="44" bestFit="1" customWidth="1"/>
    <col min="4856" max="4857" width="68.90625" style="44" bestFit="1" customWidth="1"/>
    <col min="4858" max="4858" width="80.54296875" style="44" bestFit="1" customWidth="1"/>
    <col min="4859" max="4859" width="68.90625" style="44" bestFit="1" customWidth="1"/>
    <col min="4860" max="4860" width="79.1796875" style="44" bestFit="1" customWidth="1"/>
    <col min="4861" max="4861" width="79.26953125" style="44" bestFit="1" customWidth="1"/>
    <col min="4862" max="4862" width="80.1796875" style="44" bestFit="1" customWidth="1"/>
    <col min="4863" max="4863" width="84.81640625" style="44" bestFit="1" customWidth="1"/>
    <col min="4864" max="4864" width="76.81640625" style="44" bestFit="1" customWidth="1"/>
    <col min="4865" max="4865" width="7.90625" style="44" bestFit="1" customWidth="1"/>
    <col min="4866" max="4866" width="132.54296875" style="44" bestFit="1" customWidth="1"/>
    <col min="4867" max="4867" width="45.36328125" style="44" bestFit="1" customWidth="1"/>
    <col min="4868" max="4868" width="14.08984375" style="44" bestFit="1" customWidth="1"/>
    <col min="4869" max="4870" width="8.7265625" style="44"/>
    <col min="4871" max="4871" width="49.7265625" style="44" bestFit="1" customWidth="1"/>
    <col min="4872" max="4872" width="7.90625" style="44" bestFit="1" customWidth="1"/>
    <col min="4873" max="4873" width="7.81640625" style="44" bestFit="1" customWidth="1"/>
    <col min="4874" max="4885" width="8.81640625" style="44" bestFit="1" customWidth="1"/>
    <col min="4886" max="4886" width="10.81640625" style="44" bestFit="1" customWidth="1"/>
    <col min="4887" max="4887" width="93.36328125" style="44" bestFit="1" customWidth="1"/>
    <col min="4888" max="4888" width="87.6328125" style="44" bestFit="1" customWidth="1"/>
    <col min="4889" max="4889" width="69.26953125" style="44" bestFit="1" customWidth="1"/>
    <col min="4890" max="4890" width="68.54296875" style="44" bestFit="1" customWidth="1"/>
    <col min="4891" max="4891" width="67.6328125" style="44" bestFit="1" customWidth="1"/>
    <col min="4892" max="4892" width="64" style="44" bestFit="1" customWidth="1"/>
    <col min="4893" max="4893" width="43.81640625" style="44" bestFit="1" customWidth="1"/>
    <col min="4894" max="4894" width="39.81640625" style="44" bestFit="1" customWidth="1"/>
    <col min="4895" max="4895" width="85.26953125" style="44" bestFit="1" customWidth="1"/>
    <col min="4896" max="4896" width="84.08984375" style="44" bestFit="1" customWidth="1"/>
    <col min="4897" max="4897" width="91" style="44" bestFit="1" customWidth="1"/>
    <col min="4898" max="4898" width="79" style="44" bestFit="1" customWidth="1"/>
    <col min="4899" max="4899" width="89.90625" style="44" bestFit="1" customWidth="1"/>
    <col min="4900" max="4906" width="90.90625" style="44" bestFit="1" customWidth="1"/>
    <col min="4907" max="4907" width="91.90625" style="44" bestFit="1" customWidth="1"/>
    <col min="4908" max="4908" width="73.08984375" style="44" bestFit="1" customWidth="1"/>
    <col min="4909" max="4909" width="61.1796875" style="44" bestFit="1" customWidth="1"/>
    <col min="4910" max="4910" width="94.1796875" style="44" bestFit="1" customWidth="1"/>
    <col min="4911" max="4911" width="84.453125" style="44" bestFit="1" customWidth="1"/>
    <col min="4912" max="4912" width="86.81640625" style="44" bestFit="1" customWidth="1"/>
    <col min="4913" max="4913" width="90.08984375" style="44" bestFit="1" customWidth="1"/>
    <col min="4914" max="4914" width="86.7265625" style="44" bestFit="1" customWidth="1"/>
    <col min="4915" max="4915" width="87.6328125" style="44" bestFit="1" customWidth="1"/>
    <col min="4916" max="4918" width="97.6328125" style="44" bestFit="1" customWidth="1"/>
    <col min="4919" max="4919" width="72.54296875" style="44" bestFit="1" customWidth="1"/>
    <col min="4920" max="4920" width="73.6328125" style="44" bestFit="1" customWidth="1"/>
    <col min="4921" max="4921" width="58.6328125" style="44" bestFit="1" customWidth="1"/>
    <col min="4922" max="4923" width="74.08984375" style="44" bestFit="1" customWidth="1"/>
    <col min="4924" max="4924" width="75.54296875" style="44" bestFit="1" customWidth="1"/>
    <col min="4925" max="4925" width="92" style="44" bestFit="1" customWidth="1"/>
    <col min="4926" max="4926" width="93.54296875" style="44" bestFit="1" customWidth="1"/>
    <col min="4927" max="4928" width="75.54296875" style="44" bestFit="1" customWidth="1"/>
    <col min="4929" max="4929" width="78.08984375" style="44" bestFit="1" customWidth="1"/>
    <col min="4930" max="4930" width="70" style="44" bestFit="1" customWidth="1"/>
    <col min="4931" max="4931" width="84.81640625" style="44" bestFit="1" customWidth="1"/>
    <col min="4932" max="4932" width="93" style="44" bestFit="1" customWidth="1"/>
    <col min="4933" max="4933" width="83.453125" style="44" bestFit="1" customWidth="1"/>
    <col min="4934" max="4934" width="100.90625" style="44" bestFit="1" customWidth="1"/>
    <col min="4935" max="4937" width="64.54296875" style="44" bestFit="1" customWidth="1"/>
    <col min="4938" max="4939" width="82.7265625" style="44" bestFit="1" customWidth="1"/>
    <col min="4940" max="4940" width="99.453125" style="44" bestFit="1" customWidth="1"/>
    <col min="4941" max="4941" width="78.1796875" style="44" bestFit="1" customWidth="1"/>
    <col min="4942" max="4942" width="71.36328125" style="44" bestFit="1" customWidth="1"/>
    <col min="4943" max="4943" width="71.26953125" style="44" bestFit="1" customWidth="1"/>
    <col min="4944" max="4947" width="76.453125" style="44" bestFit="1" customWidth="1"/>
    <col min="4948" max="4948" width="70.54296875" style="44" bestFit="1" customWidth="1"/>
    <col min="4949" max="4949" width="63.36328125" style="44" bestFit="1" customWidth="1"/>
    <col min="4950" max="4950" width="97.81640625" style="44" bestFit="1" customWidth="1"/>
    <col min="4951" max="4952" width="73" style="44" bestFit="1" customWidth="1"/>
    <col min="4953" max="4953" width="79" style="44" bestFit="1" customWidth="1"/>
    <col min="4954" max="4954" width="73" style="44" bestFit="1" customWidth="1"/>
    <col min="4955" max="4955" width="82.1796875" style="44" bestFit="1" customWidth="1"/>
    <col min="4956" max="4956" width="61.453125" style="44" bestFit="1" customWidth="1"/>
    <col min="4957" max="4958" width="99.90625" style="44" bestFit="1" customWidth="1"/>
    <col min="4959" max="4959" width="100.36328125" style="44" bestFit="1" customWidth="1"/>
    <col min="4960" max="4960" width="84.453125" style="44" bestFit="1" customWidth="1"/>
    <col min="4961" max="4961" width="113.36328125" style="44" bestFit="1" customWidth="1"/>
    <col min="4962" max="4962" width="98.453125" style="44" bestFit="1" customWidth="1"/>
    <col min="4963" max="4963" width="99.7265625" style="44" bestFit="1" customWidth="1"/>
    <col min="4964" max="4964" width="99.54296875" style="44" bestFit="1" customWidth="1"/>
    <col min="4965" max="4965" width="96.81640625" style="44" bestFit="1" customWidth="1"/>
    <col min="4966" max="4966" width="94.08984375" style="44" bestFit="1" customWidth="1"/>
    <col min="4967" max="4967" width="100.453125" style="44" bestFit="1" customWidth="1"/>
    <col min="4968" max="4968" width="98.6328125" style="44" bestFit="1" customWidth="1"/>
    <col min="4969" max="4969" width="77.453125" style="44" bestFit="1" customWidth="1"/>
    <col min="4970" max="4970" width="95.1796875" style="44" bestFit="1" customWidth="1"/>
    <col min="4971" max="4971" width="86.6328125" style="44" bestFit="1" customWidth="1"/>
    <col min="4972" max="4972" width="77.26953125" style="44" bestFit="1" customWidth="1"/>
    <col min="4973" max="4973" width="85.1796875" style="44" bestFit="1" customWidth="1"/>
    <col min="4974" max="4974" width="74.7265625" style="44" bestFit="1" customWidth="1"/>
    <col min="4975" max="4975" width="92" style="44" bestFit="1" customWidth="1"/>
    <col min="4976" max="4976" width="72.26953125" style="44" bestFit="1" customWidth="1"/>
    <col min="4977" max="4977" width="97.08984375" style="44" bestFit="1" customWidth="1"/>
    <col min="4978" max="4978" width="77.08984375" style="44" bestFit="1" customWidth="1"/>
    <col min="4979" max="4979" width="85.08984375" style="44" bestFit="1" customWidth="1"/>
    <col min="4980" max="4981" width="83.1796875" style="44" bestFit="1" customWidth="1"/>
    <col min="4982" max="4982" width="82.6328125" style="44" bestFit="1" customWidth="1"/>
    <col min="4983" max="4983" width="86.26953125" style="44" bestFit="1" customWidth="1"/>
    <col min="4984" max="4984" width="71.1796875" style="44" bestFit="1" customWidth="1"/>
    <col min="4985" max="4985" width="66.6328125" style="44" bestFit="1" customWidth="1"/>
    <col min="4986" max="4987" width="83.1796875" style="44" bestFit="1" customWidth="1"/>
    <col min="4988" max="4988" width="67.08984375" style="44" bestFit="1" customWidth="1"/>
    <col min="4989" max="4989" width="76.54296875" style="44" bestFit="1" customWidth="1"/>
    <col min="4990" max="4990" width="94.08984375" style="44" bestFit="1" customWidth="1"/>
    <col min="4991" max="4991" width="89.08984375" style="44" bestFit="1" customWidth="1"/>
    <col min="4992" max="4992" width="68.1796875" style="44" bestFit="1" customWidth="1"/>
    <col min="4993" max="4993" width="91.7265625" style="44" bestFit="1" customWidth="1"/>
    <col min="4994" max="4994" width="63.36328125" style="44" bestFit="1" customWidth="1"/>
    <col min="4995" max="4995" width="66.6328125" style="44" bestFit="1" customWidth="1"/>
    <col min="4996" max="4996" width="63.36328125" style="44" bestFit="1" customWidth="1"/>
    <col min="4997" max="4997" width="63.453125" style="44" bestFit="1" customWidth="1"/>
    <col min="4998" max="4998" width="87.54296875" style="44" bestFit="1" customWidth="1"/>
    <col min="4999" max="4999" width="93.81640625" style="44" bestFit="1" customWidth="1"/>
    <col min="5000" max="5000" width="66.453125" style="44" bestFit="1" customWidth="1"/>
    <col min="5001" max="5002" width="110" style="44" bestFit="1" customWidth="1"/>
    <col min="5003" max="5003" width="103.1796875" style="44" bestFit="1" customWidth="1"/>
    <col min="5004" max="5004" width="62.453125" style="44" bestFit="1" customWidth="1"/>
    <col min="5005" max="5005" width="77.453125" style="44" bestFit="1" customWidth="1"/>
    <col min="5006" max="5006" width="91.54296875" style="44" bestFit="1" customWidth="1"/>
    <col min="5007" max="5007" width="88.08984375" style="44" bestFit="1" customWidth="1"/>
    <col min="5008" max="5008" width="80.6328125" style="44" bestFit="1" customWidth="1"/>
    <col min="5009" max="5009" width="77.453125" style="44" bestFit="1" customWidth="1"/>
    <col min="5010" max="5010" width="85.1796875" style="44" bestFit="1" customWidth="1"/>
    <col min="5011" max="5014" width="72.36328125" style="44" bestFit="1" customWidth="1"/>
    <col min="5015" max="5016" width="95" style="44" bestFit="1" customWidth="1"/>
    <col min="5017" max="5017" width="64.08984375" style="44" bestFit="1" customWidth="1"/>
    <col min="5018" max="5018" width="110.08984375" style="44" bestFit="1" customWidth="1"/>
    <col min="5019" max="5019" width="86.36328125" style="44" bestFit="1" customWidth="1"/>
    <col min="5020" max="5020" width="89.36328125" style="44" bestFit="1" customWidth="1"/>
    <col min="5021" max="5021" width="89.81640625" style="44" bestFit="1" customWidth="1"/>
    <col min="5022" max="5022" width="64.26953125" style="44" bestFit="1" customWidth="1"/>
    <col min="5023" max="5023" width="85.7265625" style="44" bestFit="1" customWidth="1"/>
    <col min="5024" max="5024" width="73" style="44" bestFit="1" customWidth="1"/>
    <col min="5025" max="5025" width="92.7265625" style="44" bestFit="1" customWidth="1"/>
    <col min="5026" max="5026" width="92.36328125" style="44" bestFit="1" customWidth="1"/>
    <col min="5027" max="5027" width="72" style="44" bestFit="1" customWidth="1"/>
    <col min="5028" max="5028" width="82" style="44" bestFit="1" customWidth="1"/>
    <col min="5029" max="5029" width="79.36328125" style="44" bestFit="1" customWidth="1"/>
    <col min="5030" max="5030" width="81" style="44" bestFit="1" customWidth="1"/>
    <col min="5031" max="5031" width="72.90625" style="44" bestFit="1" customWidth="1"/>
    <col min="5032" max="5032" width="90.81640625" style="44" bestFit="1" customWidth="1"/>
    <col min="5033" max="5033" width="84" style="44" bestFit="1" customWidth="1"/>
    <col min="5034" max="5035" width="73.36328125" style="44" bestFit="1" customWidth="1"/>
    <col min="5036" max="5036" width="90.6328125" style="44" bestFit="1" customWidth="1"/>
    <col min="5037" max="5037" width="89.453125" style="44" bestFit="1" customWidth="1"/>
    <col min="5038" max="5038" width="84.6328125" style="44" bestFit="1" customWidth="1"/>
    <col min="5039" max="5039" width="74.54296875" style="44" bestFit="1" customWidth="1"/>
    <col min="5040" max="5040" width="76.90625" style="44" bestFit="1" customWidth="1"/>
    <col min="5041" max="5041" width="83" style="44" bestFit="1" customWidth="1"/>
    <col min="5042" max="5042" width="85.81640625" style="44" bestFit="1" customWidth="1"/>
    <col min="5043" max="5043" width="83.7265625" style="44" bestFit="1" customWidth="1"/>
    <col min="5044" max="5044" width="79.54296875" style="44" bestFit="1" customWidth="1"/>
    <col min="5045" max="5045" width="80.54296875" style="44" bestFit="1" customWidth="1"/>
    <col min="5046" max="5046" width="89.54296875" style="44" bestFit="1" customWidth="1"/>
    <col min="5047" max="5047" width="85.36328125" style="44" bestFit="1" customWidth="1"/>
    <col min="5048" max="5048" width="61.6328125" style="44" bestFit="1" customWidth="1"/>
    <col min="5049" max="5049" width="132.54296875" style="44" bestFit="1" customWidth="1"/>
    <col min="5050" max="5050" width="93.1796875" style="44" bestFit="1" customWidth="1"/>
    <col min="5051" max="5051" width="91.08984375" style="44" bestFit="1" customWidth="1"/>
    <col min="5052" max="5052" width="81.7265625" style="44" bestFit="1" customWidth="1"/>
    <col min="5053" max="5054" width="80.90625" style="44" bestFit="1" customWidth="1"/>
    <col min="5055" max="5055" width="83.26953125" style="44" bestFit="1" customWidth="1"/>
    <col min="5056" max="5056" width="101.453125" style="44" bestFit="1" customWidth="1"/>
    <col min="5057" max="5057" width="110.1796875" style="44" bestFit="1" customWidth="1"/>
    <col min="5058" max="5058" width="74.6328125" style="44" bestFit="1" customWidth="1"/>
    <col min="5059" max="5062" width="84.54296875" style="44" bestFit="1" customWidth="1"/>
    <col min="5063" max="5063" width="74.36328125" style="44" bestFit="1" customWidth="1"/>
    <col min="5064" max="5064" width="88.1796875" style="44" bestFit="1" customWidth="1"/>
    <col min="5065" max="5065" width="78.6328125" style="44" bestFit="1" customWidth="1"/>
    <col min="5066" max="5066" width="76.81640625" style="44" bestFit="1" customWidth="1"/>
    <col min="5067" max="5067" width="74.7265625" style="44" bestFit="1" customWidth="1"/>
    <col min="5068" max="5068" width="87.26953125" style="44" bestFit="1" customWidth="1"/>
    <col min="5069" max="5069" width="85.54296875" style="44" bestFit="1" customWidth="1"/>
    <col min="5070" max="5070" width="100.26953125" style="44" bestFit="1" customWidth="1"/>
    <col min="5071" max="5071" width="71.36328125" style="44" bestFit="1" customWidth="1"/>
    <col min="5072" max="5072" width="105.453125" style="44" bestFit="1" customWidth="1"/>
    <col min="5073" max="5073" width="103.08984375" style="44" bestFit="1" customWidth="1"/>
    <col min="5074" max="5074" width="85.7265625" style="44" bestFit="1" customWidth="1"/>
    <col min="5075" max="5075" width="99.26953125" style="44" bestFit="1" customWidth="1"/>
    <col min="5076" max="5076" width="83.54296875" style="44" bestFit="1" customWidth="1"/>
    <col min="5077" max="5077" width="96.90625" style="44" bestFit="1" customWidth="1"/>
    <col min="5078" max="5078" width="74.26953125" style="44" bestFit="1" customWidth="1"/>
    <col min="5079" max="5079" width="98.36328125" style="44" bestFit="1" customWidth="1"/>
    <col min="5080" max="5080" width="74.453125" style="44" bestFit="1" customWidth="1"/>
    <col min="5081" max="5081" width="88.81640625" style="44" bestFit="1" customWidth="1"/>
    <col min="5082" max="5082" width="67.6328125" style="44" bestFit="1" customWidth="1"/>
    <col min="5083" max="5083" width="93.08984375" style="44" bestFit="1" customWidth="1"/>
    <col min="5084" max="5084" width="101.453125" style="44" bestFit="1" customWidth="1"/>
    <col min="5085" max="5087" width="76.81640625" style="44" bestFit="1" customWidth="1"/>
    <col min="5088" max="5088" width="87.08984375" style="44" bestFit="1" customWidth="1"/>
    <col min="5089" max="5089" width="72.453125" style="44" bestFit="1" customWidth="1"/>
    <col min="5090" max="5090" width="87.81640625" style="44" bestFit="1" customWidth="1"/>
    <col min="5091" max="5091" width="71.7265625" style="44" bestFit="1" customWidth="1"/>
    <col min="5092" max="5092" width="74" style="44" bestFit="1" customWidth="1"/>
    <col min="5093" max="5093" width="74.08984375" style="44" bestFit="1" customWidth="1"/>
    <col min="5094" max="5096" width="86.81640625" style="44" bestFit="1" customWidth="1"/>
    <col min="5097" max="5097" width="104.7265625" style="44" bestFit="1" customWidth="1"/>
    <col min="5098" max="5098" width="101.81640625" style="44" bestFit="1" customWidth="1"/>
    <col min="5099" max="5099" width="64.453125" style="44" bestFit="1" customWidth="1"/>
    <col min="5100" max="5100" width="65.1796875" style="44" bestFit="1" customWidth="1"/>
    <col min="5101" max="5101" width="72.453125" style="44" bestFit="1" customWidth="1"/>
    <col min="5102" max="5102" width="81.36328125" style="44" bestFit="1" customWidth="1"/>
    <col min="5103" max="5103" width="65.1796875" style="44" bestFit="1" customWidth="1"/>
    <col min="5104" max="5104" width="80.90625" style="44" bestFit="1" customWidth="1"/>
    <col min="5105" max="5105" width="71.7265625" style="44" bestFit="1" customWidth="1"/>
    <col min="5106" max="5106" width="73.6328125" style="44" bestFit="1" customWidth="1"/>
    <col min="5107" max="5108" width="85.36328125" style="44" bestFit="1" customWidth="1"/>
    <col min="5109" max="5109" width="92.26953125" style="44" bestFit="1" customWidth="1"/>
    <col min="5110" max="5110" width="106.1796875" style="44" bestFit="1" customWidth="1"/>
    <col min="5111" max="5111" width="86.6328125" style="44" bestFit="1" customWidth="1"/>
    <col min="5112" max="5113" width="68.90625" style="44" bestFit="1" customWidth="1"/>
    <col min="5114" max="5114" width="80.54296875" style="44" bestFit="1" customWidth="1"/>
    <col min="5115" max="5115" width="68.90625" style="44" bestFit="1" customWidth="1"/>
    <col min="5116" max="5116" width="79.1796875" style="44" bestFit="1" customWidth="1"/>
    <col min="5117" max="5117" width="79.26953125" style="44" bestFit="1" customWidth="1"/>
    <col min="5118" max="5118" width="80.1796875" style="44" bestFit="1" customWidth="1"/>
    <col min="5119" max="5119" width="84.81640625" style="44" bestFit="1" customWidth="1"/>
    <col min="5120" max="5120" width="76.81640625" style="44" bestFit="1" customWidth="1"/>
    <col min="5121" max="5121" width="7.90625" style="44" bestFit="1" customWidth="1"/>
    <col min="5122" max="5122" width="132.54296875" style="44" bestFit="1" customWidth="1"/>
    <col min="5123" max="5123" width="45.36328125" style="44" bestFit="1" customWidth="1"/>
    <col min="5124" max="5124" width="14.08984375" style="44" bestFit="1" customWidth="1"/>
    <col min="5125" max="5126" width="8.7265625" style="44"/>
    <col min="5127" max="5127" width="49.7265625" style="44" bestFit="1" customWidth="1"/>
    <col min="5128" max="5128" width="7.90625" style="44" bestFit="1" customWidth="1"/>
    <col min="5129" max="5129" width="7.81640625" style="44" bestFit="1" customWidth="1"/>
    <col min="5130" max="5141" width="8.81640625" style="44" bestFit="1" customWidth="1"/>
    <col min="5142" max="5142" width="10.81640625" style="44" bestFit="1" customWidth="1"/>
    <col min="5143" max="5143" width="93.36328125" style="44" bestFit="1" customWidth="1"/>
    <col min="5144" max="5144" width="87.6328125" style="44" bestFit="1" customWidth="1"/>
    <col min="5145" max="5145" width="69.26953125" style="44" bestFit="1" customWidth="1"/>
    <col min="5146" max="5146" width="68.54296875" style="44" bestFit="1" customWidth="1"/>
    <col min="5147" max="5147" width="67.6328125" style="44" bestFit="1" customWidth="1"/>
    <col min="5148" max="5148" width="64" style="44" bestFit="1" customWidth="1"/>
    <col min="5149" max="5149" width="43.81640625" style="44" bestFit="1" customWidth="1"/>
    <col min="5150" max="5150" width="39.81640625" style="44" bestFit="1" customWidth="1"/>
    <col min="5151" max="5151" width="85.26953125" style="44" bestFit="1" customWidth="1"/>
    <col min="5152" max="5152" width="84.08984375" style="44" bestFit="1" customWidth="1"/>
    <col min="5153" max="5153" width="91" style="44" bestFit="1" customWidth="1"/>
    <col min="5154" max="5154" width="79" style="44" bestFit="1" customWidth="1"/>
    <col min="5155" max="5155" width="89.90625" style="44" bestFit="1" customWidth="1"/>
    <col min="5156" max="5162" width="90.90625" style="44" bestFit="1" customWidth="1"/>
    <col min="5163" max="5163" width="91.90625" style="44" bestFit="1" customWidth="1"/>
    <col min="5164" max="5164" width="73.08984375" style="44" bestFit="1" customWidth="1"/>
    <col min="5165" max="5165" width="61.1796875" style="44" bestFit="1" customWidth="1"/>
    <col min="5166" max="5166" width="94.1796875" style="44" bestFit="1" customWidth="1"/>
    <col min="5167" max="5167" width="84.453125" style="44" bestFit="1" customWidth="1"/>
    <col min="5168" max="5168" width="86.81640625" style="44" bestFit="1" customWidth="1"/>
    <col min="5169" max="5169" width="90.08984375" style="44" bestFit="1" customWidth="1"/>
    <col min="5170" max="5170" width="86.7265625" style="44" bestFit="1" customWidth="1"/>
    <col min="5171" max="5171" width="87.6328125" style="44" bestFit="1" customWidth="1"/>
    <col min="5172" max="5174" width="97.6328125" style="44" bestFit="1" customWidth="1"/>
    <col min="5175" max="5175" width="72.54296875" style="44" bestFit="1" customWidth="1"/>
    <col min="5176" max="5176" width="73.6328125" style="44" bestFit="1" customWidth="1"/>
    <col min="5177" max="5177" width="58.6328125" style="44" bestFit="1" customWidth="1"/>
    <col min="5178" max="5179" width="74.08984375" style="44" bestFit="1" customWidth="1"/>
    <col min="5180" max="5180" width="75.54296875" style="44" bestFit="1" customWidth="1"/>
    <col min="5181" max="5181" width="92" style="44" bestFit="1" customWidth="1"/>
    <col min="5182" max="5182" width="93.54296875" style="44" bestFit="1" customWidth="1"/>
    <col min="5183" max="5184" width="75.54296875" style="44" bestFit="1" customWidth="1"/>
    <col min="5185" max="5185" width="78.08984375" style="44" bestFit="1" customWidth="1"/>
    <col min="5186" max="5186" width="70" style="44" bestFit="1" customWidth="1"/>
    <col min="5187" max="5187" width="84.81640625" style="44" bestFit="1" customWidth="1"/>
    <col min="5188" max="5188" width="93" style="44" bestFit="1" customWidth="1"/>
    <col min="5189" max="5189" width="83.453125" style="44" bestFit="1" customWidth="1"/>
    <col min="5190" max="5190" width="100.90625" style="44" bestFit="1" customWidth="1"/>
    <col min="5191" max="5193" width="64.54296875" style="44" bestFit="1" customWidth="1"/>
    <col min="5194" max="5195" width="82.7265625" style="44" bestFit="1" customWidth="1"/>
    <col min="5196" max="5196" width="99.453125" style="44" bestFit="1" customWidth="1"/>
    <col min="5197" max="5197" width="78.1796875" style="44" bestFit="1" customWidth="1"/>
    <col min="5198" max="5198" width="71.36328125" style="44" bestFit="1" customWidth="1"/>
    <col min="5199" max="5199" width="71.26953125" style="44" bestFit="1" customWidth="1"/>
    <col min="5200" max="5203" width="76.453125" style="44" bestFit="1" customWidth="1"/>
    <col min="5204" max="5204" width="70.54296875" style="44" bestFit="1" customWidth="1"/>
    <col min="5205" max="5205" width="63.36328125" style="44" bestFit="1" customWidth="1"/>
    <col min="5206" max="5206" width="97.81640625" style="44" bestFit="1" customWidth="1"/>
    <col min="5207" max="5208" width="73" style="44" bestFit="1" customWidth="1"/>
    <col min="5209" max="5209" width="79" style="44" bestFit="1" customWidth="1"/>
    <col min="5210" max="5210" width="73" style="44" bestFit="1" customWidth="1"/>
    <col min="5211" max="5211" width="82.1796875" style="44" bestFit="1" customWidth="1"/>
    <col min="5212" max="5212" width="61.453125" style="44" bestFit="1" customWidth="1"/>
    <col min="5213" max="5214" width="99.90625" style="44" bestFit="1" customWidth="1"/>
    <col min="5215" max="5215" width="100.36328125" style="44" bestFit="1" customWidth="1"/>
    <col min="5216" max="5216" width="84.453125" style="44" bestFit="1" customWidth="1"/>
    <col min="5217" max="5217" width="113.36328125" style="44" bestFit="1" customWidth="1"/>
    <col min="5218" max="5218" width="98.453125" style="44" bestFit="1" customWidth="1"/>
    <col min="5219" max="5219" width="99.7265625" style="44" bestFit="1" customWidth="1"/>
    <col min="5220" max="5220" width="99.54296875" style="44" bestFit="1" customWidth="1"/>
    <col min="5221" max="5221" width="96.81640625" style="44" bestFit="1" customWidth="1"/>
    <col min="5222" max="5222" width="94.08984375" style="44" bestFit="1" customWidth="1"/>
    <col min="5223" max="5223" width="100.453125" style="44" bestFit="1" customWidth="1"/>
    <col min="5224" max="5224" width="98.6328125" style="44" bestFit="1" customWidth="1"/>
    <col min="5225" max="5225" width="77.453125" style="44" bestFit="1" customWidth="1"/>
    <col min="5226" max="5226" width="95.1796875" style="44" bestFit="1" customWidth="1"/>
    <col min="5227" max="5227" width="86.6328125" style="44" bestFit="1" customWidth="1"/>
    <col min="5228" max="5228" width="77.26953125" style="44" bestFit="1" customWidth="1"/>
    <col min="5229" max="5229" width="85.1796875" style="44" bestFit="1" customWidth="1"/>
    <col min="5230" max="5230" width="74.7265625" style="44" bestFit="1" customWidth="1"/>
    <col min="5231" max="5231" width="92" style="44" bestFit="1" customWidth="1"/>
    <col min="5232" max="5232" width="72.26953125" style="44" bestFit="1" customWidth="1"/>
    <col min="5233" max="5233" width="97.08984375" style="44" bestFit="1" customWidth="1"/>
    <col min="5234" max="5234" width="77.08984375" style="44" bestFit="1" customWidth="1"/>
    <col min="5235" max="5235" width="85.08984375" style="44" bestFit="1" customWidth="1"/>
    <col min="5236" max="5237" width="83.1796875" style="44" bestFit="1" customWidth="1"/>
    <col min="5238" max="5238" width="82.6328125" style="44" bestFit="1" customWidth="1"/>
    <col min="5239" max="5239" width="86.26953125" style="44" bestFit="1" customWidth="1"/>
    <col min="5240" max="5240" width="71.1796875" style="44" bestFit="1" customWidth="1"/>
    <col min="5241" max="5241" width="66.6328125" style="44" bestFit="1" customWidth="1"/>
    <col min="5242" max="5243" width="83.1796875" style="44" bestFit="1" customWidth="1"/>
    <col min="5244" max="5244" width="67.08984375" style="44" bestFit="1" customWidth="1"/>
    <col min="5245" max="5245" width="76.54296875" style="44" bestFit="1" customWidth="1"/>
    <col min="5246" max="5246" width="94.08984375" style="44" bestFit="1" customWidth="1"/>
    <col min="5247" max="5247" width="89.08984375" style="44" bestFit="1" customWidth="1"/>
    <col min="5248" max="5248" width="68.1796875" style="44" bestFit="1" customWidth="1"/>
    <col min="5249" max="5249" width="91.7265625" style="44" bestFit="1" customWidth="1"/>
    <col min="5250" max="5250" width="63.36328125" style="44" bestFit="1" customWidth="1"/>
    <col min="5251" max="5251" width="66.6328125" style="44" bestFit="1" customWidth="1"/>
    <col min="5252" max="5252" width="63.36328125" style="44" bestFit="1" customWidth="1"/>
    <col min="5253" max="5253" width="63.453125" style="44" bestFit="1" customWidth="1"/>
    <col min="5254" max="5254" width="87.54296875" style="44" bestFit="1" customWidth="1"/>
    <col min="5255" max="5255" width="93.81640625" style="44" bestFit="1" customWidth="1"/>
    <col min="5256" max="5256" width="66.453125" style="44" bestFit="1" customWidth="1"/>
    <col min="5257" max="5258" width="110" style="44" bestFit="1" customWidth="1"/>
    <col min="5259" max="5259" width="103.1796875" style="44" bestFit="1" customWidth="1"/>
    <col min="5260" max="5260" width="62.453125" style="44" bestFit="1" customWidth="1"/>
    <col min="5261" max="5261" width="77.453125" style="44" bestFit="1" customWidth="1"/>
    <col min="5262" max="5262" width="91.54296875" style="44" bestFit="1" customWidth="1"/>
    <col min="5263" max="5263" width="88.08984375" style="44" bestFit="1" customWidth="1"/>
    <col min="5264" max="5264" width="80.6328125" style="44" bestFit="1" customWidth="1"/>
    <col min="5265" max="5265" width="77.453125" style="44" bestFit="1" customWidth="1"/>
    <col min="5266" max="5266" width="85.1796875" style="44" bestFit="1" customWidth="1"/>
    <col min="5267" max="5270" width="72.36328125" style="44" bestFit="1" customWidth="1"/>
    <col min="5271" max="5272" width="95" style="44" bestFit="1" customWidth="1"/>
    <col min="5273" max="5273" width="64.08984375" style="44" bestFit="1" customWidth="1"/>
    <col min="5274" max="5274" width="110.08984375" style="44" bestFit="1" customWidth="1"/>
    <col min="5275" max="5275" width="86.36328125" style="44" bestFit="1" customWidth="1"/>
    <col min="5276" max="5276" width="89.36328125" style="44" bestFit="1" customWidth="1"/>
    <col min="5277" max="5277" width="89.81640625" style="44" bestFit="1" customWidth="1"/>
    <col min="5278" max="5278" width="64.26953125" style="44" bestFit="1" customWidth="1"/>
    <col min="5279" max="5279" width="85.7265625" style="44" bestFit="1" customWidth="1"/>
    <col min="5280" max="5280" width="73" style="44" bestFit="1" customWidth="1"/>
    <col min="5281" max="5281" width="92.7265625" style="44" bestFit="1" customWidth="1"/>
    <col min="5282" max="5282" width="92.36328125" style="44" bestFit="1" customWidth="1"/>
    <col min="5283" max="5283" width="72" style="44" bestFit="1" customWidth="1"/>
    <col min="5284" max="5284" width="82" style="44" bestFit="1" customWidth="1"/>
    <col min="5285" max="5285" width="79.36328125" style="44" bestFit="1" customWidth="1"/>
    <col min="5286" max="5286" width="81" style="44" bestFit="1" customWidth="1"/>
    <col min="5287" max="5287" width="72.90625" style="44" bestFit="1" customWidth="1"/>
    <col min="5288" max="5288" width="90.81640625" style="44" bestFit="1" customWidth="1"/>
    <col min="5289" max="5289" width="84" style="44" bestFit="1" customWidth="1"/>
    <col min="5290" max="5291" width="73.36328125" style="44" bestFit="1" customWidth="1"/>
    <col min="5292" max="5292" width="90.6328125" style="44" bestFit="1" customWidth="1"/>
    <col min="5293" max="5293" width="89.453125" style="44" bestFit="1" customWidth="1"/>
    <col min="5294" max="5294" width="84.6328125" style="44" bestFit="1" customWidth="1"/>
    <col min="5295" max="5295" width="74.54296875" style="44" bestFit="1" customWidth="1"/>
    <col min="5296" max="5296" width="76.90625" style="44" bestFit="1" customWidth="1"/>
    <col min="5297" max="5297" width="83" style="44" bestFit="1" customWidth="1"/>
    <col min="5298" max="5298" width="85.81640625" style="44" bestFit="1" customWidth="1"/>
    <col min="5299" max="5299" width="83.7265625" style="44" bestFit="1" customWidth="1"/>
    <col min="5300" max="5300" width="79.54296875" style="44" bestFit="1" customWidth="1"/>
    <col min="5301" max="5301" width="80.54296875" style="44" bestFit="1" customWidth="1"/>
    <col min="5302" max="5302" width="89.54296875" style="44" bestFit="1" customWidth="1"/>
    <col min="5303" max="5303" width="85.36328125" style="44" bestFit="1" customWidth="1"/>
    <col min="5304" max="5304" width="61.6328125" style="44" bestFit="1" customWidth="1"/>
    <col min="5305" max="5305" width="132.54296875" style="44" bestFit="1" customWidth="1"/>
    <col min="5306" max="5306" width="93.1796875" style="44" bestFit="1" customWidth="1"/>
    <col min="5307" max="5307" width="91.08984375" style="44" bestFit="1" customWidth="1"/>
    <col min="5308" max="5308" width="81.7265625" style="44" bestFit="1" customWidth="1"/>
    <col min="5309" max="5310" width="80.90625" style="44" bestFit="1" customWidth="1"/>
    <col min="5311" max="5311" width="83.26953125" style="44" bestFit="1" customWidth="1"/>
    <col min="5312" max="5312" width="101.453125" style="44" bestFit="1" customWidth="1"/>
    <col min="5313" max="5313" width="110.1796875" style="44" bestFit="1" customWidth="1"/>
    <col min="5314" max="5314" width="74.6328125" style="44" bestFit="1" customWidth="1"/>
    <col min="5315" max="5318" width="84.54296875" style="44" bestFit="1" customWidth="1"/>
    <col min="5319" max="5319" width="74.36328125" style="44" bestFit="1" customWidth="1"/>
    <col min="5320" max="5320" width="88.1796875" style="44" bestFit="1" customWidth="1"/>
    <col min="5321" max="5321" width="78.6328125" style="44" bestFit="1" customWidth="1"/>
    <col min="5322" max="5322" width="76.81640625" style="44" bestFit="1" customWidth="1"/>
    <col min="5323" max="5323" width="74.7265625" style="44" bestFit="1" customWidth="1"/>
    <col min="5324" max="5324" width="87.26953125" style="44" bestFit="1" customWidth="1"/>
    <col min="5325" max="5325" width="85.54296875" style="44" bestFit="1" customWidth="1"/>
    <col min="5326" max="5326" width="100.26953125" style="44" bestFit="1" customWidth="1"/>
    <col min="5327" max="5327" width="71.36328125" style="44" bestFit="1" customWidth="1"/>
    <col min="5328" max="5328" width="105.453125" style="44" bestFit="1" customWidth="1"/>
    <col min="5329" max="5329" width="103.08984375" style="44" bestFit="1" customWidth="1"/>
    <col min="5330" max="5330" width="85.7265625" style="44" bestFit="1" customWidth="1"/>
    <col min="5331" max="5331" width="99.26953125" style="44" bestFit="1" customWidth="1"/>
    <col min="5332" max="5332" width="83.54296875" style="44" bestFit="1" customWidth="1"/>
    <col min="5333" max="5333" width="96.90625" style="44" bestFit="1" customWidth="1"/>
    <col min="5334" max="5334" width="74.26953125" style="44" bestFit="1" customWidth="1"/>
    <col min="5335" max="5335" width="98.36328125" style="44" bestFit="1" customWidth="1"/>
    <col min="5336" max="5336" width="74.453125" style="44" bestFit="1" customWidth="1"/>
    <col min="5337" max="5337" width="88.81640625" style="44" bestFit="1" customWidth="1"/>
    <col min="5338" max="5338" width="67.6328125" style="44" bestFit="1" customWidth="1"/>
    <col min="5339" max="5339" width="93.08984375" style="44" bestFit="1" customWidth="1"/>
    <col min="5340" max="5340" width="101.453125" style="44" bestFit="1" customWidth="1"/>
    <col min="5341" max="5343" width="76.81640625" style="44" bestFit="1" customWidth="1"/>
    <col min="5344" max="5344" width="87.08984375" style="44" bestFit="1" customWidth="1"/>
    <col min="5345" max="5345" width="72.453125" style="44" bestFit="1" customWidth="1"/>
    <col min="5346" max="5346" width="87.81640625" style="44" bestFit="1" customWidth="1"/>
    <col min="5347" max="5347" width="71.7265625" style="44" bestFit="1" customWidth="1"/>
    <col min="5348" max="5348" width="74" style="44" bestFit="1" customWidth="1"/>
    <col min="5349" max="5349" width="74.08984375" style="44" bestFit="1" customWidth="1"/>
    <col min="5350" max="5352" width="86.81640625" style="44" bestFit="1" customWidth="1"/>
    <col min="5353" max="5353" width="104.7265625" style="44" bestFit="1" customWidth="1"/>
    <col min="5354" max="5354" width="101.81640625" style="44" bestFit="1" customWidth="1"/>
    <col min="5355" max="5355" width="64.453125" style="44" bestFit="1" customWidth="1"/>
    <col min="5356" max="5356" width="65.1796875" style="44" bestFit="1" customWidth="1"/>
    <col min="5357" max="5357" width="72.453125" style="44" bestFit="1" customWidth="1"/>
    <col min="5358" max="5358" width="81.36328125" style="44" bestFit="1" customWidth="1"/>
    <col min="5359" max="5359" width="65.1796875" style="44" bestFit="1" customWidth="1"/>
    <col min="5360" max="5360" width="80.90625" style="44" bestFit="1" customWidth="1"/>
    <col min="5361" max="5361" width="71.7265625" style="44" bestFit="1" customWidth="1"/>
    <col min="5362" max="5362" width="73.6328125" style="44" bestFit="1" customWidth="1"/>
    <col min="5363" max="5364" width="85.36328125" style="44" bestFit="1" customWidth="1"/>
    <col min="5365" max="5365" width="92.26953125" style="44" bestFit="1" customWidth="1"/>
    <col min="5366" max="5366" width="106.1796875" style="44" bestFit="1" customWidth="1"/>
    <col min="5367" max="5367" width="86.6328125" style="44" bestFit="1" customWidth="1"/>
    <col min="5368" max="5369" width="68.90625" style="44" bestFit="1" customWidth="1"/>
    <col min="5370" max="5370" width="80.54296875" style="44" bestFit="1" customWidth="1"/>
    <col min="5371" max="5371" width="68.90625" style="44" bestFit="1" customWidth="1"/>
    <col min="5372" max="5372" width="79.1796875" style="44" bestFit="1" customWidth="1"/>
    <col min="5373" max="5373" width="79.26953125" style="44" bestFit="1" customWidth="1"/>
    <col min="5374" max="5374" width="80.1796875" style="44" bestFit="1" customWidth="1"/>
    <col min="5375" max="5375" width="84.81640625" style="44" bestFit="1" customWidth="1"/>
    <col min="5376" max="5376" width="76.81640625" style="44" bestFit="1" customWidth="1"/>
    <col min="5377" max="5377" width="7.90625" style="44" bestFit="1" customWidth="1"/>
    <col min="5378" max="5378" width="132.54296875" style="44" bestFit="1" customWidth="1"/>
    <col min="5379" max="5379" width="45.36328125" style="44" bestFit="1" customWidth="1"/>
    <col min="5380" max="5380" width="14.08984375" style="44" bestFit="1" customWidth="1"/>
    <col min="5381" max="5382" width="8.7265625" style="44"/>
    <col min="5383" max="5383" width="49.7265625" style="44" bestFit="1" customWidth="1"/>
    <col min="5384" max="5384" width="7.90625" style="44" bestFit="1" customWidth="1"/>
    <col min="5385" max="5385" width="7.81640625" style="44" bestFit="1" customWidth="1"/>
    <col min="5386" max="5397" width="8.81640625" style="44" bestFit="1" customWidth="1"/>
    <col min="5398" max="5398" width="10.81640625" style="44" bestFit="1" customWidth="1"/>
    <col min="5399" max="5399" width="93.36328125" style="44" bestFit="1" customWidth="1"/>
    <col min="5400" max="5400" width="87.6328125" style="44" bestFit="1" customWidth="1"/>
    <col min="5401" max="5401" width="69.26953125" style="44" bestFit="1" customWidth="1"/>
    <col min="5402" max="5402" width="68.54296875" style="44" bestFit="1" customWidth="1"/>
    <col min="5403" max="5403" width="67.6328125" style="44" bestFit="1" customWidth="1"/>
    <col min="5404" max="5404" width="64" style="44" bestFit="1" customWidth="1"/>
    <col min="5405" max="5405" width="43.81640625" style="44" bestFit="1" customWidth="1"/>
    <col min="5406" max="5406" width="39.81640625" style="44" bestFit="1" customWidth="1"/>
    <col min="5407" max="5407" width="85.26953125" style="44" bestFit="1" customWidth="1"/>
    <col min="5408" max="5408" width="84.08984375" style="44" bestFit="1" customWidth="1"/>
    <col min="5409" max="5409" width="91" style="44" bestFit="1" customWidth="1"/>
    <col min="5410" max="5410" width="79" style="44" bestFit="1" customWidth="1"/>
    <col min="5411" max="5411" width="89.90625" style="44" bestFit="1" customWidth="1"/>
    <col min="5412" max="5418" width="90.90625" style="44" bestFit="1" customWidth="1"/>
    <col min="5419" max="5419" width="91.90625" style="44" bestFit="1" customWidth="1"/>
    <col min="5420" max="5420" width="73.08984375" style="44" bestFit="1" customWidth="1"/>
    <col min="5421" max="5421" width="61.1796875" style="44" bestFit="1" customWidth="1"/>
    <col min="5422" max="5422" width="94.1796875" style="44" bestFit="1" customWidth="1"/>
    <col min="5423" max="5423" width="84.453125" style="44" bestFit="1" customWidth="1"/>
    <col min="5424" max="5424" width="86.81640625" style="44" bestFit="1" customWidth="1"/>
    <col min="5425" max="5425" width="90.08984375" style="44" bestFit="1" customWidth="1"/>
    <col min="5426" max="5426" width="86.7265625" style="44" bestFit="1" customWidth="1"/>
    <col min="5427" max="5427" width="87.6328125" style="44" bestFit="1" customWidth="1"/>
    <col min="5428" max="5430" width="97.6328125" style="44" bestFit="1" customWidth="1"/>
    <col min="5431" max="5431" width="72.54296875" style="44" bestFit="1" customWidth="1"/>
    <col min="5432" max="5432" width="73.6328125" style="44" bestFit="1" customWidth="1"/>
    <col min="5433" max="5433" width="58.6328125" style="44" bestFit="1" customWidth="1"/>
    <col min="5434" max="5435" width="74.08984375" style="44" bestFit="1" customWidth="1"/>
    <col min="5436" max="5436" width="75.54296875" style="44" bestFit="1" customWidth="1"/>
    <col min="5437" max="5437" width="92" style="44" bestFit="1" customWidth="1"/>
    <col min="5438" max="5438" width="93.54296875" style="44" bestFit="1" customWidth="1"/>
    <col min="5439" max="5440" width="75.54296875" style="44" bestFit="1" customWidth="1"/>
    <col min="5441" max="5441" width="78.08984375" style="44" bestFit="1" customWidth="1"/>
    <col min="5442" max="5442" width="70" style="44" bestFit="1" customWidth="1"/>
    <col min="5443" max="5443" width="84.81640625" style="44" bestFit="1" customWidth="1"/>
    <col min="5444" max="5444" width="93" style="44" bestFit="1" customWidth="1"/>
    <col min="5445" max="5445" width="83.453125" style="44" bestFit="1" customWidth="1"/>
    <col min="5446" max="5446" width="100.90625" style="44" bestFit="1" customWidth="1"/>
    <col min="5447" max="5449" width="64.54296875" style="44" bestFit="1" customWidth="1"/>
    <col min="5450" max="5451" width="82.7265625" style="44" bestFit="1" customWidth="1"/>
    <col min="5452" max="5452" width="99.453125" style="44" bestFit="1" customWidth="1"/>
    <col min="5453" max="5453" width="78.1796875" style="44" bestFit="1" customWidth="1"/>
    <col min="5454" max="5454" width="71.36328125" style="44" bestFit="1" customWidth="1"/>
    <col min="5455" max="5455" width="71.26953125" style="44" bestFit="1" customWidth="1"/>
    <col min="5456" max="5459" width="76.453125" style="44" bestFit="1" customWidth="1"/>
    <col min="5460" max="5460" width="70.54296875" style="44" bestFit="1" customWidth="1"/>
    <col min="5461" max="5461" width="63.36328125" style="44" bestFit="1" customWidth="1"/>
    <col min="5462" max="5462" width="97.81640625" style="44" bestFit="1" customWidth="1"/>
    <col min="5463" max="5464" width="73" style="44" bestFit="1" customWidth="1"/>
    <col min="5465" max="5465" width="79" style="44" bestFit="1" customWidth="1"/>
    <col min="5466" max="5466" width="73" style="44" bestFit="1" customWidth="1"/>
    <col min="5467" max="5467" width="82.1796875" style="44" bestFit="1" customWidth="1"/>
    <col min="5468" max="5468" width="61.453125" style="44" bestFit="1" customWidth="1"/>
    <col min="5469" max="5470" width="99.90625" style="44" bestFit="1" customWidth="1"/>
    <col min="5471" max="5471" width="100.36328125" style="44" bestFit="1" customWidth="1"/>
    <col min="5472" max="5472" width="84.453125" style="44" bestFit="1" customWidth="1"/>
    <col min="5473" max="5473" width="113.36328125" style="44" bestFit="1" customWidth="1"/>
    <col min="5474" max="5474" width="98.453125" style="44" bestFit="1" customWidth="1"/>
    <col min="5475" max="5475" width="99.7265625" style="44" bestFit="1" customWidth="1"/>
    <col min="5476" max="5476" width="99.54296875" style="44" bestFit="1" customWidth="1"/>
    <col min="5477" max="5477" width="96.81640625" style="44" bestFit="1" customWidth="1"/>
    <col min="5478" max="5478" width="94.08984375" style="44" bestFit="1" customWidth="1"/>
    <col min="5479" max="5479" width="100.453125" style="44" bestFit="1" customWidth="1"/>
    <col min="5480" max="5480" width="98.6328125" style="44" bestFit="1" customWidth="1"/>
    <col min="5481" max="5481" width="77.453125" style="44" bestFit="1" customWidth="1"/>
    <col min="5482" max="5482" width="95.1796875" style="44" bestFit="1" customWidth="1"/>
    <col min="5483" max="5483" width="86.6328125" style="44" bestFit="1" customWidth="1"/>
    <col min="5484" max="5484" width="77.26953125" style="44" bestFit="1" customWidth="1"/>
    <col min="5485" max="5485" width="85.1796875" style="44" bestFit="1" customWidth="1"/>
    <col min="5486" max="5486" width="74.7265625" style="44" bestFit="1" customWidth="1"/>
    <col min="5487" max="5487" width="92" style="44" bestFit="1" customWidth="1"/>
    <col min="5488" max="5488" width="72.26953125" style="44" bestFit="1" customWidth="1"/>
    <col min="5489" max="5489" width="97.08984375" style="44" bestFit="1" customWidth="1"/>
    <col min="5490" max="5490" width="77.08984375" style="44" bestFit="1" customWidth="1"/>
    <col min="5491" max="5491" width="85.08984375" style="44" bestFit="1" customWidth="1"/>
    <col min="5492" max="5493" width="83.1796875" style="44" bestFit="1" customWidth="1"/>
    <col min="5494" max="5494" width="82.6328125" style="44" bestFit="1" customWidth="1"/>
    <col min="5495" max="5495" width="86.26953125" style="44" bestFit="1" customWidth="1"/>
    <col min="5496" max="5496" width="71.1796875" style="44" bestFit="1" customWidth="1"/>
    <col min="5497" max="5497" width="66.6328125" style="44" bestFit="1" customWidth="1"/>
    <col min="5498" max="5499" width="83.1796875" style="44" bestFit="1" customWidth="1"/>
    <col min="5500" max="5500" width="67.08984375" style="44" bestFit="1" customWidth="1"/>
    <col min="5501" max="5501" width="76.54296875" style="44" bestFit="1" customWidth="1"/>
    <col min="5502" max="5502" width="94.08984375" style="44" bestFit="1" customWidth="1"/>
    <col min="5503" max="5503" width="89.08984375" style="44" bestFit="1" customWidth="1"/>
    <col min="5504" max="5504" width="68.1796875" style="44" bestFit="1" customWidth="1"/>
    <col min="5505" max="5505" width="91.7265625" style="44" bestFit="1" customWidth="1"/>
    <col min="5506" max="5506" width="63.36328125" style="44" bestFit="1" customWidth="1"/>
    <col min="5507" max="5507" width="66.6328125" style="44" bestFit="1" customWidth="1"/>
    <col min="5508" max="5508" width="63.36328125" style="44" bestFit="1" customWidth="1"/>
    <col min="5509" max="5509" width="63.453125" style="44" bestFit="1" customWidth="1"/>
    <col min="5510" max="5510" width="87.54296875" style="44" bestFit="1" customWidth="1"/>
    <col min="5511" max="5511" width="93.81640625" style="44" bestFit="1" customWidth="1"/>
    <col min="5512" max="5512" width="66.453125" style="44" bestFit="1" customWidth="1"/>
    <col min="5513" max="5514" width="110" style="44" bestFit="1" customWidth="1"/>
    <col min="5515" max="5515" width="103.1796875" style="44" bestFit="1" customWidth="1"/>
    <col min="5516" max="5516" width="62.453125" style="44" bestFit="1" customWidth="1"/>
    <col min="5517" max="5517" width="77.453125" style="44" bestFit="1" customWidth="1"/>
    <col min="5518" max="5518" width="91.54296875" style="44" bestFit="1" customWidth="1"/>
    <col min="5519" max="5519" width="88.08984375" style="44" bestFit="1" customWidth="1"/>
    <col min="5520" max="5520" width="80.6328125" style="44" bestFit="1" customWidth="1"/>
    <col min="5521" max="5521" width="77.453125" style="44" bestFit="1" customWidth="1"/>
    <col min="5522" max="5522" width="85.1796875" style="44" bestFit="1" customWidth="1"/>
    <col min="5523" max="5526" width="72.36328125" style="44" bestFit="1" customWidth="1"/>
    <col min="5527" max="5528" width="95" style="44" bestFit="1" customWidth="1"/>
    <col min="5529" max="5529" width="64.08984375" style="44" bestFit="1" customWidth="1"/>
    <col min="5530" max="5530" width="110.08984375" style="44" bestFit="1" customWidth="1"/>
    <col min="5531" max="5531" width="86.36328125" style="44" bestFit="1" customWidth="1"/>
    <col min="5532" max="5532" width="89.36328125" style="44" bestFit="1" customWidth="1"/>
    <col min="5533" max="5533" width="89.81640625" style="44" bestFit="1" customWidth="1"/>
    <col min="5534" max="5534" width="64.26953125" style="44" bestFit="1" customWidth="1"/>
    <col min="5535" max="5535" width="85.7265625" style="44" bestFit="1" customWidth="1"/>
    <col min="5536" max="5536" width="73" style="44" bestFit="1" customWidth="1"/>
    <col min="5537" max="5537" width="92.7265625" style="44" bestFit="1" customWidth="1"/>
    <col min="5538" max="5538" width="92.36328125" style="44" bestFit="1" customWidth="1"/>
    <col min="5539" max="5539" width="72" style="44" bestFit="1" customWidth="1"/>
    <col min="5540" max="5540" width="82" style="44" bestFit="1" customWidth="1"/>
    <col min="5541" max="5541" width="79.36328125" style="44" bestFit="1" customWidth="1"/>
    <col min="5542" max="5542" width="81" style="44" bestFit="1" customWidth="1"/>
    <col min="5543" max="5543" width="72.90625" style="44" bestFit="1" customWidth="1"/>
    <col min="5544" max="5544" width="90.81640625" style="44" bestFit="1" customWidth="1"/>
    <col min="5545" max="5545" width="84" style="44" bestFit="1" customWidth="1"/>
    <col min="5546" max="5547" width="73.36328125" style="44" bestFit="1" customWidth="1"/>
    <col min="5548" max="5548" width="90.6328125" style="44" bestFit="1" customWidth="1"/>
    <col min="5549" max="5549" width="89.453125" style="44" bestFit="1" customWidth="1"/>
    <col min="5550" max="5550" width="84.6328125" style="44" bestFit="1" customWidth="1"/>
    <col min="5551" max="5551" width="74.54296875" style="44" bestFit="1" customWidth="1"/>
    <col min="5552" max="5552" width="76.90625" style="44" bestFit="1" customWidth="1"/>
    <col min="5553" max="5553" width="83" style="44" bestFit="1" customWidth="1"/>
    <col min="5554" max="5554" width="85.81640625" style="44" bestFit="1" customWidth="1"/>
    <col min="5555" max="5555" width="83.7265625" style="44" bestFit="1" customWidth="1"/>
    <col min="5556" max="5556" width="79.54296875" style="44" bestFit="1" customWidth="1"/>
    <col min="5557" max="5557" width="80.54296875" style="44" bestFit="1" customWidth="1"/>
    <col min="5558" max="5558" width="89.54296875" style="44" bestFit="1" customWidth="1"/>
    <col min="5559" max="5559" width="85.36328125" style="44" bestFit="1" customWidth="1"/>
    <col min="5560" max="5560" width="61.6328125" style="44" bestFit="1" customWidth="1"/>
    <col min="5561" max="5561" width="132.54296875" style="44" bestFit="1" customWidth="1"/>
    <col min="5562" max="5562" width="93.1796875" style="44" bestFit="1" customWidth="1"/>
    <col min="5563" max="5563" width="91.08984375" style="44" bestFit="1" customWidth="1"/>
    <col min="5564" max="5564" width="81.7265625" style="44" bestFit="1" customWidth="1"/>
    <col min="5565" max="5566" width="80.90625" style="44" bestFit="1" customWidth="1"/>
    <col min="5567" max="5567" width="83.26953125" style="44" bestFit="1" customWidth="1"/>
    <col min="5568" max="5568" width="101.453125" style="44" bestFit="1" customWidth="1"/>
    <col min="5569" max="5569" width="110.1796875" style="44" bestFit="1" customWidth="1"/>
    <col min="5570" max="5570" width="74.6328125" style="44" bestFit="1" customWidth="1"/>
    <col min="5571" max="5574" width="84.54296875" style="44" bestFit="1" customWidth="1"/>
    <col min="5575" max="5575" width="74.36328125" style="44" bestFit="1" customWidth="1"/>
    <col min="5576" max="5576" width="88.1796875" style="44" bestFit="1" customWidth="1"/>
    <col min="5577" max="5577" width="78.6328125" style="44" bestFit="1" customWidth="1"/>
    <col min="5578" max="5578" width="76.81640625" style="44" bestFit="1" customWidth="1"/>
    <col min="5579" max="5579" width="74.7265625" style="44" bestFit="1" customWidth="1"/>
    <col min="5580" max="5580" width="87.26953125" style="44" bestFit="1" customWidth="1"/>
    <col min="5581" max="5581" width="85.54296875" style="44" bestFit="1" customWidth="1"/>
    <col min="5582" max="5582" width="100.26953125" style="44" bestFit="1" customWidth="1"/>
    <col min="5583" max="5583" width="71.36328125" style="44" bestFit="1" customWidth="1"/>
    <col min="5584" max="5584" width="105.453125" style="44" bestFit="1" customWidth="1"/>
    <col min="5585" max="5585" width="103.08984375" style="44" bestFit="1" customWidth="1"/>
    <col min="5586" max="5586" width="85.7265625" style="44" bestFit="1" customWidth="1"/>
    <col min="5587" max="5587" width="99.26953125" style="44" bestFit="1" customWidth="1"/>
    <col min="5588" max="5588" width="83.54296875" style="44" bestFit="1" customWidth="1"/>
    <col min="5589" max="5589" width="96.90625" style="44" bestFit="1" customWidth="1"/>
    <col min="5590" max="5590" width="74.26953125" style="44" bestFit="1" customWidth="1"/>
    <col min="5591" max="5591" width="98.36328125" style="44" bestFit="1" customWidth="1"/>
    <col min="5592" max="5592" width="74.453125" style="44" bestFit="1" customWidth="1"/>
    <col min="5593" max="5593" width="88.81640625" style="44" bestFit="1" customWidth="1"/>
    <col min="5594" max="5594" width="67.6328125" style="44" bestFit="1" customWidth="1"/>
    <col min="5595" max="5595" width="93.08984375" style="44" bestFit="1" customWidth="1"/>
    <col min="5596" max="5596" width="101.453125" style="44" bestFit="1" customWidth="1"/>
    <col min="5597" max="5599" width="76.81640625" style="44" bestFit="1" customWidth="1"/>
    <col min="5600" max="5600" width="87.08984375" style="44" bestFit="1" customWidth="1"/>
    <col min="5601" max="5601" width="72.453125" style="44" bestFit="1" customWidth="1"/>
    <col min="5602" max="5602" width="87.81640625" style="44" bestFit="1" customWidth="1"/>
    <col min="5603" max="5603" width="71.7265625" style="44" bestFit="1" customWidth="1"/>
    <col min="5604" max="5604" width="74" style="44" bestFit="1" customWidth="1"/>
    <col min="5605" max="5605" width="74.08984375" style="44" bestFit="1" customWidth="1"/>
    <col min="5606" max="5608" width="86.81640625" style="44" bestFit="1" customWidth="1"/>
    <col min="5609" max="5609" width="104.7265625" style="44" bestFit="1" customWidth="1"/>
    <col min="5610" max="5610" width="101.81640625" style="44" bestFit="1" customWidth="1"/>
    <col min="5611" max="5611" width="64.453125" style="44" bestFit="1" customWidth="1"/>
    <col min="5612" max="5612" width="65.1796875" style="44" bestFit="1" customWidth="1"/>
    <col min="5613" max="5613" width="72.453125" style="44" bestFit="1" customWidth="1"/>
    <col min="5614" max="5614" width="81.36328125" style="44" bestFit="1" customWidth="1"/>
    <col min="5615" max="5615" width="65.1796875" style="44" bestFit="1" customWidth="1"/>
    <col min="5616" max="5616" width="80.90625" style="44" bestFit="1" customWidth="1"/>
    <col min="5617" max="5617" width="71.7265625" style="44" bestFit="1" customWidth="1"/>
    <col min="5618" max="5618" width="73.6328125" style="44" bestFit="1" customWidth="1"/>
    <col min="5619" max="5620" width="85.36328125" style="44" bestFit="1" customWidth="1"/>
    <col min="5621" max="5621" width="92.26953125" style="44" bestFit="1" customWidth="1"/>
    <col min="5622" max="5622" width="106.1796875" style="44" bestFit="1" customWidth="1"/>
    <col min="5623" max="5623" width="86.6328125" style="44" bestFit="1" customWidth="1"/>
    <col min="5624" max="5625" width="68.90625" style="44" bestFit="1" customWidth="1"/>
    <col min="5626" max="5626" width="80.54296875" style="44" bestFit="1" customWidth="1"/>
    <col min="5627" max="5627" width="68.90625" style="44" bestFit="1" customWidth="1"/>
    <col min="5628" max="5628" width="79.1796875" style="44" bestFit="1" customWidth="1"/>
    <col min="5629" max="5629" width="79.26953125" style="44" bestFit="1" customWidth="1"/>
    <col min="5630" max="5630" width="80.1796875" style="44" bestFit="1" customWidth="1"/>
    <col min="5631" max="5631" width="84.81640625" style="44" bestFit="1" customWidth="1"/>
    <col min="5632" max="5632" width="76.81640625" style="44" bestFit="1" customWidth="1"/>
    <col min="5633" max="5633" width="7.90625" style="44" bestFit="1" customWidth="1"/>
    <col min="5634" max="5634" width="132.54296875" style="44" bestFit="1" customWidth="1"/>
    <col min="5635" max="5635" width="45.36328125" style="44" bestFit="1" customWidth="1"/>
    <col min="5636" max="5636" width="14.08984375" style="44" bestFit="1" customWidth="1"/>
    <col min="5637" max="5638" width="8.7265625" style="44"/>
    <col min="5639" max="5639" width="49.7265625" style="44" bestFit="1" customWidth="1"/>
    <col min="5640" max="5640" width="7.90625" style="44" bestFit="1" customWidth="1"/>
    <col min="5641" max="5641" width="7.81640625" style="44" bestFit="1" customWidth="1"/>
    <col min="5642" max="5653" width="8.81640625" style="44" bestFit="1" customWidth="1"/>
    <col min="5654" max="5654" width="10.81640625" style="44" bestFit="1" customWidth="1"/>
    <col min="5655" max="5655" width="93.36328125" style="44" bestFit="1" customWidth="1"/>
    <col min="5656" max="5656" width="87.6328125" style="44" bestFit="1" customWidth="1"/>
    <col min="5657" max="5657" width="69.26953125" style="44" bestFit="1" customWidth="1"/>
    <col min="5658" max="5658" width="68.54296875" style="44" bestFit="1" customWidth="1"/>
    <col min="5659" max="5659" width="67.6328125" style="44" bestFit="1" customWidth="1"/>
    <col min="5660" max="5660" width="64" style="44" bestFit="1" customWidth="1"/>
    <col min="5661" max="5661" width="43.81640625" style="44" bestFit="1" customWidth="1"/>
    <col min="5662" max="5662" width="39.81640625" style="44" bestFit="1" customWidth="1"/>
    <col min="5663" max="5663" width="85.26953125" style="44" bestFit="1" customWidth="1"/>
    <col min="5664" max="5664" width="84.08984375" style="44" bestFit="1" customWidth="1"/>
    <col min="5665" max="5665" width="91" style="44" bestFit="1" customWidth="1"/>
    <col min="5666" max="5666" width="79" style="44" bestFit="1" customWidth="1"/>
    <col min="5667" max="5667" width="89.90625" style="44" bestFit="1" customWidth="1"/>
    <col min="5668" max="5674" width="90.90625" style="44" bestFit="1" customWidth="1"/>
    <col min="5675" max="5675" width="91.90625" style="44" bestFit="1" customWidth="1"/>
    <col min="5676" max="5676" width="73.08984375" style="44" bestFit="1" customWidth="1"/>
    <col min="5677" max="5677" width="61.1796875" style="44" bestFit="1" customWidth="1"/>
    <col min="5678" max="5678" width="94.1796875" style="44" bestFit="1" customWidth="1"/>
    <col min="5679" max="5679" width="84.453125" style="44" bestFit="1" customWidth="1"/>
    <col min="5680" max="5680" width="86.81640625" style="44" bestFit="1" customWidth="1"/>
    <col min="5681" max="5681" width="90.08984375" style="44" bestFit="1" customWidth="1"/>
    <col min="5682" max="5682" width="86.7265625" style="44" bestFit="1" customWidth="1"/>
    <col min="5683" max="5683" width="87.6328125" style="44" bestFit="1" customWidth="1"/>
    <col min="5684" max="5686" width="97.6328125" style="44" bestFit="1" customWidth="1"/>
    <col min="5687" max="5687" width="72.54296875" style="44" bestFit="1" customWidth="1"/>
    <col min="5688" max="5688" width="73.6328125" style="44" bestFit="1" customWidth="1"/>
    <col min="5689" max="5689" width="58.6328125" style="44" bestFit="1" customWidth="1"/>
    <col min="5690" max="5691" width="74.08984375" style="44" bestFit="1" customWidth="1"/>
    <col min="5692" max="5692" width="75.54296875" style="44" bestFit="1" customWidth="1"/>
    <col min="5693" max="5693" width="92" style="44" bestFit="1" customWidth="1"/>
    <col min="5694" max="5694" width="93.54296875" style="44" bestFit="1" customWidth="1"/>
    <col min="5695" max="5696" width="75.54296875" style="44" bestFit="1" customWidth="1"/>
    <col min="5697" max="5697" width="78.08984375" style="44" bestFit="1" customWidth="1"/>
    <col min="5698" max="5698" width="70" style="44" bestFit="1" customWidth="1"/>
    <col min="5699" max="5699" width="84.81640625" style="44" bestFit="1" customWidth="1"/>
    <col min="5700" max="5700" width="93" style="44" bestFit="1" customWidth="1"/>
    <col min="5701" max="5701" width="83.453125" style="44" bestFit="1" customWidth="1"/>
    <col min="5702" max="5702" width="100.90625" style="44" bestFit="1" customWidth="1"/>
    <col min="5703" max="5705" width="64.54296875" style="44" bestFit="1" customWidth="1"/>
    <col min="5706" max="5707" width="82.7265625" style="44" bestFit="1" customWidth="1"/>
    <col min="5708" max="5708" width="99.453125" style="44" bestFit="1" customWidth="1"/>
    <col min="5709" max="5709" width="78.1796875" style="44" bestFit="1" customWidth="1"/>
    <col min="5710" max="5710" width="71.36328125" style="44" bestFit="1" customWidth="1"/>
    <col min="5711" max="5711" width="71.26953125" style="44" bestFit="1" customWidth="1"/>
    <col min="5712" max="5715" width="76.453125" style="44" bestFit="1" customWidth="1"/>
    <col min="5716" max="5716" width="70.54296875" style="44" bestFit="1" customWidth="1"/>
    <col min="5717" max="5717" width="63.36328125" style="44" bestFit="1" customWidth="1"/>
    <col min="5718" max="5718" width="97.81640625" style="44" bestFit="1" customWidth="1"/>
    <col min="5719" max="5720" width="73" style="44" bestFit="1" customWidth="1"/>
    <col min="5721" max="5721" width="79" style="44" bestFit="1" customWidth="1"/>
    <col min="5722" max="5722" width="73" style="44" bestFit="1" customWidth="1"/>
    <col min="5723" max="5723" width="82.1796875" style="44" bestFit="1" customWidth="1"/>
    <col min="5724" max="5724" width="61.453125" style="44" bestFit="1" customWidth="1"/>
    <col min="5725" max="5726" width="99.90625" style="44" bestFit="1" customWidth="1"/>
    <col min="5727" max="5727" width="100.36328125" style="44" bestFit="1" customWidth="1"/>
    <col min="5728" max="5728" width="84.453125" style="44" bestFit="1" customWidth="1"/>
    <col min="5729" max="5729" width="113.36328125" style="44" bestFit="1" customWidth="1"/>
    <col min="5730" max="5730" width="98.453125" style="44" bestFit="1" customWidth="1"/>
    <col min="5731" max="5731" width="99.7265625" style="44" bestFit="1" customWidth="1"/>
    <col min="5732" max="5732" width="99.54296875" style="44" bestFit="1" customWidth="1"/>
    <col min="5733" max="5733" width="96.81640625" style="44" bestFit="1" customWidth="1"/>
    <col min="5734" max="5734" width="94.08984375" style="44" bestFit="1" customWidth="1"/>
    <col min="5735" max="5735" width="100.453125" style="44" bestFit="1" customWidth="1"/>
    <col min="5736" max="5736" width="98.6328125" style="44" bestFit="1" customWidth="1"/>
    <col min="5737" max="5737" width="77.453125" style="44" bestFit="1" customWidth="1"/>
    <col min="5738" max="5738" width="95.1796875" style="44" bestFit="1" customWidth="1"/>
    <col min="5739" max="5739" width="86.6328125" style="44" bestFit="1" customWidth="1"/>
    <col min="5740" max="5740" width="77.26953125" style="44" bestFit="1" customWidth="1"/>
    <col min="5741" max="5741" width="85.1796875" style="44" bestFit="1" customWidth="1"/>
    <col min="5742" max="5742" width="74.7265625" style="44" bestFit="1" customWidth="1"/>
    <col min="5743" max="5743" width="92" style="44" bestFit="1" customWidth="1"/>
    <col min="5744" max="5744" width="72.26953125" style="44" bestFit="1" customWidth="1"/>
    <col min="5745" max="5745" width="97.08984375" style="44" bestFit="1" customWidth="1"/>
    <col min="5746" max="5746" width="77.08984375" style="44" bestFit="1" customWidth="1"/>
    <col min="5747" max="5747" width="85.08984375" style="44" bestFit="1" customWidth="1"/>
    <col min="5748" max="5749" width="83.1796875" style="44" bestFit="1" customWidth="1"/>
    <col min="5750" max="5750" width="82.6328125" style="44" bestFit="1" customWidth="1"/>
    <col min="5751" max="5751" width="86.26953125" style="44" bestFit="1" customWidth="1"/>
    <col min="5752" max="5752" width="71.1796875" style="44" bestFit="1" customWidth="1"/>
    <col min="5753" max="5753" width="66.6328125" style="44" bestFit="1" customWidth="1"/>
    <col min="5754" max="5755" width="83.1796875" style="44" bestFit="1" customWidth="1"/>
    <col min="5756" max="5756" width="67.08984375" style="44" bestFit="1" customWidth="1"/>
    <col min="5757" max="5757" width="76.54296875" style="44" bestFit="1" customWidth="1"/>
    <col min="5758" max="5758" width="94.08984375" style="44" bestFit="1" customWidth="1"/>
    <col min="5759" max="5759" width="89.08984375" style="44" bestFit="1" customWidth="1"/>
    <col min="5760" max="5760" width="68.1796875" style="44" bestFit="1" customWidth="1"/>
    <col min="5761" max="5761" width="91.7265625" style="44" bestFit="1" customWidth="1"/>
    <col min="5762" max="5762" width="63.36328125" style="44" bestFit="1" customWidth="1"/>
    <col min="5763" max="5763" width="66.6328125" style="44" bestFit="1" customWidth="1"/>
    <col min="5764" max="5764" width="63.36328125" style="44" bestFit="1" customWidth="1"/>
    <col min="5765" max="5765" width="63.453125" style="44" bestFit="1" customWidth="1"/>
    <col min="5766" max="5766" width="87.54296875" style="44" bestFit="1" customWidth="1"/>
    <col min="5767" max="5767" width="93.81640625" style="44" bestFit="1" customWidth="1"/>
    <col min="5768" max="5768" width="66.453125" style="44" bestFit="1" customWidth="1"/>
    <col min="5769" max="5770" width="110" style="44" bestFit="1" customWidth="1"/>
    <col min="5771" max="5771" width="103.1796875" style="44" bestFit="1" customWidth="1"/>
    <col min="5772" max="5772" width="62.453125" style="44" bestFit="1" customWidth="1"/>
    <col min="5773" max="5773" width="77.453125" style="44" bestFit="1" customWidth="1"/>
    <col min="5774" max="5774" width="91.54296875" style="44" bestFit="1" customWidth="1"/>
    <col min="5775" max="5775" width="88.08984375" style="44" bestFit="1" customWidth="1"/>
    <col min="5776" max="5776" width="80.6328125" style="44" bestFit="1" customWidth="1"/>
    <col min="5777" max="5777" width="77.453125" style="44" bestFit="1" customWidth="1"/>
    <col min="5778" max="5778" width="85.1796875" style="44" bestFit="1" customWidth="1"/>
    <col min="5779" max="5782" width="72.36328125" style="44" bestFit="1" customWidth="1"/>
    <col min="5783" max="5784" width="95" style="44" bestFit="1" customWidth="1"/>
    <col min="5785" max="5785" width="64.08984375" style="44" bestFit="1" customWidth="1"/>
    <col min="5786" max="5786" width="110.08984375" style="44" bestFit="1" customWidth="1"/>
    <col min="5787" max="5787" width="86.36328125" style="44" bestFit="1" customWidth="1"/>
    <col min="5788" max="5788" width="89.36328125" style="44" bestFit="1" customWidth="1"/>
    <col min="5789" max="5789" width="89.81640625" style="44" bestFit="1" customWidth="1"/>
    <col min="5790" max="5790" width="64.26953125" style="44" bestFit="1" customWidth="1"/>
    <col min="5791" max="5791" width="85.7265625" style="44" bestFit="1" customWidth="1"/>
    <col min="5792" max="5792" width="73" style="44" bestFit="1" customWidth="1"/>
    <col min="5793" max="5793" width="92.7265625" style="44" bestFit="1" customWidth="1"/>
    <col min="5794" max="5794" width="92.36328125" style="44" bestFit="1" customWidth="1"/>
    <col min="5795" max="5795" width="72" style="44" bestFit="1" customWidth="1"/>
    <col min="5796" max="5796" width="82" style="44" bestFit="1" customWidth="1"/>
    <col min="5797" max="5797" width="79.36328125" style="44" bestFit="1" customWidth="1"/>
    <col min="5798" max="5798" width="81" style="44" bestFit="1" customWidth="1"/>
    <col min="5799" max="5799" width="72.90625" style="44" bestFit="1" customWidth="1"/>
    <col min="5800" max="5800" width="90.81640625" style="44" bestFit="1" customWidth="1"/>
    <col min="5801" max="5801" width="84" style="44" bestFit="1" customWidth="1"/>
    <col min="5802" max="5803" width="73.36328125" style="44" bestFit="1" customWidth="1"/>
    <col min="5804" max="5804" width="90.6328125" style="44" bestFit="1" customWidth="1"/>
    <col min="5805" max="5805" width="89.453125" style="44" bestFit="1" customWidth="1"/>
    <col min="5806" max="5806" width="84.6328125" style="44" bestFit="1" customWidth="1"/>
    <col min="5807" max="5807" width="74.54296875" style="44" bestFit="1" customWidth="1"/>
    <col min="5808" max="5808" width="76.90625" style="44" bestFit="1" customWidth="1"/>
    <col min="5809" max="5809" width="83" style="44" bestFit="1" customWidth="1"/>
    <col min="5810" max="5810" width="85.81640625" style="44" bestFit="1" customWidth="1"/>
    <col min="5811" max="5811" width="83.7265625" style="44" bestFit="1" customWidth="1"/>
    <col min="5812" max="5812" width="79.54296875" style="44" bestFit="1" customWidth="1"/>
    <col min="5813" max="5813" width="80.54296875" style="44" bestFit="1" customWidth="1"/>
    <col min="5814" max="5814" width="89.54296875" style="44" bestFit="1" customWidth="1"/>
    <col min="5815" max="5815" width="85.36328125" style="44" bestFit="1" customWidth="1"/>
    <col min="5816" max="5816" width="61.6328125" style="44" bestFit="1" customWidth="1"/>
    <col min="5817" max="5817" width="132.54296875" style="44" bestFit="1" customWidth="1"/>
    <col min="5818" max="5818" width="93.1796875" style="44" bestFit="1" customWidth="1"/>
    <col min="5819" max="5819" width="91.08984375" style="44" bestFit="1" customWidth="1"/>
    <col min="5820" max="5820" width="81.7265625" style="44" bestFit="1" customWidth="1"/>
    <col min="5821" max="5822" width="80.90625" style="44" bestFit="1" customWidth="1"/>
    <col min="5823" max="5823" width="83.26953125" style="44" bestFit="1" customWidth="1"/>
    <col min="5824" max="5824" width="101.453125" style="44" bestFit="1" customWidth="1"/>
    <col min="5825" max="5825" width="110.1796875" style="44" bestFit="1" customWidth="1"/>
    <col min="5826" max="5826" width="74.6328125" style="44" bestFit="1" customWidth="1"/>
    <col min="5827" max="5830" width="84.54296875" style="44" bestFit="1" customWidth="1"/>
    <col min="5831" max="5831" width="74.36328125" style="44" bestFit="1" customWidth="1"/>
    <col min="5832" max="5832" width="88.1796875" style="44" bestFit="1" customWidth="1"/>
    <col min="5833" max="5833" width="78.6328125" style="44" bestFit="1" customWidth="1"/>
    <col min="5834" max="5834" width="76.81640625" style="44" bestFit="1" customWidth="1"/>
    <col min="5835" max="5835" width="74.7265625" style="44" bestFit="1" customWidth="1"/>
    <col min="5836" max="5836" width="87.26953125" style="44" bestFit="1" customWidth="1"/>
    <col min="5837" max="5837" width="85.54296875" style="44" bestFit="1" customWidth="1"/>
    <col min="5838" max="5838" width="100.26953125" style="44" bestFit="1" customWidth="1"/>
    <col min="5839" max="5839" width="71.36328125" style="44" bestFit="1" customWidth="1"/>
    <col min="5840" max="5840" width="105.453125" style="44" bestFit="1" customWidth="1"/>
    <col min="5841" max="5841" width="103.08984375" style="44" bestFit="1" customWidth="1"/>
    <col min="5842" max="5842" width="85.7265625" style="44" bestFit="1" customWidth="1"/>
    <col min="5843" max="5843" width="99.26953125" style="44" bestFit="1" customWidth="1"/>
    <col min="5844" max="5844" width="83.54296875" style="44" bestFit="1" customWidth="1"/>
    <col min="5845" max="5845" width="96.90625" style="44" bestFit="1" customWidth="1"/>
    <col min="5846" max="5846" width="74.26953125" style="44" bestFit="1" customWidth="1"/>
    <col min="5847" max="5847" width="98.36328125" style="44" bestFit="1" customWidth="1"/>
    <col min="5848" max="5848" width="74.453125" style="44" bestFit="1" customWidth="1"/>
    <col min="5849" max="5849" width="88.81640625" style="44" bestFit="1" customWidth="1"/>
    <col min="5850" max="5850" width="67.6328125" style="44" bestFit="1" customWidth="1"/>
    <col min="5851" max="5851" width="93.08984375" style="44" bestFit="1" customWidth="1"/>
    <col min="5852" max="5852" width="101.453125" style="44" bestFit="1" customWidth="1"/>
    <col min="5853" max="5855" width="76.81640625" style="44" bestFit="1" customWidth="1"/>
    <col min="5856" max="5856" width="87.08984375" style="44" bestFit="1" customWidth="1"/>
    <col min="5857" max="5857" width="72.453125" style="44" bestFit="1" customWidth="1"/>
    <col min="5858" max="5858" width="87.81640625" style="44" bestFit="1" customWidth="1"/>
    <col min="5859" max="5859" width="71.7265625" style="44" bestFit="1" customWidth="1"/>
    <col min="5860" max="5860" width="74" style="44" bestFit="1" customWidth="1"/>
    <col min="5861" max="5861" width="74.08984375" style="44" bestFit="1" customWidth="1"/>
    <col min="5862" max="5864" width="86.81640625" style="44" bestFit="1" customWidth="1"/>
    <col min="5865" max="5865" width="104.7265625" style="44" bestFit="1" customWidth="1"/>
    <col min="5866" max="5866" width="101.81640625" style="44" bestFit="1" customWidth="1"/>
    <col min="5867" max="5867" width="64.453125" style="44" bestFit="1" customWidth="1"/>
    <col min="5868" max="5868" width="65.1796875" style="44" bestFit="1" customWidth="1"/>
    <col min="5869" max="5869" width="72.453125" style="44" bestFit="1" customWidth="1"/>
    <col min="5870" max="5870" width="81.36328125" style="44" bestFit="1" customWidth="1"/>
    <col min="5871" max="5871" width="65.1796875" style="44" bestFit="1" customWidth="1"/>
    <col min="5872" max="5872" width="80.90625" style="44" bestFit="1" customWidth="1"/>
    <col min="5873" max="5873" width="71.7265625" style="44" bestFit="1" customWidth="1"/>
    <col min="5874" max="5874" width="73.6328125" style="44" bestFit="1" customWidth="1"/>
    <col min="5875" max="5876" width="85.36328125" style="44" bestFit="1" customWidth="1"/>
    <col min="5877" max="5877" width="92.26953125" style="44" bestFit="1" customWidth="1"/>
    <col min="5878" max="5878" width="106.1796875" style="44" bestFit="1" customWidth="1"/>
    <col min="5879" max="5879" width="86.6328125" style="44" bestFit="1" customWidth="1"/>
    <col min="5880" max="5881" width="68.90625" style="44" bestFit="1" customWidth="1"/>
    <col min="5882" max="5882" width="80.54296875" style="44" bestFit="1" customWidth="1"/>
    <col min="5883" max="5883" width="68.90625" style="44" bestFit="1" customWidth="1"/>
    <col min="5884" max="5884" width="79.1796875" style="44" bestFit="1" customWidth="1"/>
    <col min="5885" max="5885" width="79.26953125" style="44" bestFit="1" customWidth="1"/>
    <col min="5886" max="5886" width="80.1796875" style="44" bestFit="1" customWidth="1"/>
    <col min="5887" max="5887" width="84.81640625" style="44" bestFit="1" customWidth="1"/>
    <col min="5888" max="5888" width="76.81640625" style="44" bestFit="1" customWidth="1"/>
    <col min="5889" max="5889" width="7.90625" style="44" bestFit="1" customWidth="1"/>
    <col min="5890" max="5890" width="132.54296875" style="44" bestFit="1" customWidth="1"/>
    <col min="5891" max="5891" width="45.36328125" style="44" bestFit="1" customWidth="1"/>
    <col min="5892" max="5892" width="14.08984375" style="44" bestFit="1" customWidth="1"/>
    <col min="5893" max="5894" width="8.7265625" style="44"/>
    <col min="5895" max="5895" width="49.7265625" style="44" bestFit="1" customWidth="1"/>
    <col min="5896" max="5896" width="7.90625" style="44" bestFit="1" customWidth="1"/>
    <col min="5897" max="5897" width="7.81640625" style="44" bestFit="1" customWidth="1"/>
    <col min="5898" max="5909" width="8.81640625" style="44" bestFit="1" customWidth="1"/>
    <col min="5910" max="5910" width="10.81640625" style="44" bestFit="1" customWidth="1"/>
    <col min="5911" max="5911" width="93.36328125" style="44" bestFit="1" customWidth="1"/>
    <col min="5912" max="5912" width="87.6328125" style="44" bestFit="1" customWidth="1"/>
    <col min="5913" max="5913" width="69.26953125" style="44" bestFit="1" customWidth="1"/>
    <col min="5914" max="5914" width="68.54296875" style="44" bestFit="1" customWidth="1"/>
    <col min="5915" max="5915" width="67.6328125" style="44" bestFit="1" customWidth="1"/>
    <col min="5916" max="5916" width="64" style="44" bestFit="1" customWidth="1"/>
    <col min="5917" max="5917" width="43.81640625" style="44" bestFit="1" customWidth="1"/>
    <col min="5918" max="5918" width="39.81640625" style="44" bestFit="1" customWidth="1"/>
    <col min="5919" max="5919" width="85.26953125" style="44" bestFit="1" customWidth="1"/>
    <col min="5920" max="5920" width="84.08984375" style="44" bestFit="1" customWidth="1"/>
    <col min="5921" max="5921" width="91" style="44" bestFit="1" customWidth="1"/>
    <col min="5922" max="5922" width="79" style="44" bestFit="1" customWidth="1"/>
    <col min="5923" max="5923" width="89.90625" style="44" bestFit="1" customWidth="1"/>
    <col min="5924" max="5930" width="90.90625" style="44" bestFit="1" customWidth="1"/>
    <col min="5931" max="5931" width="91.90625" style="44" bestFit="1" customWidth="1"/>
    <col min="5932" max="5932" width="73.08984375" style="44" bestFit="1" customWidth="1"/>
    <col min="5933" max="5933" width="61.1796875" style="44" bestFit="1" customWidth="1"/>
    <col min="5934" max="5934" width="94.1796875" style="44" bestFit="1" customWidth="1"/>
    <col min="5935" max="5935" width="84.453125" style="44" bestFit="1" customWidth="1"/>
    <col min="5936" max="5936" width="86.81640625" style="44" bestFit="1" customWidth="1"/>
    <col min="5937" max="5937" width="90.08984375" style="44" bestFit="1" customWidth="1"/>
    <col min="5938" max="5938" width="86.7265625" style="44" bestFit="1" customWidth="1"/>
    <col min="5939" max="5939" width="87.6328125" style="44" bestFit="1" customWidth="1"/>
    <col min="5940" max="5942" width="97.6328125" style="44" bestFit="1" customWidth="1"/>
    <col min="5943" max="5943" width="72.54296875" style="44" bestFit="1" customWidth="1"/>
    <col min="5944" max="5944" width="73.6328125" style="44" bestFit="1" customWidth="1"/>
    <col min="5945" max="5945" width="58.6328125" style="44" bestFit="1" customWidth="1"/>
    <col min="5946" max="5947" width="74.08984375" style="44" bestFit="1" customWidth="1"/>
    <col min="5948" max="5948" width="75.54296875" style="44" bestFit="1" customWidth="1"/>
    <col min="5949" max="5949" width="92" style="44" bestFit="1" customWidth="1"/>
    <col min="5950" max="5950" width="93.54296875" style="44" bestFit="1" customWidth="1"/>
    <col min="5951" max="5952" width="75.54296875" style="44" bestFit="1" customWidth="1"/>
    <col min="5953" max="5953" width="78.08984375" style="44" bestFit="1" customWidth="1"/>
    <col min="5954" max="5954" width="70" style="44" bestFit="1" customWidth="1"/>
    <col min="5955" max="5955" width="84.81640625" style="44" bestFit="1" customWidth="1"/>
    <col min="5956" max="5956" width="93" style="44" bestFit="1" customWidth="1"/>
    <col min="5957" max="5957" width="83.453125" style="44" bestFit="1" customWidth="1"/>
    <col min="5958" max="5958" width="100.90625" style="44" bestFit="1" customWidth="1"/>
    <col min="5959" max="5961" width="64.54296875" style="44" bestFit="1" customWidth="1"/>
    <col min="5962" max="5963" width="82.7265625" style="44" bestFit="1" customWidth="1"/>
    <col min="5964" max="5964" width="99.453125" style="44" bestFit="1" customWidth="1"/>
    <col min="5965" max="5965" width="78.1796875" style="44" bestFit="1" customWidth="1"/>
    <col min="5966" max="5966" width="71.36328125" style="44" bestFit="1" customWidth="1"/>
    <col min="5967" max="5967" width="71.26953125" style="44" bestFit="1" customWidth="1"/>
    <col min="5968" max="5971" width="76.453125" style="44" bestFit="1" customWidth="1"/>
    <col min="5972" max="5972" width="70.54296875" style="44" bestFit="1" customWidth="1"/>
    <col min="5973" max="5973" width="63.36328125" style="44" bestFit="1" customWidth="1"/>
    <col min="5974" max="5974" width="97.81640625" style="44" bestFit="1" customWidth="1"/>
    <col min="5975" max="5976" width="73" style="44" bestFit="1" customWidth="1"/>
    <col min="5977" max="5977" width="79" style="44" bestFit="1" customWidth="1"/>
    <col min="5978" max="5978" width="73" style="44" bestFit="1" customWidth="1"/>
    <col min="5979" max="5979" width="82.1796875" style="44" bestFit="1" customWidth="1"/>
    <col min="5980" max="5980" width="61.453125" style="44" bestFit="1" customWidth="1"/>
    <col min="5981" max="5982" width="99.90625" style="44" bestFit="1" customWidth="1"/>
    <col min="5983" max="5983" width="100.36328125" style="44" bestFit="1" customWidth="1"/>
    <col min="5984" max="5984" width="84.453125" style="44" bestFit="1" customWidth="1"/>
    <col min="5985" max="5985" width="113.36328125" style="44" bestFit="1" customWidth="1"/>
    <col min="5986" max="5986" width="98.453125" style="44" bestFit="1" customWidth="1"/>
    <col min="5987" max="5987" width="99.7265625" style="44" bestFit="1" customWidth="1"/>
    <col min="5988" max="5988" width="99.54296875" style="44" bestFit="1" customWidth="1"/>
    <col min="5989" max="5989" width="96.81640625" style="44" bestFit="1" customWidth="1"/>
    <col min="5990" max="5990" width="94.08984375" style="44" bestFit="1" customWidth="1"/>
    <col min="5991" max="5991" width="100.453125" style="44" bestFit="1" customWidth="1"/>
    <col min="5992" max="5992" width="98.6328125" style="44" bestFit="1" customWidth="1"/>
    <col min="5993" max="5993" width="77.453125" style="44" bestFit="1" customWidth="1"/>
    <col min="5994" max="5994" width="95.1796875" style="44" bestFit="1" customWidth="1"/>
    <col min="5995" max="5995" width="86.6328125" style="44" bestFit="1" customWidth="1"/>
    <col min="5996" max="5996" width="77.26953125" style="44" bestFit="1" customWidth="1"/>
    <col min="5997" max="5997" width="85.1796875" style="44" bestFit="1" customWidth="1"/>
    <col min="5998" max="5998" width="74.7265625" style="44" bestFit="1" customWidth="1"/>
    <col min="5999" max="5999" width="92" style="44" bestFit="1" customWidth="1"/>
    <col min="6000" max="6000" width="72.26953125" style="44" bestFit="1" customWidth="1"/>
    <col min="6001" max="6001" width="97.08984375" style="44" bestFit="1" customWidth="1"/>
    <col min="6002" max="6002" width="77.08984375" style="44" bestFit="1" customWidth="1"/>
    <col min="6003" max="6003" width="85.08984375" style="44" bestFit="1" customWidth="1"/>
    <col min="6004" max="6005" width="83.1796875" style="44" bestFit="1" customWidth="1"/>
    <col min="6006" max="6006" width="82.6328125" style="44" bestFit="1" customWidth="1"/>
    <col min="6007" max="6007" width="86.26953125" style="44" bestFit="1" customWidth="1"/>
    <col min="6008" max="6008" width="71.1796875" style="44" bestFit="1" customWidth="1"/>
    <col min="6009" max="6009" width="66.6328125" style="44" bestFit="1" customWidth="1"/>
    <col min="6010" max="6011" width="83.1796875" style="44" bestFit="1" customWidth="1"/>
    <col min="6012" max="6012" width="67.08984375" style="44" bestFit="1" customWidth="1"/>
    <col min="6013" max="6013" width="76.54296875" style="44" bestFit="1" customWidth="1"/>
    <col min="6014" max="6014" width="94.08984375" style="44" bestFit="1" customWidth="1"/>
    <col min="6015" max="6015" width="89.08984375" style="44" bestFit="1" customWidth="1"/>
    <col min="6016" max="6016" width="68.1796875" style="44" bestFit="1" customWidth="1"/>
    <col min="6017" max="6017" width="91.7265625" style="44" bestFit="1" customWidth="1"/>
    <col min="6018" max="6018" width="63.36328125" style="44" bestFit="1" customWidth="1"/>
    <col min="6019" max="6019" width="66.6328125" style="44" bestFit="1" customWidth="1"/>
    <col min="6020" max="6020" width="63.36328125" style="44" bestFit="1" customWidth="1"/>
    <col min="6021" max="6021" width="63.453125" style="44" bestFit="1" customWidth="1"/>
    <col min="6022" max="6022" width="87.54296875" style="44" bestFit="1" customWidth="1"/>
    <col min="6023" max="6023" width="93.81640625" style="44" bestFit="1" customWidth="1"/>
    <col min="6024" max="6024" width="66.453125" style="44" bestFit="1" customWidth="1"/>
    <col min="6025" max="6026" width="110" style="44" bestFit="1" customWidth="1"/>
    <col min="6027" max="6027" width="103.1796875" style="44" bestFit="1" customWidth="1"/>
    <col min="6028" max="6028" width="62.453125" style="44" bestFit="1" customWidth="1"/>
    <col min="6029" max="6029" width="77.453125" style="44" bestFit="1" customWidth="1"/>
    <col min="6030" max="6030" width="91.54296875" style="44" bestFit="1" customWidth="1"/>
    <col min="6031" max="6031" width="88.08984375" style="44" bestFit="1" customWidth="1"/>
    <col min="6032" max="6032" width="80.6328125" style="44" bestFit="1" customWidth="1"/>
    <col min="6033" max="6033" width="77.453125" style="44" bestFit="1" customWidth="1"/>
    <col min="6034" max="6034" width="85.1796875" style="44" bestFit="1" customWidth="1"/>
    <col min="6035" max="6038" width="72.36328125" style="44" bestFit="1" customWidth="1"/>
    <col min="6039" max="6040" width="95" style="44" bestFit="1" customWidth="1"/>
    <col min="6041" max="6041" width="64.08984375" style="44" bestFit="1" customWidth="1"/>
    <col min="6042" max="6042" width="110.08984375" style="44" bestFit="1" customWidth="1"/>
    <col min="6043" max="6043" width="86.36328125" style="44" bestFit="1" customWidth="1"/>
    <col min="6044" max="6044" width="89.36328125" style="44" bestFit="1" customWidth="1"/>
    <col min="6045" max="6045" width="89.81640625" style="44" bestFit="1" customWidth="1"/>
    <col min="6046" max="6046" width="64.26953125" style="44" bestFit="1" customWidth="1"/>
    <col min="6047" max="6047" width="85.7265625" style="44" bestFit="1" customWidth="1"/>
    <col min="6048" max="6048" width="73" style="44" bestFit="1" customWidth="1"/>
    <col min="6049" max="6049" width="92.7265625" style="44" bestFit="1" customWidth="1"/>
    <col min="6050" max="6050" width="92.36328125" style="44" bestFit="1" customWidth="1"/>
    <col min="6051" max="6051" width="72" style="44" bestFit="1" customWidth="1"/>
    <col min="6052" max="6052" width="82" style="44" bestFit="1" customWidth="1"/>
    <col min="6053" max="6053" width="79.36328125" style="44" bestFit="1" customWidth="1"/>
    <col min="6054" max="6054" width="81" style="44" bestFit="1" customWidth="1"/>
    <col min="6055" max="6055" width="72.90625" style="44" bestFit="1" customWidth="1"/>
    <col min="6056" max="6056" width="90.81640625" style="44" bestFit="1" customWidth="1"/>
    <col min="6057" max="6057" width="84" style="44" bestFit="1" customWidth="1"/>
    <col min="6058" max="6059" width="73.36328125" style="44" bestFit="1" customWidth="1"/>
    <col min="6060" max="6060" width="90.6328125" style="44" bestFit="1" customWidth="1"/>
    <col min="6061" max="6061" width="89.453125" style="44" bestFit="1" customWidth="1"/>
    <col min="6062" max="6062" width="84.6328125" style="44" bestFit="1" customWidth="1"/>
    <col min="6063" max="6063" width="74.54296875" style="44" bestFit="1" customWidth="1"/>
    <col min="6064" max="6064" width="76.90625" style="44" bestFit="1" customWidth="1"/>
    <col min="6065" max="6065" width="83" style="44" bestFit="1" customWidth="1"/>
    <col min="6066" max="6066" width="85.81640625" style="44" bestFit="1" customWidth="1"/>
    <col min="6067" max="6067" width="83.7265625" style="44" bestFit="1" customWidth="1"/>
    <col min="6068" max="6068" width="79.54296875" style="44" bestFit="1" customWidth="1"/>
    <col min="6069" max="6069" width="80.54296875" style="44" bestFit="1" customWidth="1"/>
    <col min="6070" max="6070" width="89.54296875" style="44" bestFit="1" customWidth="1"/>
    <col min="6071" max="6071" width="85.36328125" style="44" bestFit="1" customWidth="1"/>
    <col min="6072" max="6072" width="61.6328125" style="44" bestFit="1" customWidth="1"/>
    <col min="6073" max="6073" width="132.54296875" style="44" bestFit="1" customWidth="1"/>
    <col min="6074" max="6074" width="93.1796875" style="44" bestFit="1" customWidth="1"/>
    <col min="6075" max="6075" width="91.08984375" style="44" bestFit="1" customWidth="1"/>
    <col min="6076" max="6076" width="81.7265625" style="44" bestFit="1" customWidth="1"/>
    <col min="6077" max="6078" width="80.90625" style="44" bestFit="1" customWidth="1"/>
    <col min="6079" max="6079" width="83.26953125" style="44" bestFit="1" customWidth="1"/>
    <col min="6080" max="6080" width="101.453125" style="44" bestFit="1" customWidth="1"/>
    <col min="6081" max="6081" width="110.1796875" style="44" bestFit="1" customWidth="1"/>
    <col min="6082" max="6082" width="74.6328125" style="44" bestFit="1" customWidth="1"/>
    <col min="6083" max="6086" width="84.54296875" style="44" bestFit="1" customWidth="1"/>
    <col min="6087" max="6087" width="74.36328125" style="44" bestFit="1" customWidth="1"/>
    <col min="6088" max="6088" width="88.1796875" style="44" bestFit="1" customWidth="1"/>
    <col min="6089" max="6089" width="78.6328125" style="44" bestFit="1" customWidth="1"/>
    <col min="6090" max="6090" width="76.81640625" style="44" bestFit="1" customWidth="1"/>
    <col min="6091" max="6091" width="74.7265625" style="44" bestFit="1" customWidth="1"/>
    <col min="6092" max="6092" width="87.26953125" style="44" bestFit="1" customWidth="1"/>
    <col min="6093" max="6093" width="85.54296875" style="44" bestFit="1" customWidth="1"/>
    <col min="6094" max="6094" width="100.26953125" style="44" bestFit="1" customWidth="1"/>
    <col min="6095" max="6095" width="71.36328125" style="44" bestFit="1" customWidth="1"/>
    <col min="6096" max="6096" width="105.453125" style="44" bestFit="1" customWidth="1"/>
    <col min="6097" max="6097" width="103.08984375" style="44" bestFit="1" customWidth="1"/>
    <col min="6098" max="6098" width="85.7265625" style="44" bestFit="1" customWidth="1"/>
    <col min="6099" max="6099" width="99.26953125" style="44" bestFit="1" customWidth="1"/>
    <col min="6100" max="6100" width="83.54296875" style="44" bestFit="1" customWidth="1"/>
    <col min="6101" max="6101" width="96.90625" style="44" bestFit="1" customWidth="1"/>
    <col min="6102" max="6102" width="74.26953125" style="44" bestFit="1" customWidth="1"/>
    <col min="6103" max="6103" width="98.36328125" style="44" bestFit="1" customWidth="1"/>
    <col min="6104" max="6104" width="74.453125" style="44" bestFit="1" customWidth="1"/>
    <col min="6105" max="6105" width="88.81640625" style="44" bestFit="1" customWidth="1"/>
    <col min="6106" max="6106" width="67.6328125" style="44" bestFit="1" customWidth="1"/>
    <col min="6107" max="6107" width="93.08984375" style="44" bestFit="1" customWidth="1"/>
    <col min="6108" max="6108" width="101.453125" style="44" bestFit="1" customWidth="1"/>
    <col min="6109" max="6111" width="76.81640625" style="44" bestFit="1" customWidth="1"/>
    <col min="6112" max="6112" width="87.08984375" style="44" bestFit="1" customWidth="1"/>
    <col min="6113" max="6113" width="72.453125" style="44" bestFit="1" customWidth="1"/>
    <col min="6114" max="6114" width="87.81640625" style="44" bestFit="1" customWidth="1"/>
    <col min="6115" max="6115" width="71.7265625" style="44" bestFit="1" customWidth="1"/>
    <col min="6116" max="6116" width="74" style="44" bestFit="1" customWidth="1"/>
    <col min="6117" max="6117" width="74.08984375" style="44" bestFit="1" customWidth="1"/>
    <col min="6118" max="6120" width="86.81640625" style="44" bestFit="1" customWidth="1"/>
    <col min="6121" max="6121" width="104.7265625" style="44" bestFit="1" customWidth="1"/>
    <col min="6122" max="6122" width="101.81640625" style="44" bestFit="1" customWidth="1"/>
    <col min="6123" max="6123" width="64.453125" style="44" bestFit="1" customWidth="1"/>
    <col min="6124" max="6124" width="65.1796875" style="44" bestFit="1" customWidth="1"/>
    <col min="6125" max="6125" width="72.453125" style="44" bestFit="1" customWidth="1"/>
    <col min="6126" max="6126" width="81.36328125" style="44" bestFit="1" customWidth="1"/>
    <col min="6127" max="6127" width="65.1796875" style="44" bestFit="1" customWidth="1"/>
    <col min="6128" max="6128" width="80.90625" style="44" bestFit="1" customWidth="1"/>
    <col min="6129" max="6129" width="71.7265625" style="44" bestFit="1" customWidth="1"/>
    <col min="6130" max="6130" width="73.6328125" style="44" bestFit="1" customWidth="1"/>
    <col min="6131" max="6132" width="85.36328125" style="44" bestFit="1" customWidth="1"/>
    <col min="6133" max="6133" width="92.26953125" style="44" bestFit="1" customWidth="1"/>
    <col min="6134" max="6134" width="106.1796875" style="44" bestFit="1" customWidth="1"/>
    <col min="6135" max="6135" width="86.6328125" style="44" bestFit="1" customWidth="1"/>
    <col min="6136" max="6137" width="68.90625" style="44" bestFit="1" customWidth="1"/>
    <col min="6138" max="6138" width="80.54296875" style="44" bestFit="1" customWidth="1"/>
    <col min="6139" max="6139" width="68.90625" style="44" bestFit="1" customWidth="1"/>
    <col min="6140" max="6140" width="79.1796875" style="44" bestFit="1" customWidth="1"/>
    <col min="6141" max="6141" width="79.26953125" style="44" bestFit="1" customWidth="1"/>
    <col min="6142" max="6142" width="80.1796875" style="44" bestFit="1" customWidth="1"/>
    <col min="6143" max="6143" width="84.81640625" style="44" bestFit="1" customWidth="1"/>
    <col min="6144" max="6144" width="76.81640625" style="44" bestFit="1" customWidth="1"/>
    <col min="6145" max="6145" width="7.90625" style="44" bestFit="1" customWidth="1"/>
    <col min="6146" max="6146" width="132.54296875" style="44" bestFit="1" customWidth="1"/>
    <col min="6147" max="6147" width="45.36328125" style="44" bestFit="1" customWidth="1"/>
    <col min="6148" max="6148" width="14.08984375" style="44" bestFit="1" customWidth="1"/>
    <col min="6149" max="6150" width="8.7265625" style="44"/>
    <col min="6151" max="6151" width="49.7265625" style="44" bestFit="1" customWidth="1"/>
    <col min="6152" max="6152" width="7.90625" style="44" bestFit="1" customWidth="1"/>
    <col min="6153" max="6153" width="7.81640625" style="44" bestFit="1" customWidth="1"/>
    <col min="6154" max="6165" width="8.81640625" style="44" bestFit="1" customWidth="1"/>
    <col min="6166" max="6166" width="10.81640625" style="44" bestFit="1" customWidth="1"/>
    <col min="6167" max="6167" width="93.36328125" style="44" bestFit="1" customWidth="1"/>
    <col min="6168" max="6168" width="87.6328125" style="44" bestFit="1" customWidth="1"/>
    <col min="6169" max="6169" width="69.26953125" style="44" bestFit="1" customWidth="1"/>
    <col min="6170" max="6170" width="68.54296875" style="44" bestFit="1" customWidth="1"/>
    <col min="6171" max="6171" width="67.6328125" style="44" bestFit="1" customWidth="1"/>
    <col min="6172" max="6172" width="64" style="44" bestFit="1" customWidth="1"/>
    <col min="6173" max="6173" width="43.81640625" style="44" bestFit="1" customWidth="1"/>
    <col min="6174" max="6174" width="39.81640625" style="44" bestFit="1" customWidth="1"/>
    <col min="6175" max="6175" width="85.26953125" style="44" bestFit="1" customWidth="1"/>
    <col min="6176" max="6176" width="84.08984375" style="44" bestFit="1" customWidth="1"/>
    <col min="6177" max="6177" width="91" style="44" bestFit="1" customWidth="1"/>
    <col min="6178" max="6178" width="79" style="44" bestFit="1" customWidth="1"/>
    <col min="6179" max="6179" width="89.90625" style="44" bestFit="1" customWidth="1"/>
    <col min="6180" max="6186" width="90.90625" style="44" bestFit="1" customWidth="1"/>
    <col min="6187" max="6187" width="91.90625" style="44" bestFit="1" customWidth="1"/>
    <col min="6188" max="6188" width="73.08984375" style="44" bestFit="1" customWidth="1"/>
    <col min="6189" max="6189" width="61.1796875" style="44" bestFit="1" customWidth="1"/>
    <col min="6190" max="6190" width="94.1796875" style="44" bestFit="1" customWidth="1"/>
    <col min="6191" max="6191" width="84.453125" style="44" bestFit="1" customWidth="1"/>
    <col min="6192" max="6192" width="86.81640625" style="44" bestFit="1" customWidth="1"/>
    <col min="6193" max="6193" width="90.08984375" style="44" bestFit="1" customWidth="1"/>
    <col min="6194" max="6194" width="86.7265625" style="44" bestFit="1" customWidth="1"/>
    <col min="6195" max="6195" width="87.6328125" style="44" bestFit="1" customWidth="1"/>
    <col min="6196" max="6198" width="97.6328125" style="44" bestFit="1" customWidth="1"/>
    <col min="6199" max="6199" width="72.54296875" style="44" bestFit="1" customWidth="1"/>
    <col min="6200" max="6200" width="73.6328125" style="44" bestFit="1" customWidth="1"/>
    <col min="6201" max="6201" width="58.6328125" style="44" bestFit="1" customWidth="1"/>
    <col min="6202" max="6203" width="74.08984375" style="44" bestFit="1" customWidth="1"/>
    <col min="6204" max="6204" width="75.54296875" style="44" bestFit="1" customWidth="1"/>
    <col min="6205" max="6205" width="92" style="44" bestFit="1" customWidth="1"/>
    <col min="6206" max="6206" width="93.54296875" style="44" bestFit="1" customWidth="1"/>
    <col min="6207" max="6208" width="75.54296875" style="44" bestFit="1" customWidth="1"/>
    <col min="6209" max="6209" width="78.08984375" style="44" bestFit="1" customWidth="1"/>
    <col min="6210" max="6210" width="70" style="44" bestFit="1" customWidth="1"/>
    <col min="6211" max="6211" width="84.81640625" style="44" bestFit="1" customWidth="1"/>
    <col min="6212" max="6212" width="93" style="44" bestFit="1" customWidth="1"/>
    <col min="6213" max="6213" width="83.453125" style="44" bestFit="1" customWidth="1"/>
    <col min="6214" max="6214" width="100.90625" style="44" bestFit="1" customWidth="1"/>
    <col min="6215" max="6217" width="64.54296875" style="44" bestFit="1" customWidth="1"/>
    <col min="6218" max="6219" width="82.7265625" style="44" bestFit="1" customWidth="1"/>
    <col min="6220" max="6220" width="99.453125" style="44" bestFit="1" customWidth="1"/>
    <col min="6221" max="6221" width="78.1796875" style="44" bestFit="1" customWidth="1"/>
    <col min="6222" max="6222" width="71.36328125" style="44" bestFit="1" customWidth="1"/>
    <col min="6223" max="6223" width="71.26953125" style="44" bestFit="1" customWidth="1"/>
    <col min="6224" max="6227" width="76.453125" style="44" bestFit="1" customWidth="1"/>
    <col min="6228" max="6228" width="70.54296875" style="44" bestFit="1" customWidth="1"/>
    <col min="6229" max="6229" width="63.36328125" style="44" bestFit="1" customWidth="1"/>
    <col min="6230" max="6230" width="97.81640625" style="44" bestFit="1" customWidth="1"/>
    <col min="6231" max="6232" width="73" style="44" bestFit="1" customWidth="1"/>
    <col min="6233" max="6233" width="79" style="44" bestFit="1" customWidth="1"/>
    <col min="6234" max="6234" width="73" style="44" bestFit="1" customWidth="1"/>
    <col min="6235" max="6235" width="82.1796875" style="44" bestFit="1" customWidth="1"/>
    <col min="6236" max="6236" width="61.453125" style="44" bestFit="1" customWidth="1"/>
    <col min="6237" max="6238" width="99.90625" style="44" bestFit="1" customWidth="1"/>
    <col min="6239" max="6239" width="100.36328125" style="44" bestFit="1" customWidth="1"/>
    <col min="6240" max="6240" width="84.453125" style="44" bestFit="1" customWidth="1"/>
    <col min="6241" max="6241" width="113.36328125" style="44" bestFit="1" customWidth="1"/>
    <col min="6242" max="6242" width="98.453125" style="44" bestFit="1" customWidth="1"/>
    <col min="6243" max="6243" width="99.7265625" style="44" bestFit="1" customWidth="1"/>
    <col min="6244" max="6244" width="99.54296875" style="44" bestFit="1" customWidth="1"/>
    <col min="6245" max="6245" width="96.81640625" style="44" bestFit="1" customWidth="1"/>
    <col min="6246" max="6246" width="94.08984375" style="44" bestFit="1" customWidth="1"/>
    <col min="6247" max="6247" width="100.453125" style="44" bestFit="1" customWidth="1"/>
    <col min="6248" max="6248" width="98.6328125" style="44" bestFit="1" customWidth="1"/>
    <col min="6249" max="6249" width="77.453125" style="44" bestFit="1" customWidth="1"/>
    <col min="6250" max="6250" width="95.1796875" style="44" bestFit="1" customWidth="1"/>
    <col min="6251" max="6251" width="86.6328125" style="44" bestFit="1" customWidth="1"/>
    <col min="6252" max="6252" width="77.26953125" style="44" bestFit="1" customWidth="1"/>
    <col min="6253" max="6253" width="85.1796875" style="44" bestFit="1" customWidth="1"/>
    <col min="6254" max="6254" width="74.7265625" style="44" bestFit="1" customWidth="1"/>
    <col min="6255" max="6255" width="92" style="44" bestFit="1" customWidth="1"/>
    <col min="6256" max="6256" width="72.26953125" style="44" bestFit="1" customWidth="1"/>
    <col min="6257" max="6257" width="97.08984375" style="44" bestFit="1" customWidth="1"/>
    <col min="6258" max="6258" width="77.08984375" style="44" bestFit="1" customWidth="1"/>
    <col min="6259" max="6259" width="85.08984375" style="44" bestFit="1" customWidth="1"/>
    <col min="6260" max="6261" width="83.1796875" style="44" bestFit="1" customWidth="1"/>
    <col min="6262" max="6262" width="82.6328125" style="44" bestFit="1" customWidth="1"/>
    <col min="6263" max="6263" width="86.26953125" style="44" bestFit="1" customWidth="1"/>
    <col min="6264" max="6264" width="71.1796875" style="44" bestFit="1" customWidth="1"/>
    <col min="6265" max="6265" width="66.6328125" style="44" bestFit="1" customWidth="1"/>
    <col min="6266" max="6267" width="83.1796875" style="44" bestFit="1" customWidth="1"/>
    <col min="6268" max="6268" width="67.08984375" style="44" bestFit="1" customWidth="1"/>
    <col min="6269" max="6269" width="76.54296875" style="44" bestFit="1" customWidth="1"/>
    <col min="6270" max="6270" width="94.08984375" style="44" bestFit="1" customWidth="1"/>
    <col min="6271" max="6271" width="89.08984375" style="44" bestFit="1" customWidth="1"/>
    <col min="6272" max="6272" width="68.1796875" style="44" bestFit="1" customWidth="1"/>
    <col min="6273" max="6273" width="91.7265625" style="44" bestFit="1" customWidth="1"/>
    <col min="6274" max="6274" width="63.36328125" style="44" bestFit="1" customWidth="1"/>
    <col min="6275" max="6275" width="66.6328125" style="44" bestFit="1" customWidth="1"/>
    <col min="6276" max="6276" width="63.36328125" style="44" bestFit="1" customWidth="1"/>
    <col min="6277" max="6277" width="63.453125" style="44" bestFit="1" customWidth="1"/>
    <col min="6278" max="6278" width="87.54296875" style="44" bestFit="1" customWidth="1"/>
    <col min="6279" max="6279" width="93.81640625" style="44" bestFit="1" customWidth="1"/>
    <col min="6280" max="6280" width="66.453125" style="44" bestFit="1" customWidth="1"/>
    <col min="6281" max="6282" width="110" style="44" bestFit="1" customWidth="1"/>
    <col min="6283" max="6283" width="103.1796875" style="44" bestFit="1" customWidth="1"/>
    <col min="6284" max="6284" width="62.453125" style="44" bestFit="1" customWidth="1"/>
    <col min="6285" max="6285" width="77.453125" style="44" bestFit="1" customWidth="1"/>
    <col min="6286" max="6286" width="91.54296875" style="44" bestFit="1" customWidth="1"/>
    <col min="6287" max="6287" width="88.08984375" style="44" bestFit="1" customWidth="1"/>
    <col min="6288" max="6288" width="80.6328125" style="44" bestFit="1" customWidth="1"/>
    <col min="6289" max="6289" width="77.453125" style="44" bestFit="1" customWidth="1"/>
    <col min="6290" max="6290" width="85.1796875" style="44" bestFit="1" customWidth="1"/>
    <col min="6291" max="6294" width="72.36328125" style="44" bestFit="1" customWidth="1"/>
    <col min="6295" max="6296" width="95" style="44" bestFit="1" customWidth="1"/>
    <col min="6297" max="6297" width="64.08984375" style="44" bestFit="1" customWidth="1"/>
    <col min="6298" max="6298" width="110.08984375" style="44" bestFit="1" customWidth="1"/>
    <col min="6299" max="6299" width="86.36328125" style="44" bestFit="1" customWidth="1"/>
    <col min="6300" max="6300" width="89.36328125" style="44" bestFit="1" customWidth="1"/>
    <col min="6301" max="6301" width="89.81640625" style="44" bestFit="1" customWidth="1"/>
    <col min="6302" max="6302" width="64.26953125" style="44" bestFit="1" customWidth="1"/>
    <col min="6303" max="6303" width="85.7265625" style="44" bestFit="1" customWidth="1"/>
    <col min="6304" max="6304" width="73" style="44" bestFit="1" customWidth="1"/>
    <col min="6305" max="6305" width="92.7265625" style="44" bestFit="1" customWidth="1"/>
    <col min="6306" max="6306" width="92.36328125" style="44" bestFit="1" customWidth="1"/>
    <col min="6307" max="6307" width="72" style="44" bestFit="1" customWidth="1"/>
    <col min="6308" max="6308" width="82" style="44" bestFit="1" customWidth="1"/>
    <col min="6309" max="6309" width="79.36328125" style="44" bestFit="1" customWidth="1"/>
    <col min="6310" max="6310" width="81" style="44" bestFit="1" customWidth="1"/>
    <col min="6311" max="6311" width="72.90625" style="44" bestFit="1" customWidth="1"/>
    <col min="6312" max="6312" width="90.81640625" style="44" bestFit="1" customWidth="1"/>
    <col min="6313" max="6313" width="84" style="44" bestFit="1" customWidth="1"/>
    <col min="6314" max="6315" width="73.36328125" style="44" bestFit="1" customWidth="1"/>
    <col min="6316" max="6316" width="90.6328125" style="44" bestFit="1" customWidth="1"/>
    <col min="6317" max="6317" width="89.453125" style="44" bestFit="1" customWidth="1"/>
    <col min="6318" max="6318" width="84.6328125" style="44" bestFit="1" customWidth="1"/>
    <col min="6319" max="6319" width="74.54296875" style="44" bestFit="1" customWidth="1"/>
    <col min="6320" max="6320" width="76.90625" style="44" bestFit="1" customWidth="1"/>
    <col min="6321" max="6321" width="83" style="44" bestFit="1" customWidth="1"/>
    <col min="6322" max="6322" width="85.81640625" style="44" bestFit="1" customWidth="1"/>
    <col min="6323" max="6323" width="83.7265625" style="44" bestFit="1" customWidth="1"/>
    <col min="6324" max="6324" width="79.54296875" style="44" bestFit="1" customWidth="1"/>
    <col min="6325" max="6325" width="80.54296875" style="44" bestFit="1" customWidth="1"/>
    <col min="6326" max="6326" width="89.54296875" style="44" bestFit="1" customWidth="1"/>
    <col min="6327" max="6327" width="85.36328125" style="44" bestFit="1" customWidth="1"/>
    <col min="6328" max="6328" width="61.6328125" style="44" bestFit="1" customWidth="1"/>
    <col min="6329" max="6329" width="132.54296875" style="44" bestFit="1" customWidth="1"/>
    <col min="6330" max="6330" width="93.1796875" style="44" bestFit="1" customWidth="1"/>
    <col min="6331" max="6331" width="91.08984375" style="44" bestFit="1" customWidth="1"/>
    <col min="6332" max="6332" width="81.7265625" style="44" bestFit="1" customWidth="1"/>
    <col min="6333" max="6334" width="80.90625" style="44" bestFit="1" customWidth="1"/>
    <col min="6335" max="6335" width="83.26953125" style="44" bestFit="1" customWidth="1"/>
    <col min="6336" max="6336" width="101.453125" style="44" bestFit="1" customWidth="1"/>
    <col min="6337" max="6337" width="110.1796875" style="44" bestFit="1" customWidth="1"/>
    <col min="6338" max="6338" width="74.6328125" style="44" bestFit="1" customWidth="1"/>
    <col min="6339" max="6342" width="84.54296875" style="44" bestFit="1" customWidth="1"/>
    <col min="6343" max="6343" width="74.36328125" style="44" bestFit="1" customWidth="1"/>
    <col min="6344" max="6344" width="88.1796875" style="44" bestFit="1" customWidth="1"/>
    <col min="6345" max="6345" width="78.6328125" style="44" bestFit="1" customWidth="1"/>
    <col min="6346" max="6346" width="76.81640625" style="44" bestFit="1" customWidth="1"/>
    <col min="6347" max="6347" width="74.7265625" style="44" bestFit="1" customWidth="1"/>
    <col min="6348" max="6348" width="87.26953125" style="44" bestFit="1" customWidth="1"/>
    <col min="6349" max="6349" width="85.54296875" style="44" bestFit="1" customWidth="1"/>
    <col min="6350" max="6350" width="100.26953125" style="44" bestFit="1" customWidth="1"/>
    <col min="6351" max="6351" width="71.36328125" style="44" bestFit="1" customWidth="1"/>
    <col min="6352" max="6352" width="105.453125" style="44" bestFit="1" customWidth="1"/>
    <col min="6353" max="6353" width="103.08984375" style="44" bestFit="1" customWidth="1"/>
    <col min="6354" max="6354" width="85.7265625" style="44" bestFit="1" customWidth="1"/>
    <col min="6355" max="6355" width="99.26953125" style="44" bestFit="1" customWidth="1"/>
    <col min="6356" max="6356" width="83.54296875" style="44" bestFit="1" customWidth="1"/>
    <col min="6357" max="6357" width="96.90625" style="44" bestFit="1" customWidth="1"/>
    <col min="6358" max="6358" width="74.26953125" style="44" bestFit="1" customWidth="1"/>
    <col min="6359" max="6359" width="98.36328125" style="44" bestFit="1" customWidth="1"/>
    <col min="6360" max="6360" width="74.453125" style="44" bestFit="1" customWidth="1"/>
    <col min="6361" max="6361" width="88.81640625" style="44" bestFit="1" customWidth="1"/>
    <col min="6362" max="6362" width="67.6328125" style="44" bestFit="1" customWidth="1"/>
    <col min="6363" max="6363" width="93.08984375" style="44" bestFit="1" customWidth="1"/>
    <col min="6364" max="6364" width="101.453125" style="44" bestFit="1" customWidth="1"/>
    <col min="6365" max="6367" width="76.81640625" style="44" bestFit="1" customWidth="1"/>
    <col min="6368" max="6368" width="87.08984375" style="44" bestFit="1" customWidth="1"/>
    <col min="6369" max="6369" width="72.453125" style="44" bestFit="1" customWidth="1"/>
    <col min="6370" max="6370" width="87.81640625" style="44" bestFit="1" customWidth="1"/>
    <col min="6371" max="6371" width="71.7265625" style="44" bestFit="1" customWidth="1"/>
    <col min="6372" max="6372" width="74" style="44" bestFit="1" customWidth="1"/>
    <col min="6373" max="6373" width="74.08984375" style="44" bestFit="1" customWidth="1"/>
    <col min="6374" max="6376" width="86.81640625" style="44" bestFit="1" customWidth="1"/>
    <col min="6377" max="6377" width="104.7265625" style="44" bestFit="1" customWidth="1"/>
    <col min="6378" max="6378" width="101.81640625" style="44" bestFit="1" customWidth="1"/>
    <col min="6379" max="6379" width="64.453125" style="44" bestFit="1" customWidth="1"/>
    <col min="6380" max="6380" width="65.1796875" style="44" bestFit="1" customWidth="1"/>
    <col min="6381" max="6381" width="72.453125" style="44" bestFit="1" customWidth="1"/>
    <col min="6382" max="6382" width="81.36328125" style="44" bestFit="1" customWidth="1"/>
    <col min="6383" max="6383" width="65.1796875" style="44" bestFit="1" customWidth="1"/>
    <col min="6384" max="6384" width="80.90625" style="44" bestFit="1" customWidth="1"/>
    <col min="6385" max="6385" width="71.7265625" style="44" bestFit="1" customWidth="1"/>
    <col min="6386" max="6386" width="73.6328125" style="44" bestFit="1" customWidth="1"/>
    <col min="6387" max="6388" width="85.36328125" style="44" bestFit="1" customWidth="1"/>
    <col min="6389" max="6389" width="92.26953125" style="44" bestFit="1" customWidth="1"/>
    <col min="6390" max="6390" width="106.1796875" style="44" bestFit="1" customWidth="1"/>
    <col min="6391" max="6391" width="86.6328125" style="44" bestFit="1" customWidth="1"/>
    <col min="6392" max="6393" width="68.90625" style="44" bestFit="1" customWidth="1"/>
    <col min="6394" max="6394" width="80.54296875" style="44" bestFit="1" customWidth="1"/>
    <col min="6395" max="6395" width="68.90625" style="44" bestFit="1" customWidth="1"/>
    <col min="6396" max="6396" width="79.1796875" style="44" bestFit="1" customWidth="1"/>
    <col min="6397" max="6397" width="79.26953125" style="44" bestFit="1" customWidth="1"/>
    <col min="6398" max="6398" width="80.1796875" style="44" bestFit="1" customWidth="1"/>
    <col min="6399" max="6399" width="84.81640625" style="44" bestFit="1" customWidth="1"/>
    <col min="6400" max="6400" width="76.81640625" style="44" bestFit="1" customWidth="1"/>
    <col min="6401" max="6401" width="7.90625" style="44" bestFit="1" customWidth="1"/>
    <col min="6402" max="6402" width="132.54296875" style="44" bestFit="1" customWidth="1"/>
    <col min="6403" max="6403" width="45.36328125" style="44" bestFit="1" customWidth="1"/>
    <col min="6404" max="6404" width="14.08984375" style="44" bestFit="1" customWidth="1"/>
    <col min="6405" max="6406" width="8.7265625" style="44"/>
    <col min="6407" max="6407" width="49.7265625" style="44" bestFit="1" customWidth="1"/>
    <col min="6408" max="6408" width="7.90625" style="44" bestFit="1" customWidth="1"/>
    <col min="6409" max="6409" width="7.81640625" style="44" bestFit="1" customWidth="1"/>
    <col min="6410" max="6421" width="8.81640625" style="44" bestFit="1" customWidth="1"/>
    <col min="6422" max="6422" width="10.81640625" style="44" bestFit="1" customWidth="1"/>
    <col min="6423" max="6423" width="93.36328125" style="44" bestFit="1" customWidth="1"/>
    <col min="6424" max="6424" width="87.6328125" style="44" bestFit="1" customWidth="1"/>
    <col min="6425" max="6425" width="69.26953125" style="44" bestFit="1" customWidth="1"/>
    <col min="6426" max="6426" width="68.54296875" style="44" bestFit="1" customWidth="1"/>
    <col min="6427" max="6427" width="67.6328125" style="44" bestFit="1" customWidth="1"/>
    <col min="6428" max="6428" width="64" style="44" bestFit="1" customWidth="1"/>
    <col min="6429" max="6429" width="43.81640625" style="44" bestFit="1" customWidth="1"/>
    <col min="6430" max="6430" width="39.81640625" style="44" bestFit="1" customWidth="1"/>
    <col min="6431" max="6431" width="85.26953125" style="44" bestFit="1" customWidth="1"/>
    <col min="6432" max="6432" width="84.08984375" style="44" bestFit="1" customWidth="1"/>
    <col min="6433" max="6433" width="91" style="44" bestFit="1" customWidth="1"/>
    <col min="6434" max="6434" width="79" style="44" bestFit="1" customWidth="1"/>
    <col min="6435" max="6435" width="89.90625" style="44" bestFit="1" customWidth="1"/>
    <col min="6436" max="6442" width="90.90625" style="44" bestFit="1" customWidth="1"/>
    <col min="6443" max="6443" width="91.90625" style="44" bestFit="1" customWidth="1"/>
    <col min="6444" max="6444" width="73.08984375" style="44" bestFit="1" customWidth="1"/>
    <col min="6445" max="6445" width="61.1796875" style="44" bestFit="1" customWidth="1"/>
    <col min="6446" max="6446" width="94.1796875" style="44" bestFit="1" customWidth="1"/>
    <col min="6447" max="6447" width="84.453125" style="44" bestFit="1" customWidth="1"/>
    <col min="6448" max="6448" width="86.81640625" style="44" bestFit="1" customWidth="1"/>
    <col min="6449" max="6449" width="90.08984375" style="44" bestFit="1" customWidth="1"/>
    <col min="6450" max="6450" width="86.7265625" style="44" bestFit="1" customWidth="1"/>
    <col min="6451" max="6451" width="87.6328125" style="44" bestFit="1" customWidth="1"/>
    <col min="6452" max="6454" width="97.6328125" style="44" bestFit="1" customWidth="1"/>
    <col min="6455" max="6455" width="72.54296875" style="44" bestFit="1" customWidth="1"/>
    <col min="6456" max="6456" width="73.6328125" style="44" bestFit="1" customWidth="1"/>
    <col min="6457" max="6457" width="58.6328125" style="44" bestFit="1" customWidth="1"/>
    <col min="6458" max="6459" width="74.08984375" style="44" bestFit="1" customWidth="1"/>
    <col min="6460" max="6460" width="75.54296875" style="44" bestFit="1" customWidth="1"/>
    <col min="6461" max="6461" width="92" style="44" bestFit="1" customWidth="1"/>
    <col min="6462" max="6462" width="93.54296875" style="44" bestFit="1" customWidth="1"/>
    <col min="6463" max="6464" width="75.54296875" style="44" bestFit="1" customWidth="1"/>
    <col min="6465" max="6465" width="78.08984375" style="44" bestFit="1" customWidth="1"/>
    <col min="6466" max="6466" width="70" style="44" bestFit="1" customWidth="1"/>
    <col min="6467" max="6467" width="84.81640625" style="44" bestFit="1" customWidth="1"/>
    <col min="6468" max="6468" width="93" style="44" bestFit="1" customWidth="1"/>
    <col min="6469" max="6469" width="83.453125" style="44" bestFit="1" customWidth="1"/>
    <col min="6470" max="6470" width="100.90625" style="44" bestFit="1" customWidth="1"/>
    <col min="6471" max="6473" width="64.54296875" style="44" bestFit="1" customWidth="1"/>
    <col min="6474" max="6475" width="82.7265625" style="44" bestFit="1" customWidth="1"/>
    <col min="6476" max="6476" width="99.453125" style="44" bestFit="1" customWidth="1"/>
    <col min="6477" max="6477" width="78.1796875" style="44" bestFit="1" customWidth="1"/>
    <col min="6478" max="6478" width="71.36328125" style="44" bestFit="1" customWidth="1"/>
    <col min="6479" max="6479" width="71.26953125" style="44" bestFit="1" customWidth="1"/>
    <col min="6480" max="6483" width="76.453125" style="44" bestFit="1" customWidth="1"/>
    <col min="6484" max="6484" width="70.54296875" style="44" bestFit="1" customWidth="1"/>
    <col min="6485" max="6485" width="63.36328125" style="44" bestFit="1" customWidth="1"/>
    <col min="6486" max="6486" width="97.81640625" style="44" bestFit="1" customWidth="1"/>
    <col min="6487" max="6488" width="73" style="44" bestFit="1" customWidth="1"/>
    <col min="6489" max="6489" width="79" style="44" bestFit="1" customWidth="1"/>
    <col min="6490" max="6490" width="73" style="44" bestFit="1" customWidth="1"/>
    <col min="6491" max="6491" width="82.1796875" style="44" bestFit="1" customWidth="1"/>
    <col min="6492" max="6492" width="61.453125" style="44" bestFit="1" customWidth="1"/>
    <col min="6493" max="6494" width="99.90625" style="44" bestFit="1" customWidth="1"/>
    <col min="6495" max="6495" width="100.36328125" style="44" bestFit="1" customWidth="1"/>
    <col min="6496" max="6496" width="84.453125" style="44" bestFit="1" customWidth="1"/>
    <col min="6497" max="6497" width="113.36328125" style="44" bestFit="1" customWidth="1"/>
    <col min="6498" max="6498" width="98.453125" style="44" bestFit="1" customWidth="1"/>
    <col min="6499" max="6499" width="99.7265625" style="44" bestFit="1" customWidth="1"/>
    <col min="6500" max="6500" width="99.54296875" style="44" bestFit="1" customWidth="1"/>
    <col min="6501" max="6501" width="96.81640625" style="44" bestFit="1" customWidth="1"/>
    <col min="6502" max="6502" width="94.08984375" style="44" bestFit="1" customWidth="1"/>
    <col min="6503" max="6503" width="100.453125" style="44" bestFit="1" customWidth="1"/>
    <col min="6504" max="6504" width="98.6328125" style="44" bestFit="1" customWidth="1"/>
    <col min="6505" max="6505" width="77.453125" style="44" bestFit="1" customWidth="1"/>
    <col min="6506" max="6506" width="95.1796875" style="44" bestFit="1" customWidth="1"/>
    <col min="6507" max="6507" width="86.6328125" style="44" bestFit="1" customWidth="1"/>
    <col min="6508" max="6508" width="77.26953125" style="44" bestFit="1" customWidth="1"/>
    <col min="6509" max="6509" width="85.1796875" style="44" bestFit="1" customWidth="1"/>
    <col min="6510" max="6510" width="74.7265625" style="44" bestFit="1" customWidth="1"/>
    <col min="6511" max="6511" width="92" style="44" bestFit="1" customWidth="1"/>
    <col min="6512" max="6512" width="72.26953125" style="44" bestFit="1" customWidth="1"/>
    <col min="6513" max="6513" width="97.08984375" style="44" bestFit="1" customWidth="1"/>
    <col min="6514" max="6514" width="77.08984375" style="44" bestFit="1" customWidth="1"/>
    <col min="6515" max="6515" width="85.08984375" style="44" bestFit="1" customWidth="1"/>
    <col min="6516" max="6517" width="83.1796875" style="44" bestFit="1" customWidth="1"/>
    <col min="6518" max="6518" width="82.6328125" style="44" bestFit="1" customWidth="1"/>
    <col min="6519" max="6519" width="86.26953125" style="44" bestFit="1" customWidth="1"/>
    <col min="6520" max="6520" width="71.1796875" style="44" bestFit="1" customWidth="1"/>
    <col min="6521" max="6521" width="66.6328125" style="44" bestFit="1" customWidth="1"/>
    <col min="6522" max="6523" width="83.1796875" style="44" bestFit="1" customWidth="1"/>
    <col min="6524" max="6524" width="67.08984375" style="44" bestFit="1" customWidth="1"/>
    <col min="6525" max="6525" width="76.54296875" style="44" bestFit="1" customWidth="1"/>
    <col min="6526" max="6526" width="94.08984375" style="44" bestFit="1" customWidth="1"/>
    <col min="6527" max="6527" width="89.08984375" style="44" bestFit="1" customWidth="1"/>
    <col min="6528" max="6528" width="68.1796875" style="44" bestFit="1" customWidth="1"/>
    <col min="6529" max="6529" width="91.7265625" style="44" bestFit="1" customWidth="1"/>
    <col min="6530" max="6530" width="63.36328125" style="44" bestFit="1" customWidth="1"/>
    <col min="6531" max="6531" width="66.6328125" style="44" bestFit="1" customWidth="1"/>
    <col min="6532" max="6532" width="63.36328125" style="44" bestFit="1" customWidth="1"/>
    <col min="6533" max="6533" width="63.453125" style="44" bestFit="1" customWidth="1"/>
    <col min="6534" max="6534" width="87.54296875" style="44" bestFit="1" customWidth="1"/>
    <col min="6535" max="6535" width="93.81640625" style="44" bestFit="1" customWidth="1"/>
    <col min="6536" max="6536" width="66.453125" style="44" bestFit="1" customWidth="1"/>
    <col min="6537" max="6538" width="110" style="44" bestFit="1" customWidth="1"/>
    <col min="6539" max="6539" width="103.1796875" style="44" bestFit="1" customWidth="1"/>
    <col min="6540" max="6540" width="62.453125" style="44" bestFit="1" customWidth="1"/>
    <col min="6541" max="6541" width="77.453125" style="44" bestFit="1" customWidth="1"/>
    <col min="6542" max="6542" width="91.54296875" style="44" bestFit="1" customWidth="1"/>
    <col min="6543" max="6543" width="88.08984375" style="44" bestFit="1" customWidth="1"/>
    <col min="6544" max="6544" width="80.6328125" style="44" bestFit="1" customWidth="1"/>
    <col min="6545" max="6545" width="77.453125" style="44" bestFit="1" customWidth="1"/>
    <col min="6546" max="6546" width="85.1796875" style="44" bestFit="1" customWidth="1"/>
    <col min="6547" max="6550" width="72.36328125" style="44" bestFit="1" customWidth="1"/>
    <col min="6551" max="6552" width="95" style="44" bestFit="1" customWidth="1"/>
    <col min="6553" max="6553" width="64.08984375" style="44" bestFit="1" customWidth="1"/>
    <col min="6554" max="6554" width="110.08984375" style="44" bestFit="1" customWidth="1"/>
    <col min="6555" max="6555" width="86.36328125" style="44" bestFit="1" customWidth="1"/>
    <col min="6556" max="6556" width="89.36328125" style="44" bestFit="1" customWidth="1"/>
    <col min="6557" max="6557" width="89.81640625" style="44" bestFit="1" customWidth="1"/>
    <col min="6558" max="6558" width="64.26953125" style="44" bestFit="1" customWidth="1"/>
    <col min="6559" max="6559" width="85.7265625" style="44" bestFit="1" customWidth="1"/>
    <col min="6560" max="6560" width="73" style="44" bestFit="1" customWidth="1"/>
    <col min="6561" max="6561" width="92.7265625" style="44" bestFit="1" customWidth="1"/>
    <col min="6562" max="6562" width="92.36328125" style="44" bestFit="1" customWidth="1"/>
    <col min="6563" max="6563" width="72" style="44" bestFit="1" customWidth="1"/>
    <col min="6564" max="6564" width="82" style="44" bestFit="1" customWidth="1"/>
    <col min="6565" max="6565" width="79.36328125" style="44" bestFit="1" customWidth="1"/>
    <col min="6566" max="6566" width="81" style="44" bestFit="1" customWidth="1"/>
    <col min="6567" max="6567" width="72.90625" style="44" bestFit="1" customWidth="1"/>
    <col min="6568" max="6568" width="90.81640625" style="44" bestFit="1" customWidth="1"/>
    <col min="6569" max="6569" width="84" style="44" bestFit="1" customWidth="1"/>
    <col min="6570" max="6571" width="73.36328125" style="44" bestFit="1" customWidth="1"/>
    <col min="6572" max="6572" width="90.6328125" style="44" bestFit="1" customWidth="1"/>
    <col min="6573" max="6573" width="89.453125" style="44" bestFit="1" customWidth="1"/>
    <col min="6574" max="6574" width="84.6328125" style="44" bestFit="1" customWidth="1"/>
    <col min="6575" max="6575" width="74.54296875" style="44" bestFit="1" customWidth="1"/>
    <col min="6576" max="6576" width="76.90625" style="44" bestFit="1" customWidth="1"/>
    <col min="6577" max="6577" width="83" style="44" bestFit="1" customWidth="1"/>
    <col min="6578" max="6578" width="85.81640625" style="44" bestFit="1" customWidth="1"/>
    <col min="6579" max="6579" width="83.7265625" style="44" bestFit="1" customWidth="1"/>
    <col min="6580" max="6580" width="79.54296875" style="44" bestFit="1" customWidth="1"/>
    <col min="6581" max="6581" width="80.54296875" style="44" bestFit="1" customWidth="1"/>
    <col min="6582" max="6582" width="89.54296875" style="44" bestFit="1" customWidth="1"/>
    <col min="6583" max="6583" width="85.36328125" style="44" bestFit="1" customWidth="1"/>
    <col min="6584" max="6584" width="61.6328125" style="44" bestFit="1" customWidth="1"/>
    <col min="6585" max="6585" width="132.54296875" style="44" bestFit="1" customWidth="1"/>
    <col min="6586" max="6586" width="93.1796875" style="44" bestFit="1" customWidth="1"/>
    <col min="6587" max="6587" width="91.08984375" style="44" bestFit="1" customWidth="1"/>
    <col min="6588" max="6588" width="81.7265625" style="44" bestFit="1" customWidth="1"/>
    <col min="6589" max="6590" width="80.90625" style="44" bestFit="1" customWidth="1"/>
    <col min="6591" max="6591" width="83.26953125" style="44" bestFit="1" customWidth="1"/>
    <col min="6592" max="6592" width="101.453125" style="44" bestFit="1" customWidth="1"/>
    <col min="6593" max="6593" width="110.1796875" style="44" bestFit="1" customWidth="1"/>
    <col min="6594" max="6594" width="74.6328125" style="44" bestFit="1" customWidth="1"/>
    <col min="6595" max="6598" width="84.54296875" style="44" bestFit="1" customWidth="1"/>
    <col min="6599" max="6599" width="74.36328125" style="44" bestFit="1" customWidth="1"/>
    <col min="6600" max="6600" width="88.1796875" style="44" bestFit="1" customWidth="1"/>
    <col min="6601" max="6601" width="78.6328125" style="44" bestFit="1" customWidth="1"/>
    <col min="6602" max="6602" width="76.81640625" style="44" bestFit="1" customWidth="1"/>
    <col min="6603" max="6603" width="74.7265625" style="44" bestFit="1" customWidth="1"/>
    <col min="6604" max="6604" width="87.26953125" style="44" bestFit="1" customWidth="1"/>
    <col min="6605" max="6605" width="85.54296875" style="44" bestFit="1" customWidth="1"/>
    <col min="6606" max="6606" width="100.26953125" style="44" bestFit="1" customWidth="1"/>
    <col min="6607" max="6607" width="71.36328125" style="44" bestFit="1" customWidth="1"/>
    <col min="6608" max="6608" width="105.453125" style="44" bestFit="1" customWidth="1"/>
    <col min="6609" max="6609" width="103.08984375" style="44" bestFit="1" customWidth="1"/>
    <col min="6610" max="6610" width="85.7265625" style="44" bestFit="1" customWidth="1"/>
    <col min="6611" max="6611" width="99.26953125" style="44" bestFit="1" customWidth="1"/>
    <col min="6612" max="6612" width="83.54296875" style="44" bestFit="1" customWidth="1"/>
    <col min="6613" max="6613" width="96.90625" style="44" bestFit="1" customWidth="1"/>
    <col min="6614" max="6614" width="74.26953125" style="44" bestFit="1" customWidth="1"/>
    <col min="6615" max="6615" width="98.36328125" style="44" bestFit="1" customWidth="1"/>
    <col min="6616" max="6616" width="74.453125" style="44" bestFit="1" customWidth="1"/>
    <col min="6617" max="6617" width="88.81640625" style="44" bestFit="1" customWidth="1"/>
    <col min="6618" max="6618" width="67.6328125" style="44" bestFit="1" customWidth="1"/>
    <col min="6619" max="6619" width="93.08984375" style="44" bestFit="1" customWidth="1"/>
    <col min="6620" max="6620" width="101.453125" style="44" bestFit="1" customWidth="1"/>
    <col min="6621" max="6623" width="76.81640625" style="44" bestFit="1" customWidth="1"/>
    <col min="6624" max="6624" width="87.08984375" style="44" bestFit="1" customWidth="1"/>
    <col min="6625" max="6625" width="72.453125" style="44" bestFit="1" customWidth="1"/>
    <col min="6626" max="6626" width="87.81640625" style="44" bestFit="1" customWidth="1"/>
    <col min="6627" max="6627" width="71.7265625" style="44" bestFit="1" customWidth="1"/>
    <col min="6628" max="6628" width="74" style="44" bestFit="1" customWidth="1"/>
    <col min="6629" max="6629" width="74.08984375" style="44" bestFit="1" customWidth="1"/>
    <col min="6630" max="6632" width="86.81640625" style="44" bestFit="1" customWidth="1"/>
    <col min="6633" max="6633" width="104.7265625" style="44" bestFit="1" customWidth="1"/>
    <col min="6634" max="6634" width="101.81640625" style="44" bestFit="1" customWidth="1"/>
    <col min="6635" max="6635" width="64.453125" style="44" bestFit="1" customWidth="1"/>
    <col min="6636" max="6636" width="65.1796875" style="44" bestFit="1" customWidth="1"/>
    <col min="6637" max="6637" width="72.453125" style="44" bestFit="1" customWidth="1"/>
    <col min="6638" max="6638" width="81.36328125" style="44" bestFit="1" customWidth="1"/>
    <col min="6639" max="6639" width="65.1796875" style="44" bestFit="1" customWidth="1"/>
    <col min="6640" max="6640" width="80.90625" style="44" bestFit="1" customWidth="1"/>
    <col min="6641" max="6641" width="71.7265625" style="44" bestFit="1" customWidth="1"/>
    <col min="6642" max="6642" width="73.6328125" style="44" bestFit="1" customWidth="1"/>
    <col min="6643" max="6644" width="85.36328125" style="44" bestFit="1" customWidth="1"/>
    <col min="6645" max="6645" width="92.26953125" style="44" bestFit="1" customWidth="1"/>
    <col min="6646" max="6646" width="106.1796875" style="44" bestFit="1" customWidth="1"/>
    <col min="6647" max="6647" width="86.6328125" style="44" bestFit="1" customWidth="1"/>
    <col min="6648" max="6649" width="68.90625" style="44" bestFit="1" customWidth="1"/>
    <col min="6650" max="6650" width="80.54296875" style="44" bestFit="1" customWidth="1"/>
    <col min="6651" max="6651" width="68.90625" style="44" bestFit="1" customWidth="1"/>
    <col min="6652" max="6652" width="79.1796875" style="44" bestFit="1" customWidth="1"/>
    <col min="6653" max="6653" width="79.26953125" style="44" bestFit="1" customWidth="1"/>
    <col min="6654" max="6654" width="80.1796875" style="44" bestFit="1" customWidth="1"/>
    <col min="6655" max="6655" width="84.81640625" style="44" bestFit="1" customWidth="1"/>
    <col min="6656" max="6656" width="76.81640625" style="44" bestFit="1" customWidth="1"/>
    <col min="6657" max="6657" width="7.90625" style="44" bestFit="1" customWidth="1"/>
    <col min="6658" max="6658" width="132.54296875" style="44" bestFit="1" customWidth="1"/>
    <col min="6659" max="6659" width="45.36328125" style="44" bestFit="1" customWidth="1"/>
    <col min="6660" max="6660" width="14.08984375" style="44" bestFit="1" customWidth="1"/>
    <col min="6661" max="6662" width="8.7265625" style="44"/>
    <col min="6663" max="6663" width="49.7265625" style="44" bestFit="1" customWidth="1"/>
    <col min="6664" max="6664" width="7.90625" style="44" bestFit="1" customWidth="1"/>
    <col min="6665" max="6665" width="7.81640625" style="44" bestFit="1" customWidth="1"/>
    <col min="6666" max="6677" width="8.81640625" style="44" bestFit="1" customWidth="1"/>
    <col min="6678" max="6678" width="10.81640625" style="44" bestFit="1" customWidth="1"/>
    <col min="6679" max="6679" width="93.36328125" style="44" bestFit="1" customWidth="1"/>
    <col min="6680" max="6680" width="87.6328125" style="44" bestFit="1" customWidth="1"/>
    <col min="6681" max="6681" width="69.26953125" style="44" bestFit="1" customWidth="1"/>
    <col min="6682" max="6682" width="68.54296875" style="44" bestFit="1" customWidth="1"/>
    <col min="6683" max="6683" width="67.6328125" style="44" bestFit="1" customWidth="1"/>
    <col min="6684" max="6684" width="64" style="44" bestFit="1" customWidth="1"/>
    <col min="6685" max="6685" width="43.81640625" style="44" bestFit="1" customWidth="1"/>
    <col min="6686" max="6686" width="39.81640625" style="44" bestFit="1" customWidth="1"/>
    <col min="6687" max="6687" width="85.26953125" style="44" bestFit="1" customWidth="1"/>
    <col min="6688" max="6688" width="84.08984375" style="44" bestFit="1" customWidth="1"/>
    <col min="6689" max="6689" width="91" style="44" bestFit="1" customWidth="1"/>
    <col min="6690" max="6690" width="79" style="44" bestFit="1" customWidth="1"/>
    <col min="6691" max="6691" width="89.90625" style="44" bestFit="1" customWidth="1"/>
    <col min="6692" max="6698" width="90.90625" style="44" bestFit="1" customWidth="1"/>
    <col min="6699" max="6699" width="91.90625" style="44" bestFit="1" customWidth="1"/>
    <col min="6700" max="6700" width="73.08984375" style="44" bestFit="1" customWidth="1"/>
    <col min="6701" max="6701" width="61.1796875" style="44" bestFit="1" customWidth="1"/>
    <col min="6702" max="6702" width="94.1796875" style="44" bestFit="1" customWidth="1"/>
    <col min="6703" max="6703" width="84.453125" style="44" bestFit="1" customWidth="1"/>
    <col min="6704" max="6704" width="86.81640625" style="44" bestFit="1" customWidth="1"/>
    <col min="6705" max="6705" width="90.08984375" style="44" bestFit="1" customWidth="1"/>
    <col min="6706" max="6706" width="86.7265625" style="44" bestFit="1" customWidth="1"/>
    <col min="6707" max="6707" width="87.6328125" style="44" bestFit="1" customWidth="1"/>
    <col min="6708" max="6710" width="97.6328125" style="44" bestFit="1" customWidth="1"/>
    <col min="6711" max="6711" width="72.54296875" style="44" bestFit="1" customWidth="1"/>
    <col min="6712" max="6712" width="73.6328125" style="44" bestFit="1" customWidth="1"/>
    <col min="6713" max="6713" width="58.6328125" style="44" bestFit="1" customWidth="1"/>
    <col min="6714" max="6715" width="74.08984375" style="44" bestFit="1" customWidth="1"/>
    <col min="6716" max="6716" width="75.54296875" style="44" bestFit="1" customWidth="1"/>
    <col min="6717" max="6717" width="92" style="44" bestFit="1" customWidth="1"/>
    <col min="6718" max="6718" width="93.54296875" style="44" bestFit="1" customWidth="1"/>
    <col min="6719" max="6720" width="75.54296875" style="44" bestFit="1" customWidth="1"/>
    <col min="6721" max="6721" width="78.08984375" style="44" bestFit="1" customWidth="1"/>
    <col min="6722" max="6722" width="70" style="44" bestFit="1" customWidth="1"/>
    <col min="6723" max="6723" width="84.81640625" style="44" bestFit="1" customWidth="1"/>
    <col min="6724" max="6724" width="93" style="44" bestFit="1" customWidth="1"/>
    <col min="6725" max="6725" width="83.453125" style="44" bestFit="1" customWidth="1"/>
    <col min="6726" max="6726" width="100.90625" style="44" bestFit="1" customWidth="1"/>
    <col min="6727" max="6729" width="64.54296875" style="44" bestFit="1" customWidth="1"/>
    <col min="6730" max="6731" width="82.7265625" style="44" bestFit="1" customWidth="1"/>
    <col min="6732" max="6732" width="99.453125" style="44" bestFit="1" customWidth="1"/>
    <col min="6733" max="6733" width="78.1796875" style="44" bestFit="1" customWidth="1"/>
    <col min="6734" max="6734" width="71.36328125" style="44" bestFit="1" customWidth="1"/>
    <col min="6735" max="6735" width="71.26953125" style="44" bestFit="1" customWidth="1"/>
    <col min="6736" max="6739" width="76.453125" style="44" bestFit="1" customWidth="1"/>
    <col min="6740" max="6740" width="70.54296875" style="44" bestFit="1" customWidth="1"/>
    <col min="6741" max="6741" width="63.36328125" style="44" bestFit="1" customWidth="1"/>
    <col min="6742" max="6742" width="97.81640625" style="44" bestFit="1" customWidth="1"/>
    <col min="6743" max="6744" width="73" style="44" bestFit="1" customWidth="1"/>
    <col min="6745" max="6745" width="79" style="44" bestFit="1" customWidth="1"/>
    <col min="6746" max="6746" width="73" style="44" bestFit="1" customWidth="1"/>
    <col min="6747" max="6747" width="82.1796875" style="44" bestFit="1" customWidth="1"/>
    <col min="6748" max="6748" width="61.453125" style="44" bestFit="1" customWidth="1"/>
    <col min="6749" max="6750" width="99.90625" style="44" bestFit="1" customWidth="1"/>
    <col min="6751" max="6751" width="100.36328125" style="44" bestFit="1" customWidth="1"/>
    <col min="6752" max="6752" width="84.453125" style="44" bestFit="1" customWidth="1"/>
    <col min="6753" max="6753" width="113.36328125" style="44" bestFit="1" customWidth="1"/>
    <col min="6754" max="6754" width="98.453125" style="44" bestFit="1" customWidth="1"/>
    <col min="6755" max="6755" width="99.7265625" style="44" bestFit="1" customWidth="1"/>
    <col min="6756" max="6756" width="99.54296875" style="44" bestFit="1" customWidth="1"/>
    <col min="6757" max="6757" width="96.81640625" style="44" bestFit="1" customWidth="1"/>
    <col min="6758" max="6758" width="94.08984375" style="44" bestFit="1" customWidth="1"/>
    <col min="6759" max="6759" width="100.453125" style="44" bestFit="1" customWidth="1"/>
    <col min="6760" max="6760" width="98.6328125" style="44" bestFit="1" customWidth="1"/>
    <col min="6761" max="6761" width="77.453125" style="44" bestFit="1" customWidth="1"/>
    <col min="6762" max="6762" width="95.1796875" style="44" bestFit="1" customWidth="1"/>
    <col min="6763" max="6763" width="86.6328125" style="44" bestFit="1" customWidth="1"/>
    <col min="6764" max="6764" width="77.26953125" style="44" bestFit="1" customWidth="1"/>
    <col min="6765" max="6765" width="85.1796875" style="44" bestFit="1" customWidth="1"/>
    <col min="6766" max="6766" width="74.7265625" style="44" bestFit="1" customWidth="1"/>
    <col min="6767" max="6767" width="92" style="44" bestFit="1" customWidth="1"/>
    <col min="6768" max="6768" width="72.26953125" style="44" bestFit="1" customWidth="1"/>
    <col min="6769" max="6769" width="97.08984375" style="44" bestFit="1" customWidth="1"/>
    <col min="6770" max="6770" width="77.08984375" style="44" bestFit="1" customWidth="1"/>
    <col min="6771" max="6771" width="85.08984375" style="44" bestFit="1" customWidth="1"/>
    <col min="6772" max="6773" width="83.1796875" style="44" bestFit="1" customWidth="1"/>
    <col min="6774" max="6774" width="82.6328125" style="44" bestFit="1" customWidth="1"/>
    <col min="6775" max="6775" width="86.26953125" style="44" bestFit="1" customWidth="1"/>
    <col min="6776" max="6776" width="71.1796875" style="44" bestFit="1" customWidth="1"/>
    <col min="6777" max="6777" width="66.6328125" style="44" bestFit="1" customWidth="1"/>
    <col min="6778" max="6779" width="83.1796875" style="44" bestFit="1" customWidth="1"/>
    <col min="6780" max="6780" width="67.08984375" style="44" bestFit="1" customWidth="1"/>
    <col min="6781" max="6781" width="76.54296875" style="44" bestFit="1" customWidth="1"/>
    <col min="6782" max="6782" width="94.08984375" style="44" bestFit="1" customWidth="1"/>
    <col min="6783" max="6783" width="89.08984375" style="44" bestFit="1" customWidth="1"/>
    <col min="6784" max="6784" width="68.1796875" style="44" bestFit="1" customWidth="1"/>
    <col min="6785" max="6785" width="91.7265625" style="44" bestFit="1" customWidth="1"/>
    <col min="6786" max="6786" width="63.36328125" style="44" bestFit="1" customWidth="1"/>
    <col min="6787" max="6787" width="66.6328125" style="44" bestFit="1" customWidth="1"/>
    <col min="6788" max="6788" width="63.36328125" style="44" bestFit="1" customWidth="1"/>
    <col min="6789" max="6789" width="63.453125" style="44" bestFit="1" customWidth="1"/>
    <col min="6790" max="6790" width="87.54296875" style="44" bestFit="1" customWidth="1"/>
    <col min="6791" max="6791" width="93.81640625" style="44" bestFit="1" customWidth="1"/>
    <col min="6792" max="6792" width="66.453125" style="44" bestFit="1" customWidth="1"/>
    <col min="6793" max="6794" width="110" style="44" bestFit="1" customWidth="1"/>
    <col min="6795" max="6795" width="103.1796875" style="44" bestFit="1" customWidth="1"/>
    <col min="6796" max="6796" width="62.453125" style="44" bestFit="1" customWidth="1"/>
    <col min="6797" max="6797" width="77.453125" style="44" bestFit="1" customWidth="1"/>
    <col min="6798" max="6798" width="91.54296875" style="44" bestFit="1" customWidth="1"/>
    <col min="6799" max="6799" width="88.08984375" style="44" bestFit="1" customWidth="1"/>
    <col min="6800" max="6800" width="80.6328125" style="44" bestFit="1" customWidth="1"/>
    <col min="6801" max="6801" width="77.453125" style="44" bestFit="1" customWidth="1"/>
    <col min="6802" max="6802" width="85.1796875" style="44" bestFit="1" customWidth="1"/>
    <col min="6803" max="6806" width="72.36328125" style="44" bestFit="1" customWidth="1"/>
    <col min="6807" max="6808" width="95" style="44" bestFit="1" customWidth="1"/>
    <col min="6809" max="6809" width="64.08984375" style="44" bestFit="1" customWidth="1"/>
    <col min="6810" max="6810" width="110.08984375" style="44" bestFit="1" customWidth="1"/>
    <col min="6811" max="6811" width="86.36328125" style="44" bestFit="1" customWidth="1"/>
    <col min="6812" max="6812" width="89.36328125" style="44" bestFit="1" customWidth="1"/>
    <col min="6813" max="6813" width="89.81640625" style="44" bestFit="1" customWidth="1"/>
    <col min="6814" max="6814" width="64.26953125" style="44" bestFit="1" customWidth="1"/>
    <col min="6815" max="6815" width="85.7265625" style="44" bestFit="1" customWidth="1"/>
    <col min="6816" max="6816" width="73" style="44" bestFit="1" customWidth="1"/>
    <col min="6817" max="6817" width="92.7265625" style="44" bestFit="1" customWidth="1"/>
    <col min="6818" max="6818" width="92.36328125" style="44" bestFit="1" customWidth="1"/>
    <col min="6819" max="6819" width="72" style="44" bestFit="1" customWidth="1"/>
    <col min="6820" max="6820" width="82" style="44" bestFit="1" customWidth="1"/>
    <col min="6821" max="6821" width="79.36328125" style="44" bestFit="1" customWidth="1"/>
    <col min="6822" max="6822" width="81" style="44" bestFit="1" customWidth="1"/>
    <col min="6823" max="6823" width="72.90625" style="44" bestFit="1" customWidth="1"/>
    <col min="6824" max="6824" width="90.81640625" style="44" bestFit="1" customWidth="1"/>
    <col min="6825" max="6825" width="84" style="44" bestFit="1" customWidth="1"/>
    <col min="6826" max="6827" width="73.36328125" style="44" bestFit="1" customWidth="1"/>
    <col min="6828" max="6828" width="90.6328125" style="44" bestFit="1" customWidth="1"/>
    <col min="6829" max="6829" width="89.453125" style="44" bestFit="1" customWidth="1"/>
    <col min="6830" max="6830" width="84.6328125" style="44" bestFit="1" customWidth="1"/>
    <col min="6831" max="6831" width="74.54296875" style="44" bestFit="1" customWidth="1"/>
    <col min="6832" max="6832" width="76.90625" style="44" bestFit="1" customWidth="1"/>
    <col min="6833" max="6833" width="83" style="44" bestFit="1" customWidth="1"/>
    <col min="6834" max="6834" width="85.81640625" style="44" bestFit="1" customWidth="1"/>
    <col min="6835" max="6835" width="83.7265625" style="44" bestFit="1" customWidth="1"/>
    <col min="6836" max="6836" width="79.54296875" style="44" bestFit="1" customWidth="1"/>
    <col min="6837" max="6837" width="80.54296875" style="44" bestFit="1" customWidth="1"/>
    <col min="6838" max="6838" width="89.54296875" style="44" bestFit="1" customWidth="1"/>
    <col min="6839" max="6839" width="85.36328125" style="44" bestFit="1" customWidth="1"/>
    <col min="6840" max="6840" width="61.6328125" style="44" bestFit="1" customWidth="1"/>
    <col min="6841" max="6841" width="132.54296875" style="44" bestFit="1" customWidth="1"/>
    <col min="6842" max="6842" width="93.1796875" style="44" bestFit="1" customWidth="1"/>
    <col min="6843" max="6843" width="91.08984375" style="44" bestFit="1" customWidth="1"/>
    <col min="6844" max="6844" width="81.7265625" style="44" bestFit="1" customWidth="1"/>
    <col min="6845" max="6846" width="80.90625" style="44" bestFit="1" customWidth="1"/>
    <col min="6847" max="6847" width="83.26953125" style="44" bestFit="1" customWidth="1"/>
    <col min="6848" max="6848" width="101.453125" style="44" bestFit="1" customWidth="1"/>
    <col min="6849" max="6849" width="110.1796875" style="44" bestFit="1" customWidth="1"/>
    <col min="6850" max="6850" width="74.6328125" style="44" bestFit="1" customWidth="1"/>
    <col min="6851" max="6854" width="84.54296875" style="44" bestFit="1" customWidth="1"/>
    <col min="6855" max="6855" width="74.36328125" style="44" bestFit="1" customWidth="1"/>
    <col min="6856" max="6856" width="88.1796875" style="44" bestFit="1" customWidth="1"/>
    <col min="6857" max="6857" width="78.6328125" style="44" bestFit="1" customWidth="1"/>
    <col min="6858" max="6858" width="76.81640625" style="44" bestFit="1" customWidth="1"/>
    <col min="6859" max="6859" width="74.7265625" style="44" bestFit="1" customWidth="1"/>
    <col min="6860" max="6860" width="87.26953125" style="44" bestFit="1" customWidth="1"/>
    <col min="6861" max="6861" width="85.54296875" style="44" bestFit="1" customWidth="1"/>
    <col min="6862" max="6862" width="100.26953125" style="44" bestFit="1" customWidth="1"/>
    <col min="6863" max="6863" width="71.36328125" style="44" bestFit="1" customWidth="1"/>
    <col min="6864" max="6864" width="105.453125" style="44" bestFit="1" customWidth="1"/>
    <col min="6865" max="6865" width="103.08984375" style="44" bestFit="1" customWidth="1"/>
    <col min="6866" max="6866" width="85.7265625" style="44" bestFit="1" customWidth="1"/>
    <col min="6867" max="6867" width="99.26953125" style="44" bestFit="1" customWidth="1"/>
    <col min="6868" max="6868" width="83.54296875" style="44" bestFit="1" customWidth="1"/>
    <col min="6869" max="6869" width="96.90625" style="44" bestFit="1" customWidth="1"/>
    <col min="6870" max="6870" width="74.26953125" style="44" bestFit="1" customWidth="1"/>
    <col min="6871" max="6871" width="98.36328125" style="44" bestFit="1" customWidth="1"/>
    <col min="6872" max="6872" width="74.453125" style="44" bestFit="1" customWidth="1"/>
    <col min="6873" max="6873" width="88.81640625" style="44" bestFit="1" customWidth="1"/>
    <col min="6874" max="6874" width="67.6328125" style="44" bestFit="1" customWidth="1"/>
    <col min="6875" max="6875" width="93.08984375" style="44" bestFit="1" customWidth="1"/>
    <col min="6876" max="6876" width="101.453125" style="44" bestFit="1" customWidth="1"/>
    <col min="6877" max="6879" width="76.81640625" style="44" bestFit="1" customWidth="1"/>
    <col min="6880" max="6880" width="87.08984375" style="44" bestFit="1" customWidth="1"/>
    <col min="6881" max="6881" width="72.453125" style="44" bestFit="1" customWidth="1"/>
    <col min="6882" max="6882" width="87.81640625" style="44" bestFit="1" customWidth="1"/>
    <col min="6883" max="6883" width="71.7265625" style="44" bestFit="1" customWidth="1"/>
    <col min="6884" max="6884" width="74" style="44" bestFit="1" customWidth="1"/>
    <col min="6885" max="6885" width="74.08984375" style="44" bestFit="1" customWidth="1"/>
    <col min="6886" max="6888" width="86.81640625" style="44" bestFit="1" customWidth="1"/>
    <col min="6889" max="6889" width="104.7265625" style="44" bestFit="1" customWidth="1"/>
    <col min="6890" max="6890" width="101.81640625" style="44" bestFit="1" customWidth="1"/>
    <col min="6891" max="6891" width="64.453125" style="44" bestFit="1" customWidth="1"/>
    <col min="6892" max="6892" width="65.1796875" style="44" bestFit="1" customWidth="1"/>
    <col min="6893" max="6893" width="72.453125" style="44" bestFit="1" customWidth="1"/>
    <col min="6894" max="6894" width="81.36328125" style="44" bestFit="1" customWidth="1"/>
    <col min="6895" max="6895" width="65.1796875" style="44" bestFit="1" customWidth="1"/>
    <col min="6896" max="6896" width="80.90625" style="44" bestFit="1" customWidth="1"/>
    <col min="6897" max="6897" width="71.7265625" style="44" bestFit="1" customWidth="1"/>
    <col min="6898" max="6898" width="73.6328125" style="44" bestFit="1" customWidth="1"/>
    <col min="6899" max="6900" width="85.36328125" style="44" bestFit="1" customWidth="1"/>
    <col min="6901" max="6901" width="92.26953125" style="44" bestFit="1" customWidth="1"/>
    <col min="6902" max="6902" width="106.1796875" style="44" bestFit="1" customWidth="1"/>
    <col min="6903" max="6903" width="86.6328125" style="44" bestFit="1" customWidth="1"/>
    <col min="6904" max="6905" width="68.90625" style="44" bestFit="1" customWidth="1"/>
    <col min="6906" max="6906" width="80.54296875" style="44" bestFit="1" customWidth="1"/>
    <col min="6907" max="6907" width="68.90625" style="44" bestFit="1" customWidth="1"/>
    <col min="6908" max="6908" width="79.1796875" style="44" bestFit="1" customWidth="1"/>
    <col min="6909" max="6909" width="79.26953125" style="44" bestFit="1" customWidth="1"/>
    <col min="6910" max="6910" width="80.1796875" style="44" bestFit="1" customWidth="1"/>
    <col min="6911" max="6911" width="84.81640625" style="44" bestFit="1" customWidth="1"/>
    <col min="6912" max="6912" width="76.81640625" style="44" bestFit="1" customWidth="1"/>
    <col min="6913" max="6913" width="7.90625" style="44" bestFit="1" customWidth="1"/>
    <col min="6914" max="6914" width="132.54296875" style="44" bestFit="1" customWidth="1"/>
    <col min="6915" max="6915" width="45.36328125" style="44" bestFit="1" customWidth="1"/>
    <col min="6916" max="6916" width="14.08984375" style="44" bestFit="1" customWidth="1"/>
    <col min="6917" max="6918" width="8.7265625" style="44"/>
    <col min="6919" max="6919" width="49.7265625" style="44" bestFit="1" customWidth="1"/>
    <col min="6920" max="6920" width="7.90625" style="44" bestFit="1" customWidth="1"/>
    <col min="6921" max="6921" width="7.81640625" style="44" bestFit="1" customWidth="1"/>
    <col min="6922" max="6933" width="8.81640625" style="44" bestFit="1" customWidth="1"/>
    <col min="6934" max="6934" width="10.81640625" style="44" bestFit="1" customWidth="1"/>
    <col min="6935" max="6935" width="93.36328125" style="44" bestFit="1" customWidth="1"/>
    <col min="6936" max="6936" width="87.6328125" style="44" bestFit="1" customWidth="1"/>
    <col min="6937" max="6937" width="69.26953125" style="44" bestFit="1" customWidth="1"/>
    <col min="6938" max="6938" width="68.54296875" style="44" bestFit="1" customWidth="1"/>
    <col min="6939" max="6939" width="67.6328125" style="44" bestFit="1" customWidth="1"/>
    <col min="6940" max="6940" width="64" style="44" bestFit="1" customWidth="1"/>
    <col min="6941" max="6941" width="43.81640625" style="44" bestFit="1" customWidth="1"/>
    <col min="6942" max="6942" width="39.81640625" style="44" bestFit="1" customWidth="1"/>
    <col min="6943" max="6943" width="85.26953125" style="44" bestFit="1" customWidth="1"/>
    <col min="6944" max="6944" width="84.08984375" style="44" bestFit="1" customWidth="1"/>
    <col min="6945" max="6945" width="91" style="44" bestFit="1" customWidth="1"/>
    <col min="6946" max="6946" width="79" style="44" bestFit="1" customWidth="1"/>
    <col min="6947" max="6947" width="89.90625" style="44" bestFit="1" customWidth="1"/>
    <col min="6948" max="6954" width="90.90625" style="44" bestFit="1" customWidth="1"/>
    <col min="6955" max="6955" width="91.90625" style="44" bestFit="1" customWidth="1"/>
    <col min="6956" max="6956" width="73.08984375" style="44" bestFit="1" customWidth="1"/>
    <col min="6957" max="6957" width="61.1796875" style="44" bestFit="1" customWidth="1"/>
    <col min="6958" max="6958" width="94.1796875" style="44" bestFit="1" customWidth="1"/>
    <col min="6959" max="6959" width="84.453125" style="44" bestFit="1" customWidth="1"/>
    <col min="6960" max="6960" width="86.81640625" style="44" bestFit="1" customWidth="1"/>
    <col min="6961" max="6961" width="90.08984375" style="44" bestFit="1" customWidth="1"/>
    <col min="6962" max="6962" width="86.7265625" style="44" bestFit="1" customWidth="1"/>
    <col min="6963" max="6963" width="87.6328125" style="44" bestFit="1" customWidth="1"/>
    <col min="6964" max="6966" width="97.6328125" style="44" bestFit="1" customWidth="1"/>
    <col min="6967" max="6967" width="72.54296875" style="44" bestFit="1" customWidth="1"/>
    <col min="6968" max="6968" width="73.6328125" style="44" bestFit="1" customWidth="1"/>
    <col min="6969" max="6969" width="58.6328125" style="44" bestFit="1" customWidth="1"/>
    <col min="6970" max="6971" width="74.08984375" style="44" bestFit="1" customWidth="1"/>
    <col min="6972" max="6972" width="75.54296875" style="44" bestFit="1" customWidth="1"/>
    <col min="6973" max="6973" width="92" style="44" bestFit="1" customWidth="1"/>
    <col min="6974" max="6974" width="93.54296875" style="44" bestFit="1" customWidth="1"/>
    <col min="6975" max="6976" width="75.54296875" style="44" bestFit="1" customWidth="1"/>
    <col min="6977" max="6977" width="78.08984375" style="44" bestFit="1" customWidth="1"/>
    <col min="6978" max="6978" width="70" style="44" bestFit="1" customWidth="1"/>
    <col min="6979" max="6979" width="84.81640625" style="44" bestFit="1" customWidth="1"/>
    <col min="6980" max="6980" width="93" style="44" bestFit="1" customWidth="1"/>
    <col min="6981" max="6981" width="83.453125" style="44" bestFit="1" customWidth="1"/>
    <col min="6982" max="6982" width="100.90625" style="44" bestFit="1" customWidth="1"/>
    <col min="6983" max="6985" width="64.54296875" style="44" bestFit="1" customWidth="1"/>
    <col min="6986" max="6987" width="82.7265625" style="44" bestFit="1" customWidth="1"/>
    <col min="6988" max="6988" width="99.453125" style="44" bestFit="1" customWidth="1"/>
    <col min="6989" max="6989" width="78.1796875" style="44" bestFit="1" customWidth="1"/>
    <col min="6990" max="6990" width="71.36328125" style="44" bestFit="1" customWidth="1"/>
    <col min="6991" max="6991" width="71.26953125" style="44" bestFit="1" customWidth="1"/>
    <col min="6992" max="6995" width="76.453125" style="44" bestFit="1" customWidth="1"/>
    <col min="6996" max="6996" width="70.54296875" style="44" bestFit="1" customWidth="1"/>
    <col min="6997" max="6997" width="63.36328125" style="44" bestFit="1" customWidth="1"/>
    <col min="6998" max="6998" width="97.81640625" style="44" bestFit="1" customWidth="1"/>
    <col min="6999" max="7000" width="73" style="44" bestFit="1" customWidth="1"/>
    <col min="7001" max="7001" width="79" style="44" bestFit="1" customWidth="1"/>
    <col min="7002" max="7002" width="73" style="44" bestFit="1" customWidth="1"/>
    <col min="7003" max="7003" width="82.1796875" style="44" bestFit="1" customWidth="1"/>
    <col min="7004" max="7004" width="61.453125" style="44" bestFit="1" customWidth="1"/>
    <col min="7005" max="7006" width="99.90625" style="44" bestFit="1" customWidth="1"/>
    <col min="7007" max="7007" width="100.36328125" style="44" bestFit="1" customWidth="1"/>
    <col min="7008" max="7008" width="84.453125" style="44" bestFit="1" customWidth="1"/>
    <col min="7009" max="7009" width="113.36328125" style="44" bestFit="1" customWidth="1"/>
    <col min="7010" max="7010" width="98.453125" style="44" bestFit="1" customWidth="1"/>
    <col min="7011" max="7011" width="99.7265625" style="44" bestFit="1" customWidth="1"/>
    <col min="7012" max="7012" width="99.54296875" style="44" bestFit="1" customWidth="1"/>
    <col min="7013" max="7013" width="96.81640625" style="44" bestFit="1" customWidth="1"/>
    <col min="7014" max="7014" width="94.08984375" style="44" bestFit="1" customWidth="1"/>
    <col min="7015" max="7015" width="100.453125" style="44" bestFit="1" customWidth="1"/>
    <col min="7016" max="7016" width="98.6328125" style="44" bestFit="1" customWidth="1"/>
    <col min="7017" max="7017" width="77.453125" style="44" bestFit="1" customWidth="1"/>
    <col min="7018" max="7018" width="95.1796875" style="44" bestFit="1" customWidth="1"/>
    <col min="7019" max="7019" width="86.6328125" style="44" bestFit="1" customWidth="1"/>
    <col min="7020" max="7020" width="77.26953125" style="44" bestFit="1" customWidth="1"/>
    <col min="7021" max="7021" width="85.1796875" style="44" bestFit="1" customWidth="1"/>
    <col min="7022" max="7022" width="74.7265625" style="44" bestFit="1" customWidth="1"/>
    <col min="7023" max="7023" width="92" style="44" bestFit="1" customWidth="1"/>
    <col min="7024" max="7024" width="72.26953125" style="44" bestFit="1" customWidth="1"/>
    <col min="7025" max="7025" width="97.08984375" style="44" bestFit="1" customWidth="1"/>
    <col min="7026" max="7026" width="77.08984375" style="44" bestFit="1" customWidth="1"/>
    <col min="7027" max="7027" width="85.08984375" style="44" bestFit="1" customWidth="1"/>
    <col min="7028" max="7029" width="83.1796875" style="44" bestFit="1" customWidth="1"/>
    <col min="7030" max="7030" width="82.6328125" style="44" bestFit="1" customWidth="1"/>
    <col min="7031" max="7031" width="86.26953125" style="44" bestFit="1" customWidth="1"/>
    <col min="7032" max="7032" width="71.1796875" style="44" bestFit="1" customWidth="1"/>
    <col min="7033" max="7033" width="66.6328125" style="44" bestFit="1" customWidth="1"/>
    <col min="7034" max="7035" width="83.1796875" style="44" bestFit="1" customWidth="1"/>
    <col min="7036" max="7036" width="67.08984375" style="44" bestFit="1" customWidth="1"/>
    <col min="7037" max="7037" width="76.54296875" style="44" bestFit="1" customWidth="1"/>
    <col min="7038" max="7038" width="94.08984375" style="44" bestFit="1" customWidth="1"/>
    <col min="7039" max="7039" width="89.08984375" style="44" bestFit="1" customWidth="1"/>
    <col min="7040" max="7040" width="68.1796875" style="44" bestFit="1" customWidth="1"/>
    <col min="7041" max="7041" width="91.7265625" style="44" bestFit="1" customWidth="1"/>
    <col min="7042" max="7042" width="63.36328125" style="44" bestFit="1" customWidth="1"/>
    <col min="7043" max="7043" width="66.6328125" style="44" bestFit="1" customWidth="1"/>
    <col min="7044" max="7044" width="63.36328125" style="44" bestFit="1" customWidth="1"/>
    <col min="7045" max="7045" width="63.453125" style="44" bestFit="1" customWidth="1"/>
    <col min="7046" max="7046" width="87.54296875" style="44" bestFit="1" customWidth="1"/>
    <col min="7047" max="7047" width="93.81640625" style="44" bestFit="1" customWidth="1"/>
    <col min="7048" max="7048" width="66.453125" style="44" bestFit="1" customWidth="1"/>
    <col min="7049" max="7050" width="110" style="44" bestFit="1" customWidth="1"/>
    <col min="7051" max="7051" width="103.1796875" style="44" bestFit="1" customWidth="1"/>
    <col min="7052" max="7052" width="62.453125" style="44" bestFit="1" customWidth="1"/>
    <col min="7053" max="7053" width="77.453125" style="44" bestFit="1" customWidth="1"/>
    <col min="7054" max="7054" width="91.54296875" style="44" bestFit="1" customWidth="1"/>
    <col min="7055" max="7055" width="88.08984375" style="44" bestFit="1" customWidth="1"/>
    <col min="7056" max="7056" width="80.6328125" style="44" bestFit="1" customWidth="1"/>
    <col min="7057" max="7057" width="77.453125" style="44" bestFit="1" customWidth="1"/>
    <col min="7058" max="7058" width="85.1796875" style="44" bestFit="1" customWidth="1"/>
    <col min="7059" max="7062" width="72.36328125" style="44" bestFit="1" customWidth="1"/>
    <col min="7063" max="7064" width="95" style="44" bestFit="1" customWidth="1"/>
    <col min="7065" max="7065" width="64.08984375" style="44" bestFit="1" customWidth="1"/>
    <col min="7066" max="7066" width="110.08984375" style="44" bestFit="1" customWidth="1"/>
    <col min="7067" max="7067" width="86.36328125" style="44" bestFit="1" customWidth="1"/>
    <col min="7068" max="7068" width="89.36328125" style="44" bestFit="1" customWidth="1"/>
    <col min="7069" max="7069" width="89.81640625" style="44" bestFit="1" customWidth="1"/>
    <col min="7070" max="7070" width="64.26953125" style="44" bestFit="1" customWidth="1"/>
    <col min="7071" max="7071" width="85.7265625" style="44" bestFit="1" customWidth="1"/>
    <col min="7072" max="7072" width="73" style="44" bestFit="1" customWidth="1"/>
    <col min="7073" max="7073" width="92.7265625" style="44" bestFit="1" customWidth="1"/>
    <col min="7074" max="7074" width="92.36328125" style="44" bestFit="1" customWidth="1"/>
    <col min="7075" max="7075" width="72" style="44" bestFit="1" customWidth="1"/>
    <col min="7076" max="7076" width="82" style="44" bestFit="1" customWidth="1"/>
    <col min="7077" max="7077" width="79.36328125" style="44" bestFit="1" customWidth="1"/>
    <col min="7078" max="7078" width="81" style="44" bestFit="1" customWidth="1"/>
    <col min="7079" max="7079" width="72.90625" style="44" bestFit="1" customWidth="1"/>
    <col min="7080" max="7080" width="90.81640625" style="44" bestFit="1" customWidth="1"/>
    <col min="7081" max="7081" width="84" style="44" bestFit="1" customWidth="1"/>
    <col min="7082" max="7083" width="73.36328125" style="44" bestFit="1" customWidth="1"/>
    <col min="7084" max="7084" width="90.6328125" style="44" bestFit="1" customWidth="1"/>
    <col min="7085" max="7085" width="89.453125" style="44" bestFit="1" customWidth="1"/>
    <col min="7086" max="7086" width="84.6328125" style="44" bestFit="1" customWidth="1"/>
    <col min="7087" max="7087" width="74.54296875" style="44" bestFit="1" customWidth="1"/>
    <col min="7088" max="7088" width="76.90625" style="44" bestFit="1" customWidth="1"/>
    <col min="7089" max="7089" width="83" style="44" bestFit="1" customWidth="1"/>
    <col min="7090" max="7090" width="85.81640625" style="44" bestFit="1" customWidth="1"/>
    <col min="7091" max="7091" width="83.7265625" style="44" bestFit="1" customWidth="1"/>
    <col min="7092" max="7092" width="79.54296875" style="44" bestFit="1" customWidth="1"/>
    <col min="7093" max="7093" width="80.54296875" style="44" bestFit="1" customWidth="1"/>
    <col min="7094" max="7094" width="89.54296875" style="44" bestFit="1" customWidth="1"/>
    <col min="7095" max="7095" width="85.36328125" style="44" bestFit="1" customWidth="1"/>
    <col min="7096" max="7096" width="61.6328125" style="44" bestFit="1" customWidth="1"/>
    <col min="7097" max="7097" width="132.54296875" style="44" bestFit="1" customWidth="1"/>
    <col min="7098" max="7098" width="93.1796875" style="44" bestFit="1" customWidth="1"/>
    <col min="7099" max="7099" width="91.08984375" style="44" bestFit="1" customWidth="1"/>
    <col min="7100" max="7100" width="81.7265625" style="44" bestFit="1" customWidth="1"/>
    <col min="7101" max="7102" width="80.90625" style="44" bestFit="1" customWidth="1"/>
    <col min="7103" max="7103" width="83.26953125" style="44" bestFit="1" customWidth="1"/>
    <col min="7104" max="7104" width="101.453125" style="44" bestFit="1" customWidth="1"/>
    <col min="7105" max="7105" width="110.1796875" style="44" bestFit="1" customWidth="1"/>
    <col min="7106" max="7106" width="74.6328125" style="44" bestFit="1" customWidth="1"/>
    <col min="7107" max="7110" width="84.54296875" style="44" bestFit="1" customWidth="1"/>
    <col min="7111" max="7111" width="74.36328125" style="44" bestFit="1" customWidth="1"/>
    <col min="7112" max="7112" width="88.1796875" style="44" bestFit="1" customWidth="1"/>
    <col min="7113" max="7113" width="78.6328125" style="44" bestFit="1" customWidth="1"/>
    <col min="7114" max="7114" width="76.81640625" style="44" bestFit="1" customWidth="1"/>
    <col min="7115" max="7115" width="74.7265625" style="44" bestFit="1" customWidth="1"/>
    <col min="7116" max="7116" width="87.26953125" style="44" bestFit="1" customWidth="1"/>
    <col min="7117" max="7117" width="85.54296875" style="44" bestFit="1" customWidth="1"/>
    <col min="7118" max="7118" width="100.26953125" style="44" bestFit="1" customWidth="1"/>
    <col min="7119" max="7119" width="71.36328125" style="44" bestFit="1" customWidth="1"/>
    <col min="7120" max="7120" width="105.453125" style="44" bestFit="1" customWidth="1"/>
    <col min="7121" max="7121" width="103.08984375" style="44" bestFit="1" customWidth="1"/>
    <col min="7122" max="7122" width="85.7265625" style="44" bestFit="1" customWidth="1"/>
    <col min="7123" max="7123" width="99.26953125" style="44" bestFit="1" customWidth="1"/>
    <col min="7124" max="7124" width="83.54296875" style="44" bestFit="1" customWidth="1"/>
    <col min="7125" max="7125" width="96.90625" style="44" bestFit="1" customWidth="1"/>
    <col min="7126" max="7126" width="74.26953125" style="44" bestFit="1" customWidth="1"/>
    <col min="7127" max="7127" width="98.36328125" style="44" bestFit="1" customWidth="1"/>
    <col min="7128" max="7128" width="74.453125" style="44" bestFit="1" customWidth="1"/>
    <col min="7129" max="7129" width="88.81640625" style="44" bestFit="1" customWidth="1"/>
    <col min="7130" max="7130" width="67.6328125" style="44" bestFit="1" customWidth="1"/>
    <col min="7131" max="7131" width="93.08984375" style="44" bestFit="1" customWidth="1"/>
    <col min="7132" max="7132" width="101.453125" style="44" bestFit="1" customWidth="1"/>
    <col min="7133" max="7135" width="76.81640625" style="44" bestFit="1" customWidth="1"/>
    <col min="7136" max="7136" width="87.08984375" style="44" bestFit="1" customWidth="1"/>
    <col min="7137" max="7137" width="72.453125" style="44" bestFit="1" customWidth="1"/>
    <col min="7138" max="7138" width="87.81640625" style="44" bestFit="1" customWidth="1"/>
    <col min="7139" max="7139" width="71.7265625" style="44" bestFit="1" customWidth="1"/>
    <col min="7140" max="7140" width="74" style="44" bestFit="1" customWidth="1"/>
    <col min="7141" max="7141" width="74.08984375" style="44" bestFit="1" customWidth="1"/>
    <col min="7142" max="7144" width="86.81640625" style="44" bestFit="1" customWidth="1"/>
    <col min="7145" max="7145" width="104.7265625" style="44" bestFit="1" customWidth="1"/>
    <col min="7146" max="7146" width="101.81640625" style="44" bestFit="1" customWidth="1"/>
    <col min="7147" max="7147" width="64.453125" style="44" bestFit="1" customWidth="1"/>
    <col min="7148" max="7148" width="65.1796875" style="44" bestFit="1" customWidth="1"/>
    <col min="7149" max="7149" width="72.453125" style="44" bestFit="1" customWidth="1"/>
    <col min="7150" max="7150" width="81.36328125" style="44" bestFit="1" customWidth="1"/>
    <col min="7151" max="7151" width="65.1796875" style="44" bestFit="1" customWidth="1"/>
    <col min="7152" max="7152" width="80.90625" style="44" bestFit="1" customWidth="1"/>
    <col min="7153" max="7153" width="71.7265625" style="44" bestFit="1" customWidth="1"/>
    <col min="7154" max="7154" width="73.6328125" style="44" bestFit="1" customWidth="1"/>
    <col min="7155" max="7156" width="85.36328125" style="44" bestFit="1" customWidth="1"/>
    <col min="7157" max="7157" width="92.26953125" style="44" bestFit="1" customWidth="1"/>
    <col min="7158" max="7158" width="106.1796875" style="44" bestFit="1" customWidth="1"/>
    <col min="7159" max="7159" width="86.6328125" style="44" bestFit="1" customWidth="1"/>
    <col min="7160" max="7161" width="68.90625" style="44" bestFit="1" customWidth="1"/>
    <col min="7162" max="7162" width="80.54296875" style="44" bestFit="1" customWidth="1"/>
    <col min="7163" max="7163" width="68.90625" style="44" bestFit="1" customWidth="1"/>
    <col min="7164" max="7164" width="79.1796875" style="44" bestFit="1" customWidth="1"/>
    <col min="7165" max="7165" width="79.26953125" style="44" bestFit="1" customWidth="1"/>
    <col min="7166" max="7166" width="80.1796875" style="44" bestFit="1" customWidth="1"/>
    <col min="7167" max="7167" width="84.81640625" style="44" bestFit="1" customWidth="1"/>
    <col min="7168" max="7168" width="76.81640625" style="44" bestFit="1" customWidth="1"/>
    <col min="7169" max="7169" width="7.90625" style="44" bestFit="1" customWidth="1"/>
    <col min="7170" max="7170" width="132.54296875" style="44" bestFit="1" customWidth="1"/>
    <col min="7171" max="7171" width="45.36328125" style="44" bestFit="1" customWidth="1"/>
    <col min="7172" max="7172" width="14.08984375" style="44" bestFit="1" customWidth="1"/>
    <col min="7173" max="7174" width="8.7265625" style="44"/>
    <col min="7175" max="7175" width="49.7265625" style="44" bestFit="1" customWidth="1"/>
    <col min="7176" max="7176" width="7.90625" style="44" bestFit="1" customWidth="1"/>
    <col min="7177" max="7177" width="7.81640625" style="44" bestFit="1" customWidth="1"/>
    <col min="7178" max="7189" width="8.81640625" style="44" bestFit="1" customWidth="1"/>
    <col min="7190" max="7190" width="10.81640625" style="44" bestFit="1" customWidth="1"/>
    <col min="7191" max="7191" width="93.36328125" style="44" bestFit="1" customWidth="1"/>
    <col min="7192" max="7192" width="87.6328125" style="44" bestFit="1" customWidth="1"/>
    <col min="7193" max="7193" width="69.26953125" style="44" bestFit="1" customWidth="1"/>
    <col min="7194" max="7194" width="68.54296875" style="44" bestFit="1" customWidth="1"/>
    <col min="7195" max="7195" width="67.6328125" style="44" bestFit="1" customWidth="1"/>
    <col min="7196" max="7196" width="64" style="44" bestFit="1" customWidth="1"/>
    <col min="7197" max="7197" width="43.81640625" style="44" bestFit="1" customWidth="1"/>
    <col min="7198" max="7198" width="39.81640625" style="44" bestFit="1" customWidth="1"/>
    <col min="7199" max="7199" width="85.26953125" style="44" bestFit="1" customWidth="1"/>
    <col min="7200" max="7200" width="84.08984375" style="44" bestFit="1" customWidth="1"/>
    <col min="7201" max="7201" width="91" style="44" bestFit="1" customWidth="1"/>
    <col min="7202" max="7202" width="79" style="44" bestFit="1" customWidth="1"/>
    <col min="7203" max="7203" width="89.90625" style="44" bestFit="1" customWidth="1"/>
    <col min="7204" max="7210" width="90.90625" style="44" bestFit="1" customWidth="1"/>
    <col min="7211" max="7211" width="91.90625" style="44" bestFit="1" customWidth="1"/>
    <col min="7212" max="7212" width="73.08984375" style="44" bestFit="1" customWidth="1"/>
    <col min="7213" max="7213" width="61.1796875" style="44" bestFit="1" customWidth="1"/>
    <col min="7214" max="7214" width="94.1796875" style="44" bestFit="1" customWidth="1"/>
    <col min="7215" max="7215" width="84.453125" style="44" bestFit="1" customWidth="1"/>
    <col min="7216" max="7216" width="86.81640625" style="44" bestFit="1" customWidth="1"/>
    <col min="7217" max="7217" width="90.08984375" style="44" bestFit="1" customWidth="1"/>
    <col min="7218" max="7218" width="86.7265625" style="44" bestFit="1" customWidth="1"/>
    <col min="7219" max="7219" width="87.6328125" style="44" bestFit="1" customWidth="1"/>
    <col min="7220" max="7222" width="97.6328125" style="44" bestFit="1" customWidth="1"/>
    <col min="7223" max="7223" width="72.54296875" style="44" bestFit="1" customWidth="1"/>
    <col min="7224" max="7224" width="73.6328125" style="44" bestFit="1" customWidth="1"/>
    <col min="7225" max="7225" width="58.6328125" style="44" bestFit="1" customWidth="1"/>
    <col min="7226" max="7227" width="74.08984375" style="44" bestFit="1" customWidth="1"/>
    <col min="7228" max="7228" width="75.54296875" style="44" bestFit="1" customWidth="1"/>
    <col min="7229" max="7229" width="92" style="44" bestFit="1" customWidth="1"/>
    <col min="7230" max="7230" width="93.54296875" style="44" bestFit="1" customWidth="1"/>
    <col min="7231" max="7232" width="75.54296875" style="44" bestFit="1" customWidth="1"/>
    <col min="7233" max="7233" width="78.08984375" style="44" bestFit="1" customWidth="1"/>
    <col min="7234" max="7234" width="70" style="44" bestFit="1" customWidth="1"/>
    <col min="7235" max="7235" width="84.81640625" style="44" bestFit="1" customWidth="1"/>
    <col min="7236" max="7236" width="93" style="44" bestFit="1" customWidth="1"/>
    <col min="7237" max="7237" width="83.453125" style="44" bestFit="1" customWidth="1"/>
    <col min="7238" max="7238" width="100.90625" style="44" bestFit="1" customWidth="1"/>
    <col min="7239" max="7241" width="64.54296875" style="44" bestFit="1" customWidth="1"/>
    <col min="7242" max="7243" width="82.7265625" style="44" bestFit="1" customWidth="1"/>
    <col min="7244" max="7244" width="99.453125" style="44" bestFit="1" customWidth="1"/>
    <col min="7245" max="7245" width="78.1796875" style="44" bestFit="1" customWidth="1"/>
    <col min="7246" max="7246" width="71.36328125" style="44" bestFit="1" customWidth="1"/>
    <col min="7247" max="7247" width="71.26953125" style="44" bestFit="1" customWidth="1"/>
    <col min="7248" max="7251" width="76.453125" style="44" bestFit="1" customWidth="1"/>
    <col min="7252" max="7252" width="70.54296875" style="44" bestFit="1" customWidth="1"/>
    <col min="7253" max="7253" width="63.36328125" style="44" bestFit="1" customWidth="1"/>
    <col min="7254" max="7254" width="97.81640625" style="44" bestFit="1" customWidth="1"/>
    <col min="7255" max="7256" width="73" style="44" bestFit="1" customWidth="1"/>
    <col min="7257" max="7257" width="79" style="44" bestFit="1" customWidth="1"/>
    <col min="7258" max="7258" width="73" style="44" bestFit="1" customWidth="1"/>
    <col min="7259" max="7259" width="82.1796875" style="44" bestFit="1" customWidth="1"/>
    <col min="7260" max="7260" width="61.453125" style="44" bestFit="1" customWidth="1"/>
    <col min="7261" max="7262" width="99.90625" style="44" bestFit="1" customWidth="1"/>
    <col min="7263" max="7263" width="100.36328125" style="44" bestFit="1" customWidth="1"/>
    <col min="7264" max="7264" width="84.453125" style="44" bestFit="1" customWidth="1"/>
    <col min="7265" max="7265" width="113.36328125" style="44" bestFit="1" customWidth="1"/>
    <col min="7266" max="7266" width="98.453125" style="44" bestFit="1" customWidth="1"/>
    <col min="7267" max="7267" width="99.7265625" style="44" bestFit="1" customWidth="1"/>
    <col min="7268" max="7268" width="99.54296875" style="44" bestFit="1" customWidth="1"/>
    <col min="7269" max="7269" width="96.81640625" style="44" bestFit="1" customWidth="1"/>
    <col min="7270" max="7270" width="94.08984375" style="44" bestFit="1" customWidth="1"/>
    <col min="7271" max="7271" width="100.453125" style="44" bestFit="1" customWidth="1"/>
    <col min="7272" max="7272" width="98.6328125" style="44" bestFit="1" customWidth="1"/>
    <col min="7273" max="7273" width="77.453125" style="44" bestFit="1" customWidth="1"/>
    <col min="7274" max="7274" width="95.1796875" style="44" bestFit="1" customWidth="1"/>
    <col min="7275" max="7275" width="86.6328125" style="44" bestFit="1" customWidth="1"/>
    <col min="7276" max="7276" width="77.26953125" style="44" bestFit="1" customWidth="1"/>
    <col min="7277" max="7277" width="85.1796875" style="44" bestFit="1" customWidth="1"/>
    <col min="7278" max="7278" width="74.7265625" style="44" bestFit="1" customWidth="1"/>
    <col min="7279" max="7279" width="92" style="44" bestFit="1" customWidth="1"/>
    <col min="7280" max="7280" width="72.26953125" style="44" bestFit="1" customWidth="1"/>
    <col min="7281" max="7281" width="97.08984375" style="44" bestFit="1" customWidth="1"/>
    <col min="7282" max="7282" width="77.08984375" style="44" bestFit="1" customWidth="1"/>
    <col min="7283" max="7283" width="85.08984375" style="44" bestFit="1" customWidth="1"/>
    <col min="7284" max="7285" width="83.1796875" style="44" bestFit="1" customWidth="1"/>
    <col min="7286" max="7286" width="82.6328125" style="44" bestFit="1" customWidth="1"/>
    <col min="7287" max="7287" width="86.26953125" style="44" bestFit="1" customWidth="1"/>
    <col min="7288" max="7288" width="71.1796875" style="44" bestFit="1" customWidth="1"/>
    <col min="7289" max="7289" width="66.6328125" style="44" bestFit="1" customWidth="1"/>
    <col min="7290" max="7291" width="83.1796875" style="44" bestFit="1" customWidth="1"/>
    <col min="7292" max="7292" width="67.08984375" style="44" bestFit="1" customWidth="1"/>
    <col min="7293" max="7293" width="76.54296875" style="44" bestFit="1" customWidth="1"/>
    <col min="7294" max="7294" width="94.08984375" style="44" bestFit="1" customWidth="1"/>
    <col min="7295" max="7295" width="89.08984375" style="44" bestFit="1" customWidth="1"/>
    <col min="7296" max="7296" width="68.1796875" style="44" bestFit="1" customWidth="1"/>
    <col min="7297" max="7297" width="91.7265625" style="44" bestFit="1" customWidth="1"/>
    <col min="7298" max="7298" width="63.36328125" style="44" bestFit="1" customWidth="1"/>
    <col min="7299" max="7299" width="66.6328125" style="44" bestFit="1" customWidth="1"/>
    <col min="7300" max="7300" width="63.36328125" style="44" bestFit="1" customWidth="1"/>
    <col min="7301" max="7301" width="63.453125" style="44" bestFit="1" customWidth="1"/>
    <col min="7302" max="7302" width="87.54296875" style="44" bestFit="1" customWidth="1"/>
    <col min="7303" max="7303" width="93.81640625" style="44" bestFit="1" customWidth="1"/>
    <col min="7304" max="7304" width="66.453125" style="44" bestFit="1" customWidth="1"/>
    <col min="7305" max="7306" width="110" style="44" bestFit="1" customWidth="1"/>
    <col min="7307" max="7307" width="103.1796875" style="44" bestFit="1" customWidth="1"/>
    <col min="7308" max="7308" width="62.453125" style="44" bestFit="1" customWidth="1"/>
    <col min="7309" max="7309" width="77.453125" style="44" bestFit="1" customWidth="1"/>
    <col min="7310" max="7310" width="91.54296875" style="44" bestFit="1" customWidth="1"/>
    <col min="7311" max="7311" width="88.08984375" style="44" bestFit="1" customWidth="1"/>
    <col min="7312" max="7312" width="80.6328125" style="44" bestFit="1" customWidth="1"/>
    <col min="7313" max="7313" width="77.453125" style="44" bestFit="1" customWidth="1"/>
    <col min="7314" max="7314" width="85.1796875" style="44" bestFit="1" customWidth="1"/>
    <col min="7315" max="7318" width="72.36328125" style="44" bestFit="1" customWidth="1"/>
    <col min="7319" max="7320" width="95" style="44" bestFit="1" customWidth="1"/>
    <col min="7321" max="7321" width="64.08984375" style="44" bestFit="1" customWidth="1"/>
    <col min="7322" max="7322" width="110.08984375" style="44" bestFit="1" customWidth="1"/>
    <col min="7323" max="7323" width="86.36328125" style="44" bestFit="1" customWidth="1"/>
    <col min="7324" max="7324" width="89.36328125" style="44" bestFit="1" customWidth="1"/>
    <col min="7325" max="7325" width="89.81640625" style="44" bestFit="1" customWidth="1"/>
    <col min="7326" max="7326" width="64.26953125" style="44" bestFit="1" customWidth="1"/>
    <col min="7327" max="7327" width="85.7265625" style="44" bestFit="1" customWidth="1"/>
    <col min="7328" max="7328" width="73" style="44" bestFit="1" customWidth="1"/>
    <col min="7329" max="7329" width="92.7265625" style="44" bestFit="1" customWidth="1"/>
    <col min="7330" max="7330" width="92.36328125" style="44" bestFit="1" customWidth="1"/>
    <col min="7331" max="7331" width="72" style="44" bestFit="1" customWidth="1"/>
    <col min="7332" max="7332" width="82" style="44" bestFit="1" customWidth="1"/>
    <col min="7333" max="7333" width="79.36328125" style="44" bestFit="1" customWidth="1"/>
    <col min="7334" max="7334" width="81" style="44" bestFit="1" customWidth="1"/>
    <col min="7335" max="7335" width="72.90625" style="44" bestFit="1" customWidth="1"/>
    <col min="7336" max="7336" width="90.81640625" style="44" bestFit="1" customWidth="1"/>
    <col min="7337" max="7337" width="84" style="44" bestFit="1" customWidth="1"/>
    <col min="7338" max="7339" width="73.36328125" style="44" bestFit="1" customWidth="1"/>
    <col min="7340" max="7340" width="90.6328125" style="44" bestFit="1" customWidth="1"/>
    <col min="7341" max="7341" width="89.453125" style="44" bestFit="1" customWidth="1"/>
    <col min="7342" max="7342" width="84.6328125" style="44" bestFit="1" customWidth="1"/>
    <col min="7343" max="7343" width="74.54296875" style="44" bestFit="1" customWidth="1"/>
    <col min="7344" max="7344" width="76.90625" style="44" bestFit="1" customWidth="1"/>
    <col min="7345" max="7345" width="83" style="44" bestFit="1" customWidth="1"/>
    <col min="7346" max="7346" width="85.81640625" style="44" bestFit="1" customWidth="1"/>
    <col min="7347" max="7347" width="83.7265625" style="44" bestFit="1" customWidth="1"/>
    <col min="7348" max="7348" width="79.54296875" style="44" bestFit="1" customWidth="1"/>
    <col min="7349" max="7349" width="80.54296875" style="44" bestFit="1" customWidth="1"/>
    <col min="7350" max="7350" width="89.54296875" style="44" bestFit="1" customWidth="1"/>
    <col min="7351" max="7351" width="85.36328125" style="44" bestFit="1" customWidth="1"/>
    <col min="7352" max="7352" width="61.6328125" style="44" bestFit="1" customWidth="1"/>
    <col min="7353" max="7353" width="132.54296875" style="44" bestFit="1" customWidth="1"/>
    <col min="7354" max="7354" width="93.1796875" style="44" bestFit="1" customWidth="1"/>
    <col min="7355" max="7355" width="91.08984375" style="44" bestFit="1" customWidth="1"/>
    <col min="7356" max="7356" width="81.7265625" style="44" bestFit="1" customWidth="1"/>
    <col min="7357" max="7358" width="80.90625" style="44" bestFit="1" customWidth="1"/>
    <col min="7359" max="7359" width="83.26953125" style="44" bestFit="1" customWidth="1"/>
    <col min="7360" max="7360" width="101.453125" style="44" bestFit="1" customWidth="1"/>
    <col min="7361" max="7361" width="110.1796875" style="44" bestFit="1" customWidth="1"/>
    <col min="7362" max="7362" width="74.6328125" style="44" bestFit="1" customWidth="1"/>
    <col min="7363" max="7366" width="84.54296875" style="44" bestFit="1" customWidth="1"/>
    <col min="7367" max="7367" width="74.36328125" style="44" bestFit="1" customWidth="1"/>
    <col min="7368" max="7368" width="88.1796875" style="44" bestFit="1" customWidth="1"/>
    <col min="7369" max="7369" width="78.6328125" style="44" bestFit="1" customWidth="1"/>
    <col min="7370" max="7370" width="76.81640625" style="44" bestFit="1" customWidth="1"/>
    <col min="7371" max="7371" width="74.7265625" style="44" bestFit="1" customWidth="1"/>
    <col min="7372" max="7372" width="87.26953125" style="44" bestFit="1" customWidth="1"/>
    <col min="7373" max="7373" width="85.54296875" style="44" bestFit="1" customWidth="1"/>
    <col min="7374" max="7374" width="100.26953125" style="44" bestFit="1" customWidth="1"/>
    <col min="7375" max="7375" width="71.36328125" style="44" bestFit="1" customWidth="1"/>
    <col min="7376" max="7376" width="105.453125" style="44" bestFit="1" customWidth="1"/>
    <col min="7377" max="7377" width="103.08984375" style="44" bestFit="1" customWidth="1"/>
    <col min="7378" max="7378" width="85.7265625" style="44" bestFit="1" customWidth="1"/>
    <col min="7379" max="7379" width="99.26953125" style="44" bestFit="1" customWidth="1"/>
    <col min="7380" max="7380" width="83.54296875" style="44" bestFit="1" customWidth="1"/>
    <col min="7381" max="7381" width="96.90625" style="44" bestFit="1" customWidth="1"/>
    <col min="7382" max="7382" width="74.26953125" style="44" bestFit="1" customWidth="1"/>
    <col min="7383" max="7383" width="98.36328125" style="44" bestFit="1" customWidth="1"/>
    <col min="7384" max="7384" width="74.453125" style="44" bestFit="1" customWidth="1"/>
    <col min="7385" max="7385" width="88.81640625" style="44" bestFit="1" customWidth="1"/>
    <col min="7386" max="7386" width="67.6328125" style="44" bestFit="1" customWidth="1"/>
    <col min="7387" max="7387" width="93.08984375" style="44" bestFit="1" customWidth="1"/>
    <col min="7388" max="7388" width="101.453125" style="44" bestFit="1" customWidth="1"/>
    <col min="7389" max="7391" width="76.81640625" style="44" bestFit="1" customWidth="1"/>
    <col min="7392" max="7392" width="87.08984375" style="44" bestFit="1" customWidth="1"/>
    <col min="7393" max="7393" width="72.453125" style="44" bestFit="1" customWidth="1"/>
    <col min="7394" max="7394" width="87.81640625" style="44" bestFit="1" customWidth="1"/>
    <col min="7395" max="7395" width="71.7265625" style="44" bestFit="1" customWidth="1"/>
    <col min="7396" max="7396" width="74" style="44" bestFit="1" customWidth="1"/>
    <col min="7397" max="7397" width="74.08984375" style="44" bestFit="1" customWidth="1"/>
    <col min="7398" max="7400" width="86.81640625" style="44" bestFit="1" customWidth="1"/>
    <col min="7401" max="7401" width="104.7265625" style="44" bestFit="1" customWidth="1"/>
    <col min="7402" max="7402" width="101.81640625" style="44" bestFit="1" customWidth="1"/>
    <col min="7403" max="7403" width="64.453125" style="44" bestFit="1" customWidth="1"/>
    <col min="7404" max="7404" width="65.1796875" style="44" bestFit="1" customWidth="1"/>
    <col min="7405" max="7405" width="72.453125" style="44" bestFit="1" customWidth="1"/>
    <col min="7406" max="7406" width="81.36328125" style="44" bestFit="1" customWidth="1"/>
    <col min="7407" max="7407" width="65.1796875" style="44" bestFit="1" customWidth="1"/>
    <col min="7408" max="7408" width="80.90625" style="44" bestFit="1" customWidth="1"/>
    <col min="7409" max="7409" width="71.7265625" style="44" bestFit="1" customWidth="1"/>
    <col min="7410" max="7410" width="73.6328125" style="44" bestFit="1" customWidth="1"/>
    <col min="7411" max="7412" width="85.36328125" style="44" bestFit="1" customWidth="1"/>
    <col min="7413" max="7413" width="92.26953125" style="44" bestFit="1" customWidth="1"/>
    <col min="7414" max="7414" width="106.1796875" style="44" bestFit="1" customWidth="1"/>
    <col min="7415" max="7415" width="86.6328125" style="44" bestFit="1" customWidth="1"/>
    <col min="7416" max="7417" width="68.90625" style="44" bestFit="1" customWidth="1"/>
    <col min="7418" max="7418" width="80.54296875" style="44" bestFit="1" customWidth="1"/>
    <col min="7419" max="7419" width="68.90625" style="44" bestFit="1" customWidth="1"/>
    <col min="7420" max="7420" width="79.1796875" style="44" bestFit="1" customWidth="1"/>
    <col min="7421" max="7421" width="79.26953125" style="44" bestFit="1" customWidth="1"/>
    <col min="7422" max="7422" width="80.1796875" style="44" bestFit="1" customWidth="1"/>
    <col min="7423" max="7423" width="84.81640625" style="44" bestFit="1" customWidth="1"/>
    <col min="7424" max="7424" width="76.81640625" style="44" bestFit="1" customWidth="1"/>
    <col min="7425" max="7425" width="7.90625" style="44" bestFit="1" customWidth="1"/>
    <col min="7426" max="7426" width="132.54296875" style="44" bestFit="1" customWidth="1"/>
    <col min="7427" max="7427" width="45.36328125" style="44" bestFit="1" customWidth="1"/>
    <col min="7428" max="7428" width="14.08984375" style="44" bestFit="1" customWidth="1"/>
    <col min="7429" max="7430" width="8.7265625" style="44"/>
    <col min="7431" max="7431" width="49.7265625" style="44" bestFit="1" customWidth="1"/>
    <col min="7432" max="7432" width="7.90625" style="44" bestFit="1" customWidth="1"/>
    <col min="7433" max="7433" width="7.81640625" style="44" bestFit="1" customWidth="1"/>
    <col min="7434" max="7445" width="8.81640625" style="44" bestFit="1" customWidth="1"/>
    <col min="7446" max="7446" width="10.81640625" style="44" bestFit="1" customWidth="1"/>
    <col min="7447" max="7447" width="93.36328125" style="44" bestFit="1" customWidth="1"/>
    <col min="7448" max="7448" width="87.6328125" style="44" bestFit="1" customWidth="1"/>
    <col min="7449" max="7449" width="69.26953125" style="44" bestFit="1" customWidth="1"/>
    <col min="7450" max="7450" width="68.54296875" style="44" bestFit="1" customWidth="1"/>
    <col min="7451" max="7451" width="67.6328125" style="44" bestFit="1" customWidth="1"/>
    <col min="7452" max="7452" width="64" style="44" bestFit="1" customWidth="1"/>
    <col min="7453" max="7453" width="43.81640625" style="44" bestFit="1" customWidth="1"/>
    <col min="7454" max="7454" width="39.81640625" style="44" bestFit="1" customWidth="1"/>
    <col min="7455" max="7455" width="85.26953125" style="44" bestFit="1" customWidth="1"/>
    <col min="7456" max="7456" width="84.08984375" style="44" bestFit="1" customWidth="1"/>
    <col min="7457" max="7457" width="91" style="44" bestFit="1" customWidth="1"/>
    <col min="7458" max="7458" width="79" style="44" bestFit="1" customWidth="1"/>
    <col min="7459" max="7459" width="89.90625" style="44" bestFit="1" customWidth="1"/>
    <col min="7460" max="7466" width="90.90625" style="44" bestFit="1" customWidth="1"/>
    <col min="7467" max="7467" width="91.90625" style="44" bestFit="1" customWidth="1"/>
    <col min="7468" max="7468" width="73.08984375" style="44" bestFit="1" customWidth="1"/>
    <col min="7469" max="7469" width="61.1796875" style="44" bestFit="1" customWidth="1"/>
    <col min="7470" max="7470" width="94.1796875" style="44" bestFit="1" customWidth="1"/>
    <col min="7471" max="7471" width="84.453125" style="44" bestFit="1" customWidth="1"/>
    <col min="7472" max="7472" width="86.81640625" style="44" bestFit="1" customWidth="1"/>
    <col min="7473" max="7473" width="90.08984375" style="44" bestFit="1" customWidth="1"/>
    <col min="7474" max="7474" width="86.7265625" style="44" bestFit="1" customWidth="1"/>
    <col min="7475" max="7475" width="87.6328125" style="44" bestFit="1" customWidth="1"/>
    <col min="7476" max="7478" width="97.6328125" style="44" bestFit="1" customWidth="1"/>
    <col min="7479" max="7479" width="72.54296875" style="44" bestFit="1" customWidth="1"/>
    <col min="7480" max="7480" width="73.6328125" style="44" bestFit="1" customWidth="1"/>
    <col min="7481" max="7481" width="58.6328125" style="44" bestFit="1" customWidth="1"/>
    <col min="7482" max="7483" width="74.08984375" style="44" bestFit="1" customWidth="1"/>
    <col min="7484" max="7484" width="75.54296875" style="44" bestFit="1" customWidth="1"/>
    <col min="7485" max="7485" width="92" style="44" bestFit="1" customWidth="1"/>
    <col min="7486" max="7486" width="93.54296875" style="44" bestFit="1" customWidth="1"/>
    <col min="7487" max="7488" width="75.54296875" style="44" bestFit="1" customWidth="1"/>
    <col min="7489" max="7489" width="78.08984375" style="44" bestFit="1" customWidth="1"/>
    <col min="7490" max="7490" width="70" style="44" bestFit="1" customWidth="1"/>
    <col min="7491" max="7491" width="84.81640625" style="44" bestFit="1" customWidth="1"/>
    <col min="7492" max="7492" width="93" style="44" bestFit="1" customWidth="1"/>
    <col min="7493" max="7493" width="83.453125" style="44" bestFit="1" customWidth="1"/>
    <col min="7494" max="7494" width="100.90625" style="44" bestFit="1" customWidth="1"/>
    <col min="7495" max="7497" width="64.54296875" style="44" bestFit="1" customWidth="1"/>
    <col min="7498" max="7499" width="82.7265625" style="44" bestFit="1" customWidth="1"/>
    <col min="7500" max="7500" width="99.453125" style="44" bestFit="1" customWidth="1"/>
    <col min="7501" max="7501" width="78.1796875" style="44" bestFit="1" customWidth="1"/>
    <col min="7502" max="7502" width="71.36328125" style="44" bestFit="1" customWidth="1"/>
    <col min="7503" max="7503" width="71.26953125" style="44" bestFit="1" customWidth="1"/>
    <col min="7504" max="7507" width="76.453125" style="44" bestFit="1" customWidth="1"/>
    <col min="7508" max="7508" width="70.54296875" style="44" bestFit="1" customWidth="1"/>
    <col min="7509" max="7509" width="63.36328125" style="44" bestFit="1" customWidth="1"/>
    <col min="7510" max="7510" width="97.81640625" style="44" bestFit="1" customWidth="1"/>
    <col min="7511" max="7512" width="73" style="44" bestFit="1" customWidth="1"/>
    <col min="7513" max="7513" width="79" style="44" bestFit="1" customWidth="1"/>
    <col min="7514" max="7514" width="73" style="44" bestFit="1" customWidth="1"/>
    <col min="7515" max="7515" width="82.1796875" style="44" bestFit="1" customWidth="1"/>
    <col min="7516" max="7516" width="61.453125" style="44" bestFit="1" customWidth="1"/>
    <col min="7517" max="7518" width="99.90625" style="44" bestFit="1" customWidth="1"/>
    <col min="7519" max="7519" width="100.36328125" style="44" bestFit="1" customWidth="1"/>
    <col min="7520" max="7520" width="84.453125" style="44" bestFit="1" customWidth="1"/>
    <col min="7521" max="7521" width="113.36328125" style="44" bestFit="1" customWidth="1"/>
    <col min="7522" max="7522" width="98.453125" style="44" bestFit="1" customWidth="1"/>
    <col min="7523" max="7523" width="99.7265625" style="44" bestFit="1" customWidth="1"/>
    <col min="7524" max="7524" width="99.54296875" style="44" bestFit="1" customWidth="1"/>
    <col min="7525" max="7525" width="96.81640625" style="44" bestFit="1" customWidth="1"/>
    <col min="7526" max="7526" width="94.08984375" style="44" bestFit="1" customWidth="1"/>
    <col min="7527" max="7527" width="100.453125" style="44" bestFit="1" customWidth="1"/>
    <col min="7528" max="7528" width="98.6328125" style="44" bestFit="1" customWidth="1"/>
    <col min="7529" max="7529" width="77.453125" style="44" bestFit="1" customWidth="1"/>
    <col min="7530" max="7530" width="95.1796875" style="44" bestFit="1" customWidth="1"/>
    <col min="7531" max="7531" width="86.6328125" style="44" bestFit="1" customWidth="1"/>
    <col min="7532" max="7532" width="77.26953125" style="44" bestFit="1" customWidth="1"/>
    <col min="7533" max="7533" width="85.1796875" style="44" bestFit="1" customWidth="1"/>
    <col min="7534" max="7534" width="74.7265625" style="44" bestFit="1" customWidth="1"/>
    <col min="7535" max="7535" width="92" style="44" bestFit="1" customWidth="1"/>
    <col min="7536" max="7536" width="72.26953125" style="44" bestFit="1" customWidth="1"/>
    <col min="7537" max="7537" width="97.08984375" style="44" bestFit="1" customWidth="1"/>
    <col min="7538" max="7538" width="77.08984375" style="44" bestFit="1" customWidth="1"/>
    <col min="7539" max="7539" width="85.08984375" style="44" bestFit="1" customWidth="1"/>
    <col min="7540" max="7541" width="83.1796875" style="44" bestFit="1" customWidth="1"/>
    <col min="7542" max="7542" width="82.6328125" style="44" bestFit="1" customWidth="1"/>
    <col min="7543" max="7543" width="86.26953125" style="44" bestFit="1" customWidth="1"/>
    <col min="7544" max="7544" width="71.1796875" style="44" bestFit="1" customWidth="1"/>
    <col min="7545" max="7545" width="66.6328125" style="44" bestFit="1" customWidth="1"/>
    <col min="7546" max="7547" width="83.1796875" style="44" bestFit="1" customWidth="1"/>
    <col min="7548" max="7548" width="67.08984375" style="44" bestFit="1" customWidth="1"/>
    <col min="7549" max="7549" width="76.54296875" style="44" bestFit="1" customWidth="1"/>
    <col min="7550" max="7550" width="94.08984375" style="44" bestFit="1" customWidth="1"/>
    <col min="7551" max="7551" width="89.08984375" style="44" bestFit="1" customWidth="1"/>
    <col min="7552" max="7552" width="68.1796875" style="44" bestFit="1" customWidth="1"/>
    <col min="7553" max="7553" width="91.7265625" style="44" bestFit="1" customWidth="1"/>
    <col min="7554" max="7554" width="63.36328125" style="44" bestFit="1" customWidth="1"/>
    <col min="7555" max="7555" width="66.6328125" style="44" bestFit="1" customWidth="1"/>
    <col min="7556" max="7556" width="63.36328125" style="44" bestFit="1" customWidth="1"/>
    <col min="7557" max="7557" width="63.453125" style="44" bestFit="1" customWidth="1"/>
    <col min="7558" max="7558" width="87.54296875" style="44" bestFit="1" customWidth="1"/>
    <col min="7559" max="7559" width="93.81640625" style="44" bestFit="1" customWidth="1"/>
    <col min="7560" max="7560" width="66.453125" style="44" bestFit="1" customWidth="1"/>
    <col min="7561" max="7562" width="110" style="44" bestFit="1" customWidth="1"/>
    <col min="7563" max="7563" width="103.1796875" style="44" bestFit="1" customWidth="1"/>
    <col min="7564" max="7564" width="62.453125" style="44" bestFit="1" customWidth="1"/>
    <col min="7565" max="7565" width="77.453125" style="44" bestFit="1" customWidth="1"/>
    <col min="7566" max="7566" width="91.54296875" style="44" bestFit="1" customWidth="1"/>
    <col min="7567" max="7567" width="88.08984375" style="44" bestFit="1" customWidth="1"/>
    <col min="7568" max="7568" width="80.6328125" style="44" bestFit="1" customWidth="1"/>
    <col min="7569" max="7569" width="77.453125" style="44" bestFit="1" customWidth="1"/>
    <col min="7570" max="7570" width="85.1796875" style="44" bestFit="1" customWidth="1"/>
    <col min="7571" max="7574" width="72.36328125" style="44" bestFit="1" customWidth="1"/>
    <col min="7575" max="7576" width="95" style="44" bestFit="1" customWidth="1"/>
    <col min="7577" max="7577" width="64.08984375" style="44" bestFit="1" customWidth="1"/>
    <col min="7578" max="7578" width="110.08984375" style="44" bestFit="1" customWidth="1"/>
    <col min="7579" max="7579" width="86.36328125" style="44" bestFit="1" customWidth="1"/>
    <col min="7580" max="7580" width="89.36328125" style="44" bestFit="1" customWidth="1"/>
    <col min="7581" max="7581" width="89.81640625" style="44" bestFit="1" customWidth="1"/>
    <col min="7582" max="7582" width="64.26953125" style="44" bestFit="1" customWidth="1"/>
    <col min="7583" max="7583" width="85.7265625" style="44" bestFit="1" customWidth="1"/>
    <col min="7584" max="7584" width="73" style="44" bestFit="1" customWidth="1"/>
    <col min="7585" max="7585" width="92.7265625" style="44" bestFit="1" customWidth="1"/>
    <col min="7586" max="7586" width="92.36328125" style="44" bestFit="1" customWidth="1"/>
    <col min="7587" max="7587" width="72" style="44" bestFit="1" customWidth="1"/>
    <col min="7588" max="7588" width="82" style="44" bestFit="1" customWidth="1"/>
    <col min="7589" max="7589" width="79.36328125" style="44" bestFit="1" customWidth="1"/>
    <col min="7590" max="7590" width="81" style="44" bestFit="1" customWidth="1"/>
    <col min="7591" max="7591" width="72.90625" style="44" bestFit="1" customWidth="1"/>
    <col min="7592" max="7592" width="90.81640625" style="44" bestFit="1" customWidth="1"/>
    <col min="7593" max="7593" width="84" style="44" bestFit="1" customWidth="1"/>
    <col min="7594" max="7595" width="73.36328125" style="44" bestFit="1" customWidth="1"/>
    <col min="7596" max="7596" width="90.6328125" style="44" bestFit="1" customWidth="1"/>
    <col min="7597" max="7597" width="89.453125" style="44" bestFit="1" customWidth="1"/>
    <col min="7598" max="7598" width="84.6328125" style="44" bestFit="1" customWidth="1"/>
    <col min="7599" max="7599" width="74.54296875" style="44" bestFit="1" customWidth="1"/>
    <col min="7600" max="7600" width="76.90625" style="44" bestFit="1" customWidth="1"/>
    <col min="7601" max="7601" width="83" style="44" bestFit="1" customWidth="1"/>
    <col min="7602" max="7602" width="85.81640625" style="44" bestFit="1" customWidth="1"/>
    <col min="7603" max="7603" width="83.7265625" style="44" bestFit="1" customWidth="1"/>
    <col min="7604" max="7604" width="79.54296875" style="44" bestFit="1" customWidth="1"/>
    <col min="7605" max="7605" width="80.54296875" style="44" bestFit="1" customWidth="1"/>
    <col min="7606" max="7606" width="89.54296875" style="44" bestFit="1" customWidth="1"/>
    <col min="7607" max="7607" width="85.36328125" style="44" bestFit="1" customWidth="1"/>
    <col min="7608" max="7608" width="61.6328125" style="44" bestFit="1" customWidth="1"/>
    <col min="7609" max="7609" width="132.54296875" style="44" bestFit="1" customWidth="1"/>
    <col min="7610" max="7610" width="93.1796875" style="44" bestFit="1" customWidth="1"/>
    <col min="7611" max="7611" width="91.08984375" style="44" bestFit="1" customWidth="1"/>
    <col min="7612" max="7612" width="81.7265625" style="44" bestFit="1" customWidth="1"/>
    <col min="7613" max="7614" width="80.90625" style="44" bestFit="1" customWidth="1"/>
    <col min="7615" max="7615" width="83.26953125" style="44" bestFit="1" customWidth="1"/>
    <col min="7616" max="7616" width="101.453125" style="44" bestFit="1" customWidth="1"/>
    <col min="7617" max="7617" width="110.1796875" style="44" bestFit="1" customWidth="1"/>
    <col min="7618" max="7618" width="74.6328125" style="44" bestFit="1" customWidth="1"/>
    <col min="7619" max="7622" width="84.54296875" style="44" bestFit="1" customWidth="1"/>
    <col min="7623" max="7623" width="74.36328125" style="44" bestFit="1" customWidth="1"/>
    <col min="7624" max="7624" width="88.1796875" style="44" bestFit="1" customWidth="1"/>
    <col min="7625" max="7625" width="78.6328125" style="44" bestFit="1" customWidth="1"/>
    <col min="7626" max="7626" width="76.81640625" style="44" bestFit="1" customWidth="1"/>
    <col min="7627" max="7627" width="74.7265625" style="44" bestFit="1" customWidth="1"/>
    <col min="7628" max="7628" width="87.26953125" style="44" bestFit="1" customWidth="1"/>
    <col min="7629" max="7629" width="85.54296875" style="44" bestFit="1" customWidth="1"/>
    <col min="7630" max="7630" width="100.26953125" style="44" bestFit="1" customWidth="1"/>
    <col min="7631" max="7631" width="71.36328125" style="44" bestFit="1" customWidth="1"/>
    <col min="7632" max="7632" width="105.453125" style="44" bestFit="1" customWidth="1"/>
    <col min="7633" max="7633" width="103.08984375" style="44" bestFit="1" customWidth="1"/>
    <col min="7634" max="7634" width="85.7265625" style="44" bestFit="1" customWidth="1"/>
    <col min="7635" max="7635" width="99.26953125" style="44" bestFit="1" customWidth="1"/>
    <col min="7636" max="7636" width="83.54296875" style="44" bestFit="1" customWidth="1"/>
    <col min="7637" max="7637" width="96.90625" style="44" bestFit="1" customWidth="1"/>
    <col min="7638" max="7638" width="74.26953125" style="44" bestFit="1" customWidth="1"/>
    <col min="7639" max="7639" width="98.36328125" style="44" bestFit="1" customWidth="1"/>
    <col min="7640" max="7640" width="74.453125" style="44" bestFit="1" customWidth="1"/>
    <col min="7641" max="7641" width="88.81640625" style="44" bestFit="1" customWidth="1"/>
    <col min="7642" max="7642" width="67.6328125" style="44" bestFit="1" customWidth="1"/>
    <col min="7643" max="7643" width="93.08984375" style="44" bestFit="1" customWidth="1"/>
    <col min="7644" max="7644" width="101.453125" style="44" bestFit="1" customWidth="1"/>
    <col min="7645" max="7647" width="76.81640625" style="44" bestFit="1" customWidth="1"/>
    <col min="7648" max="7648" width="87.08984375" style="44" bestFit="1" customWidth="1"/>
    <col min="7649" max="7649" width="72.453125" style="44" bestFit="1" customWidth="1"/>
    <col min="7650" max="7650" width="87.81640625" style="44" bestFit="1" customWidth="1"/>
    <col min="7651" max="7651" width="71.7265625" style="44" bestFit="1" customWidth="1"/>
    <col min="7652" max="7652" width="74" style="44" bestFit="1" customWidth="1"/>
    <col min="7653" max="7653" width="74.08984375" style="44" bestFit="1" customWidth="1"/>
    <col min="7654" max="7656" width="86.81640625" style="44" bestFit="1" customWidth="1"/>
    <col min="7657" max="7657" width="104.7265625" style="44" bestFit="1" customWidth="1"/>
    <col min="7658" max="7658" width="101.81640625" style="44" bestFit="1" customWidth="1"/>
    <col min="7659" max="7659" width="64.453125" style="44" bestFit="1" customWidth="1"/>
    <col min="7660" max="7660" width="65.1796875" style="44" bestFit="1" customWidth="1"/>
    <col min="7661" max="7661" width="72.453125" style="44" bestFit="1" customWidth="1"/>
    <col min="7662" max="7662" width="81.36328125" style="44" bestFit="1" customWidth="1"/>
    <col min="7663" max="7663" width="65.1796875" style="44" bestFit="1" customWidth="1"/>
    <col min="7664" max="7664" width="80.90625" style="44" bestFit="1" customWidth="1"/>
    <col min="7665" max="7665" width="71.7265625" style="44" bestFit="1" customWidth="1"/>
    <col min="7666" max="7666" width="73.6328125" style="44" bestFit="1" customWidth="1"/>
    <col min="7667" max="7668" width="85.36328125" style="44" bestFit="1" customWidth="1"/>
    <col min="7669" max="7669" width="92.26953125" style="44" bestFit="1" customWidth="1"/>
    <col min="7670" max="7670" width="106.1796875" style="44" bestFit="1" customWidth="1"/>
    <col min="7671" max="7671" width="86.6328125" style="44" bestFit="1" customWidth="1"/>
    <col min="7672" max="7673" width="68.90625" style="44" bestFit="1" customWidth="1"/>
    <col min="7674" max="7674" width="80.54296875" style="44" bestFit="1" customWidth="1"/>
    <col min="7675" max="7675" width="68.90625" style="44" bestFit="1" customWidth="1"/>
    <col min="7676" max="7676" width="79.1796875" style="44" bestFit="1" customWidth="1"/>
    <col min="7677" max="7677" width="79.26953125" style="44" bestFit="1" customWidth="1"/>
    <col min="7678" max="7678" width="80.1796875" style="44" bestFit="1" customWidth="1"/>
    <col min="7679" max="7679" width="84.81640625" style="44" bestFit="1" customWidth="1"/>
    <col min="7680" max="7680" width="76.81640625" style="44" bestFit="1" customWidth="1"/>
    <col min="7681" max="7681" width="7.90625" style="44" bestFit="1" customWidth="1"/>
    <col min="7682" max="7682" width="132.54296875" style="44" bestFit="1" customWidth="1"/>
    <col min="7683" max="7683" width="45.36328125" style="44" bestFit="1" customWidth="1"/>
    <col min="7684" max="7684" width="14.08984375" style="44" bestFit="1" customWidth="1"/>
    <col min="7685" max="7686" width="8.7265625" style="44"/>
    <col min="7687" max="7687" width="49.7265625" style="44" bestFit="1" customWidth="1"/>
    <col min="7688" max="7688" width="7.90625" style="44" bestFit="1" customWidth="1"/>
    <col min="7689" max="7689" width="7.81640625" style="44" bestFit="1" customWidth="1"/>
    <col min="7690" max="7701" width="8.81640625" style="44" bestFit="1" customWidth="1"/>
    <col min="7702" max="7702" width="10.81640625" style="44" bestFit="1" customWidth="1"/>
    <col min="7703" max="7703" width="93.36328125" style="44" bestFit="1" customWidth="1"/>
    <col min="7704" max="7704" width="87.6328125" style="44" bestFit="1" customWidth="1"/>
    <col min="7705" max="7705" width="69.26953125" style="44" bestFit="1" customWidth="1"/>
    <col min="7706" max="7706" width="68.54296875" style="44" bestFit="1" customWidth="1"/>
    <col min="7707" max="7707" width="67.6328125" style="44" bestFit="1" customWidth="1"/>
    <col min="7708" max="7708" width="64" style="44" bestFit="1" customWidth="1"/>
    <col min="7709" max="7709" width="43.81640625" style="44" bestFit="1" customWidth="1"/>
    <col min="7710" max="7710" width="39.81640625" style="44" bestFit="1" customWidth="1"/>
    <col min="7711" max="7711" width="85.26953125" style="44" bestFit="1" customWidth="1"/>
    <col min="7712" max="7712" width="84.08984375" style="44" bestFit="1" customWidth="1"/>
    <col min="7713" max="7713" width="91" style="44" bestFit="1" customWidth="1"/>
    <col min="7714" max="7714" width="79" style="44" bestFit="1" customWidth="1"/>
    <col min="7715" max="7715" width="89.90625" style="44" bestFit="1" customWidth="1"/>
    <col min="7716" max="7722" width="90.90625" style="44" bestFit="1" customWidth="1"/>
    <col min="7723" max="7723" width="91.90625" style="44" bestFit="1" customWidth="1"/>
    <col min="7724" max="7724" width="73.08984375" style="44" bestFit="1" customWidth="1"/>
    <col min="7725" max="7725" width="61.1796875" style="44" bestFit="1" customWidth="1"/>
    <col min="7726" max="7726" width="94.1796875" style="44" bestFit="1" customWidth="1"/>
    <col min="7727" max="7727" width="84.453125" style="44" bestFit="1" customWidth="1"/>
    <col min="7728" max="7728" width="86.81640625" style="44" bestFit="1" customWidth="1"/>
    <col min="7729" max="7729" width="90.08984375" style="44" bestFit="1" customWidth="1"/>
    <col min="7730" max="7730" width="86.7265625" style="44" bestFit="1" customWidth="1"/>
    <col min="7731" max="7731" width="87.6328125" style="44" bestFit="1" customWidth="1"/>
    <col min="7732" max="7734" width="97.6328125" style="44" bestFit="1" customWidth="1"/>
    <col min="7735" max="7735" width="72.54296875" style="44" bestFit="1" customWidth="1"/>
    <col min="7736" max="7736" width="73.6328125" style="44" bestFit="1" customWidth="1"/>
    <col min="7737" max="7737" width="58.6328125" style="44" bestFit="1" customWidth="1"/>
    <col min="7738" max="7739" width="74.08984375" style="44" bestFit="1" customWidth="1"/>
    <col min="7740" max="7740" width="75.54296875" style="44" bestFit="1" customWidth="1"/>
    <col min="7741" max="7741" width="92" style="44" bestFit="1" customWidth="1"/>
    <col min="7742" max="7742" width="93.54296875" style="44" bestFit="1" customWidth="1"/>
    <col min="7743" max="7744" width="75.54296875" style="44" bestFit="1" customWidth="1"/>
    <col min="7745" max="7745" width="78.08984375" style="44" bestFit="1" customWidth="1"/>
    <col min="7746" max="7746" width="70" style="44" bestFit="1" customWidth="1"/>
    <col min="7747" max="7747" width="84.81640625" style="44" bestFit="1" customWidth="1"/>
    <col min="7748" max="7748" width="93" style="44" bestFit="1" customWidth="1"/>
    <col min="7749" max="7749" width="83.453125" style="44" bestFit="1" customWidth="1"/>
    <col min="7750" max="7750" width="100.90625" style="44" bestFit="1" customWidth="1"/>
    <col min="7751" max="7753" width="64.54296875" style="44" bestFit="1" customWidth="1"/>
    <col min="7754" max="7755" width="82.7265625" style="44" bestFit="1" customWidth="1"/>
    <col min="7756" max="7756" width="99.453125" style="44" bestFit="1" customWidth="1"/>
    <col min="7757" max="7757" width="78.1796875" style="44" bestFit="1" customWidth="1"/>
    <col min="7758" max="7758" width="71.36328125" style="44" bestFit="1" customWidth="1"/>
    <col min="7759" max="7759" width="71.26953125" style="44" bestFit="1" customWidth="1"/>
    <col min="7760" max="7763" width="76.453125" style="44" bestFit="1" customWidth="1"/>
    <col min="7764" max="7764" width="70.54296875" style="44" bestFit="1" customWidth="1"/>
    <col min="7765" max="7765" width="63.36328125" style="44" bestFit="1" customWidth="1"/>
    <col min="7766" max="7766" width="97.81640625" style="44" bestFit="1" customWidth="1"/>
    <col min="7767" max="7768" width="73" style="44" bestFit="1" customWidth="1"/>
    <col min="7769" max="7769" width="79" style="44" bestFit="1" customWidth="1"/>
    <col min="7770" max="7770" width="73" style="44" bestFit="1" customWidth="1"/>
    <col min="7771" max="7771" width="82.1796875" style="44" bestFit="1" customWidth="1"/>
    <col min="7772" max="7772" width="61.453125" style="44" bestFit="1" customWidth="1"/>
    <col min="7773" max="7774" width="99.90625" style="44" bestFit="1" customWidth="1"/>
    <col min="7775" max="7775" width="100.36328125" style="44" bestFit="1" customWidth="1"/>
    <col min="7776" max="7776" width="84.453125" style="44" bestFit="1" customWidth="1"/>
    <col min="7777" max="7777" width="113.36328125" style="44" bestFit="1" customWidth="1"/>
    <col min="7778" max="7778" width="98.453125" style="44" bestFit="1" customWidth="1"/>
    <col min="7779" max="7779" width="99.7265625" style="44" bestFit="1" customWidth="1"/>
    <col min="7780" max="7780" width="99.54296875" style="44" bestFit="1" customWidth="1"/>
    <col min="7781" max="7781" width="96.81640625" style="44" bestFit="1" customWidth="1"/>
    <col min="7782" max="7782" width="94.08984375" style="44" bestFit="1" customWidth="1"/>
    <col min="7783" max="7783" width="100.453125" style="44" bestFit="1" customWidth="1"/>
    <col min="7784" max="7784" width="98.6328125" style="44" bestFit="1" customWidth="1"/>
    <col min="7785" max="7785" width="77.453125" style="44" bestFit="1" customWidth="1"/>
    <col min="7786" max="7786" width="95.1796875" style="44" bestFit="1" customWidth="1"/>
    <col min="7787" max="7787" width="86.6328125" style="44" bestFit="1" customWidth="1"/>
    <col min="7788" max="7788" width="77.26953125" style="44" bestFit="1" customWidth="1"/>
    <col min="7789" max="7789" width="85.1796875" style="44" bestFit="1" customWidth="1"/>
    <col min="7790" max="7790" width="74.7265625" style="44" bestFit="1" customWidth="1"/>
    <col min="7791" max="7791" width="92" style="44" bestFit="1" customWidth="1"/>
    <col min="7792" max="7792" width="72.26953125" style="44" bestFit="1" customWidth="1"/>
    <col min="7793" max="7793" width="97.08984375" style="44" bestFit="1" customWidth="1"/>
    <col min="7794" max="7794" width="77.08984375" style="44" bestFit="1" customWidth="1"/>
    <col min="7795" max="7795" width="85.08984375" style="44" bestFit="1" customWidth="1"/>
    <col min="7796" max="7797" width="83.1796875" style="44" bestFit="1" customWidth="1"/>
    <col min="7798" max="7798" width="82.6328125" style="44" bestFit="1" customWidth="1"/>
    <col min="7799" max="7799" width="86.26953125" style="44" bestFit="1" customWidth="1"/>
    <col min="7800" max="7800" width="71.1796875" style="44" bestFit="1" customWidth="1"/>
    <col min="7801" max="7801" width="66.6328125" style="44" bestFit="1" customWidth="1"/>
    <col min="7802" max="7803" width="83.1796875" style="44" bestFit="1" customWidth="1"/>
    <col min="7804" max="7804" width="67.08984375" style="44" bestFit="1" customWidth="1"/>
    <col min="7805" max="7805" width="76.54296875" style="44" bestFit="1" customWidth="1"/>
    <col min="7806" max="7806" width="94.08984375" style="44" bestFit="1" customWidth="1"/>
    <col min="7807" max="7807" width="89.08984375" style="44" bestFit="1" customWidth="1"/>
    <col min="7808" max="7808" width="68.1796875" style="44" bestFit="1" customWidth="1"/>
    <col min="7809" max="7809" width="91.7265625" style="44" bestFit="1" customWidth="1"/>
    <col min="7810" max="7810" width="63.36328125" style="44" bestFit="1" customWidth="1"/>
    <col min="7811" max="7811" width="66.6328125" style="44" bestFit="1" customWidth="1"/>
    <col min="7812" max="7812" width="63.36328125" style="44" bestFit="1" customWidth="1"/>
    <col min="7813" max="7813" width="63.453125" style="44" bestFit="1" customWidth="1"/>
    <col min="7814" max="7814" width="87.54296875" style="44" bestFit="1" customWidth="1"/>
    <col min="7815" max="7815" width="93.81640625" style="44" bestFit="1" customWidth="1"/>
    <col min="7816" max="7816" width="66.453125" style="44" bestFit="1" customWidth="1"/>
    <col min="7817" max="7818" width="110" style="44" bestFit="1" customWidth="1"/>
    <col min="7819" max="7819" width="103.1796875" style="44" bestFit="1" customWidth="1"/>
    <col min="7820" max="7820" width="62.453125" style="44" bestFit="1" customWidth="1"/>
    <col min="7821" max="7821" width="77.453125" style="44" bestFit="1" customWidth="1"/>
    <col min="7822" max="7822" width="91.54296875" style="44" bestFit="1" customWidth="1"/>
    <col min="7823" max="7823" width="88.08984375" style="44" bestFit="1" customWidth="1"/>
    <col min="7824" max="7824" width="80.6328125" style="44" bestFit="1" customWidth="1"/>
    <col min="7825" max="7825" width="77.453125" style="44" bestFit="1" customWidth="1"/>
    <col min="7826" max="7826" width="85.1796875" style="44" bestFit="1" customWidth="1"/>
    <col min="7827" max="7830" width="72.36328125" style="44" bestFit="1" customWidth="1"/>
    <col min="7831" max="7832" width="95" style="44" bestFit="1" customWidth="1"/>
    <col min="7833" max="7833" width="64.08984375" style="44" bestFit="1" customWidth="1"/>
    <col min="7834" max="7834" width="110.08984375" style="44" bestFit="1" customWidth="1"/>
    <col min="7835" max="7835" width="86.36328125" style="44" bestFit="1" customWidth="1"/>
    <col min="7836" max="7836" width="89.36328125" style="44" bestFit="1" customWidth="1"/>
    <col min="7837" max="7837" width="89.81640625" style="44" bestFit="1" customWidth="1"/>
    <col min="7838" max="7838" width="64.26953125" style="44" bestFit="1" customWidth="1"/>
    <col min="7839" max="7839" width="85.7265625" style="44" bestFit="1" customWidth="1"/>
    <col min="7840" max="7840" width="73" style="44" bestFit="1" customWidth="1"/>
    <col min="7841" max="7841" width="92.7265625" style="44" bestFit="1" customWidth="1"/>
    <col min="7842" max="7842" width="92.36328125" style="44" bestFit="1" customWidth="1"/>
    <col min="7843" max="7843" width="72" style="44" bestFit="1" customWidth="1"/>
    <col min="7844" max="7844" width="82" style="44" bestFit="1" customWidth="1"/>
    <col min="7845" max="7845" width="79.36328125" style="44" bestFit="1" customWidth="1"/>
    <col min="7846" max="7846" width="81" style="44" bestFit="1" customWidth="1"/>
    <col min="7847" max="7847" width="72.90625" style="44" bestFit="1" customWidth="1"/>
    <col min="7848" max="7848" width="90.81640625" style="44" bestFit="1" customWidth="1"/>
    <col min="7849" max="7849" width="84" style="44" bestFit="1" customWidth="1"/>
    <col min="7850" max="7851" width="73.36328125" style="44" bestFit="1" customWidth="1"/>
    <col min="7852" max="7852" width="90.6328125" style="44" bestFit="1" customWidth="1"/>
    <col min="7853" max="7853" width="89.453125" style="44" bestFit="1" customWidth="1"/>
    <col min="7854" max="7854" width="84.6328125" style="44" bestFit="1" customWidth="1"/>
    <col min="7855" max="7855" width="74.54296875" style="44" bestFit="1" customWidth="1"/>
    <col min="7856" max="7856" width="76.90625" style="44" bestFit="1" customWidth="1"/>
    <col min="7857" max="7857" width="83" style="44" bestFit="1" customWidth="1"/>
    <col min="7858" max="7858" width="85.81640625" style="44" bestFit="1" customWidth="1"/>
    <col min="7859" max="7859" width="83.7265625" style="44" bestFit="1" customWidth="1"/>
    <col min="7860" max="7860" width="79.54296875" style="44" bestFit="1" customWidth="1"/>
    <col min="7861" max="7861" width="80.54296875" style="44" bestFit="1" customWidth="1"/>
    <col min="7862" max="7862" width="89.54296875" style="44" bestFit="1" customWidth="1"/>
    <col min="7863" max="7863" width="85.36328125" style="44" bestFit="1" customWidth="1"/>
    <col min="7864" max="7864" width="61.6328125" style="44" bestFit="1" customWidth="1"/>
    <col min="7865" max="7865" width="132.54296875" style="44" bestFit="1" customWidth="1"/>
    <col min="7866" max="7866" width="93.1796875" style="44" bestFit="1" customWidth="1"/>
    <col min="7867" max="7867" width="91.08984375" style="44" bestFit="1" customWidth="1"/>
    <col min="7868" max="7868" width="81.7265625" style="44" bestFit="1" customWidth="1"/>
    <col min="7869" max="7870" width="80.90625" style="44" bestFit="1" customWidth="1"/>
    <col min="7871" max="7871" width="83.26953125" style="44" bestFit="1" customWidth="1"/>
    <col min="7872" max="7872" width="101.453125" style="44" bestFit="1" customWidth="1"/>
    <col min="7873" max="7873" width="110.1796875" style="44" bestFit="1" customWidth="1"/>
    <col min="7874" max="7874" width="74.6328125" style="44" bestFit="1" customWidth="1"/>
    <col min="7875" max="7878" width="84.54296875" style="44" bestFit="1" customWidth="1"/>
    <col min="7879" max="7879" width="74.36328125" style="44" bestFit="1" customWidth="1"/>
    <col min="7880" max="7880" width="88.1796875" style="44" bestFit="1" customWidth="1"/>
    <col min="7881" max="7881" width="78.6328125" style="44" bestFit="1" customWidth="1"/>
    <col min="7882" max="7882" width="76.81640625" style="44" bestFit="1" customWidth="1"/>
    <col min="7883" max="7883" width="74.7265625" style="44" bestFit="1" customWidth="1"/>
    <col min="7884" max="7884" width="87.26953125" style="44" bestFit="1" customWidth="1"/>
    <col min="7885" max="7885" width="85.54296875" style="44" bestFit="1" customWidth="1"/>
    <col min="7886" max="7886" width="100.26953125" style="44" bestFit="1" customWidth="1"/>
    <col min="7887" max="7887" width="71.36328125" style="44" bestFit="1" customWidth="1"/>
    <col min="7888" max="7888" width="105.453125" style="44" bestFit="1" customWidth="1"/>
    <col min="7889" max="7889" width="103.08984375" style="44" bestFit="1" customWidth="1"/>
    <col min="7890" max="7890" width="85.7265625" style="44" bestFit="1" customWidth="1"/>
    <col min="7891" max="7891" width="99.26953125" style="44" bestFit="1" customWidth="1"/>
    <col min="7892" max="7892" width="83.54296875" style="44" bestFit="1" customWidth="1"/>
    <col min="7893" max="7893" width="96.90625" style="44" bestFit="1" customWidth="1"/>
    <col min="7894" max="7894" width="74.26953125" style="44" bestFit="1" customWidth="1"/>
    <col min="7895" max="7895" width="98.36328125" style="44" bestFit="1" customWidth="1"/>
    <col min="7896" max="7896" width="74.453125" style="44" bestFit="1" customWidth="1"/>
    <col min="7897" max="7897" width="88.81640625" style="44" bestFit="1" customWidth="1"/>
    <col min="7898" max="7898" width="67.6328125" style="44" bestFit="1" customWidth="1"/>
    <col min="7899" max="7899" width="93.08984375" style="44" bestFit="1" customWidth="1"/>
    <col min="7900" max="7900" width="101.453125" style="44" bestFit="1" customWidth="1"/>
    <col min="7901" max="7903" width="76.81640625" style="44" bestFit="1" customWidth="1"/>
    <col min="7904" max="7904" width="87.08984375" style="44" bestFit="1" customWidth="1"/>
    <col min="7905" max="7905" width="72.453125" style="44" bestFit="1" customWidth="1"/>
    <col min="7906" max="7906" width="87.81640625" style="44" bestFit="1" customWidth="1"/>
    <col min="7907" max="7907" width="71.7265625" style="44" bestFit="1" customWidth="1"/>
    <col min="7908" max="7908" width="74" style="44" bestFit="1" customWidth="1"/>
    <col min="7909" max="7909" width="74.08984375" style="44" bestFit="1" customWidth="1"/>
    <col min="7910" max="7912" width="86.81640625" style="44" bestFit="1" customWidth="1"/>
    <col min="7913" max="7913" width="104.7265625" style="44" bestFit="1" customWidth="1"/>
    <col min="7914" max="7914" width="101.81640625" style="44" bestFit="1" customWidth="1"/>
    <col min="7915" max="7915" width="64.453125" style="44" bestFit="1" customWidth="1"/>
    <col min="7916" max="7916" width="65.1796875" style="44" bestFit="1" customWidth="1"/>
    <col min="7917" max="7917" width="72.453125" style="44" bestFit="1" customWidth="1"/>
    <col min="7918" max="7918" width="81.36328125" style="44" bestFit="1" customWidth="1"/>
    <col min="7919" max="7919" width="65.1796875" style="44" bestFit="1" customWidth="1"/>
    <col min="7920" max="7920" width="80.90625" style="44" bestFit="1" customWidth="1"/>
    <col min="7921" max="7921" width="71.7265625" style="44" bestFit="1" customWidth="1"/>
    <col min="7922" max="7922" width="73.6328125" style="44" bestFit="1" customWidth="1"/>
    <col min="7923" max="7924" width="85.36328125" style="44" bestFit="1" customWidth="1"/>
    <col min="7925" max="7925" width="92.26953125" style="44" bestFit="1" customWidth="1"/>
    <col min="7926" max="7926" width="106.1796875" style="44" bestFit="1" customWidth="1"/>
    <col min="7927" max="7927" width="86.6328125" style="44" bestFit="1" customWidth="1"/>
    <col min="7928" max="7929" width="68.90625" style="44" bestFit="1" customWidth="1"/>
    <col min="7930" max="7930" width="80.54296875" style="44" bestFit="1" customWidth="1"/>
    <col min="7931" max="7931" width="68.90625" style="44" bestFit="1" customWidth="1"/>
    <col min="7932" max="7932" width="79.1796875" style="44" bestFit="1" customWidth="1"/>
    <col min="7933" max="7933" width="79.26953125" style="44" bestFit="1" customWidth="1"/>
    <col min="7934" max="7934" width="80.1796875" style="44" bestFit="1" customWidth="1"/>
    <col min="7935" max="7935" width="84.81640625" style="44" bestFit="1" customWidth="1"/>
    <col min="7936" max="7936" width="76.81640625" style="44" bestFit="1" customWidth="1"/>
    <col min="7937" max="7937" width="7.90625" style="44" bestFit="1" customWidth="1"/>
    <col min="7938" max="7938" width="132.54296875" style="44" bestFit="1" customWidth="1"/>
    <col min="7939" max="7939" width="45.36328125" style="44" bestFit="1" customWidth="1"/>
    <col min="7940" max="7940" width="14.08984375" style="44" bestFit="1" customWidth="1"/>
    <col min="7941" max="7942" width="8.7265625" style="44"/>
    <col min="7943" max="7943" width="49.7265625" style="44" bestFit="1" customWidth="1"/>
    <col min="7944" max="7944" width="7.90625" style="44" bestFit="1" customWidth="1"/>
    <col min="7945" max="7945" width="7.81640625" style="44" bestFit="1" customWidth="1"/>
    <col min="7946" max="7957" width="8.81640625" style="44" bestFit="1" customWidth="1"/>
    <col min="7958" max="7958" width="10.81640625" style="44" bestFit="1" customWidth="1"/>
    <col min="7959" max="7959" width="93.36328125" style="44" bestFit="1" customWidth="1"/>
    <col min="7960" max="7960" width="87.6328125" style="44" bestFit="1" customWidth="1"/>
    <col min="7961" max="7961" width="69.26953125" style="44" bestFit="1" customWidth="1"/>
    <col min="7962" max="7962" width="68.54296875" style="44" bestFit="1" customWidth="1"/>
    <col min="7963" max="7963" width="67.6328125" style="44" bestFit="1" customWidth="1"/>
    <col min="7964" max="7964" width="64" style="44" bestFit="1" customWidth="1"/>
    <col min="7965" max="7965" width="43.81640625" style="44" bestFit="1" customWidth="1"/>
    <col min="7966" max="7966" width="39.81640625" style="44" bestFit="1" customWidth="1"/>
    <col min="7967" max="7967" width="85.26953125" style="44" bestFit="1" customWidth="1"/>
    <col min="7968" max="7968" width="84.08984375" style="44" bestFit="1" customWidth="1"/>
    <col min="7969" max="7969" width="91" style="44" bestFit="1" customWidth="1"/>
    <col min="7970" max="7970" width="79" style="44" bestFit="1" customWidth="1"/>
    <col min="7971" max="7971" width="89.90625" style="44" bestFit="1" customWidth="1"/>
    <col min="7972" max="7978" width="90.90625" style="44" bestFit="1" customWidth="1"/>
    <col min="7979" max="7979" width="91.90625" style="44" bestFit="1" customWidth="1"/>
    <col min="7980" max="7980" width="73.08984375" style="44" bestFit="1" customWidth="1"/>
    <col min="7981" max="7981" width="61.1796875" style="44" bestFit="1" customWidth="1"/>
    <col min="7982" max="7982" width="94.1796875" style="44" bestFit="1" customWidth="1"/>
    <col min="7983" max="7983" width="84.453125" style="44" bestFit="1" customWidth="1"/>
    <col min="7984" max="7984" width="86.81640625" style="44" bestFit="1" customWidth="1"/>
    <col min="7985" max="7985" width="90.08984375" style="44" bestFit="1" customWidth="1"/>
    <col min="7986" max="7986" width="86.7265625" style="44" bestFit="1" customWidth="1"/>
    <col min="7987" max="7987" width="87.6328125" style="44" bestFit="1" customWidth="1"/>
    <col min="7988" max="7990" width="97.6328125" style="44" bestFit="1" customWidth="1"/>
    <col min="7991" max="7991" width="72.54296875" style="44" bestFit="1" customWidth="1"/>
    <col min="7992" max="7992" width="73.6328125" style="44" bestFit="1" customWidth="1"/>
    <col min="7993" max="7993" width="58.6328125" style="44" bestFit="1" customWidth="1"/>
    <col min="7994" max="7995" width="74.08984375" style="44" bestFit="1" customWidth="1"/>
    <col min="7996" max="7996" width="75.54296875" style="44" bestFit="1" customWidth="1"/>
    <col min="7997" max="7997" width="92" style="44" bestFit="1" customWidth="1"/>
    <col min="7998" max="7998" width="93.54296875" style="44" bestFit="1" customWidth="1"/>
    <col min="7999" max="8000" width="75.54296875" style="44" bestFit="1" customWidth="1"/>
    <col min="8001" max="8001" width="78.08984375" style="44" bestFit="1" customWidth="1"/>
    <col min="8002" max="8002" width="70" style="44" bestFit="1" customWidth="1"/>
    <col min="8003" max="8003" width="84.81640625" style="44" bestFit="1" customWidth="1"/>
    <col min="8004" max="8004" width="93" style="44" bestFit="1" customWidth="1"/>
    <col min="8005" max="8005" width="83.453125" style="44" bestFit="1" customWidth="1"/>
    <col min="8006" max="8006" width="100.90625" style="44" bestFit="1" customWidth="1"/>
    <col min="8007" max="8009" width="64.54296875" style="44" bestFit="1" customWidth="1"/>
    <col min="8010" max="8011" width="82.7265625" style="44" bestFit="1" customWidth="1"/>
    <col min="8012" max="8012" width="99.453125" style="44" bestFit="1" customWidth="1"/>
    <col min="8013" max="8013" width="78.1796875" style="44" bestFit="1" customWidth="1"/>
    <col min="8014" max="8014" width="71.36328125" style="44" bestFit="1" customWidth="1"/>
    <col min="8015" max="8015" width="71.26953125" style="44" bestFit="1" customWidth="1"/>
    <col min="8016" max="8019" width="76.453125" style="44" bestFit="1" customWidth="1"/>
    <col min="8020" max="8020" width="70.54296875" style="44" bestFit="1" customWidth="1"/>
    <col min="8021" max="8021" width="63.36328125" style="44" bestFit="1" customWidth="1"/>
    <col min="8022" max="8022" width="97.81640625" style="44" bestFit="1" customWidth="1"/>
    <col min="8023" max="8024" width="73" style="44" bestFit="1" customWidth="1"/>
    <col min="8025" max="8025" width="79" style="44" bestFit="1" customWidth="1"/>
    <col min="8026" max="8026" width="73" style="44" bestFit="1" customWidth="1"/>
    <col min="8027" max="8027" width="82.1796875" style="44" bestFit="1" customWidth="1"/>
    <col min="8028" max="8028" width="61.453125" style="44" bestFit="1" customWidth="1"/>
    <col min="8029" max="8030" width="99.90625" style="44" bestFit="1" customWidth="1"/>
    <col min="8031" max="8031" width="100.36328125" style="44" bestFit="1" customWidth="1"/>
    <col min="8032" max="8032" width="84.453125" style="44" bestFit="1" customWidth="1"/>
    <col min="8033" max="8033" width="113.36328125" style="44" bestFit="1" customWidth="1"/>
    <col min="8034" max="8034" width="98.453125" style="44" bestFit="1" customWidth="1"/>
    <col min="8035" max="8035" width="99.7265625" style="44" bestFit="1" customWidth="1"/>
    <col min="8036" max="8036" width="99.54296875" style="44" bestFit="1" customWidth="1"/>
    <col min="8037" max="8037" width="96.81640625" style="44" bestFit="1" customWidth="1"/>
    <col min="8038" max="8038" width="94.08984375" style="44" bestFit="1" customWidth="1"/>
    <col min="8039" max="8039" width="100.453125" style="44" bestFit="1" customWidth="1"/>
    <col min="8040" max="8040" width="98.6328125" style="44" bestFit="1" customWidth="1"/>
    <col min="8041" max="8041" width="77.453125" style="44" bestFit="1" customWidth="1"/>
    <col min="8042" max="8042" width="95.1796875" style="44" bestFit="1" customWidth="1"/>
    <col min="8043" max="8043" width="86.6328125" style="44" bestFit="1" customWidth="1"/>
    <col min="8044" max="8044" width="77.26953125" style="44" bestFit="1" customWidth="1"/>
    <col min="8045" max="8045" width="85.1796875" style="44" bestFit="1" customWidth="1"/>
    <col min="8046" max="8046" width="74.7265625" style="44" bestFit="1" customWidth="1"/>
    <col min="8047" max="8047" width="92" style="44" bestFit="1" customWidth="1"/>
    <col min="8048" max="8048" width="72.26953125" style="44" bestFit="1" customWidth="1"/>
    <col min="8049" max="8049" width="97.08984375" style="44" bestFit="1" customWidth="1"/>
    <col min="8050" max="8050" width="77.08984375" style="44" bestFit="1" customWidth="1"/>
    <col min="8051" max="8051" width="85.08984375" style="44" bestFit="1" customWidth="1"/>
    <col min="8052" max="8053" width="83.1796875" style="44" bestFit="1" customWidth="1"/>
    <col min="8054" max="8054" width="82.6328125" style="44" bestFit="1" customWidth="1"/>
    <col min="8055" max="8055" width="86.26953125" style="44" bestFit="1" customWidth="1"/>
    <col min="8056" max="8056" width="71.1796875" style="44" bestFit="1" customWidth="1"/>
    <col min="8057" max="8057" width="66.6328125" style="44" bestFit="1" customWidth="1"/>
    <col min="8058" max="8059" width="83.1796875" style="44" bestFit="1" customWidth="1"/>
    <col min="8060" max="8060" width="67.08984375" style="44" bestFit="1" customWidth="1"/>
    <col min="8061" max="8061" width="76.54296875" style="44" bestFit="1" customWidth="1"/>
    <col min="8062" max="8062" width="94.08984375" style="44" bestFit="1" customWidth="1"/>
    <col min="8063" max="8063" width="89.08984375" style="44" bestFit="1" customWidth="1"/>
    <col min="8064" max="8064" width="68.1796875" style="44" bestFit="1" customWidth="1"/>
    <col min="8065" max="8065" width="91.7265625" style="44" bestFit="1" customWidth="1"/>
    <col min="8066" max="8066" width="63.36328125" style="44" bestFit="1" customWidth="1"/>
    <col min="8067" max="8067" width="66.6328125" style="44" bestFit="1" customWidth="1"/>
    <col min="8068" max="8068" width="63.36328125" style="44" bestFit="1" customWidth="1"/>
    <col min="8069" max="8069" width="63.453125" style="44" bestFit="1" customWidth="1"/>
    <col min="8070" max="8070" width="87.54296875" style="44" bestFit="1" customWidth="1"/>
    <col min="8071" max="8071" width="93.81640625" style="44" bestFit="1" customWidth="1"/>
    <col min="8072" max="8072" width="66.453125" style="44" bestFit="1" customWidth="1"/>
    <col min="8073" max="8074" width="110" style="44" bestFit="1" customWidth="1"/>
    <col min="8075" max="8075" width="103.1796875" style="44" bestFit="1" customWidth="1"/>
    <col min="8076" max="8076" width="62.453125" style="44" bestFit="1" customWidth="1"/>
    <col min="8077" max="8077" width="77.453125" style="44" bestFit="1" customWidth="1"/>
    <col min="8078" max="8078" width="91.54296875" style="44" bestFit="1" customWidth="1"/>
    <col min="8079" max="8079" width="88.08984375" style="44" bestFit="1" customWidth="1"/>
    <col min="8080" max="8080" width="80.6328125" style="44" bestFit="1" customWidth="1"/>
    <col min="8081" max="8081" width="77.453125" style="44" bestFit="1" customWidth="1"/>
    <col min="8082" max="8082" width="85.1796875" style="44" bestFit="1" customWidth="1"/>
    <col min="8083" max="8086" width="72.36328125" style="44" bestFit="1" customWidth="1"/>
    <col min="8087" max="8088" width="95" style="44" bestFit="1" customWidth="1"/>
    <col min="8089" max="8089" width="64.08984375" style="44" bestFit="1" customWidth="1"/>
    <col min="8090" max="8090" width="110.08984375" style="44" bestFit="1" customWidth="1"/>
    <col min="8091" max="8091" width="86.36328125" style="44" bestFit="1" customWidth="1"/>
    <col min="8092" max="8092" width="89.36328125" style="44" bestFit="1" customWidth="1"/>
    <col min="8093" max="8093" width="89.81640625" style="44" bestFit="1" customWidth="1"/>
    <col min="8094" max="8094" width="64.26953125" style="44" bestFit="1" customWidth="1"/>
    <col min="8095" max="8095" width="85.7265625" style="44" bestFit="1" customWidth="1"/>
    <col min="8096" max="8096" width="73" style="44" bestFit="1" customWidth="1"/>
    <col min="8097" max="8097" width="92.7265625" style="44" bestFit="1" customWidth="1"/>
    <col min="8098" max="8098" width="92.36328125" style="44" bestFit="1" customWidth="1"/>
    <col min="8099" max="8099" width="72" style="44" bestFit="1" customWidth="1"/>
    <col min="8100" max="8100" width="82" style="44" bestFit="1" customWidth="1"/>
    <col min="8101" max="8101" width="79.36328125" style="44" bestFit="1" customWidth="1"/>
    <col min="8102" max="8102" width="81" style="44" bestFit="1" customWidth="1"/>
    <col min="8103" max="8103" width="72.90625" style="44" bestFit="1" customWidth="1"/>
    <col min="8104" max="8104" width="90.81640625" style="44" bestFit="1" customWidth="1"/>
    <col min="8105" max="8105" width="84" style="44" bestFit="1" customWidth="1"/>
    <col min="8106" max="8107" width="73.36328125" style="44" bestFit="1" customWidth="1"/>
    <col min="8108" max="8108" width="90.6328125" style="44" bestFit="1" customWidth="1"/>
    <col min="8109" max="8109" width="89.453125" style="44" bestFit="1" customWidth="1"/>
    <col min="8110" max="8110" width="84.6328125" style="44" bestFit="1" customWidth="1"/>
    <col min="8111" max="8111" width="74.54296875" style="44" bestFit="1" customWidth="1"/>
    <col min="8112" max="8112" width="76.90625" style="44" bestFit="1" customWidth="1"/>
    <col min="8113" max="8113" width="83" style="44" bestFit="1" customWidth="1"/>
    <col min="8114" max="8114" width="85.81640625" style="44" bestFit="1" customWidth="1"/>
    <col min="8115" max="8115" width="83.7265625" style="44" bestFit="1" customWidth="1"/>
    <col min="8116" max="8116" width="79.54296875" style="44" bestFit="1" customWidth="1"/>
    <col min="8117" max="8117" width="80.54296875" style="44" bestFit="1" customWidth="1"/>
    <col min="8118" max="8118" width="89.54296875" style="44" bestFit="1" customWidth="1"/>
    <col min="8119" max="8119" width="85.36328125" style="44" bestFit="1" customWidth="1"/>
    <col min="8120" max="8120" width="61.6328125" style="44" bestFit="1" customWidth="1"/>
    <col min="8121" max="8121" width="132.54296875" style="44" bestFit="1" customWidth="1"/>
    <col min="8122" max="8122" width="93.1796875" style="44" bestFit="1" customWidth="1"/>
    <col min="8123" max="8123" width="91.08984375" style="44" bestFit="1" customWidth="1"/>
    <col min="8124" max="8124" width="81.7265625" style="44" bestFit="1" customWidth="1"/>
    <col min="8125" max="8126" width="80.90625" style="44" bestFit="1" customWidth="1"/>
    <col min="8127" max="8127" width="83.26953125" style="44" bestFit="1" customWidth="1"/>
    <col min="8128" max="8128" width="101.453125" style="44" bestFit="1" customWidth="1"/>
    <col min="8129" max="8129" width="110.1796875" style="44" bestFit="1" customWidth="1"/>
    <col min="8130" max="8130" width="74.6328125" style="44" bestFit="1" customWidth="1"/>
    <col min="8131" max="8134" width="84.54296875" style="44" bestFit="1" customWidth="1"/>
    <col min="8135" max="8135" width="74.36328125" style="44" bestFit="1" customWidth="1"/>
    <col min="8136" max="8136" width="88.1796875" style="44" bestFit="1" customWidth="1"/>
    <col min="8137" max="8137" width="78.6328125" style="44" bestFit="1" customWidth="1"/>
    <col min="8138" max="8138" width="76.81640625" style="44" bestFit="1" customWidth="1"/>
    <col min="8139" max="8139" width="74.7265625" style="44" bestFit="1" customWidth="1"/>
    <col min="8140" max="8140" width="87.26953125" style="44" bestFit="1" customWidth="1"/>
    <col min="8141" max="8141" width="85.54296875" style="44" bestFit="1" customWidth="1"/>
    <col min="8142" max="8142" width="100.26953125" style="44" bestFit="1" customWidth="1"/>
    <col min="8143" max="8143" width="71.36328125" style="44" bestFit="1" customWidth="1"/>
    <col min="8144" max="8144" width="105.453125" style="44" bestFit="1" customWidth="1"/>
    <col min="8145" max="8145" width="103.08984375" style="44" bestFit="1" customWidth="1"/>
    <col min="8146" max="8146" width="85.7265625" style="44" bestFit="1" customWidth="1"/>
    <col min="8147" max="8147" width="99.26953125" style="44" bestFit="1" customWidth="1"/>
    <col min="8148" max="8148" width="83.54296875" style="44" bestFit="1" customWidth="1"/>
    <col min="8149" max="8149" width="96.90625" style="44" bestFit="1" customWidth="1"/>
    <col min="8150" max="8150" width="74.26953125" style="44" bestFit="1" customWidth="1"/>
    <col min="8151" max="8151" width="98.36328125" style="44" bestFit="1" customWidth="1"/>
    <col min="8152" max="8152" width="74.453125" style="44" bestFit="1" customWidth="1"/>
    <col min="8153" max="8153" width="88.81640625" style="44" bestFit="1" customWidth="1"/>
    <col min="8154" max="8154" width="67.6328125" style="44" bestFit="1" customWidth="1"/>
    <col min="8155" max="8155" width="93.08984375" style="44" bestFit="1" customWidth="1"/>
    <col min="8156" max="8156" width="101.453125" style="44" bestFit="1" customWidth="1"/>
    <col min="8157" max="8159" width="76.81640625" style="44" bestFit="1" customWidth="1"/>
    <col min="8160" max="8160" width="87.08984375" style="44" bestFit="1" customWidth="1"/>
    <col min="8161" max="8161" width="72.453125" style="44" bestFit="1" customWidth="1"/>
    <col min="8162" max="8162" width="87.81640625" style="44" bestFit="1" customWidth="1"/>
    <col min="8163" max="8163" width="71.7265625" style="44" bestFit="1" customWidth="1"/>
    <col min="8164" max="8164" width="74" style="44" bestFit="1" customWidth="1"/>
    <col min="8165" max="8165" width="74.08984375" style="44" bestFit="1" customWidth="1"/>
    <col min="8166" max="8168" width="86.81640625" style="44" bestFit="1" customWidth="1"/>
    <col min="8169" max="8169" width="104.7265625" style="44" bestFit="1" customWidth="1"/>
    <col min="8170" max="8170" width="101.81640625" style="44" bestFit="1" customWidth="1"/>
    <col min="8171" max="8171" width="64.453125" style="44" bestFit="1" customWidth="1"/>
    <col min="8172" max="8172" width="65.1796875" style="44" bestFit="1" customWidth="1"/>
    <col min="8173" max="8173" width="72.453125" style="44" bestFit="1" customWidth="1"/>
    <col min="8174" max="8174" width="81.36328125" style="44" bestFit="1" customWidth="1"/>
    <col min="8175" max="8175" width="65.1796875" style="44" bestFit="1" customWidth="1"/>
    <col min="8176" max="8176" width="80.90625" style="44" bestFit="1" customWidth="1"/>
    <col min="8177" max="8177" width="71.7265625" style="44" bestFit="1" customWidth="1"/>
    <col min="8178" max="8178" width="73.6328125" style="44" bestFit="1" customWidth="1"/>
    <col min="8179" max="8180" width="85.36328125" style="44" bestFit="1" customWidth="1"/>
    <col min="8181" max="8181" width="92.26953125" style="44" bestFit="1" customWidth="1"/>
    <col min="8182" max="8182" width="106.1796875" style="44" bestFit="1" customWidth="1"/>
    <col min="8183" max="8183" width="86.6328125" style="44" bestFit="1" customWidth="1"/>
    <col min="8184" max="8185" width="68.90625" style="44" bestFit="1" customWidth="1"/>
    <col min="8186" max="8186" width="80.54296875" style="44" bestFit="1" customWidth="1"/>
    <col min="8187" max="8187" width="68.90625" style="44" bestFit="1" customWidth="1"/>
    <col min="8188" max="8188" width="79.1796875" style="44" bestFit="1" customWidth="1"/>
    <col min="8189" max="8189" width="79.26953125" style="44" bestFit="1" customWidth="1"/>
    <col min="8190" max="8190" width="80.1796875" style="44" bestFit="1" customWidth="1"/>
    <col min="8191" max="8191" width="84.81640625" style="44" bestFit="1" customWidth="1"/>
    <col min="8192" max="8192" width="76.81640625" style="44" bestFit="1" customWidth="1"/>
    <col min="8193" max="8193" width="7.90625" style="44" bestFit="1" customWidth="1"/>
    <col min="8194" max="8194" width="132.54296875" style="44" bestFit="1" customWidth="1"/>
    <col min="8195" max="8195" width="45.36328125" style="44" bestFit="1" customWidth="1"/>
    <col min="8196" max="8196" width="14.08984375" style="44" bestFit="1" customWidth="1"/>
    <col min="8197" max="8198" width="8.7265625" style="44"/>
    <col min="8199" max="8199" width="49.7265625" style="44" bestFit="1" customWidth="1"/>
    <col min="8200" max="8200" width="7.90625" style="44" bestFit="1" customWidth="1"/>
    <col min="8201" max="8201" width="7.81640625" style="44" bestFit="1" customWidth="1"/>
    <col min="8202" max="8213" width="8.81640625" style="44" bestFit="1" customWidth="1"/>
    <col min="8214" max="8214" width="10.81640625" style="44" bestFit="1" customWidth="1"/>
    <col min="8215" max="8215" width="93.36328125" style="44" bestFit="1" customWidth="1"/>
    <col min="8216" max="8216" width="87.6328125" style="44" bestFit="1" customWidth="1"/>
    <col min="8217" max="8217" width="69.26953125" style="44" bestFit="1" customWidth="1"/>
    <col min="8218" max="8218" width="68.54296875" style="44" bestFit="1" customWidth="1"/>
    <col min="8219" max="8219" width="67.6328125" style="44" bestFit="1" customWidth="1"/>
    <col min="8220" max="8220" width="64" style="44" bestFit="1" customWidth="1"/>
    <col min="8221" max="8221" width="43.81640625" style="44" bestFit="1" customWidth="1"/>
    <col min="8222" max="8222" width="39.81640625" style="44" bestFit="1" customWidth="1"/>
    <col min="8223" max="8223" width="85.26953125" style="44" bestFit="1" customWidth="1"/>
    <col min="8224" max="8224" width="84.08984375" style="44" bestFit="1" customWidth="1"/>
    <col min="8225" max="8225" width="91" style="44" bestFit="1" customWidth="1"/>
    <col min="8226" max="8226" width="79" style="44" bestFit="1" customWidth="1"/>
    <col min="8227" max="8227" width="89.90625" style="44" bestFit="1" customWidth="1"/>
    <col min="8228" max="8234" width="90.90625" style="44" bestFit="1" customWidth="1"/>
    <col min="8235" max="8235" width="91.90625" style="44" bestFit="1" customWidth="1"/>
    <col min="8236" max="8236" width="73.08984375" style="44" bestFit="1" customWidth="1"/>
    <col min="8237" max="8237" width="61.1796875" style="44" bestFit="1" customWidth="1"/>
    <col min="8238" max="8238" width="94.1796875" style="44" bestFit="1" customWidth="1"/>
    <col min="8239" max="8239" width="84.453125" style="44" bestFit="1" customWidth="1"/>
    <col min="8240" max="8240" width="86.81640625" style="44" bestFit="1" customWidth="1"/>
    <col min="8241" max="8241" width="90.08984375" style="44" bestFit="1" customWidth="1"/>
    <col min="8242" max="8242" width="86.7265625" style="44" bestFit="1" customWidth="1"/>
    <col min="8243" max="8243" width="87.6328125" style="44" bestFit="1" customWidth="1"/>
    <col min="8244" max="8246" width="97.6328125" style="44" bestFit="1" customWidth="1"/>
    <col min="8247" max="8247" width="72.54296875" style="44" bestFit="1" customWidth="1"/>
    <col min="8248" max="8248" width="73.6328125" style="44" bestFit="1" customWidth="1"/>
    <col min="8249" max="8249" width="58.6328125" style="44" bestFit="1" customWidth="1"/>
    <col min="8250" max="8251" width="74.08984375" style="44" bestFit="1" customWidth="1"/>
    <col min="8252" max="8252" width="75.54296875" style="44" bestFit="1" customWidth="1"/>
    <col min="8253" max="8253" width="92" style="44" bestFit="1" customWidth="1"/>
    <col min="8254" max="8254" width="93.54296875" style="44" bestFit="1" customWidth="1"/>
    <col min="8255" max="8256" width="75.54296875" style="44" bestFit="1" customWidth="1"/>
    <col min="8257" max="8257" width="78.08984375" style="44" bestFit="1" customWidth="1"/>
    <col min="8258" max="8258" width="70" style="44" bestFit="1" customWidth="1"/>
    <col min="8259" max="8259" width="84.81640625" style="44" bestFit="1" customWidth="1"/>
    <col min="8260" max="8260" width="93" style="44" bestFit="1" customWidth="1"/>
    <col min="8261" max="8261" width="83.453125" style="44" bestFit="1" customWidth="1"/>
    <col min="8262" max="8262" width="100.90625" style="44" bestFit="1" customWidth="1"/>
    <col min="8263" max="8265" width="64.54296875" style="44" bestFit="1" customWidth="1"/>
    <col min="8266" max="8267" width="82.7265625" style="44" bestFit="1" customWidth="1"/>
    <col min="8268" max="8268" width="99.453125" style="44" bestFit="1" customWidth="1"/>
    <col min="8269" max="8269" width="78.1796875" style="44" bestFit="1" customWidth="1"/>
    <col min="8270" max="8270" width="71.36328125" style="44" bestFit="1" customWidth="1"/>
    <col min="8271" max="8271" width="71.26953125" style="44" bestFit="1" customWidth="1"/>
    <col min="8272" max="8275" width="76.453125" style="44" bestFit="1" customWidth="1"/>
    <col min="8276" max="8276" width="70.54296875" style="44" bestFit="1" customWidth="1"/>
    <col min="8277" max="8277" width="63.36328125" style="44" bestFit="1" customWidth="1"/>
    <col min="8278" max="8278" width="97.81640625" style="44" bestFit="1" customWidth="1"/>
    <col min="8279" max="8280" width="73" style="44" bestFit="1" customWidth="1"/>
    <col min="8281" max="8281" width="79" style="44" bestFit="1" customWidth="1"/>
    <col min="8282" max="8282" width="73" style="44" bestFit="1" customWidth="1"/>
    <col min="8283" max="8283" width="82.1796875" style="44" bestFit="1" customWidth="1"/>
    <col min="8284" max="8284" width="61.453125" style="44" bestFit="1" customWidth="1"/>
    <col min="8285" max="8286" width="99.90625" style="44" bestFit="1" customWidth="1"/>
    <col min="8287" max="8287" width="100.36328125" style="44" bestFit="1" customWidth="1"/>
    <col min="8288" max="8288" width="84.453125" style="44" bestFit="1" customWidth="1"/>
    <col min="8289" max="8289" width="113.36328125" style="44" bestFit="1" customWidth="1"/>
    <col min="8290" max="8290" width="98.453125" style="44" bestFit="1" customWidth="1"/>
    <col min="8291" max="8291" width="99.7265625" style="44" bestFit="1" customWidth="1"/>
    <col min="8292" max="8292" width="99.54296875" style="44" bestFit="1" customWidth="1"/>
    <col min="8293" max="8293" width="96.81640625" style="44" bestFit="1" customWidth="1"/>
    <col min="8294" max="8294" width="94.08984375" style="44" bestFit="1" customWidth="1"/>
    <col min="8295" max="8295" width="100.453125" style="44" bestFit="1" customWidth="1"/>
    <col min="8296" max="8296" width="98.6328125" style="44" bestFit="1" customWidth="1"/>
    <col min="8297" max="8297" width="77.453125" style="44" bestFit="1" customWidth="1"/>
    <col min="8298" max="8298" width="95.1796875" style="44" bestFit="1" customWidth="1"/>
    <col min="8299" max="8299" width="86.6328125" style="44" bestFit="1" customWidth="1"/>
    <col min="8300" max="8300" width="77.26953125" style="44" bestFit="1" customWidth="1"/>
    <col min="8301" max="8301" width="85.1796875" style="44" bestFit="1" customWidth="1"/>
    <col min="8302" max="8302" width="74.7265625" style="44" bestFit="1" customWidth="1"/>
    <col min="8303" max="8303" width="92" style="44" bestFit="1" customWidth="1"/>
    <col min="8304" max="8304" width="72.26953125" style="44" bestFit="1" customWidth="1"/>
    <col min="8305" max="8305" width="97.08984375" style="44" bestFit="1" customWidth="1"/>
    <col min="8306" max="8306" width="77.08984375" style="44" bestFit="1" customWidth="1"/>
    <col min="8307" max="8307" width="85.08984375" style="44" bestFit="1" customWidth="1"/>
    <col min="8308" max="8309" width="83.1796875" style="44" bestFit="1" customWidth="1"/>
    <col min="8310" max="8310" width="82.6328125" style="44" bestFit="1" customWidth="1"/>
    <col min="8311" max="8311" width="86.26953125" style="44" bestFit="1" customWidth="1"/>
    <col min="8312" max="8312" width="71.1796875" style="44" bestFit="1" customWidth="1"/>
    <col min="8313" max="8313" width="66.6328125" style="44" bestFit="1" customWidth="1"/>
    <col min="8314" max="8315" width="83.1796875" style="44" bestFit="1" customWidth="1"/>
    <col min="8316" max="8316" width="67.08984375" style="44" bestFit="1" customWidth="1"/>
    <col min="8317" max="8317" width="76.54296875" style="44" bestFit="1" customWidth="1"/>
    <col min="8318" max="8318" width="94.08984375" style="44" bestFit="1" customWidth="1"/>
    <col min="8319" max="8319" width="89.08984375" style="44" bestFit="1" customWidth="1"/>
    <col min="8320" max="8320" width="68.1796875" style="44" bestFit="1" customWidth="1"/>
    <col min="8321" max="8321" width="91.7265625" style="44" bestFit="1" customWidth="1"/>
    <col min="8322" max="8322" width="63.36328125" style="44" bestFit="1" customWidth="1"/>
    <col min="8323" max="8323" width="66.6328125" style="44" bestFit="1" customWidth="1"/>
    <col min="8324" max="8324" width="63.36328125" style="44" bestFit="1" customWidth="1"/>
    <col min="8325" max="8325" width="63.453125" style="44" bestFit="1" customWidth="1"/>
    <col min="8326" max="8326" width="87.54296875" style="44" bestFit="1" customWidth="1"/>
    <col min="8327" max="8327" width="93.81640625" style="44" bestFit="1" customWidth="1"/>
    <col min="8328" max="8328" width="66.453125" style="44" bestFit="1" customWidth="1"/>
    <col min="8329" max="8330" width="110" style="44" bestFit="1" customWidth="1"/>
    <col min="8331" max="8331" width="103.1796875" style="44" bestFit="1" customWidth="1"/>
    <col min="8332" max="8332" width="62.453125" style="44" bestFit="1" customWidth="1"/>
    <col min="8333" max="8333" width="77.453125" style="44" bestFit="1" customWidth="1"/>
    <col min="8334" max="8334" width="91.54296875" style="44" bestFit="1" customWidth="1"/>
    <col min="8335" max="8335" width="88.08984375" style="44" bestFit="1" customWidth="1"/>
    <col min="8336" max="8336" width="80.6328125" style="44" bestFit="1" customWidth="1"/>
    <col min="8337" max="8337" width="77.453125" style="44" bestFit="1" customWidth="1"/>
    <col min="8338" max="8338" width="85.1796875" style="44" bestFit="1" customWidth="1"/>
    <col min="8339" max="8342" width="72.36328125" style="44" bestFit="1" customWidth="1"/>
    <col min="8343" max="8344" width="95" style="44" bestFit="1" customWidth="1"/>
    <col min="8345" max="8345" width="64.08984375" style="44" bestFit="1" customWidth="1"/>
    <col min="8346" max="8346" width="110.08984375" style="44" bestFit="1" customWidth="1"/>
    <col min="8347" max="8347" width="86.36328125" style="44" bestFit="1" customWidth="1"/>
    <col min="8348" max="8348" width="89.36328125" style="44" bestFit="1" customWidth="1"/>
    <col min="8349" max="8349" width="89.81640625" style="44" bestFit="1" customWidth="1"/>
    <col min="8350" max="8350" width="64.26953125" style="44" bestFit="1" customWidth="1"/>
    <col min="8351" max="8351" width="85.7265625" style="44" bestFit="1" customWidth="1"/>
    <col min="8352" max="8352" width="73" style="44" bestFit="1" customWidth="1"/>
    <col min="8353" max="8353" width="92.7265625" style="44" bestFit="1" customWidth="1"/>
    <col min="8354" max="8354" width="92.36328125" style="44" bestFit="1" customWidth="1"/>
    <col min="8355" max="8355" width="72" style="44" bestFit="1" customWidth="1"/>
    <col min="8356" max="8356" width="82" style="44" bestFit="1" customWidth="1"/>
    <col min="8357" max="8357" width="79.36328125" style="44" bestFit="1" customWidth="1"/>
    <col min="8358" max="8358" width="81" style="44" bestFit="1" customWidth="1"/>
    <col min="8359" max="8359" width="72.90625" style="44" bestFit="1" customWidth="1"/>
    <col min="8360" max="8360" width="90.81640625" style="44" bestFit="1" customWidth="1"/>
    <col min="8361" max="8361" width="84" style="44" bestFit="1" customWidth="1"/>
    <col min="8362" max="8363" width="73.36328125" style="44" bestFit="1" customWidth="1"/>
    <col min="8364" max="8364" width="90.6328125" style="44" bestFit="1" customWidth="1"/>
    <col min="8365" max="8365" width="89.453125" style="44" bestFit="1" customWidth="1"/>
    <col min="8366" max="8366" width="84.6328125" style="44" bestFit="1" customWidth="1"/>
    <col min="8367" max="8367" width="74.54296875" style="44" bestFit="1" customWidth="1"/>
    <col min="8368" max="8368" width="76.90625" style="44" bestFit="1" customWidth="1"/>
    <col min="8369" max="8369" width="83" style="44" bestFit="1" customWidth="1"/>
    <col min="8370" max="8370" width="85.81640625" style="44" bestFit="1" customWidth="1"/>
    <col min="8371" max="8371" width="83.7265625" style="44" bestFit="1" customWidth="1"/>
    <col min="8372" max="8372" width="79.54296875" style="44" bestFit="1" customWidth="1"/>
    <col min="8373" max="8373" width="80.54296875" style="44" bestFit="1" customWidth="1"/>
    <col min="8374" max="8374" width="89.54296875" style="44" bestFit="1" customWidth="1"/>
    <col min="8375" max="8375" width="85.36328125" style="44" bestFit="1" customWidth="1"/>
    <col min="8376" max="8376" width="61.6328125" style="44" bestFit="1" customWidth="1"/>
    <col min="8377" max="8377" width="132.54296875" style="44" bestFit="1" customWidth="1"/>
    <col min="8378" max="8378" width="93.1796875" style="44" bestFit="1" customWidth="1"/>
    <col min="8379" max="8379" width="91.08984375" style="44" bestFit="1" customWidth="1"/>
    <col min="8380" max="8380" width="81.7265625" style="44" bestFit="1" customWidth="1"/>
    <col min="8381" max="8382" width="80.90625" style="44" bestFit="1" customWidth="1"/>
    <col min="8383" max="8383" width="83.26953125" style="44" bestFit="1" customWidth="1"/>
    <col min="8384" max="8384" width="101.453125" style="44" bestFit="1" customWidth="1"/>
    <col min="8385" max="8385" width="110.1796875" style="44" bestFit="1" customWidth="1"/>
    <col min="8386" max="8386" width="74.6328125" style="44" bestFit="1" customWidth="1"/>
    <col min="8387" max="8390" width="84.54296875" style="44" bestFit="1" customWidth="1"/>
    <col min="8391" max="8391" width="74.36328125" style="44" bestFit="1" customWidth="1"/>
    <col min="8392" max="8392" width="88.1796875" style="44" bestFit="1" customWidth="1"/>
    <col min="8393" max="8393" width="78.6328125" style="44" bestFit="1" customWidth="1"/>
    <col min="8394" max="8394" width="76.81640625" style="44" bestFit="1" customWidth="1"/>
    <col min="8395" max="8395" width="74.7265625" style="44" bestFit="1" customWidth="1"/>
    <col min="8396" max="8396" width="87.26953125" style="44" bestFit="1" customWidth="1"/>
    <col min="8397" max="8397" width="85.54296875" style="44" bestFit="1" customWidth="1"/>
    <col min="8398" max="8398" width="100.26953125" style="44" bestFit="1" customWidth="1"/>
    <col min="8399" max="8399" width="71.36328125" style="44" bestFit="1" customWidth="1"/>
    <col min="8400" max="8400" width="105.453125" style="44" bestFit="1" customWidth="1"/>
    <col min="8401" max="8401" width="103.08984375" style="44" bestFit="1" customWidth="1"/>
    <col min="8402" max="8402" width="85.7265625" style="44" bestFit="1" customWidth="1"/>
    <col min="8403" max="8403" width="99.26953125" style="44" bestFit="1" customWidth="1"/>
    <col min="8404" max="8404" width="83.54296875" style="44" bestFit="1" customWidth="1"/>
    <col min="8405" max="8405" width="96.90625" style="44" bestFit="1" customWidth="1"/>
    <col min="8406" max="8406" width="74.26953125" style="44" bestFit="1" customWidth="1"/>
    <col min="8407" max="8407" width="98.36328125" style="44" bestFit="1" customWidth="1"/>
    <col min="8408" max="8408" width="74.453125" style="44" bestFit="1" customWidth="1"/>
    <col min="8409" max="8409" width="88.81640625" style="44" bestFit="1" customWidth="1"/>
    <col min="8410" max="8410" width="67.6328125" style="44" bestFit="1" customWidth="1"/>
    <col min="8411" max="8411" width="93.08984375" style="44" bestFit="1" customWidth="1"/>
    <col min="8412" max="8412" width="101.453125" style="44" bestFit="1" customWidth="1"/>
    <col min="8413" max="8415" width="76.81640625" style="44" bestFit="1" customWidth="1"/>
    <col min="8416" max="8416" width="87.08984375" style="44" bestFit="1" customWidth="1"/>
    <col min="8417" max="8417" width="72.453125" style="44" bestFit="1" customWidth="1"/>
    <col min="8418" max="8418" width="87.81640625" style="44" bestFit="1" customWidth="1"/>
    <col min="8419" max="8419" width="71.7265625" style="44" bestFit="1" customWidth="1"/>
    <col min="8420" max="8420" width="74" style="44" bestFit="1" customWidth="1"/>
    <col min="8421" max="8421" width="74.08984375" style="44" bestFit="1" customWidth="1"/>
    <col min="8422" max="8424" width="86.81640625" style="44" bestFit="1" customWidth="1"/>
    <col min="8425" max="8425" width="104.7265625" style="44" bestFit="1" customWidth="1"/>
    <col min="8426" max="8426" width="101.81640625" style="44" bestFit="1" customWidth="1"/>
    <col min="8427" max="8427" width="64.453125" style="44" bestFit="1" customWidth="1"/>
    <col min="8428" max="8428" width="65.1796875" style="44" bestFit="1" customWidth="1"/>
    <col min="8429" max="8429" width="72.453125" style="44" bestFit="1" customWidth="1"/>
    <col min="8430" max="8430" width="81.36328125" style="44" bestFit="1" customWidth="1"/>
    <col min="8431" max="8431" width="65.1796875" style="44" bestFit="1" customWidth="1"/>
    <col min="8432" max="8432" width="80.90625" style="44" bestFit="1" customWidth="1"/>
    <col min="8433" max="8433" width="71.7265625" style="44" bestFit="1" customWidth="1"/>
    <col min="8434" max="8434" width="73.6328125" style="44" bestFit="1" customWidth="1"/>
    <col min="8435" max="8436" width="85.36328125" style="44" bestFit="1" customWidth="1"/>
    <col min="8437" max="8437" width="92.26953125" style="44" bestFit="1" customWidth="1"/>
    <col min="8438" max="8438" width="106.1796875" style="44" bestFit="1" customWidth="1"/>
    <col min="8439" max="8439" width="86.6328125" style="44" bestFit="1" customWidth="1"/>
    <col min="8440" max="8441" width="68.90625" style="44" bestFit="1" customWidth="1"/>
    <col min="8442" max="8442" width="80.54296875" style="44" bestFit="1" customWidth="1"/>
    <col min="8443" max="8443" width="68.90625" style="44" bestFit="1" customWidth="1"/>
    <col min="8444" max="8444" width="79.1796875" style="44" bestFit="1" customWidth="1"/>
    <col min="8445" max="8445" width="79.26953125" style="44" bestFit="1" customWidth="1"/>
    <col min="8446" max="8446" width="80.1796875" style="44" bestFit="1" customWidth="1"/>
    <col min="8447" max="8447" width="84.81640625" style="44" bestFit="1" customWidth="1"/>
    <col min="8448" max="8448" width="76.81640625" style="44" bestFit="1" customWidth="1"/>
    <col min="8449" max="8449" width="7.90625" style="44" bestFit="1" customWidth="1"/>
    <col min="8450" max="8450" width="132.54296875" style="44" bestFit="1" customWidth="1"/>
    <col min="8451" max="8451" width="45.36328125" style="44" bestFit="1" customWidth="1"/>
    <col min="8452" max="8452" width="14.08984375" style="44" bestFit="1" customWidth="1"/>
    <col min="8453" max="8454" width="8.7265625" style="44"/>
    <col min="8455" max="8455" width="49.7265625" style="44" bestFit="1" customWidth="1"/>
    <col min="8456" max="8456" width="7.90625" style="44" bestFit="1" customWidth="1"/>
    <col min="8457" max="8457" width="7.81640625" style="44" bestFit="1" customWidth="1"/>
    <col min="8458" max="8469" width="8.81640625" style="44" bestFit="1" customWidth="1"/>
    <col min="8470" max="8470" width="10.81640625" style="44" bestFit="1" customWidth="1"/>
    <col min="8471" max="8471" width="93.36328125" style="44" bestFit="1" customWidth="1"/>
    <col min="8472" max="8472" width="87.6328125" style="44" bestFit="1" customWidth="1"/>
    <col min="8473" max="8473" width="69.26953125" style="44" bestFit="1" customWidth="1"/>
    <col min="8474" max="8474" width="68.54296875" style="44" bestFit="1" customWidth="1"/>
    <col min="8475" max="8475" width="67.6328125" style="44" bestFit="1" customWidth="1"/>
    <col min="8476" max="8476" width="64" style="44" bestFit="1" customWidth="1"/>
    <col min="8477" max="8477" width="43.81640625" style="44" bestFit="1" customWidth="1"/>
    <col min="8478" max="8478" width="39.81640625" style="44" bestFit="1" customWidth="1"/>
    <col min="8479" max="8479" width="85.26953125" style="44" bestFit="1" customWidth="1"/>
    <col min="8480" max="8480" width="84.08984375" style="44" bestFit="1" customWidth="1"/>
    <col min="8481" max="8481" width="91" style="44" bestFit="1" customWidth="1"/>
    <col min="8482" max="8482" width="79" style="44" bestFit="1" customWidth="1"/>
    <col min="8483" max="8483" width="89.90625" style="44" bestFit="1" customWidth="1"/>
    <col min="8484" max="8490" width="90.90625" style="44" bestFit="1" customWidth="1"/>
    <col min="8491" max="8491" width="91.90625" style="44" bestFit="1" customWidth="1"/>
    <col min="8492" max="8492" width="73.08984375" style="44" bestFit="1" customWidth="1"/>
    <col min="8493" max="8493" width="61.1796875" style="44" bestFit="1" customWidth="1"/>
    <col min="8494" max="8494" width="94.1796875" style="44" bestFit="1" customWidth="1"/>
    <col min="8495" max="8495" width="84.453125" style="44" bestFit="1" customWidth="1"/>
    <col min="8496" max="8496" width="86.81640625" style="44" bestFit="1" customWidth="1"/>
    <col min="8497" max="8497" width="90.08984375" style="44" bestFit="1" customWidth="1"/>
    <col min="8498" max="8498" width="86.7265625" style="44" bestFit="1" customWidth="1"/>
    <col min="8499" max="8499" width="87.6328125" style="44" bestFit="1" customWidth="1"/>
    <col min="8500" max="8502" width="97.6328125" style="44" bestFit="1" customWidth="1"/>
    <col min="8503" max="8503" width="72.54296875" style="44" bestFit="1" customWidth="1"/>
    <col min="8504" max="8504" width="73.6328125" style="44" bestFit="1" customWidth="1"/>
    <col min="8505" max="8505" width="58.6328125" style="44" bestFit="1" customWidth="1"/>
    <col min="8506" max="8507" width="74.08984375" style="44" bestFit="1" customWidth="1"/>
    <col min="8508" max="8508" width="75.54296875" style="44" bestFit="1" customWidth="1"/>
    <col min="8509" max="8509" width="92" style="44" bestFit="1" customWidth="1"/>
    <col min="8510" max="8510" width="93.54296875" style="44" bestFit="1" customWidth="1"/>
    <col min="8511" max="8512" width="75.54296875" style="44" bestFit="1" customWidth="1"/>
    <col min="8513" max="8513" width="78.08984375" style="44" bestFit="1" customWidth="1"/>
    <col min="8514" max="8514" width="70" style="44" bestFit="1" customWidth="1"/>
    <col min="8515" max="8515" width="84.81640625" style="44" bestFit="1" customWidth="1"/>
    <col min="8516" max="8516" width="93" style="44" bestFit="1" customWidth="1"/>
    <col min="8517" max="8517" width="83.453125" style="44" bestFit="1" customWidth="1"/>
    <col min="8518" max="8518" width="100.90625" style="44" bestFit="1" customWidth="1"/>
    <col min="8519" max="8521" width="64.54296875" style="44" bestFit="1" customWidth="1"/>
    <col min="8522" max="8523" width="82.7265625" style="44" bestFit="1" customWidth="1"/>
    <col min="8524" max="8524" width="99.453125" style="44" bestFit="1" customWidth="1"/>
    <col min="8525" max="8525" width="78.1796875" style="44" bestFit="1" customWidth="1"/>
    <col min="8526" max="8526" width="71.36328125" style="44" bestFit="1" customWidth="1"/>
    <col min="8527" max="8527" width="71.26953125" style="44" bestFit="1" customWidth="1"/>
    <col min="8528" max="8531" width="76.453125" style="44" bestFit="1" customWidth="1"/>
    <col min="8532" max="8532" width="70.54296875" style="44" bestFit="1" customWidth="1"/>
    <col min="8533" max="8533" width="63.36328125" style="44" bestFit="1" customWidth="1"/>
    <col min="8534" max="8534" width="97.81640625" style="44" bestFit="1" customWidth="1"/>
    <col min="8535" max="8536" width="73" style="44" bestFit="1" customWidth="1"/>
    <col min="8537" max="8537" width="79" style="44" bestFit="1" customWidth="1"/>
    <col min="8538" max="8538" width="73" style="44" bestFit="1" customWidth="1"/>
    <col min="8539" max="8539" width="82.1796875" style="44" bestFit="1" customWidth="1"/>
    <col min="8540" max="8540" width="61.453125" style="44" bestFit="1" customWidth="1"/>
    <col min="8541" max="8542" width="99.90625" style="44" bestFit="1" customWidth="1"/>
    <col min="8543" max="8543" width="100.36328125" style="44" bestFit="1" customWidth="1"/>
    <col min="8544" max="8544" width="84.453125" style="44" bestFit="1" customWidth="1"/>
    <col min="8545" max="8545" width="113.36328125" style="44" bestFit="1" customWidth="1"/>
    <col min="8546" max="8546" width="98.453125" style="44" bestFit="1" customWidth="1"/>
    <col min="8547" max="8547" width="99.7265625" style="44" bestFit="1" customWidth="1"/>
    <col min="8548" max="8548" width="99.54296875" style="44" bestFit="1" customWidth="1"/>
    <col min="8549" max="8549" width="96.81640625" style="44" bestFit="1" customWidth="1"/>
    <col min="8550" max="8550" width="94.08984375" style="44" bestFit="1" customWidth="1"/>
    <col min="8551" max="8551" width="100.453125" style="44" bestFit="1" customWidth="1"/>
    <col min="8552" max="8552" width="98.6328125" style="44" bestFit="1" customWidth="1"/>
    <col min="8553" max="8553" width="77.453125" style="44" bestFit="1" customWidth="1"/>
    <col min="8554" max="8554" width="95.1796875" style="44" bestFit="1" customWidth="1"/>
    <col min="8555" max="8555" width="86.6328125" style="44" bestFit="1" customWidth="1"/>
    <col min="8556" max="8556" width="77.26953125" style="44" bestFit="1" customWidth="1"/>
    <col min="8557" max="8557" width="85.1796875" style="44" bestFit="1" customWidth="1"/>
    <col min="8558" max="8558" width="74.7265625" style="44" bestFit="1" customWidth="1"/>
    <col min="8559" max="8559" width="92" style="44" bestFit="1" customWidth="1"/>
    <col min="8560" max="8560" width="72.26953125" style="44" bestFit="1" customWidth="1"/>
    <col min="8561" max="8561" width="97.08984375" style="44" bestFit="1" customWidth="1"/>
    <col min="8562" max="8562" width="77.08984375" style="44" bestFit="1" customWidth="1"/>
    <col min="8563" max="8563" width="85.08984375" style="44" bestFit="1" customWidth="1"/>
    <col min="8564" max="8565" width="83.1796875" style="44" bestFit="1" customWidth="1"/>
    <col min="8566" max="8566" width="82.6328125" style="44" bestFit="1" customWidth="1"/>
    <col min="8567" max="8567" width="86.26953125" style="44" bestFit="1" customWidth="1"/>
    <col min="8568" max="8568" width="71.1796875" style="44" bestFit="1" customWidth="1"/>
    <col min="8569" max="8569" width="66.6328125" style="44" bestFit="1" customWidth="1"/>
    <col min="8570" max="8571" width="83.1796875" style="44" bestFit="1" customWidth="1"/>
    <col min="8572" max="8572" width="67.08984375" style="44" bestFit="1" customWidth="1"/>
    <col min="8573" max="8573" width="76.54296875" style="44" bestFit="1" customWidth="1"/>
    <col min="8574" max="8574" width="94.08984375" style="44" bestFit="1" customWidth="1"/>
    <col min="8575" max="8575" width="89.08984375" style="44" bestFit="1" customWidth="1"/>
    <col min="8576" max="8576" width="68.1796875" style="44" bestFit="1" customWidth="1"/>
    <col min="8577" max="8577" width="91.7265625" style="44" bestFit="1" customWidth="1"/>
    <col min="8578" max="8578" width="63.36328125" style="44" bestFit="1" customWidth="1"/>
    <col min="8579" max="8579" width="66.6328125" style="44" bestFit="1" customWidth="1"/>
    <col min="8580" max="8580" width="63.36328125" style="44" bestFit="1" customWidth="1"/>
    <col min="8581" max="8581" width="63.453125" style="44" bestFit="1" customWidth="1"/>
    <col min="8582" max="8582" width="87.54296875" style="44" bestFit="1" customWidth="1"/>
    <col min="8583" max="8583" width="93.81640625" style="44" bestFit="1" customWidth="1"/>
    <col min="8584" max="8584" width="66.453125" style="44" bestFit="1" customWidth="1"/>
    <col min="8585" max="8586" width="110" style="44" bestFit="1" customWidth="1"/>
    <col min="8587" max="8587" width="103.1796875" style="44" bestFit="1" customWidth="1"/>
    <col min="8588" max="8588" width="62.453125" style="44" bestFit="1" customWidth="1"/>
    <col min="8589" max="8589" width="77.453125" style="44" bestFit="1" customWidth="1"/>
    <col min="8590" max="8590" width="91.54296875" style="44" bestFit="1" customWidth="1"/>
    <col min="8591" max="8591" width="88.08984375" style="44" bestFit="1" customWidth="1"/>
    <col min="8592" max="8592" width="80.6328125" style="44" bestFit="1" customWidth="1"/>
    <col min="8593" max="8593" width="77.453125" style="44" bestFit="1" customWidth="1"/>
    <col min="8594" max="8594" width="85.1796875" style="44" bestFit="1" customWidth="1"/>
    <col min="8595" max="8598" width="72.36328125" style="44" bestFit="1" customWidth="1"/>
    <col min="8599" max="8600" width="95" style="44" bestFit="1" customWidth="1"/>
    <col min="8601" max="8601" width="64.08984375" style="44" bestFit="1" customWidth="1"/>
    <col min="8602" max="8602" width="110.08984375" style="44" bestFit="1" customWidth="1"/>
    <col min="8603" max="8603" width="86.36328125" style="44" bestFit="1" customWidth="1"/>
    <col min="8604" max="8604" width="89.36328125" style="44" bestFit="1" customWidth="1"/>
    <col min="8605" max="8605" width="89.81640625" style="44" bestFit="1" customWidth="1"/>
    <col min="8606" max="8606" width="64.26953125" style="44" bestFit="1" customWidth="1"/>
    <col min="8607" max="8607" width="85.7265625" style="44" bestFit="1" customWidth="1"/>
    <col min="8608" max="8608" width="73" style="44" bestFit="1" customWidth="1"/>
    <col min="8609" max="8609" width="92.7265625" style="44" bestFit="1" customWidth="1"/>
    <col min="8610" max="8610" width="92.36328125" style="44" bestFit="1" customWidth="1"/>
    <col min="8611" max="8611" width="72" style="44" bestFit="1" customWidth="1"/>
    <col min="8612" max="8612" width="82" style="44" bestFit="1" customWidth="1"/>
    <col min="8613" max="8613" width="79.36328125" style="44" bestFit="1" customWidth="1"/>
    <col min="8614" max="8614" width="81" style="44" bestFit="1" customWidth="1"/>
    <col min="8615" max="8615" width="72.90625" style="44" bestFit="1" customWidth="1"/>
    <col min="8616" max="8616" width="90.81640625" style="44" bestFit="1" customWidth="1"/>
    <col min="8617" max="8617" width="84" style="44" bestFit="1" customWidth="1"/>
    <col min="8618" max="8619" width="73.36328125" style="44" bestFit="1" customWidth="1"/>
    <col min="8620" max="8620" width="90.6328125" style="44" bestFit="1" customWidth="1"/>
    <col min="8621" max="8621" width="89.453125" style="44" bestFit="1" customWidth="1"/>
    <col min="8622" max="8622" width="84.6328125" style="44" bestFit="1" customWidth="1"/>
    <col min="8623" max="8623" width="74.54296875" style="44" bestFit="1" customWidth="1"/>
    <col min="8624" max="8624" width="76.90625" style="44" bestFit="1" customWidth="1"/>
    <col min="8625" max="8625" width="83" style="44" bestFit="1" customWidth="1"/>
    <col min="8626" max="8626" width="85.81640625" style="44" bestFit="1" customWidth="1"/>
    <col min="8627" max="8627" width="83.7265625" style="44" bestFit="1" customWidth="1"/>
    <col min="8628" max="8628" width="79.54296875" style="44" bestFit="1" customWidth="1"/>
    <col min="8629" max="8629" width="80.54296875" style="44" bestFit="1" customWidth="1"/>
    <col min="8630" max="8630" width="89.54296875" style="44" bestFit="1" customWidth="1"/>
    <col min="8631" max="8631" width="85.36328125" style="44" bestFit="1" customWidth="1"/>
    <col min="8632" max="8632" width="61.6328125" style="44" bestFit="1" customWidth="1"/>
    <col min="8633" max="8633" width="132.54296875" style="44" bestFit="1" customWidth="1"/>
    <col min="8634" max="8634" width="93.1796875" style="44" bestFit="1" customWidth="1"/>
    <col min="8635" max="8635" width="91.08984375" style="44" bestFit="1" customWidth="1"/>
    <col min="8636" max="8636" width="81.7265625" style="44" bestFit="1" customWidth="1"/>
    <col min="8637" max="8638" width="80.90625" style="44" bestFit="1" customWidth="1"/>
    <col min="8639" max="8639" width="83.26953125" style="44" bestFit="1" customWidth="1"/>
    <col min="8640" max="8640" width="101.453125" style="44" bestFit="1" customWidth="1"/>
    <col min="8641" max="8641" width="110.1796875" style="44" bestFit="1" customWidth="1"/>
    <col min="8642" max="8642" width="74.6328125" style="44" bestFit="1" customWidth="1"/>
    <col min="8643" max="8646" width="84.54296875" style="44" bestFit="1" customWidth="1"/>
    <col min="8647" max="8647" width="74.36328125" style="44" bestFit="1" customWidth="1"/>
    <col min="8648" max="8648" width="88.1796875" style="44" bestFit="1" customWidth="1"/>
    <col min="8649" max="8649" width="78.6328125" style="44" bestFit="1" customWidth="1"/>
    <col min="8650" max="8650" width="76.81640625" style="44" bestFit="1" customWidth="1"/>
    <col min="8651" max="8651" width="74.7265625" style="44" bestFit="1" customWidth="1"/>
    <col min="8652" max="8652" width="87.26953125" style="44" bestFit="1" customWidth="1"/>
    <col min="8653" max="8653" width="85.54296875" style="44" bestFit="1" customWidth="1"/>
    <col min="8654" max="8654" width="100.26953125" style="44" bestFit="1" customWidth="1"/>
    <col min="8655" max="8655" width="71.36328125" style="44" bestFit="1" customWidth="1"/>
    <col min="8656" max="8656" width="105.453125" style="44" bestFit="1" customWidth="1"/>
    <col min="8657" max="8657" width="103.08984375" style="44" bestFit="1" customWidth="1"/>
    <col min="8658" max="8658" width="85.7265625" style="44" bestFit="1" customWidth="1"/>
    <col min="8659" max="8659" width="99.26953125" style="44" bestFit="1" customWidth="1"/>
    <col min="8660" max="8660" width="83.54296875" style="44" bestFit="1" customWidth="1"/>
    <col min="8661" max="8661" width="96.90625" style="44" bestFit="1" customWidth="1"/>
    <col min="8662" max="8662" width="74.26953125" style="44" bestFit="1" customWidth="1"/>
    <col min="8663" max="8663" width="98.36328125" style="44" bestFit="1" customWidth="1"/>
    <col min="8664" max="8664" width="74.453125" style="44" bestFit="1" customWidth="1"/>
    <col min="8665" max="8665" width="88.81640625" style="44" bestFit="1" customWidth="1"/>
    <col min="8666" max="8666" width="67.6328125" style="44" bestFit="1" customWidth="1"/>
    <col min="8667" max="8667" width="93.08984375" style="44" bestFit="1" customWidth="1"/>
    <col min="8668" max="8668" width="101.453125" style="44" bestFit="1" customWidth="1"/>
    <col min="8669" max="8671" width="76.81640625" style="44" bestFit="1" customWidth="1"/>
    <col min="8672" max="8672" width="87.08984375" style="44" bestFit="1" customWidth="1"/>
    <col min="8673" max="8673" width="72.453125" style="44" bestFit="1" customWidth="1"/>
    <col min="8674" max="8674" width="87.81640625" style="44" bestFit="1" customWidth="1"/>
    <col min="8675" max="8675" width="71.7265625" style="44" bestFit="1" customWidth="1"/>
    <col min="8676" max="8676" width="74" style="44" bestFit="1" customWidth="1"/>
    <col min="8677" max="8677" width="74.08984375" style="44" bestFit="1" customWidth="1"/>
    <col min="8678" max="8680" width="86.81640625" style="44" bestFit="1" customWidth="1"/>
    <col min="8681" max="8681" width="104.7265625" style="44" bestFit="1" customWidth="1"/>
    <col min="8682" max="8682" width="101.81640625" style="44" bestFit="1" customWidth="1"/>
    <col min="8683" max="8683" width="64.453125" style="44" bestFit="1" customWidth="1"/>
    <col min="8684" max="8684" width="65.1796875" style="44" bestFit="1" customWidth="1"/>
    <col min="8685" max="8685" width="72.453125" style="44" bestFit="1" customWidth="1"/>
    <col min="8686" max="8686" width="81.36328125" style="44" bestFit="1" customWidth="1"/>
    <col min="8687" max="8687" width="65.1796875" style="44" bestFit="1" customWidth="1"/>
    <col min="8688" max="8688" width="80.90625" style="44" bestFit="1" customWidth="1"/>
    <col min="8689" max="8689" width="71.7265625" style="44" bestFit="1" customWidth="1"/>
    <col min="8690" max="8690" width="73.6328125" style="44" bestFit="1" customWidth="1"/>
    <col min="8691" max="8692" width="85.36328125" style="44" bestFit="1" customWidth="1"/>
    <col min="8693" max="8693" width="92.26953125" style="44" bestFit="1" customWidth="1"/>
    <col min="8694" max="8694" width="106.1796875" style="44" bestFit="1" customWidth="1"/>
    <col min="8695" max="8695" width="86.6328125" style="44" bestFit="1" customWidth="1"/>
    <col min="8696" max="8697" width="68.90625" style="44" bestFit="1" customWidth="1"/>
    <col min="8698" max="8698" width="80.54296875" style="44" bestFit="1" customWidth="1"/>
    <col min="8699" max="8699" width="68.90625" style="44" bestFit="1" customWidth="1"/>
    <col min="8700" max="8700" width="79.1796875" style="44" bestFit="1" customWidth="1"/>
    <col min="8701" max="8701" width="79.26953125" style="44" bestFit="1" customWidth="1"/>
    <col min="8702" max="8702" width="80.1796875" style="44" bestFit="1" customWidth="1"/>
    <col min="8703" max="8703" width="84.81640625" style="44" bestFit="1" customWidth="1"/>
    <col min="8704" max="8704" width="76.81640625" style="44" bestFit="1" customWidth="1"/>
    <col min="8705" max="8705" width="7.90625" style="44" bestFit="1" customWidth="1"/>
    <col min="8706" max="8706" width="132.54296875" style="44" bestFit="1" customWidth="1"/>
    <col min="8707" max="8707" width="45.36328125" style="44" bestFit="1" customWidth="1"/>
    <col min="8708" max="8708" width="14.08984375" style="44" bestFit="1" customWidth="1"/>
    <col min="8709" max="8710" width="8.7265625" style="44"/>
    <col min="8711" max="8711" width="49.7265625" style="44" bestFit="1" customWidth="1"/>
    <col min="8712" max="8712" width="7.90625" style="44" bestFit="1" customWidth="1"/>
    <col min="8713" max="8713" width="7.81640625" style="44" bestFit="1" customWidth="1"/>
    <col min="8714" max="8725" width="8.81640625" style="44" bestFit="1" customWidth="1"/>
    <col min="8726" max="8726" width="10.81640625" style="44" bestFit="1" customWidth="1"/>
    <col min="8727" max="8727" width="93.36328125" style="44" bestFit="1" customWidth="1"/>
    <col min="8728" max="8728" width="87.6328125" style="44" bestFit="1" customWidth="1"/>
    <col min="8729" max="8729" width="69.26953125" style="44" bestFit="1" customWidth="1"/>
    <col min="8730" max="8730" width="68.54296875" style="44" bestFit="1" customWidth="1"/>
    <col min="8731" max="8731" width="67.6328125" style="44" bestFit="1" customWidth="1"/>
    <col min="8732" max="8732" width="64" style="44" bestFit="1" customWidth="1"/>
    <col min="8733" max="8733" width="43.81640625" style="44" bestFit="1" customWidth="1"/>
    <col min="8734" max="8734" width="39.81640625" style="44" bestFit="1" customWidth="1"/>
    <col min="8735" max="8735" width="85.26953125" style="44" bestFit="1" customWidth="1"/>
    <col min="8736" max="8736" width="84.08984375" style="44" bestFit="1" customWidth="1"/>
    <col min="8737" max="8737" width="91" style="44" bestFit="1" customWidth="1"/>
    <col min="8738" max="8738" width="79" style="44" bestFit="1" customWidth="1"/>
    <col min="8739" max="8739" width="89.90625" style="44" bestFit="1" customWidth="1"/>
    <col min="8740" max="8746" width="90.90625" style="44" bestFit="1" customWidth="1"/>
    <col min="8747" max="8747" width="91.90625" style="44" bestFit="1" customWidth="1"/>
    <col min="8748" max="8748" width="73.08984375" style="44" bestFit="1" customWidth="1"/>
    <col min="8749" max="8749" width="61.1796875" style="44" bestFit="1" customWidth="1"/>
    <col min="8750" max="8750" width="94.1796875" style="44" bestFit="1" customWidth="1"/>
    <col min="8751" max="8751" width="84.453125" style="44" bestFit="1" customWidth="1"/>
    <col min="8752" max="8752" width="86.81640625" style="44" bestFit="1" customWidth="1"/>
    <col min="8753" max="8753" width="90.08984375" style="44" bestFit="1" customWidth="1"/>
    <col min="8754" max="8754" width="86.7265625" style="44" bestFit="1" customWidth="1"/>
    <col min="8755" max="8755" width="87.6328125" style="44" bestFit="1" customWidth="1"/>
    <col min="8756" max="8758" width="97.6328125" style="44" bestFit="1" customWidth="1"/>
    <col min="8759" max="8759" width="72.54296875" style="44" bestFit="1" customWidth="1"/>
    <col min="8760" max="8760" width="73.6328125" style="44" bestFit="1" customWidth="1"/>
    <col min="8761" max="8761" width="58.6328125" style="44" bestFit="1" customWidth="1"/>
    <col min="8762" max="8763" width="74.08984375" style="44" bestFit="1" customWidth="1"/>
    <col min="8764" max="8764" width="75.54296875" style="44" bestFit="1" customWidth="1"/>
    <col min="8765" max="8765" width="92" style="44" bestFit="1" customWidth="1"/>
    <col min="8766" max="8766" width="93.54296875" style="44" bestFit="1" customWidth="1"/>
    <col min="8767" max="8768" width="75.54296875" style="44" bestFit="1" customWidth="1"/>
    <col min="8769" max="8769" width="78.08984375" style="44" bestFit="1" customWidth="1"/>
    <col min="8770" max="8770" width="70" style="44" bestFit="1" customWidth="1"/>
    <col min="8771" max="8771" width="84.81640625" style="44" bestFit="1" customWidth="1"/>
    <col min="8772" max="8772" width="93" style="44" bestFit="1" customWidth="1"/>
    <col min="8773" max="8773" width="83.453125" style="44" bestFit="1" customWidth="1"/>
    <col min="8774" max="8774" width="100.90625" style="44" bestFit="1" customWidth="1"/>
    <col min="8775" max="8777" width="64.54296875" style="44" bestFit="1" customWidth="1"/>
    <col min="8778" max="8779" width="82.7265625" style="44" bestFit="1" customWidth="1"/>
    <col min="8780" max="8780" width="99.453125" style="44" bestFit="1" customWidth="1"/>
    <col min="8781" max="8781" width="78.1796875" style="44" bestFit="1" customWidth="1"/>
    <col min="8782" max="8782" width="71.36328125" style="44" bestFit="1" customWidth="1"/>
    <col min="8783" max="8783" width="71.26953125" style="44" bestFit="1" customWidth="1"/>
    <col min="8784" max="8787" width="76.453125" style="44" bestFit="1" customWidth="1"/>
    <col min="8788" max="8788" width="70.54296875" style="44" bestFit="1" customWidth="1"/>
    <col min="8789" max="8789" width="63.36328125" style="44" bestFit="1" customWidth="1"/>
    <col min="8790" max="8790" width="97.81640625" style="44" bestFit="1" customWidth="1"/>
    <col min="8791" max="8792" width="73" style="44" bestFit="1" customWidth="1"/>
    <col min="8793" max="8793" width="79" style="44" bestFit="1" customWidth="1"/>
    <col min="8794" max="8794" width="73" style="44" bestFit="1" customWidth="1"/>
    <col min="8795" max="8795" width="82.1796875" style="44" bestFit="1" customWidth="1"/>
    <col min="8796" max="8796" width="61.453125" style="44" bestFit="1" customWidth="1"/>
    <col min="8797" max="8798" width="99.90625" style="44" bestFit="1" customWidth="1"/>
    <col min="8799" max="8799" width="100.36328125" style="44" bestFit="1" customWidth="1"/>
    <col min="8800" max="8800" width="84.453125" style="44" bestFit="1" customWidth="1"/>
    <col min="8801" max="8801" width="113.36328125" style="44" bestFit="1" customWidth="1"/>
    <col min="8802" max="8802" width="98.453125" style="44" bestFit="1" customWidth="1"/>
    <col min="8803" max="8803" width="99.7265625" style="44" bestFit="1" customWidth="1"/>
    <col min="8804" max="8804" width="99.54296875" style="44" bestFit="1" customWidth="1"/>
    <col min="8805" max="8805" width="96.81640625" style="44" bestFit="1" customWidth="1"/>
    <col min="8806" max="8806" width="94.08984375" style="44" bestFit="1" customWidth="1"/>
    <col min="8807" max="8807" width="100.453125" style="44" bestFit="1" customWidth="1"/>
    <col min="8808" max="8808" width="98.6328125" style="44" bestFit="1" customWidth="1"/>
    <col min="8809" max="8809" width="77.453125" style="44" bestFit="1" customWidth="1"/>
    <col min="8810" max="8810" width="95.1796875" style="44" bestFit="1" customWidth="1"/>
    <col min="8811" max="8811" width="86.6328125" style="44" bestFit="1" customWidth="1"/>
    <col min="8812" max="8812" width="77.26953125" style="44" bestFit="1" customWidth="1"/>
    <col min="8813" max="8813" width="85.1796875" style="44" bestFit="1" customWidth="1"/>
    <col min="8814" max="8814" width="74.7265625" style="44" bestFit="1" customWidth="1"/>
    <col min="8815" max="8815" width="92" style="44" bestFit="1" customWidth="1"/>
    <col min="8816" max="8816" width="72.26953125" style="44" bestFit="1" customWidth="1"/>
    <col min="8817" max="8817" width="97.08984375" style="44" bestFit="1" customWidth="1"/>
    <col min="8818" max="8818" width="77.08984375" style="44" bestFit="1" customWidth="1"/>
    <col min="8819" max="8819" width="85.08984375" style="44" bestFit="1" customWidth="1"/>
    <col min="8820" max="8821" width="83.1796875" style="44" bestFit="1" customWidth="1"/>
    <col min="8822" max="8822" width="82.6328125" style="44" bestFit="1" customWidth="1"/>
    <col min="8823" max="8823" width="86.26953125" style="44" bestFit="1" customWidth="1"/>
    <col min="8824" max="8824" width="71.1796875" style="44" bestFit="1" customWidth="1"/>
    <col min="8825" max="8825" width="66.6328125" style="44" bestFit="1" customWidth="1"/>
    <col min="8826" max="8827" width="83.1796875" style="44" bestFit="1" customWidth="1"/>
    <col min="8828" max="8828" width="67.08984375" style="44" bestFit="1" customWidth="1"/>
    <col min="8829" max="8829" width="76.54296875" style="44" bestFit="1" customWidth="1"/>
    <col min="8830" max="8830" width="94.08984375" style="44" bestFit="1" customWidth="1"/>
    <col min="8831" max="8831" width="89.08984375" style="44" bestFit="1" customWidth="1"/>
    <col min="8832" max="8832" width="68.1796875" style="44" bestFit="1" customWidth="1"/>
    <col min="8833" max="8833" width="91.7265625" style="44" bestFit="1" customWidth="1"/>
    <col min="8834" max="8834" width="63.36328125" style="44" bestFit="1" customWidth="1"/>
    <col min="8835" max="8835" width="66.6328125" style="44" bestFit="1" customWidth="1"/>
    <col min="8836" max="8836" width="63.36328125" style="44" bestFit="1" customWidth="1"/>
    <col min="8837" max="8837" width="63.453125" style="44" bestFit="1" customWidth="1"/>
    <col min="8838" max="8838" width="87.54296875" style="44" bestFit="1" customWidth="1"/>
    <col min="8839" max="8839" width="93.81640625" style="44" bestFit="1" customWidth="1"/>
    <col min="8840" max="8840" width="66.453125" style="44" bestFit="1" customWidth="1"/>
    <col min="8841" max="8842" width="110" style="44" bestFit="1" customWidth="1"/>
    <col min="8843" max="8843" width="103.1796875" style="44" bestFit="1" customWidth="1"/>
    <col min="8844" max="8844" width="62.453125" style="44" bestFit="1" customWidth="1"/>
    <col min="8845" max="8845" width="77.453125" style="44" bestFit="1" customWidth="1"/>
    <col min="8846" max="8846" width="91.54296875" style="44" bestFit="1" customWidth="1"/>
    <col min="8847" max="8847" width="88.08984375" style="44" bestFit="1" customWidth="1"/>
    <col min="8848" max="8848" width="80.6328125" style="44" bestFit="1" customWidth="1"/>
    <col min="8849" max="8849" width="77.453125" style="44" bestFit="1" customWidth="1"/>
    <col min="8850" max="8850" width="85.1796875" style="44" bestFit="1" customWidth="1"/>
    <col min="8851" max="8854" width="72.36328125" style="44" bestFit="1" customWidth="1"/>
    <col min="8855" max="8856" width="95" style="44" bestFit="1" customWidth="1"/>
    <col min="8857" max="8857" width="64.08984375" style="44" bestFit="1" customWidth="1"/>
    <col min="8858" max="8858" width="110.08984375" style="44" bestFit="1" customWidth="1"/>
    <col min="8859" max="8859" width="86.36328125" style="44" bestFit="1" customWidth="1"/>
    <col min="8860" max="8860" width="89.36328125" style="44" bestFit="1" customWidth="1"/>
    <col min="8861" max="8861" width="89.81640625" style="44" bestFit="1" customWidth="1"/>
    <col min="8862" max="8862" width="64.26953125" style="44" bestFit="1" customWidth="1"/>
    <col min="8863" max="8863" width="85.7265625" style="44" bestFit="1" customWidth="1"/>
    <col min="8864" max="8864" width="73" style="44" bestFit="1" customWidth="1"/>
    <col min="8865" max="8865" width="92.7265625" style="44" bestFit="1" customWidth="1"/>
    <col min="8866" max="8866" width="92.36328125" style="44" bestFit="1" customWidth="1"/>
    <col min="8867" max="8867" width="72" style="44" bestFit="1" customWidth="1"/>
    <col min="8868" max="8868" width="82" style="44" bestFit="1" customWidth="1"/>
    <col min="8869" max="8869" width="79.36328125" style="44" bestFit="1" customWidth="1"/>
    <col min="8870" max="8870" width="81" style="44" bestFit="1" customWidth="1"/>
    <col min="8871" max="8871" width="72.90625" style="44" bestFit="1" customWidth="1"/>
    <col min="8872" max="8872" width="90.81640625" style="44" bestFit="1" customWidth="1"/>
    <col min="8873" max="8873" width="84" style="44" bestFit="1" customWidth="1"/>
    <col min="8874" max="8875" width="73.36328125" style="44" bestFit="1" customWidth="1"/>
    <col min="8876" max="8876" width="90.6328125" style="44" bestFit="1" customWidth="1"/>
    <col min="8877" max="8877" width="89.453125" style="44" bestFit="1" customWidth="1"/>
    <col min="8878" max="8878" width="84.6328125" style="44" bestFit="1" customWidth="1"/>
    <col min="8879" max="8879" width="74.54296875" style="44" bestFit="1" customWidth="1"/>
    <col min="8880" max="8880" width="76.90625" style="44" bestFit="1" customWidth="1"/>
    <col min="8881" max="8881" width="83" style="44" bestFit="1" customWidth="1"/>
    <col min="8882" max="8882" width="85.81640625" style="44" bestFit="1" customWidth="1"/>
    <col min="8883" max="8883" width="83.7265625" style="44" bestFit="1" customWidth="1"/>
    <col min="8884" max="8884" width="79.54296875" style="44" bestFit="1" customWidth="1"/>
    <col min="8885" max="8885" width="80.54296875" style="44" bestFit="1" customWidth="1"/>
    <col min="8886" max="8886" width="89.54296875" style="44" bestFit="1" customWidth="1"/>
    <col min="8887" max="8887" width="85.36328125" style="44" bestFit="1" customWidth="1"/>
    <col min="8888" max="8888" width="61.6328125" style="44" bestFit="1" customWidth="1"/>
    <col min="8889" max="8889" width="132.54296875" style="44" bestFit="1" customWidth="1"/>
    <col min="8890" max="8890" width="93.1796875" style="44" bestFit="1" customWidth="1"/>
    <col min="8891" max="8891" width="91.08984375" style="44" bestFit="1" customWidth="1"/>
    <col min="8892" max="8892" width="81.7265625" style="44" bestFit="1" customWidth="1"/>
    <col min="8893" max="8894" width="80.90625" style="44" bestFit="1" customWidth="1"/>
    <col min="8895" max="8895" width="83.26953125" style="44" bestFit="1" customWidth="1"/>
    <col min="8896" max="8896" width="101.453125" style="44" bestFit="1" customWidth="1"/>
    <col min="8897" max="8897" width="110.1796875" style="44" bestFit="1" customWidth="1"/>
    <col min="8898" max="8898" width="74.6328125" style="44" bestFit="1" customWidth="1"/>
    <col min="8899" max="8902" width="84.54296875" style="44" bestFit="1" customWidth="1"/>
    <col min="8903" max="8903" width="74.36328125" style="44" bestFit="1" customWidth="1"/>
    <col min="8904" max="8904" width="88.1796875" style="44" bestFit="1" customWidth="1"/>
    <col min="8905" max="8905" width="78.6328125" style="44" bestFit="1" customWidth="1"/>
    <col min="8906" max="8906" width="76.81640625" style="44" bestFit="1" customWidth="1"/>
    <col min="8907" max="8907" width="74.7265625" style="44" bestFit="1" customWidth="1"/>
    <col min="8908" max="8908" width="87.26953125" style="44" bestFit="1" customWidth="1"/>
    <col min="8909" max="8909" width="85.54296875" style="44" bestFit="1" customWidth="1"/>
    <col min="8910" max="8910" width="100.26953125" style="44" bestFit="1" customWidth="1"/>
    <col min="8911" max="8911" width="71.36328125" style="44" bestFit="1" customWidth="1"/>
    <col min="8912" max="8912" width="105.453125" style="44" bestFit="1" customWidth="1"/>
    <col min="8913" max="8913" width="103.08984375" style="44" bestFit="1" customWidth="1"/>
    <col min="8914" max="8914" width="85.7265625" style="44" bestFit="1" customWidth="1"/>
    <col min="8915" max="8915" width="99.26953125" style="44" bestFit="1" customWidth="1"/>
    <col min="8916" max="8916" width="83.54296875" style="44" bestFit="1" customWidth="1"/>
    <col min="8917" max="8917" width="96.90625" style="44" bestFit="1" customWidth="1"/>
    <col min="8918" max="8918" width="74.26953125" style="44" bestFit="1" customWidth="1"/>
    <col min="8919" max="8919" width="98.36328125" style="44" bestFit="1" customWidth="1"/>
    <col min="8920" max="8920" width="74.453125" style="44" bestFit="1" customWidth="1"/>
    <col min="8921" max="8921" width="88.81640625" style="44" bestFit="1" customWidth="1"/>
    <col min="8922" max="8922" width="67.6328125" style="44" bestFit="1" customWidth="1"/>
    <col min="8923" max="8923" width="93.08984375" style="44" bestFit="1" customWidth="1"/>
    <col min="8924" max="8924" width="101.453125" style="44" bestFit="1" customWidth="1"/>
    <col min="8925" max="8927" width="76.81640625" style="44" bestFit="1" customWidth="1"/>
    <col min="8928" max="8928" width="87.08984375" style="44" bestFit="1" customWidth="1"/>
    <col min="8929" max="8929" width="72.453125" style="44" bestFit="1" customWidth="1"/>
    <col min="8930" max="8930" width="87.81640625" style="44" bestFit="1" customWidth="1"/>
    <col min="8931" max="8931" width="71.7265625" style="44" bestFit="1" customWidth="1"/>
    <col min="8932" max="8932" width="74" style="44" bestFit="1" customWidth="1"/>
    <col min="8933" max="8933" width="74.08984375" style="44" bestFit="1" customWidth="1"/>
    <col min="8934" max="8936" width="86.81640625" style="44" bestFit="1" customWidth="1"/>
    <col min="8937" max="8937" width="104.7265625" style="44" bestFit="1" customWidth="1"/>
    <col min="8938" max="8938" width="101.81640625" style="44" bestFit="1" customWidth="1"/>
    <col min="8939" max="8939" width="64.453125" style="44" bestFit="1" customWidth="1"/>
    <col min="8940" max="8940" width="65.1796875" style="44" bestFit="1" customWidth="1"/>
    <col min="8941" max="8941" width="72.453125" style="44" bestFit="1" customWidth="1"/>
    <col min="8942" max="8942" width="81.36328125" style="44" bestFit="1" customWidth="1"/>
    <col min="8943" max="8943" width="65.1796875" style="44" bestFit="1" customWidth="1"/>
    <col min="8944" max="8944" width="80.90625" style="44" bestFit="1" customWidth="1"/>
    <col min="8945" max="8945" width="71.7265625" style="44" bestFit="1" customWidth="1"/>
    <col min="8946" max="8946" width="73.6328125" style="44" bestFit="1" customWidth="1"/>
    <col min="8947" max="8948" width="85.36328125" style="44" bestFit="1" customWidth="1"/>
    <col min="8949" max="8949" width="92.26953125" style="44" bestFit="1" customWidth="1"/>
    <col min="8950" max="8950" width="106.1796875" style="44" bestFit="1" customWidth="1"/>
    <col min="8951" max="8951" width="86.6328125" style="44" bestFit="1" customWidth="1"/>
    <col min="8952" max="8953" width="68.90625" style="44" bestFit="1" customWidth="1"/>
    <col min="8954" max="8954" width="80.54296875" style="44" bestFit="1" customWidth="1"/>
    <col min="8955" max="8955" width="68.90625" style="44" bestFit="1" customWidth="1"/>
    <col min="8956" max="8956" width="79.1796875" style="44" bestFit="1" customWidth="1"/>
    <col min="8957" max="8957" width="79.26953125" style="44" bestFit="1" customWidth="1"/>
    <col min="8958" max="8958" width="80.1796875" style="44" bestFit="1" customWidth="1"/>
    <col min="8959" max="8959" width="84.81640625" style="44" bestFit="1" customWidth="1"/>
    <col min="8960" max="8960" width="76.81640625" style="44" bestFit="1" customWidth="1"/>
    <col min="8961" max="8961" width="7.90625" style="44" bestFit="1" customWidth="1"/>
    <col min="8962" max="8962" width="132.54296875" style="44" bestFit="1" customWidth="1"/>
    <col min="8963" max="8963" width="45.36328125" style="44" bestFit="1" customWidth="1"/>
    <col min="8964" max="8964" width="14.08984375" style="44" bestFit="1" customWidth="1"/>
    <col min="8965" max="8966" width="8.7265625" style="44"/>
    <col min="8967" max="8967" width="49.7265625" style="44" bestFit="1" customWidth="1"/>
    <col min="8968" max="8968" width="7.90625" style="44" bestFit="1" customWidth="1"/>
    <col min="8969" max="8969" width="7.81640625" style="44" bestFit="1" customWidth="1"/>
    <col min="8970" max="8981" width="8.81640625" style="44" bestFit="1" customWidth="1"/>
    <col min="8982" max="8982" width="10.81640625" style="44" bestFit="1" customWidth="1"/>
    <col min="8983" max="8983" width="93.36328125" style="44" bestFit="1" customWidth="1"/>
    <col min="8984" max="8984" width="87.6328125" style="44" bestFit="1" customWidth="1"/>
    <col min="8985" max="8985" width="69.26953125" style="44" bestFit="1" customWidth="1"/>
    <col min="8986" max="8986" width="68.54296875" style="44" bestFit="1" customWidth="1"/>
    <col min="8987" max="8987" width="67.6328125" style="44" bestFit="1" customWidth="1"/>
    <col min="8988" max="8988" width="64" style="44" bestFit="1" customWidth="1"/>
    <col min="8989" max="8989" width="43.81640625" style="44" bestFit="1" customWidth="1"/>
    <col min="8990" max="8990" width="39.81640625" style="44" bestFit="1" customWidth="1"/>
    <col min="8991" max="8991" width="85.26953125" style="44" bestFit="1" customWidth="1"/>
    <col min="8992" max="8992" width="84.08984375" style="44" bestFit="1" customWidth="1"/>
    <col min="8993" max="8993" width="91" style="44" bestFit="1" customWidth="1"/>
    <col min="8994" max="8994" width="79" style="44" bestFit="1" customWidth="1"/>
    <col min="8995" max="8995" width="89.90625" style="44" bestFit="1" customWidth="1"/>
    <col min="8996" max="9002" width="90.90625" style="44" bestFit="1" customWidth="1"/>
    <col min="9003" max="9003" width="91.90625" style="44" bestFit="1" customWidth="1"/>
    <col min="9004" max="9004" width="73.08984375" style="44" bestFit="1" customWidth="1"/>
    <col min="9005" max="9005" width="61.1796875" style="44" bestFit="1" customWidth="1"/>
    <col min="9006" max="9006" width="94.1796875" style="44" bestFit="1" customWidth="1"/>
    <col min="9007" max="9007" width="84.453125" style="44" bestFit="1" customWidth="1"/>
    <col min="9008" max="9008" width="86.81640625" style="44" bestFit="1" customWidth="1"/>
    <col min="9009" max="9009" width="90.08984375" style="44" bestFit="1" customWidth="1"/>
    <col min="9010" max="9010" width="86.7265625" style="44" bestFit="1" customWidth="1"/>
    <col min="9011" max="9011" width="87.6328125" style="44" bestFit="1" customWidth="1"/>
    <col min="9012" max="9014" width="97.6328125" style="44" bestFit="1" customWidth="1"/>
    <col min="9015" max="9015" width="72.54296875" style="44" bestFit="1" customWidth="1"/>
    <col min="9016" max="9016" width="73.6328125" style="44" bestFit="1" customWidth="1"/>
    <col min="9017" max="9017" width="58.6328125" style="44" bestFit="1" customWidth="1"/>
    <col min="9018" max="9019" width="74.08984375" style="44" bestFit="1" customWidth="1"/>
    <col min="9020" max="9020" width="75.54296875" style="44" bestFit="1" customWidth="1"/>
    <col min="9021" max="9021" width="92" style="44" bestFit="1" customWidth="1"/>
    <col min="9022" max="9022" width="93.54296875" style="44" bestFit="1" customWidth="1"/>
    <col min="9023" max="9024" width="75.54296875" style="44" bestFit="1" customWidth="1"/>
    <col min="9025" max="9025" width="78.08984375" style="44" bestFit="1" customWidth="1"/>
    <col min="9026" max="9026" width="70" style="44" bestFit="1" customWidth="1"/>
    <col min="9027" max="9027" width="84.81640625" style="44" bestFit="1" customWidth="1"/>
    <col min="9028" max="9028" width="93" style="44" bestFit="1" customWidth="1"/>
    <col min="9029" max="9029" width="83.453125" style="44" bestFit="1" customWidth="1"/>
    <col min="9030" max="9030" width="100.90625" style="44" bestFit="1" customWidth="1"/>
    <col min="9031" max="9033" width="64.54296875" style="44" bestFit="1" customWidth="1"/>
    <col min="9034" max="9035" width="82.7265625" style="44" bestFit="1" customWidth="1"/>
    <col min="9036" max="9036" width="99.453125" style="44" bestFit="1" customWidth="1"/>
    <col min="9037" max="9037" width="78.1796875" style="44" bestFit="1" customWidth="1"/>
    <col min="9038" max="9038" width="71.36328125" style="44" bestFit="1" customWidth="1"/>
    <col min="9039" max="9039" width="71.26953125" style="44" bestFit="1" customWidth="1"/>
    <col min="9040" max="9043" width="76.453125" style="44" bestFit="1" customWidth="1"/>
    <col min="9044" max="9044" width="70.54296875" style="44" bestFit="1" customWidth="1"/>
    <col min="9045" max="9045" width="63.36328125" style="44" bestFit="1" customWidth="1"/>
    <col min="9046" max="9046" width="97.81640625" style="44" bestFit="1" customWidth="1"/>
    <col min="9047" max="9048" width="73" style="44" bestFit="1" customWidth="1"/>
    <col min="9049" max="9049" width="79" style="44" bestFit="1" customWidth="1"/>
    <col min="9050" max="9050" width="73" style="44" bestFit="1" customWidth="1"/>
    <col min="9051" max="9051" width="82.1796875" style="44" bestFit="1" customWidth="1"/>
    <col min="9052" max="9052" width="61.453125" style="44" bestFit="1" customWidth="1"/>
    <col min="9053" max="9054" width="99.90625" style="44" bestFit="1" customWidth="1"/>
    <col min="9055" max="9055" width="100.36328125" style="44" bestFit="1" customWidth="1"/>
    <col min="9056" max="9056" width="84.453125" style="44" bestFit="1" customWidth="1"/>
    <col min="9057" max="9057" width="113.36328125" style="44" bestFit="1" customWidth="1"/>
    <col min="9058" max="9058" width="98.453125" style="44" bestFit="1" customWidth="1"/>
    <col min="9059" max="9059" width="99.7265625" style="44" bestFit="1" customWidth="1"/>
    <col min="9060" max="9060" width="99.54296875" style="44" bestFit="1" customWidth="1"/>
    <col min="9061" max="9061" width="96.81640625" style="44" bestFit="1" customWidth="1"/>
    <col min="9062" max="9062" width="94.08984375" style="44" bestFit="1" customWidth="1"/>
    <col min="9063" max="9063" width="100.453125" style="44" bestFit="1" customWidth="1"/>
    <col min="9064" max="9064" width="98.6328125" style="44" bestFit="1" customWidth="1"/>
    <col min="9065" max="9065" width="77.453125" style="44" bestFit="1" customWidth="1"/>
    <col min="9066" max="9066" width="95.1796875" style="44" bestFit="1" customWidth="1"/>
    <col min="9067" max="9067" width="86.6328125" style="44" bestFit="1" customWidth="1"/>
    <col min="9068" max="9068" width="77.26953125" style="44" bestFit="1" customWidth="1"/>
    <col min="9069" max="9069" width="85.1796875" style="44" bestFit="1" customWidth="1"/>
    <col min="9070" max="9070" width="74.7265625" style="44" bestFit="1" customWidth="1"/>
    <col min="9071" max="9071" width="92" style="44" bestFit="1" customWidth="1"/>
    <col min="9072" max="9072" width="72.26953125" style="44" bestFit="1" customWidth="1"/>
    <col min="9073" max="9073" width="97.08984375" style="44" bestFit="1" customWidth="1"/>
    <col min="9074" max="9074" width="77.08984375" style="44" bestFit="1" customWidth="1"/>
    <col min="9075" max="9075" width="85.08984375" style="44" bestFit="1" customWidth="1"/>
    <col min="9076" max="9077" width="83.1796875" style="44" bestFit="1" customWidth="1"/>
    <col min="9078" max="9078" width="82.6328125" style="44" bestFit="1" customWidth="1"/>
    <col min="9079" max="9079" width="86.26953125" style="44" bestFit="1" customWidth="1"/>
    <col min="9080" max="9080" width="71.1796875" style="44" bestFit="1" customWidth="1"/>
    <col min="9081" max="9081" width="66.6328125" style="44" bestFit="1" customWidth="1"/>
    <col min="9082" max="9083" width="83.1796875" style="44" bestFit="1" customWidth="1"/>
    <col min="9084" max="9084" width="67.08984375" style="44" bestFit="1" customWidth="1"/>
    <col min="9085" max="9085" width="76.54296875" style="44" bestFit="1" customWidth="1"/>
    <col min="9086" max="9086" width="94.08984375" style="44" bestFit="1" customWidth="1"/>
    <col min="9087" max="9087" width="89.08984375" style="44" bestFit="1" customWidth="1"/>
    <col min="9088" max="9088" width="68.1796875" style="44" bestFit="1" customWidth="1"/>
    <col min="9089" max="9089" width="91.7265625" style="44" bestFit="1" customWidth="1"/>
    <col min="9090" max="9090" width="63.36328125" style="44" bestFit="1" customWidth="1"/>
    <col min="9091" max="9091" width="66.6328125" style="44" bestFit="1" customWidth="1"/>
    <col min="9092" max="9092" width="63.36328125" style="44" bestFit="1" customWidth="1"/>
    <col min="9093" max="9093" width="63.453125" style="44" bestFit="1" customWidth="1"/>
    <col min="9094" max="9094" width="87.54296875" style="44" bestFit="1" customWidth="1"/>
    <col min="9095" max="9095" width="93.81640625" style="44" bestFit="1" customWidth="1"/>
    <col min="9096" max="9096" width="66.453125" style="44" bestFit="1" customWidth="1"/>
    <col min="9097" max="9098" width="110" style="44" bestFit="1" customWidth="1"/>
    <col min="9099" max="9099" width="103.1796875" style="44" bestFit="1" customWidth="1"/>
    <col min="9100" max="9100" width="62.453125" style="44" bestFit="1" customWidth="1"/>
    <col min="9101" max="9101" width="77.453125" style="44" bestFit="1" customWidth="1"/>
    <col min="9102" max="9102" width="91.54296875" style="44" bestFit="1" customWidth="1"/>
    <col min="9103" max="9103" width="88.08984375" style="44" bestFit="1" customWidth="1"/>
    <col min="9104" max="9104" width="80.6328125" style="44" bestFit="1" customWidth="1"/>
    <col min="9105" max="9105" width="77.453125" style="44" bestFit="1" customWidth="1"/>
    <col min="9106" max="9106" width="85.1796875" style="44" bestFit="1" customWidth="1"/>
    <col min="9107" max="9110" width="72.36328125" style="44" bestFit="1" customWidth="1"/>
    <col min="9111" max="9112" width="95" style="44" bestFit="1" customWidth="1"/>
    <col min="9113" max="9113" width="64.08984375" style="44" bestFit="1" customWidth="1"/>
    <col min="9114" max="9114" width="110.08984375" style="44" bestFit="1" customWidth="1"/>
    <col min="9115" max="9115" width="86.36328125" style="44" bestFit="1" customWidth="1"/>
    <col min="9116" max="9116" width="89.36328125" style="44" bestFit="1" customWidth="1"/>
    <col min="9117" max="9117" width="89.81640625" style="44" bestFit="1" customWidth="1"/>
    <col min="9118" max="9118" width="64.26953125" style="44" bestFit="1" customWidth="1"/>
    <col min="9119" max="9119" width="85.7265625" style="44" bestFit="1" customWidth="1"/>
    <col min="9120" max="9120" width="73" style="44" bestFit="1" customWidth="1"/>
    <col min="9121" max="9121" width="92.7265625" style="44" bestFit="1" customWidth="1"/>
    <col min="9122" max="9122" width="92.36328125" style="44" bestFit="1" customWidth="1"/>
    <col min="9123" max="9123" width="72" style="44" bestFit="1" customWidth="1"/>
    <col min="9124" max="9124" width="82" style="44" bestFit="1" customWidth="1"/>
    <col min="9125" max="9125" width="79.36328125" style="44" bestFit="1" customWidth="1"/>
    <col min="9126" max="9126" width="81" style="44" bestFit="1" customWidth="1"/>
    <col min="9127" max="9127" width="72.90625" style="44" bestFit="1" customWidth="1"/>
    <col min="9128" max="9128" width="90.81640625" style="44" bestFit="1" customWidth="1"/>
    <col min="9129" max="9129" width="84" style="44" bestFit="1" customWidth="1"/>
    <col min="9130" max="9131" width="73.36328125" style="44" bestFit="1" customWidth="1"/>
    <col min="9132" max="9132" width="90.6328125" style="44" bestFit="1" customWidth="1"/>
    <col min="9133" max="9133" width="89.453125" style="44" bestFit="1" customWidth="1"/>
    <col min="9134" max="9134" width="84.6328125" style="44" bestFit="1" customWidth="1"/>
    <col min="9135" max="9135" width="74.54296875" style="44" bestFit="1" customWidth="1"/>
    <col min="9136" max="9136" width="76.90625" style="44" bestFit="1" customWidth="1"/>
    <col min="9137" max="9137" width="83" style="44" bestFit="1" customWidth="1"/>
    <col min="9138" max="9138" width="85.81640625" style="44" bestFit="1" customWidth="1"/>
    <col min="9139" max="9139" width="83.7265625" style="44" bestFit="1" customWidth="1"/>
    <col min="9140" max="9140" width="79.54296875" style="44" bestFit="1" customWidth="1"/>
    <col min="9141" max="9141" width="80.54296875" style="44" bestFit="1" customWidth="1"/>
    <col min="9142" max="9142" width="89.54296875" style="44" bestFit="1" customWidth="1"/>
    <col min="9143" max="9143" width="85.36328125" style="44" bestFit="1" customWidth="1"/>
    <col min="9144" max="9144" width="61.6328125" style="44" bestFit="1" customWidth="1"/>
    <col min="9145" max="9145" width="132.54296875" style="44" bestFit="1" customWidth="1"/>
    <col min="9146" max="9146" width="93.1796875" style="44" bestFit="1" customWidth="1"/>
    <col min="9147" max="9147" width="91.08984375" style="44" bestFit="1" customWidth="1"/>
    <col min="9148" max="9148" width="81.7265625" style="44" bestFit="1" customWidth="1"/>
    <col min="9149" max="9150" width="80.90625" style="44" bestFit="1" customWidth="1"/>
    <col min="9151" max="9151" width="83.26953125" style="44" bestFit="1" customWidth="1"/>
    <col min="9152" max="9152" width="101.453125" style="44" bestFit="1" customWidth="1"/>
    <col min="9153" max="9153" width="110.1796875" style="44" bestFit="1" customWidth="1"/>
    <col min="9154" max="9154" width="74.6328125" style="44" bestFit="1" customWidth="1"/>
    <col min="9155" max="9158" width="84.54296875" style="44" bestFit="1" customWidth="1"/>
    <col min="9159" max="9159" width="74.36328125" style="44" bestFit="1" customWidth="1"/>
    <col min="9160" max="9160" width="88.1796875" style="44" bestFit="1" customWidth="1"/>
    <col min="9161" max="9161" width="78.6328125" style="44" bestFit="1" customWidth="1"/>
    <col min="9162" max="9162" width="76.81640625" style="44" bestFit="1" customWidth="1"/>
    <col min="9163" max="9163" width="74.7265625" style="44" bestFit="1" customWidth="1"/>
    <col min="9164" max="9164" width="87.26953125" style="44" bestFit="1" customWidth="1"/>
    <col min="9165" max="9165" width="85.54296875" style="44" bestFit="1" customWidth="1"/>
    <col min="9166" max="9166" width="100.26953125" style="44" bestFit="1" customWidth="1"/>
    <col min="9167" max="9167" width="71.36328125" style="44" bestFit="1" customWidth="1"/>
    <col min="9168" max="9168" width="105.453125" style="44" bestFit="1" customWidth="1"/>
    <col min="9169" max="9169" width="103.08984375" style="44" bestFit="1" customWidth="1"/>
    <col min="9170" max="9170" width="85.7265625" style="44" bestFit="1" customWidth="1"/>
    <col min="9171" max="9171" width="99.26953125" style="44" bestFit="1" customWidth="1"/>
    <col min="9172" max="9172" width="83.54296875" style="44" bestFit="1" customWidth="1"/>
    <col min="9173" max="9173" width="96.90625" style="44" bestFit="1" customWidth="1"/>
    <col min="9174" max="9174" width="74.26953125" style="44" bestFit="1" customWidth="1"/>
    <col min="9175" max="9175" width="98.36328125" style="44" bestFit="1" customWidth="1"/>
    <col min="9176" max="9176" width="74.453125" style="44" bestFit="1" customWidth="1"/>
    <col min="9177" max="9177" width="88.81640625" style="44" bestFit="1" customWidth="1"/>
    <col min="9178" max="9178" width="67.6328125" style="44" bestFit="1" customWidth="1"/>
    <col min="9179" max="9179" width="93.08984375" style="44" bestFit="1" customWidth="1"/>
    <col min="9180" max="9180" width="101.453125" style="44" bestFit="1" customWidth="1"/>
    <col min="9181" max="9183" width="76.81640625" style="44" bestFit="1" customWidth="1"/>
    <col min="9184" max="9184" width="87.08984375" style="44" bestFit="1" customWidth="1"/>
    <col min="9185" max="9185" width="72.453125" style="44" bestFit="1" customWidth="1"/>
    <col min="9186" max="9186" width="87.81640625" style="44" bestFit="1" customWidth="1"/>
    <col min="9187" max="9187" width="71.7265625" style="44" bestFit="1" customWidth="1"/>
    <col min="9188" max="9188" width="74" style="44" bestFit="1" customWidth="1"/>
    <col min="9189" max="9189" width="74.08984375" style="44" bestFit="1" customWidth="1"/>
    <col min="9190" max="9192" width="86.81640625" style="44" bestFit="1" customWidth="1"/>
    <col min="9193" max="9193" width="104.7265625" style="44" bestFit="1" customWidth="1"/>
    <col min="9194" max="9194" width="101.81640625" style="44" bestFit="1" customWidth="1"/>
    <col min="9195" max="9195" width="64.453125" style="44" bestFit="1" customWidth="1"/>
    <col min="9196" max="9196" width="65.1796875" style="44" bestFit="1" customWidth="1"/>
    <col min="9197" max="9197" width="72.453125" style="44" bestFit="1" customWidth="1"/>
    <col min="9198" max="9198" width="81.36328125" style="44" bestFit="1" customWidth="1"/>
    <col min="9199" max="9199" width="65.1796875" style="44" bestFit="1" customWidth="1"/>
    <col min="9200" max="9200" width="80.90625" style="44" bestFit="1" customWidth="1"/>
    <col min="9201" max="9201" width="71.7265625" style="44" bestFit="1" customWidth="1"/>
    <col min="9202" max="9202" width="73.6328125" style="44" bestFit="1" customWidth="1"/>
    <col min="9203" max="9204" width="85.36328125" style="44" bestFit="1" customWidth="1"/>
    <col min="9205" max="9205" width="92.26953125" style="44" bestFit="1" customWidth="1"/>
    <col min="9206" max="9206" width="106.1796875" style="44" bestFit="1" customWidth="1"/>
    <col min="9207" max="9207" width="86.6328125" style="44" bestFit="1" customWidth="1"/>
    <col min="9208" max="9209" width="68.90625" style="44" bestFit="1" customWidth="1"/>
    <col min="9210" max="9210" width="80.54296875" style="44" bestFit="1" customWidth="1"/>
    <col min="9211" max="9211" width="68.90625" style="44" bestFit="1" customWidth="1"/>
    <col min="9212" max="9212" width="79.1796875" style="44" bestFit="1" customWidth="1"/>
    <col min="9213" max="9213" width="79.26953125" style="44" bestFit="1" customWidth="1"/>
    <col min="9214" max="9214" width="80.1796875" style="44" bestFit="1" customWidth="1"/>
    <col min="9215" max="9215" width="84.81640625" style="44" bestFit="1" customWidth="1"/>
    <col min="9216" max="9216" width="76.81640625" style="44" bestFit="1" customWidth="1"/>
    <col min="9217" max="9217" width="7.90625" style="44" bestFit="1" customWidth="1"/>
    <col min="9218" max="9218" width="132.54296875" style="44" bestFit="1" customWidth="1"/>
    <col min="9219" max="9219" width="45.36328125" style="44" bestFit="1" customWidth="1"/>
    <col min="9220" max="9220" width="14.08984375" style="44" bestFit="1" customWidth="1"/>
    <col min="9221" max="9222" width="8.7265625" style="44"/>
    <col min="9223" max="9223" width="49.7265625" style="44" bestFit="1" customWidth="1"/>
    <col min="9224" max="9224" width="7.90625" style="44" bestFit="1" customWidth="1"/>
    <col min="9225" max="9225" width="7.81640625" style="44" bestFit="1" customWidth="1"/>
    <col min="9226" max="9237" width="8.81640625" style="44" bestFit="1" customWidth="1"/>
    <col min="9238" max="9238" width="10.81640625" style="44" bestFit="1" customWidth="1"/>
    <col min="9239" max="9239" width="93.36328125" style="44" bestFit="1" customWidth="1"/>
    <col min="9240" max="9240" width="87.6328125" style="44" bestFit="1" customWidth="1"/>
    <col min="9241" max="9241" width="69.26953125" style="44" bestFit="1" customWidth="1"/>
    <col min="9242" max="9242" width="68.54296875" style="44" bestFit="1" customWidth="1"/>
    <col min="9243" max="9243" width="67.6328125" style="44" bestFit="1" customWidth="1"/>
    <col min="9244" max="9244" width="64" style="44" bestFit="1" customWidth="1"/>
    <col min="9245" max="9245" width="43.81640625" style="44" bestFit="1" customWidth="1"/>
    <col min="9246" max="9246" width="39.81640625" style="44" bestFit="1" customWidth="1"/>
    <col min="9247" max="9247" width="85.26953125" style="44" bestFit="1" customWidth="1"/>
    <col min="9248" max="9248" width="84.08984375" style="44" bestFit="1" customWidth="1"/>
    <col min="9249" max="9249" width="91" style="44" bestFit="1" customWidth="1"/>
    <col min="9250" max="9250" width="79" style="44" bestFit="1" customWidth="1"/>
    <col min="9251" max="9251" width="89.90625" style="44" bestFit="1" customWidth="1"/>
    <col min="9252" max="9258" width="90.90625" style="44" bestFit="1" customWidth="1"/>
    <col min="9259" max="9259" width="91.90625" style="44" bestFit="1" customWidth="1"/>
    <col min="9260" max="9260" width="73.08984375" style="44" bestFit="1" customWidth="1"/>
    <col min="9261" max="9261" width="61.1796875" style="44" bestFit="1" customWidth="1"/>
    <col min="9262" max="9262" width="94.1796875" style="44" bestFit="1" customWidth="1"/>
    <col min="9263" max="9263" width="84.453125" style="44" bestFit="1" customWidth="1"/>
    <col min="9264" max="9264" width="86.81640625" style="44" bestFit="1" customWidth="1"/>
    <col min="9265" max="9265" width="90.08984375" style="44" bestFit="1" customWidth="1"/>
    <col min="9266" max="9266" width="86.7265625" style="44" bestFit="1" customWidth="1"/>
    <col min="9267" max="9267" width="87.6328125" style="44" bestFit="1" customWidth="1"/>
    <col min="9268" max="9270" width="97.6328125" style="44" bestFit="1" customWidth="1"/>
    <col min="9271" max="9271" width="72.54296875" style="44" bestFit="1" customWidth="1"/>
    <col min="9272" max="9272" width="73.6328125" style="44" bestFit="1" customWidth="1"/>
    <col min="9273" max="9273" width="58.6328125" style="44" bestFit="1" customWidth="1"/>
    <col min="9274" max="9275" width="74.08984375" style="44" bestFit="1" customWidth="1"/>
    <col min="9276" max="9276" width="75.54296875" style="44" bestFit="1" customWidth="1"/>
    <col min="9277" max="9277" width="92" style="44" bestFit="1" customWidth="1"/>
    <col min="9278" max="9278" width="93.54296875" style="44" bestFit="1" customWidth="1"/>
    <col min="9279" max="9280" width="75.54296875" style="44" bestFit="1" customWidth="1"/>
    <col min="9281" max="9281" width="78.08984375" style="44" bestFit="1" customWidth="1"/>
    <col min="9282" max="9282" width="70" style="44" bestFit="1" customWidth="1"/>
    <col min="9283" max="9283" width="84.81640625" style="44" bestFit="1" customWidth="1"/>
    <col min="9284" max="9284" width="93" style="44" bestFit="1" customWidth="1"/>
    <col min="9285" max="9285" width="83.453125" style="44" bestFit="1" customWidth="1"/>
    <col min="9286" max="9286" width="100.90625" style="44" bestFit="1" customWidth="1"/>
    <col min="9287" max="9289" width="64.54296875" style="44" bestFit="1" customWidth="1"/>
    <col min="9290" max="9291" width="82.7265625" style="44" bestFit="1" customWidth="1"/>
    <col min="9292" max="9292" width="99.453125" style="44" bestFit="1" customWidth="1"/>
    <col min="9293" max="9293" width="78.1796875" style="44" bestFit="1" customWidth="1"/>
    <col min="9294" max="9294" width="71.36328125" style="44" bestFit="1" customWidth="1"/>
    <col min="9295" max="9295" width="71.26953125" style="44" bestFit="1" customWidth="1"/>
    <col min="9296" max="9299" width="76.453125" style="44" bestFit="1" customWidth="1"/>
    <col min="9300" max="9300" width="70.54296875" style="44" bestFit="1" customWidth="1"/>
    <col min="9301" max="9301" width="63.36328125" style="44" bestFit="1" customWidth="1"/>
    <col min="9302" max="9302" width="97.81640625" style="44" bestFit="1" customWidth="1"/>
    <col min="9303" max="9304" width="73" style="44" bestFit="1" customWidth="1"/>
    <col min="9305" max="9305" width="79" style="44" bestFit="1" customWidth="1"/>
    <col min="9306" max="9306" width="73" style="44" bestFit="1" customWidth="1"/>
    <col min="9307" max="9307" width="82.1796875" style="44" bestFit="1" customWidth="1"/>
    <col min="9308" max="9308" width="61.453125" style="44" bestFit="1" customWidth="1"/>
    <col min="9309" max="9310" width="99.90625" style="44" bestFit="1" customWidth="1"/>
    <col min="9311" max="9311" width="100.36328125" style="44" bestFit="1" customWidth="1"/>
    <col min="9312" max="9312" width="84.453125" style="44" bestFit="1" customWidth="1"/>
    <col min="9313" max="9313" width="113.36328125" style="44" bestFit="1" customWidth="1"/>
    <col min="9314" max="9314" width="98.453125" style="44" bestFit="1" customWidth="1"/>
    <col min="9315" max="9315" width="99.7265625" style="44" bestFit="1" customWidth="1"/>
    <col min="9316" max="9316" width="99.54296875" style="44" bestFit="1" customWidth="1"/>
    <col min="9317" max="9317" width="96.81640625" style="44" bestFit="1" customWidth="1"/>
    <col min="9318" max="9318" width="94.08984375" style="44" bestFit="1" customWidth="1"/>
    <col min="9319" max="9319" width="100.453125" style="44" bestFit="1" customWidth="1"/>
    <col min="9320" max="9320" width="98.6328125" style="44" bestFit="1" customWidth="1"/>
    <col min="9321" max="9321" width="77.453125" style="44" bestFit="1" customWidth="1"/>
    <col min="9322" max="9322" width="95.1796875" style="44" bestFit="1" customWidth="1"/>
    <col min="9323" max="9323" width="86.6328125" style="44" bestFit="1" customWidth="1"/>
    <col min="9324" max="9324" width="77.26953125" style="44" bestFit="1" customWidth="1"/>
    <col min="9325" max="9325" width="85.1796875" style="44" bestFit="1" customWidth="1"/>
    <col min="9326" max="9326" width="74.7265625" style="44" bestFit="1" customWidth="1"/>
    <col min="9327" max="9327" width="92" style="44" bestFit="1" customWidth="1"/>
    <col min="9328" max="9328" width="72.26953125" style="44" bestFit="1" customWidth="1"/>
    <col min="9329" max="9329" width="97.08984375" style="44" bestFit="1" customWidth="1"/>
    <col min="9330" max="9330" width="77.08984375" style="44" bestFit="1" customWidth="1"/>
    <col min="9331" max="9331" width="85.08984375" style="44" bestFit="1" customWidth="1"/>
    <col min="9332" max="9333" width="83.1796875" style="44" bestFit="1" customWidth="1"/>
    <col min="9334" max="9334" width="82.6328125" style="44" bestFit="1" customWidth="1"/>
    <col min="9335" max="9335" width="86.26953125" style="44" bestFit="1" customWidth="1"/>
    <col min="9336" max="9336" width="71.1796875" style="44" bestFit="1" customWidth="1"/>
    <col min="9337" max="9337" width="66.6328125" style="44" bestFit="1" customWidth="1"/>
    <col min="9338" max="9339" width="83.1796875" style="44" bestFit="1" customWidth="1"/>
    <col min="9340" max="9340" width="67.08984375" style="44" bestFit="1" customWidth="1"/>
    <col min="9341" max="9341" width="76.54296875" style="44" bestFit="1" customWidth="1"/>
    <col min="9342" max="9342" width="94.08984375" style="44" bestFit="1" customWidth="1"/>
    <col min="9343" max="9343" width="89.08984375" style="44" bestFit="1" customWidth="1"/>
    <col min="9344" max="9344" width="68.1796875" style="44" bestFit="1" customWidth="1"/>
    <col min="9345" max="9345" width="91.7265625" style="44" bestFit="1" customWidth="1"/>
    <col min="9346" max="9346" width="63.36328125" style="44" bestFit="1" customWidth="1"/>
    <col min="9347" max="9347" width="66.6328125" style="44" bestFit="1" customWidth="1"/>
    <col min="9348" max="9348" width="63.36328125" style="44" bestFit="1" customWidth="1"/>
    <col min="9349" max="9349" width="63.453125" style="44" bestFit="1" customWidth="1"/>
    <col min="9350" max="9350" width="87.54296875" style="44" bestFit="1" customWidth="1"/>
    <col min="9351" max="9351" width="93.81640625" style="44" bestFit="1" customWidth="1"/>
    <col min="9352" max="9352" width="66.453125" style="44" bestFit="1" customWidth="1"/>
    <col min="9353" max="9354" width="110" style="44" bestFit="1" customWidth="1"/>
    <col min="9355" max="9355" width="103.1796875" style="44" bestFit="1" customWidth="1"/>
    <col min="9356" max="9356" width="62.453125" style="44" bestFit="1" customWidth="1"/>
    <col min="9357" max="9357" width="77.453125" style="44" bestFit="1" customWidth="1"/>
    <col min="9358" max="9358" width="91.54296875" style="44" bestFit="1" customWidth="1"/>
    <col min="9359" max="9359" width="88.08984375" style="44" bestFit="1" customWidth="1"/>
    <col min="9360" max="9360" width="80.6328125" style="44" bestFit="1" customWidth="1"/>
    <col min="9361" max="9361" width="77.453125" style="44" bestFit="1" customWidth="1"/>
    <col min="9362" max="9362" width="85.1796875" style="44" bestFit="1" customWidth="1"/>
    <col min="9363" max="9366" width="72.36328125" style="44" bestFit="1" customWidth="1"/>
    <col min="9367" max="9368" width="95" style="44" bestFit="1" customWidth="1"/>
    <col min="9369" max="9369" width="64.08984375" style="44" bestFit="1" customWidth="1"/>
    <col min="9370" max="9370" width="110.08984375" style="44" bestFit="1" customWidth="1"/>
    <col min="9371" max="9371" width="86.36328125" style="44" bestFit="1" customWidth="1"/>
    <col min="9372" max="9372" width="89.36328125" style="44" bestFit="1" customWidth="1"/>
    <col min="9373" max="9373" width="89.81640625" style="44" bestFit="1" customWidth="1"/>
    <col min="9374" max="9374" width="64.26953125" style="44" bestFit="1" customWidth="1"/>
    <col min="9375" max="9375" width="85.7265625" style="44" bestFit="1" customWidth="1"/>
    <col min="9376" max="9376" width="73" style="44" bestFit="1" customWidth="1"/>
    <col min="9377" max="9377" width="92.7265625" style="44" bestFit="1" customWidth="1"/>
    <col min="9378" max="9378" width="92.36328125" style="44" bestFit="1" customWidth="1"/>
    <col min="9379" max="9379" width="72" style="44" bestFit="1" customWidth="1"/>
    <col min="9380" max="9380" width="82" style="44" bestFit="1" customWidth="1"/>
    <col min="9381" max="9381" width="79.36328125" style="44" bestFit="1" customWidth="1"/>
    <col min="9382" max="9382" width="81" style="44" bestFit="1" customWidth="1"/>
    <col min="9383" max="9383" width="72.90625" style="44" bestFit="1" customWidth="1"/>
    <col min="9384" max="9384" width="90.81640625" style="44" bestFit="1" customWidth="1"/>
    <col min="9385" max="9385" width="84" style="44" bestFit="1" customWidth="1"/>
    <col min="9386" max="9387" width="73.36328125" style="44" bestFit="1" customWidth="1"/>
    <col min="9388" max="9388" width="90.6328125" style="44" bestFit="1" customWidth="1"/>
    <col min="9389" max="9389" width="89.453125" style="44" bestFit="1" customWidth="1"/>
    <col min="9390" max="9390" width="84.6328125" style="44" bestFit="1" customWidth="1"/>
    <col min="9391" max="9391" width="74.54296875" style="44" bestFit="1" customWidth="1"/>
    <col min="9392" max="9392" width="76.90625" style="44" bestFit="1" customWidth="1"/>
    <col min="9393" max="9393" width="83" style="44" bestFit="1" customWidth="1"/>
    <col min="9394" max="9394" width="85.81640625" style="44" bestFit="1" customWidth="1"/>
    <col min="9395" max="9395" width="83.7265625" style="44" bestFit="1" customWidth="1"/>
    <col min="9396" max="9396" width="79.54296875" style="44" bestFit="1" customWidth="1"/>
    <col min="9397" max="9397" width="80.54296875" style="44" bestFit="1" customWidth="1"/>
    <col min="9398" max="9398" width="89.54296875" style="44" bestFit="1" customWidth="1"/>
    <col min="9399" max="9399" width="85.36328125" style="44" bestFit="1" customWidth="1"/>
    <col min="9400" max="9400" width="61.6328125" style="44" bestFit="1" customWidth="1"/>
    <col min="9401" max="9401" width="132.54296875" style="44" bestFit="1" customWidth="1"/>
    <col min="9402" max="9402" width="93.1796875" style="44" bestFit="1" customWidth="1"/>
    <col min="9403" max="9403" width="91.08984375" style="44" bestFit="1" customWidth="1"/>
    <col min="9404" max="9404" width="81.7265625" style="44" bestFit="1" customWidth="1"/>
    <col min="9405" max="9406" width="80.90625" style="44" bestFit="1" customWidth="1"/>
    <col min="9407" max="9407" width="83.26953125" style="44" bestFit="1" customWidth="1"/>
    <col min="9408" max="9408" width="101.453125" style="44" bestFit="1" customWidth="1"/>
    <col min="9409" max="9409" width="110.1796875" style="44" bestFit="1" customWidth="1"/>
    <col min="9410" max="9410" width="74.6328125" style="44" bestFit="1" customWidth="1"/>
    <col min="9411" max="9414" width="84.54296875" style="44" bestFit="1" customWidth="1"/>
    <col min="9415" max="9415" width="74.36328125" style="44" bestFit="1" customWidth="1"/>
    <col min="9416" max="9416" width="88.1796875" style="44" bestFit="1" customWidth="1"/>
    <col min="9417" max="9417" width="78.6328125" style="44" bestFit="1" customWidth="1"/>
    <col min="9418" max="9418" width="76.81640625" style="44" bestFit="1" customWidth="1"/>
    <col min="9419" max="9419" width="74.7265625" style="44" bestFit="1" customWidth="1"/>
    <col min="9420" max="9420" width="87.26953125" style="44" bestFit="1" customWidth="1"/>
    <col min="9421" max="9421" width="85.54296875" style="44" bestFit="1" customWidth="1"/>
    <col min="9422" max="9422" width="100.26953125" style="44" bestFit="1" customWidth="1"/>
    <col min="9423" max="9423" width="71.36328125" style="44" bestFit="1" customWidth="1"/>
    <col min="9424" max="9424" width="105.453125" style="44" bestFit="1" customWidth="1"/>
    <col min="9425" max="9425" width="103.08984375" style="44" bestFit="1" customWidth="1"/>
    <col min="9426" max="9426" width="85.7265625" style="44" bestFit="1" customWidth="1"/>
    <col min="9427" max="9427" width="99.26953125" style="44" bestFit="1" customWidth="1"/>
    <col min="9428" max="9428" width="83.54296875" style="44" bestFit="1" customWidth="1"/>
    <col min="9429" max="9429" width="96.90625" style="44" bestFit="1" customWidth="1"/>
    <col min="9430" max="9430" width="74.26953125" style="44" bestFit="1" customWidth="1"/>
    <col min="9431" max="9431" width="98.36328125" style="44" bestFit="1" customWidth="1"/>
    <col min="9432" max="9432" width="74.453125" style="44" bestFit="1" customWidth="1"/>
    <col min="9433" max="9433" width="88.81640625" style="44" bestFit="1" customWidth="1"/>
    <col min="9434" max="9434" width="67.6328125" style="44" bestFit="1" customWidth="1"/>
    <col min="9435" max="9435" width="93.08984375" style="44" bestFit="1" customWidth="1"/>
    <col min="9436" max="9436" width="101.453125" style="44" bestFit="1" customWidth="1"/>
    <col min="9437" max="9439" width="76.81640625" style="44" bestFit="1" customWidth="1"/>
    <col min="9440" max="9440" width="87.08984375" style="44" bestFit="1" customWidth="1"/>
    <col min="9441" max="9441" width="72.453125" style="44" bestFit="1" customWidth="1"/>
    <col min="9442" max="9442" width="87.81640625" style="44" bestFit="1" customWidth="1"/>
    <col min="9443" max="9443" width="71.7265625" style="44" bestFit="1" customWidth="1"/>
    <col min="9444" max="9444" width="74" style="44" bestFit="1" customWidth="1"/>
    <col min="9445" max="9445" width="74.08984375" style="44" bestFit="1" customWidth="1"/>
    <col min="9446" max="9448" width="86.81640625" style="44" bestFit="1" customWidth="1"/>
    <col min="9449" max="9449" width="104.7265625" style="44" bestFit="1" customWidth="1"/>
    <col min="9450" max="9450" width="101.81640625" style="44" bestFit="1" customWidth="1"/>
    <col min="9451" max="9451" width="64.453125" style="44" bestFit="1" customWidth="1"/>
    <col min="9452" max="9452" width="65.1796875" style="44" bestFit="1" customWidth="1"/>
    <col min="9453" max="9453" width="72.453125" style="44" bestFit="1" customWidth="1"/>
    <col min="9454" max="9454" width="81.36328125" style="44" bestFit="1" customWidth="1"/>
    <col min="9455" max="9455" width="65.1796875" style="44" bestFit="1" customWidth="1"/>
    <col min="9456" max="9456" width="80.90625" style="44" bestFit="1" customWidth="1"/>
    <col min="9457" max="9457" width="71.7265625" style="44" bestFit="1" customWidth="1"/>
    <col min="9458" max="9458" width="73.6328125" style="44" bestFit="1" customWidth="1"/>
    <col min="9459" max="9460" width="85.36328125" style="44" bestFit="1" customWidth="1"/>
    <col min="9461" max="9461" width="92.26953125" style="44" bestFit="1" customWidth="1"/>
    <col min="9462" max="9462" width="106.1796875" style="44" bestFit="1" customWidth="1"/>
    <col min="9463" max="9463" width="86.6328125" style="44" bestFit="1" customWidth="1"/>
    <col min="9464" max="9465" width="68.90625" style="44" bestFit="1" customWidth="1"/>
    <col min="9466" max="9466" width="80.54296875" style="44" bestFit="1" customWidth="1"/>
    <col min="9467" max="9467" width="68.90625" style="44" bestFit="1" customWidth="1"/>
    <col min="9468" max="9468" width="79.1796875" style="44" bestFit="1" customWidth="1"/>
    <col min="9469" max="9469" width="79.26953125" style="44" bestFit="1" customWidth="1"/>
    <col min="9470" max="9470" width="80.1796875" style="44" bestFit="1" customWidth="1"/>
    <col min="9471" max="9471" width="84.81640625" style="44" bestFit="1" customWidth="1"/>
    <col min="9472" max="9472" width="76.81640625" style="44" bestFit="1" customWidth="1"/>
    <col min="9473" max="9473" width="7.90625" style="44" bestFit="1" customWidth="1"/>
    <col min="9474" max="9474" width="132.54296875" style="44" bestFit="1" customWidth="1"/>
    <col min="9475" max="9475" width="45.36328125" style="44" bestFit="1" customWidth="1"/>
    <col min="9476" max="9476" width="14.08984375" style="44" bestFit="1" customWidth="1"/>
    <col min="9477" max="9478" width="8.7265625" style="44"/>
    <col min="9479" max="9479" width="49.7265625" style="44" bestFit="1" customWidth="1"/>
    <col min="9480" max="9480" width="7.90625" style="44" bestFit="1" customWidth="1"/>
    <col min="9481" max="9481" width="7.81640625" style="44" bestFit="1" customWidth="1"/>
    <col min="9482" max="9493" width="8.81640625" style="44" bestFit="1" customWidth="1"/>
    <col min="9494" max="9494" width="10.81640625" style="44" bestFit="1" customWidth="1"/>
    <col min="9495" max="9495" width="93.36328125" style="44" bestFit="1" customWidth="1"/>
    <col min="9496" max="9496" width="87.6328125" style="44" bestFit="1" customWidth="1"/>
    <col min="9497" max="9497" width="69.26953125" style="44" bestFit="1" customWidth="1"/>
    <col min="9498" max="9498" width="68.54296875" style="44" bestFit="1" customWidth="1"/>
    <col min="9499" max="9499" width="67.6328125" style="44" bestFit="1" customWidth="1"/>
    <col min="9500" max="9500" width="64" style="44" bestFit="1" customWidth="1"/>
    <col min="9501" max="9501" width="43.81640625" style="44" bestFit="1" customWidth="1"/>
    <col min="9502" max="9502" width="39.81640625" style="44" bestFit="1" customWidth="1"/>
    <col min="9503" max="9503" width="85.26953125" style="44" bestFit="1" customWidth="1"/>
    <col min="9504" max="9504" width="84.08984375" style="44" bestFit="1" customWidth="1"/>
    <col min="9505" max="9505" width="91" style="44" bestFit="1" customWidth="1"/>
    <col min="9506" max="9506" width="79" style="44" bestFit="1" customWidth="1"/>
    <col min="9507" max="9507" width="89.90625" style="44" bestFit="1" customWidth="1"/>
    <col min="9508" max="9514" width="90.90625" style="44" bestFit="1" customWidth="1"/>
    <col min="9515" max="9515" width="91.90625" style="44" bestFit="1" customWidth="1"/>
    <col min="9516" max="9516" width="73.08984375" style="44" bestFit="1" customWidth="1"/>
    <col min="9517" max="9517" width="61.1796875" style="44" bestFit="1" customWidth="1"/>
    <col min="9518" max="9518" width="94.1796875" style="44" bestFit="1" customWidth="1"/>
    <col min="9519" max="9519" width="84.453125" style="44" bestFit="1" customWidth="1"/>
    <col min="9520" max="9520" width="86.81640625" style="44" bestFit="1" customWidth="1"/>
    <col min="9521" max="9521" width="90.08984375" style="44" bestFit="1" customWidth="1"/>
    <col min="9522" max="9522" width="86.7265625" style="44" bestFit="1" customWidth="1"/>
    <col min="9523" max="9523" width="87.6328125" style="44" bestFit="1" customWidth="1"/>
    <col min="9524" max="9526" width="97.6328125" style="44" bestFit="1" customWidth="1"/>
    <col min="9527" max="9527" width="72.54296875" style="44" bestFit="1" customWidth="1"/>
    <col min="9528" max="9528" width="73.6328125" style="44" bestFit="1" customWidth="1"/>
    <col min="9529" max="9529" width="58.6328125" style="44" bestFit="1" customWidth="1"/>
    <col min="9530" max="9531" width="74.08984375" style="44" bestFit="1" customWidth="1"/>
    <col min="9532" max="9532" width="75.54296875" style="44" bestFit="1" customWidth="1"/>
    <col min="9533" max="9533" width="92" style="44" bestFit="1" customWidth="1"/>
    <col min="9534" max="9534" width="93.54296875" style="44" bestFit="1" customWidth="1"/>
    <col min="9535" max="9536" width="75.54296875" style="44" bestFit="1" customWidth="1"/>
    <col min="9537" max="9537" width="78.08984375" style="44" bestFit="1" customWidth="1"/>
    <col min="9538" max="9538" width="70" style="44" bestFit="1" customWidth="1"/>
    <col min="9539" max="9539" width="84.81640625" style="44" bestFit="1" customWidth="1"/>
    <col min="9540" max="9540" width="93" style="44" bestFit="1" customWidth="1"/>
    <col min="9541" max="9541" width="83.453125" style="44" bestFit="1" customWidth="1"/>
    <col min="9542" max="9542" width="100.90625" style="44" bestFit="1" customWidth="1"/>
    <col min="9543" max="9545" width="64.54296875" style="44" bestFit="1" customWidth="1"/>
    <col min="9546" max="9547" width="82.7265625" style="44" bestFit="1" customWidth="1"/>
    <col min="9548" max="9548" width="99.453125" style="44" bestFit="1" customWidth="1"/>
    <col min="9549" max="9549" width="78.1796875" style="44" bestFit="1" customWidth="1"/>
    <col min="9550" max="9550" width="71.36328125" style="44" bestFit="1" customWidth="1"/>
    <col min="9551" max="9551" width="71.26953125" style="44" bestFit="1" customWidth="1"/>
    <col min="9552" max="9555" width="76.453125" style="44" bestFit="1" customWidth="1"/>
    <col min="9556" max="9556" width="70.54296875" style="44" bestFit="1" customWidth="1"/>
    <col min="9557" max="9557" width="63.36328125" style="44" bestFit="1" customWidth="1"/>
    <col min="9558" max="9558" width="97.81640625" style="44" bestFit="1" customWidth="1"/>
    <col min="9559" max="9560" width="73" style="44" bestFit="1" customWidth="1"/>
    <col min="9561" max="9561" width="79" style="44" bestFit="1" customWidth="1"/>
    <col min="9562" max="9562" width="73" style="44" bestFit="1" customWidth="1"/>
    <col min="9563" max="9563" width="82.1796875" style="44" bestFit="1" customWidth="1"/>
    <col min="9564" max="9564" width="61.453125" style="44" bestFit="1" customWidth="1"/>
    <col min="9565" max="9566" width="99.90625" style="44" bestFit="1" customWidth="1"/>
    <col min="9567" max="9567" width="100.36328125" style="44" bestFit="1" customWidth="1"/>
    <col min="9568" max="9568" width="84.453125" style="44" bestFit="1" customWidth="1"/>
    <col min="9569" max="9569" width="113.36328125" style="44" bestFit="1" customWidth="1"/>
    <col min="9570" max="9570" width="98.453125" style="44" bestFit="1" customWidth="1"/>
    <col min="9571" max="9571" width="99.7265625" style="44" bestFit="1" customWidth="1"/>
    <col min="9572" max="9572" width="99.54296875" style="44" bestFit="1" customWidth="1"/>
    <col min="9573" max="9573" width="96.81640625" style="44" bestFit="1" customWidth="1"/>
    <col min="9574" max="9574" width="94.08984375" style="44" bestFit="1" customWidth="1"/>
    <col min="9575" max="9575" width="100.453125" style="44" bestFit="1" customWidth="1"/>
    <col min="9576" max="9576" width="98.6328125" style="44" bestFit="1" customWidth="1"/>
    <col min="9577" max="9577" width="77.453125" style="44" bestFit="1" customWidth="1"/>
    <col min="9578" max="9578" width="95.1796875" style="44" bestFit="1" customWidth="1"/>
    <col min="9579" max="9579" width="86.6328125" style="44" bestFit="1" customWidth="1"/>
    <col min="9580" max="9580" width="77.26953125" style="44" bestFit="1" customWidth="1"/>
    <col min="9581" max="9581" width="85.1796875" style="44" bestFit="1" customWidth="1"/>
    <col min="9582" max="9582" width="74.7265625" style="44" bestFit="1" customWidth="1"/>
    <col min="9583" max="9583" width="92" style="44" bestFit="1" customWidth="1"/>
    <col min="9584" max="9584" width="72.26953125" style="44" bestFit="1" customWidth="1"/>
    <col min="9585" max="9585" width="97.08984375" style="44" bestFit="1" customWidth="1"/>
    <col min="9586" max="9586" width="77.08984375" style="44" bestFit="1" customWidth="1"/>
    <col min="9587" max="9587" width="85.08984375" style="44" bestFit="1" customWidth="1"/>
    <col min="9588" max="9589" width="83.1796875" style="44" bestFit="1" customWidth="1"/>
    <col min="9590" max="9590" width="82.6328125" style="44" bestFit="1" customWidth="1"/>
    <col min="9591" max="9591" width="86.26953125" style="44" bestFit="1" customWidth="1"/>
    <col min="9592" max="9592" width="71.1796875" style="44" bestFit="1" customWidth="1"/>
    <col min="9593" max="9593" width="66.6328125" style="44" bestFit="1" customWidth="1"/>
    <col min="9594" max="9595" width="83.1796875" style="44" bestFit="1" customWidth="1"/>
    <col min="9596" max="9596" width="67.08984375" style="44" bestFit="1" customWidth="1"/>
    <col min="9597" max="9597" width="76.54296875" style="44" bestFit="1" customWidth="1"/>
    <col min="9598" max="9598" width="94.08984375" style="44" bestFit="1" customWidth="1"/>
    <col min="9599" max="9599" width="89.08984375" style="44" bestFit="1" customWidth="1"/>
    <col min="9600" max="9600" width="68.1796875" style="44" bestFit="1" customWidth="1"/>
    <col min="9601" max="9601" width="91.7265625" style="44" bestFit="1" customWidth="1"/>
    <col min="9602" max="9602" width="63.36328125" style="44" bestFit="1" customWidth="1"/>
    <col min="9603" max="9603" width="66.6328125" style="44" bestFit="1" customWidth="1"/>
    <col min="9604" max="9604" width="63.36328125" style="44" bestFit="1" customWidth="1"/>
    <col min="9605" max="9605" width="63.453125" style="44" bestFit="1" customWidth="1"/>
    <col min="9606" max="9606" width="87.54296875" style="44" bestFit="1" customWidth="1"/>
    <col min="9607" max="9607" width="93.81640625" style="44" bestFit="1" customWidth="1"/>
    <col min="9608" max="9608" width="66.453125" style="44" bestFit="1" customWidth="1"/>
    <col min="9609" max="9610" width="110" style="44" bestFit="1" customWidth="1"/>
    <col min="9611" max="9611" width="103.1796875" style="44" bestFit="1" customWidth="1"/>
    <col min="9612" max="9612" width="62.453125" style="44" bestFit="1" customWidth="1"/>
    <col min="9613" max="9613" width="77.453125" style="44" bestFit="1" customWidth="1"/>
    <col min="9614" max="9614" width="91.54296875" style="44" bestFit="1" customWidth="1"/>
    <col min="9615" max="9615" width="88.08984375" style="44" bestFit="1" customWidth="1"/>
    <col min="9616" max="9616" width="80.6328125" style="44" bestFit="1" customWidth="1"/>
    <col min="9617" max="9617" width="77.453125" style="44" bestFit="1" customWidth="1"/>
    <col min="9618" max="9618" width="85.1796875" style="44" bestFit="1" customWidth="1"/>
    <col min="9619" max="9622" width="72.36328125" style="44" bestFit="1" customWidth="1"/>
    <col min="9623" max="9624" width="95" style="44" bestFit="1" customWidth="1"/>
    <col min="9625" max="9625" width="64.08984375" style="44" bestFit="1" customWidth="1"/>
    <col min="9626" max="9626" width="110.08984375" style="44" bestFit="1" customWidth="1"/>
    <col min="9627" max="9627" width="86.36328125" style="44" bestFit="1" customWidth="1"/>
    <col min="9628" max="9628" width="89.36328125" style="44" bestFit="1" customWidth="1"/>
    <col min="9629" max="9629" width="89.81640625" style="44" bestFit="1" customWidth="1"/>
    <col min="9630" max="9630" width="64.26953125" style="44" bestFit="1" customWidth="1"/>
    <col min="9631" max="9631" width="85.7265625" style="44" bestFit="1" customWidth="1"/>
    <col min="9632" max="9632" width="73" style="44" bestFit="1" customWidth="1"/>
    <col min="9633" max="9633" width="92.7265625" style="44" bestFit="1" customWidth="1"/>
    <col min="9634" max="9634" width="92.36328125" style="44" bestFit="1" customWidth="1"/>
    <col min="9635" max="9635" width="72" style="44" bestFit="1" customWidth="1"/>
    <col min="9636" max="9636" width="82" style="44" bestFit="1" customWidth="1"/>
    <col min="9637" max="9637" width="79.36328125" style="44" bestFit="1" customWidth="1"/>
    <col min="9638" max="9638" width="81" style="44" bestFit="1" customWidth="1"/>
    <col min="9639" max="9639" width="72.90625" style="44" bestFit="1" customWidth="1"/>
    <col min="9640" max="9640" width="90.81640625" style="44" bestFit="1" customWidth="1"/>
    <col min="9641" max="9641" width="84" style="44" bestFit="1" customWidth="1"/>
    <col min="9642" max="9643" width="73.36328125" style="44" bestFit="1" customWidth="1"/>
    <col min="9644" max="9644" width="90.6328125" style="44" bestFit="1" customWidth="1"/>
    <col min="9645" max="9645" width="89.453125" style="44" bestFit="1" customWidth="1"/>
    <col min="9646" max="9646" width="84.6328125" style="44" bestFit="1" customWidth="1"/>
    <col min="9647" max="9647" width="74.54296875" style="44" bestFit="1" customWidth="1"/>
    <col min="9648" max="9648" width="76.90625" style="44" bestFit="1" customWidth="1"/>
    <col min="9649" max="9649" width="83" style="44" bestFit="1" customWidth="1"/>
    <col min="9650" max="9650" width="85.81640625" style="44" bestFit="1" customWidth="1"/>
    <col min="9651" max="9651" width="83.7265625" style="44" bestFit="1" customWidth="1"/>
    <col min="9652" max="9652" width="79.54296875" style="44" bestFit="1" customWidth="1"/>
    <col min="9653" max="9653" width="80.54296875" style="44" bestFit="1" customWidth="1"/>
    <col min="9654" max="9654" width="89.54296875" style="44" bestFit="1" customWidth="1"/>
    <col min="9655" max="9655" width="85.36328125" style="44" bestFit="1" customWidth="1"/>
    <col min="9656" max="9656" width="61.6328125" style="44" bestFit="1" customWidth="1"/>
    <col min="9657" max="9657" width="132.54296875" style="44" bestFit="1" customWidth="1"/>
    <col min="9658" max="9658" width="93.1796875" style="44" bestFit="1" customWidth="1"/>
    <col min="9659" max="9659" width="91.08984375" style="44" bestFit="1" customWidth="1"/>
    <col min="9660" max="9660" width="81.7265625" style="44" bestFit="1" customWidth="1"/>
    <col min="9661" max="9662" width="80.90625" style="44" bestFit="1" customWidth="1"/>
    <col min="9663" max="9663" width="83.26953125" style="44" bestFit="1" customWidth="1"/>
    <col min="9664" max="9664" width="101.453125" style="44" bestFit="1" customWidth="1"/>
    <col min="9665" max="9665" width="110.1796875" style="44" bestFit="1" customWidth="1"/>
    <col min="9666" max="9666" width="74.6328125" style="44" bestFit="1" customWidth="1"/>
    <col min="9667" max="9670" width="84.54296875" style="44" bestFit="1" customWidth="1"/>
    <col min="9671" max="9671" width="74.36328125" style="44" bestFit="1" customWidth="1"/>
    <col min="9672" max="9672" width="88.1796875" style="44" bestFit="1" customWidth="1"/>
    <col min="9673" max="9673" width="78.6328125" style="44" bestFit="1" customWidth="1"/>
    <col min="9674" max="9674" width="76.81640625" style="44" bestFit="1" customWidth="1"/>
    <col min="9675" max="9675" width="74.7265625" style="44" bestFit="1" customWidth="1"/>
    <col min="9676" max="9676" width="87.26953125" style="44" bestFit="1" customWidth="1"/>
    <col min="9677" max="9677" width="85.54296875" style="44" bestFit="1" customWidth="1"/>
    <col min="9678" max="9678" width="100.26953125" style="44" bestFit="1" customWidth="1"/>
    <col min="9679" max="9679" width="71.36328125" style="44" bestFit="1" customWidth="1"/>
    <col min="9680" max="9680" width="105.453125" style="44" bestFit="1" customWidth="1"/>
    <col min="9681" max="9681" width="103.08984375" style="44" bestFit="1" customWidth="1"/>
    <col min="9682" max="9682" width="85.7265625" style="44" bestFit="1" customWidth="1"/>
    <col min="9683" max="9683" width="99.26953125" style="44" bestFit="1" customWidth="1"/>
    <col min="9684" max="9684" width="83.54296875" style="44" bestFit="1" customWidth="1"/>
    <col min="9685" max="9685" width="96.90625" style="44" bestFit="1" customWidth="1"/>
    <col min="9686" max="9686" width="74.26953125" style="44" bestFit="1" customWidth="1"/>
    <col min="9687" max="9687" width="98.36328125" style="44" bestFit="1" customWidth="1"/>
    <col min="9688" max="9688" width="74.453125" style="44" bestFit="1" customWidth="1"/>
    <col min="9689" max="9689" width="88.81640625" style="44" bestFit="1" customWidth="1"/>
    <col min="9690" max="9690" width="67.6328125" style="44" bestFit="1" customWidth="1"/>
    <col min="9691" max="9691" width="93.08984375" style="44" bestFit="1" customWidth="1"/>
    <col min="9692" max="9692" width="101.453125" style="44" bestFit="1" customWidth="1"/>
    <col min="9693" max="9695" width="76.81640625" style="44" bestFit="1" customWidth="1"/>
    <col min="9696" max="9696" width="87.08984375" style="44" bestFit="1" customWidth="1"/>
    <col min="9697" max="9697" width="72.453125" style="44" bestFit="1" customWidth="1"/>
    <col min="9698" max="9698" width="87.81640625" style="44" bestFit="1" customWidth="1"/>
    <col min="9699" max="9699" width="71.7265625" style="44" bestFit="1" customWidth="1"/>
    <col min="9700" max="9700" width="74" style="44" bestFit="1" customWidth="1"/>
    <col min="9701" max="9701" width="74.08984375" style="44" bestFit="1" customWidth="1"/>
    <col min="9702" max="9704" width="86.81640625" style="44" bestFit="1" customWidth="1"/>
    <col min="9705" max="9705" width="104.7265625" style="44" bestFit="1" customWidth="1"/>
    <col min="9706" max="9706" width="101.81640625" style="44" bestFit="1" customWidth="1"/>
    <col min="9707" max="9707" width="64.453125" style="44" bestFit="1" customWidth="1"/>
    <col min="9708" max="9708" width="65.1796875" style="44" bestFit="1" customWidth="1"/>
    <col min="9709" max="9709" width="72.453125" style="44" bestFit="1" customWidth="1"/>
    <col min="9710" max="9710" width="81.36328125" style="44" bestFit="1" customWidth="1"/>
    <col min="9711" max="9711" width="65.1796875" style="44" bestFit="1" customWidth="1"/>
    <col min="9712" max="9712" width="80.90625" style="44" bestFit="1" customWidth="1"/>
    <col min="9713" max="9713" width="71.7265625" style="44" bestFit="1" customWidth="1"/>
    <col min="9714" max="9714" width="73.6328125" style="44" bestFit="1" customWidth="1"/>
    <col min="9715" max="9716" width="85.36328125" style="44" bestFit="1" customWidth="1"/>
    <col min="9717" max="9717" width="92.26953125" style="44" bestFit="1" customWidth="1"/>
    <col min="9718" max="9718" width="106.1796875" style="44" bestFit="1" customWidth="1"/>
    <col min="9719" max="9719" width="86.6328125" style="44" bestFit="1" customWidth="1"/>
    <col min="9720" max="9721" width="68.90625" style="44" bestFit="1" customWidth="1"/>
    <col min="9722" max="9722" width="80.54296875" style="44" bestFit="1" customWidth="1"/>
    <col min="9723" max="9723" width="68.90625" style="44" bestFit="1" customWidth="1"/>
    <col min="9724" max="9724" width="79.1796875" style="44" bestFit="1" customWidth="1"/>
    <col min="9725" max="9725" width="79.26953125" style="44" bestFit="1" customWidth="1"/>
    <col min="9726" max="9726" width="80.1796875" style="44" bestFit="1" customWidth="1"/>
    <col min="9727" max="9727" width="84.81640625" style="44" bestFit="1" customWidth="1"/>
    <col min="9728" max="9728" width="76.81640625" style="44" bestFit="1" customWidth="1"/>
    <col min="9729" max="9729" width="7.90625" style="44" bestFit="1" customWidth="1"/>
    <col min="9730" max="9730" width="132.54296875" style="44" bestFit="1" customWidth="1"/>
    <col min="9731" max="9731" width="45.36328125" style="44" bestFit="1" customWidth="1"/>
    <col min="9732" max="9732" width="14.08984375" style="44" bestFit="1" customWidth="1"/>
    <col min="9733" max="9734" width="8.7265625" style="44"/>
    <col min="9735" max="9735" width="49.7265625" style="44" bestFit="1" customWidth="1"/>
    <col min="9736" max="9736" width="7.90625" style="44" bestFit="1" customWidth="1"/>
    <col min="9737" max="9737" width="7.81640625" style="44" bestFit="1" customWidth="1"/>
    <col min="9738" max="9749" width="8.81640625" style="44" bestFit="1" customWidth="1"/>
    <col min="9750" max="9750" width="10.81640625" style="44" bestFit="1" customWidth="1"/>
    <col min="9751" max="9751" width="93.36328125" style="44" bestFit="1" customWidth="1"/>
    <col min="9752" max="9752" width="87.6328125" style="44" bestFit="1" customWidth="1"/>
    <col min="9753" max="9753" width="69.26953125" style="44" bestFit="1" customWidth="1"/>
    <col min="9754" max="9754" width="68.54296875" style="44" bestFit="1" customWidth="1"/>
    <col min="9755" max="9755" width="67.6328125" style="44" bestFit="1" customWidth="1"/>
    <col min="9756" max="9756" width="64" style="44" bestFit="1" customWidth="1"/>
    <col min="9757" max="9757" width="43.81640625" style="44" bestFit="1" customWidth="1"/>
    <col min="9758" max="9758" width="39.81640625" style="44" bestFit="1" customWidth="1"/>
    <col min="9759" max="9759" width="85.26953125" style="44" bestFit="1" customWidth="1"/>
    <col min="9760" max="9760" width="84.08984375" style="44" bestFit="1" customWidth="1"/>
    <col min="9761" max="9761" width="91" style="44" bestFit="1" customWidth="1"/>
    <col min="9762" max="9762" width="79" style="44" bestFit="1" customWidth="1"/>
    <col min="9763" max="9763" width="89.90625" style="44" bestFit="1" customWidth="1"/>
    <col min="9764" max="9770" width="90.90625" style="44" bestFit="1" customWidth="1"/>
    <col min="9771" max="9771" width="91.90625" style="44" bestFit="1" customWidth="1"/>
    <col min="9772" max="9772" width="73.08984375" style="44" bestFit="1" customWidth="1"/>
    <col min="9773" max="9773" width="61.1796875" style="44" bestFit="1" customWidth="1"/>
    <col min="9774" max="9774" width="94.1796875" style="44" bestFit="1" customWidth="1"/>
    <col min="9775" max="9775" width="84.453125" style="44" bestFit="1" customWidth="1"/>
    <col min="9776" max="9776" width="86.81640625" style="44" bestFit="1" customWidth="1"/>
    <col min="9777" max="9777" width="90.08984375" style="44" bestFit="1" customWidth="1"/>
    <col min="9778" max="9778" width="86.7265625" style="44" bestFit="1" customWidth="1"/>
    <col min="9779" max="9779" width="87.6328125" style="44" bestFit="1" customWidth="1"/>
    <col min="9780" max="9782" width="97.6328125" style="44" bestFit="1" customWidth="1"/>
    <col min="9783" max="9783" width="72.54296875" style="44" bestFit="1" customWidth="1"/>
    <col min="9784" max="9784" width="73.6328125" style="44" bestFit="1" customWidth="1"/>
    <col min="9785" max="9785" width="58.6328125" style="44" bestFit="1" customWidth="1"/>
    <col min="9786" max="9787" width="74.08984375" style="44" bestFit="1" customWidth="1"/>
    <col min="9788" max="9788" width="75.54296875" style="44" bestFit="1" customWidth="1"/>
    <col min="9789" max="9789" width="92" style="44" bestFit="1" customWidth="1"/>
    <col min="9790" max="9790" width="93.54296875" style="44" bestFit="1" customWidth="1"/>
    <col min="9791" max="9792" width="75.54296875" style="44" bestFit="1" customWidth="1"/>
    <col min="9793" max="9793" width="78.08984375" style="44" bestFit="1" customWidth="1"/>
    <col min="9794" max="9794" width="70" style="44" bestFit="1" customWidth="1"/>
    <col min="9795" max="9795" width="84.81640625" style="44" bestFit="1" customWidth="1"/>
    <col min="9796" max="9796" width="93" style="44" bestFit="1" customWidth="1"/>
    <col min="9797" max="9797" width="83.453125" style="44" bestFit="1" customWidth="1"/>
    <col min="9798" max="9798" width="100.90625" style="44" bestFit="1" customWidth="1"/>
    <col min="9799" max="9801" width="64.54296875" style="44" bestFit="1" customWidth="1"/>
    <col min="9802" max="9803" width="82.7265625" style="44" bestFit="1" customWidth="1"/>
    <col min="9804" max="9804" width="99.453125" style="44" bestFit="1" customWidth="1"/>
    <col min="9805" max="9805" width="78.1796875" style="44" bestFit="1" customWidth="1"/>
    <col min="9806" max="9806" width="71.36328125" style="44" bestFit="1" customWidth="1"/>
    <col min="9807" max="9807" width="71.26953125" style="44" bestFit="1" customWidth="1"/>
    <col min="9808" max="9811" width="76.453125" style="44" bestFit="1" customWidth="1"/>
    <col min="9812" max="9812" width="70.54296875" style="44" bestFit="1" customWidth="1"/>
    <col min="9813" max="9813" width="63.36328125" style="44" bestFit="1" customWidth="1"/>
    <col min="9814" max="9814" width="97.81640625" style="44" bestFit="1" customWidth="1"/>
    <col min="9815" max="9816" width="73" style="44" bestFit="1" customWidth="1"/>
    <col min="9817" max="9817" width="79" style="44" bestFit="1" customWidth="1"/>
    <col min="9818" max="9818" width="73" style="44" bestFit="1" customWidth="1"/>
    <col min="9819" max="9819" width="82.1796875" style="44" bestFit="1" customWidth="1"/>
    <col min="9820" max="9820" width="61.453125" style="44" bestFit="1" customWidth="1"/>
    <col min="9821" max="9822" width="99.90625" style="44" bestFit="1" customWidth="1"/>
    <col min="9823" max="9823" width="100.36328125" style="44" bestFit="1" customWidth="1"/>
    <col min="9824" max="9824" width="84.453125" style="44" bestFit="1" customWidth="1"/>
    <col min="9825" max="9825" width="113.36328125" style="44" bestFit="1" customWidth="1"/>
    <col min="9826" max="9826" width="98.453125" style="44" bestFit="1" customWidth="1"/>
    <col min="9827" max="9827" width="99.7265625" style="44" bestFit="1" customWidth="1"/>
    <col min="9828" max="9828" width="99.54296875" style="44" bestFit="1" customWidth="1"/>
    <col min="9829" max="9829" width="96.81640625" style="44" bestFit="1" customWidth="1"/>
    <col min="9830" max="9830" width="94.08984375" style="44" bestFit="1" customWidth="1"/>
    <col min="9831" max="9831" width="100.453125" style="44" bestFit="1" customWidth="1"/>
    <col min="9832" max="9832" width="98.6328125" style="44" bestFit="1" customWidth="1"/>
    <col min="9833" max="9833" width="77.453125" style="44" bestFit="1" customWidth="1"/>
    <col min="9834" max="9834" width="95.1796875" style="44" bestFit="1" customWidth="1"/>
    <col min="9835" max="9835" width="86.6328125" style="44" bestFit="1" customWidth="1"/>
    <col min="9836" max="9836" width="77.26953125" style="44" bestFit="1" customWidth="1"/>
    <col min="9837" max="9837" width="85.1796875" style="44" bestFit="1" customWidth="1"/>
    <col min="9838" max="9838" width="74.7265625" style="44" bestFit="1" customWidth="1"/>
    <col min="9839" max="9839" width="92" style="44" bestFit="1" customWidth="1"/>
    <col min="9840" max="9840" width="72.26953125" style="44" bestFit="1" customWidth="1"/>
    <col min="9841" max="9841" width="97.08984375" style="44" bestFit="1" customWidth="1"/>
    <col min="9842" max="9842" width="77.08984375" style="44" bestFit="1" customWidth="1"/>
    <col min="9843" max="9843" width="85.08984375" style="44" bestFit="1" customWidth="1"/>
    <col min="9844" max="9845" width="83.1796875" style="44" bestFit="1" customWidth="1"/>
    <col min="9846" max="9846" width="82.6328125" style="44" bestFit="1" customWidth="1"/>
    <col min="9847" max="9847" width="86.26953125" style="44" bestFit="1" customWidth="1"/>
    <col min="9848" max="9848" width="71.1796875" style="44" bestFit="1" customWidth="1"/>
    <col min="9849" max="9849" width="66.6328125" style="44" bestFit="1" customWidth="1"/>
    <col min="9850" max="9851" width="83.1796875" style="44" bestFit="1" customWidth="1"/>
    <col min="9852" max="9852" width="67.08984375" style="44" bestFit="1" customWidth="1"/>
    <col min="9853" max="9853" width="76.54296875" style="44" bestFit="1" customWidth="1"/>
    <col min="9854" max="9854" width="94.08984375" style="44" bestFit="1" customWidth="1"/>
    <col min="9855" max="9855" width="89.08984375" style="44" bestFit="1" customWidth="1"/>
    <col min="9856" max="9856" width="68.1796875" style="44" bestFit="1" customWidth="1"/>
    <col min="9857" max="9857" width="91.7265625" style="44" bestFit="1" customWidth="1"/>
    <col min="9858" max="9858" width="63.36328125" style="44" bestFit="1" customWidth="1"/>
    <col min="9859" max="9859" width="66.6328125" style="44" bestFit="1" customWidth="1"/>
    <col min="9860" max="9860" width="63.36328125" style="44" bestFit="1" customWidth="1"/>
    <col min="9861" max="9861" width="63.453125" style="44" bestFit="1" customWidth="1"/>
    <col min="9862" max="9862" width="87.54296875" style="44" bestFit="1" customWidth="1"/>
    <col min="9863" max="9863" width="93.81640625" style="44" bestFit="1" customWidth="1"/>
    <col min="9864" max="9864" width="66.453125" style="44" bestFit="1" customWidth="1"/>
    <col min="9865" max="9866" width="110" style="44" bestFit="1" customWidth="1"/>
    <col min="9867" max="9867" width="103.1796875" style="44" bestFit="1" customWidth="1"/>
    <col min="9868" max="9868" width="62.453125" style="44" bestFit="1" customWidth="1"/>
    <col min="9869" max="9869" width="77.453125" style="44" bestFit="1" customWidth="1"/>
    <col min="9870" max="9870" width="91.54296875" style="44" bestFit="1" customWidth="1"/>
    <col min="9871" max="9871" width="88.08984375" style="44" bestFit="1" customWidth="1"/>
    <col min="9872" max="9872" width="80.6328125" style="44" bestFit="1" customWidth="1"/>
    <col min="9873" max="9873" width="77.453125" style="44" bestFit="1" customWidth="1"/>
    <col min="9874" max="9874" width="85.1796875" style="44" bestFit="1" customWidth="1"/>
    <col min="9875" max="9878" width="72.36328125" style="44" bestFit="1" customWidth="1"/>
    <col min="9879" max="9880" width="95" style="44" bestFit="1" customWidth="1"/>
    <col min="9881" max="9881" width="64.08984375" style="44" bestFit="1" customWidth="1"/>
    <col min="9882" max="9882" width="110.08984375" style="44" bestFit="1" customWidth="1"/>
    <col min="9883" max="9883" width="86.36328125" style="44" bestFit="1" customWidth="1"/>
    <col min="9884" max="9884" width="89.36328125" style="44" bestFit="1" customWidth="1"/>
    <col min="9885" max="9885" width="89.81640625" style="44" bestFit="1" customWidth="1"/>
    <col min="9886" max="9886" width="64.26953125" style="44" bestFit="1" customWidth="1"/>
    <col min="9887" max="9887" width="85.7265625" style="44" bestFit="1" customWidth="1"/>
    <col min="9888" max="9888" width="73" style="44" bestFit="1" customWidth="1"/>
    <col min="9889" max="9889" width="92.7265625" style="44" bestFit="1" customWidth="1"/>
    <col min="9890" max="9890" width="92.36328125" style="44" bestFit="1" customWidth="1"/>
    <col min="9891" max="9891" width="72" style="44" bestFit="1" customWidth="1"/>
    <col min="9892" max="9892" width="82" style="44" bestFit="1" customWidth="1"/>
    <col min="9893" max="9893" width="79.36328125" style="44" bestFit="1" customWidth="1"/>
    <col min="9894" max="9894" width="81" style="44" bestFit="1" customWidth="1"/>
    <col min="9895" max="9895" width="72.90625" style="44" bestFit="1" customWidth="1"/>
    <col min="9896" max="9896" width="90.81640625" style="44" bestFit="1" customWidth="1"/>
    <col min="9897" max="9897" width="84" style="44" bestFit="1" customWidth="1"/>
    <col min="9898" max="9899" width="73.36328125" style="44" bestFit="1" customWidth="1"/>
    <col min="9900" max="9900" width="90.6328125" style="44" bestFit="1" customWidth="1"/>
    <col min="9901" max="9901" width="89.453125" style="44" bestFit="1" customWidth="1"/>
    <col min="9902" max="9902" width="84.6328125" style="44" bestFit="1" customWidth="1"/>
    <col min="9903" max="9903" width="74.54296875" style="44" bestFit="1" customWidth="1"/>
    <col min="9904" max="9904" width="76.90625" style="44" bestFit="1" customWidth="1"/>
    <col min="9905" max="9905" width="83" style="44" bestFit="1" customWidth="1"/>
    <col min="9906" max="9906" width="85.81640625" style="44" bestFit="1" customWidth="1"/>
    <col min="9907" max="9907" width="83.7265625" style="44" bestFit="1" customWidth="1"/>
    <col min="9908" max="9908" width="79.54296875" style="44" bestFit="1" customWidth="1"/>
    <col min="9909" max="9909" width="80.54296875" style="44" bestFit="1" customWidth="1"/>
    <col min="9910" max="9910" width="89.54296875" style="44" bestFit="1" customWidth="1"/>
    <col min="9911" max="9911" width="85.36328125" style="44" bestFit="1" customWidth="1"/>
    <col min="9912" max="9912" width="61.6328125" style="44" bestFit="1" customWidth="1"/>
    <col min="9913" max="9913" width="132.54296875" style="44" bestFit="1" customWidth="1"/>
    <col min="9914" max="9914" width="93.1796875" style="44" bestFit="1" customWidth="1"/>
    <col min="9915" max="9915" width="91.08984375" style="44" bestFit="1" customWidth="1"/>
    <col min="9916" max="9916" width="81.7265625" style="44" bestFit="1" customWidth="1"/>
    <col min="9917" max="9918" width="80.90625" style="44" bestFit="1" customWidth="1"/>
    <col min="9919" max="9919" width="83.26953125" style="44" bestFit="1" customWidth="1"/>
    <col min="9920" max="9920" width="101.453125" style="44" bestFit="1" customWidth="1"/>
    <col min="9921" max="9921" width="110.1796875" style="44" bestFit="1" customWidth="1"/>
    <col min="9922" max="9922" width="74.6328125" style="44" bestFit="1" customWidth="1"/>
    <col min="9923" max="9926" width="84.54296875" style="44" bestFit="1" customWidth="1"/>
    <col min="9927" max="9927" width="74.36328125" style="44" bestFit="1" customWidth="1"/>
    <col min="9928" max="9928" width="88.1796875" style="44" bestFit="1" customWidth="1"/>
    <col min="9929" max="9929" width="78.6328125" style="44" bestFit="1" customWidth="1"/>
    <col min="9930" max="9930" width="76.81640625" style="44" bestFit="1" customWidth="1"/>
    <col min="9931" max="9931" width="74.7265625" style="44" bestFit="1" customWidth="1"/>
    <col min="9932" max="9932" width="87.26953125" style="44" bestFit="1" customWidth="1"/>
    <col min="9933" max="9933" width="85.54296875" style="44" bestFit="1" customWidth="1"/>
    <col min="9934" max="9934" width="100.26953125" style="44" bestFit="1" customWidth="1"/>
    <col min="9935" max="9935" width="71.36328125" style="44" bestFit="1" customWidth="1"/>
    <col min="9936" max="9936" width="105.453125" style="44" bestFit="1" customWidth="1"/>
    <col min="9937" max="9937" width="103.08984375" style="44" bestFit="1" customWidth="1"/>
    <col min="9938" max="9938" width="85.7265625" style="44" bestFit="1" customWidth="1"/>
    <col min="9939" max="9939" width="99.26953125" style="44" bestFit="1" customWidth="1"/>
    <col min="9940" max="9940" width="83.54296875" style="44" bestFit="1" customWidth="1"/>
    <col min="9941" max="9941" width="96.90625" style="44" bestFit="1" customWidth="1"/>
    <col min="9942" max="9942" width="74.26953125" style="44" bestFit="1" customWidth="1"/>
    <col min="9943" max="9943" width="98.36328125" style="44" bestFit="1" customWidth="1"/>
    <col min="9944" max="9944" width="74.453125" style="44" bestFit="1" customWidth="1"/>
    <col min="9945" max="9945" width="88.81640625" style="44" bestFit="1" customWidth="1"/>
    <col min="9946" max="9946" width="67.6328125" style="44" bestFit="1" customWidth="1"/>
    <col min="9947" max="9947" width="93.08984375" style="44" bestFit="1" customWidth="1"/>
    <col min="9948" max="9948" width="101.453125" style="44" bestFit="1" customWidth="1"/>
    <col min="9949" max="9951" width="76.81640625" style="44" bestFit="1" customWidth="1"/>
    <col min="9952" max="9952" width="87.08984375" style="44" bestFit="1" customWidth="1"/>
    <col min="9953" max="9953" width="72.453125" style="44" bestFit="1" customWidth="1"/>
    <col min="9954" max="9954" width="87.81640625" style="44" bestFit="1" customWidth="1"/>
    <col min="9955" max="9955" width="71.7265625" style="44" bestFit="1" customWidth="1"/>
    <col min="9956" max="9956" width="74" style="44" bestFit="1" customWidth="1"/>
    <col min="9957" max="9957" width="74.08984375" style="44" bestFit="1" customWidth="1"/>
    <col min="9958" max="9960" width="86.81640625" style="44" bestFit="1" customWidth="1"/>
    <col min="9961" max="9961" width="104.7265625" style="44" bestFit="1" customWidth="1"/>
    <col min="9962" max="9962" width="101.81640625" style="44" bestFit="1" customWidth="1"/>
    <col min="9963" max="9963" width="64.453125" style="44" bestFit="1" customWidth="1"/>
    <col min="9964" max="9964" width="65.1796875" style="44" bestFit="1" customWidth="1"/>
    <col min="9965" max="9965" width="72.453125" style="44" bestFit="1" customWidth="1"/>
    <col min="9966" max="9966" width="81.36328125" style="44" bestFit="1" customWidth="1"/>
    <col min="9967" max="9967" width="65.1796875" style="44" bestFit="1" customWidth="1"/>
    <col min="9968" max="9968" width="80.90625" style="44" bestFit="1" customWidth="1"/>
    <col min="9969" max="9969" width="71.7265625" style="44" bestFit="1" customWidth="1"/>
    <col min="9970" max="9970" width="73.6328125" style="44" bestFit="1" customWidth="1"/>
    <col min="9971" max="9972" width="85.36328125" style="44" bestFit="1" customWidth="1"/>
    <col min="9973" max="9973" width="92.26953125" style="44" bestFit="1" customWidth="1"/>
    <col min="9974" max="9974" width="106.1796875" style="44" bestFit="1" customWidth="1"/>
    <col min="9975" max="9975" width="86.6328125" style="44" bestFit="1" customWidth="1"/>
    <col min="9976" max="9977" width="68.90625" style="44" bestFit="1" customWidth="1"/>
    <col min="9978" max="9978" width="80.54296875" style="44" bestFit="1" customWidth="1"/>
    <col min="9979" max="9979" width="68.90625" style="44" bestFit="1" customWidth="1"/>
    <col min="9980" max="9980" width="79.1796875" style="44" bestFit="1" customWidth="1"/>
    <col min="9981" max="9981" width="79.26953125" style="44" bestFit="1" customWidth="1"/>
    <col min="9982" max="9982" width="80.1796875" style="44" bestFit="1" customWidth="1"/>
    <col min="9983" max="9983" width="84.81640625" style="44" bestFit="1" customWidth="1"/>
    <col min="9984" max="9984" width="76.81640625" style="44" bestFit="1" customWidth="1"/>
    <col min="9985" max="9985" width="7.90625" style="44" bestFit="1" customWidth="1"/>
    <col min="9986" max="9986" width="132.54296875" style="44" bestFit="1" customWidth="1"/>
    <col min="9987" max="9987" width="45.36328125" style="44" bestFit="1" customWidth="1"/>
    <col min="9988" max="9988" width="14.08984375" style="44" bestFit="1" customWidth="1"/>
    <col min="9989" max="9990" width="8.7265625" style="44"/>
    <col min="9991" max="9991" width="49.7265625" style="44" bestFit="1" customWidth="1"/>
    <col min="9992" max="9992" width="7.90625" style="44" bestFit="1" customWidth="1"/>
    <col min="9993" max="9993" width="7.81640625" style="44" bestFit="1" customWidth="1"/>
    <col min="9994" max="10005" width="8.81640625" style="44" bestFit="1" customWidth="1"/>
    <col min="10006" max="10006" width="10.81640625" style="44" bestFit="1" customWidth="1"/>
    <col min="10007" max="10007" width="93.36328125" style="44" bestFit="1" customWidth="1"/>
    <col min="10008" max="10008" width="87.6328125" style="44" bestFit="1" customWidth="1"/>
    <col min="10009" max="10009" width="69.26953125" style="44" bestFit="1" customWidth="1"/>
    <col min="10010" max="10010" width="68.54296875" style="44" bestFit="1" customWidth="1"/>
    <col min="10011" max="10011" width="67.6328125" style="44" bestFit="1" customWidth="1"/>
    <col min="10012" max="10012" width="64" style="44" bestFit="1" customWidth="1"/>
    <col min="10013" max="10013" width="43.81640625" style="44" bestFit="1" customWidth="1"/>
    <col min="10014" max="10014" width="39.81640625" style="44" bestFit="1" customWidth="1"/>
    <col min="10015" max="10015" width="85.26953125" style="44" bestFit="1" customWidth="1"/>
    <col min="10016" max="10016" width="84.08984375" style="44" bestFit="1" customWidth="1"/>
    <col min="10017" max="10017" width="91" style="44" bestFit="1" customWidth="1"/>
    <col min="10018" max="10018" width="79" style="44" bestFit="1" customWidth="1"/>
    <col min="10019" max="10019" width="89.90625" style="44" bestFit="1" customWidth="1"/>
    <col min="10020" max="10026" width="90.90625" style="44" bestFit="1" customWidth="1"/>
    <col min="10027" max="10027" width="91.90625" style="44" bestFit="1" customWidth="1"/>
    <col min="10028" max="10028" width="73.08984375" style="44" bestFit="1" customWidth="1"/>
    <col min="10029" max="10029" width="61.1796875" style="44" bestFit="1" customWidth="1"/>
    <col min="10030" max="10030" width="94.1796875" style="44" bestFit="1" customWidth="1"/>
    <col min="10031" max="10031" width="84.453125" style="44" bestFit="1" customWidth="1"/>
    <col min="10032" max="10032" width="86.81640625" style="44" bestFit="1" customWidth="1"/>
    <col min="10033" max="10033" width="90.08984375" style="44" bestFit="1" customWidth="1"/>
    <col min="10034" max="10034" width="86.7265625" style="44" bestFit="1" customWidth="1"/>
    <col min="10035" max="10035" width="87.6328125" style="44" bestFit="1" customWidth="1"/>
    <col min="10036" max="10038" width="97.6328125" style="44" bestFit="1" customWidth="1"/>
    <col min="10039" max="10039" width="72.54296875" style="44" bestFit="1" customWidth="1"/>
    <col min="10040" max="10040" width="73.6328125" style="44" bestFit="1" customWidth="1"/>
    <col min="10041" max="10041" width="58.6328125" style="44" bestFit="1" customWidth="1"/>
    <col min="10042" max="10043" width="74.08984375" style="44" bestFit="1" customWidth="1"/>
    <col min="10044" max="10044" width="75.54296875" style="44" bestFit="1" customWidth="1"/>
    <col min="10045" max="10045" width="92" style="44" bestFit="1" customWidth="1"/>
    <col min="10046" max="10046" width="93.54296875" style="44" bestFit="1" customWidth="1"/>
    <col min="10047" max="10048" width="75.54296875" style="44" bestFit="1" customWidth="1"/>
    <col min="10049" max="10049" width="78.08984375" style="44" bestFit="1" customWidth="1"/>
    <col min="10050" max="10050" width="70" style="44" bestFit="1" customWidth="1"/>
    <col min="10051" max="10051" width="84.81640625" style="44" bestFit="1" customWidth="1"/>
    <col min="10052" max="10052" width="93" style="44" bestFit="1" customWidth="1"/>
    <col min="10053" max="10053" width="83.453125" style="44" bestFit="1" customWidth="1"/>
    <col min="10054" max="10054" width="100.90625" style="44" bestFit="1" customWidth="1"/>
    <col min="10055" max="10057" width="64.54296875" style="44" bestFit="1" customWidth="1"/>
    <col min="10058" max="10059" width="82.7265625" style="44" bestFit="1" customWidth="1"/>
    <col min="10060" max="10060" width="99.453125" style="44" bestFit="1" customWidth="1"/>
    <col min="10061" max="10061" width="78.1796875" style="44" bestFit="1" customWidth="1"/>
    <col min="10062" max="10062" width="71.36328125" style="44" bestFit="1" customWidth="1"/>
    <col min="10063" max="10063" width="71.26953125" style="44" bestFit="1" customWidth="1"/>
    <col min="10064" max="10067" width="76.453125" style="44" bestFit="1" customWidth="1"/>
    <col min="10068" max="10068" width="70.54296875" style="44" bestFit="1" customWidth="1"/>
    <col min="10069" max="10069" width="63.36328125" style="44" bestFit="1" customWidth="1"/>
    <col min="10070" max="10070" width="97.81640625" style="44" bestFit="1" customWidth="1"/>
    <col min="10071" max="10072" width="73" style="44" bestFit="1" customWidth="1"/>
    <col min="10073" max="10073" width="79" style="44" bestFit="1" customWidth="1"/>
    <col min="10074" max="10074" width="73" style="44" bestFit="1" customWidth="1"/>
    <col min="10075" max="10075" width="82.1796875" style="44" bestFit="1" customWidth="1"/>
    <col min="10076" max="10076" width="61.453125" style="44" bestFit="1" customWidth="1"/>
    <col min="10077" max="10078" width="99.90625" style="44" bestFit="1" customWidth="1"/>
    <col min="10079" max="10079" width="100.36328125" style="44" bestFit="1" customWidth="1"/>
    <col min="10080" max="10080" width="84.453125" style="44" bestFit="1" customWidth="1"/>
    <col min="10081" max="10081" width="113.36328125" style="44" bestFit="1" customWidth="1"/>
    <col min="10082" max="10082" width="98.453125" style="44" bestFit="1" customWidth="1"/>
    <col min="10083" max="10083" width="99.7265625" style="44" bestFit="1" customWidth="1"/>
    <col min="10084" max="10084" width="99.54296875" style="44" bestFit="1" customWidth="1"/>
    <col min="10085" max="10085" width="96.81640625" style="44" bestFit="1" customWidth="1"/>
    <col min="10086" max="10086" width="94.08984375" style="44" bestFit="1" customWidth="1"/>
    <col min="10087" max="10087" width="100.453125" style="44" bestFit="1" customWidth="1"/>
    <col min="10088" max="10088" width="98.6328125" style="44" bestFit="1" customWidth="1"/>
    <col min="10089" max="10089" width="77.453125" style="44" bestFit="1" customWidth="1"/>
    <col min="10090" max="10090" width="95.1796875" style="44" bestFit="1" customWidth="1"/>
    <col min="10091" max="10091" width="86.6328125" style="44" bestFit="1" customWidth="1"/>
    <col min="10092" max="10092" width="77.26953125" style="44" bestFit="1" customWidth="1"/>
    <col min="10093" max="10093" width="85.1796875" style="44" bestFit="1" customWidth="1"/>
    <col min="10094" max="10094" width="74.7265625" style="44" bestFit="1" customWidth="1"/>
    <col min="10095" max="10095" width="92" style="44" bestFit="1" customWidth="1"/>
    <col min="10096" max="10096" width="72.26953125" style="44" bestFit="1" customWidth="1"/>
    <col min="10097" max="10097" width="97.08984375" style="44" bestFit="1" customWidth="1"/>
    <col min="10098" max="10098" width="77.08984375" style="44" bestFit="1" customWidth="1"/>
    <col min="10099" max="10099" width="85.08984375" style="44" bestFit="1" customWidth="1"/>
    <col min="10100" max="10101" width="83.1796875" style="44" bestFit="1" customWidth="1"/>
    <col min="10102" max="10102" width="82.6328125" style="44" bestFit="1" customWidth="1"/>
    <col min="10103" max="10103" width="86.26953125" style="44" bestFit="1" customWidth="1"/>
    <col min="10104" max="10104" width="71.1796875" style="44" bestFit="1" customWidth="1"/>
    <col min="10105" max="10105" width="66.6328125" style="44" bestFit="1" customWidth="1"/>
    <col min="10106" max="10107" width="83.1796875" style="44" bestFit="1" customWidth="1"/>
    <col min="10108" max="10108" width="67.08984375" style="44" bestFit="1" customWidth="1"/>
    <col min="10109" max="10109" width="76.54296875" style="44" bestFit="1" customWidth="1"/>
    <col min="10110" max="10110" width="94.08984375" style="44" bestFit="1" customWidth="1"/>
    <col min="10111" max="10111" width="89.08984375" style="44" bestFit="1" customWidth="1"/>
    <col min="10112" max="10112" width="68.1796875" style="44" bestFit="1" customWidth="1"/>
    <col min="10113" max="10113" width="91.7265625" style="44" bestFit="1" customWidth="1"/>
    <col min="10114" max="10114" width="63.36328125" style="44" bestFit="1" customWidth="1"/>
    <col min="10115" max="10115" width="66.6328125" style="44" bestFit="1" customWidth="1"/>
    <col min="10116" max="10116" width="63.36328125" style="44" bestFit="1" customWidth="1"/>
    <col min="10117" max="10117" width="63.453125" style="44" bestFit="1" customWidth="1"/>
    <col min="10118" max="10118" width="87.54296875" style="44" bestFit="1" customWidth="1"/>
    <col min="10119" max="10119" width="93.81640625" style="44" bestFit="1" customWidth="1"/>
    <col min="10120" max="10120" width="66.453125" style="44" bestFit="1" customWidth="1"/>
    <col min="10121" max="10122" width="110" style="44" bestFit="1" customWidth="1"/>
    <col min="10123" max="10123" width="103.1796875" style="44" bestFit="1" customWidth="1"/>
    <col min="10124" max="10124" width="62.453125" style="44" bestFit="1" customWidth="1"/>
    <col min="10125" max="10125" width="77.453125" style="44" bestFit="1" customWidth="1"/>
    <col min="10126" max="10126" width="91.54296875" style="44" bestFit="1" customWidth="1"/>
    <col min="10127" max="10127" width="88.08984375" style="44" bestFit="1" customWidth="1"/>
    <col min="10128" max="10128" width="80.6328125" style="44" bestFit="1" customWidth="1"/>
    <col min="10129" max="10129" width="77.453125" style="44" bestFit="1" customWidth="1"/>
    <col min="10130" max="10130" width="85.1796875" style="44" bestFit="1" customWidth="1"/>
    <col min="10131" max="10134" width="72.36328125" style="44" bestFit="1" customWidth="1"/>
    <col min="10135" max="10136" width="95" style="44" bestFit="1" customWidth="1"/>
    <col min="10137" max="10137" width="64.08984375" style="44" bestFit="1" customWidth="1"/>
    <col min="10138" max="10138" width="110.08984375" style="44" bestFit="1" customWidth="1"/>
    <col min="10139" max="10139" width="86.36328125" style="44" bestFit="1" customWidth="1"/>
    <col min="10140" max="10140" width="89.36328125" style="44" bestFit="1" customWidth="1"/>
    <col min="10141" max="10141" width="89.81640625" style="44" bestFit="1" customWidth="1"/>
    <col min="10142" max="10142" width="64.26953125" style="44" bestFit="1" customWidth="1"/>
    <col min="10143" max="10143" width="85.7265625" style="44" bestFit="1" customWidth="1"/>
    <col min="10144" max="10144" width="73" style="44" bestFit="1" customWidth="1"/>
    <col min="10145" max="10145" width="92.7265625" style="44" bestFit="1" customWidth="1"/>
    <col min="10146" max="10146" width="92.36328125" style="44" bestFit="1" customWidth="1"/>
    <col min="10147" max="10147" width="72" style="44" bestFit="1" customWidth="1"/>
    <col min="10148" max="10148" width="82" style="44" bestFit="1" customWidth="1"/>
    <col min="10149" max="10149" width="79.36328125" style="44" bestFit="1" customWidth="1"/>
    <col min="10150" max="10150" width="81" style="44" bestFit="1" customWidth="1"/>
    <col min="10151" max="10151" width="72.90625" style="44" bestFit="1" customWidth="1"/>
    <col min="10152" max="10152" width="90.81640625" style="44" bestFit="1" customWidth="1"/>
    <col min="10153" max="10153" width="84" style="44" bestFit="1" customWidth="1"/>
    <col min="10154" max="10155" width="73.36328125" style="44" bestFit="1" customWidth="1"/>
    <col min="10156" max="10156" width="90.6328125" style="44" bestFit="1" customWidth="1"/>
    <col min="10157" max="10157" width="89.453125" style="44" bestFit="1" customWidth="1"/>
    <col min="10158" max="10158" width="84.6328125" style="44" bestFit="1" customWidth="1"/>
    <col min="10159" max="10159" width="74.54296875" style="44" bestFit="1" customWidth="1"/>
    <col min="10160" max="10160" width="76.90625" style="44" bestFit="1" customWidth="1"/>
    <col min="10161" max="10161" width="83" style="44" bestFit="1" customWidth="1"/>
    <col min="10162" max="10162" width="85.81640625" style="44" bestFit="1" customWidth="1"/>
    <col min="10163" max="10163" width="83.7265625" style="44" bestFit="1" customWidth="1"/>
    <col min="10164" max="10164" width="79.54296875" style="44" bestFit="1" customWidth="1"/>
    <col min="10165" max="10165" width="80.54296875" style="44" bestFit="1" customWidth="1"/>
    <col min="10166" max="10166" width="89.54296875" style="44" bestFit="1" customWidth="1"/>
    <col min="10167" max="10167" width="85.36328125" style="44" bestFit="1" customWidth="1"/>
    <col min="10168" max="10168" width="61.6328125" style="44" bestFit="1" customWidth="1"/>
    <col min="10169" max="10169" width="132.54296875" style="44" bestFit="1" customWidth="1"/>
    <col min="10170" max="10170" width="93.1796875" style="44" bestFit="1" customWidth="1"/>
    <col min="10171" max="10171" width="91.08984375" style="44" bestFit="1" customWidth="1"/>
    <col min="10172" max="10172" width="81.7265625" style="44" bestFit="1" customWidth="1"/>
    <col min="10173" max="10174" width="80.90625" style="44" bestFit="1" customWidth="1"/>
    <col min="10175" max="10175" width="83.26953125" style="44" bestFit="1" customWidth="1"/>
    <col min="10176" max="10176" width="101.453125" style="44" bestFit="1" customWidth="1"/>
    <col min="10177" max="10177" width="110.1796875" style="44" bestFit="1" customWidth="1"/>
    <col min="10178" max="10178" width="74.6328125" style="44" bestFit="1" customWidth="1"/>
    <col min="10179" max="10182" width="84.54296875" style="44" bestFit="1" customWidth="1"/>
    <col min="10183" max="10183" width="74.36328125" style="44" bestFit="1" customWidth="1"/>
    <col min="10184" max="10184" width="88.1796875" style="44" bestFit="1" customWidth="1"/>
    <col min="10185" max="10185" width="78.6328125" style="44" bestFit="1" customWidth="1"/>
    <col min="10186" max="10186" width="76.81640625" style="44" bestFit="1" customWidth="1"/>
    <col min="10187" max="10187" width="74.7265625" style="44" bestFit="1" customWidth="1"/>
    <col min="10188" max="10188" width="87.26953125" style="44" bestFit="1" customWidth="1"/>
    <col min="10189" max="10189" width="85.54296875" style="44" bestFit="1" customWidth="1"/>
    <col min="10190" max="10190" width="100.26953125" style="44" bestFit="1" customWidth="1"/>
    <col min="10191" max="10191" width="71.36328125" style="44" bestFit="1" customWidth="1"/>
    <col min="10192" max="10192" width="105.453125" style="44" bestFit="1" customWidth="1"/>
    <col min="10193" max="10193" width="103.08984375" style="44" bestFit="1" customWidth="1"/>
    <col min="10194" max="10194" width="85.7265625" style="44" bestFit="1" customWidth="1"/>
    <col min="10195" max="10195" width="99.26953125" style="44" bestFit="1" customWidth="1"/>
    <col min="10196" max="10196" width="83.54296875" style="44" bestFit="1" customWidth="1"/>
    <col min="10197" max="10197" width="96.90625" style="44" bestFit="1" customWidth="1"/>
    <col min="10198" max="10198" width="74.26953125" style="44" bestFit="1" customWidth="1"/>
    <col min="10199" max="10199" width="98.36328125" style="44" bestFit="1" customWidth="1"/>
    <col min="10200" max="10200" width="74.453125" style="44" bestFit="1" customWidth="1"/>
    <col min="10201" max="10201" width="88.81640625" style="44" bestFit="1" customWidth="1"/>
    <col min="10202" max="10202" width="67.6328125" style="44" bestFit="1" customWidth="1"/>
    <col min="10203" max="10203" width="93.08984375" style="44" bestFit="1" customWidth="1"/>
    <col min="10204" max="10204" width="101.453125" style="44" bestFit="1" customWidth="1"/>
    <col min="10205" max="10207" width="76.81640625" style="44" bestFit="1" customWidth="1"/>
    <col min="10208" max="10208" width="87.08984375" style="44" bestFit="1" customWidth="1"/>
    <col min="10209" max="10209" width="72.453125" style="44" bestFit="1" customWidth="1"/>
    <col min="10210" max="10210" width="87.81640625" style="44" bestFit="1" customWidth="1"/>
    <col min="10211" max="10211" width="71.7265625" style="44" bestFit="1" customWidth="1"/>
    <col min="10212" max="10212" width="74" style="44" bestFit="1" customWidth="1"/>
    <col min="10213" max="10213" width="74.08984375" style="44" bestFit="1" customWidth="1"/>
    <col min="10214" max="10216" width="86.81640625" style="44" bestFit="1" customWidth="1"/>
    <col min="10217" max="10217" width="104.7265625" style="44" bestFit="1" customWidth="1"/>
    <col min="10218" max="10218" width="101.81640625" style="44" bestFit="1" customWidth="1"/>
    <col min="10219" max="10219" width="64.453125" style="44" bestFit="1" customWidth="1"/>
    <col min="10220" max="10220" width="65.1796875" style="44" bestFit="1" customWidth="1"/>
    <col min="10221" max="10221" width="72.453125" style="44" bestFit="1" customWidth="1"/>
    <col min="10222" max="10222" width="81.36328125" style="44" bestFit="1" customWidth="1"/>
    <col min="10223" max="10223" width="65.1796875" style="44" bestFit="1" customWidth="1"/>
    <col min="10224" max="10224" width="80.90625" style="44" bestFit="1" customWidth="1"/>
    <col min="10225" max="10225" width="71.7265625" style="44" bestFit="1" customWidth="1"/>
    <col min="10226" max="10226" width="73.6328125" style="44" bestFit="1" customWidth="1"/>
    <col min="10227" max="10228" width="85.36328125" style="44" bestFit="1" customWidth="1"/>
    <col min="10229" max="10229" width="92.26953125" style="44" bestFit="1" customWidth="1"/>
    <col min="10230" max="10230" width="106.1796875" style="44" bestFit="1" customWidth="1"/>
    <col min="10231" max="10231" width="86.6328125" style="44" bestFit="1" customWidth="1"/>
    <col min="10232" max="10233" width="68.90625" style="44" bestFit="1" customWidth="1"/>
    <col min="10234" max="10234" width="80.54296875" style="44" bestFit="1" customWidth="1"/>
    <col min="10235" max="10235" width="68.90625" style="44" bestFit="1" customWidth="1"/>
    <col min="10236" max="10236" width="79.1796875" style="44" bestFit="1" customWidth="1"/>
    <col min="10237" max="10237" width="79.26953125" style="44" bestFit="1" customWidth="1"/>
    <col min="10238" max="10238" width="80.1796875" style="44" bestFit="1" customWidth="1"/>
    <col min="10239" max="10239" width="84.81640625" style="44" bestFit="1" customWidth="1"/>
    <col min="10240" max="10240" width="76.81640625" style="44" bestFit="1" customWidth="1"/>
    <col min="10241" max="10241" width="7.90625" style="44" bestFit="1" customWidth="1"/>
    <col min="10242" max="10242" width="132.54296875" style="44" bestFit="1" customWidth="1"/>
    <col min="10243" max="10243" width="45.36328125" style="44" bestFit="1" customWidth="1"/>
    <col min="10244" max="10244" width="14.08984375" style="44" bestFit="1" customWidth="1"/>
    <col min="10245" max="10246" width="8.7265625" style="44"/>
    <col min="10247" max="10247" width="49.7265625" style="44" bestFit="1" customWidth="1"/>
    <col min="10248" max="10248" width="7.90625" style="44" bestFit="1" customWidth="1"/>
    <col min="10249" max="10249" width="7.81640625" style="44" bestFit="1" customWidth="1"/>
    <col min="10250" max="10261" width="8.81640625" style="44" bestFit="1" customWidth="1"/>
    <col min="10262" max="10262" width="10.81640625" style="44" bestFit="1" customWidth="1"/>
    <col min="10263" max="10263" width="93.36328125" style="44" bestFit="1" customWidth="1"/>
    <col min="10264" max="10264" width="87.6328125" style="44" bestFit="1" customWidth="1"/>
    <col min="10265" max="10265" width="69.26953125" style="44" bestFit="1" customWidth="1"/>
    <col min="10266" max="10266" width="68.54296875" style="44" bestFit="1" customWidth="1"/>
    <col min="10267" max="10267" width="67.6328125" style="44" bestFit="1" customWidth="1"/>
    <col min="10268" max="10268" width="64" style="44" bestFit="1" customWidth="1"/>
    <col min="10269" max="10269" width="43.81640625" style="44" bestFit="1" customWidth="1"/>
    <col min="10270" max="10270" width="39.81640625" style="44" bestFit="1" customWidth="1"/>
    <col min="10271" max="10271" width="85.26953125" style="44" bestFit="1" customWidth="1"/>
    <col min="10272" max="10272" width="84.08984375" style="44" bestFit="1" customWidth="1"/>
    <col min="10273" max="10273" width="91" style="44" bestFit="1" customWidth="1"/>
    <col min="10274" max="10274" width="79" style="44" bestFit="1" customWidth="1"/>
    <col min="10275" max="10275" width="89.90625" style="44" bestFit="1" customWidth="1"/>
    <col min="10276" max="10282" width="90.90625" style="44" bestFit="1" customWidth="1"/>
    <col min="10283" max="10283" width="91.90625" style="44" bestFit="1" customWidth="1"/>
    <col min="10284" max="10284" width="73.08984375" style="44" bestFit="1" customWidth="1"/>
    <col min="10285" max="10285" width="61.1796875" style="44" bestFit="1" customWidth="1"/>
    <col min="10286" max="10286" width="94.1796875" style="44" bestFit="1" customWidth="1"/>
    <col min="10287" max="10287" width="84.453125" style="44" bestFit="1" customWidth="1"/>
    <col min="10288" max="10288" width="86.81640625" style="44" bestFit="1" customWidth="1"/>
    <col min="10289" max="10289" width="90.08984375" style="44" bestFit="1" customWidth="1"/>
    <col min="10290" max="10290" width="86.7265625" style="44" bestFit="1" customWidth="1"/>
    <col min="10291" max="10291" width="87.6328125" style="44" bestFit="1" customWidth="1"/>
    <col min="10292" max="10294" width="97.6328125" style="44" bestFit="1" customWidth="1"/>
    <col min="10295" max="10295" width="72.54296875" style="44" bestFit="1" customWidth="1"/>
    <col min="10296" max="10296" width="73.6328125" style="44" bestFit="1" customWidth="1"/>
    <col min="10297" max="10297" width="58.6328125" style="44" bestFit="1" customWidth="1"/>
    <col min="10298" max="10299" width="74.08984375" style="44" bestFit="1" customWidth="1"/>
    <col min="10300" max="10300" width="75.54296875" style="44" bestFit="1" customWidth="1"/>
    <col min="10301" max="10301" width="92" style="44" bestFit="1" customWidth="1"/>
    <col min="10302" max="10302" width="93.54296875" style="44" bestFit="1" customWidth="1"/>
    <col min="10303" max="10304" width="75.54296875" style="44" bestFit="1" customWidth="1"/>
    <col min="10305" max="10305" width="78.08984375" style="44" bestFit="1" customWidth="1"/>
    <col min="10306" max="10306" width="70" style="44" bestFit="1" customWidth="1"/>
    <col min="10307" max="10307" width="84.81640625" style="44" bestFit="1" customWidth="1"/>
    <col min="10308" max="10308" width="93" style="44" bestFit="1" customWidth="1"/>
    <col min="10309" max="10309" width="83.453125" style="44" bestFit="1" customWidth="1"/>
    <col min="10310" max="10310" width="100.90625" style="44" bestFit="1" customWidth="1"/>
    <col min="10311" max="10313" width="64.54296875" style="44" bestFit="1" customWidth="1"/>
    <col min="10314" max="10315" width="82.7265625" style="44" bestFit="1" customWidth="1"/>
    <col min="10316" max="10316" width="99.453125" style="44" bestFit="1" customWidth="1"/>
    <col min="10317" max="10317" width="78.1796875" style="44" bestFit="1" customWidth="1"/>
    <col min="10318" max="10318" width="71.36328125" style="44" bestFit="1" customWidth="1"/>
    <col min="10319" max="10319" width="71.26953125" style="44" bestFit="1" customWidth="1"/>
    <col min="10320" max="10323" width="76.453125" style="44" bestFit="1" customWidth="1"/>
    <col min="10324" max="10324" width="70.54296875" style="44" bestFit="1" customWidth="1"/>
    <col min="10325" max="10325" width="63.36328125" style="44" bestFit="1" customWidth="1"/>
    <col min="10326" max="10326" width="97.81640625" style="44" bestFit="1" customWidth="1"/>
    <col min="10327" max="10328" width="73" style="44" bestFit="1" customWidth="1"/>
    <col min="10329" max="10329" width="79" style="44" bestFit="1" customWidth="1"/>
    <col min="10330" max="10330" width="73" style="44" bestFit="1" customWidth="1"/>
    <col min="10331" max="10331" width="82.1796875" style="44" bestFit="1" customWidth="1"/>
    <col min="10332" max="10332" width="61.453125" style="44" bestFit="1" customWidth="1"/>
    <col min="10333" max="10334" width="99.90625" style="44" bestFit="1" customWidth="1"/>
    <col min="10335" max="10335" width="100.36328125" style="44" bestFit="1" customWidth="1"/>
    <col min="10336" max="10336" width="84.453125" style="44" bestFit="1" customWidth="1"/>
    <col min="10337" max="10337" width="113.36328125" style="44" bestFit="1" customWidth="1"/>
    <col min="10338" max="10338" width="98.453125" style="44" bestFit="1" customWidth="1"/>
    <col min="10339" max="10339" width="99.7265625" style="44" bestFit="1" customWidth="1"/>
    <col min="10340" max="10340" width="99.54296875" style="44" bestFit="1" customWidth="1"/>
    <col min="10341" max="10341" width="96.81640625" style="44" bestFit="1" customWidth="1"/>
    <col min="10342" max="10342" width="94.08984375" style="44" bestFit="1" customWidth="1"/>
    <col min="10343" max="10343" width="100.453125" style="44" bestFit="1" customWidth="1"/>
    <col min="10344" max="10344" width="98.6328125" style="44" bestFit="1" customWidth="1"/>
    <col min="10345" max="10345" width="77.453125" style="44" bestFit="1" customWidth="1"/>
    <col min="10346" max="10346" width="95.1796875" style="44" bestFit="1" customWidth="1"/>
    <col min="10347" max="10347" width="86.6328125" style="44" bestFit="1" customWidth="1"/>
    <col min="10348" max="10348" width="77.26953125" style="44" bestFit="1" customWidth="1"/>
    <col min="10349" max="10349" width="85.1796875" style="44" bestFit="1" customWidth="1"/>
    <col min="10350" max="10350" width="74.7265625" style="44" bestFit="1" customWidth="1"/>
    <col min="10351" max="10351" width="92" style="44" bestFit="1" customWidth="1"/>
    <col min="10352" max="10352" width="72.26953125" style="44" bestFit="1" customWidth="1"/>
    <col min="10353" max="10353" width="97.08984375" style="44" bestFit="1" customWidth="1"/>
    <col min="10354" max="10354" width="77.08984375" style="44" bestFit="1" customWidth="1"/>
    <col min="10355" max="10355" width="85.08984375" style="44" bestFit="1" customWidth="1"/>
    <col min="10356" max="10357" width="83.1796875" style="44" bestFit="1" customWidth="1"/>
    <col min="10358" max="10358" width="82.6328125" style="44" bestFit="1" customWidth="1"/>
    <col min="10359" max="10359" width="86.26953125" style="44" bestFit="1" customWidth="1"/>
    <col min="10360" max="10360" width="71.1796875" style="44" bestFit="1" customWidth="1"/>
    <col min="10361" max="10361" width="66.6328125" style="44" bestFit="1" customWidth="1"/>
    <col min="10362" max="10363" width="83.1796875" style="44" bestFit="1" customWidth="1"/>
    <col min="10364" max="10364" width="67.08984375" style="44" bestFit="1" customWidth="1"/>
    <col min="10365" max="10365" width="76.54296875" style="44" bestFit="1" customWidth="1"/>
    <col min="10366" max="10366" width="94.08984375" style="44" bestFit="1" customWidth="1"/>
    <col min="10367" max="10367" width="89.08984375" style="44" bestFit="1" customWidth="1"/>
    <col min="10368" max="10368" width="68.1796875" style="44" bestFit="1" customWidth="1"/>
    <col min="10369" max="10369" width="91.7265625" style="44" bestFit="1" customWidth="1"/>
    <col min="10370" max="10370" width="63.36328125" style="44" bestFit="1" customWidth="1"/>
    <col min="10371" max="10371" width="66.6328125" style="44" bestFit="1" customWidth="1"/>
    <col min="10372" max="10372" width="63.36328125" style="44" bestFit="1" customWidth="1"/>
    <col min="10373" max="10373" width="63.453125" style="44" bestFit="1" customWidth="1"/>
    <col min="10374" max="10374" width="87.54296875" style="44" bestFit="1" customWidth="1"/>
    <col min="10375" max="10375" width="93.81640625" style="44" bestFit="1" customWidth="1"/>
    <col min="10376" max="10376" width="66.453125" style="44" bestFit="1" customWidth="1"/>
    <col min="10377" max="10378" width="110" style="44" bestFit="1" customWidth="1"/>
    <col min="10379" max="10379" width="103.1796875" style="44" bestFit="1" customWidth="1"/>
    <col min="10380" max="10380" width="62.453125" style="44" bestFit="1" customWidth="1"/>
    <col min="10381" max="10381" width="77.453125" style="44" bestFit="1" customWidth="1"/>
    <col min="10382" max="10382" width="91.54296875" style="44" bestFit="1" customWidth="1"/>
    <col min="10383" max="10383" width="88.08984375" style="44" bestFit="1" customWidth="1"/>
    <col min="10384" max="10384" width="80.6328125" style="44" bestFit="1" customWidth="1"/>
    <col min="10385" max="10385" width="77.453125" style="44" bestFit="1" customWidth="1"/>
    <col min="10386" max="10386" width="85.1796875" style="44" bestFit="1" customWidth="1"/>
    <col min="10387" max="10390" width="72.36328125" style="44" bestFit="1" customWidth="1"/>
    <col min="10391" max="10392" width="95" style="44" bestFit="1" customWidth="1"/>
    <col min="10393" max="10393" width="64.08984375" style="44" bestFit="1" customWidth="1"/>
    <col min="10394" max="10394" width="110.08984375" style="44" bestFit="1" customWidth="1"/>
    <col min="10395" max="10395" width="86.36328125" style="44" bestFit="1" customWidth="1"/>
    <col min="10396" max="10396" width="89.36328125" style="44" bestFit="1" customWidth="1"/>
    <col min="10397" max="10397" width="89.81640625" style="44" bestFit="1" customWidth="1"/>
    <col min="10398" max="10398" width="64.26953125" style="44" bestFit="1" customWidth="1"/>
    <col min="10399" max="10399" width="85.7265625" style="44" bestFit="1" customWidth="1"/>
    <col min="10400" max="10400" width="73" style="44" bestFit="1" customWidth="1"/>
    <col min="10401" max="10401" width="92.7265625" style="44" bestFit="1" customWidth="1"/>
    <col min="10402" max="10402" width="92.36328125" style="44" bestFit="1" customWidth="1"/>
    <col min="10403" max="10403" width="72" style="44" bestFit="1" customWidth="1"/>
    <col min="10404" max="10404" width="82" style="44" bestFit="1" customWidth="1"/>
    <col min="10405" max="10405" width="79.36328125" style="44" bestFit="1" customWidth="1"/>
    <col min="10406" max="10406" width="81" style="44" bestFit="1" customWidth="1"/>
    <col min="10407" max="10407" width="72.90625" style="44" bestFit="1" customWidth="1"/>
    <col min="10408" max="10408" width="90.81640625" style="44" bestFit="1" customWidth="1"/>
    <col min="10409" max="10409" width="84" style="44" bestFit="1" customWidth="1"/>
    <col min="10410" max="10411" width="73.36328125" style="44" bestFit="1" customWidth="1"/>
    <col min="10412" max="10412" width="90.6328125" style="44" bestFit="1" customWidth="1"/>
    <col min="10413" max="10413" width="89.453125" style="44" bestFit="1" customWidth="1"/>
    <col min="10414" max="10414" width="84.6328125" style="44" bestFit="1" customWidth="1"/>
    <col min="10415" max="10415" width="74.54296875" style="44" bestFit="1" customWidth="1"/>
    <col min="10416" max="10416" width="76.90625" style="44" bestFit="1" customWidth="1"/>
    <col min="10417" max="10417" width="83" style="44" bestFit="1" customWidth="1"/>
    <col min="10418" max="10418" width="85.81640625" style="44" bestFit="1" customWidth="1"/>
    <col min="10419" max="10419" width="83.7265625" style="44" bestFit="1" customWidth="1"/>
    <col min="10420" max="10420" width="79.54296875" style="44" bestFit="1" customWidth="1"/>
    <col min="10421" max="10421" width="80.54296875" style="44" bestFit="1" customWidth="1"/>
    <col min="10422" max="10422" width="89.54296875" style="44" bestFit="1" customWidth="1"/>
    <col min="10423" max="10423" width="85.36328125" style="44" bestFit="1" customWidth="1"/>
    <col min="10424" max="10424" width="61.6328125" style="44" bestFit="1" customWidth="1"/>
    <col min="10425" max="10425" width="132.54296875" style="44" bestFit="1" customWidth="1"/>
    <col min="10426" max="10426" width="93.1796875" style="44" bestFit="1" customWidth="1"/>
    <col min="10427" max="10427" width="91.08984375" style="44" bestFit="1" customWidth="1"/>
    <col min="10428" max="10428" width="81.7265625" style="44" bestFit="1" customWidth="1"/>
    <col min="10429" max="10430" width="80.90625" style="44" bestFit="1" customWidth="1"/>
    <col min="10431" max="10431" width="83.26953125" style="44" bestFit="1" customWidth="1"/>
    <col min="10432" max="10432" width="101.453125" style="44" bestFit="1" customWidth="1"/>
    <col min="10433" max="10433" width="110.1796875" style="44" bestFit="1" customWidth="1"/>
    <col min="10434" max="10434" width="74.6328125" style="44" bestFit="1" customWidth="1"/>
    <col min="10435" max="10438" width="84.54296875" style="44" bestFit="1" customWidth="1"/>
    <col min="10439" max="10439" width="74.36328125" style="44" bestFit="1" customWidth="1"/>
    <col min="10440" max="10440" width="88.1796875" style="44" bestFit="1" customWidth="1"/>
    <col min="10441" max="10441" width="78.6328125" style="44" bestFit="1" customWidth="1"/>
    <col min="10442" max="10442" width="76.81640625" style="44" bestFit="1" customWidth="1"/>
    <col min="10443" max="10443" width="74.7265625" style="44" bestFit="1" customWidth="1"/>
    <col min="10444" max="10444" width="87.26953125" style="44" bestFit="1" customWidth="1"/>
    <col min="10445" max="10445" width="85.54296875" style="44" bestFit="1" customWidth="1"/>
    <col min="10446" max="10446" width="100.26953125" style="44" bestFit="1" customWidth="1"/>
    <col min="10447" max="10447" width="71.36328125" style="44" bestFit="1" customWidth="1"/>
    <col min="10448" max="10448" width="105.453125" style="44" bestFit="1" customWidth="1"/>
    <col min="10449" max="10449" width="103.08984375" style="44" bestFit="1" customWidth="1"/>
    <col min="10450" max="10450" width="85.7265625" style="44" bestFit="1" customWidth="1"/>
    <col min="10451" max="10451" width="99.26953125" style="44" bestFit="1" customWidth="1"/>
    <col min="10452" max="10452" width="83.54296875" style="44" bestFit="1" customWidth="1"/>
    <col min="10453" max="10453" width="96.90625" style="44" bestFit="1" customWidth="1"/>
    <col min="10454" max="10454" width="74.26953125" style="44" bestFit="1" customWidth="1"/>
    <col min="10455" max="10455" width="98.36328125" style="44" bestFit="1" customWidth="1"/>
    <col min="10456" max="10456" width="74.453125" style="44" bestFit="1" customWidth="1"/>
    <col min="10457" max="10457" width="88.81640625" style="44" bestFit="1" customWidth="1"/>
    <col min="10458" max="10458" width="67.6328125" style="44" bestFit="1" customWidth="1"/>
    <col min="10459" max="10459" width="93.08984375" style="44" bestFit="1" customWidth="1"/>
    <col min="10460" max="10460" width="101.453125" style="44" bestFit="1" customWidth="1"/>
    <col min="10461" max="10463" width="76.81640625" style="44" bestFit="1" customWidth="1"/>
    <col min="10464" max="10464" width="87.08984375" style="44" bestFit="1" customWidth="1"/>
    <col min="10465" max="10465" width="72.453125" style="44" bestFit="1" customWidth="1"/>
    <col min="10466" max="10466" width="87.81640625" style="44" bestFit="1" customWidth="1"/>
    <col min="10467" max="10467" width="71.7265625" style="44" bestFit="1" customWidth="1"/>
    <col min="10468" max="10468" width="74" style="44" bestFit="1" customWidth="1"/>
    <col min="10469" max="10469" width="74.08984375" style="44" bestFit="1" customWidth="1"/>
    <col min="10470" max="10472" width="86.81640625" style="44" bestFit="1" customWidth="1"/>
    <col min="10473" max="10473" width="104.7265625" style="44" bestFit="1" customWidth="1"/>
    <col min="10474" max="10474" width="101.81640625" style="44" bestFit="1" customWidth="1"/>
    <col min="10475" max="10475" width="64.453125" style="44" bestFit="1" customWidth="1"/>
    <col min="10476" max="10476" width="65.1796875" style="44" bestFit="1" customWidth="1"/>
    <col min="10477" max="10477" width="72.453125" style="44" bestFit="1" customWidth="1"/>
    <col min="10478" max="10478" width="81.36328125" style="44" bestFit="1" customWidth="1"/>
    <col min="10479" max="10479" width="65.1796875" style="44" bestFit="1" customWidth="1"/>
    <col min="10480" max="10480" width="80.90625" style="44" bestFit="1" customWidth="1"/>
    <col min="10481" max="10481" width="71.7265625" style="44" bestFit="1" customWidth="1"/>
    <col min="10482" max="10482" width="73.6328125" style="44" bestFit="1" customWidth="1"/>
    <col min="10483" max="10484" width="85.36328125" style="44" bestFit="1" customWidth="1"/>
    <col min="10485" max="10485" width="92.26953125" style="44" bestFit="1" customWidth="1"/>
    <col min="10486" max="10486" width="106.1796875" style="44" bestFit="1" customWidth="1"/>
    <col min="10487" max="10487" width="86.6328125" style="44" bestFit="1" customWidth="1"/>
    <col min="10488" max="10489" width="68.90625" style="44" bestFit="1" customWidth="1"/>
    <col min="10490" max="10490" width="80.54296875" style="44" bestFit="1" customWidth="1"/>
    <col min="10491" max="10491" width="68.90625" style="44" bestFit="1" customWidth="1"/>
    <col min="10492" max="10492" width="79.1796875" style="44" bestFit="1" customWidth="1"/>
    <col min="10493" max="10493" width="79.26953125" style="44" bestFit="1" customWidth="1"/>
    <col min="10494" max="10494" width="80.1796875" style="44" bestFit="1" customWidth="1"/>
    <col min="10495" max="10495" width="84.81640625" style="44" bestFit="1" customWidth="1"/>
    <col min="10496" max="10496" width="76.81640625" style="44" bestFit="1" customWidth="1"/>
    <col min="10497" max="10497" width="7.90625" style="44" bestFit="1" customWidth="1"/>
    <col min="10498" max="10498" width="132.54296875" style="44" bestFit="1" customWidth="1"/>
    <col min="10499" max="10499" width="45.36328125" style="44" bestFit="1" customWidth="1"/>
    <col min="10500" max="10500" width="14.08984375" style="44" bestFit="1" customWidth="1"/>
    <col min="10501" max="10502" width="8.7265625" style="44"/>
    <col min="10503" max="10503" width="49.7265625" style="44" bestFit="1" customWidth="1"/>
    <col min="10504" max="10504" width="7.90625" style="44" bestFit="1" customWidth="1"/>
    <col min="10505" max="10505" width="7.81640625" style="44" bestFit="1" customWidth="1"/>
    <col min="10506" max="10517" width="8.81640625" style="44" bestFit="1" customWidth="1"/>
    <col min="10518" max="10518" width="10.81640625" style="44" bestFit="1" customWidth="1"/>
    <col min="10519" max="10519" width="93.36328125" style="44" bestFit="1" customWidth="1"/>
    <col min="10520" max="10520" width="87.6328125" style="44" bestFit="1" customWidth="1"/>
    <col min="10521" max="10521" width="69.26953125" style="44" bestFit="1" customWidth="1"/>
    <col min="10522" max="10522" width="68.54296875" style="44" bestFit="1" customWidth="1"/>
    <col min="10523" max="10523" width="67.6328125" style="44" bestFit="1" customWidth="1"/>
    <col min="10524" max="10524" width="64" style="44" bestFit="1" customWidth="1"/>
    <col min="10525" max="10525" width="43.81640625" style="44" bestFit="1" customWidth="1"/>
    <col min="10526" max="10526" width="39.81640625" style="44" bestFit="1" customWidth="1"/>
    <col min="10527" max="10527" width="85.26953125" style="44" bestFit="1" customWidth="1"/>
    <col min="10528" max="10528" width="84.08984375" style="44" bestFit="1" customWidth="1"/>
    <col min="10529" max="10529" width="91" style="44" bestFit="1" customWidth="1"/>
    <col min="10530" max="10530" width="79" style="44" bestFit="1" customWidth="1"/>
    <col min="10531" max="10531" width="89.90625" style="44" bestFit="1" customWidth="1"/>
    <col min="10532" max="10538" width="90.90625" style="44" bestFit="1" customWidth="1"/>
    <col min="10539" max="10539" width="91.90625" style="44" bestFit="1" customWidth="1"/>
    <col min="10540" max="10540" width="73.08984375" style="44" bestFit="1" customWidth="1"/>
    <col min="10541" max="10541" width="61.1796875" style="44" bestFit="1" customWidth="1"/>
    <col min="10542" max="10542" width="94.1796875" style="44" bestFit="1" customWidth="1"/>
    <col min="10543" max="10543" width="84.453125" style="44" bestFit="1" customWidth="1"/>
    <col min="10544" max="10544" width="86.81640625" style="44" bestFit="1" customWidth="1"/>
    <col min="10545" max="10545" width="90.08984375" style="44" bestFit="1" customWidth="1"/>
    <col min="10546" max="10546" width="86.7265625" style="44" bestFit="1" customWidth="1"/>
    <col min="10547" max="10547" width="87.6328125" style="44" bestFit="1" customWidth="1"/>
    <col min="10548" max="10550" width="97.6328125" style="44" bestFit="1" customWidth="1"/>
    <col min="10551" max="10551" width="72.54296875" style="44" bestFit="1" customWidth="1"/>
    <col min="10552" max="10552" width="73.6328125" style="44" bestFit="1" customWidth="1"/>
    <col min="10553" max="10553" width="58.6328125" style="44" bestFit="1" customWidth="1"/>
    <col min="10554" max="10555" width="74.08984375" style="44" bestFit="1" customWidth="1"/>
    <col min="10556" max="10556" width="75.54296875" style="44" bestFit="1" customWidth="1"/>
    <col min="10557" max="10557" width="92" style="44" bestFit="1" customWidth="1"/>
    <col min="10558" max="10558" width="93.54296875" style="44" bestFit="1" customWidth="1"/>
    <col min="10559" max="10560" width="75.54296875" style="44" bestFit="1" customWidth="1"/>
    <col min="10561" max="10561" width="78.08984375" style="44" bestFit="1" customWidth="1"/>
    <col min="10562" max="10562" width="70" style="44" bestFit="1" customWidth="1"/>
    <col min="10563" max="10563" width="84.81640625" style="44" bestFit="1" customWidth="1"/>
    <col min="10564" max="10564" width="93" style="44" bestFit="1" customWidth="1"/>
    <col min="10565" max="10565" width="83.453125" style="44" bestFit="1" customWidth="1"/>
    <col min="10566" max="10566" width="100.90625" style="44" bestFit="1" customWidth="1"/>
    <col min="10567" max="10569" width="64.54296875" style="44" bestFit="1" customWidth="1"/>
    <col min="10570" max="10571" width="82.7265625" style="44" bestFit="1" customWidth="1"/>
    <col min="10572" max="10572" width="99.453125" style="44" bestFit="1" customWidth="1"/>
    <col min="10573" max="10573" width="78.1796875" style="44" bestFit="1" customWidth="1"/>
    <col min="10574" max="10574" width="71.36328125" style="44" bestFit="1" customWidth="1"/>
    <col min="10575" max="10575" width="71.26953125" style="44" bestFit="1" customWidth="1"/>
    <col min="10576" max="10579" width="76.453125" style="44" bestFit="1" customWidth="1"/>
    <col min="10580" max="10580" width="70.54296875" style="44" bestFit="1" customWidth="1"/>
    <col min="10581" max="10581" width="63.36328125" style="44" bestFit="1" customWidth="1"/>
    <col min="10582" max="10582" width="97.81640625" style="44" bestFit="1" customWidth="1"/>
    <col min="10583" max="10584" width="73" style="44" bestFit="1" customWidth="1"/>
    <col min="10585" max="10585" width="79" style="44" bestFit="1" customWidth="1"/>
    <col min="10586" max="10586" width="73" style="44" bestFit="1" customWidth="1"/>
    <col min="10587" max="10587" width="82.1796875" style="44" bestFit="1" customWidth="1"/>
    <col min="10588" max="10588" width="61.453125" style="44" bestFit="1" customWidth="1"/>
    <col min="10589" max="10590" width="99.90625" style="44" bestFit="1" customWidth="1"/>
    <col min="10591" max="10591" width="100.36328125" style="44" bestFit="1" customWidth="1"/>
    <col min="10592" max="10592" width="84.453125" style="44" bestFit="1" customWidth="1"/>
    <col min="10593" max="10593" width="113.36328125" style="44" bestFit="1" customWidth="1"/>
    <col min="10594" max="10594" width="98.453125" style="44" bestFit="1" customWidth="1"/>
    <col min="10595" max="10595" width="99.7265625" style="44" bestFit="1" customWidth="1"/>
    <col min="10596" max="10596" width="99.54296875" style="44" bestFit="1" customWidth="1"/>
    <col min="10597" max="10597" width="96.81640625" style="44" bestFit="1" customWidth="1"/>
    <col min="10598" max="10598" width="94.08984375" style="44" bestFit="1" customWidth="1"/>
    <col min="10599" max="10599" width="100.453125" style="44" bestFit="1" customWidth="1"/>
    <col min="10600" max="10600" width="98.6328125" style="44" bestFit="1" customWidth="1"/>
    <col min="10601" max="10601" width="77.453125" style="44" bestFit="1" customWidth="1"/>
    <col min="10602" max="10602" width="95.1796875" style="44" bestFit="1" customWidth="1"/>
    <col min="10603" max="10603" width="86.6328125" style="44" bestFit="1" customWidth="1"/>
    <col min="10604" max="10604" width="77.26953125" style="44" bestFit="1" customWidth="1"/>
    <col min="10605" max="10605" width="85.1796875" style="44" bestFit="1" customWidth="1"/>
    <col min="10606" max="10606" width="74.7265625" style="44" bestFit="1" customWidth="1"/>
    <col min="10607" max="10607" width="92" style="44" bestFit="1" customWidth="1"/>
    <col min="10608" max="10608" width="72.26953125" style="44" bestFit="1" customWidth="1"/>
    <col min="10609" max="10609" width="97.08984375" style="44" bestFit="1" customWidth="1"/>
    <col min="10610" max="10610" width="77.08984375" style="44" bestFit="1" customWidth="1"/>
    <col min="10611" max="10611" width="85.08984375" style="44" bestFit="1" customWidth="1"/>
    <col min="10612" max="10613" width="83.1796875" style="44" bestFit="1" customWidth="1"/>
    <col min="10614" max="10614" width="82.6328125" style="44" bestFit="1" customWidth="1"/>
    <col min="10615" max="10615" width="86.26953125" style="44" bestFit="1" customWidth="1"/>
    <col min="10616" max="10616" width="71.1796875" style="44" bestFit="1" customWidth="1"/>
    <col min="10617" max="10617" width="66.6328125" style="44" bestFit="1" customWidth="1"/>
    <col min="10618" max="10619" width="83.1796875" style="44" bestFit="1" customWidth="1"/>
    <col min="10620" max="10620" width="67.08984375" style="44" bestFit="1" customWidth="1"/>
    <col min="10621" max="10621" width="76.54296875" style="44" bestFit="1" customWidth="1"/>
    <col min="10622" max="10622" width="94.08984375" style="44" bestFit="1" customWidth="1"/>
    <col min="10623" max="10623" width="89.08984375" style="44" bestFit="1" customWidth="1"/>
    <col min="10624" max="10624" width="68.1796875" style="44" bestFit="1" customWidth="1"/>
    <col min="10625" max="10625" width="91.7265625" style="44" bestFit="1" customWidth="1"/>
    <col min="10626" max="10626" width="63.36328125" style="44" bestFit="1" customWidth="1"/>
    <col min="10627" max="10627" width="66.6328125" style="44" bestFit="1" customWidth="1"/>
    <col min="10628" max="10628" width="63.36328125" style="44" bestFit="1" customWidth="1"/>
    <col min="10629" max="10629" width="63.453125" style="44" bestFit="1" customWidth="1"/>
    <col min="10630" max="10630" width="87.54296875" style="44" bestFit="1" customWidth="1"/>
    <col min="10631" max="10631" width="93.81640625" style="44" bestFit="1" customWidth="1"/>
    <col min="10632" max="10632" width="66.453125" style="44" bestFit="1" customWidth="1"/>
    <col min="10633" max="10634" width="110" style="44" bestFit="1" customWidth="1"/>
    <col min="10635" max="10635" width="103.1796875" style="44" bestFit="1" customWidth="1"/>
    <col min="10636" max="10636" width="62.453125" style="44" bestFit="1" customWidth="1"/>
    <col min="10637" max="10637" width="77.453125" style="44" bestFit="1" customWidth="1"/>
    <col min="10638" max="10638" width="91.54296875" style="44" bestFit="1" customWidth="1"/>
    <col min="10639" max="10639" width="88.08984375" style="44" bestFit="1" customWidth="1"/>
    <col min="10640" max="10640" width="80.6328125" style="44" bestFit="1" customWidth="1"/>
    <col min="10641" max="10641" width="77.453125" style="44" bestFit="1" customWidth="1"/>
    <col min="10642" max="10642" width="85.1796875" style="44" bestFit="1" customWidth="1"/>
    <col min="10643" max="10646" width="72.36328125" style="44" bestFit="1" customWidth="1"/>
    <col min="10647" max="10648" width="95" style="44" bestFit="1" customWidth="1"/>
    <col min="10649" max="10649" width="64.08984375" style="44" bestFit="1" customWidth="1"/>
    <col min="10650" max="10650" width="110.08984375" style="44" bestFit="1" customWidth="1"/>
    <col min="10651" max="10651" width="86.36328125" style="44" bestFit="1" customWidth="1"/>
    <col min="10652" max="10652" width="89.36328125" style="44" bestFit="1" customWidth="1"/>
    <col min="10653" max="10653" width="89.81640625" style="44" bestFit="1" customWidth="1"/>
    <col min="10654" max="10654" width="64.26953125" style="44" bestFit="1" customWidth="1"/>
    <col min="10655" max="10655" width="85.7265625" style="44" bestFit="1" customWidth="1"/>
    <col min="10656" max="10656" width="73" style="44" bestFit="1" customWidth="1"/>
    <col min="10657" max="10657" width="92.7265625" style="44" bestFit="1" customWidth="1"/>
    <col min="10658" max="10658" width="92.36328125" style="44" bestFit="1" customWidth="1"/>
    <col min="10659" max="10659" width="72" style="44" bestFit="1" customWidth="1"/>
    <col min="10660" max="10660" width="82" style="44" bestFit="1" customWidth="1"/>
    <col min="10661" max="10661" width="79.36328125" style="44" bestFit="1" customWidth="1"/>
    <col min="10662" max="10662" width="81" style="44" bestFit="1" customWidth="1"/>
    <col min="10663" max="10663" width="72.90625" style="44" bestFit="1" customWidth="1"/>
    <col min="10664" max="10664" width="90.81640625" style="44" bestFit="1" customWidth="1"/>
    <col min="10665" max="10665" width="84" style="44" bestFit="1" customWidth="1"/>
    <col min="10666" max="10667" width="73.36328125" style="44" bestFit="1" customWidth="1"/>
    <col min="10668" max="10668" width="90.6328125" style="44" bestFit="1" customWidth="1"/>
    <col min="10669" max="10669" width="89.453125" style="44" bestFit="1" customWidth="1"/>
    <col min="10670" max="10670" width="84.6328125" style="44" bestFit="1" customWidth="1"/>
    <col min="10671" max="10671" width="74.54296875" style="44" bestFit="1" customWidth="1"/>
    <col min="10672" max="10672" width="76.90625" style="44" bestFit="1" customWidth="1"/>
    <col min="10673" max="10673" width="83" style="44" bestFit="1" customWidth="1"/>
    <col min="10674" max="10674" width="85.81640625" style="44" bestFit="1" customWidth="1"/>
    <col min="10675" max="10675" width="83.7265625" style="44" bestFit="1" customWidth="1"/>
    <col min="10676" max="10676" width="79.54296875" style="44" bestFit="1" customWidth="1"/>
    <col min="10677" max="10677" width="80.54296875" style="44" bestFit="1" customWidth="1"/>
    <col min="10678" max="10678" width="89.54296875" style="44" bestFit="1" customWidth="1"/>
    <col min="10679" max="10679" width="85.36328125" style="44" bestFit="1" customWidth="1"/>
    <col min="10680" max="10680" width="61.6328125" style="44" bestFit="1" customWidth="1"/>
    <col min="10681" max="10681" width="132.54296875" style="44" bestFit="1" customWidth="1"/>
    <col min="10682" max="10682" width="93.1796875" style="44" bestFit="1" customWidth="1"/>
    <col min="10683" max="10683" width="91.08984375" style="44" bestFit="1" customWidth="1"/>
    <col min="10684" max="10684" width="81.7265625" style="44" bestFit="1" customWidth="1"/>
    <col min="10685" max="10686" width="80.90625" style="44" bestFit="1" customWidth="1"/>
    <col min="10687" max="10687" width="83.26953125" style="44" bestFit="1" customWidth="1"/>
    <col min="10688" max="10688" width="101.453125" style="44" bestFit="1" customWidth="1"/>
    <col min="10689" max="10689" width="110.1796875" style="44" bestFit="1" customWidth="1"/>
    <col min="10690" max="10690" width="74.6328125" style="44" bestFit="1" customWidth="1"/>
    <col min="10691" max="10694" width="84.54296875" style="44" bestFit="1" customWidth="1"/>
    <col min="10695" max="10695" width="74.36328125" style="44" bestFit="1" customWidth="1"/>
    <col min="10696" max="10696" width="88.1796875" style="44" bestFit="1" customWidth="1"/>
    <col min="10697" max="10697" width="78.6328125" style="44" bestFit="1" customWidth="1"/>
    <col min="10698" max="10698" width="76.81640625" style="44" bestFit="1" customWidth="1"/>
    <col min="10699" max="10699" width="74.7265625" style="44" bestFit="1" customWidth="1"/>
    <col min="10700" max="10700" width="87.26953125" style="44" bestFit="1" customWidth="1"/>
    <col min="10701" max="10701" width="85.54296875" style="44" bestFit="1" customWidth="1"/>
    <col min="10702" max="10702" width="100.26953125" style="44" bestFit="1" customWidth="1"/>
    <col min="10703" max="10703" width="71.36328125" style="44" bestFit="1" customWidth="1"/>
    <col min="10704" max="10704" width="105.453125" style="44" bestFit="1" customWidth="1"/>
    <col min="10705" max="10705" width="103.08984375" style="44" bestFit="1" customWidth="1"/>
    <col min="10706" max="10706" width="85.7265625" style="44" bestFit="1" customWidth="1"/>
    <col min="10707" max="10707" width="99.26953125" style="44" bestFit="1" customWidth="1"/>
    <col min="10708" max="10708" width="83.54296875" style="44" bestFit="1" customWidth="1"/>
    <col min="10709" max="10709" width="96.90625" style="44" bestFit="1" customWidth="1"/>
    <col min="10710" max="10710" width="74.26953125" style="44" bestFit="1" customWidth="1"/>
    <col min="10711" max="10711" width="98.36328125" style="44" bestFit="1" customWidth="1"/>
    <col min="10712" max="10712" width="74.453125" style="44" bestFit="1" customWidth="1"/>
    <col min="10713" max="10713" width="88.81640625" style="44" bestFit="1" customWidth="1"/>
    <col min="10714" max="10714" width="67.6328125" style="44" bestFit="1" customWidth="1"/>
    <col min="10715" max="10715" width="93.08984375" style="44" bestFit="1" customWidth="1"/>
    <col min="10716" max="10716" width="101.453125" style="44" bestFit="1" customWidth="1"/>
    <col min="10717" max="10719" width="76.81640625" style="44" bestFit="1" customWidth="1"/>
    <col min="10720" max="10720" width="87.08984375" style="44" bestFit="1" customWidth="1"/>
    <col min="10721" max="10721" width="72.453125" style="44" bestFit="1" customWidth="1"/>
    <col min="10722" max="10722" width="87.81640625" style="44" bestFit="1" customWidth="1"/>
    <col min="10723" max="10723" width="71.7265625" style="44" bestFit="1" customWidth="1"/>
    <col min="10724" max="10724" width="74" style="44" bestFit="1" customWidth="1"/>
    <col min="10725" max="10725" width="74.08984375" style="44" bestFit="1" customWidth="1"/>
    <col min="10726" max="10728" width="86.81640625" style="44" bestFit="1" customWidth="1"/>
    <col min="10729" max="10729" width="104.7265625" style="44" bestFit="1" customWidth="1"/>
    <col min="10730" max="10730" width="101.81640625" style="44" bestFit="1" customWidth="1"/>
    <col min="10731" max="10731" width="64.453125" style="44" bestFit="1" customWidth="1"/>
    <col min="10732" max="10732" width="65.1796875" style="44" bestFit="1" customWidth="1"/>
    <col min="10733" max="10733" width="72.453125" style="44" bestFit="1" customWidth="1"/>
    <col min="10734" max="10734" width="81.36328125" style="44" bestFit="1" customWidth="1"/>
    <col min="10735" max="10735" width="65.1796875" style="44" bestFit="1" customWidth="1"/>
    <col min="10736" max="10736" width="80.90625" style="44" bestFit="1" customWidth="1"/>
    <col min="10737" max="10737" width="71.7265625" style="44" bestFit="1" customWidth="1"/>
    <col min="10738" max="10738" width="73.6328125" style="44" bestFit="1" customWidth="1"/>
    <col min="10739" max="10740" width="85.36328125" style="44" bestFit="1" customWidth="1"/>
    <col min="10741" max="10741" width="92.26953125" style="44" bestFit="1" customWidth="1"/>
    <col min="10742" max="10742" width="106.1796875" style="44" bestFit="1" customWidth="1"/>
    <col min="10743" max="10743" width="86.6328125" style="44" bestFit="1" customWidth="1"/>
    <col min="10744" max="10745" width="68.90625" style="44" bestFit="1" customWidth="1"/>
    <col min="10746" max="10746" width="80.54296875" style="44" bestFit="1" customWidth="1"/>
    <col min="10747" max="10747" width="68.90625" style="44" bestFit="1" customWidth="1"/>
    <col min="10748" max="10748" width="79.1796875" style="44" bestFit="1" customWidth="1"/>
    <col min="10749" max="10749" width="79.26953125" style="44" bestFit="1" customWidth="1"/>
    <col min="10750" max="10750" width="80.1796875" style="44" bestFit="1" customWidth="1"/>
    <col min="10751" max="10751" width="84.81640625" style="44" bestFit="1" customWidth="1"/>
    <col min="10752" max="10752" width="76.81640625" style="44" bestFit="1" customWidth="1"/>
    <col min="10753" max="10753" width="7.90625" style="44" bestFit="1" customWidth="1"/>
    <col min="10754" max="10754" width="132.54296875" style="44" bestFit="1" customWidth="1"/>
    <col min="10755" max="10755" width="45.36328125" style="44" bestFit="1" customWidth="1"/>
    <col min="10756" max="10756" width="14.08984375" style="44" bestFit="1" customWidth="1"/>
    <col min="10757" max="10758" width="8.7265625" style="44"/>
    <col min="10759" max="10759" width="49.7265625" style="44" bestFit="1" customWidth="1"/>
    <col min="10760" max="10760" width="7.90625" style="44" bestFit="1" customWidth="1"/>
    <col min="10761" max="10761" width="7.81640625" style="44" bestFit="1" customWidth="1"/>
    <col min="10762" max="10773" width="8.81640625" style="44" bestFit="1" customWidth="1"/>
    <col min="10774" max="10774" width="10.81640625" style="44" bestFit="1" customWidth="1"/>
    <col min="10775" max="10775" width="93.36328125" style="44" bestFit="1" customWidth="1"/>
    <col min="10776" max="10776" width="87.6328125" style="44" bestFit="1" customWidth="1"/>
    <col min="10777" max="10777" width="69.26953125" style="44" bestFit="1" customWidth="1"/>
    <col min="10778" max="10778" width="68.54296875" style="44" bestFit="1" customWidth="1"/>
    <col min="10779" max="10779" width="67.6328125" style="44" bestFit="1" customWidth="1"/>
    <col min="10780" max="10780" width="64" style="44" bestFit="1" customWidth="1"/>
    <col min="10781" max="10781" width="43.81640625" style="44" bestFit="1" customWidth="1"/>
    <col min="10782" max="10782" width="39.81640625" style="44" bestFit="1" customWidth="1"/>
    <col min="10783" max="10783" width="85.26953125" style="44" bestFit="1" customWidth="1"/>
    <col min="10784" max="10784" width="84.08984375" style="44" bestFit="1" customWidth="1"/>
    <col min="10785" max="10785" width="91" style="44" bestFit="1" customWidth="1"/>
    <col min="10786" max="10786" width="79" style="44" bestFit="1" customWidth="1"/>
    <col min="10787" max="10787" width="89.90625" style="44" bestFit="1" customWidth="1"/>
    <col min="10788" max="10794" width="90.90625" style="44" bestFit="1" customWidth="1"/>
    <col min="10795" max="10795" width="91.90625" style="44" bestFit="1" customWidth="1"/>
    <col min="10796" max="10796" width="73.08984375" style="44" bestFit="1" customWidth="1"/>
    <col min="10797" max="10797" width="61.1796875" style="44" bestFit="1" customWidth="1"/>
    <col min="10798" max="10798" width="94.1796875" style="44" bestFit="1" customWidth="1"/>
    <col min="10799" max="10799" width="84.453125" style="44" bestFit="1" customWidth="1"/>
    <col min="10800" max="10800" width="86.81640625" style="44" bestFit="1" customWidth="1"/>
    <col min="10801" max="10801" width="90.08984375" style="44" bestFit="1" customWidth="1"/>
    <col min="10802" max="10802" width="86.7265625" style="44" bestFit="1" customWidth="1"/>
    <col min="10803" max="10803" width="87.6328125" style="44" bestFit="1" customWidth="1"/>
    <col min="10804" max="10806" width="97.6328125" style="44" bestFit="1" customWidth="1"/>
    <col min="10807" max="10807" width="72.54296875" style="44" bestFit="1" customWidth="1"/>
    <col min="10808" max="10808" width="73.6328125" style="44" bestFit="1" customWidth="1"/>
    <col min="10809" max="10809" width="58.6328125" style="44" bestFit="1" customWidth="1"/>
    <col min="10810" max="10811" width="74.08984375" style="44" bestFit="1" customWidth="1"/>
    <col min="10812" max="10812" width="75.54296875" style="44" bestFit="1" customWidth="1"/>
    <col min="10813" max="10813" width="92" style="44" bestFit="1" customWidth="1"/>
    <col min="10814" max="10814" width="93.54296875" style="44" bestFit="1" customWidth="1"/>
    <col min="10815" max="10816" width="75.54296875" style="44" bestFit="1" customWidth="1"/>
    <col min="10817" max="10817" width="78.08984375" style="44" bestFit="1" customWidth="1"/>
    <col min="10818" max="10818" width="70" style="44" bestFit="1" customWidth="1"/>
    <col min="10819" max="10819" width="84.81640625" style="44" bestFit="1" customWidth="1"/>
    <col min="10820" max="10820" width="93" style="44" bestFit="1" customWidth="1"/>
    <col min="10821" max="10821" width="83.453125" style="44" bestFit="1" customWidth="1"/>
    <col min="10822" max="10822" width="100.90625" style="44" bestFit="1" customWidth="1"/>
    <col min="10823" max="10825" width="64.54296875" style="44" bestFit="1" customWidth="1"/>
    <col min="10826" max="10827" width="82.7265625" style="44" bestFit="1" customWidth="1"/>
    <col min="10828" max="10828" width="99.453125" style="44" bestFit="1" customWidth="1"/>
    <col min="10829" max="10829" width="78.1796875" style="44" bestFit="1" customWidth="1"/>
    <col min="10830" max="10830" width="71.36328125" style="44" bestFit="1" customWidth="1"/>
    <col min="10831" max="10831" width="71.26953125" style="44" bestFit="1" customWidth="1"/>
    <col min="10832" max="10835" width="76.453125" style="44" bestFit="1" customWidth="1"/>
    <col min="10836" max="10836" width="70.54296875" style="44" bestFit="1" customWidth="1"/>
    <col min="10837" max="10837" width="63.36328125" style="44" bestFit="1" customWidth="1"/>
    <col min="10838" max="10838" width="97.81640625" style="44" bestFit="1" customWidth="1"/>
    <col min="10839" max="10840" width="73" style="44" bestFit="1" customWidth="1"/>
    <col min="10841" max="10841" width="79" style="44" bestFit="1" customWidth="1"/>
    <col min="10842" max="10842" width="73" style="44" bestFit="1" customWidth="1"/>
    <col min="10843" max="10843" width="82.1796875" style="44" bestFit="1" customWidth="1"/>
    <col min="10844" max="10844" width="61.453125" style="44" bestFit="1" customWidth="1"/>
    <col min="10845" max="10846" width="99.90625" style="44" bestFit="1" customWidth="1"/>
    <col min="10847" max="10847" width="100.36328125" style="44" bestFit="1" customWidth="1"/>
    <col min="10848" max="10848" width="84.453125" style="44" bestFit="1" customWidth="1"/>
    <col min="10849" max="10849" width="113.36328125" style="44" bestFit="1" customWidth="1"/>
    <col min="10850" max="10850" width="98.453125" style="44" bestFit="1" customWidth="1"/>
    <col min="10851" max="10851" width="99.7265625" style="44" bestFit="1" customWidth="1"/>
    <col min="10852" max="10852" width="99.54296875" style="44" bestFit="1" customWidth="1"/>
    <col min="10853" max="10853" width="96.81640625" style="44" bestFit="1" customWidth="1"/>
    <col min="10854" max="10854" width="94.08984375" style="44" bestFit="1" customWidth="1"/>
    <col min="10855" max="10855" width="100.453125" style="44" bestFit="1" customWidth="1"/>
    <col min="10856" max="10856" width="98.6328125" style="44" bestFit="1" customWidth="1"/>
    <col min="10857" max="10857" width="77.453125" style="44" bestFit="1" customWidth="1"/>
    <col min="10858" max="10858" width="95.1796875" style="44" bestFit="1" customWidth="1"/>
    <col min="10859" max="10859" width="86.6328125" style="44" bestFit="1" customWidth="1"/>
    <col min="10860" max="10860" width="77.26953125" style="44" bestFit="1" customWidth="1"/>
    <col min="10861" max="10861" width="85.1796875" style="44" bestFit="1" customWidth="1"/>
    <col min="10862" max="10862" width="74.7265625" style="44" bestFit="1" customWidth="1"/>
    <col min="10863" max="10863" width="92" style="44" bestFit="1" customWidth="1"/>
    <col min="10864" max="10864" width="72.26953125" style="44" bestFit="1" customWidth="1"/>
    <col min="10865" max="10865" width="97.08984375" style="44" bestFit="1" customWidth="1"/>
    <col min="10866" max="10866" width="77.08984375" style="44" bestFit="1" customWidth="1"/>
    <col min="10867" max="10867" width="85.08984375" style="44" bestFit="1" customWidth="1"/>
    <col min="10868" max="10869" width="83.1796875" style="44" bestFit="1" customWidth="1"/>
    <col min="10870" max="10870" width="82.6328125" style="44" bestFit="1" customWidth="1"/>
    <col min="10871" max="10871" width="86.26953125" style="44" bestFit="1" customWidth="1"/>
    <col min="10872" max="10872" width="71.1796875" style="44" bestFit="1" customWidth="1"/>
    <col min="10873" max="10873" width="66.6328125" style="44" bestFit="1" customWidth="1"/>
    <col min="10874" max="10875" width="83.1796875" style="44" bestFit="1" customWidth="1"/>
    <col min="10876" max="10876" width="67.08984375" style="44" bestFit="1" customWidth="1"/>
    <col min="10877" max="10877" width="76.54296875" style="44" bestFit="1" customWidth="1"/>
    <col min="10878" max="10878" width="94.08984375" style="44" bestFit="1" customWidth="1"/>
    <col min="10879" max="10879" width="89.08984375" style="44" bestFit="1" customWidth="1"/>
    <col min="10880" max="10880" width="68.1796875" style="44" bestFit="1" customWidth="1"/>
    <col min="10881" max="10881" width="91.7265625" style="44" bestFit="1" customWidth="1"/>
    <col min="10882" max="10882" width="63.36328125" style="44" bestFit="1" customWidth="1"/>
    <col min="10883" max="10883" width="66.6328125" style="44" bestFit="1" customWidth="1"/>
    <col min="10884" max="10884" width="63.36328125" style="44" bestFit="1" customWidth="1"/>
    <col min="10885" max="10885" width="63.453125" style="44" bestFit="1" customWidth="1"/>
    <col min="10886" max="10886" width="87.54296875" style="44" bestFit="1" customWidth="1"/>
    <col min="10887" max="10887" width="93.81640625" style="44" bestFit="1" customWidth="1"/>
    <col min="10888" max="10888" width="66.453125" style="44" bestFit="1" customWidth="1"/>
    <col min="10889" max="10890" width="110" style="44" bestFit="1" customWidth="1"/>
    <col min="10891" max="10891" width="103.1796875" style="44" bestFit="1" customWidth="1"/>
    <col min="10892" max="10892" width="62.453125" style="44" bestFit="1" customWidth="1"/>
    <col min="10893" max="10893" width="77.453125" style="44" bestFit="1" customWidth="1"/>
    <col min="10894" max="10894" width="91.54296875" style="44" bestFit="1" customWidth="1"/>
    <col min="10895" max="10895" width="88.08984375" style="44" bestFit="1" customWidth="1"/>
    <col min="10896" max="10896" width="80.6328125" style="44" bestFit="1" customWidth="1"/>
    <col min="10897" max="10897" width="77.453125" style="44" bestFit="1" customWidth="1"/>
    <col min="10898" max="10898" width="85.1796875" style="44" bestFit="1" customWidth="1"/>
    <col min="10899" max="10902" width="72.36328125" style="44" bestFit="1" customWidth="1"/>
    <col min="10903" max="10904" width="95" style="44" bestFit="1" customWidth="1"/>
    <col min="10905" max="10905" width="64.08984375" style="44" bestFit="1" customWidth="1"/>
    <col min="10906" max="10906" width="110.08984375" style="44" bestFit="1" customWidth="1"/>
    <col min="10907" max="10907" width="86.36328125" style="44" bestFit="1" customWidth="1"/>
    <col min="10908" max="10908" width="89.36328125" style="44" bestFit="1" customWidth="1"/>
    <col min="10909" max="10909" width="89.81640625" style="44" bestFit="1" customWidth="1"/>
    <col min="10910" max="10910" width="64.26953125" style="44" bestFit="1" customWidth="1"/>
    <col min="10911" max="10911" width="85.7265625" style="44" bestFit="1" customWidth="1"/>
    <col min="10912" max="10912" width="73" style="44" bestFit="1" customWidth="1"/>
    <col min="10913" max="10913" width="92.7265625" style="44" bestFit="1" customWidth="1"/>
    <col min="10914" max="10914" width="92.36328125" style="44" bestFit="1" customWidth="1"/>
    <col min="10915" max="10915" width="72" style="44" bestFit="1" customWidth="1"/>
    <col min="10916" max="10916" width="82" style="44" bestFit="1" customWidth="1"/>
    <col min="10917" max="10917" width="79.36328125" style="44" bestFit="1" customWidth="1"/>
    <col min="10918" max="10918" width="81" style="44" bestFit="1" customWidth="1"/>
    <col min="10919" max="10919" width="72.90625" style="44" bestFit="1" customWidth="1"/>
    <col min="10920" max="10920" width="90.81640625" style="44" bestFit="1" customWidth="1"/>
    <col min="10921" max="10921" width="84" style="44" bestFit="1" customWidth="1"/>
    <col min="10922" max="10923" width="73.36328125" style="44" bestFit="1" customWidth="1"/>
    <col min="10924" max="10924" width="90.6328125" style="44" bestFit="1" customWidth="1"/>
    <col min="10925" max="10925" width="89.453125" style="44" bestFit="1" customWidth="1"/>
    <col min="10926" max="10926" width="84.6328125" style="44" bestFit="1" customWidth="1"/>
    <col min="10927" max="10927" width="74.54296875" style="44" bestFit="1" customWidth="1"/>
    <col min="10928" max="10928" width="76.90625" style="44" bestFit="1" customWidth="1"/>
    <col min="10929" max="10929" width="83" style="44" bestFit="1" customWidth="1"/>
    <col min="10930" max="10930" width="85.81640625" style="44" bestFit="1" customWidth="1"/>
    <col min="10931" max="10931" width="83.7265625" style="44" bestFit="1" customWidth="1"/>
    <col min="10932" max="10932" width="79.54296875" style="44" bestFit="1" customWidth="1"/>
    <col min="10933" max="10933" width="80.54296875" style="44" bestFit="1" customWidth="1"/>
    <col min="10934" max="10934" width="89.54296875" style="44" bestFit="1" customWidth="1"/>
    <col min="10935" max="10935" width="85.36328125" style="44" bestFit="1" customWidth="1"/>
    <col min="10936" max="10936" width="61.6328125" style="44" bestFit="1" customWidth="1"/>
    <col min="10937" max="10937" width="132.54296875" style="44" bestFit="1" customWidth="1"/>
    <col min="10938" max="10938" width="93.1796875" style="44" bestFit="1" customWidth="1"/>
    <col min="10939" max="10939" width="91.08984375" style="44" bestFit="1" customWidth="1"/>
    <col min="10940" max="10940" width="81.7265625" style="44" bestFit="1" customWidth="1"/>
    <col min="10941" max="10942" width="80.90625" style="44" bestFit="1" customWidth="1"/>
    <col min="10943" max="10943" width="83.26953125" style="44" bestFit="1" customWidth="1"/>
    <col min="10944" max="10944" width="101.453125" style="44" bestFit="1" customWidth="1"/>
    <col min="10945" max="10945" width="110.1796875" style="44" bestFit="1" customWidth="1"/>
    <col min="10946" max="10946" width="74.6328125" style="44" bestFit="1" customWidth="1"/>
    <col min="10947" max="10950" width="84.54296875" style="44" bestFit="1" customWidth="1"/>
    <col min="10951" max="10951" width="74.36328125" style="44" bestFit="1" customWidth="1"/>
    <col min="10952" max="10952" width="88.1796875" style="44" bestFit="1" customWidth="1"/>
    <col min="10953" max="10953" width="78.6328125" style="44" bestFit="1" customWidth="1"/>
    <col min="10954" max="10954" width="76.81640625" style="44" bestFit="1" customWidth="1"/>
    <col min="10955" max="10955" width="74.7265625" style="44" bestFit="1" customWidth="1"/>
    <col min="10956" max="10956" width="87.26953125" style="44" bestFit="1" customWidth="1"/>
    <col min="10957" max="10957" width="85.54296875" style="44" bestFit="1" customWidth="1"/>
    <col min="10958" max="10958" width="100.26953125" style="44" bestFit="1" customWidth="1"/>
    <col min="10959" max="10959" width="71.36328125" style="44" bestFit="1" customWidth="1"/>
    <col min="10960" max="10960" width="105.453125" style="44" bestFit="1" customWidth="1"/>
    <col min="10961" max="10961" width="103.08984375" style="44" bestFit="1" customWidth="1"/>
    <col min="10962" max="10962" width="85.7265625" style="44" bestFit="1" customWidth="1"/>
    <col min="10963" max="10963" width="99.26953125" style="44" bestFit="1" customWidth="1"/>
    <col min="10964" max="10964" width="83.54296875" style="44" bestFit="1" customWidth="1"/>
    <col min="10965" max="10965" width="96.90625" style="44" bestFit="1" customWidth="1"/>
    <col min="10966" max="10966" width="74.26953125" style="44" bestFit="1" customWidth="1"/>
    <col min="10967" max="10967" width="98.36328125" style="44" bestFit="1" customWidth="1"/>
    <col min="10968" max="10968" width="74.453125" style="44" bestFit="1" customWidth="1"/>
    <col min="10969" max="10969" width="88.81640625" style="44" bestFit="1" customWidth="1"/>
    <col min="10970" max="10970" width="67.6328125" style="44" bestFit="1" customWidth="1"/>
    <col min="10971" max="10971" width="93.08984375" style="44" bestFit="1" customWidth="1"/>
    <col min="10972" max="10972" width="101.453125" style="44" bestFit="1" customWidth="1"/>
    <col min="10973" max="10975" width="76.81640625" style="44" bestFit="1" customWidth="1"/>
    <col min="10976" max="10976" width="87.08984375" style="44" bestFit="1" customWidth="1"/>
    <col min="10977" max="10977" width="72.453125" style="44" bestFit="1" customWidth="1"/>
    <col min="10978" max="10978" width="87.81640625" style="44" bestFit="1" customWidth="1"/>
    <col min="10979" max="10979" width="71.7265625" style="44" bestFit="1" customWidth="1"/>
    <col min="10980" max="10980" width="74" style="44" bestFit="1" customWidth="1"/>
    <col min="10981" max="10981" width="74.08984375" style="44" bestFit="1" customWidth="1"/>
    <col min="10982" max="10984" width="86.81640625" style="44" bestFit="1" customWidth="1"/>
    <col min="10985" max="10985" width="104.7265625" style="44" bestFit="1" customWidth="1"/>
    <col min="10986" max="10986" width="101.81640625" style="44" bestFit="1" customWidth="1"/>
    <col min="10987" max="10987" width="64.453125" style="44" bestFit="1" customWidth="1"/>
    <col min="10988" max="10988" width="65.1796875" style="44" bestFit="1" customWidth="1"/>
    <col min="10989" max="10989" width="72.453125" style="44" bestFit="1" customWidth="1"/>
    <col min="10990" max="10990" width="81.36328125" style="44" bestFit="1" customWidth="1"/>
    <col min="10991" max="10991" width="65.1796875" style="44" bestFit="1" customWidth="1"/>
    <col min="10992" max="10992" width="80.90625" style="44" bestFit="1" customWidth="1"/>
    <col min="10993" max="10993" width="71.7265625" style="44" bestFit="1" customWidth="1"/>
    <col min="10994" max="10994" width="73.6328125" style="44" bestFit="1" customWidth="1"/>
    <col min="10995" max="10996" width="85.36328125" style="44" bestFit="1" customWidth="1"/>
    <col min="10997" max="10997" width="92.26953125" style="44" bestFit="1" customWidth="1"/>
    <col min="10998" max="10998" width="106.1796875" style="44" bestFit="1" customWidth="1"/>
    <col min="10999" max="10999" width="86.6328125" style="44" bestFit="1" customWidth="1"/>
    <col min="11000" max="11001" width="68.90625" style="44" bestFit="1" customWidth="1"/>
    <col min="11002" max="11002" width="80.54296875" style="44" bestFit="1" customWidth="1"/>
    <col min="11003" max="11003" width="68.90625" style="44" bestFit="1" customWidth="1"/>
    <col min="11004" max="11004" width="79.1796875" style="44" bestFit="1" customWidth="1"/>
    <col min="11005" max="11005" width="79.26953125" style="44" bestFit="1" customWidth="1"/>
    <col min="11006" max="11006" width="80.1796875" style="44" bestFit="1" customWidth="1"/>
    <col min="11007" max="11007" width="84.81640625" style="44" bestFit="1" customWidth="1"/>
    <col min="11008" max="11008" width="76.81640625" style="44" bestFit="1" customWidth="1"/>
    <col min="11009" max="11009" width="7.90625" style="44" bestFit="1" customWidth="1"/>
    <col min="11010" max="11010" width="132.54296875" style="44" bestFit="1" customWidth="1"/>
    <col min="11011" max="11011" width="45.36328125" style="44" bestFit="1" customWidth="1"/>
    <col min="11012" max="11012" width="14.08984375" style="44" bestFit="1" customWidth="1"/>
    <col min="11013" max="11014" width="8.7265625" style="44"/>
    <col min="11015" max="11015" width="49.7265625" style="44" bestFit="1" customWidth="1"/>
    <col min="11016" max="11016" width="7.90625" style="44" bestFit="1" customWidth="1"/>
    <col min="11017" max="11017" width="7.81640625" style="44" bestFit="1" customWidth="1"/>
    <col min="11018" max="11029" width="8.81640625" style="44" bestFit="1" customWidth="1"/>
    <col min="11030" max="11030" width="10.81640625" style="44" bestFit="1" customWidth="1"/>
    <col min="11031" max="11031" width="93.36328125" style="44" bestFit="1" customWidth="1"/>
    <col min="11032" max="11032" width="87.6328125" style="44" bestFit="1" customWidth="1"/>
    <col min="11033" max="11033" width="69.26953125" style="44" bestFit="1" customWidth="1"/>
    <col min="11034" max="11034" width="68.54296875" style="44" bestFit="1" customWidth="1"/>
    <col min="11035" max="11035" width="67.6328125" style="44" bestFit="1" customWidth="1"/>
    <col min="11036" max="11036" width="64" style="44" bestFit="1" customWidth="1"/>
    <col min="11037" max="11037" width="43.81640625" style="44" bestFit="1" customWidth="1"/>
    <col min="11038" max="11038" width="39.81640625" style="44" bestFit="1" customWidth="1"/>
    <col min="11039" max="11039" width="85.26953125" style="44" bestFit="1" customWidth="1"/>
    <col min="11040" max="11040" width="84.08984375" style="44" bestFit="1" customWidth="1"/>
    <col min="11041" max="11041" width="91" style="44" bestFit="1" customWidth="1"/>
    <col min="11042" max="11042" width="79" style="44" bestFit="1" customWidth="1"/>
    <col min="11043" max="11043" width="89.90625" style="44" bestFit="1" customWidth="1"/>
    <col min="11044" max="11050" width="90.90625" style="44" bestFit="1" customWidth="1"/>
    <col min="11051" max="11051" width="91.90625" style="44" bestFit="1" customWidth="1"/>
    <col min="11052" max="11052" width="73.08984375" style="44" bestFit="1" customWidth="1"/>
    <col min="11053" max="11053" width="61.1796875" style="44" bestFit="1" customWidth="1"/>
    <col min="11054" max="11054" width="94.1796875" style="44" bestFit="1" customWidth="1"/>
    <col min="11055" max="11055" width="84.453125" style="44" bestFit="1" customWidth="1"/>
    <col min="11056" max="11056" width="86.81640625" style="44" bestFit="1" customWidth="1"/>
    <col min="11057" max="11057" width="90.08984375" style="44" bestFit="1" customWidth="1"/>
    <col min="11058" max="11058" width="86.7265625" style="44" bestFit="1" customWidth="1"/>
    <col min="11059" max="11059" width="87.6328125" style="44" bestFit="1" customWidth="1"/>
    <col min="11060" max="11062" width="97.6328125" style="44" bestFit="1" customWidth="1"/>
    <col min="11063" max="11063" width="72.54296875" style="44" bestFit="1" customWidth="1"/>
    <col min="11064" max="11064" width="73.6328125" style="44" bestFit="1" customWidth="1"/>
    <col min="11065" max="11065" width="58.6328125" style="44" bestFit="1" customWidth="1"/>
    <col min="11066" max="11067" width="74.08984375" style="44" bestFit="1" customWidth="1"/>
    <col min="11068" max="11068" width="75.54296875" style="44" bestFit="1" customWidth="1"/>
    <col min="11069" max="11069" width="92" style="44" bestFit="1" customWidth="1"/>
    <col min="11070" max="11070" width="93.54296875" style="44" bestFit="1" customWidth="1"/>
    <col min="11071" max="11072" width="75.54296875" style="44" bestFit="1" customWidth="1"/>
    <col min="11073" max="11073" width="78.08984375" style="44" bestFit="1" customWidth="1"/>
    <col min="11074" max="11074" width="70" style="44" bestFit="1" customWidth="1"/>
    <col min="11075" max="11075" width="84.81640625" style="44" bestFit="1" customWidth="1"/>
    <col min="11076" max="11076" width="93" style="44" bestFit="1" customWidth="1"/>
    <col min="11077" max="11077" width="83.453125" style="44" bestFit="1" customWidth="1"/>
    <col min="11078" max="11078" width="100.90625" style="44" bestFit="1" customWidth="1"/>
    <col min="11079" max="11081" width="64.54296875" style="44" bestFit="1" customWidth="1"/>
    <col min="11082" max="11083" width="82.7265625" style="44" bestFit="1" customWidth="1"/>
    <col min="11084" max="11084" width="99.453125" style="44" bestFit="1" customWidth="1"/>
    <col min="11085" max="11085" width="78.1796875" style="44" bestFit="1" customWidth="1"/>
    <col min="11086" max="11086" width="71.36328125" style="44" bestFit="1" customWidth="1"/>
    <col min="11087" max="11087" width="71.26953125" style="44" bestFit="1" customWidth="1"/>
    <col min="11088" max="11091" width="76.453125" style="44" bestFit="1" customWidth="1"/>
    <col min="11092" max="11092" width="70.54296875" style="44" bestFit="1" customWidth="1"/>
    <col min="11093" max="11093" width="63.36328125" style="44" bestFit="1" customWidth="1"/>
    <col min="11094" max="11094" width="97.81640625" style="44" bestFit="1" customWidth="1"/>
    <col min="11095" max="11096" width="73" style="44" bestFit="1" customWidth="1"/>
    <col min="11097" max="11097" width="79" style="44" bestFit="1" customWidth="1"/>
    <col min="11098" max="11098" width="73" style="44" bestFit="1" customWidth="1"/>
    <col min="11099" max="11099" width="82.1796875" style="44" bestFit="1" customWidth="1"/>
    <col min="11100" max="11100" width="61.453125" style="44" bestFit="1" customWidth="1"/>
    <col min="11101" max="11102" width="99.90625" style="44" bestFit="1" customWidth="1"/>
    <col min="11103" max="11103" width="100.36328125" style="44" bestFit="1" customWidth="1"/>
    <col min="11104" max="11104" width="84.453125" style="44" bestFit="1" customWidth="1"/>
    <col min="11105" max="11105" width="113.36328125" style="44" bestFit="1" customWidth="1"/>
    <col min="11106" max="11106" width="98.453125" style="44" bestFit="1" customWidth="1"/>
    <col min="11107" max="11107" width="99.7265625" style="44" bestFit="1" customWidth="1"/>
    <col min="11108" max="11108" width="99.54296875" style="44" bestFit="1" customWidth="1"/>
    <col min="11109" max="11109" width="96.81640625" style="44" bestFit="1" customWidth="1"/>
    <col min="11110" max="11110" width="94.08984375" style="44" bestFit="1" customWidth="1"/>
    <col min="11111" max="11111" width="100.453125" style="44" bestFit="1" customWidth="1"/>
    <col min="11112" max="11112" width="98.6328125" style="44" bestFit="1" customWidth="1"/>
    <col min="11113" max="11113" width="77.453125" style="44" bestFit="1" customWidth="1"/>
    <col min="11114" max="11114" width="95.1796875" style="44" bestFit="1" customWidth="1"/>
    <col min="11115" max="11115" width="86.6328125" style="44" bestFit="1" customWidth="1"/>
    <col min="11116" max="11116" width="77.26953125" style="44" bestFit="1" customWidth="1"/>
    <col min="11117" max="11117" width="85.1796875" style="44" bestFit="1" customWidth="1"/>
    <col min="11118" max="11118" width="74.7265625" style="44" bestFit="1" customWidth="1"/>
    <col min="11119" max="11119" width="92" style="44" bestFit="1" customWidth="1"/>
    <col min="11120" max="11120" width="72.26953125" style="44" bestFit="1" customWidth="1"/>
    <col min="11121" max="11121" width="97.08984375" style="44" bestFit="1" customWidth="1"/>
    <col min="11122" max="11122" width="77.08984375" style="44" bestFit="1" customWidth="1"/>
    <col min="11123" max="11123" width="85.08984375" style="44" bestFit="1" customWidth="1"/>
    <col min="11124" max="11125" width="83.1796875" style="44" bestFit="1" customWidth="1"/>
    <col min="11126" max="11126" width="82.6328125" style="44" bestFit="1" customWidth="1"/>
    <col min="11127" max="11127" width="86.26953125" style="44" bestFit="1" customWidth="1"/>
    <col min="11128" max="11128" width="71.1796875" style="44" bestFit="1" customWidth="1"/>
    <col min="11129" max="11129" width="66.6328125" style="44" bestFit="1" customWidth="1"/>
    <col min="11130" max="11131" width="83.1796875" style="44" bestFit="1" customWidth="1"/>
    <col min="11132" max="11132" width="67.08984375" style="44" bestFit="1" customWidth="1"/>
    <col min="11133" max="11133" width="76.54296875" style="44" bestFit="1" customWidth="1"/>
    <col min="11134" max="11134" width="94.08984375" style="44" bestFit="1" customWidth="1"/>
    <col min="11135" max="11135" width="89.08984375" style="44" bestFit="1" customWidth="1"/>
    <col min="11136" max="11136" width="68.1796875" style="44" bestFit="1" customWidth="1"/>
    <col min="11137" max="11137" width="91.7265625" style="44" bestFit="1" customWidth="1"/>
    <col min="11138" max="11138" width="63.36328125" style="44" bestFit="1" customWidth="1"/>
    <col min="11139" max="11139" width="66.6328125" style="44" bestFit="1" customWidth="1"/>
    <col min="11140" max="11140" width="63.36328125" style="44" bestFit="1" customWidth="1"/>
    <col min="11141" max="11141" width="63.453125" style="44" bestFit="1" customWidth="1"/>
    <col min="11142" max="11142" width="87.54296875" style="44" bestFit="1" customWidth="1"/>
    <col min="11143" max="11143" width="93.81640625" style="44" bestFit="1" customWidth="1"/>
    <col min="11144" max="11144" width="66.453125" style="44" bestFit="1" customWidth="1"/>
    <col min="11145" max="11146" width="110" style="44" bestFit="1" customWidth="1"/>
    <col min="11147" max="11147" width="103.1796875" style="44" bestFit="1" customWidth="1"/>
    <col min="11148" max="11148" width="62.453125" style="44" bestFit="1" customWidth="1"/>
    <col min="11149" max="11149" width="77.453125" style="44" bestFit="1" customWidth="1"/>
    <col min="11150" max="11150" width="91.54296875" style="44" bestFit="1" customWidth="1"/>
    <col min="11151" max="11151" width="88.08984375" style="44" bestFit="1" customWidth="1"/>
    <col min="11152" max="11152" width="80.6328125" style="44" bestFit="1" customWidth="1"/>
    <col min="11153" max="11153" width="77.453125" style="44" bestFit="1" customWidth="1"/>
    <col min="11154" max="11154" width="85.1796875" style="44" bestFit="1" customWidth="1"/>
    <col min="11155" max="11158" width="72.36328125" style="44" bestFit="1" customWidth="1"/>
    <col min="11159" max="11160" width="95" style="44" bestFit="1" customWidth="1"/>
    <col min="11161" max="11161" width="64.08984375" style="44" bestFit="1" customWidth="1"/>
    <col min="11162" max="11162" width="110.08984375" style="44" bestFit="1" customWidth="1"/>
    <col min="11163" max="11163" width="86.36328125" style="44" bestFit="1" customWidth="1"/>
    <col min="11164" max="11164" width="89.36328125" style="44" bestFit="1" customWidth="1"/>
    <col min="11165" max="11165" width="89.81640625" style="44" bestFit="1" customWidth="1"/>
    <col min="11166" max="11166" width="64.26953125" style="44" bestFit="1" customWidth="1"/>
    <col min="11167" max="11167" width="85.7265625" style="44" bestFit="1" customWidth="1"/>
    <col min="11168" max="11168" width="73" style="44" bestFit="1" customWidth="1"/>
    <col min="11169" max="11169" width="92.7265625" style="44" bestFit="1" customWidth="1"/>
    <col min="11170" max="11170" width="92.36328125" style="44" bestFit="1" customWidth="1"/>
    <col min="11171" max="11171" width="72" style="44" bestFit="1" customWidth="1"/>
    <col min="11172" max="11172" width="82" style="44" bestFit="1" customWidth="1"/>
    <col min="11173" max="11173" width="79.36328125" style="44" bestFit="1" customWidth="1"/>
    <col min="11174" max="11174" width="81" style="44" bestFit="1" customWidth="1"/>
    <col min="11175" max="11175" width="72.90625" style="44" bestFit="1" customWidth="1"/>
    <col min="11176" max="11176" width="90.81640625" style="44" bestFit="1" customWidth="1"/>
    <col min="11177" max="11177" width="84" style="44" bestFit="1" customWidth="1"/>
    <col min="11178" max="11179" width="73.36328125" style="44" bestFit="1" customWidth="1"/>
    <col min="11180" max="11180" width="90.6328125" style="44" bestFit="1" customWidth="1"/>
    <col min="11181" max="11181" width="89.453125" style="44" bestFit="1" customWidth="1"/>
    <col min="11182" max="11182" width="84.6328125" style="44" bestFit="1" customWidth="1"/>
    <col min="11183" max="11183" width="74.54296875" style="44" bestFit="1" customWidth="1"/>
    <col min="11184" max="11184" width="76.90625" style="44" bestFit="1" customWidth="1"/>
    <col min="11185" max="11185" width="83" style="44" bestFit="1" customWidth="1"/>
    <col min="11186" max="11186" width="85.81640625" style="44" bestFit="1" customWidth="1"/>
    <col min="11187" max="11187" width="83.7265625" style="44" bestFit="1" customWidth="1"/>
    <col min="11188" max="11188" width="79.54296875" style="44" bestFit="1" customWidth="1"/>
    <col min="11189" max="11189" width="80.54296875" style="44" bestFit="1" customWidth="1"/>
    <col min="11190" max="11190" width="89.54296875" style="44" bestFit="1" customWidth="1"/>
    <col min="11191" max="11191" width="85.36328125" style="44" bestFit="1" customWidth="1"/>
    <col min="11192" max="11192" width="61.6328125" style="44" bestFit="1" customWidth="1"/>
    <col min="11193" max="11193" width="132.54296875" style="44" bestFit="1" customWidth="1"/>
    <col min="11194" max="11194" width="93.1796875" style="44" bestFit="1" customWidth="1"/>
    <col min="11195" max="11195" width="91.08984375" style="44" bestFit="1" customWidth="1"/>
    <col min="11196" max="11196" width="81.7265625" style="44" bestFit="1" customWidth="1"/>
    <col min="11197" max="11198" width="80.90625" style="44" bestFit="1" customWidth="1"/>
    <col min="11199" max="11199" width="83.26953125" style="44" bestFit="1" customWidth="1"/>
    <col min="11200" max="11200" width="101.453125" style="44" bestFit="1" customWidth="1"/>
    <col min="11201" max="11201" width="110.1796875" style="44" bestFit="1" customWidth="1"/>
    <col min="11202" max="11202" width="74.6328125" style="44" bestFit="1" customWidth="1"/>
    <col min="11203" max="11206" width="84.54296875" style="44" bestFit="1" customWidth="1"/>
    <col min="11207" max="11207" width="74.36328125" style="44" bestFit="1" customWidth="1"/>
    <col min="11208" max="11208" width="88.1796875" style="44" bestFit="1" customWidth="1"/>
    <col min="11209" max="11209" width="78.6328125" style="44" bestFit="1" customWidth="1"/>
    <col min="11210" max="11210" width="76.81640625" style="44" bestFit="1" customWidth="1"/>
    <col min="11211" max="11211" width="74.7265625" style="44" bestFit="1" customWidth="1"/>
    <col min="11212" max="11212" width="87.26953125" style="44" bestFit="1" customWidth="1"/>
    <col min="11213" max="11213" width="85.54296875" style="44" bestFit="1" customWidth="1"/>
    <col min="11214" max="11214" width="100.26953125" style="44" bestFit="1" customWidth="1"/>
    <col min="11215" max="11215" width="71.36328125" style="44" bestFit="1" customWidth="1"/>
    <col min="11216" max="11216" width="105.453125" style="44" bestFit="1" customWidth="1"/>
    <col min="11217" max="11217" width="103.08984375" style="44" bestFit="1" customWidth="1"/>
    <col min="11218" max="11218" width="85.7265625" style="44" bestFit="1" customWidth="1"/>
    <col min="11219" max="11219" width="99.26953125" style="44" bestFit="1" customWidth="1"/>
    <col min="11220" max="11220" width="83.54296875" style="44" bestFit="1" customWidth="1"/>
    <col min="11221" max="11221" width="96.90625" style="44" bestFit="1" customWidth="1"/>
    <col min="11222" max="11222" width="74.26953125" style="44" bestFit="1" customWidth="1"/>
    <col min="11223" max="11223" width="98.36328125" style="44" bestFit="1" customWidth="1"/>
    <col min="11224" max="11224" width="74.453125" style="44" bestFit="1" customWidth="1"/>
    <col min="11225" max="11225" width="88.81640625" style="44" bestFit="1" customWidth="1"/>
    <col min="11226" max="11226" width="67.6328125" style="44" bestFit="1" customWidth="1"/>
    <col min="11227" max="11227" width="93.08984375" style="44" bestFit="1" customWidth="1"/>
    <col min="11228" max="11228" width="101.453125" style="44" bestFit="1" customWidth="1"/>
    <col min="11229" max="11231" width="76.81640625" style="44" bestFit="1" customWidth="1"/>
    <col min="11232" max="11232" width="87.08984375" style="44" bestFit="1" customWidth="1"/>
    <col min="11233" max="11233" width="72.453125" style="44" bestFit="1" customWidth="1"/>
    <col min="11234" max="11234" width="87.81640625" style="44" bestFit="1" customWidth="1"/>
    <col min="11235" max="11235" width="71.7265625" style="44" bestFit="1" customWidth="1"/>
    <col min="11236" max="11236" width="74" style="44" bestFit="1" customWidth="1"/>
    <col min="11237" max="11237" width="74.08984375" style="44" bestFit="1" customWidth="1"/>
    <col min="11238" max="11240" width="86.81640625" style="44" bestFit="1" customWidth="1"/>
    <col min="11241" max="11241" width="104.7265625" style="44" bestFit="1" customWidth="1"/>
    <col min="11242" max="11242" width="101.81640625" style="44" bestFit="1" customWidth="1"/>
    <col min="11243" max="11243" width="64.453125" style="44" bestFit="1" customWidth="1"/>
    <col min="11244" max="11244" width="65.1796875" style="44" bestFit="1" customWidth="1"/>
    <col min="11245" max="11245" width="72.453125" style="44" bestFit="1" customWidth="1"/>
    <col min="11246" max="11246" width="81.36328125" style="44" bestFit="1" customWidth="1"/>
    <col min="11247" max="11247" width="65.1796875" style="44" bestFit="1" customWidth="1"/>
    <col min="11248" max="11248" width="80.90625" style="44" bestFit="1" customWidth="1"/>
    <col min="11249" max="11249" width="71.7265625" style="44" bestFit="1" customWidth="1"/>
    <col min="11250" max="11250" width="73.6328125" style="44" bestFit="1" customWidth="1"/>
    <col min="11251" max="11252" width="85.36328125" style="44" bestFit="1" customWidth="1"/>
    <col min="11253" max="11253" width="92.26953125" style="44" bestFit="1" customWidth="1"/>
    <col min="11254" max="11254" width="106.1796875" style="44" bestFit="1" customWidth="1"/>
    <col min="11255" max="11255" width="86.6328125" style="44" bestFit="1" customWidth="1"/>
    <col min="11256" max="11257" width="68.90625" style="44" bestFit="1" customWidth="1"/>
    <col min="11258" max="11258" width="80.54296875" style="44" bestFit="1" customWidth="1"/>
    <col min="11259" max="11259" width="68.90625" style="44" bestFit="1" customWidth="1"/>
    <col min="11260" max="11260" width="79.1796875" style="44" bestFit="1" customWidth="1"/>
    <col min="11261" max="11261" width="79.26953125" style="44" bestFit="1" customWidth="1"/>
    <col min="11262" max="11262" width="80.1796875" style="44" bestFit="1" customWidth="1"/>
    <col min="11263" max="11263" width="84.81640625" style="44" bestFit="1" customWidth="1"/>
    <col min="11264" max="11264" width="76.81640625" style="44" bestFit="1" customWidth="1"/>
    <col min="11265" max="11265" width="7.90625" style="44" bestFit="1" customWidth="1"/>
    <col min="11266" max="11266" width="132.54296875" style="44" bestFit="1" customWidth="1"/>
    <col min="11267" max="11267" width="45.36328125" style="44" bestFit="1" customWidth="1"/>
    <col min="11268" max="11268" width="14.08984375" style="44" bestFit="1" customWidth="1"/>
    <col min="11269" max="11270" width="8.7265625" style="44"/>
    <col min="11271" max="11271" width="49.7265625" style="44" bestFit="1" customWidth="1"/>
    <col min="11272" max="11272" width="7.90625" style="44" bestFit="1" customWidth="1"/>
    <col min="11273" max="11273" width="7.81640625" style="44" bestFit="1" customWidth="1"/>
    <col min="11274" max="11285" width="8.81640625" style="44" bestFit="1" customWidth="1"/>
    <col min="11286" max="11286" width="10.81640625" style="44" bestFit="1" customWidth="1"/>
    <col min="11287" max="11287" width="93.36328125" style="44" bestFit="1" customWidth="1"/>
    <col min="11288" max="11288" width="87.6328125" style="44" bestFit="1" customWidth="1"/>
    <col min="11289" max="11289" width="69.26953125" style="44" bestFit="1" customWidth="1"/>
    <col min="11290" max="11290" width="68.54296875" style="44" bestFit="1" customWidth="1"/>
    <col min="11291" max="11291" width="67.6328125" style="44" bestFit="1" customWidth="1"/>
    <col min="11292" max="11292" width="64" style="44" bestFit="1" customWidth="1"/>
    <col min="11293" max="11293" width="43.81640625" style="44" bestFit="1" customWidth="1"/>
    <col min="11294" max="11294" width="39.81640625" style="44" bestFit="1" customWidth="1"/>
    <col min="11295" max="11295" width="85.26953125" style="44" bestFit="1" customWidth="1"/>
    <col min="11296" max="11296" width="84.08984375" style="44" bestFit="1" customWidth="1"/>
    <col min="11297" max="11297" width="91" style="44" bestFit="1" customWidth="1"/>
    <col min="11298" max="11298" width="79" style="44" bestFit="1" customWidth="1"/>
    <col min="11299" max="11299" width="89.90625" style="44" bestFit="1" customWidth="1"/>
    <col min="11300" max="11306" width="90.90625" style="44" bestFit="1" customWidth="1"/>
    <col min="11307" max="11307" width="91.90625" style="44" bestFit="1" customWidth="1"/>
    <col min="11308" max="11308" width="73.08984375" style="44" bestFit="1" customWidth="1"/>
    <col min="11309" max="11309" width="61.1796875" style="44" bestFit="1" customWidth="1"/>
    <col min="11310" max="11310" width="94.1796875" style="44" bestFit="1" customWidth="1"/>
    <col min="11311" max="11311" width="84.453125" style="44" bestFit="1" customWidth="1"/>
    <col min="11312" max="11312" width="86.81640625" style="44" bestFit="1" customWidth="1"/>
    <col min="11313" max="11313" width="90.08984375" style="44" bestFit="1" customWidth="1"/>
    <col min="11314" max="11314" width="86.7265625" style="44" bestFit="1" customWidth="1"/>
    <col min="11315" max="11315" width="87.6328125" style="44" bestFit="1" customWidth="1"/>
    <col min="11316" max="11318" width="97.6328125" style="44" bestFit="1" customWidth="1"/>
    <col min="11319" max="11319" width="72.54296875" style="44" bestFit="1" customWidth="1"/>
    <col min="11320" max="11320" width="73.6328125" style="44" bestFit="1" customWidth="1"/>
    <col min="11321" max="11321" width="58.6328125" style="44" bestFit="1" customWidth="1"/>
    <col min="11322" max="11323" width="74.08984375" style="44" bestFit="1" customWidth="1"/>
    <col min="11324" max="11324" width="75.54296875" style="44" bestFit="1" customWidth="1"/>
    <col min="11325" max="11325" width="92" style="44" bestFit="1" customWidth="1"/>
    <col min="11326" max="11326" width="93.54296875" style="44" bestFit="1" customWidth="1"/>
    <col min="11327" max="11328" width="75.54296875" style="44" bestFit="1" customWidth="1"/>
    <col min="11329" max="11329" width="78.08984375" style="44" bestFit="1" customWidth="1"/>
    <col min="11330" max="11330" width="70" style="44" bestFit="1" customWidth="1"/>
    <col min="11331" max="11331" width="84.81640625" style="44" bestFit="1" customWidth="1"/>
    <col min="11332" max="11332" width="93" style="44" bestFit="1" customWidth="1"/>
    <col min="11333" max="11333" width="83.453125" style="44" bestFit="1" customWidth="1"/>
    <col min="11334" max="11334" width="100.90625" style="44" bestFit="1" customWidth="1"/>
    <col min="11335" max="11337" width="64.54296875" style="44" bestFit="1" customWidth="1"/>
    <col min="11338" max="11339" width="82.7265625" style="44" bestFit="1" customWidth="1"/>
    <col min="11340" max="11340" width="99.453125" style="44" bestFit="1" customWidth="1"/>
    <col min="11341" max="11341" width="78.1796875" style="44" bestFit="1" customWidth="1"/>
    <col min="11342" max="11342" width="71.36328125" style="44" bestFit="1" customWidth="1"/>
    <col min="11343" max="11343" width="71.26953125" style="44" bestFit="1" customWidth="1"/>
    <col min="11344" max="11347" width="76.453125" style="44" bestFit="1" customWidth="1"/>
    <col min="11348" max="11348" width="70.54296875" style="44" bestFit="1" customWidth="1"/>
    <col min="11349" max="11349" width="63.36328125" style="44" bestFit="1" customWidth="1"/>
    <col min="11350" max="11350" width="97.81640625" style="44" bestFit="1" customWidth="1"/>
    <col min="11351" max="11352" width="73" style="44" bestFit="1" customWidth="1"/>
    <col min="11353" max="11353" width="79" style="44" bestFit="1" customWidth="1"/>
    <col min="11354" max="11354" width="73" style="44" bestFit="1" customWidth="1"/>
    <col min="11355" max="11355" width="82.1796875" style="44" bestFit="1" customWidth="1"/>
    <col min="11356" max="11356" width="61.453125" style="44" bestFit="1" customWidth="1"/>
    <col min="11357" max="11358" width="99.90625" style="44" bestFit="1" customWidth="1"/>
    <col min="11359" max="11359" width="100.36328125" style="44" bestFit="1" customWidth="1"/>
    <col min="11360" max="11360" width="84.453125" style="44" bestFit="1" customWidth="1"/>
    <col min="11361" max="11361" width="113.36328125" style="44" bestFit="1" customWidth="1"/>
    <col min="11362" max="11362" width="98.453125" style="44" bestFit="1" customWidth="1"/>
    <col min="11363" max="11363" width="99.7265625" style="44" bestFit="1" customWidth="1"/>
    <col min="11364" max="11364" width="99.54296875" style="44" bestFit="1" customWidth="1"/>
    <col min="11365" max="11365" width="96.81640625" style="44" bestFit="1" customWidth="1"/>
    <col min="11366" max="11366" width="94.08984375" style="44" bestFit="1" customWidth="1"/>
    <col min="11367" max="11367" width="100.453125" style="44" bestFit="1" customWidth="1"/>
    <col min="11368" max="11368" width="98.6328125" style="44" bestFit="1" customWidth="1"/>
    <col min="11369" max="11369" width="77.453125" style="44" bestFit="1" customWidth="1"/>
    <col min="11370" max="11370" width="95.1796875" style="44" bestFit="1" customWidth="1"/>
    <col min="11371" max="11371" width="86.6328125" style="44" bestFit="1" customWidth="1"/>
    <col min="11372" max="11372" width="77.26953125" style="44" bestFit="1" customWidth="1"/>
    <col min="11373" max="11373" width="85.1796875" style="44" bestFit="1" customWidth="1"/>
    <col min="11374" max="11374" width="74.7265625" style="44" bestFit="1" customWidth="1"/>
    <col min="11375" max="11375" width="92" style="44" bestFit="1" customWidth="1"/>
    <col min="11376" max="11376" width="72.26953125" style="44" bestFit="1" customWidth="1"/>
    <col min="11377" max="11377" width="97.08984375" style="44" bestFit="1" customWidth="1"/>
    <col min="11378" max="11378" width="77.08984375" style="44" bestFit="1" customWidth="1"/>
    <col min="11379" max="11379" width="85.08984375" style="44" bestFit="1" customWidth="1"/>
    <col min="11380" max="11381" width="83.1796875" style="44" bestFit="1" customWidth="1"/>
    <col min="11382" max="11382" width="82.6328125" style="44" bestFit="1" customWidth="1"/>
    <col min="11383" max="11383" width="86.26953125" style="44" bestFit="1" customWidth="1"/>
    <col min="11384" max="11384" width="71.1796875" style="44" bestFit="1" customWidth="1"/>
    <col min="11385" max="11385" width="66.6328125" style="44" bestFit="1" customWidth="1"/>
    <col min="11386" max="11387" width="83.1796875" style="44" bestFit="1" customWidth="1"/>
    <col min="11388" max="11388" width="67.08984375" style="44" bestFit="1" customWidth="1"/>
    <col min="11389" max="11389" width="76.54296875" style="44" bestFit="1" customWidth="1"/>
    <col min="11390" max="11390" width="94.08984375" style="44" bestFit="1" customWidth="1"/>
    <col min="11391" max="11391" width="89.08984375" style="44" bestFit="1" customWidth="1"/>
    <col min="11392" max="11392" width="68.1796875" style="44" bestFit="1" customWidth="1"/>
    <col min="11393" max="11393" width="91.7265625" style="44" bestFit="1" customWidth="1"/>
    <col min="11394" max="11394" width="63.36328125" style="44" bestFit="1" customWidth="1"/>
    <col min="11395" max="11395" width="66.6328125" style="44" bestFit="1" customWidth="1"/>
    <col min="11396" max="11396" width="63.36328125" style="44" bestFit="1" customWidth="1"/>
    <col min="11397" max="11397" width="63.453125" style="44" bestFit="1" customWidth="1"/>
    <col min="11398" max="11398" width="87.54296875" style="44" bestFit="1" customWidth="1"/>
    <col min="11399" max="11399" width="93.81640625" style="44" bestFit="1" customWidth="1"/>
    <col min="11400" max="11400" width="66.453125" style="44" bestFit="1" customWidth="1"/>
    <col min="11401" max="11402" width="110" style="44" bestFit="1" customWidth="1"/>
    <col min="11403" max="11403" width="103.1796875" style="44" bestFit="1" customWidth="1"/>
    <col min="11404" max="11404" width="62.453125" style="44" bestFit="1" customWidth="1"/>
    <col min="11405" max="11405" width="77.453125" style="44" bestFit="1" customWidth="1"/>
    <col min="11406" max="11406" width="91.54296875" style="44" bestFit="1" customWidth="1"/>
    <col min="11407" max="11407" width="88.08984375" style="44" bestFit="1" customWidth="1"/>
    <col min="11408" max="11408" width="80.6328125" style="44" bestFit="1" customWidth="1"/>
    <col min="11409" max="11409" width="77.453125" style="44" bestFit="1" customWidth="1"/>
    <col min="11410" max="11410" width="85.1796875" style="44" bestFit="1" customWidth="1"/>
    <col min="11411" max="11414" width="72.36328125" style="44" bestFit="1" customWidth="1"/>
    <col min="11415" max="11416" width="95" style="44" bestFit="1" customWidth="1"/>
    <col min="11417" max="11417" width="64.08984375" style="44" bestFit="1" customWidth="1"/>
    <col min="11418" max="11418" width="110.08984375" style="44" bestFit="1" customWidth="1"/>
    <col min="11419" max="11419" width="86.36328125" style="44" bestFit="1" customWidth="1"/>
    <col min="11420" max="11420" width="89.36328125" style="44" bestFit="1" customWidth="1"/>
    <col min="11421" max="11421" width="89.81640625" style="44" bestFit="1" customWidth="1"/>
    <col min="11422" max="11422" width="64.26953125" style="44" bestFit="1" customWidth="1"/>
    <col min="11423" max="11423" width="85.7265625" style="44" bestFit="1" customWidth="1"/>
    <col min="11424" max="11424" width="73" style="44" bestFit="1" customWidth="1"/>
    <col min="11425" max="11425" width="92.7265625" style="44" bestFit="1" customWidth="1"/>
    <col min="11426" max="11426" width="92.36328125" style="44" bestFit="1" customWidth="1"/>
    <col min="11427" max="11427" width="72" style="44" bestFit="1" customWidth="1"/>
    <col min="11428" max="11428" width="82" style="44" bestFit="1" customWidth="1"/>
    <col min="11429" max="11429" width="79.36328125" style="44" bestFit="1" customWidth="1"/>
    <col min="11430" max="11430" width="81" style="44" bestFit="1" customWidth="1"/>
    <col min="11431" max="11431" width="72.90625" style="44" bestFit="1" customWidth="1"/>
    <col min="11432" max="11432" width="90.81640625" style="44" bestFit="1" customWidth="1"/>
    <col min="11433" max="11433" width="84" style="44" bestFit="1" customWidth="1"/>
    <col min="11434" max="11435" width="73.36328125" style="44" bestFit="1" customWidth="1"/>
    <col min="11436" max="11436" width="90.6328125" style="44" bestFit="1" customWidth="1"/>
    <col min="11437" max="11437" width="89.453125" style="44" bestFit="1" customWidth="1"/>
    <col min="11438" max="11438" width="84.6328125" style="44" bestFit="1" customWidth="1"/>
    <col min="11439" max="11439" width="74.54296875" style="44" bestFit="1" customWidth="1"/>
    <col min="11440" max="11440" width="76.90625" style="44" bestFit="1" customWidth="1"/>
    <col min="11441" max="11441" width="83" style="44" bestFit="1" customWidth="1"/>
    <col min="11442" max="11442" width="85.81640625" style="44" bestFit="1" customWidth="1"/>
    <col min="11443" max="11443" width="83.7265625" style="44" bestFit="1" customWidth="1"/>
    <col min="11444" max="11444" width="79.54296875" style="44" bestFit="1" customWidth="1"/>
    <col min="11445" max="11445" width="80.54296875" style="44" bestFit="1" customWidth="1"/>
    <col min="11446" max="11446" width="89.54296875" style="44" bestFit="1" customWidth="1"/>
    <col min="11447" max="11447" width="85.36328125" style="44" bestFit="1" customWidth="1"/>
    <col min="11448" max="11448" width="61.6328125" style="44" bestFit="1" customWidth="1"/>
    <col min="11449" max="11449" width="132.54296875" style="44" bestFit="1" customWidth="1"/>
    <col min="11450" max="11450" width="93.1796875" style="44" bestFit="1" customWidth="1"/>
    <col min="11451" max="11451" width="91.08984375" style="44" bestFit="1" customWidth="1"/>
    <col min="11452" max="11452" width="81.7265625" style="44" bestFit="1" customWidth="1"/>
    <col min="11453" max="11454" width="80.90625" style="44" bestFit="1" customWidth="1"/>
    <col min="11455" max="11455" width="83.26953125" style="44" bestFit="1" customWidth="1"/>
    <col min="11456" max="11456" width="101.453125" style="44" bestFit="1" customWidth="1"/>
    <col min="11457" max="11457" width="110.1796875" style="44" bestFit="1" customWidth="1"/>
    <col min="11458" max="11458" width="74.6328125" style="44" bestFit="1" customWidth="1"/>
    <col min="11459" max="11462" width="84.54296875" style="44" bestFit="1" customWidth="1"/>
    <col min="11463" max="11463" width="74.36328125" style="44" bestFit="1" customWidth="1"/>
    <col min="11464" max="11464" width="88.1796875" style="44" bestFit="1" customWidth="1"/>
    <col min="11465" max="11465" width="78.6328125" style="44" bestFit="1" customWidth="1"/>
    <col min="11466" max="11466" width="76.81640625" style="44" bestFit="1" customWidth="1"/>
    <col min="11467" max="11467" width="74.7265625" style="44" bestFit="1" customWidth="1"/>
    <col min="11468" max="11468" width="87.26953125" style="44" bestFit="1" customWidth="1"/>
    <col min="11469" max="11469" width="85.54296875" style="44" bestFit="1" customWidth="1"/>
    <col min="11470" max="11470" width="100.26953125" style="44" bestFit="1" customWidth="1"/>
    <col min="11471" max="11471" width="71.36328125" style="44" bestFit="1" customWidth="1"/>
    <col min="11472" max="11472" width="105.453125" style="44" bestFit="1" customWidth="1"/>
    <col min="11473" max="11473" width="103.08984375" style="44" bestFit="1" customWidth="1"/>
    <col min="11474" max="11474" width="85.7265625" style="44" bestFit="1" customWidth="1"/>
    <col min="11475" max="11475" width="99.26953125" style="44" bestFit="1" customWidth="1"/>
    <col min="11476" max="11476" width="83.54296875" style="44" bestFit="1" customWidth="1"/>
    <col min="11477" max="11477" width="96.90625" style="44" bestFit="1" customWidth="1"/>
    <col min="11478" max="11478" width="74.26953125" style="44" bestFit="1" customWidth="1"/>
    <col min="11479" max="11479" width="98.36328125" style="44" bestFit="1" customWidth="1"/>
    <col min="11480" max="11480" width="74.453125" style="44" bestFit="1" customWidth="1"/>
    <col min="11481" max="11481" width="88.81640625" style="44" bestFit="1" customWidth="1"/>
    <col min="11482" max="11482" width="67.6328125" style="44" bestFit="1" customWidth="1"/>
    <col min="11483" max="11483" width="93.08984375" style="44" bestFit="1" customWidth="1"/>
    <col min="11484" max="11484" width="101.453125" style="44" bestFit="1" customWidth="1"/>
    <col min="11485" max="11487" width="76.81640625" style="44" bestFit="1" customWidth="1"/>
    <col min="11488" max="11488" width="87.08984375" style="44" bestFit="1" customWidth="1"/>
    <col min="11489" max="11489" width="72.453125" style="44" bestFit="1" customWidth="1"/>
    <col min="11490" max="11490" width="87.81640625" style="44" bestFit="1" customWidth="1"/>
    <col min="11491" max="11491" width="71.7265625" style="44" bestFit="1" customWidth="1"/>
    <col min="11492" max="11492" width="74" style="44" bestFit="1" customWidth="1"/>
    <col min="11493" max="11493" width="74.08984375" style="44" bestFit="1" customWidth="1"/>
    <col min="11494" max="11496" width="86.81640625" style="44" bestFit="1" customWidth="1"/>
    <col min="11497" max="11497" width="104.7265625" style="44" bestFit="1" customWidth="1"/>
    <col min="11498" max="11498" width="101.81640625" style="44" bestFit="1" customWidth="1"/>
    <col min="11499" max="11499" width="64.453125" style="44" bestFit="1" customWidth="1"/>
    <col min="11500" max="11500" width="65.1796875" style="44" bestFit="1" customWidth="1"/>
    <col min="11501" max="11501" width="72.453125" style="44" bestFit="1" customWidth="1"/>
    <col min="11502" max="11502" width="81.36328125" style="44" bestFit="1" customWidth="1"/>
    <col min="11503" max="11503" width="65.1796875" style="44" bestFit="1" customWidth="1"/>
    <col min="11504" max="11504" width="80.90625" style="44" bestFit="1" customWidth="1"/>
    <col min="11505" max="11505" width="71.7265625" style="44" bestFit="1" customWidth="1"/>
    <col min="11506" max="11506" width="73.6328125" style="44" bestFit="1" customWidth="1"/>
    <col min="11507" max="11508" width="85.36328125" style="44" bestFit="1" customWidth="1"/>
    <col min="11509" max="11509" width="92.26953125" style="44" bestFit="1" customWidth="1"/>
    <col min="11510" max="11510" width="106.1796875" style="44" bestFit="1" customWidth="1"/>
    <col min="11511" max="11511" width="86.6328125" style="44" bestFit="1" customWidth="1"/>
    <col min="11512" max="11513" width="68.90625" style="44" bestFit="1" customWidth="1"/>
    <col min="11514" max="11514" width="80.54296875" style="44" bestFit="1" customWidth="1"/>
    <col min="11515" max="11515" width="68.90625" style="44" bestFit="1" customWidth="1"/>
    <col min="11516" max="11516" width="79.1796875" style="44" bestFit="1" customWidth="1"/>
    <col min="11517" max="11517" width="79.26953125" style="44" bestFit="1" customWidth="1"/>
    <col min="11518" max="11518" width="80.1796875" style="44" bestFit="1" customWidth="1"/>
    <col min="11519" max="11519" width="84.81640625" style="44" bestFit="1" customWidth="1"/>
    <col min="11520" max="11520" width="76.81640625" style="44" bestFit="1" customWidth="1"/>
    <col min="11521" max="11521" width="7.90625" style="44" bestFit="1" customWidth="1"/>
    <col min="11522" max="11522" width="132.54296875" style="44" bestFit="1" customWidth="1"/>
    <col min="11523" max="11523" width="45.36328125" style="44" bestFit="1" customWidth="1"/>
    <col min="11524" max="11524" width="14.08984375" style="44" bestFit="1" customWidth="1"/>
    <col min="11525" max="11526" width="8.7265625" style="44"/>
    <col min="11527" max="11527" width="49.7265625" style="44" bestFit="1" customWidth="1"/>
    <col min="11528" max="11528" width="7.90625" style="44" bestFit="1" customWidth="1"/>
    <col min="11529" max="11529" width="7.81640625" style="44" bestFit="1" customWidth="1"/>
    <col min="11530" max="11541" width="8.81640625" style="44" bestFit="1" customWidth="1"/>
    <col min="11542" max="11542" width="10.81640625" style="44" bestFit="1" customWidth="1"/>
    <col min="11543" max="11543" width="93.36328125" style="44" bestFit="1" customWidth="1"/>
    <col min="11544" max="11544" width="87.6328125" style="44" bestFit="1" customWidth="1"/>
    <col min="11545" max="11545" width="69.26953125" style="44" bestFit="1" customWidth="1"/>
    <col min="11546" max="11546" width="68.54296875" style="44" bestFit="1" customWidth="1"/>
    <col min="11547" max="11547" width="67.6328125" style="44" bestFit="1" customWidth="1"/>
    <col min="11548" max="11548" width="64" style="44" bestFit="1" customWidth="1"/>
    <col min="11549" max="11549" width="43.81640625" style="44" bestFit="1" customWidth="1"/>
    <col min="11550" max="11550" width="39.81640625" style="44" bestFit="1" customWidth="1"/>
    <col min="11551" max="11551" width="85.26953125" style="44" bestFit="1" customWidth="1"/>
    <col min="11552" max="11552" width="84.08984375" style="44" bestFit="1" customWidth="1"/>
    <col min="11553" max="11553" width="91" style="44" bestFit="1" customWidth="1"/>
    <col min="11554" max="11554" width="79" style="44" bestFit="1" customWidth="1"/>
    <col min="11555" max="11555" width="89.90625" style="44" bestFit="1" customWidth="1"/>
    <col min="11556" max="11562" width="90.90625" style="44" bestFit="1" customWidth="1"/>
    <col min="11563" max="11563" width="91.90625" style="44" bestFit="1" customWidth="1"/>
    <col min="11564" max="11564" width="73.08984375" style="44" bestFit="1" customWidth="1"/>
    <col min="11565" max="11565" width="61.1796875" style="44" bestFit="1" customWidth="1"/>
    <col min="11566" max="11566" width="94.1796875" style="44" bestFit="1" customWidth="1"/>
    <col min="11567" max="11567" width="84.453125" style="44" bestFit="1" customWidth="1"/>
    <col min="11568" max="11568" width="86.81640625" style="44" bestFit="1" customWidth="1"/>
    <col min="11569" max="11569" width="90.08984375" style="44" bestFit="1" customWidth="1"/>
    <col min="11570" max="11570" width="86.7265625" style="44" bestFit="1" customWidth="1"/>
    <col min="11571" max="11571" width="87.6328125" style="44" bestFit="1" customWidth="1"/>
    <col min="11572" max="11574" width="97.6328125" style="44" bestFit="1" customWidth="1"/>
    <col min="11575" max="11575" width="72.54296875" style="44" bestFit="1" customWidth="1"/>
    <col min="11576" max="11576" width="73.6328125" style="44" bestFit="1" customWidth="1"/>
    <col min="11577" max="11577" width="58.6328125" style="44" bestFit="1" customWidth="1"/>
    <col min="11578" max="11579" width="74.08984375" style="44" bestFit="1" customWidth="1"/>
    <col min="11580" max="11580" width="75.54296875" style="44" bestFit="1" customWidth="1"/>
    <col min="11581" max="11581" width="92" style="44" bestFit="1" customWidth="1"/>
    <col min="11582" max="11582" width="93.54296875" style="44" bestFit="1" customWidth="1"/>
    <col min="11583" max="11584" width="75.54296875" style="44" bestFit="1" customWidth="1"/>
    <col min="11585" max="11585" width="78.08984375" style="44" bestFit="1" customWidth="1"/>
    <col min="11586" max="11586" width="70" style="44" bestFit="1" customWidth="1"/>
    <col min="11587" max="11587" width="84.81640625" style="44" bestFit="1" customWidth="1"/>
    <col min="11588" max="11588" width="93" style="44" bestFit="1" customWidth="1"/>
    <col min="11589" max="11589" width="83.453125" style="44" bestFit="1" customWidth="1"/>
    <col min="11590" max="11590" width="100.90625" style="44" bestFit="1" customWidth="1"/>
    <col min="11591" max="11593" width="64.54296875" style="44" bestFit="1" customWidth="1"/>
    <col min="11594" max="11595" width="82.7265625" style="44" bestFit="1" customWidth="1"/>
    <col min="11596" max="11596" width="99.453125" style="44" bestFit="1" customWidth="1"/>
    <col min="11597" max="11597" width="78.1796875" style="44" bestFit="1" customWidth="1"/>
    <col min="11598" max="11598" width="71.36328125" style="44" bestFit="1" customWidth="1"/>
    <col min="11599" max="11599" width="71.26953125" style="44" bestFit="1" customWidth="1"/>
    <col min="11600" max="11603" width="76.453125" style="44" bestFit="1" customWidth="1"/>
    <col min="11604" max="11604" width="70.54296875" style="44" bestFit="1" customWidth="1"/>
    <col min="11605" max="11605" width="63.36328125" style="44" bestFit="1" customWidth="1"/>
    <col min="11606" max="11606" width="97.81640625" style="44" bestFit="1" customWidth="1"/>
    <col min="11607" max="11608" width="73" style="44" bestFit="1" customWidth="1"/>
    <col min="11609" max="11609" width="79" style="44" bestFit="1" customWidth="1"/>
    <col min="11610" max="11610" width="73" style="44" bestFit="1" customWidth="1"/>
    <col min="11611" max="11611" width="82.1796875" style="44" bestFit="1" customWidth="1"/>
    <col min="11612" max="11612" width="61.453125" style="44" bestFit="1" customWidth="1"/>
    <col min="11613" max="11614" width="99.90625" style="44" bestFit="1" customWidth="1"/>
    <col min="11615" max="11615" width="100.36328125" style="44" bestFit="1" customWidth="1"/>
    <col min="11616" max="11616" width="84.453125" style="44" bestFit="1" customWidth="1"/>
    <col min="11617" max="11617" width="113.36328125" style="44" bestFit="1" customWidth="1"/>
    <col min="11618" max="11618" width="98.453125" style="44" bestFit="1" customWidth="1"/>
    <col min="11619" max="11619" width="99.7265625" style="44" bestFit="1" customWidth="1"/>
    <col min="11620" max="11620" width="99.54296875" style="44" bestFit="1" customWidth="1"/>
    <col min="11621" max="11621" width="96.81640625" style="44" bestFit="1" customWidth="1"/>
    <col min="11622" max="11622" width="94.08984375" style="44" bestFit="1" customWidth="1"/>
    <col min="11623" max="11623" width="100.453125" style="44" bestFit="1" customWidth="1"/>
    <col min="11624" max="11624" width="98.6328125" style="44" bestFit="1" customWidth="1"/>
    <col min="11625" max="11625" width="77.453125" style="44" bestFit="1" customWidth="1"/>
    <col min="11626" max="11626" width="95.1796875" style="44" bestFit="1" customWidth="1"/>
    <col min="11627" max="11627" width="86.6328125" style="44" bestFit="1" customWidth="1"/>
    <col min="11628" max="11628" width="77.26953125" style="44" bestFit="1" customWidth="1"/>
    <col min="11629" max="11629" width="85.1796875" style="44" bestFit="1" customWidth="1"/>
    <col min="11630" max="11630" width="74.7265625" style="44" bestFit="1" customWidth="1"/>
    <col min="11631" max="11631" width="92" style="44" bestFit="1" customWidth="1"/>
    <col min="11632" max="11632" width="72.26953125" style="44" bestFit="1" customWidth="1"/>
    <col min="11633" max="11633" width="97.08984375" style="44" bestFit="1" customWidth="1"/>
    <col min="11634" max="11634" width="77.08984375" style="44" bestFit="1" customWidth="1"/>
    <col min="11635" max="11635" width="85.08984375" style="44" bestFit="1" customWidth="1"/>
    <col min="11636" max="11637" width="83.1796875" style="44" bestFit="1" customWidth="1"/>
    <col min="11638" max="11638" width="82.6328125" style="44" bestFit="1" customWidth="1"/>
    <col min="11639" max="11639" width="86.26953125" style="44" bestFit="1" customWidth="1"/>
    <col min="11640" max="11640" width="71.1796875" style="44" bestFit="1" customWidth="1"/>
    <col min="11641" max="11641" width="66.6328125" style="44" bestFit="1" customWidth="1"/>
    <col min="11642" max="11643" width="83.1796875" style="44" bestFit="1" customWidth="1"/>
    <col min="11644" max="11644" width="67.08984375" style="44" bestFit="1" customWidth="1"/>
    <col min="11645" max="11645" width="76.54296875" style="44" bestFit="1" customWidth="1"/>
    <col min="11646" max="11646" width="94.08984375" style="44" bestFit="1" customWidth="1"/>
    <col min="11647" max="11647" width="89.08984375" style="44" bestFit="1" customWidth="1"/>
    <col min="11648" max="11648" width="68.1796875" style="44" bestFit="1" customWidth="1"/>
    <col min="11649" max="11649" width="91.7265625" style="44" bestFit="1" customWidth="1"/>
    <col min="11650" max="11650" width="63.36328125" style="44" bestFit="1" customWidth="1"/>
    <col min="11651" max="11651" width="66.6328125" style="44" bestFit="1" customWidth="1"/>
    <col min="11652" max="11652" width="63.36328125" style="44" bestFit="1" customWidth="1"/>
    <col min="11653" max="11653" width="63.453125" style="44" bestFit="1" customWidth="1"/>
    <col min="11654" max="11654" width="87.54296875" style="44" bestFit="1" customWidth="1"/>
    <col min="11655" max="11655" width="93.81640625" style="44" bestFit="1" customWidth="1"/>
    <col min="11656" max="11656" width="66.453125" style="44" bestFit="1" customWidth="1"/>
    <col min="11657" max="11658" width="110" style="44" bestFit="1" customWidth="1"/>
    <col min="11659" max="11659" width="103.1796875" style="44" bestFit="1" customWidth="1"/>
    <col min="11660" max="11660" width="62.453125" style="44" bestFit="1" customWidth="1"/>
    <col min="11661" max="11661" width="77.453125" style="44" bestFit="1" customWidth="1"/>
    <col min="11662" max="11662" width="91.54296875" style="44" bestFit="1" customWidth="1"/>
    <col min="11663" max="11663" width="88.08984375" style="44" bestFit="1" customWidth="1"/>
    <col min="11664" max="11664" width="80.6328125" style="44" bestFit="1" customWidth="1"/>
    <col min="11665" max="11665" width="77.453125" style="44" bestFit="1" customWidth="1"/>
    <col min="11666" max="11666" width="85.1796875" style="44" bestFit="1" customWidth="1"/>
    <col min="11667" max="11670" width="72.36328125" style="44" bestFit="1" customWidth="1"/>
    <col min="11671" max="11672" width="95" style="44" bestFit="1" customWidth="1"/>
    <col min="11673" max="11673" width="64.08984375" style="44" bestFit="1" customWidth="1"/>
    <col min="11674" max="11674" width="110.08984375" style="44" bestFit="1" customWidth="1"/>
    <col min="11675" max="11675" width="86.36328125" style="44" bestFit="1" customWidth="1"/>
    <col min="11676" max="11676" width="89.36328125" style="44" bestFit="1" customWidth="1"/>
    <col min="11677" max="11677" width="89.81640625" style="44" bestFit="1" customWidth="1"/>
    <col min="11678" max="11678" width="64.26953125" style="44" bestFit="1" customWidth="1"/>
    <col min="11679" max="11679" width="85.7265625" style="44" bestFit="1" customWidth="1"/>
    <col min="11680" max="11680" width="73" style="44" bestFit="1" customWidth="1"/>
    <col min="11681" max="11681" width="92.7265625" style="44" bestFit="1" customWidth="1"/>
    <col min="11682" max="11682" width="92.36328125" style="44" bestFit="1" customWidth="1"/>
    <col min="11683" max="11683" width="72" style="44" bestFit="1" customWidth="1"/>
    <col min="11684" max="11684" width="82" style="44" bestFit="1" customWidth="1"/>
    <col min="11685" max="11685" width="79.36328125" style="44" bestFit="1" customWidth="1"/>
    <col min="11686" max="11686" width="81" style="44" bestFit="1" customWidth="1"/>
    <col min="11687" max="11687" width="72.90625" style="44" bestFit="1" customWidth="1"/>
    <col min="11688" max="11688" width="90.81640625" style="44" bestFit="1" customWidth="1"/>
    <col min="11689" max="11689" width="84" style="44" bestFit="1" customWidth="1"/>
    <col min="11690" max="11691" width="73.36328125" style="44" bestFit="1" customWidth="1"/>
    <col min="11692" max="11692" width="90.6328125" style="44" bestFit="1" customWidth="1"/>
    <col min="11693" max="11693" width="89.453125" style="44" bestFit="1" customWidth="1"/>
    <col min="11694" max="11694" width="84.6328125" style="44" bestFit="1" customWidth="1"/>
    <col min="11695" max="11695" width="74.54296875" style="44" bestFit="1" customWidth="1"/>
    <col min="11696" max="11696" width="76.90625" style="44" bestFit="1" customWidth="1"/>
    <col min="11697" max="11697" width="83" style="44" bestFit="1" customWidth="1"/>
    <col min="11698" max="11698" width="85.81640625" style="44" bestFit="1" customWidth="1"/>
    <col min="11699" max="11699" width="83.7265625" style="44" bestFit="1" customWidth="1"/>
    <col min="11700" max="11700" width="79.54296875" style="44" bestFit="1" customWidth="1"/>
    <col min="11701" max="11701" width="80.54296875" style="44" bestFit="1" customWidth="1"/>
    <col min="11702" max="11702" width="89.54296875" style="44" bestFit="1" customWidth="1"/>
    <col min="11703" max="11703" width="85.36328125" style="44" bestFit="1" customWidth="1"/>
    <col min="11704" max="11704" width="61.6328125" style="44" bestFit="1" customWidth="1"/>
    <col min="11705" max="11705" width="132.54296875" style="44" bestFit="1" customWidth="1"/>
    <col min="11706" max="11706" width="93.1796875" style="44" bestFit="1" customWidth="1"/>
    <col min="11707" max="11707" width="91.08984375" style="44" bestFit="1" customWidth="1"/>
    <col min="11708" max="11708" width="81.7265625" style="44" bestFit="1" customWidth="1"/>
    <col min="11709" max="11710" width="80.90625" style="44" bestFit="1" customWidth="1"/>
    <col min="11711" max="11711" width="83.26953125" style="44" bestFit="1" customWidth="1"/>
    <col min="11712" max="11712" width="101.453125" style="44" bestFit="1" customWidth="1"/>
    <col min="11713" max="11713" width="110.1796875" style="44" bestFit="1" customWidth="1"/>
    <col min="11714" max="11714" width="74.6328125" style="44" bestFit="1" customWidth="1"/>
    <col min="11715" max="11718" width="84.54296875" style="44" bestFit="1" customWidth="1"/>
    <col min="11719" max="11719" width="74.36328125" style="44" bestFit="1" customWidth="1"/>
    <col min="11720" max="11720" width="88.1796875" style="44" bestFit="1" customWidth="1"/>
    <col min="11721" max="11721" width="78.6328125" style="44" bestFit="1" customWidth="1"/>
    <col min="11722" max="11722" width="76.81640625" style="44" bestFit="1" customWidth="1"/>
    <col min="11723" max="11723" width="74.7265625" style="44" bestFit="1" customWidth="1"/>
    <col min="11724" max="11724" width="87.26953125" style="44" bestFit="1" customWidth="1"/>
    <col min="11725" max="11725" width="85.54296875" style="44" bestFit="1" customWidth="1"/>
    <col min="11726" max="11726" width="100.26953125" style="44" bestFit="1" customWidth="1"/>
    <col min="11727" max="11727" width="71.36328125" style="44" bestFit="1" customWidth="1"/>
    <col min="11728" max="11728" width="105.453125" style="44" bestFit="1" customWidth="1"/>
    <col min="11729" max="11729" width="103.08984375" style="44" bestFit="1" customWidth="1"/>
    <col min="11730" max="11730" width="85.7265625" style="44" bestFit="1" customWidth="1"/>
    <col min="11731" max="11731" width="99.26953125" style="44" bestFit="1" customWidth="1"/>
    <col min="11732" max="11732" width="83.54296875" style="44" bestFit="1" customWidth="1"/>
    <col min="11733" max="11733" width="96.90625" style="44" bestFit="1" customWidth="1"/>
    <col min="11734" max="11734" width="74.26953125" style="44" bestFit="1" customWidth="1"/>
    <col min="11735" max="11735" width="98.36328125" style="44" bestFit="1" customWidth="1"/>
    <col min="11736" max="11736" width="74.453125" style="44" bestFit="1" customWidth="1"/>
    <col min="11737" max="11737" width="88.81640625" style="44" bestFit="1" customWidth="1"/>
    <col min="11738" max="11738" width="67.6328125" style="44" bestFit="1" customWidth="1"/>
    <col min="11739" max="11739" width="93.08984375" style="44" bestFit="1" customWidth="1"/>
    <col min="11740" max="11740" width="101.453125" style="44" bestFit="1" customWidth="1"/>
    <col min="11741" max="11743" width="76.81640625" style="44" bestFit="1" customWidth="1"/>
    <col min="11744" max="11744" width="87.08984375" style="44" bestFit="1" customWidth="1"/>
    <col min="11745" max="11745" width="72.453125" style="44" bestFit="1" customWidth="1"/>
    <col min="11746" max="11746" width="87.81640625" style="44" bestFit="1" customWidth="1"/>
    <col min="11747" max="11747" width="71.7265625" style="44" bestFit="1" customWidth="1"/>
    <col min="11748" max="11748" width="74" style="44" bestFit="1" customWidth="1"/>
    <col min="11749" max="11749" width="74.08984375" style="44" bestFit="1" customWidth="1"/>
    <col min="11750" max="11752" width="86.81640625" style="44" bestFit="1" customWidth="1"/>
    <col min="11753" max="11753" width="104.7265625" style="44" bestFit="1" customWidth="1"/>
    <col min="11754" max="11754" width="101.81640625" style="44" bestFit="1" customWidth="1"/>
    <col min="11755" max="11755" width="64.453125" style="44" bestFit="1" customWidth="1"/>
    <col min="11756" max="11756" width="65.1796875" style="44" bestFit="1" customWidth="1"/>
    <col min="11757" max="11757" width="72.453125" style="44" bestFit="1" customWidth="1"/>
    <col min="11758" max="11758" width="81.36328125" style="44" bestFit="1" customWidth="1"/>
    <col min="11759" max="11759" width="65.1796875" style="44" bestFit="1" customWidth="1"/>
    <col min="11760" max="11760" width="80.90625" style="44" bestFit="1" customWidth="1"/>
    <col min="11761" max="11761" width="71.7265625" style="44" bestFit="1" customWidth="1"/>
    <col min="11762" max="11762" width="73.6328125" style="44" bestFit="1" customWidth="1"/>
    <col min="11763" max="11764" width="85.36328125" style="44" bestFit="1" customWidth="1"/>
    <col min="11765" max="11765" width="92.26953125" style="44" bestFit="1" customWidth="1"/>
    <col min="11766" max="11766" width="106.1796875" style="44" bestFit="1" customWidth="1"/>
    <col min="11767" max="11767" width="86.6328125" style="44" bestFit="1" customWidth="1"/>
    <col min="11768" max="11769" width="68.90625" style="44" bestFit="1" customWidth="1"/>
    <col min="11770" max="11770" width="80.54296875" style="44" bestFit="1" customWidth="1"/>
    <col min="11771" max="11771" width="68.90625" style="44" bestFit="1" customWidth="1"/>
    <col min="11772" max="11772" width="79.1796875" style="44" bestFit="1" customWidth="1"/>
    <col min="11773" max="11773" width="79.26953125" style="44" bestFit="1" customWidth="1"/>
    <col min="11774" max="11774" width="80.1796875" style="44" bestFit="1" customWidth="1"/>
    <col min="11775" max="11775" width="84.81640625" style="44" bestFit="1" customWidth="1"/>
    <col min="11776" max="11776" width="76.81640625" style="44" bestFit="1" customWidth="1"/>
    <col min="11777" max="11777" width="7.90625" style="44" bestFit="1" customWidth="1"/>
    <col min="11778" max="11778" width="132.54296875" style="44" bestFit="1" customWidth="1"/>
    <col min="11779" max="11779" width="45.36328125" style="44" bestFit="1" customWidth="1"/>
    <col min="11780" max="11780" width="14.08984375" style="44" bestFit="1" customWidth="1"/>
    <col min="11781" max="11782" width="8.7265625" style="44"/>
    <col min="11783" max="11783" width="49.7265625" style="44" bestFit="1" customWidth="1"/>
    <col min="11784" max="11784" width="7.90625" style="44" bestFit="1" customWidth="1"/>
    <col min="11785" max="11785" width="7.81640625" style="44" bestFit="1" customWidth="1"/>
    <col min="11786" max="11797" width="8.81640625" style="44" bestFit="1" customWidth="1"/>
    <col min="11798" max="11798" width="10.81640625" style="44" bestFit="1" customWidth="1"/>
    <col min="11799" max="11799" width="93.36328125" style="44" bestFit="1" customWidth="1"/>
    <col min="11800" max="11800" width="87.6328125" style="44" bestFit="1" customWidth="1"/>
    <col min="11801" max="11801" width="69.26953125" style="44" bestFit="1" customWidth="1"/>
    <col min="11802" max="11802" width="68.54296875" style="44" bestFit="1" customWidth="1"/>
    <col min="11803" max="11803" width="67.6328125" style="44" bestFit="1" customWidth="1"/>
    <col min="11804" max="11804" width="64" style="44" bestFit="1" customWidth="1"/>
    <col min="11805" max="11805" width="43.81640625" style="44" bestFit="1" customWidth="1"/>
    <col min="11806" max="11806" width="39.81640625" style="44" bestFit="1" customWidth="1"/>
    <col min="11807" max="11807" width="85.26953125" style="44" bestFit="1" customWidth="1"/>
    <col min="11808" max="11808" width="84.08984375" style="44" bestFit="1" customWidth="1"/>
    <col min="11809" max="11809" width="91" style="44" bestFit="1" customWidth="1"/>
    <col min="11810" max="11810" width="79" style="44" bestFit="1" customWidth="1"/>
    <col min="11811" max="11811" width="89.90625" style="44" bestFit="1" customWidth="1"/>
    <col min="11812" max="11818" width="90.90625" style="44" bestFit="1" customWidth="1"/>
    <col min="11819" max="11819" width="91.90625" style="44" bestFit="1" customWidth="1"/>
    <col min="11820" max="11820" width="73.08984375" style="44" bestFit="1" customWidth="1"/>
    <col min="11821" max="11821" width="61.1796875" style="44" bestFit="1" customWidth="1"/>
    <col min="11822" max="11822" width="94.1796875" style="44" bestFit="1" customWidth="1"/>
    <col min="11823" max="11823" width="84.453125" style="44" bestFit="1" customWidth="1"/>
    <col min="11824" max="11824" width="86.81640625" style="44" bestFit="1" customWidth="1"/>
    <col min="11825" max="11825" width="90.08984375" style="44" bestFit="1" customWidth="1"/>
    <col min="11826" max="11826" width="86.7265625" style="44" bestFit="1" customWidth="1"/>
    <col min="11827" max="11827" width="87.6328125" style="44" bestFit="1" customWidth="1"/>
    <col min="11828" max="11830" width="97.6328125" style="44" bestFit="1" customWidth="1"/>
    <col min="11831" max="11831" width="72.54296875" style="44" bestFit="1" customWidth="1"/>
    <col min="11832" max="11832" width="73.6328125" style="44" bestFit="1" customWidth="1"/>
    <col min="11833" max="11833" width="58.6328125" style="44" bestFit="1" customWidth="1"/>
    <col min="11834" max="11835" width="74.08984375" style="44" bestFit="1" customWidth="1"/>
    <col min="11836" max="11836" width="75.54296875" style="44" bestFit="1" customWidth="1"/>
    <col min="11837" max="11837" width="92" style="44" bestFit="1" customWidth="1"/>
    <col min="11838" max="11838" width="93.54296875" style="44" bestFit="1" customWidth="1"/>
    <col min="11839" max="11840" width="75.54296875" style="44" bestFit="1" customWidth="1"/>
    <col min="11841" max="11841" width="78.08984375" style="44" bestFit="1" customWidth="1"/>
    <col min="11842" max="11842" width="70" style="44" bestFit="1" customWidth="1"/>
    <col min="11843" max="11843" width="84.81640625" style="44" bestFit="1" customWidth="1"/>
    <col min="11844" max="11844" width="93" style="44" bestFit="1" customWidth="1"/>
    <col min="11845" max="11845" width="83.453125" style="44" bestFit="1" customWidth="1"/>
    <col min="11846" max="11846" width="100.90625" style="44" bestFit="1" customWidth="1"/>
    <col min="11847" max="11849" width="64.54296875" style="44" bestFit="1" customWidth="1"/>
    <col min="11850" max="11851" width="82.7265625" style="44" bestFit="1" customWidth="1"/>
    <col min="11852" max="11852" width="99.453125" style="44" bestFit="1" customWidth="1"/>
    <col min="11853" max="11853" width="78.1796875" style="44" bestFit="1" customWidth="1"/>
    <col min="11854" max="11854" width="71.36328125" style="44" bestFit="1" customWidth="1"/>
    <col min="11855" max="11855" width="71.26953125" style="44" bestFit="1" customWidth="1"/>
    <col min="11856" max="11859" width="76.453125" style="44" bestFit="1" customWidth="1"/>
    <col min="11860" max="11860" width="70.54296875" style="44" bestFit="1" customWidth="1"/>
    <col min="11861" max="11861" width="63.36328125" style="44" bestFit="1" customWidth="1"/>
    <col min="11862" max="11862" width="97.81640625" style="44" bestFit="1" customWidth="1"/>
    <col min="11863" max="11864" width="73" style="44" bestFit="1" customWidth="1"/>
    <col min="11865" max="11865" width="79" style="44" bestFit="1" customWidth="1"/>
    <col min="11866" max="11866" width="73" style="44" bestFit="1" customWidth="1"/>
    <col min="11867" max="11867" width="82.1796875" style="44" bestFit="1" customWidth="1"/>
    <col min="11868" max="11868" width="61.453125" style="44" bestFit="1" customWidth="1"/>
    <col min="11869" max="11870" width="99.90625" style="44" bestFit="1" customWidth="1"/>
    <col min="11871" max="11871" width="100.36328125" style="44" bestFit="1" customWidth="1"/>
    <col min="11872" max="11872" width="84.453125" style="44" bestFit="1" customWidth="1"/>
    <col min="11873" max="11873" width="113.36328125" style="44" bestFit="1" customWidth="1"/>
    <col min="11874" max="11874" width="98.453125" style="44" bestFit="1" customWidth="1"/>
    <col min="11875" max="11875" width="99.7265625" style="44" bestFit="1" customWidth="1"/>
    <col min="11876" max="11876" width="99.54296875" style="44" bestFit="1" customWidth="1"/>
    <col min="11877" max="11877" width="96.81640625" style="44" bestFit="1" customWidth="1"/>
    <col min="11878" max="11878" width="94.08984375" style="44" bestFit="1" customWidth="1"/>
    <col min="11879" max="11879" width="100.453125" style="44" bestFit="1" customWidth="1"/>
    <col min="11880" max="11880" width="98.6328125" style="44" bestFit="1" customWidth="1"/>
    <col min="11881" max="11881" width="77.453125" style="44" bestFit="1" customWidth="1"/>
    <col min="11882" max="11882" width="95.1796875" style="44" bestFit="1" customWidth="1"/>
    <col min="11883" max="11883" width="86.6328125" style="44" bestFit="1" customWidth="1"/>
    <col min="11884" max="11884" width="77.26953125" style="44" bestFit="1" customWidth="1"/>
    <col min="11885" max="11885" width="85.1796875" style="44" bestFit="1" customWidth="1"/>
    <col min="11886" max="11886" width="74.7265625" style="44" bestFit="1" customWidth="1"/>
    <col min="11887" max="11887" width="92" style="44" bestFit="1" customWidth="1"/>
    <col min="11888" max="11888" width="72.26953125" style="44" bestFit="1" customWidth="1"/>
    <col min="11889" max="11889" width="97.08984375" style="44" bestFit="1" customWidth="1"/>
    <col min="11890" max="11890" width="77.08984375" style="44" bestFit="1" customWidth="1"/>
    <col min="11891" max="11891" width="85.08984375" style="44" bestFit="1" customWidth="1"/>
    <col min="11892" max="11893" width="83.1796875" style="44" bestFit="1" customWidth="1"/>
    <col min="11894" max="11894" width="82.6328125" style="44" bestFit="1" customWidth="1"/>
    <col min="11895" max="11895" width="86.26953125" style="44" bestFit="1" customWidth="1"/>
    <col min="11896" max="11896" width="71.1796875" style="44" bestFit="1" customWidth="1"/>
    <col min="11897" max="11897" width="66.6328125" style="44" bestFit="1" customWidth="1"/>
    <col min="11898" max="11899" width="83.1796875" style="44" bestFit="1" customWidth="1"/>
    <col min="11900" max="11900" width="67.08984375" style="44" bestFit="1" customWidth="1"/>
    <col min="11901" max="11901" width="76.54296875" style="44" bestFit="1" customWidth="1"/>
    <col min="11902" max="11902" width="94.08984375" style="44" bestFit="1" customWidth="1"/>
    <col min="11903" max="11903" width="89.08984375" style="44" bestFit="1" customWidth="1"/>
    <col min="11904" max="11904" width="68.1796875" style="44" bestFit="1" customWidth="1"/>
    <col min="11905" max="11905" width="91.7265625" style="44" bestFit="1" customWidth="1"/>
    <col min="11906" max="11906" width="63.36328125" style="44" bestFit="1" customWidth="1"/>
    <col min="11907" max="11907" width="66.6328125" style="44" bestFit="1" customWidth="1"/>
    <col min="11908" max="11908" width="63.36328125" style="44" bestFit="1" customWidth="1"/>
    <col min="11909" max="11909" width="63.453125" style="44" bestFit="1" customWidth="1"/>
    <col min="11910" max="11910" width="87.54296875" style="44" bestFit="1" customWidth="1"/>
    <col min="11911" max="11911" width="93.81640625" style="44" bestFit="1" customWidth="1"/>
    <col min="11912" max="11912" width="66.453125" style="44" bestFit="1" customWidth="1"/>
    <col min="11913" max="11914" width="110" style="44" bestFit="1" customWidth="1"/>
    <col min="11915" max="11915" width="103.1796875" style="44" bestFit="1" customWidth="1"/>
    <col min="11916" max="11916" width="62.453125" style="44" bestFit="1" customWidth="1"/>
    <col min="11917" max="11917" width="77.453125" style="44" bestFit="1" customWidth="1"/>
    <col min="11918" max="11918" width="91.54296875" style="44" bestFit="1" customWidth="1"/>
    <col min="11919" max="11919" width="88.08984375" style="44" bestFit="1" customWidth="1"/>
    <col min="11920" max="11920" width="80.6328125" style="44" bestFit="1" customWidth="1"/>
    <col min="11921" max="11921" width="77.453125" style="44" bestFit="1" customWidth="1"/>
    <col min="11922" max="11922" width="85.1796875" style="44" bestFit="1" customWidth="1"/>
    <col min="11923" max="11926" width="72.36328125" style="44" bestFit="1" customWidth="1"/>
    <col min="11927" max="11928" width="95" style="44" bestFit="1" customWidth="1"/>
    <col min="11929" max="11929" width="64.08984375" style="44" bestFit="1" customWidth="1"/>
    <col min="11930" max="11930" width="110.08984375" style="44" bestFit="1" customWidth="1"/>
    <col min="11931" max="11931" width="86.36328125" style="44" bestFit="1" customWidth="1"/>
    <col min="11932" max="11932" width="89.36328125" style="44" bestFit="1" customWidth="1"/>
    <col min="11933" max="11933" width="89.81640625" style="44" bestFit="1" customWidth="1"/>
    <col min="11934" max="11934" width="64.26953125" style="44" bestFit="1" customWidth="1"/>
    <col min="11935" max="11935" width="85.7265625" style="44" bestFit="1" customWidth="1"/>
    <col min="11936" max="11936" width="73" style="44" bestFit="1" customWidth="1"/>
    <col min="11937" max="11937" width="92.7265625" style="44" bestFit="1" customWidth="1"/>
    <col min="11938" max="11938" width="92.36328125" style="44" bestFit="1" customWidth="1"/>
    <col min="11939" max="11939" width="72" style="44" bestFit="1" customWidth="1"/>
    <col min="11940" max="11940" width="82" style="44" bestFit="1" customWidth="1"/>
    <col min="11941" max="11941" width="79.36328125" style="44" bestFit="1" customWidth="1"/>
    <col min="11942" max="11942" width="81" style="44" bestFit="1" customWidth="1"/>
    <col min="11943" max="11943" width="72.90625" style="44" bestFit="1" customWidth="1"/>
    <col min="11944" max="11944" width="90.81640625" style="44" bestFit="1" customWidth="1"/>
    <col min="11945" max="11945" width="84" style="44" bestFit="1" customWidth="1"/>
    <col min="11946" max="11947" width="73.36328125" style="44" bestFit="1" customWidth="1"/>
    <col min="11948" max="11948" width="90.6328125" style="44" bestFit="1" customWidth="1"/>
    <col min="11949" max="11949" width="89.453125" style="44" bestFit="1" customWidth="1"/>
    <col min="11950" max="11950" width="84.6328125" style="44" bestFit="1" customWidth="1"/>
    <col min="11951" max="11951" width="74.54296875" style="44" bestFit="1" customWidth="1"/>
    <col min="11952" max="11952" width="76.90625" style="44" bestFit="1" customWidth="1"/>
    <col min="11953" max="11953" width="83" style="44" bestFit="1" customWidth="1"/>
    <col min="11954" max="11954" width="85.81640625" style="44" bestFit="1" customWidth="1"/>
    <col min="11955" max="11955" width="83.7265625" style="44" bestFit="1" customWidth="1"/>
    <col min="11956" max="11956" width="79.54296875" style="44" bestFit="1" customWidth="1"/>
    <col min="11957" max="11957" width="80.54296875" style="44" bestFit="1" customWidth="1"/>
    <col min="11958" max="11958" width="89.54296875" style="44" bestFit="1" customWidth="1"/>
    <col min="11959" max="11959" width="85.36328125" style="44" bestFit="1" customWidth="1"/>
    <col min="11960" max="11960" width="61.6328125" style="44" bestFit="1" customWidth="1"/>
    <col min="11961" max="11961" width="132.54296875" style="44" bestFit="1" customWidth="1"/>
    <col min="11962" max="11962" width="93.1796875" style="44" bestFit="1" customWidth="1"/>
    <col min="11963" max="11963" width="91.08984375" style="44" bestFit="1" customWidth="1"/>
    <col min="11964" max="11964" width="81.7265625" style="44" bestFit="1" customWidth="1"/>
    <col min="11965" max="11966" width="80.90625" style="44" bestFit="1" customWidth="1"/>
    <col min="11967" max="11967" width="83.26953125" style="44" bestFit="1" customWidth="1"/>
    <col min="11968" max="11968" width="101.453125" style="44" bestFit="1" customWidth="1"/>
    <col min="11969" max="11969" width="110.1796875" style="44" bestFit="1" customWidth="1"/>
    <col min="11970" max="11970" width="74.6328125" style="44" bestFit="1" customWidth="1"/>
    <col min="11971" max="11974" width="84.54296875" style="44" bestFit="1" customWidth="1"/>
    <col min="11975" max="11975" width="74.36328125" style="44" bestFit="1" customWidth="1"/>
    <col min="11976" max="11976" width="88.1796875" style="44" bestFit="1" customWidth="1"/>
    <col min="11977" max="11977" width="78.6328125" style="44" bestFit="1" customWidth="1"/>
    <col min="11978" max="11978" width="76.81640625" style="44" bestFit="1" customWidth="1"/>
    <col min="11979" max="11979" width="74.7265625" style="44" bestFit="1" customWidth="1"/>
    <col min="11980" max="11980" width="87.26953125" style="44" bestFit="1" customWidth="1"/>
    <col min="11981" max="11981" width="85.54296875" style="44" bestFit="1" customWidth="1"/>
    <col min="11982" max="11982" width="100.26953125" style="44" bestFit="1" customWidth="1"/>
    <col min="11983" max="11983" width="71.36328125" style="44" bestFit="1" customWidth="1"/>
    <col min="11984" max="11984" width="105.453125" style="44" bestFit="1" customWidth="1"/>
    <col min="11985" max="11985" width="103.08984375" style="44" bestFit="1" customWidth="1"/>
    <col min="11986" max="11986" width="85.7265625" style="44" bestFit="1" customWidth="1"/>
    <col min="11987" max="11987" width="99.26953125" style="44" bestFit="1" customWidth="1"/>
    <col min="11988" max="11988" width="83.54296875" style="44" bestFit="1" customWidth="1"/>
    <col min="11989" max="11989" width="96.90625" style="44" bestFit="1" customWidth="1"/>
    <col min="11990" max="11990" width="74.26953125" style="44" bestFit="1" customWidth="1"/>
    <col min="11991" max="11991" width="98.36328125" style="44" bestFit="1" customWidth="1"/>
    <col min="11992" max="11992" width="74.453125" style="44" bestFit="1" customWidth="1"/>
    <col min="11993" max="11993" width="88.81640625" style="44" bestFit="1" customWidth="1"/>
    <col min="11994" max="11994" width="67.6328125" style="44" bestFit="1" customWidth="1"/>
    <col min="11995" max="11995" width="93.08984375" style="44" bestFit="1" customWidth="1"/>
    <col min="11996" max="11996" width="101.453125" style="44" bestFit="1" customWidth="1"/>
    <col min="11997" max="11999" width="76.81640625" style="44" bestFit="1" customWidth="1"/>
    <col min="12000" max="12000" width="87.08984375" style="44" bestFit="1" customWidth="1"/>
    <col min="12001" max="12001" width="72.453125" style="44" bestFit="1" customWidth="1"/>
    <col min="12002" max="12002" width="87.81640625" style="44" bestFit="1" customWidth="1"/>
    <col min="12003" max="12003" width="71.7265625" style="44" bestFit="1" customWidth="1"/>
    <col min="12004" max="12004" width="74" style="44" bestFit="1" customWidth="1"/>
    <col min="12005" max="12005" width="74.08984375" style="44" bestFit="1" customWidth="1"/>
    <col min="12006" max="12008" width="86.81640625" style="44" bestFit="1" customWidth="1"/>
    <col min="12009" max="12009" width="104.7265625" style="44" bestFit="1" customWidth="1"/>
    <col min="12010" max="12010" width="101.81640625" style="44" bestFit="1" customWidth="1"/>
    <col min="12011" max="12011" width="64.453125" style="44" bestFit="1" customWidth="1"/>
    <col min="12012" max="12012" width="65.1796875" style="44" bestFit="1" customWidth="1"/>
    <col min="12013" max="12013" width="72.453125" style="44" bestFit="1" customWidth="1"/>
    <col min="12014" max="12014" width="81.36328125" style="44" bestFit="1" customWidth="1"/>
    <col min="12015" max="12015" width="65.1796875" style="44" bestFit="1" customWidth="1"/>
    <col min="12016" max="12016" width="80.90625" style="44" bestFit="1" customWidth="1"/>
    <col min="12017" max="12017" width="71.7265625" style="44" bestFit="1" customWidth="1"/>
    <col min="12018" max="12018" width="73.6328125" style="44" bestFit="1" customWidth="1"/>
    <col min="12019" max="12020" width="85.36328125" style="44" bestFit="1" customWidth="1"/>
    <col min="12021" max="12021" width="92.26953125" style="44" bestFit="1" customWidth="1"/>
    <col min="12022" max="12022" width="106.1796875" style="44" bestFit="1" customWidth="1"/>
    <col min="12023" max="12023" width="86.6328125" style="44" bestFit="1" customWidth="1"/>
    <col min="12024" max="12025" width="68.90625" style="44" bestFit="1" customWidth="1"/>
    <col min="12026" max="12026" width="80.54296875" style="44" bestFit="1" customWidth="1"/>
    <col min="12027" max="12027" width="68.90625" style="44" bestFit="1" customWidth="1"/>
    <col min="12028" max="12028" width="79.1796875" style="44" bestFit="1" customWidth="1"/>
    <col min="12029" max="12029" width="79.26953125" style="44" bestFit="1" customWidth="1"/>
    <col min="12030" max="12030" width="80.1796875" style="44" bestFit="1" customWidth="1"/>
    <col min="12031" max="12031" width="84.81640625" style="44" bestFit="1" customWidth="1"/>
    <col min="12032" max="12032" width="76.81640625" style="44" bestFit="1" customWidth="1"/>
    <col min="12033" max="12033" width="7.90625" style="44" bestFit="1" customWidth="1"/>
    <col min="12034" max="12034" width="132.54296875" style="44" bestFit="1" customWidth="1"/>
    <col min="12035" max="12035" width="45.36328125" style="44" bestFit="1" customWidth="1"/>
    <col min="12036" max="12036" width="14.08984375" style="44" bestFit="1" customWidth="1"/>
    <col min="12037" max="12038" width="8.7265625" style="44"/>
    <col min="12039" max="12039" width="49.7265625" style="44" bestFit="1" customWidth="1"/>
    <col min="12040" max="12040" width="7.90625" style="44" bestFit="1" customWidth="1"/>
    <col min="12041" max="12041" width="7.81640625" style="44" bestFit="1" customWidth="1"/>
    <col min="12042" max="12053" width="8.81640625" style="44" bestFit="1" customWidth="1"/>
    <col min="12054" max="12054" width="10.81640625" style="44" bestFit="1" customWidth="1"/>
    <col min="12055" max="12055" width="93.36328125" style="44" bestFit="1" customWidth="1"/>
    <col min="12056" max="12056" width="87.6328125" style="44" bestFit="1" customWidth="1"/>
    <col min="12057" max="12057" width="69.26953125" style="44" bestFit="1" customWidth="1"/>
    <col min="12058" max="12058" width="68.54296875" style="44" bestFit="1" customWidth="1"/>
    <col min="12059" max="12059" width="67.6328125" style="44" bestFit="1" customWidth="1"/>
    <col min="12060" max="12060" width="64" style="44" bestFit="1" customWidth="1"/>
    <col min="12061" max="12061" width="43.81640625" style="44" bestFit="1" customWidth="1"/>
    <col min="12062" max="12062" width="39.81640625" style="44" bestFit="1" customWidth="1"/>
    <col min="12063" max="12063" width="85.26953125" style="44" bestFit="1" customWidth="1"/>
    <col min="12064" max="12064" width="84.08984375" style="44" bestFit="1" customWidth="1"/>
    <col min="12065" max="12065" width="91" style="44" bestFit="1" customWidth="1"/>
    <col min="12066" max="12066" width="79" style="44" bestFit="1" customWidth="1"/>
    <col min="12067" max="12067" width="89.90625" style="44" bestFit="1" customWidth="1"/>
    <col min="12068" max="12074" width="90.90625" style="44" bestFit="1" customWidth="1"/>
    <col min="12075" max="12075" width="91.90625" style="44" bestFit="1" customWidth="1"/>
    <col min="12076" max="12076" width="73.08984375" style="44" bestFit="1" customWidth="1"/>
    <col min="12077" max="12077" width="61.1796875" style="44" bestFit="1" customWidth="1"/>
    <col min="12078" max="12078" width="94.1796875" style="44" bestFit="1" customWidth="1"/>
    <col min="12079" max="12079" width="84.453125" style="44" bestFit="1" customWidth="1"/>
    <col min="12080" max="12080" width="86.81640625" style="44" bestFit="1" customWidth="1"/>
    <col min="12081" max="12081" width="90.08984375" style="44" bestFit="1" customWidth="1"/>
    <col min="12082" max="12082" width="86.7265625" style="44" bestFit="1" customWidth="1"/>
    <col min="12083" max="12083" width="87.6328125" style="44" bestFit="1" customWidth="1"/>
    <col min="12084" max="12086" width="97.6328125" style="44" bestFit="1" customWidth="1"/>
    <col min="12087" max="12087" width="72.54296875" style="44" bestFit="1" customWidth="1"/>
    <col min="12088" max="12088" width="73.6328125" style="44" bestFit="1" customWidth="1"/>
    <col min="12089" max="12089" width="58.6328125" style="44" bestFit="1" customWidth="1"/>
    <col min="12090" max="12091" width="74.08984375" style="44" bestFit="1" customWidth="1"/>
    <col min="12092" max="12092" width="75.54296875" style="44" bestFit="1" customWidth="1"/>
    <col min="12093" max="12093" width="92" style="44" bestFit="1" customWidth="1"/>
    <col min="12094" max="12094" width="93.54296875" style="44" bestFit="1" customWidth="1"/>
    <col min="12095" max="12096" width="75.54296875" style="44" bestFit="1" customWidth="1"/>
    <col min="12097" max="12097" width="78.08984375" style="44" bestFit="1" customWidth="1"/>
    <col min="12098" max="12098" width="70" style="44" bestFit="1" customWidth="1"/>
    <col min="12099" max="12099" width="84.81640625" style="44" bestFit="1" customWidth="1"/>
    <col min="12100" max="12100" width="93" style="44" bestFit="1" customWidth="1"/>
    <col min="12101" max="12101" width="83.453125" style="44" bestFit="1" customWidth="1"/>
    <col min="12102" max="12102" width="100.90625" style="44" bestFit="1" customWidth="1"/>
    <col min="12103" max="12105" width="64.54296875" style="44" bestFit="1" customWidth="1"/>
    <col min="12106" max="12107" width="82.7265625" style="44" bestFit="1" customWidth="1"/>
    <col min="12108" max="12108" width="99.453125" style="44" bestFit="1" customWidth="1"/>
    <col min="12109" max="12109" width="78.1796875" style="44" bestFit="1" customWidth="1"/>
    <col min="12110" max="12110" width="71.36328125" style="44" bestFit="1" customWidth="1"/>
    <col min="12111" max="12111" width="71.26953125" style="44" bestFit="1" customWidth="1"/>
    <col min="12112" max="12115" width="76.453125" style="44" bestFit="1" customWidth="1"/>
    <col min="12116" max="12116" width="70.54296875" style="44" bestFit="1" customWidth="1"/>
    <col min="12117" max="12117" width="63.36328125" style="44" bestFit="1" customWidth="1"/>
    <col min="12118" max="12118" width="97.81640625" style="44" bestFit="1" customWidth="1"/>
    <col min="12119" max="12120" width="73" style="44" bestFit="1" customWidth="1"/>
    <col min="12121" max="12121" width="79" style="44" bestFit="1" customWidth="1"/>
    <col min="12122" max="12122" width="73" style="44" bestFit="1" customWidth="1"/>
    <col min="12123" max="12123" width="82.1796875" style="44" bestFit="1" customWidth="1"/>
    <col min="12124" max="12124" width="61.453125" style="44" bestFit="1" customWidth="1"/>
    <col min="12125" max="12126" width="99.90625" style="44" bestFit="1" customWidth="1"/>
    <col min="12127" max="12127" width="100.36328125" style="44" bestFit="1" customWidth="1"/>
    <col min="12128" max="12128" width="84.453125" style="44" bestFit="1" customWidth="1"/>
    <col min="12129" max="12129" width="113.36328125" style="44" bestFit="1" customWidth="1"/>
    <col min="12130" max="12130" width="98.453125" style="44" bestFit="1" customWidth="1"/>
    <col min="12131" max="12131" width="99.7265625" style="44" bestFit="1" customWidth="1"/>
    <col min="12132" max="12132" width="99.54296875" style="44" bestFit="1" customWidth="1"/>
    <col min="12133" max="12133" width="96.81640625" style="44" bestFit="1" customWidth="1"/>
    <col min="12134" max="12134" width="94.08984375" style="44" bestFit="1" customWidth="1"/>
    <col min="12135" max="12135" width="100.453125" style="44" bestFit="1" customWidth="1"/>
    <col min="12136" max="12136" width="98.6328125" style="44" bestFit="1" customWidth="1"/>
    <col min="12137" max="12137" width="77.453125" style="44" bestFit="1" customWidth="1"/>
    <col min="12138" max="12138" width="95.1796875" style="44" bestFit="1" customWidth="1"/>
    <col min="12139" max="12139" width="86.6328125" style="44" bestFit="1" customWidth="1"/>
    <col min="12140" max="12140" width="77.26953125" style="44" bestFit="1" customWidth="1"/>
    <col min="12141" max="12141" width="85.1796875" style="44" bestFit="1" customWidth="1"/>
    <col min="12142" max="12142" width="74.7265625" style="44" bestFit="1" customWidth="1"/>
    <col min="12143" max="12143" width="92" style="44" bestFit="1" customWidth="1"/>
    <col min="12144" max="12144" width="72.26953125" style="44" bestFit="1" customWidth="1"/>
    <col min="12145" max="12145" width="97.08984375" style="44" bestFit="1" customWidth="1"/>
    <col min="12146" max="12146" width="77.08984375" style="44" bestFit="1" customWidth="1"/>
    <col min="12147" max="12147" width="85.08984375" style="44" bestFit="1" customWidth="1"/>
    <col min="12148" max="12149" width="83.1796875" style="44" bestFit="1" customWidth="1"/>
    <col min="12150" max="12150" width="82.6328125" style="44" bestFit="1" customWidth="1"/>
    <col min="12151" max="12151" width="86.26953125" style="44" bestFit="1" customWidth="1"/>
    <col min="12152" max="12152" width="71.1796875" style="44" bestFit="1" customWidth="1"/>
    <col min="12153" max="12153" width="66.6328125" style="44" bestFit="1" customWidth="1"/>
    <col min="12154" max="12155" width="83.1796875" style="44" bestFit="1" customWidth="1"/>
    <col min="12156" max="12156" width="67.08984375" style="44" bestFit="1" customWidth="1"/>
    <col min="12157" max="12157" width="76.54296875" style="44" bestFit="1" customWidth="1"/>
    <col min="12158" max="12158" width="94.08984375" style="44" bestFit="1" customWidth="1"/>
    <col min="12159" max="12159" width="89.08984375" style="44" bestFit="1" customWidth="1"/>
    <col min="12160" max="12160" width="68.1796875" style="44" bestFit="1" customWidth="1"/>
    <col min="12161" max="12161" width="91.7265625" style="44" bestFit="1" customWidth="1"/>
    <col min="12162" max="12162" width="63.36328125" style="44" bestFit="1" customWidth="1"/>
    <col min="12163" max="12163" width="66.6328125" style="44" bestFit="1" customWidth="1"/>
    <col min="12164" max="12164" width="63.36328125" style="44" bestFit="1" customWidth="1"/>
    <col min="12165" max="12165" width="63.453125" style="44" bestFit="1" customWidth="1"/>
    <col min="12166" max="12166" width="87.54296875" style="44" bestFit="1" customWidth="1"/>
    <col min="12167" max="12167" width="93.81640625" style="44" bestFit="1" customWidth="1"/>
    <col min="12168" max="12168" width="66.453125" style="44" bestFit="1" customWidth="1"/>
    <col min="12169" max="12170" width="110" style="44" bestFit="1" customWidth="1"/>
    <col min="12171" max="12171" width="103.1796875" style="44" bestFit="1" customWidth="1"/>
    <col min="12172" max="12172" width="62.453125" style="44" bestFit="1" customWidth="1"/>
    <col min="12173" max="12173" width="77.453125" style="44" bestFit="1" customWidth="1"/>
    <col min="12174" max="12174" width="91.54296875" style="44" bestFit="1" customWidth="1"/>
    <col min="12175" max="12175" width="88.08984375" style="44" bestFit="1" customWidth="1"/>
    <col min="12176" max="12176" width="80.6328125" style="44" bestFit="1" customWidth="1"/>
    <col min="12177" max="12177" width="77.453125" style="44" bestFit="1" customWidth="1"/>
    <col min="12178" max="12178" width="85.1796875" style="44" bestFit="1" customWidth="1"/>
    <col min="12179" max="12182" width="72.36328125" style="44" bestFit="1" customWidth="1"/>
    <col min="12183" max="12184" width="95" style="44" bestFit="1" customWidth="1"/>
    <col min="12185" max="12185" width="64.08984375" style="44" bestFit="1" customWidth="1"/>
    <col min="12186" max="12186" width="110.08984375" style="44" bestFit="1" customWidth="1"/>
    <col min="12187" max="12187" width="86.36328125" style="44" bestFit="1" customWidth="1"/>
    <col min="12188" max="12188" width="89.36328125" style="44" bestFit="1" customWidth="1"/>
    <col min="12189" max="12189" width="89.81640625" style="44" bestFit="1" customWidth="1"/>
    <col min="12190" max="12190" width="64.26953125" style="44" bestFit="1" customWidth="1"/>
    <col min="12191" max="12191" width="85.7265625" style="44" bestFit="1" customWidth="1"/>
    <col min="12192" max="12192" width="73" style="44" bestFit="1" customWidth="1"/>
    <col min="12193" max="12193" width="92.7265625" style="44" bestFit="1" customWidth="1"/>
    <col min="12194" max="12194" width="92.36328125" style="44" bestFit="1" customWidth="1"/>
    <col min="12195" max="12195" width="72" style="44" bestFit="1" customWidth="1"/>
    <col min="12196" max="12196" width="82" style="44" bestFit="1" customWidth="1"/>
    <col min="12197" max="12197" width="79.36328125" style="44" bestFit="1" customWidth="1"/>
    <col min="12198" max="12198" width="81" style="44" bestFit="1" customWidth="1"/>
    <col min="12199" max="12199" width="72.90625" style="44" bestFit="1" customWidth="1"/>
    <col min="12200" max="12200" width="90.81640625" style="44" bestFit="1" customWidth="1"/>
    <col min="12201" max="12201" width="84" style="44" bestFit="1" customWidth="1"/>
    <col min="12202" max="12203" width="73.36328125" style="44" bestFit="1" customWidth="1"/>
    <col min="12204" max="12204" width="90.6328125" style="44" bestFit="1" customWidth="1"/>
    <col min="12205" max="12205" width="89.453125" style="44" bestFit="1" customWidth="1"/>
    <col min="12206" max="12206" width="84.6328125" style="44" bestFit="1" customWidth="1"/>
    <col min="12207" max="12207" width="74.54296875" style="44" bestFit="1" customWidth="1"/>
    <col min="12208" max="12208" width="76.90625" style="44" bestFit="1" customWidth="1"/>
    <col min="12209" max="12209" width="83" style="44" bestFit="1" customWidth="1"/>
    <col min="12210" max="12210" width="85.81640625" style="44" bestFit="1" customWidth="1"/>
    <col min="12211" max="12211" width="83.7265625" style="44" bestFit="1" customWidth="1"/>
    <col min="12212" max="12212" width="79.54296875" style="44" bestFit="1" customWidth="1"/>
    <col min="12213" max="12213" width="80.54296875" style="44" bestFit="1" customWidth="1"/>
    <col min="12214" max="12214" width="89.54296875" style="44" bestFit="1" customWidth="1"/>
    <col min="12215" max="12215" width="85.36328125" style="44" bestFit="1" customWidth="1"/>
    <col min="12216" max="12216" width="61.6328125" style="44" bestFit="1" customWidth="1"/>
    <col min="12217" max="12217" width="132.54296875" style="44" bestFit="1" customWidth="1"/>
    <col min="12218" max="12218" width="93.1796875" style="44" bestFit="1" customWidth="1"/>
    <col min="12219" max="12219" width="91.08984375" style="44" bestFit="1" customWidth="1"/>
    <col min="12220" max="12220" width="81.7265625" style="44" bestFit="1" customWidth="1"/>
    <col min="12221" max="12222" width="80.90625" style="44" bestFit="1" customWidth="1"/>
    <col min="12223" max="12223" width="83.26953125" style="44" bestFit="1" customWidth="1"/>
    <col min="12224" max="12224" width="101.453125" style="44" bestFit="1" customWidth="1"/>
    <col min="12225" max="12225" width="110.1796875" style="44" bestFit="1" customWidth="1"/>
    <col min="12226" max="12226" width="74.6328125" style="44" bestFit="1" customWidth="1"/>
    <col min="12227" max="12230" width="84.54296875" style="44" bestFit="1" customWidth="1"/>
    <col min="12231" max="12231" width="74.36328125" style="44" bestFit="1" customWidth="1"/>
    <col min="12232" max="12232" width="88.1796875" style="44" bestFit="1" customWidth="1"/>
    <col min="12233" max="12233" width="78.6328125" style="44" bestFit="1" customWidth="1"/>
    <col min="12234" max="12234" width="76.81640625" style="44" bestFit="1" customWidth="1"/>
    <col min="12235" max="12235" width="74.7265625" style="44" bestFit="1" customWidth="1"/>
    <col min="12236" max="12236" width="87.26953125" style="44" bestFit="1" customWidth="1"/>
    <col min="12237" max="12237" width="85.54296875" style="44" bestFit="1" customWidth="1"/>
    <col min="12238" max="12238" width="100.26953125" style="44" bestFit="1" customWidth="1"/>
    <col min="12239" max="12239" width="71.36328125" style="44" bestFit="1" customWidth="1"/>
    <col min="12240" max="12240" width="105.453125" style="44" bestFit="1" customWidth="1"/>
    <col min="12241" max="12241" width="103.08984375" style="44" bestFit="1" customWidth="1"/>
    <col min="12242" max="12242" width="85.7265625" style="44" bestFit="1" customWidth="1"/>
    <col min="12243" max="12243" width="99.26953125" style="44" bestFit="1" customWidth="1"/>
    <col min="12244" max="12244" width="83.54296875" style="44" bestFit="1" customWidth="1"/>
    <col min="12245" max="12245" width="96.90625" style="44" bestFit="1" customWidth="1"/>
    <col min="12246" max="12246" width="74.26953125" style="44" bestFit="1" customWidth="1"/>
    <col min="12247" max="12247" width="98.36328125" style="44" bestFit="1" customWidth="1"/>
    <col min="12248" max="12248" width="74.453125" style="44" bestFit="1" customWidth="1"/>
    <col min="12249" max="12249" width="88.81640625" style="44" bestFit="1" customWidth="1"/>
    <col min="12250" max="12250" width="67.6328125" style="44" bestFit="1" customWidth="1"/>
    <col min="12251" max="12251" width="93.08984375" style="44" bestFit="1" customWidth="1"/>
    <col min="12252" max="12252" width="101.453125" style="44" bestFit="1" customWidth="1"/>
    <col min="12253" max="12255" width="76.81640625" style="44" bestFit="1" customWidth="1"/>
    <col min="12256" max="12256" width="87.08984375" style="44" bestFit="1" customWidth="1"/>
    <col min="12257" max="12257" width="72.453125" style="44" bestFit="1" customWidth="1"/>
    <col min="12258" max="12258" width="87.81640625" style="44" bestFit="1" customWidth="1"/>
    <col min="12259" max="12259" width="71.7265625" style="44" bestFit="1" customWidth="1"/>
    <col min="12260" max="12260" width="74" style="44" bestFit="1" customWidth="1"/>
    <col min="12261" max="12261" width="74.08984375" style="44" bestFit="1" customWidth="1"/>
    <col min="12262" max="12264" width="86.81640625" style="44" bestFit="1" customWidth="1"/>
    <col min="12265" max="12265" width="104.7265625" style="44" bestFit="1" customWidth="1"/>
    <col min="12266" max="12266" width="101.81640625" style="44" bestFit="1" customWidth="1"/>
    <col min="12267" max="12267" width="64.453125" style="44" bestFit="1" customWidth="1"/>
    <col min="12268" max="12268" width="65.1796875" style="44" bestFit="1" customWidth="1"/>
    <col min="12269" max="12269" width="72.453125" style="44" bestFit="1" customWidth="1"/>
    <col min="12270" max="12270" width="81.36328125" style="44" bestFit="1" customWidth="1"/>
    <col min="12271" max="12271" width="65.1796875" style="44" bestFit="1" customWidth="1"/>
    <col min="12272" max="12272" width="80.90625" style="44" bestFit="1" customWidth="1"/>
    <col min="12273" max="12273" width="71.7265625" style="44" bestFit="1" customWidth="1"/>
    <col min="12274" max="12274" width="73.6328125" style="44" bestFit="1" customWidth="1"/>
    <col min="12275" max="12276" width="85.36328125" style="44" bestFit="1" customWidth="1"/>
    <col min="12277" max="12277" width="92.26953125" style="44" bestFit="1" customWidth="1"/>
    <col min="12278" max="12278" width="106.1796875" style="44" bestFit="1" customWidth="1"/>
    <col min="12279" max="12279" width="86.6328125" style="44" bestFit="1" customWidth="1"/>
    <col min="12280" max="12281" width="68.90625" style="44" bestFit="1" customWidth="1"/>
    <col min="12282" max="12282" width="80.54296875" style="44" bestFit="1" customWidth="1"/>
    <col min="12283" max="12283" width="68.90625" style="44" bestFit="1" customWidth="1"/>
    <col min="12284" max="12284" width="79.1796875" style="44" bestFit="1" customWidth="1"/>
    <col min="12285" max="12285" width="79.26953125" style="44" bestFit="1" customWidth="1"/>
    <col min="12286" max="12286" width="80.1796875" style="44" bestFit="1" customWidth="1"/>
    <col min="12287" max="12287" width="84.81640625" style="44" bestFit="1" customWidth="1"/>
    <col min="12288" max="12288" width="76.81640625" style="44" bestFit="1" customWidth="1"/>
    <col min="12289" max="12289" width="7.90625" style="44" bestFit="1" customWidth="1"/>
    <col min="12290" max="12290" width="132.54296875" style="44" bestFit="1" customWidth="1"/>
    <col min="12291" max="12291" width="45.36328125" style="44" bestFit="1" customWidth="1"/>
    <col min="12292" max="12292" width="14.08984375" style="44" bestFit="1" customWidth="1"/>
    <col min="12293" max="12294" width="8.7265625" style="44"/>
    <col min="12295" max="12295" width="49.7265625" style="44" bestFit="1" customWidth="1"/>
    <col min="12296" max="12296" width="7.90625" style="44" bestFit="1" customWidth="1"/>
    <col min="12297" max="12297" width="7.81640625" style="44" bestFit="1" customWidth="1"/>
    <col min="12298" max="12309" width="8.81640625" style="44" bestFit="1" customWidth="1"/>
    <col min="12310" max="12310" width="10.81640625" style="44" bestFit="1" customWidth="1"/>
    <col min="12311" max="12311" width="93.36328125" style="44" bestFit="1" customWidth="1"/>
    <col min="12312" max="12312" width="87.6328125" style="44" bestFit="1" customWidth="1"/>
    <col min="12313" max="12313" width="69.26953125" style="44" bestFit="1" customWidth="1"/>
    <col min="12314" max="12314" width="68.54296875" style="44" bestFit="1" customWidth="1"/>
    <col min="12315" max="12315" width="67.6328125" style="44" bestFit="1" customWidth="1"/>
    <col min="12316" max="12316" width="64" style="44" bestFit="1" customWidth="1"/>
    <col min="12317" max="12317" width="43.81640625" style="44" bestFit="1" customWidth="1"/>
    <col min="12318" max="12318" width="39.81640625" style="44" bestFit="1" customWidth="1"/>
    <col min="12319" max="12319" width="85.26953125" style="44" bestFit="1" customWidth="1"/>
    <col min="12320" max="12320" width="84.08984375" style="44" bestFit="1" customWidth="1"/>
    <col min="12321" max="12321" width="91" style="44" bestFit="1" customWidth="1"/>
    <col min="12322" max="12322" width="79" style="44" bestFit="1" customWidth="1"/>
    <col min="12323" max="12323" width="89.90625" style="44" bestFit="1" customWidth="1"/>
    <col min="12324" max="12330" width="90.90625" style="44" bestFit="1" customWidth="1"/>
    <col min="12331" max="12331" width="91.90625" style="44" bestFit="1" customWidth="1"/>
    <col min="12332" max="12332" width="73.08984375" style="44" bestFit="1" customWidth="1"/>
    <col min="12333" max="12333" width="61.1796875" style="44" bestFit="1" customWidth="1"/>
    <col min="12334" max="12334" width="94.1796875" style="44" bestFit="1" customWidth="1"/>
    <col min="12335" max="12335" width="84.453125" style="44" bestFit="1" customWidth="1"/>
    <col min="12336" max="12336" width="86.81640625" style="44" bestFit="1" customWidth="1"/>
    <col min="12337" max="12337" width="90.08984375" style="44" bestFit="1" customWidth="1"/>
    <col min="12338" max="12338" width="86.7265625" style="44" bestFit="1" customWidth="1"/>
    <col min="12339" max="12339" width="87.6328125" style="44" bestFit="1" customWidth="1"/>
    <col min="12340" max="12342" width="97.6328125" style="44" bestFit="1" customWidth="1"/>
    <col min="12343" max="12343" width="72.54296875" style="44" bestFit="1" customWidth="1"/>
    <col min="12344" max="12344" width="73.6328125" style="44" bestFit="1" customWidth="1"/>
    <col min="12345" max="12345" width="58.6328125" style="44" bestFit="1" customWidth="1"/>
    <col min="12346" max="12347" width="74.08984375" style="44" bestFit="1" customWidth="1"/>
    <col min="12348" max="12348" width="75.54296875" style="44" bestFit="1" customWidth="1"/>
    <col min="12349" max="12349" width="92" style="44" bestFit="1" customWidth="1"/>
    <col min="12350" max="12350" width="93.54296875" style="44" bestFit="1" customWidth="1"/>
    <col min="12351" max="12352" width="75.54296875" style="44" bestFit="1" customWidth="1"/>
    <col min="12353" max="12353" width="78.08984375" style="44" bestFit="1" customWidth="1"/>
    <col min="12354" max="12354" width="70" style="44" bestFit="1" customWidth="1"/>
    <col min="12355" max="12355" width="84.81640625" style="44" bestFit="1" customWidth="1"/>
    <col min="12356" max="12356" width="93" style="44" bestFit="1" customWidth="1"/>
    <col min="12357" max="12357" width="83.453125" style="44" bestFit="1" customWidth="1"/>
    <col min="12358" max="12358" width="100.90625" style="44" bestFit="1" customWidth="1"/>
    <col min="12359" max="12361" width="64.54296875" style="44" bestFit="1" customWidth="1"/>
    <col min="12362" max="12363" width="82.7265625" style="44" bestFit="1" customWidth="1"/>
    <col min="12364" max="12364" width="99.453125" style="44" bestFit="1" customWidth="1"/>
    <col min="12365" max="12365" width="78.1796875" style="44" bestFit="1" customWidth="1"/>
    <col min="12366" max="12366" width="71.36328125" style="44" bestFit="1" customWidth="1"/>
    <col min="12367" max="12367" width="71.26953125" style="44" bestFit="1" customWidth="1"/>
    <col min="12368" max="12371" width="76.453125" style="44" bestFit="1" customWidth="1"/>
    <col min="12372" max="12372" width="70.54296875" style="44" bestFit="1" customWidth="1"/>
    <col min="12373" max="12373" width="63.36328125" style="44" bestFit="1" customWidth="1"/>
    <col min="12374" max="12374" width="97.81640625" style="44" bestFit="1" customWidth="1"/>
    <col min="12375" max="12376" width="73" style="44" bestFit="1" customWidth="1"/>
    <col min="12377" max="12377" width="79" style="44" bestFit="1" customWidth="1"/>
    <col min="12378" max="12378" width="73" style="44" bestFit="1" customWidth="1"/>
    <col min="12379" max="12379" width="82.1796875" style="44" bestFit="1" customWidth="1"/>
    <col min="12380" max="12380" width="61.453125" style="44" bestFit="1" customWidth="1"/>
    <col min="12381" max="12382" width="99.90625" style="44" bestFit="1" customWidth="1"/>
    <col min="12383" max="12383" width="100.36328125" style="44" bestFit="1" customWidth="1"/>
    <col min="12384" max="12384" width="84.453125" style="44" bestFit="1" customWidth="1"/>
    <col min="12385" max="12385" width="113.36328125" style="44" bestFit="1" customWidth="1"/>
    <col min="12386" max="12386" width="98.453125" style="44" bestFit="1" customWidth="1"/>
    <col min="12387" max="12387" width="99.7265625" style="44" bestFit="1" customWidth="1"/>
    <col min="12388" max="12388" width="99.54296875" style="44" bestFit="1" customWidth="1"/>
    <col min="12389" max="12389" width="96.81640625" style="44" bestFit="1" customWidth="1"/>
    <col min="12390" max="12390" width="94.08984375" style="44" bestFit="1" customWidth="1"/>
    <col min="12391" max="12391" width="100.453125" style="44" bestFit="1" customWidth="1"/>
    <col min="12392" max="12392" width="98.6328125" style="44" bestFit="1" customWidth="1"/>
    <col min="12393" max="12393" width="77.453125" style="44" bestFit="1" customWidth="1"/>
    <col min="12394" max="12394" width="95.1796875" style="44" bestFit="1" customWidth="1"/>
    <col min="12395" max="12395" width="86.6328125" style="44" bestFit="1" customWidth="1"/>
    <col min="12396" max="12396" width="77.26953125" style="44" bestFit="1" customWidth="1"/>
    <col min="12397" max="12397" width="85.1796875" style="44" bestFit="1" customWidth="1"/>
    <col min="12398" max="12398" width="74.7265625" style="44" bestFit="1" customWidth="1"/>
    <col min="12399" max="12399" width="92" style="44" bestFit="1" customWidth="1"/>
    <col min="12400" max="12400" width="72.26953125" style="44" bestFit="1" customWidth="1"/>
    <col min="12401" max="12401" width="97.08984375" style="44" bestFit="1" customWidth="1"/>
    <col min="12402" max="12402" width="77.08984375" style="44" bestFit="1" customWidth="1"/>
    <col min="12403" max="12403" width="85.08984375" style="44" bestFit="1" customWidth="1"/>
    <col min="12404" max="12405" width="83.1796875" style="44" bestFit="1" customWidth="1"/>
    <col min="12406" max="12406" width="82.6328125" style="44" bestFit="1" customWidth="1"/>
    <col min="12407" max="12407" width="86.26953125" style="44" bestFit="1" customWidth="1"/>
    <col min="12408" max="12408" width="71.1796875" style="44" bestFit="1" customWidth="1"/>
    <col min="12409" max="12409" width="66.6328125" style="44" bestFit="1" customWidth="1"/>
    <col min="12410" max="12411" width="83.1796875" style="44" bestFit="1" customWidth="1"/>
    <col min="12412" max="12412" width="67.08984375" style="44" bestFit="1" customWidth="1"/>
    <col min="12413" max="12413" width="76.54296875" style="44" bestFit="1" customWidth="1"/>
    <col min="12414" max="12414" width="94.08984375" style="44" bestFit="1" customWidth="1"/>
    <col min="12415" max="12415" width="89.08984375" style="44" bestFit="1" customWidth="1"/>
    <col min="12416" max="12416" width="68.1796875" style="44" bestFit="1" customWidth="1"/>
    <col min="12417" max="12417" width="91.7265625" style="44" bestFit="1" customWidth="1"/>
    <col min="12418" max="12418" width="63.36328125" style="44" bestFit="1" customWidth="1"/>
    <col min="12419" max="12419" width="66.6328125" style="44" bestFit="1" customWidth="1"/>
    <col min="12420" max="12420" width="63.36328125" style="44" bestFit="1" customWidth="1"/>
    <col min="12421" max="12421" width="63.453125" style="44" bestFit="1" customWidth="1"/>
    <col min="12422" max="12422" width="87.54296875" style="44" bestFit="1" customWidth="1"/>
    <col min="12423" max="12423" width="93.81640625" style="44" bestFit="1" customWidth="1"/>
    <col min="12424" max="12424" width="66.453125" style="44" bestFit="1" customWidth="1"/>
    <col min="12425" max="12426" width="110" style="44" bestFit="1" customWidth="1"/>
    <col min="12427" max="12427" width="103.1796875" style="44" bestFit="1" customWidth="1"/>
    <col min="12428" max="12428" width="62.453125" style="44" bestFit="1" customWidth="1"/>
    <col min="12429" max="12429" width="77.453125" style="44" bestFit="1" customWidth="1"/>
    <col min="12430" max="12430" width="91.54296875" style="44" bestFit="1" customWidth="1"/>
    <col min="12431" max="12431" width="88.08984375" style="44" bestFit="1" customWidth="1"/>
    <col min="12432" max="12432" width="80.6328125" style="44" bestFit="1" customWidth="1"/>
    <col min="12433" max="12433" width="77.453125" style="44" bestFit="1" customWidth="1"/>
    <col min="12434" max="12434" width="85.1796875" style="44" bestFit="1" customWidth="1"/>
    <col min="12435" max="12438" width="72.36328125" style="44" bestFit="1" customWidth="1"/>
    <col min="12439" max="12440" width="95" style="44" bestFit="1" customWidth="1"/>
    <col min="12441" max="12441" width="64.08984375" style="44" bestFit="1" customWidth="1"/>
    <col min="12442" max="12442" width="110.08984375" style="44" bestFit="1" customWidth="1"/>
    <col min="12443" max="12443" width="86.36328125" style="44" bestFit="1" customWidth="1"/>
    <col min="12444" max="12444" width="89.36328125" style="44" bestFit="1" customWidth="1"/>
    <col min="12445" max="12445" width="89.81640625" style="44" bestFit="1" customWidth="1"/>
    <col min="12446" max="12446" width="64.26953125" style="44" bestFit="1" customWidth="1"/>
    <col min="12447" max="12447" width="85.7265625" style="44" bestFit="1" customWidth="1"/>
    <col min="12448" max="12448" width="73" style="44" bestFit="1" customWidth="1"/>
    <col min="12449" max="12449" width="92.7265625" style="44" bestFit="1" customWidth="1"/>
    <col min="12450" max="12450" width="92.36328125" style="44" bestFit="1" customWidth="1"/>
    <col min="12451" max="12451" width="72" style="44" bestFit="1" customWidth="1"/>
    <col min="12452" max="12452" width="82" style="44" bestFit="1" customWidth="1"/>
    <col min="12453" max="12453" width="79.36328125" style="44" bestFit="1" customWidth="1"/>
    <col min="12454" max="12454" width="81" style="44" bestFit="1" customWidth="1"/>
    <col min="12455" max="12455" width="72.90625" style="44" bestFit="1" customWidth="1"/>
    <col min="12456" max="12456" width="90.81640625" style="44" bestFit="1" customWidth="1"/>
    <col min="12457" max="12457" width="84" style="44" bestFit="1" customWidth="1"/>
    <col min="12458" max="12459" width="73.36328125" style="44" bestFit="1" customWidth="1"/>
    <col min="12460" max="12460" width="90.6328125" style="44" bestFit="1" customWidth="1"/>
    <col min="12461" max="12461" width="89.453125" style="44" bestFit="1" customWidth="1"/>
    <col min="12462" max="12462" width="84.6328125" style="44" bestFit="1" customWidth="1"/>
    <col min="12463" max="12463" width="74.54296875" style="44" bestFit="1" customWidth="1"/>
    <col min="12464" max="12464" width="76.90625" style="44" bestFit="1" customWidth="1"/>
    <col min="12465" max="12465" width="83" style="44" bestFit="1" customWidth="1"/>
    <col min="12466" max="12466" width="85.81640625" style="44" bestFit="1" customWidth="1"/>
    <col min="12467" max="12467" width="83.7265625" style="44" bestFit="1" customWidth="1"/>
    <col min="12468" max="12468" width="79.54296875" style="44" bestFit="1" customWidth="1"/>
    <col min="12469" max="12469" width="80.54296875" style="44" bestFit="1" customWidth="1"/>
    <col min="12470" max="12470" width="89.54296875" style="44" bestFit="1" customWidth="1"/>
    <col min="12471" max="12471" width="85.36328125" style="44" bestFit="1" customWidth="1"/>
    <col min="12472" max="12472" width="61.6328125" style="44" bestFit="1" customWidth="1"/>
    <col min="12473" max="12473" width="132.54296875" style="44" bestFit="1" customWidth="1"/>
    <col min="12474" max="12474" width="93.1796875" style="44" bestFit="1" customWidth="1"/>
    <col min="12475" max="12475" width="91.08984375" style="44" bestFit="1" customWidth="1"/>
    <col min="12476" max="12476" width="81.7265625" style="44" bestFit="1" customWidth="1"/>
    <col min="12477" max="12478" width="80.90625" style="44" bestFit="1" customWidth="1"/>
    <col min="12479" max="12479" width="83.26953125" style="44" bestFit="1" customWidth="1"/>
    <col min="12480" max="12480" width="101.453125" style="44" bestFit="1" customWidth="1"/>
    <col min="12481" max="12481" width="110.1796875" style="44" bestFit="1" customWidth="1"/>
    <col min="12482" max="12482" width="74.6328125" style="44" bestFit="1" customWidth="1"/>
    <col min="12483" max="12486" width="84.54296875" style="44" bestFit="1" customWidth="1"/>
    <col min="12487" max="12487" width="74.36328125" style="44" bestFit="1" customWidth="1"/>
    <col min="12488" max="12488" width="88.1796875" style="44" bestFit="1" customWidth="1"/>
    <col min="12489" max="12489" width="78.6328125" style="44" bestFit="1" customWidth="1"/>
    <col min="12490" max="12490" width="76.81640625" style="44" bestFit="1" customWidth="1"/>
    <col min="12491" max="12491" width="74.7265625" style="44" bestFit="1" customWidth="1"/>
    <col min="12492" max="12492" width="87.26953125" style="44" bestFit="1" customWidth="1"/>
    <col min="12493" max="12493" width="85.54296875" style="44" bestFit="1" customWidth="1"/>
    <col min="12494" max="12494" width="100.26953125" style="44" bestFit="1" customWidth="1"/>
    <col min="12495" max="12495" width="71.36328125" style="44" bestFit="1" customWidth="1"/>
    <col min="12496" max="12496" width="105.453125" style="44" bestFit="1" customWidth="1"/>
    <col min="12497" max="12497" width="103.08984375" style="44" bestFit="1" customWidth="1"/>
    <col min="12498" max="12498" width="85.7265625" style="44" bestFit="1" customWidth="1"/>
    <col min="12499" max="12499" width="99.26953125" style="44" bestFit="1" customWidth="1"/>
    <col min="12500" max="12500" width="83.54296875" style="44" bestFit="1" customWidth="1"/>
    <col min="12501" max="12501" width="96.90625" style="44" bestFit="1" customWidth="1"/>
    <col min="12502" max="12502" width="74.26953125" style="44" bestFit="1" customWidth="1"/>
    <col min="12503" max="12503" width="98.36328125" style="44" bestFit="1" customWidth="1"/>
    <col min="12504" max="12504" width="74.453125" style="44" bestFit="1" customWidth="1"/>
    <col min="12505" max="12505" width="88.81640625" style="44" bestFit="1" customWidth="1"/>
    <col min="12506" max="12506" width="67.6328125" style="44" bestFit="1" customWidth="1"/>
    <col min="12507" max="12507" width="93.08984375" style="44" bestFit="1" customWidth="1"/>
    <col min="12508" max="12508" width="101.453125" style="44" bestFit="1" customWidth="1"/>
    <col min="12509" max="12511" width="76.81640625" style="44" bestFit="1" customWidth="1"/>
    <col min="12512" max="12512" width="87.08984375" style="44" bestFit="1" customWidth="1"/>
    <col min="12513" max="12513" width="72.453125" style="44" bestFit="1" customWidth="1"/>
    <col min="12514" max="12514" width="87.81640625" style="44" bestFit="1" customWidth="1"/>
    <col min="12515" max="12515" width="71.7265625" style="44" bestFit="1" customWidth="1"/>
    <col min="12516" max="12516" width="74" style="44" bestFit="1" customWidth="1"/>
    <col min="12517" max="12517" width="74.08984375" style="44" bestFit="1" customWidth="1"/>
    <col min="12518" max="12520" width="86.81640625" style="44" bestFit="1" customWidth="1"/>
    <col min="12521" max="12521" width="104.7265625" style="44" bestFit="1" customWidth="1"/>
    <col min="12522" max="12522" width="101.81640625" style="44" bestFit="1" customWidth="1"/>
    <col min="12523" max="12523" width="64.453125" style="44" bestFit="1" customWidth="1"/>
    <col min="12524" max="12524" width="65.1796875" style="44" bestFit="1" customWidth="1"/>
    <col min="12525" max="12525" width="72.453125" style="44" bestFit="1" customWidth="1"/>
    <col min="12526" max="12526" width="81.36328125" style="44" bestFit="1" customWidth="1"/>
    <col min="12527" max="12527" width="65.1796875" style="44" bestFit="1" customWidth="1"/>
    <col min="12528" max="12528" width="80.90625" style="44" bestFit="1" customWidth="1"/>
    <col min="12529" max="12529" width="71.7265625" style="44" bestFit="1" customWidth="1"/>
    <col min="12530" max="12530" width="73.6328125" style="44" bestFit="1" customWidth="1"/>
    <col min="12531" max="12532" width="85.36328125" style="44" bestFit="1" customWidth="1"/>
    <col min="12533" max="12533" width="92.26953125" style="44" bestFit="1" customWidth="1"/>
    <col min="12534" max="12534" width="106.1796875" style="44" bestFit="1" customWidth="1"/>
    <col min="12535" max="12535" width="86.6328125" style="44" bestFit="1" customWidth="1"/>
    <col min="12536" max="12537" width="68.90625" style="44" bestFit="1" customWidth="1"/>
    <col min="12538" max="12538" width="80.54296875" style="44" bestFit="1" customWidth="1"/>
    <col min="12539" max="12539" width="68.90625" style="44" bestFit="1" customWidth="1"/>
    <col min="12540" max="12540" width="79.1796875" style="44" bestFit="1" customWidth="1"/>
    <col min="12541" max="12541" width="79.26953125" style="44" bestFit="1" customWidth="1"/>
    <col min="12542" max="12542" width="80.1796875" style="44" bestFit="1" customWidth="1"/>
    <col min="12543" max="12543" width="84.81640625" style="44" bestFit="1" customWidth="1"/>
    <col min="12544" max="12544" width="76.81640625" style="44" bestFit="1" customWidth="1"/>
    <col min="12545" max="12545" width="7.90625" style="44" bestFit="1" customWidth="1"/>
    <col min="12546" max="12546" width="132.54296875" style="44" bestFit="1" customWidth="1"/>
    <col min="12547" max="12547" width="45.36328125" style="44" bestFit="1" customWidth="1"/>
    <col min="12548" max="12548" width="14.08984375" style="44" bestFit="1" customWidth="1"/>
    <col min="12549" max="12550" width="8.7265625" style="44"/>
    <col min="12551" max="12551" width="49.7265625" style="44" bestFit="1" customWidth="1"/>
    <col min="12552" max="12552" width="7.90625" style="44" bestFit="1" customWidth="1"/>
    <col min="12553" max="12553" width="7.81640625" style="44" bestFit="1" customWidth="1"/>
    <col min="12554" max="12565" width="8.81640625" style="44" bestFit="1" customWidth="1"/>
    <col min="12566" max="12566" width="10.81640625" style="44" bestFit="1" customWidth="1"/>
    <col min="12567" max="12567" width="93.36328125" style="44" bestFit="1" customWidth="1"/>
    <col min="12568" max="12568" width="87.6328125" style="44" bestFit="1" customWidth="1"/>
    <col min="12569" max="12569" width="69.26953125" style="44" bestFit="1" customWidth="1"/>
    <col min="12570" max="12570" width="68.54296875" style="44" bestFit="1" customWidth="1"/>
    <col min="12571" max="12571" width="67.6328125" style="44" bestFit="1" customWidth="1"/>
    <col min="12572" max="12572" width="64" style="44" bestFit="1" customWidth="1"/>
    <col min="12573" max="12573" width="43.81640625" style="44" bestFit="1" customWidth="1"/>
    <col min="12574" max="12574" width="39.81640625" style="44" bestFit="1" customWidth="1"/>
    <col min="12575" max="12575" width="85.26953125" style="44" bestFit="1" customWidth="1"/>
    <col min="12576" max="12576" width="84.08984375" style="44" bestFit="1" customWidth="1"/>
    <col min="12577" max="12577" width="91" style="44" bestFit="1" customWidth="1"/>
    <col min="12578" max="12578" width="79" style="44" bestFit="1" customWidth="1"/>
    <col min="12579" max="12579" width="89.90625" style="44" bestFit="1" customWidth="1"/>
    <col min="12580" max="12586" width="90.90625" style="44" bestFit="1" customWidth="1"/>
    <col min="12587" max="12587" width="91.90625" style="44" bestFit="1" customWidth="1"/>
    <col min="12588" max="12588" width="73.08984375" style="44" bestFit="1" customWidth="1"/>
    <col min="12589" max="12589" width="61.1796875" style="44" bestFit="1" customWidth="1"/>
    <col min="12590" max="12590" width="94.1796875" style="44" bestFit="1" customWidth="1"/>
    <col min="12591" max="12591" width="84.453125" style="44" bestFit="1" customWidth="1"/>
    <col min="12592" max="12592" width="86.81640625" style="44" bestFit="1" customWidth="1"/>
    <col min="12593" max="12593" width="90.08984375" style="44" bestFit="1" customWidth="1"/>
    <col min="12594" max="12594" width="86.7265625" style="44" bestFit="1" customWidth="1"/>
    <col min="12595" max="12595" width="87.6328125" style="44" bestFit="1" customWidth="1"/>
    <col min="12596" max="12598" width="97.6328125" style="44" bestFit="1" customWidth="1"/>
    <col min="12599" max="12599" width="72.54296875" style="44" bestFit="1" customWidth="1"/>
    <col min="12600" max="12600" width="73.6328125" style="44" bestFit="1" customWidth="1"/>
    <col min="12601" max="12601" width="58.6328125" style="44" bestFit="1" customWidth="1"/>
    <col min="12602" max="12603" width="74.08984375" style="44" bestFit="1" customWidth="1"/>
    <col min="12604" max="12604" width="75.54296875" style="44" bestFit="1" customWidth="1"/>
    <col min="12605" max="12605" width="92" style="44" bestFit="1" customWidth="1"/>
    <col min="12606" max="12606" width="93.54296875" style="44" bestFit="1" customWidth="1"/>
    <col min="12607" max="12608" width="75.54296875" style="44" bestFit="1" customWidth="1"/>
    <col min="12609" max="12609" width="78.08984375" style="44" bestFit="1" customWidth="1"/>
    <col min="12610" max="12610" width="70" style="44" bestFit="1" customWidth="1"/>
    <col min="12611" max="12611" width="84.81640625" style="44" bestFit="1" customWidth="1"/>
    <col min="12612" max="12612" width="93" style="44" bestFit="1" customWidth="1"/>
    <col min="12613" max="12613" width="83.453125" style="44" bestFit="1" customWidth="1"/>
    <col min="12614" max="12614" width="100.90625" style="44" bestFit="1" customWidth="1"/>
    <col min="12615" max="12617" width="64.54296875" style="44" bestFit="1" customWidth="1"/>
    <col min="12618" max="12619" width="82.7265625" style="44" bestFit="1" customWidth="1"/>
    <col min="12620" max="12620" width="99.453125" style="44" bestFit="1" customWidth="1"/>
    <col min="12621" max="12621" width="78.1796875" style="44" bestFit="1" customWidth="1"/>
    <col min="12622" max="12622" width="71.36328125" style="44" bestFit="1" customWidth="1"/>
    <col min="12623" max="12623" width="71.26953125" style="44" bestFit="1" customWidth="1"/>
    <col min="12624" max="12627" width="76.453125" style="44" bestFit="1" customWidth="1"/>
    <col min="12628" max="12628" width="70.54296875" style="44" bestFit="1" customWidth="1"/>
    <col min="12629" max="12629" width="63.36328125" style="44" bestFit="1" customWidth="1"/>
    <col min="12630" max="12630" width="97.81640625" style="44" bestFit="1" customWidth="1"/>
    <col min="12631" max="12632" width="73" style="44" bestFit="1" customWidth="1"/>
    <col min="12633" max="12633" width="79" style="44" bestFit="1" customWidth="1"/>
    <col min="12634" max="12634" width="73" style="44" bestFit="1" customWidth="1"/>
    <col min="12635" max="12635" width="82.1796875" style="44" bestFit="1" customWidth="1"/>
    <col min="12636" max="12636" width="61.453125" style="44" bestFit="1" customWidth="1"/>
    <col min="12637" max="12638" width="99.90625" style="44" bestFit="1" customWidth="1"/>
    <col min="12639" max="12639" width="100.36328125" style="44" bestFit="1" customWidth="1"/>
    <col min="12640" max="12640" width="84.453125" style="44" bestFit="1" customWidth="1"/>
    <col min="12641" max="12641" width="113.36328125" style="44" bestFit="1" customWidth="1"/>
    <col min="12642" max="12642" width="98.453125" style="44" bestFit="1" customWidth="1"/>
    <col min="12643" max="12643" width="99.7265625" style="44" bestFit="1" customWidth="1"/>
    <col min="12644" max="12644" width="99.54296875" style="44" bestFit="1" customWidth="1"/>
    <col min="12645" max="12645" width="96.81640625" style="44" bestFit="1" customWidth="1"/>
    <col min="12646" max="12646" width="94.08984375" style="44" bestFit="1" customWidth="1"/>
    <col min="12647" max="12647" width="100.453125" style="44" bestFit="1" customWidth="1"/>
    <col min="12648" max="12648" width="98.6328125" style="44" bestFit="1" customWidth="1"/>
    <col min="12649" max="12649" width="77.453125" style="44" bestFit="1" customWidth="1"/>
    <col min="12650" max="12650" width="95.1796875" style="44" bestFit="1" customWidth="1"/>
    <col min="12651" max="12651" width="86.6328125" style="44" bestFit="1" customWidth="1"/>
    <col min="12652" max="12652" width="77.26953125" style="44" bestFit="1" customWidth="1"/>
    <col min="12653" max="12653" width="85.1796875" style="44" bestFit="1" customWidth="1"/>
    <col min="12654" max="12654" width="74.7265625" style="44" bestFit="1" customWidth="1"/>
    <col min="12655" max="12655" width="92" style="44" bestFit="1" customWidth="1"/>
    <col min="12656" max="12656" width="72.26953125" style="44" bestFit="1" customWidth="1"/>
    <col min="12657" max="12657" width="97.08984375" style="44" bestFit="1" customWidth="1"/>
    <col min="12658" max="12658" width="77.08984375" style="44" bestFit="1" customWidth="1"/>
    <col min="12659" max="12659" width="85.08984375" style="44" bestFit="1" customWidth="1"/>
    <col min="12660" max="12661" width="83.1796875" style="44" bestFit="1" customWidth="1"/>
    <col min="12662" max="12662" width="82.6328125" style="44" bestFit="1" customWidth="1"/>
    <col min="12663" max="12663" width="86.26953125" style="44" bestFit="1" customWidth="1"/>
    <col min="12664" max="12664" width="71.1796875" style="44" bestFit="1" customWidth="1"/>
    <col min="12665" max="12665" width="66.6328125" style="44" bestFit="1" customWidth="1"/>
    <col min="12666" max="12667" width="83.1796875" style="44" bestFit="1" customWidth="1"/>
    <col min="12668" max="12668" width="67.08984375" style="44" bestFit="1" customWidth="1"/>
    <col min="12669" max="12669" width="76.54296875" style="44" bestFit="1" customWidth="1"/>
    <col min="12670" max="12670" width="94.08984375" style="44" bestFit="1" customWidth="1"/>
    <col min="12671" max="12671" width="89.08984375" style="44" bestFit="1" customWidth="1"/>
    <col min="12672" max="12672" width="68.1796875" style="44" bestFit="1" customWidth="1"/>
    <col min="12673" max="12673" width="91.7265625" style="44" bestFit="1" customWidth="1"/>
    <col min="12674" max="12674" width="63.36328125" style="44" bestFit="1" customWidth="1"/>
    <col min="12675" max="12675" width="66.6328125" style="44" bestFit="1" customWidth="1"/>
    <col min="12676" max="12676" width="63.36328125" style="44" bestFit="1" customWidth="1"/>
    <col min="12677" max="12677" width="63.453125" style="44" bestFit="1" customWidth="1"/>
    <col min="12678" max="12678" width="87.54296875" style="44" bestFit="1" customWidth="1"/>
    <col min="12679" max="12679" width="93.81640625" style="44" bestFit="1" customWidth="1"/>
    <col min="12680" max="12680" width="66.453125" style="44" bestFit="1" customWidth="1"/>
    <col min="12681" max="12682" width="110" style="44" bestFit="1" customWidth="1"/>
    <col min="12683" max="12683" width="103.1796875" style="44" bestFit="1" customWidth="1"/>
    <col min="12684" max="12684" width="62.453125" style="44" bestFit="1" customWidth="1"/>
    <col min="12685" max="12685" width="77.453125" style="44" bestFit="1" customWidth="1"/>
    <col min="12686" max="12686" width="91.54296875" style="44" bestFit="1" customWidth="1"/>
    <col min="12687" max="12687" width="88.08984375" style="44" bestFit="1" customWidth="1"/>
    <col min="12688" max="12688" width="80.6328125" style="44" bestFit="1" customWidth="1"/>
    <col min="12689" max="12689" width="77.453125" style="44" bestFit="1" customWidth="1"/>
    <col min="12690" max="12690" width="85.1796875" style="44" bestFit="1" customWidth="1"/>
    <col min="12691" max="12694" width="72.36328125" style="44" bestFit="1" customWidth="1"/>
    <col min="12695" max="12696" width="95" style="44" bestFit="1" customWidth="1"/>
    <col min="12697" max="12697" width="64.08984375" style="44" bestFit="1" customWidth="1"/>
    <col min="12698" max="12698" width="110.08984375" style="44" bestFit="1" customWidth="1"/>
    <col min="12699" max="12699" width="86.36328125" style="44" bestFit="1" customWidth="1"/>
    <col min="12700" max="12700" width="89.36328125" style="44" bestFit="1" customWidth="1"/>
    <col min="12701" max="12701" width="89.81640625" style="44" bestFit="1" customWidth="1"/>
    <col min="12702" max="12702" width="64.26953125" style="44" bestFit="1" customWidth="1"/>
    <col min="12703" max="12703" width="85.7265625" style="44" bestFit="1" customWidth="1"/>
    <col min="12704" max="12704" width="73" style="44" bestFit="1" customWidth="1"/>
    <col min="12705" max="12705" width="92.7265625" style="44" bestFit="1" customWidth="1"/>
    <col min="12706" max="12706" width="92.36328125" style="44" bestFit="1" customWidth="1"/>
    <col min="12707" max="12707" width="72" style="44" bestFit="1" customWidth="1"/>
    <col min="12708" max="12708" width="82" style="44" bestFit="1" customWidth="1"/>
    <col min="12709" max="12709" width="79.36328125" style="44" bestFit="1" customWidth="1"/>
    <col min="12710" max="12710" width="81" style="44" bestFit="1" customWidth="1"/>
    <col min="12711" max="12711" width="72.90625" style="44" bestFit="1" customWidth="1"/>
    <col min="12712" max="12712" width="90.81640625" style="44" bestFit="1" customWidth="1"/>
    <col min="12713" max="12713" width="84" style="44" bestFit="1" customWidth="1"/>
    <col min="12714" max="12715" width="73.36328125" style="44" bestFit="1" customWidth="1"/>
    <col min="12716" max="12716" width="90.6328125" style="44" bestFit="1" customWidth="1"/>
    <col min="12717" max="12717" width="89.453125" style="44" bestFit="1" customWidth="1"/>
    <col min="12718" max="12718" width="84.6328125" style="44" bestFit="1" customWidth="1"/>
    <col min="12719" max="12719" width="74.54296875" style="44" bestFit="1" customWidth="1"/>
    <col min="12720" max="12720" width="76.90625" style="44" bestFit="1" customWidth="1"/>
    <col min="12721" max="12721" width="83" style="44" bestFit="1" customWidth="1"/>
    <col min="12722" max="12722" width="85.81640625" style="44" bestFit="1" customWidth="1"/>
    <col min="12723" max="12723" width="83.7265625" style="44" bestFit="1" customWidth="1"/>
    <col min="12724" max="12724" width="79.54296875" style="44" bestFit="1" customWidth="1"/>
    <col min="12725" max="12725" width="80.54296875" style="44" bestFit="1" customWidth="1"/>
    <col min="12726" max="12726" width="89.54296875" style="44" bestFit="1" customWidth="1"/>
    <col min="12727" max="12727" width="85.36328125" style="44" bestFit="1" customWidth="1"/>
    <col min="12728" max="12728" width="61.6328125" style="44" bestFit="1" customWidth="1"/>
    <col min="12729" max="12729" width="132.54296875" style="44" bestFit="1" customWidth="1"/>
    <col min="12730" max="12730" width="93.1796875" style="44" bestFit="1" customWidth="1"/>
    <col min="12731" max="12731" width="91.08984375" style="44" bestFit="1" customWidth="1"/>
    <col min="12732" max="12732" width="81.7265625" style="44" bestFit="1" customWidth="1"/>
    <col min="12733" max="12734" width="80.90625" style="44" bestFit="1" customWidth="1"/>
    <col min="12735" max="12735" width="83.26953125" style="44" bestFit="1" customWidth="1"/>
    <col min="12736" max="12736" width="101.453125" style="44" bestFit="1" customWidth="1"/>
    <col min="12737" max="12737" width="110.1796875" style="44" bestFit="1" customWidth="1"/>
    <col min="12738" max="12738" width="74.6328125" style="44" bestFit="1" customWidth="1"/>
    <col min="12739" max="12742" width="84.54296875" style="44" bestFit="1" customWidth="1"/>
    <col min="12743" max="12743" width="74.36328125" style="44" bestFit="1" customWidth="1"/>
    <col min="12744" max="12744" width="88.1796875" style="44" bestFit="1" customWidth="1"/>
    <col min="12745" max="12745" width="78.6328125" style="44" bestFit="1" customWidth="1"/>
    <col min="12746" max="12746" width="76.81640625" style="44" bestFit="1" customWidth="1"/>
    <col min="12747" max="12747" width="74.7265625" style="44" bestFit="1" customWidth="1"/>
    <col min="12748" max="12748" width="87.26953125" style="44" bestFit="1" customWidth="1"/>
    <col min="12749" max="12749" width="85.54296875" style="44" bestFit="1" customWidth="1"/>
    <col min="12750" max="12750" width="100.26953125" style="44" bestFit="1" customWidth="1"/>
    <col min="12751" max="12751" width="71.36328125" style="44" bestFit="1" customWidth="1"/>
    <col min="12752" max="12752" width="105.453125" style="44" bestFit="1" customWidth="1"/>
    <col min="12753" max="12753" width="103.08984375" style="44" bestFit="1" customWidth="1"/>
    <col min="12754" max="12754" width="85.7265625" style="44" bestFit="1" customWidth="1"/>
    <col min="12755" max="12755" width="99.26953125" style="44" bestFit="1" customWidth="1"/>
    <col min="12756" max="12756" width="83.54296875" style="44" bestFit="1" customWidth="1"/>
    <col min="12757" max="12757" width="96.90625" style="44" bestFit="1" customWidth="1"/>
    <col min="12758" max="12758" width="74.26953125" style="44" bestFit="1" customWidth="1"/>
    <col min="12759" max="12759" width="98.36328125" style="44" bestFit="1" customWidth="1"/>
    <col min="12760" max="12760" width="74.453125" style="44" bestFit="1" customWidth="1"/>
    <col min="12761" max="12761" width="88.81640625" style="44" bestFit="1" customWidth="1"/>
    <col min="12762" max="12762" width="67.6328125" style="44" bestFit="1" customWidth="1"/>
    <col min="12763" max="12763" width="93.08984375" style="44" bestFit="1" customWidth="1"/>
    <col min="12764" max="12764" width="101.453125" style="44" bestFit="1" customWidth="1"/>
    <col min="12765" max="12767" width="76.81640625" style="44" bestFit="1" customWidth="1"/>
    <col min="12768" max="12768" width="87.08984375" style="44" bestFit="1" customWidth="1"/>
    <col min="12769" max="12769" width="72.453125" style="44" bestFit="1" customWidth="1"/>
    <col min="12770" max="12770" width="87.81640625" style="44" bestFit="1" customWidth="1"/>
    <col min="12771" max="12771" width="71.7265625" style="44" bestFit="1" customWidth="1"/>
    <col min="12772" max="12772" width="74" style="44" bestFit="1" customWidth="1"/>
    <col min="12773" max="12773" width="74.08984375" style="44" bestFit="1" customWidth="1"/>
    <col min="12774" max="12776" width="86.81640625" style="44" bestFit="1" customWidth="1"/>
    <col min="12777" max="12777" width="104.7265625" style="44" bestFit="1" customWidth="1"/>
    <col min="12778" max="12778" width="101.81640625" style="44" bestFit="1" customWidth="1"/>
    <col min="12779" max="12779" width="64.453125" style="44" bestFit="1" customWidth="1"/>
    <col min="12780" max="12780" width="65.1796875" style="44" bestFit="1" customWidth="1"/>
    <col min="12781" max="12781" width="72.453125" style="44" bestFit="1" customWidth="1"/>
    <col min="12782" max="12782" width="81.36328125" style="44" bestFit="1" customWidth="1"/>
    <col min="12783" max="12783" width="65.1796875" style="44" bestFit="1" customWidth="1"/>
    <col min="12784" max="12784" width="80.90625" style="44" bestFit="1" customWidth="1"/>
    <col min="12785" max="12785" width="71.7265625" style="44" bestFit="1" customWidth="1"/>
    <col min="12786" max="12786" width="73.6328125" style="44" bestFit="1" customWidth="1"/>
    <col min="12787" max="12788" width="85.36328125" style="44" bestFit="1" customWidth="1"/>
    <col min="12789" max="12789" width="92.26953125" style="44" bestFit="1" customWidth="1"/>
    <col min="12790" max="12790" width="106.1796875" style="44" bestFit="1" customWidth="1"/>
    <col min="12791" max="12791" width="86.6328125" style="44" bestFit="1" customWidth="1"/>
    <col min="12792" max="12793" width="68.90625" style="44" bestFit="1" customWidth="1"/>
    <col min="12794" max="12794" width="80.54296875" style="44" bestFit="1" customWidth="1"/>
    <col min="12795" max="12795" width="68.90625" style="44" bestFit="1" customWidth="1"/>
    <col min="12796" max="12796" width="79.1796875" style="44" bestFit="1" customWidth="1"/>
    <col min="12797" max="12797" width="79.26953125" style="44" bestFit="1" customWidth="1"/>
    <col min="12798" max="12798" width="80.1796875" style="44" bestFit="1" customWidth="1"/>
    <col min="12799" max="12799" width="84.81640625" style="44" bestFit="1" customWidth="1"/>
    <col min="12800" max="12800" width="76.81640625" style="44" bestFit="1" customWidth="1"/>
    <col min="12801" max="12801" width="7.90625" style="44" bestFit="1" customWidth="1"/>
    <col min="12802" max="12802" width="132.54296875" style="44" bestFit="1" customWidth="1"/>
    <col min="12803" max="12803" width="45.36328125" style="44" bestFit="1" customWidth="1"/>
    <col min="12804" max="12804" width="14.08984375" style="44" bestFit="1" customWidth="1"/>
    <col min="12805" max="12806" width="8.7265625" style="44"/>
    <col min="12807" max="12807" width="49.7265625" style="44" bestFit="1" customWidth="1"/>
    <col min="12808" max="12808" width="7.90625" style="44" bestFit="1" customWidth="1"/>
    <col min="12809" max="12809" width="7.81640625" style="44" bestFit="1" customWidth="1"/>
    <col min="12810" max="12821" width="8.81640625" style="44" bestFit="1" customWidth="1"/>
    <col min="12822" max="12822" width="10.81640625" style="44" bestFit="1" customWidth="1"/>
    <col min="12823" max="12823" width="93.36328125" style="44" bestFit="1" customWidth="1"/>
    <col min="12824" max="12824" width="87.6328125" style="44" bestFit="1" customWidth="1"/>
    <col min="12825" max="12825" width="69.26953125" style="44" bestFit="1" customWidth="1"/>
    <col min="12826" max="12826" width="68.54296875" style="44" bestFit="1" customWidth="1"/>
    <col min="12827" max="12827" width="67.6328125" style="44" bestFit="1" customWidth="1"/>
    <col min="12828" max="12828" width="64" style="44" bestFit="1" customWidth="1"/>
    <col min="12829" max="12829" width="43.81640625" style="44" bestFit="1" customWidth="1"/>
    <col min="12830" max="12830" width="39.81640625" style="44" bestFit="1" customWidth="1"/>
    <col min="12831" max="12831" width="85.26953125" style="44" bestFit="1" customWidth="1"/>
    <col min="12832" max="12832" width="84.08984375" style="44" bestFit="1" customWidth="1"/>
    <col min="12833" max="12833" width="91" style="44" bestFit="1" customWidth="1"/>
    <col min="12834" max="12834" width="79" style="44" bestFit="1" customWidth="1"/>
    <col min="12835" max="12835" width="89.90625" style="44" bestFit="1" customWidth="1"/>
    <col min="12836" max="12842" width="90.90625" style="44" bestFit="1" customWidth="1"/>
    <col min="12843" max="12843" width="91.90625" style="44" bestFit="1" customWidth="1"/>
    <col min="12844" max="12844" width="73.08984375" style="44" bestFit="1" customWidth="1"/>
    <col min="12845" max="12845" width="61.1796875" style="44" bestFit="1" customWidth="1"/>
    <col min="12846" max="12846" width="94.1796875" style="44" bestFit="1" customWidth="1"/>
    <col min="12847" max="12847" width="84.453125" style="44" bestFit="1" customWidth="1"/>
    <col min="12848" max="12848" width="86.81640625" style="44" bestFit="1" customWidth="1"/>
    <col min="12849" max="12849" width="90.08984375" style="44" bestFit="1" customWidth="1"/>
    <col min="12850" max="12850" width="86.7265625" style="44" bestFit="1" customWidth="1"/>
    <col min="12851" max="12851" width="87.6328125" style="44" bestFit="1" customWidth="1"/>
    <col min="12852" max="12854" width="97.6328125" style="44" bestFit="1" customWidth="1"/>
    <col min="12855" max="12855" width="72.54296875" style="44" bestFit="1" customWidth="1"/>
    <col min="12856" max="12856" width="73.6328125" style="44" bestFit="1" customWidth="1"/>
    <col min="12857" max="12857" width="58.6328125" style="44" bestFit="1" customWidth="1"/>
    <col min="12858" max="12859" width="74.08984375" style="44" bestFit="1" customWidth="1"/>
    <col min="12860" max="12860" width="75.54296875" style="44" bestFit="1" customWidth="1"/>
    <col min="12861" max="12861" width="92" style="44" bestFit="1" customWidth="1"/>
    <col min="12862" max="12862" width="93.54296875" style="44" bestFit="1" customWidth="1"/>
    <col min="12863" max="12864" width="75.54296875" style="44" bestFit="1" customWidth="1"/>
    <col min="12865" max="12865" width="78.08984375" style="44" bestFit="1" customWidth="1"/>
    <col min="12866" max="12866" width="70" style="44" bestFit="1" customWidth="1"/>
    <col min="12867" max="12867" width="84.81640625" style="44" bestFit="1" customWidth="1"/>
    <col min="12868" max="12868" width="93" style="44" bestFit="1" customWidth="1"/>
    <col min="12869" max="12869" width="83.453125" style="44" bestFit="1" customWidth="1"/>
    <col min="12870" max="12870" width="100.90625" style="44" bestFit="1" customWidth="1"/>
    <col min="12871" max="12873" width="64.54296875" style="44" bestFit="1" customWidth="1"/>
    <col min="12874" max="12875" width="82.7265625" style="44" bestFit="1" customWidth="1"/>
    <col min="12876" max="12876" width="99.453125" style="44" bestFit="1" customWidth="1"/>
    <col min="12877" max="12877" width="78.1796875" style="44" bestFit="1" customWidth="1"/>
    <col min="12878" max="12878" width="71.36328125" style="44" bestFit="1" customWidth="1"/>
    <col min="12879" max="12879" width="71.26953125" style="44" bestFit="1" customWidth="1"/>
    <col min="12880" max="12883" width="76.453125" style="44" bestFit="1" customWidth="1"/>
    <col min="12884" max="12884" width="70.54296875" style="44" bestFit="1" customWidth="1"/>
    <col min="12885" max="12885" width="63.36328125" style="44" bestFit="1" customWidth="1"/>
    <col min="12886" max="12886" width="97.81640625" style="44" bestFit="1" customWidth="1"/>
    <col min="12887" max="12888" width="73" style="44" bestFit="1" customWidth="1"/>
    <col min="12889" max="12889" width="79" style="44" bestFit="1" customWidth="1"/>
    <col min="12890" max="12890" width="73" style="44" bestFit="1" customWidth="1"/>
    <col min="12891" max="12891" width="82.1796875" style="44" bestFit="1" customWidth="1"/>
    <col min="12892" max="12892" width="61.453125" style="44" bestFit="1" customWidth="1"/>
    <col min="12893" max="12894" width="99.90625" style="44" bestFit="1" customWidth="1"/>
    <col min="12895" max="12895" width="100.36328125" style="44" bestFit="1" customWidth="1"/>
    <col min="12896" max="12896" width="84.453125" style="44" bestFit="1" customWidth="1"/>
    <col min="12897" max="12897" width="113.36328125" style="44" bestFit="1" customWidth="1"/>
    <col min="12898" max="12898" width="98.453125" style="44" bestFit="1" customWidth="1"/>
    <col min="12899" max="12899" width="99.7265625" style="44" bestFit="1" customWidth="1"/>
    <col min="12900" max="12900" width="99.54296875" style="44" bestFit="1" customWidth="1"/>
    <col min="12901" max="12901" width="96.81640625" style="44" bestFit="1" customWidth="1"/>
    <col min="12902" max="12902" width="94.08984375" style="44" bestFit="1" customWidth="1"/>
    <col min="12903" max="12903" width="100.453125" style="44" bestFit="1" customWidth="1"/>
    <col min="12904" max="12904" width="98.6328125" style="44" bestFit="1" customWidth="1"/>
    <col min="12905" max="12905" width="77.453125" style="44" bestFit="1" customWidth="1"/>
    <col min="12906" max="12906" width="95.1796875" style="44" bestFit="1" customWidth="1"/>
    <col min="12907" max="12907" width="86.6328125" style="44" bestFit="1" customWidth="1"/>
    <col min="12908" max="12908" width="77.26953125" style="44" bestFit="1" customWidth="1"/>
    <col min="12909" max="12909" width="85.1796875" style="44" bestFit="1" customWidth="1"/>
    <col min="12910" max="12910" width="74.7265625" style="44" bestFit="1" customWidth="1"/>
    <col min="12911" max="12911" width="92" style="44" bestFit="1" customWidth="1"/>
    <col min="12912" max="12912" width="72.26953125" style="44" bestFit="1" customWidth="1"/>
    <col min="12913" max="12913" width="97.08984375" style="44" bestFit="1" customWidth="1"/>
    <col min="12914" max="12914" width="77.08984375" style="44" bestFit="1" customWidth="1"/>
    <col min="12915" max="12915" width="85.08984375" style="44" bestFit="1" customWidth="1"/>
    <col min="12916" max="12917" width="83.1796875" style="44" bestFit="1" customWidth="1"/>
    <col min="12918" max="12918" width="82.6328125" style="44" bestFit="1" customWidth="1"/>
    <col min="12919" max="12919" width="86.26953125" style="44" bestFit="1" customWidth="1"/>
    <col min="12920" max="12920" width="71.1796875" style="44" bestFit="1" customWidth="1"/>
    <col min="12921" max="12921" width="66.6328125" style="44" bestFit="1" customWidth="1"/>
    <col min="12922" max="12923" width="83.1796875" style="44" bestFit="1" customWidth="1"/>
    <col min="12924" max="12924" width="67.08984375" style="44" bestFit="1" customWidth="1"/>
    <col min="12925" max="12925" width="76.54296875" style="44" bestFit="1" customWidth="1"/>
    <col min="12926" max="12926" width="94.08984375" style="44" bestFit="1" customWidth="1"/>
    <col min="12927" max="12927" width="89.08984375" style="44" bestFit="1" customWidth="1"/>
    <col min="12928" max="12928" width="68.1796875" style="44" bestFit="1" customWidth="1"/>
    <col min="12929" max="12929" width="91.7265625" style="44" bestFit="1" customWidth="1"/>
    <col min="12930" max="12930" width="63.36328125" style="44" bestFit="1" customWidth="1"/>
    <col min="12931" max="12931" width="66.6328125" style="44" bestFit="1" customWidth="1"/>
    <col min="12932" max="12932" width="63.36328125" style="44" bestFit="1" customWidth="1"/>
    <col min="12933" max="12933" width="63.453125" style="44" bestFit="1" customWidth="1"/>
    <col min="12934" max="12934" width="87.54296875" style="44" bestFit="1" customWidth="1"/>
    <col min="12935" max="12935" width="93.81640625" style="44" bestFit="1" customWidth="1"/>
    <col min="12936" max="12936" width="66.453125" style="44" bestFit="1" customWidth="1"/>
    <col min="12937" max="12938" width="110" style="44" bestFit="1" customWidth="1"/>
    <col min="12939" max="12939" width="103.1796875" style="44" bestFit="1" customWidth="1"/>
    <col min="12940" max="12940" width="62.453125" style="44" bestFit="1" customWidth="1"/>
    <col min="12941" max="12941" width="77.453125" style="44" bestFit="1" customWidth="1"/>
    <col min="12942" max="12942" width="91.54296875" style="44" bestFit="1" customWidth="1"/>
    <col min="12943" max="12943" width="88.08984375" style="44" bestFit="1" customWidth="1"/>
    <col min="12944" max="12944" width="80.6328125" style="44" bestFit="1" customWidth="1"/>
    <col min="12945" max="12945" width="77.453125" style="44" bestFit="1" customWidth="1"/>
    <col min="12946" max="12946" width="85.1796875" style="44" bestFit="1" customWidth="1"/>
    <col min="12947" max="12950" width="72.36328125" style="44" bestFit="1" customWidth="1"/>
    <col min="12951" max="12952" width="95" style="44" bestFit="1" customWidth="1"/>
    <col min="12953" max="12953" width="64.08984375" style="44" bestFit="1" customWidth="1"/>
    <col min="12954" max="12954" width="110.08984375" style="44" bestFit="1" customWidth="1"/>
    <col min="12955" max="12955" width="86.36328125" style="44" bestFit="1" customWidth="1"/>
    <col min="12956" max="12956" width="89.36328125" style="44" bestFit="1" customWidth="1"/>
    <col min="12957" max="12957" width="89.81640625" style="44" bestFit="1" customWidth="1"/>
    <col min="12958" max="12958" width="64.26953125" style="44" bestFit="1" customWidth="1"/>
    <col min="12959" max="12959" width="85.7265625" style="44" bestFit="1" customWidth="1"/>
    <col min="12960" max="12960" width="73" style="44" bestFit="1" customWidth="1"/>
    <col min="12961" max="12961" width="92.7265625" style="44" bestFit="1" customWidth="1"/>
    <col min="12962" max="12962" width="92.36328125" style="44" bestFit="1" customWidth="1"/>
    <col min="12963" max="12963" width="72" style="44" bestFit="1" customWidth="1"/>
    <col min="12964" max="12964" width="82" style="44" bestFit="1" customWidth="1"/>
    <col min="12965" max="12965" width="79.36328125" style="44" bestFit="1" customWidth="1"/>
    <col min="12966" max="12966" width="81" style="44" bestFit="1" customWidth="1"/>
    <col min="12967" max="12967" width="72.90625" style="44" bestFit="1" customWidth="1"/>
    <col min="12968" max="12968" width="90.81640625" style="44" bestFit="1" customWidth="1"/>
    <col min="12969" max="12969" width="84" style="44" bestFit="1" customWidth="1"/>
    <col min="12970" max="12971" width="73.36328125" style="44" bestFit="1" customWidth="1"/>
    <col min="12972" max="12972" width="90.6328125" style="44" bestFit="1" customWidth="1"/>
    <col min="12973" max="12973" width="89.453125" style="44" bestFit="1" customWidth="1"/>
    <col min="12974" max="12974" width="84.6328125" style="44" bestFit="1" customWidth="1"/>
    <col min="12975" max="12975" width="74.54296875" style="44" bestFit="1" customWidth="1"/>
    <col min="12976" max="12976" width="76.90625" style="44" bestFit="1" customWidth="1"/>
    <col min="12977" max="12977" width="83" style="44" bestFit="1" customWidth="1"/>
    <col min="12978" max="12978" width="85.81640625" style="44" bestFit="1" customWidth="1"/>
    <col min="12979" max="12979" width="83.7265625" style="44" bestFit="1" customWidth="1"/>
    <col min="12980" max="12980" width="79.54296875" style="44" bestFit="1" customWidth="1"/>
    <col min="12981" max="12981" width="80.54296875" style="44" bestFit="1" customWidth="1"/>
    <col min="12982" max="12982" width="89.54296875" style="44" bestFit="1" customWidth="1"/>
    <col min="12983" max="12983" width="85.36328125" style="44" bestFit="1" customWidth="1"/>
    <col min="12984" max="12984" width="61.6328125" style="44" bestFit="1" customWidth="1"/>
    <col min="12985" max="12985" width="132.54296875" style="44" bestFit="1" customWidth="1"/>
    <col min="12986" max="12986" width="93.1796875" style="44" bestFit="1" customWidth="1"/>
    <col min="12987" max="12987" width="91.08984375" style="44" bestFit="1" customWidth="1"/>
    <col min="12988" max="12988" width="81.7265625" style="44" bestFit="1" customWidth="1"/>
    <col min="12989" max="12990" width="80.90625" style="44" bestFit="1" customWidth="1"/>
    <col min="12991" max="12991" width="83.26953125" style="44" bestFit="1" customWidth="1"/>
    <col min="12992" max="12992" width="101.453125" style="44" bestFit="1" customWidth="1"/>
    <col min="12993" max="12993" width="110.1796875" style="44" bestFit="1" customWidth="1"/>
    <col min="12994" max="12994" width="74.6328125" style="44" bestFit="1" customWidth="1"/>
    <col min="12995" max="12998" width="84.54296875" style="44" bestFit="1" customWidth="1"/>
    <col min="12999" max="12999" width="74.36328125" style="44" bestFit="1" customWidth="1"/>
    <col min="13000" max="13000" width="88.1796875" style="44" bestFit="1" customWidth="1"/>
    <col min="13001" max="13001" width="78.6328125" style="44" bestFit="1" customWidth="1"/>
    <col min="13002" max="13002" width="76.81640625" style="44" bestFit="1" customWidth="1"/>
    <col min="13003" max="13003" width="74.7265625" style="44" bestFit="1" customWidth="1"/>
    <col min="13004" max="13004" width="87.26953125" style="44" bestFit="1" customWidth="1"/>
    <col min="13005" max="13005" width="85.54296875" style="44" bestFit="1" customWidth="1"/>
    <col min="13006" max="13006" width="100.26953125" style="44" bestFit="1" customWidth="1"/>
    <col min="13007" max="13007" width="71.36328125" style="44" bestFit="1" customWidth="1"/>
    <col min="13008" max="13008" width="105.453125" style="44" bestFit="1" customWidth="1"/>
    <col min="13009" max="13009" width="103.08984375" style="44" bestFit="1" customWidth="1"/>
    <col min="13010" max="13010" width="85.7265625" style="44" bestFit="1" customWidth="1"/>
    <col min="13011" max="13011" width="99.26953125" style="44" bestFit="1" customWidth="1"/>
    <col min="13012" max="13012" width="83.54296875" style="44" bestFit="1" customWidth="1"/>
    <col min="13013" max="13013" width="96.90625" style="44" bestFit="1" customWidth="1"/>
    <col min="13014" max="13014" width="74.26953125" style="44" bestFit="1" customWidth="1"/>
    <col min="13015" max="13015" width="98.36328125" style="44" bestFit="1" customWidth="1"/>
    <col min="13016" max="13016" width="74.453125" style="44" bestFit="1" customWidth="1"/>
    <col min="13017" max="13017" width="88.81640625" style="44" bestFit="1" customWidth="1"/>
    <col min="13018" max="13018" width="67.6328125" style="44" bestFit="1" customWidth="1"/>
    <col min="13019" max="13019" width="93.08984375" style="44" bestFit="1" customWidth="1"/>
    <col min="13020" max="13020" width="101.453125" style="44" bestFit="1" customWidth="1"/>
    <col min="13021" max="13023" width="76.81640625" style="44" bestFit="1" customWidth="1"/>
    <col min="13024" max="13024" width="87.08984375" style="44" bestFit="1" customWidth="1"/>
    <col min="13025" max="13025" width="72.453125" style="44" bestFit="1" customWidth="1"/>
    <col min="13026" max="13026" width="87.81640625" style="44" bestFit="1" customWidth="1"/>
    <col min="13027" max="13027" width="71.7265625" style="44" bestFit="1" customWidth="1"/>
    <col min="13028" max="13028" width="74" style="44" bestFit="1" customWidth="1"/>
    <col min="13029" max="13029" width="74.08984375" style="44" bestFit="1" customWidth="1"/>
    <col min="13030" max="13032" width="86.81640625" style="44" bestFit="1" customWidth="1"/>
    <col min="13033" max="13033" width="104.7265625" style="44" bestFit="1" customWidth="1"/>
    <col min="13034" max="13034" width="101.81640625" style="44" bestFit="1" customWidth="1"/>
    <col min="13035" max="13035" width="64.453125" style="44" bestFit="1" customWidth="1"/>
    <col min="13036" max="13036" width="65.1796875" style="44" bestFit="1" customWidth="1"/>
    <col min="13037" max="13037" width="72.453125" style="44" bestFit="1" customWidth="1"/>
    <col min="13038" max="13038" width="81.36328125" style="44" bestFit="1" customWidth="1"/>
    <col min="13039" max="13039" width="65.1796875" style="44" bestFit="1" customWidth="1"/>
    <col min="13040" max="13040" width="80.90625" style="44" bestFit="1" customWidth="1"/>
    <col min="13041" max="13041" width="71.7265625" style="44" bestFit="1" customWidth="1"/>
    <col min="13042" max="13042" width="73.6328125" style="44" bestFit="1" customWidth="1"/>
    <col min="13043" max="13044" width="85.36328125" style="44" bestFit="1" customWidth="1"/>
    <col min="13045" max="13045" width="92.26953125" style="44" bestFit="1" customWidth="1"/>
    <col min="13046" max="13046" width="106.1796875" style="44" bestFit="1" customWidth="1"/>
    <col min="13047" max="13047" width="86.6328125" style="44" bestFit="1" customWidth="1"/>
    <col min="13048" max="13049" width="68.90625" style="44" bestFit="1" customWidth="1"/>
    <col min="13050" max="13050" width="80.54296875" style="44" bestFit="1" customWidth="1"/>
    <col min="13051" max="13051" width="68.90625" style="44" bestFit="1" customWidth="1"/>
    <col min="13052" max="13052" width="79.1796875" style="44" bestFit="1" customWidth="1"/>
    <col min="13053" max="13053" width="79.26953125" style="44" bestFit="1" customWidth="1"/>
    <col min="13054" max="13054" width="80.1796875" style="44" bestFit="1" customWidth="1"/>
    <col min="13055" max="13055" width="84.81640625" style="44" bestFit="1" customWidth="1"/>
    <col min="13056" max="13056" width="76.81640625" style="44" bestFit="1" customWidth="1"/>
    <col min="13057" max="13057" width="7.90625" style="44" bestFit="1" customWidth="1"/>
    <col min="13058" max="13058" width="132.54296875" style="44" bestFit="1" customWidth="1"/>
    <col min="13059" max="13059" width="45.36328125" style="44" bestFit="1" customWidth="1"/>
    <col min="13060" max="13060" width="14.08984375" style="44" bestFit="1" customWidth="1"/>
    <col min="13061" max="13062" width="8.7265625" style="44"/>
    <col min="13063" max="13063" width="49.7265625" style="44" bestFit="1" customWidth="1"/>
    <col min="13064" max="13064" width="7.90625" style="44" bestFit="1" customWidth="1"/>
    <col min="13065" max="13065" width="7.81640625" style="44" bestFit="1" customWidth="1"/>
    <col min="13066" max="13077" width="8.81640625" style="44" bestFit="1" customWidth="1"/>
    <col min="13078" max="13078" width="10.81640625" style="44" bestFit="1" customWidth="1"/>
    <col min="13079" max="13079" width="93.36328125" style="44" bestFit="1" customWidth="1"/>
    <col min="13080" max="13080" width="87.6328125" style="44" bestFit="1" customWidth="1"/>
    <col min="13081" max="13081" width="69.26953125" style="44" bestFit="1" customWidth="1"/>
    <col min="13082" max="13082" width="68.54296875" style="44" bestFit="1" customWidth="1"/>
    <col min="13083" max="13083" width="67.6328125" style="44" bestFit="1" customWidth="1"/>
    <col min="13084" max="13084" width="64" style="44" bestFit="1" customWidth="1"/>
    <col min="13085" max="13085" width="43.81640625" style="44" bestFit="1" customWidth="1"/>
    <col min="13086" max="13086" width="39.81640625" style="44" bestFit="1" customWidth="1"/>
    <col min="13087" max="13087" width="85.26953125" style="44" bestFit="1" customWidth="1"/>
    <col min="13088" max="13088" width="84.08984375" style="44" bestFit="1" customWidth="1"/>
    <col min="13089" max="13089" width="91" style="44" bestFit="1" customWidth="1"/>
    <col min="13090" max="13090" width="79" style="44" bestFit="1" customWidth="1"/>
    <col min="13091" max="13091" width="89.90625" style="44" bestFit="1" customWidth="1"/>
    <col min="13092" max="13098" width="90.90625" style="44" bestFit="1" customWidth="1"/>
    <col min="13099" max="13099" width="91.90625" style="44" bestFit="1" customWidth="1"/>
    <col min="13100" max="13100" width="73.08984375" style="44" bestFit="1" customWidth="1"/>
    <col min="13101" max="13101" width="61.1796875" style="44" bestFit="1" customWidth="1"/>
    <col min="13102" max="13102" width="94.1796875" style="44" bestFit="1" customWidth="1"/>
    <col min="13103" max="13103" width="84.453125" style="44" bestFit="1" customWidth="1"/>
    <col min="13104" max="13104" width="86.81640625" style="44" bestFit="1" customWidth="1"/>
    <col min="13105" max="13105" width="90.08984375" style="44" bestFit="1" customWidth="1"/>
    <col min="13106" max="13106" width="86.7265625" style="44" bestFit="1" customWidth="1"/>
    <col min="13107" max="13107" width="87.6328125" style="44" bestFit="1" customWidth="1"/>
    <col min="13108" max="13110" width="97.6328125" style="44" bestFit="1" customWidth="1"/>
    <col min="13111" max="13111" width="72.54296875" style="44" bestFit="1" customWidth="1"/>
    <col min="13112" max="13112" width="73.6328125" style="44" bestFit="1" customWidth="1"/>
    <col min="13113" max="13113" width="58.6328125" style="44" bestFit="1" customWidth="1"/>
    <col min="13114" max="13115" width="74.08984375" style="44" bestFit="1" customWidth="1"/>
    <col min="13116" max="13116" width="75.54296875" style="44" bestFit="1" customWidth="1"/>
    <col min="13117" max="13117" width="92" style="44" bestFit="1" customWidth="1"/>
    <col min="13118" max="13118" width="93.54296875" style="44" bestFit="1" customWidth="1"/>
    <col min="13119" max="13120" width="75.54296875" style="44" bestFit="1" customWidth="1"/>
    <col min="13121" max="13121" width="78.08984375" style="44" bestFit="1" customWidth="1"/>
    <col min="13122" max="13122" width="70" style="44" bestFit="1" customWidth="1"/>
    <col min="13123" max="13123" width="84.81640625" style="44" bestFit="1" customWidth="1"/>
    <col min="13124" max="13124" width="93" style="44" bestFit="1" customWidth="1"/>
    <col min="13125" max="13125" width="83.453125" style="44" bestFit="1" customWidth="1"/>
    <col min="13126" max="13126" width="100.90625" style="44" bestFit="1" customWidth="1"/>
    <col min="13127" max="13129" width="64.54296875" style="44" bestFit="1" customWidth="1"/>
    <col min="13130" max="13131" width="82.7265625" style="44" bestFit="1" customWidth="1"/>
    <col min="13132" max="13132" width="99.453125" style="44" bestFit="1" customWidth="1"/>
    <col min="13133" max="13133" width="78.1796875" style="44" bestFit="1" customWidth="1"/>
    <col min="13134" max="13134" width="71.36328125" style="44" bestFit="1" customWidth="1"/>
    <col min="13135" max="13135" width="71.26953125" style="44" bestFit="1" customWidth="1"/>
    <col min="13136" max="13139" width="76.453125" style="44" bestFit="1" customWidth="1"/>
    <col min="13140" max="13140" width="70.54296875" style="44" bestFit="1" customWidth="1"/>
    <col min="13141" max="13141" width="63.36328125" style="44" bestFit="1" customWidth="1"/>
    <col min="13142" max="13142" width="97.81640625" style="44" bestFit="1" customWidth="1"/>
    <col min="13143" max="13144" width="73" style="44" bestFit="1" customWidth="1"/>
    <col min="13145" max="13145" width="79" style="44" bestFit="1" customWidth="1"/>
    <col min="13146" max="13146" width="73" style="44" bestFit="1" customWidth="1"/>
    <col min="13147" max="13147" width="82.1796875" style="44" bestFit="1" customWidth="1"/>
    <col min="13148" max="13148" width="61.453125" style="44" bestFit="1" customWidth="1"/>
    <col min="13149" max="13150" width="99.90625" style="44" bestFit="1" customWidth="1"/>
    <col min="13151" max="13151" width="100.36328125" style="44" bestFit="1" customWidth="1"/>
    <col min="13152" max="13152" width="84.453125" style="44" bestFit="1" customWidth="1"/>
    <col min="13153" max="13153" width="113.36328125" style="44" bestFit="1" customWidth="1"/>
    <col min="13154" max="13154" width="98.453125" style="44" bestFit="1" customWidth="1"/>
    <col min="13155" max="13155" width="99.7265625" style="44" bestFit="1" customWidth="1"/>
    <col min="13156" max="13156" width="99.54296875" style="44" bestFit="1" customWidth="1"/>
    <col min="13157" max="13157" width="96.81640625" style="44" bestFit="1" customWidth="1"/>
    <col min="13158" max="13158" width="94.08984375" style="44" bestFit="1" customWidth="1"/>
    <col min="13159" max="13159" width="100.453125" style="44" bestFit="1" customWidth="1"/>
    <col min="13160" max="13160" width="98.6328125" style="44" bestFit="1" customWidth="1"/>
    <col min="13161" max="13161" width="77.453125" style="44" bestFit="1" customWidth="1"/>
    <col min="13162" max="13162" width="95.1796875" style="44" bestFit="1" customWidth="1"/>
    <col min="13163" max="13163" width="86.6328125" style="44" bestFit="1" customWidth="1"/>
    <col min="13164" max="13164" width="77.26953125" style="44" bestFit="1" customWidth="1"/>
    <col min="13165" max="13165" width="85.1796875" style="44" bestFit="1" customWidth="1"/>
    <col min="13166" max="13166" width="74.7265625" style="44" bestFit="1" customWidth="1"/>
    <col min="13167" max="13167" width="92" style="44" bestFit="1" customWidth="1"/>
    <col min="13168" max="13168" width="72.26953125" style="44" bestFit="1" customWidth="1"/>
    <col min="13169" max="13169" width="97.08984375" style="44" bestFit="1" customWidth="1"/>
    <col min="13170" max="13170" width="77.08984375" style="44" bestFit="1" customWidth="1"/>
    <col min="13171" max="13171" width="85.08984375" style="44" bestFit="1" customWidth="1"/>
    <col min="13172" max="13173" width="83.1796875" style="44" bestFit="1" customWidth="1"/>
    <col min="13174" max="13174" width="82.6328125" style="44" bestFit="1" customWidth="1"/>
    <col min="13175" max="13175" width="86.26953125" style="44" bestFit="1" customWidth="1"/>
    <col min="13176" max="13176" width="71.1796875" style="44" bestFit="1" customWidth="1"/>
    <col min="13177" max="13177" width="66.6328125" style="44" bestFit="1" customWidth="1"/>
    <col min="13178" max="13179" width="83.1796875" style="44" bestFit="1" customWidth="1"/>
    <col min="13180" max="13180" width="67.08984375" style="44" bestFit="1" customWidth="1"/>
    <col min="13181" max="13181" width="76.54296875" style="44" bestFit="1" customWidth="1"/>
    <col min="13182" max="13182" width="94.08984375" style="44" bestFit="1" customWidth="1"/>
    <col min="13183" max="13183" width="89.08984375" style="44" bestFit="1" customWidth="1"/>
    <col min="13184" max="13184" width="68.1796875" style="44" bestFit="1" customWidth="1"/>
    <col min="13185" max="13185" width="91.7265625" style="44" bestFit="1" customWidth="1"/>
    <col min="13186" max="13186" width="63.36328125" style="44" bestFit="1" customWidth="1"/>
    <col min="13187" max="13187" width="66.6328125" style="44" bestFit="1" customWidth="1"/>
    <col min="13188" max="13188" width="63.36328125" style="44" bestFit="1" customWidth="1"/>
    <col min="13189" max="13189" width="63.453125" style="44" bestFit="1" customWidth="1"/>
    <col min="13190" max="13190" width="87.54296875" style="44" bestFit="1" customWidth="1"/>
    <col min="13191" max="13191" width="93.81640625" style="44" bestFit="1" customWidth="1"/>
    <col min="13192" max="13192" width="66.453125" style="44" bestFit="1" customWidth="1"/>
    <col min="13193" max="13194" width="110" style="44" bestFit="1" customWidth="1"/>
    <col min="13195" max="13195" width="103.1796875" style="44" bestFit="1" customWidth="1"/>
    <col min="13196" max="13196" width="62.453125" style="44" bestFit="1" customWidth="1"/>
    <col min="13197" max="13197" width="77.453125" style="44" bestFit="1" customWidth="1"/>
    <col min="13198" max="13198" width="91.54296875" style="44" bestFit="1" customWidth="1"/>
    <col min="13199" max="13199" width="88.08984375" style="44" bestFit="1" customWidth="1"/>
    <col min="13200" max="13200" width="80.6328125" style="44" bestFit="1" customWidth="1"/>
    <col min="13201" max="13201" width="77.453125" style="44" bestFit="1" customWidth="1"/>
    <col min="13202" max="13202" width="85.1796875" style="44" bestFit="1" customWidth="1"/>
    <col min="13203" max="13206" width="72.36328125" style="44" bestFit="1" customWidth="1"/>
    <col min="13207" max="13208" width="95" style="44" bestFit="1" customWidth="1"/>
    <col min="13209" max="13209" width="64.08984375" style="44" bestFit="1" customWidth="1"/>
    <col min="13210" max="13210" width="110.08984375" style="44" bestFit="1" customWidth="1"/>
    <col min="13211" max="13211" width="86.36328125" style="44" bestFit="1" customWidth="1"/>
    <col min="13212" max="13212" width="89.36328125" style="44" bestFit="1" customWidth="1"/>
    <col min="13213" max="13213" width="89.81640625" style="44" bestFit="1" customWidth="1"/>
    <col min="13214" max="13214" width="64.26953125" style="44" bestFit="1" customWidth="1"/>
    <col min="13215" max="13215" width="85.7265625" style="44" bestFit="1" customWidth="1"/>
    <col min="13216" max="13216" width="73" style="44" bestFit="1" customWidth="1"/>
    <col min="13217" max="13217" width="92.7265625" style="44" bestFit="1" customWidth="1"/>
    <col min="13218" max="13218" width="92.36328125" style="44" bestFit="1" customWidth="1"/>
    <col min="13219" max="13219" width="72" style="44" bestFit="1" customWidth="1"/>
    <col min="13220" max="13220" width="82" style="44" bestFit="1" customWidth="1"/>
    <col min="13221" max="13221" width="79.36328125" style="44" bestFit="1" customWidth="1"/>
    <col min="13222" max="13222" width="81" style="44" bestFit="1" customWidth="1"/>
    <col min="13223" max="13223" width="72.90625" style="44" bestFit="1" customWidth="1"/>
    <col min="13224" max="13224" width="90.81640625" style="44" bestFit="1" customWidth="1"/>
    <col min="13225" max="13225" width="84" style="44" bestFit="1" customWidth="1"/>
    <col min="13226" max="13227" width="73.36328125" style="44" bestFit="1" customWidth="1"/>
    <col min="13228" max="13228" width="90.6328125" style="44" bestFit="1" customWidth="1"/>
    <col min="13229" max="13229" width="89.453125" style="44" bestFit="1" customWidth="1"/>
    <col min="13230" max="13230" width="84.6328125" style="44" bestFit="1" customWidth="1"/>
    <col min="13231" max="13231" width="74.54296875" style="44" bestFit="1" customWidth="1"/>
    <col min="13232" max="13232" width="76.90625" style="44" bestFit="1" customWidth="1"/>
    <col min="13233" max="13233" width="83" style="44" bestFit="1" customWidth="1"/>
    <col min="13234" max="13234" width="85.81640625" style="44" bestFit="1" customWidth="1"/>
    <col min="13235" max="13235" width="83.7265625" style="44" bestFit="1" customWidth="1"/>
    <col min="13236" max="13236" width="79.54296875" style="44" bestFit="1" customWidth="1"/>
    <col min="13237" max="13237" width="80.54296875" style="44" bestFit="1" customWidth="1"/>
    <col min="13238" max="13238" width="89.54296875" style="44" bestFit="1" customWidth="1"/>
    <col min="13239" max="13239" width="85.36328125" style="44" bestFit="1" customWidth="1"/>
    <col min="13240" max="13240" width="61.6328125" style="44" bestFit="1" customWidth="1"/>
    <col min="13241" max="13241" width="132.54296875" style="44" bestFit="1" customWidth="1"/>
    <col min="13242" max="13242" width="93.1796875" style="44" bestFit="1" customWidth="1"/>
    <col min="13243" max="13243" width="91.08984375" style="44" bestFit="1" customWidth="1"/>
    <col min="13244" max="13244" width="81.7265625" style="44" bestFit="1" customWidth="1"/>
    <col min="13245" max="13246" width="80.90625" style="44" bestFit="1" customWidth="1"/>
    <col min="13247" max="13247" width="83.26953125" style="44" bestFit="1" customWidth="1"/>
    <col min="13248" max="13248" width="101.453125" style="44" bestFit="1" customWidth="1"/>
    <col min="13249" max="13249" width="110.1796875" style="44" bestFit="1" customWidth="1"/>
    <col min="13250" max="13250" width="74.6328125" style="44" bestFit="1" customWidth="1"/>
    <col min="13251" max="13254" width="84.54296875" style="44" bestFit="1" customWidth="1"/>
    <col min="13255" max="13255" width="74.36328125" style="44" bestFit="1" customWidth="1"/>
    <col min="13256" max="13256" width="88.1796875" style="44" bestFit="1" customWidth="1"/>
    <col min="13257" max="13257" width="78.6328125" style="44" bestFit="1" customWidth="1"/>
    <col min="13258" max="13258" width="76.81640625" style="44" bestFit="1" customWidth="1"/>
    <col min="13259" max="13259" width="74.7265625" style="44" bestFit="1" customWidth="1"/>
    <col min="13260" max="13260" width="87.26953125" style="44" bestFit="1" customWidth="1"/>
    <col min="13261" max="13261" width="85.54296875" style="44" bestFit="1" customWidth="1"/>
    <col min="13262" max="13262" width="100.26953125" style="44" bestFit="1" customWidth="1"/>
    <col min="13263" max="13263" width="71.36328125" style="44" bestFit="1" customWidth="1"/>
    <col min="13264" max="13264" width="105.453125" style="44" bestFit="1" customWidth="1"/>
    <col min="13265" max="13265" width="103.08984375" style="44" bestFit="1" customWidth="1"/>
    <col min="13266" max="13266" width="85.7265625" style="44" bestFit="1" customWidth="1"/>
    <col min="13267" max="13267" width="99.26953125" style="44" bestFit="1" customWidth="1"/>
    <col min="13268" max="13268" width="83.54296875" style="44" bestFit="1" customWidth="1"/>
    <col min="13269" max="13269" width="96.90625" style="44" bestFit="1" customWidth="1"/>
    <col min="13270" max="13270" width="74.26953125" style="44" bestFit="1" customWidth="1"/>
    <col min="13271" max="13271" width="98.36328125" style="44" bestFit="1" customWidth="1"/>
    <col min="13272" max="13272" width="74.453125" style="44" bestFit="1" customWidth="1"/>
    <col min="13273" max="13273" width="88.81640625" style="44" bestFit="1" customWidth="1"/>
    <col min="13274" max="13274" width="67.6328125" style="44" bestFit="1" customWidth="1"/>
    <col min="13275" max="13275" width="93.08984375" style="44" bestFit="1" customWidth="1"/>
    <col min="13276" max="13276" width="101.453125" style="44" bestFit="1" customWidth="1"/>
    <col min="13277" max="13279" width="76.81640625" style="44" bestFit="1" customWidth="1"/>
    <col min="13280" max="13280" width="87.08984375" style="44" bestFit="1" customWidth="1"/>
    <col min="13281" max="13281" width="72.453125" style="44" bestFit="1" customWidth="1"/>
    <col min="13282" max="13282" width="87.81640625" style="44" bestFit="1" customWidth="1"/>
    <col min="13283" max="13283" width="71.7265625" style="44" bestFit="1" customWidth="1"/>
    <col min="13284" max="13284" width="74" style="44" bestFit="1" customWidth="1"/>
    <col min="13285" max="13285" width="74.08984375" style="44" bestFit="1" customWidth="1"/>
    <col min="13286" max="13288" width="86.81640625" style="44" bestFit="1" customWidth="1"/>
    <col min="13289" max="13289" width="104.7265625" style="44" bestFit="1" customWidth="1"/>
    <col min="13290" max="13290" width="101.81640625" style="44" bestFit="1" customWidth="1"/>
    <col min="13291" max="13291" width="64.453125" style="44" bestFit="1" customWidth="1"/>
    <col min="13292" max="13292" width="65.1796875" style="44" bestFit="1" customWidth="1"/>
    <col min="13293" max="13293" width="72.453125" style="44" bestFit="1" customWidth="1"/>
    <col min="13294" max="13294" width="81.36328125" style="44" bestFit="1" customWidth="1"/>
    <col min="13295" max="13295" width="65.1796875" style="44" bestFit="1" customWidth="1"/>
    <col min="13296" max="13296" width="80.90625" style="44" bestFit="1" customWidth="1"/>
    <col min="13297" max="13297" width="71.7265625" style="44" bestFit="1" customWidth="1"/>
    <col min="13298" max="13298" width="73.6328125" style="44" bestFit="1" customWidth="1"/>
    <col min="13299" max="13300" width="85.36328125" style="44" bestFit="1" customWidth="1"/>
    <col min="13301" max="13301" width="92.26953125" style="44" bestFit="1" customWidth="1"/>
    <col min="13302" max="13302" width="106.1796875" style="44" bestFit="1" customWidth="1"/>
    <col min="13303" max="13303" width="86.6328125" style="44" bestFit="1" customWidth="1"/>
    <col min="13304" max="13305" width="68.90625" style="44" bestFit="1" customWidth="1"/>
    <col min="13306" max="13306" width="80.54296875" style="44" bestFit="1" customWidth="1"/>
    <col min="13307" max="13307" width="68.90625" style="44" bestFit="1" customWidth="1"/>
    <col min="13308" max="13308" width="79.1796875" style="44" bestFit="1" customWidth="1"/>
    <col min="13309" max="13309" width="79.26953125" style="44" bestFit="1" customWidth="1"/>
    <col min="13310" max="13310" width="80.1796875" style="44" bestFit="1" customWidth="1"/>
    <col min="13311" max="13311" width="84.81640625" style="44" bestFit="1" customWidth="1"/>
    <col min="13312" max="13312" width="76.81640625" style="44" bestFit="1" customWidth="1"/>
    <col min="13313" max="13313" width="7.90625" style="44" bestFit="1" customWidth="1"/>
    <col min="13314" max="13314" width="132.54296875" style="44" bestFit="1" customWidth="1"/>
    <col min="13315" max="13315" width="45.36328125" style="44" bestFit="1" customWidth="1"/>
    <col min="13316" max="13316" width="14.08984375" style="44" bestFit="1" customWidth="1"/>
    <col min="13317" max="13318" width="8.7265625" style="44"/>
    <col min="13319" max="13319" width="49.7265625" style="44" bestFit="1" customWidth="1"/>
    <col min="13320" max="13320" width="7.90625" style="44" bestFit="1" customWidth="1"/>
    <col min="13321" max="13321" width="7.81640625" style="44" bestFit="1" customWidth="1"/>
    <col min="13322" max="13333" width="8.81640625" style="44" bestFit="1" customWidth="1"/>
    <col min="13334" max="13334" width="10.81640625" style="44" bestFit="1" customWidth="1"/>
    <col min="13335" max="13335" width="93.36328125" style="44" bestFit="1" customWidth="1"/>
    <col min="13336" max="13336" width="87.6328125" style="44" bestFit="1" customWidth="1"/>
    <col min="13337" max="13337" width="69.26953125" style="44" bestFit="1" customWidth="1"/>
    <col min="13338" max="13338" width="68.54296875" style="44" bestFit="1" customWidth="1"/>
    <col min="13339" max="13339" width="67.6328125" style="44" bestFit="1" customWidth="1"/>
    <col min="13340" max="13340" width="64" style="44" bestFit="1" customWidth="1"/>
    <col min="13341" max="13341" width="43.81640625" style="44" bestFit="1" customWidth="1"/>
    <col min="13342" max="13342" width="39.81640625" style="44" bestFit="1" customWidth="1"/>
    <col min="13343" max="13343" width="85.26953125" style="44" bestFit="1" customWidth="1"/>
    <col min="13344" max="13344" width="84.08984375" style="44" bestFit="1" customWidth="1"/>
    <col min="13345" max="13345" width="91" style="44" bestFit="1" customWidth="1"/>
    <col min="13346" max="13346" width="79" style="44" bestFit="1" customWidth="1"/>
    <col min="13347" max="13347" width="89.90625" style="44" bestFit="1" customWidth="1"/>
    <col min="13348" max="13354" width="90.90625" style="44" bestFit="1" customWidth="1"/>
    <col min="13355" max="13355" width="91.90625" style="44" bestFit="1" customWidth="1"/>
    <col min="13356" max="13356" width="73.08984375" style="44" bestFit="1" customWidth="1"/>
    <col min="13357" max="13357" width="61.1796875" style="44" bestFit="1" customWidth="1"/>
    <col min="13358" max="13358" width="94.1796875" style="44" bestFit="1" customWidth="1"/>
    <col min="13359" max="13359" width="84.453125" style="44" bestFit="1" customWidth="1"/>
    <col min="13360" max="13360" width="86.81640625" style="44" bestFit="1" customWidth="1"/>
    <col min="13361" max="13361" width="90.08984375" style="44" bestFit="1" customWidth="1"/>
    <col min="13362" max="13362" width="86.7265625" style="44" bestFit="1" customWidth="1"/>
    <col min="13363" max="13363" width="87.6328125" style="44" bestFit="1" customWidth="1"/>
    <col min="13364" max="13366" width="97.6328125" style="44" bestFit="1" customWidth="1"/>
    <col min="13367" max="13367" width="72.54296875" style="44" bestFit="1" customWidth="1"/>
    <col min="13368" max="13368" width="73.6328125" style="44" bestFit="1" customWidth="1"/>
    <col min="13369" max="13369" width="58.6328125" style="44" bestFit="1" customWidth="1"/>
    <col min="13370" max="13371" width="74.08984375" style="44" bestFit="1" customWidth="1"/>
    <col min="13372" max="13372" width="75.54296875" style="44" bestFit="1" customWidth="1"/>
    <col min="13373" max="13373" width="92" style="44" bestFit="1" customWidth="1"/>
    <col min="13374" max="13374" width="93.54296875" style="44" bestFit="1" customWidth="1"/>
    <col min="13375" max="13376" width="75.54296875" style="44" bestFit="1" customWidth="1"/>
    <col min="13377" max="13377" width="78.08984375" style="44" bestFit="1" customWidth="1"/>
    <col min="13378" max="13378" width="70" style="44" bestFit="1" customWidth="1"/>
    <col min="13379" max="13379" width="84.81640625" style="44" bestFit="1" customWidth="1"/>
    <col min="13380" max="13380" width="93" style="44" bestFit="1" customWidth="1"/>
    <col min="13381" max="13381" width="83.453125" style="44" bestFit="1" customWidth="1"/>
    <col min="13382" max="13382" width="100.90625" style="44" bestFit="1" customWidth="1"/>
    <col min="13383" max="13385" width="64.54296875" style="44" bestFit="1" customWidth="1"/>
    <col min="13386" max="13387" width="82.7265625" style="44" bestFit="1" customWidth="1"/>
    <col min="13388" max="13388" width="99.453125" style="44" bestFit="1" customWidth="1"/>
    <col min="13389" max="13389" width="78.1796875" style="44" bestFit="1" customWidth="1"/>
    <col min="13390" max="13390" width="71.36328125" style="44" bestFit="1" customWidth="1"/>
    <col min="13391" max="13391" width="71.26953125" style="44" bestFit="1" customWidth="1"/>
    <col min="13392" max="13395" width="76.453125" style="44" bestFit="1" customWidth="1"/>
    <col min="13396" max="13396" width="70.54296875" style="44" bestFit="1" customWidth="1"/>
    <col min="13397" max="13397" width="63.36328125" style="44" bestFit="1" customWidth="1"/>
    <col min="13398" max="13398" width="97.81640625" style="44" bestFit="1" customWidth="1"/>
    <col min="13399" max="13400" width="73" style="44" bestFit="1" customWidth="1"/>
    <col min="13401" max="13401" width="79" style="44" bestFit="1" customWidth="1"/>
    <col min="13402" max="13402" width="73" style="44" bestFit="1" customWidth="1"/>
    <col min="13403" max="13403" width="82.1796875" style="44" bestFit="1" customWidth="1"/>
    <col min="13404" max="13404" width="61.453125" style="44" bestFit="1" customWidth="1"/>
    <col min="13405" max="13406" width="99.90625" style="44" bestFit="1" customWidth="1"/>
    <col min="13407" max="13407" width="100.36328125" style="44" bestFit="1" customWidth="1"/>
    <col min="13408" max="13408" width="84.453125" style="44" bestFit="1" customWidth="1"/>
    <col min="13409" max="13409" width="113.36328125" style="44" bestFit="1" customWidth="1"/>
    <col min="13410" max="13410" width="98.453125" style="44" bestFit="1" customWidth="1"/>
    <col min="13411" max="13411" width="99.7265625" style="44" bestFit="1" customWidth="1"/>
    <col min="13412" max="13412" width="99.54296875" style="44" bestFit="1" customWidth="1"/>
    <col min="13413" max="13413" width="96.81640625" style="44" bestFit="1" customWidth="1"/>
    <col min="13414" max="13414" width="94.08984375" style="44" bestFit="1" customWidth="1"/>
    <col min="13415" max="13415" width="100.453125" style="44" bestFit="1" customWidth="1"/>
    <col min="13416" max="13416" width="98.6328125" style="44" bestFit="1" customWidth="1"/>
    <col min="13417" max="13417" width="77.453125" style="44" bestFit="1" customWidth="1"/>
    <col min="13418" max="13418" width="95.1796875" style="44" bestFit="1" customWidth="1"/>
    <col min="13419" max="13419" width="86.6328125" style="44" bestFit="1" customWidth="1"/>
    <col min="13420" max="13420" width="77.26953125" style="44" bestFit="1" customWidth="1"/>
    <col min="13421" max="13421" width="85.1796875" style="44" bestFit="1" customWidth="1"/>
    <col min="13422" max="13422" width="74.7265625" style="44" bestFit="1" customWidth="1"/>
    <col min="13423" max="13423" width="92" style="44" bestFit="1" customWidth="1"/>
    <col min="13424" max="13424" width="72.26953125" style="44" bestFit="1" customWidth="1"/>
    <col min="13425" max="13425" width="97.08984375" style="44" bestFit="1" customWidth="1"/>
    <col min="13426" max="13426" width="77.08984375" style="44" bestFit="1" customWidth="1"/>
    <col min="13427" max="13427" width="85.08984375" style="44" bestFit="1" customWidth="1"/>
    <col min="13428" max="13429" width="83.1796875" style="44" bestFit="1" customWidth="1"/>
    <col min="13430" max="13430" width="82.6328125" style="44" bestFit="1" customWidth="1"/>
    <col min="13431" max="13431" width="86.26953125" style="44" bestFit="1" customWidth="1"/>
    <col min="13432" max="13432" width="71.1796875" style="44" bestFit="1" customWidth="1"/>
    <col min="13433" max="13433" width="66.6328125" style="44" bestFit="1" customWidth="1"/>
    <col min="13434" max="13435" width="83.1796875" style="44" bestFit="1" customWidth="1"/>
    <col min="13436" max="13436" width="67.08984375" style="44" bestFit="1" customWidth="1"/>
    <col min="13437" max="13437" width="76.54296875" style="44" bestFit="1" customWidth="1"/>
    <col min="13438" max="13438" width="94.08984375" style="44" bestFit="1" customWidth="1"/>
    <col min="13439" max="13439" width="89.08984375" style="44" bestFit="1" customWidth="1"/>
    <col min="13440" max="13440" width="68.1796875" style="44" bestFit="1" customWidth="1"/>
    <col min="13441" max="13441" width="91.7265625" style="44" bestFit="1" customWidth="1"/>
    <col min="13442" max="13442" width="63.36328125" style="44" bestFit="1" customWidth="1"/>
    <col min="13443" max="13443" width="66.6328125" style="44" bestFit="1" customWidth="1"/>
    <col min="13444" max="13444" width="63.36328125" style="44" bestFit="1" customWidth="1"/>
    <col min="13445" max="13445" width="63.453125" style="44" bestFit="1" customWidth="1"/>
    <col min="13446" max="13446" width="87.54296875" style="44" bestFit="1" customWidth="1"/>
    <col min="13447" max="13447" width="93.81640625" style="44" bestFit="1" customWidth="1"/>
    <col min="13448" max="13448" width="66.453125" style="44" bestFit="1" customWidth="1"/>
    <col min="13449" max="13450" width="110" style="44" bestFit="1" customWidth="1"/>
    <col min="13451" max="13451" width="103.1796875" style="44" bestFit="1" customWidth="1"/>
    <col min="13452" max="13452" width="62.453125" style="44" bestFit="1" customWidth="1"/>
    <col min="13453" max="13453" width="77.453125" style="44" bestFit="1" customWidth="1"/>
    <col min="13454" max="13454" width="91.54296875" style="44" bestFit="1" customWidth="1"/>
    <col min="13455" max="13455" width="88.08984375" style="44" bestFit="1" customWidth="1"/>
    <col min="13456" max="13456" width="80.6328125" style="44" bestFit="1" customWidth="1"/>
    <col min="13457" max="13457" width="77.453125" style="44" bestFit="1" customWidth="1"/>
    <col min="13458" max="13458" width="85.1796875" style="44" bestFit="1" customWidth="1"/>
    <col min="13459" max="13462" width="72.36328125" style="44" bestFit="1" customWidth="1"/>
    <col min="13463" max="13464" width="95" style="44" bestFit="1" customWidth="1"/>
    <col min="13465" max="13465" width="64.08984375" style="44" bestFit="1" customWidth="1"/>
    <col min="13466" max="13466" width="110.08984375" style="44" bestFit="1" customWidth="1"/>
    <col min="13467" max="13467" width="86.36328125" style="44" bestFit="1" customWidth="1"/>
    <col min="13468" max="13468" width="89.36328125" style="44" bestFit="1" customWidth="1"/>
    <col min="13469" max="13469" width="89.81640625" style="44" bestFit="1" customWidth="1"/>
    <col min="13470" max="13470" width="64.26953125" style="44" bestFit="1" customWidth="1"/>
    <col min="13471" max="13471" width="85.7265625" style="44" bestFit="1" customWidth="1"/>
    <col min="13472" max="13472" width="73" style="44" bestFit="1" customWidth="1"/>
    <col min="13473" max="13473" width="92.7265625" style="44" bestFit="1" customWidth="1"/>
    <col min="13474" max="13474" width="92.36328125" style="44" bestFit="1" customWidth="1"/>
    <col min="13475" max="13475" width="72" style="44" bestFit="1" customWidth="1"/>
    <col min="13476" max="13476" width="82" style="44" bestFit="1" customWidth="1"/>
    <col min="13477" max="13477" width="79.36328125" style="44" bestFit="1" customWidth="1"/>
    <col min="13478" max="13478" width="81" style="44" bestFit="1" customWidth="1"/>
    <col min="13479" max="13479" width="72.90625" style="44" bestFit="1" customWidth="1"/>
    <col min="13480" max="13480" width="90.81640625" style="44" bestFit="1" customWidth="1"/>
    <col min="13481" max="13481" width="84" style="44" bestFit="1" customWidth="1"/>
    <col min="13482" max="13483" width="73.36328125" style="44" bestFit="1" customWidth="1"/>
    <col min="13484" max="13484" width="90.6328125" style="44" bestFit="1" customWidth="1"/>
    <col min="13485" max="13485" width="89.453125" style="44" bestFit="1" customWidth="1"/>
    <col min="13486" max="13486" width="84.6328125" style="44" bestFit="1" customWidth="1"/>
    <col min="13487" max="13487" width="74.54296875" style="44" bestFit="1" customWidth="1"/>
    <col min="13488" max="13488" width="76.90625" style="44" bestFit="1" customWidth="1"/>
    <col min="13489" max="13489" width="83" style="44" bestFit="1" customWidth="1"/>
    <col min="13490" max="13490" width="85.81640625" style="44" bestFit="1" customWidth="1"/>
    <col min="13491" max="13491" width="83.7265625" style="44" bestFit="1" customWidth="1"/>
    <col min="13492" max="13492" width="79.54296875" style="44" bestFit="1" customWidth="1"/>
    <col min="13493" max="13493" width="80.54296875" style="44" bestFit="1" customWidth="1"/>
    <col min="13494" max="13494" width="89.54296875" style="44" bestFit="1" customWidth="1"/>
    <col min="13495" max="13495" width="85.36328125" style="44" bestFit="1" customWidth="1"/>
    <col min="13496" max="13496" width="61.6328125" style="44" bestFit="1" customWidth="1"/>
    <col min="13497" max="13497" width="132.54296875" style="44" bestFit="1" customWidth="1"/>
    <col min="13498" max="13498" width="93.1796875" style="44" bestFit="1" customWidth="1"/>
    <col min="13499" max="13499" width="91.08984375" style="44" bestFit="1" customWidth="1"/>
    <col min="13500" max="13500" width="81.7265625" style="44" bestFit="1" customWidth="1"/>
    <col min="13501" max="13502" width="80.90625" style="44" bestFit="1" customWidth="1"/>
    <col min="13503" max="13503" width="83.26953125" style="44" bestFit="1" customWidth="1"/>
    <col min="13504" max="13504" width="101.453125" style="44" bestFit="1" customWidth="1"/>
    <col min="13505" max="13505" width="110.1796875" style="44" bestFit="1" customWidth="1"/>
    <col min="13506" max="13506" width="74.6328125" style="44" bestFit="1" customWidth="1"/>
    <col min="13507" max="13510" width="84.54296875" style="44" bestFit="1" customWidth="1"/>
    <col min="13511" max="13511" width="74.36328125" style="44" bestFit="1" customWidth="1"/>
    <col min="13512" max="13512" width="88.1796875" style="44" bestFit="1" customWidth="1"/>
    <col min="13513" max="13513" width="78.6328125" style="44" bestFit="1" customWidth="1"/>
    <col min="13514" max="13514" width="76.81640625" style="44" bestFit="1" customWidth="1"/>
    <col min="13515" max="13515" width="74.7265625" style="44" bestFit="1" customWidth="1"/>
    <col min="13516" max="13516" width="87.26953125" style="44" bestFit="1" customWidth="1"/>
    <col min="13517" max="13517" width="85.54296875" style="44" bestFit="1" customWidth="1"/>
    <col min="13518" max="13518" width="100.26953125" style="44" bestFit="1" customWidth="1"/>
    <col min="13519" max="13519" width="71.36328125" style="44" bestFit="1" customWidth="1"/>
    <col min="13520" max="13520" width="105.453125" style="44" bestFit="1" customWidth="1"/>
    <col min="13521" max="13521" width="103.08984375" style="44" bestFit="1" customWidth="1"/>
    <col min="13522" max="13522" width="85.7265625" style="44" bestFit="1" customWidth="1"/>
    <col min="13523" max="13523" width="99.26953125" style="44" bestFit="1" customWidth="1"/>
    <col min="13524" max="13524" width="83.54296875" style="44" bestFit="1" customWidth="1"/>
    <col min="13525" max="13525" width="96.90625" style="44" bestFit="1" customWidth="1"/>
    <col min="13526" max="13526" width="74.26953125" style="44" bestFit="1" customWidth="1"/>
    <col min="13527" max="13527" width="98.36328125" style="44" bestFit="1" customWidth="1"/>
    <col min="13528" max="13528" width="74.453125" style="44" bestFit="1" customWidth="1"/>
    <col min="13529" max="13529" width="88.81640625" style="44" bestFit="1" customWidth="1"/>
    <col min="13530" max="13530" width="67.6328125" style="44" bestFit="1" customWidth="1"/>
    <col min="13531" max="13531" width="93.08984375" style="44" bestFit="1" customWidth="1"/>
    <col min="13532" max="13532" width="101.453125" style="44" bestFit="1" customWidth="1"/>
    <col min="13533" max="13535" width="76.81640625" style="44" bestFit="1" customWidth="1"/>
    <col min="13536" max="13536" width="87.08984375" style="44" bestFit="1" customWidth="1"/>
    <col min="13537" max="13537" width="72.453125" style="44" bestFit="1" customWidth="1"/>
    <col min="13538" max="13538" width="87.81640625" style="44" bestFit="1" customWidth="1"/>
    <col min="13539" max="13539" width="71.7265625" style="44" bestFit="1" customWidth="1"/>
    <col min="13540" max="13540" width="74" style="44" bestFit="1" customWidth="1"/>
    <col min="13541" max="13541" width="74.08984375" style="44" bestFit="1" customWidth="1"/>
    <col min="13542" max="13544" width="86.81640625" style="44" bestFit="1" customWidth="1"/>
    <col min="13545" max="13545" width="104.7265625" style="44" bestFit="1" customWidth="1"/>
    <col min="13546" max="13546" width="101.81640625" style="44" bestFit="1" customWidth="1"/>
    <col min="13547" max="13547" width="64.453125" style="44" bestFit="1" customWidth="1"/>
    <col min="13548" max="13548" width="65.1796875" style="44" bestFit="1" customWidth="1"/>
    <col min="13549" max="13549" width="72.453125" style="44" bestFit="1" customWidth="1"/>
    <col min="13550" max="13550" width="81.36328125" style="44" bestFit="1" customWidth="1"/>
    <col min="13551" max="13551" width="65.1796875" style="44" bestFit="1" customWidth="1"/>
    <col min="13552" max="13552" width="80.90625" style="44" bestFit="1" customWidth="1"/>
    <col min="13553" max="13553" width="71.7265625" style="44" bestFit="1" customWidth="1"/>
    <col min="13554" max="13554" width="73.6328125" style="44" bestFit="1" customWidth="1"/>
    <col min="13555" max="13556" width="85.36328125" style="44" bestFit="1" customWidth="1"/>
    <col min="13557" max="13557" width="92.26953125" style="44" bestFit="1" customWidth="1"/>
    <col min="13558" max="13558" width="106.1796875" style="44" bestFit="1" customWidth="1"/>
    <col min="13559" max="13559" width="86.6328125" style="44" bestFit="1" customWidth="1"/>
    <col min="13560" max="13561" width="68.90625" style="44" bestFit="1" customWidth="1"/>
    <col min="13562" max="13562" width="80.54296875" style="44" bestFit="1" customWidth="1"/>
    <col min="13563" max="13563" width="68.90625" style="44" bestFit="1" customWidth="1"/>
    <col min="13564" max="13564" width="79.1796875" style="44" bestFit="1" customWidth="1"/>
    <col min="13565" max="13565" width="79.26953125" style="44" bestFit="1" customWidth="1"/>
    <col min="13566" max="13566" width="80.1796875" style="44" bestFit="1" customWidth="1"/>
    <col min="13567" max="13567" width="84.81640625" style="44" bestFit="1" customWidth="1"/>
    <col min="13568" max="13568" width="76.81640625" style="44" bestFit="1" customWidth="1"/>
    <col min="13569" max="13569" width="7.90625" style="44" bestFit="1" customWidth="1"/>
    <col min="13570" max="13570" width="132.54296875" style="44" bestFit="1" customWidth="1"/>
    <col min="13571" max="13571" width="45.36328125" style="44" bestFit="1" customWidth="1"/>
    <col min="13572" max="13572" width="14.08984375" style="44" bestFit="1" customWidth="1"/>
    <col min="13573" max="13574" width="8.7265625" style="44"/>
    <col min="13575" max="13575" width="49.7265625" style="44" bestFit="1" customWidth="1"/>
    <col min="13576" max="13576" width="7.90625" style="44" bestFit="1" customWidth="1"/>
    <col min="13577" max="13577" width="7.81640625" style="44" bestFit="1" customWidth="1"/>
    <col min="13578" max="13589" width="8.81640625" style="44" bestFit="1" customWidth="1"/>
    <col min="13590" max="13590" width="10.81640625" style="44" bestFit="1" customWidth="1"/>
    <col min="13591" max="13591" width="93.36328125" style="44" bestFit="1" customWidth="1"/>
    <col min="13592" max="13592" width="87.6328125" style="44" bestFit="1" customWidth="1"/>
    <col min="13593" max="13593" width="69.26953125" style="44" bestFit="1" customWidth="1"/>
    <col min="13594" max="13594" width="68.54296875" style="44" bestFit="1" customWidth="1"/>
    <col min="13595" max="13595" width="67.6328125" style="44" bestFit="1" customWidth="1"/>
    <col min="13596" max="13596" width="64" style="44" bestFit="1" customWidth="1"/>
    <col min="13597" max="13597" width="43.81640625" style="44" bestFit="1" customWidth="1"/>
    <col min="13598" max="13598" width="39.81640625" style="44" bestFit="1" customWidth="1"/>
    <col min="13599" max="13599" width="85.26953125" style="44" bestFit="1" customWidth="1"/>
    <col min="13600" max="13600" width="84.08984375" style="44" bestFit="1" customWidth="1"/>
    <col min="13601" max="13601" width="91" style="44" bestFit="1" customWidth="1"/>
    <col min="13602" max="13602" width="79" style="44" bestFit="1" customWidth="1"/>
    <col min="13603" max="13603" width="89.90625" style="44" bestFit="1" customWidth="1"/>
    <col min="13604" max="13610" width="90.90625" style="44" bestFit="1" customWidth="1"/>
    <col min="13611" max="13611" width="91.90625" style="44" bestFit="1" customWidth="1"/>
    <col min="13612" max="13612" width="73.08984375" style="44" bestFit="1" customWidth="1"/>
    <col min="13613" max="13613" width="61.1796875" style="44" bestFit="1" customWidth="1"/>
    <col min="13614" max="13614" width="94.1796875" style="44" bestFit="1" customWidth="1"/>
    <col min="13615" max="13615" width="84.453125" style="44" bestFit="1" customWidth="1"/>
    <col min="13616" max="13616" width="86.81640625" style="44" bestFit="1" customWidth="1"/>
    <col min="13617" max="13617" width="90.08984375" style="44" bestFit="1" customWidth="1"/>
    <col min="13618" max="13618" width="86.7265625" style="44" bestFit="1" customWidth="1"/>
    <col min="13619" max="13619" width="87.6328125" style="44" bestFit="1" customWidth="1"/>
    <col min="13620" max="13622" width="97.6328125" style="44" bestFit="1" customWidth="1"/>
    <col min="13623" max="13623" width="72.54296875" style="44" bestFit="1" customWidth="1"/>
    <col min="13624" max="13624" width="73.6328125" style="44" bestFit="1" customWidth="1"/>
    <col min="13625" max="13625" width="58.6328125" style="44" bestFit="1" customWidth="1"/>
    <col min="13626" max="13627" width="74.08984375" style="44" bestFit="1" customWidth="1"/>
    <col min="13628" max="13628" width="75.54296875" style="44" bestFit="1" customWidth="1"/>
    <col min="13629" max="13629" width="92" style="44" bestFit="1" customWidth="1"/>
    <col min="13630" max="13630" width="93.54296875" style="44" bestFit="1" customWidth="1"/>
    <col min="13631" max="13632" width="75.54296875" style="44" bestFit="1" customWidth="1"/>
    <col min="13633" max="13633" width="78.08984375" style="44" bestFit="1" customWidth="1"/>
    <col min="13634" max="13634" width="70" style="44" bestFit="1" customWidth="1"/>
    <col min="13635" max="13635" width="84.81640625" style="44" bestFit="1" customWidth="1"/>
    <col min="13636" max="13636" width="93" style="44" bestFit="1" customWidth="1"/>
    <col min="13637" max="13637" width="83.453125" style="44" bestFit="1" customWidth="1"/>
    <col min="13638" max="13638" width="100.90625" style="44" bestFit="1" customWidth="1"/>
    <col min="13639" max="13641" width="64.54296875" style="44" bestFit="1" customWidth="1"/>
    <col min="13642" max="13643" width="82.7265625" style="44" bestFit="1" customWidth="1"/>
    <col min="13644" max="13644" width="99.453125" style="44" bestFit="1" customWidth="1"/>
    <col min="13645" max="13645" width="78.1796875" style="44" bestFit="1" customWidth="1"/>
    <col min="13646" max="13646" width="71.36328125" style="44" bestFit="1" customWidth="1"/>
    <col min="13647" max="13647" width="71.26953125" style="44" bestFit="1" customWidth="1"/>
    <col min="13648" max="13651" width="76.453125" style="44" bestFit="1" customWidth="1"/>
    <col min="13652" max="13652" width="70.54296875" style="44" bestFit="1" customWidth="1"/>
    <col min="13653" max="13653" width="63.36328125" style="44" bestFit="1" customWidth="1"/>
    <col min="13654" max="13654" width="97.81640625" style="44" bestFit="1" customWidth="1"/>
    <col min="13655" max="13656" width="73" style="44" bestFit="1" customWidth="1"/>
    <col min="13657" max="13657" width="79" style="44" bestFit="1" customWidth="1"/>
    <col min="13658" max="13658" width="73" style="44" bestFit="1" customWidth="1"/>
    <col min="13659" max="13659" width="82.1796875" style="44" bestFit="1" customWidth="1"/>
    <col min="13660" max="13660" width="61.453125" style="44" bestFit="1" customWidth="1"/>
    <col min="13661" max="13662" width="99.90625" style="44" bestFit="1" customWidth="1"/>
    <col min="13663" max="13663" width="100.36328125" style="44" bestFit="1" customWidth="1"/>
    <col min="13664" max="13664" width="84.453125" style="44" bestFit="1" customWidth="1"/>
    <col min="13665" max="13665" width="113.36328125" style="44" bestFit="1" customWidth="1"/>
    <col min="13666" max="13666" width="98.453125" style="44" bestFit="1" customWidth="1"/>
    <col min="13667" max="13667" width="99.7265625" style="44" bestFit="1" customWidth="1"/>
    <col min="13668" max="13668" width="99.54296875" style="44" bestFit="1" customWidth="1"/>
    <col min="13669" max="13669" width="96.81640625" style="44" bestFit="1" customWidth="1"/>
    <col min="13670" max="13670" width="94.08984375" style="44" bestFit="1" customWidth="1"/>
    <col min="13671" max="13671" width="100.453125" style="44" bestFit="1" customWidth="1"/>
    <col min="13672" max="13672" width="98.6328125" style="44" bestFit="1" customWidth="1"/>
    <col min="13673" max="13673" width="77.453125" style="44" bestFit="1" customWidth="1"/>
    <col min="13674" max="13674" width="95.1796875" style="44" bestFit="1" customWidth="1"/>
    <col min="13675" max="13675" width="86.6328125" style="44" bestFit="1" customWidth="1"/>
    <col min="13676" max="13676" width="77.26953125" style="44" bestFit="1" customWidth="1"/>
    <col min="13677" max="13677" width="85.1796875" style="44" bestFit="1" customWidth="1"/>
    <col min="13678" max="13678" width="74.7265625" style="44" bestFit="1" customWidth="1"/>
    <col min="13679" max="13679" width="92" style="44" bestFit="1" customWidth="1"/>
    <col min="13680" max="13680" width="72.26953125" style="44" bestFit="1" customWidth="1"/>
    <col min="13681" max="13681" width="97.08984375" style="44" bestFit="1" customWidth="1"/>
    <col min="13682" max="13682" width="77.08984375" style="44" bestFit="1" customWidth="1"/>
    <col min="13683" max="13683" width="85.08984375" style="44" bestFit="1" customWidth="1"/>
    <col min="13684" max="13685" width="83.1796875" style="44" bestFit="1" customWidth="1"/>
    <col min="13686" max="13686" width="82.6328125" style="44" bestFit="1" customWidth="1"/>
    <col min="13687" max="13687" width="86.26953125" style="44" bestFit="1" customWidth="1"/>
    <col min="13688" max="13688" width="71.1796875" style="44" bestFit="1" customWidth="1"/>
    <col min="13689" max="13689" width="66.6328125" style="44" bestFit="1" customWidth="1"/>
    <col min="13690" max="13691" width="83.1796875" style="44" bestFit="1" customWidth="1"/>
    <col min="13692" max="13692" width="67.08984375" style="44" bestFit="1" customWidth="1"/>
    <col min="13693" max="13693" width="76.54296875" style="44" bestFit="1" customWidth="1"/>
    <col min="13694" max="13694" width="94.08984375" style="44" bestFit="1" customWidth="1"/>
    <col min="13695" max="13695" width="89.08984375" style="44" bestFit="1" customWidth="1"/>
    <col min="13696" max="13696" width="68.1796875" style="44" bestFit="1" customWidth="1"/>
    <col min="13697" max="13697" width="91.7265625" style="44" bestFit="1" customWidth="1"/>
    <col min="13698" max="13698" width="63.36328125" style="44" bestFit="1" customWidth="1"/>
    <col min="13699" max="13699" width="66.6328125" style="44" bestFit="1" customWidth="1"/>
    <col min="13700" max="13700" width="63.36328125" style="44" bestFit="1" customWidth="1"/>
    <col min="13701" max="13701" width="63.453125" style="44" bestFit="1" customWidth="1"/>
    <col min="13702" max="13702" width="87.54296875" style="44" bestFit="1" customWidth="1"/>
    <col min="13703" max="13703" width="93.81640625" style="44" bestFit="1" customWidth="1"/>
    <col min="13704" max="13704" width="66.453125" style="44" bestFit="1" customWidth="1"/>
    <col min="13705" max="13706" width="110" style="44" bestFit="1" customWidth="1"/>
    <col min="13707" max="13707" width="103.1796875" style="44" bestFit="1" customWidth="1"/>
    <col min="13708" max="13708" width="62.453125" style="44" bestFit="1" customWidth="1"/>
    <col min="13709" max="13709" width="77.453125" style="44" bestFit="1" customWidth="1"/>
    <col min="13710" max="13710" width="91.54296875" style="44" bestFit="1" customWidth="1"/>
    <col min="13711" max="13711" width="88.08984375" style="44" bestFit="1" customWidth="1"/>
    <col min="13712" max="13712" width="80.6328125" style="44" bestFit="1" customWidth="1"/>
    <col min="13713" max="13713" width="77.453125" style="44" bestFit="1" customWidth="1"/>
    <col min="13714" max="13714" width="85.1796875" style="44" bestFit="1" customWidth="1"/>
    <col min="13715" max="13718" width="72.36328125" style="44" bestFit="1" customWidth="1"/>
    <col min="13719" max="13720" width="95" style="44" bestFit="1" customWidth="1"/>
    <col min="13721" max="13721" width="64.08984375" style="44" bestFit="1" customWidth="1"/>
    <col min="13722" max="13722" width="110.08984375" style="44" bestFit="1" customWidth="1"/>
    <col min="13723" max="13723" width="86.36328125" style="44" bestFit="1" customWidth="1"/>
    <col min="13724" max="13724" width="89.36328125" style="44" bestFit="1" customWidth="1"/>
    <col min="13725" max="13725" width="89.81640625" style="44" bestFit="1" customWidth="1"/>
    <col min="13726" max="13726" width="64.26953125" style="44" bestFit="1" customWidth="1"/>
    <col min="13727" max="13727" width="85.7265625" style="44" bestFit="1" customWidth="1"/>
    <col min="13728" max="13728" width="73" style="44" bestFit="1" customWidth="1"/>
    <col min="13729" max="13729" width="92.7265625" style="44" bestFit="1" customWidth="1"/>
    <col min="13730" max="13730" width="92.36328125" style="44" bestFit="1" customWidth="1"/>
    <col min="13731" max="13731" width="72" style="44" bestFit="1" customWidth="1"/>
    <col min="13732" max="13732" width="82" style="44" bestFit="1" customWidth="1"/>
    <col min="13733" max="13733" width="79.36328125" style="44" bestFit="1" customWidth="1"/>
    <col min="13734" max="13734" width="81" style="44" bestFit="1" customWidth="1"/>
    <col min="13735" max="13735" width="72.90625" style="44" bestFit="1" customWidth="1"/>
    <col min="13736" max="13736" width="90.81640625" style="44" bestFit="1" customWidth="1"/>
    <col min="13737" max="13737" width="84" style="44" bestFit="1" customWidth="1"/>
    <col min="13738" max="13739" width="73.36328125" style="44" bestFit="1" customWidth="1"/>
    <col min="13740" max="13740" width="90.6328125" style="44" bestFit="1" customWidth="1"/>
    <col min="13741" max="13741" width="89.453125" style="44" bestFit="1" customWidth="1"/>
    <col min="13742" max="13742" width="84.6328125" style="44" bestFit="1" customWidth="1"/>
    <col min="13743" max="13743" width="74.54296875" style="44" bestFit="1" customWidth="1"/>
    <col min="13744" max="13744" width="76.90625" style="44" bestFit="1" customWidth="1"/>
    <col min="13745" max="13745" width="83" style="44" bestFit="1" customWidth="1"/>
    <col min="13746" max="13746" width="85.81640625" style="44" bestFit="1" customWidth="1"/>
    <col min="13747" max="13747" width="83.7265625" style="44" bestFit="1" customWidth="1"/>
    <col min="13748" max="13748" width="79.54296875" style="44" bestFit="1" customWidth="1"/>
    <col min="13749" max="13749" width="80.54296875" style="44" bestFit="1" customWidth="1"/>
    <col min="13750" max="13750" width="89.54296875" style="44" bestFit="1" customWidth="1"/>
    <col min="13751" max="13751" width="85.36328125" style="44" bestFit="1" customWidth="1"/>
    <col min="13752" max="13752" width="61.6328125" style="44" bestFit="1" customWidth="1"/>
    <col min="13753" max="13753" width="132.54296875" style="44" bestFit="1" customWidth="1"/>
    <col min="13754" max="13754" width="93.1796875" style="44" bestFit="1" customWidth="1"/>
    <col min="13755" max="13755" width="91.08984375" style="44" bestFit="1" customWidth="1"/>
    <col min="13756" max="13756" width="81.7265625" style="44" bestFit="1" customWidth="1"/>
    <col min="13757" max="13758" width="80.90625" style="44" bestFit="1" customWidth="1"/>
    <col min="13759" max="13759" width="83.26953125" style="44" bestFit="1" customWidth="1"/>
    <col min="13760" max="13760" width="101.453125" style="44" bestFit="1" customWidth="1"/>
    <col min="13761" max="13761" width="110.1796875" style="44" bestFit="1" customWidth="1"/>
    <col min="13762" max="13762" width="74.6328125" style="44" bestFit="1" customWidth="1"/>
    <col min="13763" max="13766" width="84.54296875" style="44" bestFit="1" customWidth="1"/>
    <col min="13767" max="13767" width="74.36328125" style="44" bestFit="1" customWidth="1"/>
    <col min="13768" max="13768" width="88.1796875" style="44" bestFit="1" customWidth="1"/>
    <col min="13769" max="13769" width="78.6328125" style="44" bestFit="1" customWidth="1"/>
    <col min="13770" max="13770" width="76.81640625" style="44" bestFit="1" customWidth="1"/>
    <col min="13771" max="13771" width="74.7265625" style="44" bestFit="1" customWidth="1"/>
    <col min="13772" max="13772" width="87.26953125" style="44" bestFit="1" customWidth="1"/>
    <col min="13773" max="13773" width="85.54296875" style="44" bestFit="1" customWidth="1"/>
    <col min="13774" max="13774" width="100.26953125" style="44" bestFit="1" customWidth="1"/>
    <col min="13775" max="13775" width="71.36328125" style="44" bestFit="1" customWidth="1"/>
    <col min="13776" max="13776" width="105.453125" style="44" bestFit="1" customWidth="1"/>
    <col min="13777" max="13777" width="103.08984375" style="44" bestFit="1" customWidth="1"/>
    <col min="13778" max="13778" width="85.7265625" style="44" bestFit="1" customWidth="1"/>
    <col min="13779" max="13779" width="99.26953125" style="44" bestFit="1" customWidth="1"/>
    <col min="13780" max="13780" width="83.54296875" style="44" bestFit="1" customWidth="1"/>
    <col min="13781" max="13781" width="96.90625" style="44" bestFit="1" customWidth="1"/>
    <col min="13782" max="13782" width="74.26953125" style="44" bestFit="1" customWidth="1"/>
    <col min="13783" max="13783" width="98.36328125" style="44" bestFit="1" customWidth="1"/>
    <col min="13784" max="13784" width="74.453125" style="44" bestFit="1" customWidth="1"/>
    <col min="13785" max="13785" width="88.81640625" style="44" bestFit="1" customWidth="1"/>
    <col min="13786" max="13786" width="67.6328125" style="44" bestFit="1" customWidth="1"/>
    <col min="13787" max="13787" width="93.08984375" style="44" bestFit="1" customWidth="1"/>
    <col min="13788" max="13788" width="101.453125" style="44" bestFit="1" customWidth="1"/>
    <col min="13789" max="13791" width="76.81640625" style="44" bestFit="1" customWidth="1"/>
    <col min="13792" max="13792" width="87.08984375" style="44" bestFit="1" customWidth="1"/>
    <col min="13793" max="13793" width="72.453125" style="44" bestFit="1" customWidth="1"/>
    <col min="13794" max="13794" width="87.81640625" style="44" bestFit="1" customWidth="1"/>
    <col min="13795" max="13795" width="71.7265625" style="44" bestFit="1" customWidth="1"/>
    <col min="13796" max="13796" width="74" style="44" bestFit="1" customWidth="1"/>
    <col min="13797" max="13797" width="74.08984375" style="44" bestFit="1" customWidth="1"/>
    <col min="13798" max="13800" width="86.81640625" style="44" bestFit="1" customWidth="1"/>
    <col min="13801" max="13801" width="104.7265625" style="44" bestFit="1" customWidth="1"/>
    <col min="13802" max="13802" width="101.81640625" style="44" bestFit="1" customWidth="1"/>
    <col min="13803" max="13803" width="64.453125" style="44" bestFit="1" customWidth="1"/>
    <col min="13804" max="13804" width="65.1796875" style="44" bestFit="1" customWidth="1"/>
    <col min="13805" max="13805" width="72.453125" style="44" bestFit="1" customWidth="1"/>
    <col min="13806" max="13806" width="81.36328125" style="44" bestFit="1" customWidth="1"/>
    <col min="13807" max="13807" width="65.1796875" style="44" bestFit="1" customWidth="1"/>
    <col min="13808" max="13808" width="80.90625" style="44" bestFit="1" customWidth="1"/>
    <col min="13809" max="13809" width="71.7265625" style="44" bestFit="1" customWidth="1"/>
    <col min="13810" max="13810" width="73.6328125" style="44" bestFit="1" customWidth="1"/>
    <col min="13811" max="13812" width="85.36328125" style="44" bestFit="1" customWidth="1"/>
    <col min="13813" max="13813" width="92.26953125" style="44" bestFit="1" customWidth="1"/>
    <col min="13814" max="13814" width="106.1796875" style="44" bestFit="1" customWidth="1"/>
    <col min="13815" max="13815" width="86.6328125" style="44" bestFit="1" customWidth="1"/>
    <col min="13816" max="13817" width="68.90625" style="44" bestFit="1" customWidth="1"/>
    <col min="13818" max="13818" width="80.54296875" style="44" bestFit="1" customWidth="1"/>
    <col min="13819" max="13819" width="68.90625" style="44" bestFit="1" customWidth="1"/>
    <col min="13820" max="13820" width="79.1796875" style="44" bestFit="1" customWidth="1"/>
    <col min="13821" max="13821" width="79.26953125" style="44" bestFit="1" customWidth="1"/>
    <col min="13822" max="13822" width="80.1796875" style="44" bestFit="1" customWidth="1"/>
    <col min="13823" max="13823" width="84.81640625" style="44" bestFit="1" customWidth="1"/>
    <col min="13824" max="13824" width="76.81640625" style="44" bestFit="1" customWidth="1"/>
    <col min="13825" max="13825" width="7.90625" style="44" bestFit="1" customWidth="1"/>
    <col min="13826" max="13826" width="132.54296875" style="44" bestFit="1" customWidth="1"/>
    <col min="13827" max="13827" width="45.36328125" style="44" bestFit="1" customWidth="1"/>
    <col min="13828" max="13828" width="14.08984375" style="44" bestFit="1" customWidth="1"/>
    <col min="13829" max="13830" width="8.7265625" style="44"/>
    <col min="13831" max="13831" width="49.7265625" style="44" bestFit="1" customWidth="1"/>
    <col min="13832" max="13832" width="7.90625" style="44" bestFit="1" customWidth="1"/>
    <col min="13833" max="13833" width="7.81640625" style="44" bestFit="1" customWidth="1"/>
    <col min="13834" max="13845" width="8.81640625" style="44" bestFit="1" customWidth="1"/>
    <col min="13846" max="13846" width="10.81640625" style="44" bestFit="1" customWidth="1"/>
    <col min="13847" max="13847" width="93.36328125" style="44" bestFit="1" customWidth="1"/>
    <col min="13848" max="13848" width="87.6328125" style="44" bestFit="1" customWidth="1"/>
    <col min="13849" max="13849" width="69.26953125" style="44" bestFit="1" customWidth="1"/>
    <col min="13850" max="13850" width="68.54296875" style="44" bestFit="1" customWidth="1"/>
    <col min="13851" max="13851" width="67.6328125" style="44" bestFit="1" customWidth="1"/>
    <col min="13852" max="13852" width="64" style="44" bestFit="1" customWidth="1"/>
    <col min="13853" max="13853" width="43.81640625" style="44" bestFit="1" customWidth="1"/>
    <col min="13854" max="13854" width="39.81640625" style="44" bestFit="1" customWidth="1"/>
    <col min="13855" max="13855" width="85.26953125" style="44" bestFit="1" customWidth="1"/>
    <col min="13856" max="13856" width="84.08984375" style="44" bestFit="1" customWidth="1"/>
    <col min="13857" max="13857" width="91" style="44" bestFit="1" customWidth="1"/>
    <col min="13858" max="13858" width="79" style="44" bestFit="1" customWidth="1"/>
    <col min="13859" max="13859" width="89.90625" style="44" bestFit="1" customWidth="1"/>
    <col min="13860" max="13866" width="90.90625" style="44" bestFit="1" customWidth="1"/>
    <col min="13867" max="13867" width="91.90625" style="44" bestFit="1" customWidth="1"/>
    <col min="13868" max="13868" width="73.08984375" style="44" bestFit="1" customWidth="1"/>
    <col min="13869" max="13869" width="61.1796875" style="44" bestFit="1" customWidth="1"/>
    <col min="13870" max="13870" width="94.1796875" style="44" bestFit="1" customWidth="1"/>
    <col min="13871" max="13871" width="84.453125" style="44" bestFit="1" customWidth="1"/>
    <col min="13872" max="13872" width="86.81640625" style="44" bestFit="1" customWidth="1"/>
    <col min="13873" max="13873" width="90.08984375" style="44" bestFit="1" customWidth="1"/>
    <col min="13874" max="13874" width="86.7265625" style="44" bestFit="1" customWidth="1"/>
    <col min="13875" max="13875" width="87.6328125" style="44" bestFit="1" customWidth="1"/>
    <col min="13876" max="13878" width="97.6328125" style="44" bestFit="1" customWidth="1"/>
    <col min="13879" max="13879" width="72.54296875" style="44" bestFit="1" customWidth="1"/>
    <col min="13880" max="13880" width="73.6328125" style="44" bestFit="1" customWidth="1"/>
    <col min="13881" max="13881" width="58.6328125" style="44" bestFit="1" customWidth="1"/>
    <col min="13882" max="13883" width="74.08984375" style="44" bestFit="1" customWidth="1"/>
    <col min="13884" max="13884" width="75.54296875" style="44" bestFit="1" customWidth="1"/>
    <col min="13885" max="13885" width="92" style="44" bestFit="1" customWidth="1"/>
    <col min="13886" max="13886" width="93.54296875" style="44" bestFit="1" customWidth="1"/>
    <col min="13887" max="13888" width="75.54296875" style="44" bestFit="1" customWidth="1"/>
    <col min="13889" max="13889" width="78.08984375" style="44" bestFit="1" customWidth="1"/>
    <col min="13890" max="13890" width="70" style="44" bestFit="1" customWidth="1"/>
    <col min="13891" max="13891" width="84.81640625" style="44" bestFit="1" customWidth="1"/>
    <col min="13892" max="13892" width="93" style="44" bestFit="1" customWidth="1"/>
    <col min="13893" max="13893" width="83.453125" style="44" bestFit="1" customWidth="1"/>
    <col min="13894" max="13894" width="100.90625" style="44" bestFit="1" customWidth="1"/>
    <col min="13895" max="13897" width="64.54296875" style="44" bestFit="1" customWidth="1"/>
    <col min="13898" max="13899" width="82.7265625" style="44" bestFit="1" customWidth="1"/>
    <col min="13900" max="13900" width="99.453125" style="44" bestFit="1" customWidth="1"/>
    <col min="13901" max="13901" width="78.1796875" style="44" bestFit="1" customWidth="1"/>
    <col min="13902" max="13902" width="71.36328125" style="44" bestFit="1" customWidth="1"/>
    <col min="13903" max="13903" width="71.26953125" style="44" bestFit="1" customWidth="1"/>
    <col min="13904" max="13907" width="76.453125" style="44" bestFit="1" customWidth="1"/>
    <col min="13908" max="13908" width="70.54296875" style="44" bestFit="1" customWidth="1"/>
    <col min="13909" max="13909" width="63.36328125" style="44" bestFit="1" customWidth="1"/>
    <col min="13910" max="13910" width="97.81640625" style="44" bestFit="1" customWidth="1"/>
    <col min="13911" max="13912" width="73" style="44" bestFit="1" customWidth="1"/>
    <col min="13913" max="13913" width="79" style="44" bestFit="1" customWidth="1"/>
    <col min="13914" max="13914" width="73" style="44" bestFit="1" customWidth="1"/>
    <col min="13915" max="13915" width="82.1796875" style="44" bestFit="1" customWidth="1"/>
    <col min="13916" max="13916" width="61.453125" style="44" bestFit="1" customWidth="1"/>
    <col min="13917" max="13918" width="99.90625" style="44" bestFit="1" customWidth="1"/>
    <col min="13919" max="13919" width="100.36328125" style="44" bestFit="1" customWidth="1"/>
    <col min="13920" max="13920" width="84.453125" style="44" bestFit="1" customWidth="1"/>
    <col min="13921" max="13921" width="113.36328125" style="44" bestFit="1" customWidth="1"/>
    <col min="13922" max="13922" width="98.453125" style="44" bestFit="1" customWidth="1"/>
    <col min="13923" max="13923" width="99.7265625" style="44" bestFit="1" customWidth="1"/>
    <col min="13924" max="13924" width="99.54296875" style="44" bestFit="1" customWidth="1"/>
    <col min="13925" max="13925" width="96.81640625" style="44" bestFit="1" customWidth="1"/>
    <col min="13926" max="13926" width="94.08984375" style="44" bestFit="1" customWidth="1"/>
    <col min="13927" max="13927" width="100.453125" style="44" bestFit="1" customWidth="1"/>
    <col min="13928" max="13928" width="98.6328125" style="44" bestFit="1" customWidth="1"/>
    <col min="13929" max="13929" width="77.453125" style="44" bestFit="1" customWidth="1"/>
    <col min="13930" max="13930" width="95.1796875" style="44" bestFit="1" customWidth="1"/>
    <col min="13931" max="13931" width="86.6328125" style="44" bestFit="1" customWidth="1"/>
    <col min="13932" max="13932" width="77.26953125" style="44" bestFit="1" customWidth="1"/>
    <col min="13933" max="13933" width="85.1796875" style="44" bestFit="1" customWidth="1"/>
    <col min="13934" max="13934" width="74.7265625" style="44" bestFit="1" customWidth="1"/>
    <col min="13935" max="13935" width="92" style="44" bestFit="1" customWidth="1"/>
    <col min="13936" max="13936" width="72.26953125" style="44" bestFit="1" customWidth="1"/>
    <col min="13937" max="13937" width="97.08984375" style="44" bestFit="1" customWidth="1"/>
    <col min="13938" max="13938" width="77.08984375" style="44" bestFit="1" customWidth="1"/>
    <col min="13939" max="13939" width="85.08984375" style="44" bestFit="1" customWidth="1"/>
    <col min="13940" max="13941" width="83.1796875" style="44" bestFit="1" customWidth="1"/>
    <col min="13942" max="13942" width="82.6328125" style="44" bestFit="1" customWidth="1"/>
    <col min="13943" max="13943" width="86.26953125" style="44" bestFit="1" customWidth="1"/>
    <col min="13944" max="13944" width="71.1796875" style="44" bestFit="1" customWidth="1"/>
    <col min="13945" max="13945" width="66.6328125" style="44" bestFit="1" customWidth="1"/>
    <col min="13946" max="13947" width="83.1796875" style="44" bestFit="1" customWidth="1"/>
    <col min="13948" max="13948" width="67.08984375" style="44" bestFit="1" customWidth="1"/>
    <col min="13949" max="13949" width="76.54296875" style="44" bestFit="1" customWidth="1"/>
    <col min="13950" max="13950" width="94.08984375" style="44" bestFit="1" customWidth="1"/>
    <col min="13951" max="13951" width="89.08984375" style="44" bestFit="1" customWidth="1"/>
    <col min="13952" max="13952" width="68.1796875" style="44" bestFit="1" customWidth="1"/>
    <col min="13953" max="13953" width="91.7265625" style="44" bestFit="1" customWidth="1"/>
    <col min="13954" max="13954" width="63.36328125" style="44" bestFit="1" customWidth="1"/>
    <col min="13955" max="13955" width="66.6328125" style="44" bestFit="1" customWidth="1"/>
    <col min="13956" max="13956" width="63.36328125" style="44" bestFit="1" customWidth="1"/>
    <col min="13957" max="13957" width="63.453125" style="44" bestFit="1" customWidth="1"/>
    <col min="13958" max="13958" width="87.54296875" style="44" bestFit="1" customWidth="1"/>
    <col min="13959" max="13959" width="93.81640625" style="44" bestFit="1" customWidth="1"/>
    <col min="13960" max="13960" width="66.453125" style="44" bestFit="1" customWidth="1"/>
    <col min="13961" max="13962" width="110" style="44" bestFit="1" customWidth="1"/>
    <col min="13963" max="13963" width="103.1796875" style="44" bestFit="1" customWidth="1"/>
    <col min="13964" max="13964" width="62.453125" style="44" bestFit="1" customWidth="1"/>
    <col min="13965" max="13965" width="77.453125" style="44" bestFit="1" customWidth="1"/>
    <col min="13966" max="13966" width="91.54296875" style="44" bestFit="1" customWidth="1"/>
    <col min="13967" max="13967" width="88.08984375" style="44" bestFit="1" customWidth="1"/>
    <col min="13968" max="13968" width="80.6328125" style="44" bestFit="1" customWidth="1"/>
    <col min="13969" max="13969" width="77.453125" style="44" bestFit="1" customWidth="1"/>
    <col min="13970" max="13970" width="85.1796875" style="44" bestFit="1" customWidth="1"/>
    <col min="13971" max="13974" width="72.36328125" style="44" bestFit="1" customWidth="1"/>
    <col min="13975" max="13976" width="95" style="44" bestFit="1" customWidth="1"/>
    <col min="13977" max="13977" width="64.08984375" style="44" bestFit="1" customWidth="1"/>
    <col min="13978" max="13978" width="110.08984375" style="44" bestFit="1" customWidth="1"/>
    <col min="13979" max="13979" width="86.36328125" style="44" bestFit="1" customWidth="1"/>
    <col min="13980" max="13980" width="89.36328125" style="44" bestFit="1" customWidth="1"/>
    <col min="13981" max="13981" width="89.81640625" style="44" bestFit="1" customWidth="1"/>
    <col min="13982" max="13982" width="64.26953125" style="44" bestFit="1" customWidth="1"/>
    <col min="13983" max="13983" width="85.7265625" style="44" bestFit="1" customWidth="1"/>
    <col min="13984" max="13984" width="73" style="44" bestFit="1" customWidth="1"/>
    <col min="13985" max="13985" width="92.7265625" style="44" bestFit="1" customWidth="1"/>
    <col min="13986" max="13986" width="92.36328125" style="44" bestFit="1" customWidth="1"/>
    <col min="13987" max="13987" width="72" style="44" bestFit="1" customWidth="1"/>
    <col min="13988" max="13988" width="82" style="44" bestFit="1" customWidth="1"/>
    <col min="13989" max="13989" width="79.36328125" style="44" bestFit="1" customWidth="1"/>
    <col min="13990" max="13990" width="81" style="44" bestFit="1" customWidth="1"/>
    <col min="13991" max="13991" width="72.90625" style="44" bestFit="1" customWidth="1"/>
    <col min="13992" max="13992" width="90.81640625" style="44" bestFit="1" customWidth="1"/>
    <col min="13993" max="13993" width="84" style="44" bestFit="1" customWidth="1"/>
    <col min="13994" max="13995" width="73.36328125" style="44" bestFit="1" customWidth="1"/>
    <col min="13996" max="13996" width="90.6328125" style="44" bestFit="1" customWidth="1"/>
    <col min="13997" max="13997" width="89.453125" style="44" bestFit="1" customWidth="1"/>
    <col min="13998" max="13998" width="84.6328125" style="44" bestFit="1" customWidth="1"/>
    <col min="13999" max="13999" width="74.54296875" style="44" bestFit="1" customWidth="1"/>
    <col min="14000" max="14000" width="76.90625" style="44" bestFit="1" customWidth="1"/>
    <col min="14001" max="14001" width="83" style="44" bestFit="1" customWidth="1"/>
    <col min="14002" max="14002" width="85.81640625" style="44" bestFit="1" customWidth="1"/>
    <col min="14003" max="14003" width="83.7265625" style="44" bestFit="1" customWidth="1"/>
    <col min="14004" max="14004" width="79.54296875" style="44" bestFit="1" customWidth="1"/>
    <col min="14005" max="14005" width="80.54296875" style="44" bestFit="1" customWidth="1"/>
    <col min="14006" max="14006" width="89.54296875" style="44" bestFit="1" customWidth="1"/>
    <col min="14007" max="14007" width="85.36328125" style="44" bestFit="1" customWidth="1"/>
    <col min="14008" max="14008" width="61.6328125" style="44" bestFit="1" customWidth="1"/>
    <col min="14009" max="14009" width="132.54296875" style="44" bestFit="1" customWidth="1"/>
    <col min="14010" max="14010" width="93.1796875" style="44" bestFit="1" customWidth="1"/>
    <col min="14011" max="14011" width="91.08984375" style="44" bestFit="1" customWidth="1"/>
    <col min="14012" max="14012" width="81.7265625" style="44" bestFit="1" customWidth="1"/>
    <col min="14013" max="14014" width="80.90625" style="44" bestFit="1" customWidth="1"/>
    <col min="14015" max="14015" width="83.26953125" style="44" bestFit="1" customWidth="1"/>
    <col min="14016" max="14016" width="101.453125" style="44" bestFit="1" customWidth="1"/>
    <col min="14017" max="14017" width="110.1796875" style="44" bestFit="1" customWidth="1"/>
    <col min="14018" max="14018" width="74.6328125" style="44" bestFit="1" customWidth="1"/>
    <col min="14019" max="14022" width="84.54296875" style="44" bestFit="1" customWidth="1"/>
    <col min="14023" max="14023" width="74.36328125" style="44" bestFit="1" customWidth="1"/>
    <col min="14024" max="14024" width="88.1796875" style="44" bestFit="1" customWidth="1"/>
    <col min="14025" max="14025" width="78.6328125" style="44" bestFit="1" customWidth="1"/>
    <col min="14026" max="14026" width="76.81640625" style="44" bestFit="1" customWidth="1"/>
    <col min="14027" max="14027" width="74.7265625" style="44" bestFit="1" customWidth="1"/>
    <col min="14028" max="14028" width="87.26953125" style="44" bestFit="1" customWidth="1"/>
    <col min="14029" max="14029" width="85.54296875" style="44" bestFit="1" customWidth="1"/>
    <col min="14030" max="14030" width="100.26953125" style="44" bestFit="1" customWidth="1"/>
    <col min="14031" max="14031" width="71.36328125" style="44" bestFit="1" customWidth="1"/>
    <col min="14032" max="14032" width="105.453125" style="44" bestFit="1" customWidth="1"/>
    <col min="14033" max="14033" width="103.08984375" style="44" bestFit="1" customWidth="1"/>
    <col min="14034" max="14034" width="85.7265625" style="44" bestFit="1" customWidth="1"/>
    <col min="14035" max="14035" width="99.26953125" style="44" bestFit="1" customWidth="1"/>
    <col min="14036" max="14036" width="83.54296875" style="44" bestFit="1" customWidth="1"/>
    <col min="14037" max="14037" width="96.90625" style="44" bestFit="1" customWidth="1"/>
    <col min="14038" max="14038" width="74.26953125" style="44" bestFit="1" customWidth="1"/>
    <col min="14039" max="14039" width="98.36328125" style="44" bestFit="1" customWidth="1"/>
    <col min="14040" max="14040" width="74.453125" style="44" bestFit="1" customWidth="1"/>
    <col min="14041" max="14041" width="88.81640625" style="44" bestFit="1" customWidth="1"/>
    <col min="14042" max="14042" width="67.6328125" style="44" bestFit="1" customWidth="1"/>
    <col min="14043" max="14043" width="93.08984375" style="44" bestFit="1" customWidth="1"/>
    <col min="14044" max="14044" width="101.453125" style="44" bestFit="1" customWidth="1"/>
    <col min="14045" max="14047" width="76.81640625" style="44" bestFit="1" customWidth="1"/>
    <col min="14048" max="14048" width="87.08984375" style="44" bestFit="1" customWidth="1"/>
    <col min="14049" max="14049" width="72.453125" style="44" bestFit="1" customWidth="1"/>
    <col min="14050" max="14050" width="87.81640625" style="44" bestFit="1" customWidth="1"/>
    <col min="14051" max="14051" width="71.7265625" style="44" bestFit="1" customWidth="1"/>
    <col min="14052" max="14052" width="74" style="44" bestFit="1" customWidth="1"/>
    <col min="14053" max="14053" width="74.08984375" style="44" bestFit="1" customWidth="1"/>
    <col min="14054" max="14056" width="86.81640625" style="44" bestFit="1" customWidth="1"/>
    <col min="14057" max="14057" width="104.7265625" style="44" bestFit="1" customWidth="1"/>
    <col min="14058" max="14058" width="101.81640625" style="44" bestFit="1" customWidth="1"/>
    <col min="14059" max="14059" width="64.453125" style="44" bestFit="1" customWidth="1"/>
    <col min="14060" max="14060" width="65.1796875" style="44" bestFit="1" customWidth="1"/>
    <col min="14061" max="14061" width="72.453125" style="44" bestFit="1" customWidth="1"/>
    <col min="14062" max="14062" width="81.36328125" style="44" bestFit="1" customWidth="1"/>
    <col min="14063" max="14063" width="65.1796875" style="44" bestFit="1" customWidth="1"/>
    <col min="14064" max="14064" width="80.90625" style="44" bestFit="1" customWidth="1"/>
    <col min="14065" max="14065" width="71.7265625" style="44" bestFit="1" customWidth="1"/>
    <col min="14066" max="14066" width="73.6328125" style="44" bestFit="1" customWidth="1"/>
    <col min="14067" max="14068" width="85.36328125" style="44" bestFit="1" customWidth="1"/>
    <col min="14069" max="14069" width="92.26953125" style="44" bestFit="1" customWidth="1"/>
    <col min="14070" max="14070" width="106.1796875" style="44" bestFit="1" customWidth="1"/>
    <col min="14071" max="14071" width="86.6328125" style="44" bestFit="1" customWidth="1"/>
    <col min="14072" max="14073" width="68.90625" style="44" bestFit="1" customWidth="1"/>
    <col min="14074" max="14074" width="80.54296875" style="44" bestFit="1" customWidth="1"/>
    <col min="14075" max="14075" width="68.90625" style="44" bestFit="1" customWidth="1"/>
    <col min="14076" max="14076" width="79.1796875" style="44" bestFit="1" customWidth="1"/>
    <col min="14077" max="14077" width="79.26953125" style="44" bestFit="1" customWidth="1"/>
    <col min="14078" max="14078" width="80.1796875" style="44" bestFit="1" customWidth="1"/>
    <col min="14079" max="14079" width="84.81640625" style="44" bestFit="1" customWidth="1"/>
    <col min="14080" max="14080" width="76.81640625" style="44" bestFit="1" customWidth="1"/>
    <col min="14081" max="14081" width="7.90625" style="44" bestFit="1" customWidth="1"/>
    <col min="14082" max="14082" width="132.54296875" style="44" bestFit="1" customWidth="1"/>
    <col min="14083" max="14083" width="45.36328125" style="44" bestFit="1" customWidth="1"/>
    <col min="14084" max="14084" width="14.08984375" style="44" bestFit="1" customWidth="1"/>
    <col min="14085" max="14086" width="8.7265625" style="44"/>
    <col min="14087" max="14087" width="49.7265625" style="44" bestFit="1" customWidth="1"/>
    <col min="14088" max="14088" width="7.90625" style="44" bestFit="1" customWidth="1"/>
    <col min="14089" max="14089" width="7.81640625" style="44" bestFit="1" customWidth="1"/>
    <col min="14090" max="14101" width="8.81640625" style="44" bestFit="1" customWidth="1"/>
    <col min="14102" max="14102" width="10.81640625" style="44" bestFit="1" customWidth="1"/>
    <col min="14103" max="14103" width="93.36328125" style="44" bestFit="1" customWidth="1"/>
    <col min="14104" max="14104" width="87.6328125" style="44" bestFit="1" customWidth="1"/>
    <col min="14105" max="14105" width="69.26953125" style="44" bestFit="1" customWidth="1"/>
    <col min="14106" max="14106" width="68.54296875" style="44" bestFit="1" customWidth="1"/>
    <col min="14107" max="14107" width="67.6328125" style="44" bestFit="1" customWidth="1"/>
    <col min="14108" max="14108" width="64" style="44" bestFit="1" customWidth="1"/>
    <col min="14109" max="14109" width="43.81640625" style="44" bestFit="1" customWidth="1"/>
    <col min="14110" max="14110" width="39.81640625" style="44" bestFit="1" customWidth="1"/>
    <col min="14111" max="14111" width="85.26953125" style="44" bestFit="1" customWidth="1"/>
    <col min="14112" max="14112" width="84.08984375" style="44" bestFit="1" customWidth="1"/>
    <col min="14113" max="14113" width="91" style="44" bestFit="1" customWidth="1"/>
    <col min="14114" max="14114" width="79" style="44" bestFit="1" customWidth="1"/>
    <col min="14115" max="14115" width="89.90625" style="44" bestFit="1" customWidth="1"/>
    <col min="14116" max="14122" width="90.90625" style="44" bestFit="1" customWidth="1"/>
    <col min="14123" max="14123" width="91.90625" style="44" bestFit="1" customWidth="1"/>
    <col min="14124" max="14124" width="73.08984375" style="44" bestFit="1" customWidth="1"/>
    <col min="14125" max="14125" width="61.1796875" style="44" bestFit="1" customWidth="1"/>
    <col min="14126" max="14126" width="94.1796875" style="44" bestFit="1" customWidth="1"/>
    <col min="14127" max="14127" width="84.453125" style="44" bestFit="1" customWidth="1"/>
    <col min="14128" max="14128" width="86.81640625" style="44" bestFit="1" customWidth="1"/>
    <col min="14129" max="14129" width="90.08984375" style="44" bestFit="1" customWidth="1"/>
    <col min="14130" max="14130" width="86.7265625" style="44" bestFit="1" customWidth="1"/>
    <col min="14131" max="14131" width="87.6328125" style="44" bestFit="1" customWidth="1"/>
    <col min="14132" max="14134" width="97.6328125" style="44" bestFit="1" customWidth="1"/>
    <col min="14135" max="14135" width="72.54296875" style="44" bestFit="1" customWidth="1"/>
    <col min="14136" max="14136" width="73.6328125" style="44" bestFit="1" customWidth="1"/>
    <col min="14137" max="14137" width="58.6328125" style="44" bestFit="1" customWidth="1"/>
    <col min="14138" max="14139" width="74.08984375" style="44" bestFit="1" customWidth="1"/>
    <col min="14140" max="14140" width="75.54296875" style="44" bestFit="1" customWidth="1"/>
    <col min="14141" max="14141" width="92" style="44" bestFit="1" customWidth="1"/>
    <col min="14142" max="14142" width="93.54296875" style="44" bestFit="1" customWidth="1"/>
    <col min="14143" max="14144" width="75.54296875" style="44" bestFit="1" customWidth="1"/>
    <col min="14145" max="14145" width="78.08984375" style="44" bestFit="1" customWidth="1"/>
    <col min="14146" max="14146" width="70" style="44" bestFit="1" customWidth="1"/>
    <col min="14147" max="14147" width="84.81640625" style="44" bestFit="1" customWidth="1"/>
    <col min="14148" max="14148" width="93" style="44" bestFit="1" customWidth="1"/>
    <col min="14149" max="14149" width="83.453125" style="44" bestFit="1" customWidth="1"/>
    <col min="14150" max="14150" width="100.90625" style="44" bestFit="1" customWidth="1"/>
    <col min="14151" max="14153" width="64.54296875" style="44" bestFit="1" customWidth="1"/>
    <col min="14154" max="14155" width="82.7265625" style="44" bestFit="1" customWidth="1"/>
    <col min="14156" max="14156" width="99.453125" style="44" bestFit="1" customWidth="1"/>
    <col min="14157" max="14157" width="78.1796875" style="44" bestFit="1" customWidth="1"/>
    <col min="14158" max="14158" width="71.36328125" style="44" bestFit="1" customWidth="1"/>
    <col min="14159" max="14159" width="71.26953125" style="44" bestFit="1" customWidth="1"/>
    <col min="14160" max="14163" width="76.453125" style="44" bestFit="1" customWidth="1"/>
    <col min="14164" max="14164" width="70.54296875" style="44" bestFit="1" customWidth="1"/>
    <col min="14165" max="14165" width="63.36328125" style="44" bestFit="1" customWidth="1"/>
    <col min="14166" max="14166" width="97.81640625" style="44" bestFit="1" customWidth="1"/>
    <col min="14167" max="14168" width="73" style="44" bestFit="1" customWidth="1"/>
    <col min="14169" max="14169" width="79" style="44" bestFit="1" customWidth="1"/>
    <col min="14170" max="14170" width="73" style="44" bestFit="1" customWidth="1"/>
    <col min="14171" max="14171" width="82.1796875" style="44" bestFit="1" customWidth="1"/>
    <col min="14172" max="14172" width="61.453125" style="44" bestFit="1" customWidth="1"/>
    <col min="14173" max="14174" width="99.90625" style="44" bestFit="1" customWidth="1"/>
    <col min="14175" max="14175" width="100.36328125" style="44" bestFit="1" customWidth="1"/>
    <col min="14176" max="14176" width="84.453125" style="44" bestFit="1" customWidth="1"/>
    <col min="14177" max="14177" width="113.36328125" style="44" bestFit="1" customWidth="1"/>
    <col min="14178" max="14178" width="98.453125" style="44" bestFit="1" customWidth="1"/>
    <col min="14179" max="14179" width="99.7265625" style="44" bestFit="1" customWidth="1"/>
    <col min="14180" max="14180" width="99.54296875" style="44" bestFit="1" customWidth="1"/>
    <col min="14181" max="14181" width="96.81640625" style="44" bestFit="1" customWidth="1"/>
    <col min="14182" max="14182" width="94.08984375" style="44" bestFit="1" customWidth="1"/>
    <col min="14183" max="14183" width="100.453125" style="44" bestFit="1" customWidth="1"/>
    <col min="14184" max="14184" width="98.6328125" style="44" bestFit="1" customWidth="1"/>
    <col min="14185" max="14185" width="77.453125" style="44" bestFit="1" customWidth="1"/>
    <col min="14186" max="14186" width="95.1796875" style="44" bestFit="1" customWidth="1"/>
    <col min="14187" max="14187" width="86.6328125" style="44" bestFit="1" customWidth="1"/>
    <col min="14188" max="14188" width="77.26953125" style="44" bestFit="1" customWidth="1"/>
    <col min="14189" max="14189" width="85.1796875" style="44" bestFit="1" customWidth="1"/>
    <col min="14190" max="14190" width="74.7265625" style="44" bestFit="1" customWidth="1"/>
    <col min="14191" max="14191" width="92" style="44" bestFit="1" customWidth="1"/>
    <col min="14192" max="14192" width="72.26953125" style="44" bestFit="1" customWidth="1"/>
    <col min="14193" max="14193" width="97.08984375" style="44" bestFit="1" customWidth="1"/>
    <col min="14194" max="14194" width="77.08984375" style="44" bestFit="1" customWidth="1"/>
    <col min="14195" max="14195" width="85.08984375" style="44" bestFit="1" customWidth="1"/>
    <col min="14196" max="14197" width="83.1796875" style="44" bestFit="1" customWidth="1"/>
    <col min="14198" max="14198" width="82.6328125" style="44" bestFit="1" customWidth="1"/>
    <col min="14199" max="14199" width="86.26953125" style="44" bestFit="1" customWidth="1"/>
    <col min="14200" max="14200" width="71.1796875" style="44" bestFit="1" customWidth="1"/>
    <col min="14201" max="14201" width="66.6328125" style="44" bestFit="1" customWidth="1"/>
    <col min="14202" max="14203" width="83.1796875" style="44" bestFit="1" customWidth="1"/>
    <col min="14204" max="14204" width="67.08984375" style="44" bestFit="1" customWidth="1"/>
    <col min="14205" max="14205" width="76.54296875" style="44" bestFit="1" customWidth="1"/>
    <col min="14206" max="14206" width="94.08984375" style="44" bestFit="1" customWidth="1"/>
    <col min="14207" max="14207" width="89.08984375" style="44" bestFit="1" customWidth="1"/>
    <col min="14208" max="14208" width="68.1796875" style="44" bestFit="1" customWidth="1"/>
    <col min="14209" max="14209" width="91.7265625" style="44" bestFit="1" customWidth="1"/>
    <col min="14210" max="14210" width="63.36328125" style="44" bestFit="1" customWidth="1"/>
    <col min="14211" max="14211" width="66.6328125" style="44" bestFit="1" customWidth="1"/>
    <col min="14212" max="14212" width="63.36328125" style="44" bestFit="1" customWidth="1"/>
    <col min="14213" max="14213" width="63.453125" style="44" bestFit="1" customWidth="1"/>
    <col min="14214" max="14214" width="87.54296875" style="44" bestFit="1" customWidth="1"/>
    <col min="14215" max="14215" width="93.81640625" style="44" bestFit="1" customWidth="1"/>
    <col min="14216" max="14216" width="66.453125" style="44" bestFit="1" customWidth="1"/>
    <col min="14217" max="14218" width="110" style="44" bestFit="1" customWidth="1"/>
    <col min="14219" max="14219" width="103.1796875" style="44" bestFit="1" customWidth="1"/>
    <col min="14220" max="14220" width="62.453125" style="44" bestFit="1" customWidth="1"/>
    <col min="14221" max="14221" width="77.453125" style="44" bestFit="1" customWidth="1"/>
    <col min="14222" max="14222" width="91.54296875" style="44" bestFit="1" customWidth="1"/>
    <col min="14223" max="14223" width="88.08984375" style="44" bestFit="1" customWidth="1"/>
    <col min="14224" max="14224" width="80.6328125" style="44" bestFit="1" customWidth="1"/>
    <col min="14225" max="14225" width="77.453125" style="44" bestFit="1" customWidth="1"/>
    <col min="14226" max="14226" width="85.1796875" style="44" bestFit="1" customWidth="1"/>
    <col min="14227" max="14230" width="72.36328125" style="44" bestFit="1" customWidth="1"/>
    <col min="14231" max="14232" width="95" style="44" bestFit="1" customWidth="1"/>
    <col min="14233" max="14233" width="64.08984375" style="44" bestFit="1" customWidth="1"/>
    <col min="14234" max="14234" width="110.08984375" style="44" bestFit="1" customWidth="1"/>
    <col min="14235" max="14235" width="86.36328125" style="44" bestFit="1" customWidth="1"/>
    <col min="14236" max="14236" width="89.36328125" style="44" bestFit="1" customWidth="1"/>
    <col min="14237" max="14237" width="89.81640625" style="44" bestFit="1" customWidth="1"/>
    <col min="14238" max="14238" width="64.26953125" style="44" bestFit="1" customWidth="1"/>
    <col min="14239" max="14239" width="85.7265625" style="44" bestFit="1" customWidth="1"/>
    <col min="14240" max="14240" width="73" style="44" bestFit="1" customWidth="1"/>
    <col min="14241" max="14241" width="92.7265625" style="44" bestFit="1" customWidth="1"/>
    <col min="14242" max="14242" width="92.36328125" style="44" bestFit="1" customWidth="1"/>
    <col min="14243" max="14243" width="72" style="44" bestFit="1" customWidth="1"/>
    <col min="14244" max="14244" width="82" style="44" bestFit="1" customWidth="1"/>
    <col min="14245" max="14245" width="79.36328125" style="44" bestFit="1" customWidth="1"/>
    <col min="14246" max="14246" width="81" style="44" bestFit="1" customWidth="1"/>
    <col min="14247" max="14247" width="72.90625" style="44" bestFit="1" customWidth="1"/>
    <col min="14248" max="14248" width="90.81640625" style="44" bestFit="1" customWidth="1"/>
    <col min="14249" max="14249" width="84" style="44" bestFit="1" customWidth="1"/>
    <col min="14250" max="14251" width="73.36328125" style="44" bestFit="1" customWidth="1"/>
    <col min="14252" max="14252" width="90.6328125" style="44" bestFit="1" customWidth="1"/>
    <col min="14253" max="14253" width="89.453125" style="44" bestFit="1" customWidth="1"/>
    <col min="14254" max="14254" width="84.6328125" style="44" bestFit="1" customWidth="1"/>
    <col min="14255" max="14255" width="74.54296875" style="44" bestFit="1" customWidth="1"/>
    <col min="14256" max="14256" width="76.90625" style="44" bestFit="1" customWidth="1"/>
    <col min="14257" max="14257" width="83" style="44" bestFit="1" customWidth="1"/>
    <col min="14258" max="14258" width="85.81640625" style="44" bestFit="1" customWidth="1"/>
    <col min="14259" max="14259" width="83.7265625" style="44" bestFit="1" customWidth="1"/>
    <col min="14260" max="14260" width="79.54296875" style="44" bestFit="1" customWidth="1"/>
    <col min="14261" max="14261" width="80.54296875" style="44" bestFit="1" customWidth="1"/>
    <col min="14262" max="14262" width="89.54296875" style="44" bestFit="1" customWidth="1"/>
    <col min="14263" max="14263" width="85.36328125" style="44" bestFit="1" customWidth="1"/>
    <col min="14264" max="14264" width="61.6328125" style="44" bestFit="1" customWidth="1"/>
    <col min="14265" max="14265" width="132.54296875" style="44" bestFit="1" customWidth="1"/>
    <col min="14266" max="14266" width="93.1796875" style="44" bestFit="1" customWidth="1"/>
    <col min="14267" max="14267" width="91.08984375" style="44" bestFit="1" customWidth="1"/>
    <col min="14268" max="14268" width="81.7265625" style="44" bestFit="1" customWidth="1"/>
    <col min="14269" max="14270" width="80.90625" style="44" bestFit="1" customWidth="1"/>
    <col min="14271" max="14271" width="83.26953125" style="44" bestFit="1" customWidth="1"/>
    <col min="14272" max="14272" width="101.453125" style="44" bestFit="1" customWidth="1"/>
    <col min="14273" max="14273" width="110.1796875" style="44" bestFit="1" customWidth="1"/>
    <col min="14274" max="14274" width="74.6328125" style="44" bestFit="1" customWidth="1"/>
    <col min="14275" max="14278" width="84.54296875" style="44" bestFit="1" customWidth="1"/>
    <col min="14279" max="14279" width="74.36328125" style="44" bestFit="1" customWidth="1"/>
    <col min="14280" max="14280" width="88.1796875" style="44" bestFit="1" customWidth="1"/>
    <col min="14281" max="14281" width="78.6328125" style="44" bestFit="1" customWidth="1"/>
    <col min="14282" max="14282" width="76.81640625" style="44" bestFit="1" customWidth="1"/>
    <col min="14283" max="14283" width="74.7265625" style="44" bestFit="1" customWidth="1"/>
    <col min="14284" max="14284" width="87.26953125" style="44" bestFit="1" customWidth="1"/>
    <col min="14285" max="14285" width="85.54296875" style="44" bestFit="1" customWidth="1"/>
    <col min="14286" max="14286" width="100.26953125" style="44" bestFit="1" customWidth="1"/>
    <col min="14287" max="14287" width="71.36328125" style="44" bestFit="1" customWidth="1"/>
    <col min="14288" max="14288" width="105.453125" style="44" bestFit="1" customWidth="1"/>
    <col min="14289" max="14289" width="103.08984375" style="44" bestFit="1" customWidth="1"/>
    <col min="14290" max="14290" width="85.7265625" style="44" bestFit="1" customWidth="1"/>
    <col min="14291" max="14291" width="99.26953125" style="44" bestFit="1" customWidth="1"/>
    <col min="14292" max="14292" width="83.54296875" style="44" bestFit="1" customWidth="1"/>
    <col min="14293" max="14293" width="96.90625" style="44" bestFit="1" customWidth="1"/>
    <col min="14294" max="14294" width="74.26953125" style="44" bestFit="1" customWidth="1"/>
    <col min="14295" max="14295" width="98.36328125" style="44" bestFit="1" customWidth="1"/>
    <col min="14296" max="14296" width="74.453125" style="44" bestFit="1" customWidth="1"/>
    <col min="14297" max="14297" width="88.81640625" style="44" bestFit="1" customWidth="1"/>
    <col min="14298" max="14298" width="67.6328125" style="44" bestFit="1" customWidth="1"/>
    <col min="14299" max="14299" width="93.08984375" style="44" bestFit="1" customWidth="1"/>
    <col min="14300" max="14300" width="101.453125" style="44" bestFit="1" customWidth="1"/>
    <col min="14301" max="14303" width="76.81640625" style="44" bestFit="1" customWidth="1"/>
    <col min="14304" max="14304" width="87.08984375" style="44" bestFit="1" customWidth="1"/>
    <col min="14305" max="14305" width="72.453125" style="44" bestFit="1" customWidth="1"/>
    <col min="14306" max="14306" width="87.81640625" style="44" bestFit="1" customWidth="1"/>
    <col min="14307" max="14307" width="71.7265625" style="44" bestFit="1" customWidth="1"/>
    <col min="14308" max="14308" width="74" style="44" bestFit="1" customWidth="1"/>
    <col min="14309" max="14309" width="74.08984375" style="44" bestFit="1" customWidth="1"/>
    <col min="14310" max="14312" width="86.81640625" style="44" bestFit="1" customWidth="1"/>
    <col min="14313" max="14313" width="104.7265625" style="44" bestFit="1" customWidth="1"/>
    <col min="14314" max="14314" width="101.81640625" style="44" bestFit="1" customWidth="1"/>
    <col min="14315" max="14315" width="64.453125" style="44" bestFit="1" customWidth="1"/>
    <col min="14316" max="14316" width="65.1796875" style="44" bestFit="1" customWidth="1"/>
    <col min="14317" max="14317" width="72.453125" style="44" bestFit="1" customWidth="1"/>
    <col min="14318" max="14318" width="81.36328125" style="44" bestFit="1" customWidth="1"/>
    <col min="14319" max="14319" width="65.1796875" style="44" bestFit="1" customWidth="1"/>
    <col min="14320" max="14320" width="80.90625" style="44" bestFit="1" customWidth="1"/>
    <col min="14321" max="14321" width="71.7265625" style="44" bestFit="1" customWidth="1"/>
    <col min="14322" max="14322" width="73.6328125" style="44" bestFit="1" customWidth="1"/>
    <col min="14323" max="14324" width="85.36328125" style="44" bestFit="1" customWidth="1"/>
    <col min="14325" max="14325" width="92.26953125" style="44" bestFit="1" customWidth="1"/>
    <col min="14326" max="14326" width="106.1796875" style="44" bestFit="1" customWidth="1"/>
    <col min="14327" max="14327" width="86.6328125" style="44" bestFit="1" customWidth="1"/>
    <col min="14328" max="14329" width="68.90625" style="44" bestFit="1" customWidth="1"/>
    <col min="14330" max="14330" width="80.54296875" style="44" bestFit="1" customWidth="1"/>
    <col min="14331" max="14331" width="68.90625" style="44" bestFit="1" customWidth="1"/>
    <col min="14332" max="14332" width="79.1796875" style="44" bestFit="1" customWidth="1"/>
    <col min="14333" max="14333" width="79.26953125" style="44" bestFit="1" customWidth="1"/>
    <col min="14334" max="14334" width="80.1796875" style="44" bestFit="1" customWidth="1"/>
    <col min="14335" max="14335" width="84.81640625" style="44" bestFit="1" customWidth="1"/>
    <col min="14336" max="14336" width="76.81640625" style="44" bestFit="1" customWidth="1"/>
    <col min="14337" max="14337" width="7.90625" style="44" bestFit="1" customWidth="1"/>
    <col min="14338" max="14338" width="132.54296875" style="44" bestFit="1" customWidth="1"/>
    <col min="14339" max="14339" width="45.36328125" style="44" bestFit="1" customWidth="1"/>
    <col min="14340" max="14340" width="14.08984375" style="44" bestFit="1" customWidth="1"/>
    <col min="14341" max="14342" width="8.7265625" style="44"/>
    <col min="14343" max="14343" width="49.7265625" style="44" bestFit="1" customWidth="1"/>
    <col min="14344" max="14344" width="7.90625" style="44" bestFit="1" customWidth="1"/>
    <col min="14345" max="14345" width="7.81640625" style="44" bestFit="1" customWidth="1"/>
    <col min="14346" max="14357" width="8.81640625" style="44" bestFit="1" customWidth="1"/>
    <col min="14358" max="14358" width="10.81640625" style="44" bestFit="1" customWidth="1"/>
    <col min="14359" max="14359" width="93.36328125" style="44" bestFit="1" customWidth="1"/>
    <col min="14360" max="14360" width="87.6328125" style="44" bestFit="1" customWidth="1"/>
    <col min="14361" max="14361" width="69.26953125" style="44" bestFit="1" customWidth="1"/>
    <col min="14362" max="14362" width="68.54296875" style="44" bestFit="1" customWidth="1"/>
    <col min="14363" max="14363" width="67.6328125" style="44" bestFit="1" customWidth="1"/>
    <col min="14364" max="14364" width="64" style="44" bestFit="1" customWidth="1"/>
    <col min="14365" max="14365" width="43.81640625" style="44" bestFit="1" customWidth="1"/>
    <col min="14366" max="14366" width="39.81640625" style="44" bestFit="1" customWidth="1"/>
    <col min="14367" max="14367" width="85.26953125" style="44" bestFit="1" customWidth="1"/>
    <col min="14368" max="14368" width="84.08984375" style="44" bestFit="1" customWidth="1"/>
    <col min="14369" max="14369" width="91" style="44" bestFit="1" customWidth="1"/>
    <col min="14370" max="14370" width="79" style="44" bestFit="1" customWidth="1"/>
    <col min="14371" max="14371" width="89.90625" style="44" bestFit="1" customWidth="1"/>
    <col min="14372" max="14378" width="90.90625" style="44" bestFit="1" customWidth="1"/>
    <col min="14379" max="14379" width="91.90625" style="44" bestFit="1" customWidth="1"/>
    <col min="14380" max="14380" width="73.08984375" style="44" bestFit="1" customWidth="1"/>
    <col min="14381" max="14381" width="61.1796875" style="44" bestFit="1" customWidth="1"/>
    <col min="14382" max="14382" width="94.1796875" style="44" bestFit="1" customWidth="1"/>
    <col min="14383" max="14383" width="84.453125" style="44" bestFit="1" customWidth="1"/>
    <col min="14384" max="14384" width="86.81640625" style="44" bestFit="1" customWidth="1"/>
    <col min="14385" max="14385" width="90.08984375" style="44" bestFit="1" customWidth="1"/>
    <col min="14386" max="14386" width="86.7265625" style="44" bestFit="1" customWidth="1"/>
    <col min="14387" max="14387" width="87.6328125" style="44" bestFit="1" customWidth="1"/>
    <col min="14388" max="14390" width="97.6328125" style="44" bestFit="1" customWidth="1"/>
    <col min="14391" max="14391" width="72.54296875" style="44" bestFit="1" customWidth="1"/>
    <col min="14392" max="14392" width="73.6328125" style="44" bestFit="1" customWidth="1"/>
    <col min="14393" max="14393" width="58.6328125" style="44" bestFit="1" customWidth="1"/>
    <col min="14394" max="14395" width="74.08984375" style="44" bestFit="1" customWidth="1"/>
    <col min="14396" max="14396" width="75.54296875" style="44" bestFit="1" customWidth="1"/>
    <col min="14397" max="14397" width="92" style="44" bestFit="1" customWidth="1"/>
    <col min="14398" max="14398" width="93.54296875" style="44" bestFit="1" customWidth="1"/>
    <col min="14399" max="14400" width="75.54296875" style="44" bestFit="1" customWidth="1"/>
    <col min="14401" max="14401" width="78.08984375" style="44" bestFit="1" customWidth="1"/>
    <col min="14402" max="14402" width="70" style="44" bestFit="1" customWidth="1"/>
    <col min="14403" max="14403" width="84.81640625" style="44" bestFit="1" customWidth="1"/>
    <col min="14404" max="14404" width="93" style="44" bestFit="1" customWidth="1"/>
    <col min="14405" max="14405" width="83.453125" style="44" bestFit="1" customWidth="1"/>
    <col min="14406" max="14406" width="100.90625" style="44" bestFit="1" customWidth="1"/>
    <col min="14407" max="14409" width="64.54296875" style="44" bestFit="1" customWidth="1"/>
    <col min="14410" max="14411" width="82.7265625" style="44" bestFit="1" customWidth="1"/>
    <col min="14412" max="14412" width="99.453125" style="44" bestFit="1" customWidth="1"/>
    <col min="14413" max="14413" width="78.1796875" style="44" bestFit="1" customWidth="1"/>
    <col min="14414" max="14414" width="71.36328125" style="44" bestFit="1" customWidth="1"/>
    <col min="14415" max="14415" width="71.26953125" style="44" bestFit="1" customWidth="1"/>
    <col min="14416" max="14419" width="76.453125" style="44" bestFit="1" customWidth="1"/>
    <col min="14420" max="14420" width="70.54296875" style="44" bestFit="1" customWidth="1"/>
    <col min="14421" max="14421" width="63.36328125" style="44" bestFit="1" customWidth="1"/>
    <col min="14422" max="14422" width="97.81640625" style="44" bestFit="1" customWidth="1"/>
    <col min="14423" max="14424" width="73" style="44" bestFit="1" customWidth="1"/>
    <col min="14425" max="14425" width="79" style="44" bestFit="1" customWidth="1"/>
    <col min="14426" max="14426" width="73" style="44" bestFit="1" customWidth="1"/>
    <col min="14427" max="14427" width="82.1796875" style="44" bestFit="1" customWidth="1"/>
    <col min="14428" max="14428" width="61.453125" style="44" bestFit="1" customWidth="1"/>
    <col min="14429" max="14430" width="99.90625" style="44" bestFit="1" customWidth="1"/>
    <col min="14431" max="14431" width="100.36328125" style="44" bestFit="1" customWidth="1"/>
    <col min="14432" max="14432" width="84.453125" style="44" bestFit="1" customWidth="1"/>
    <col min="14433" max="14433" width="113.36328125" style="44" bestFit="1" customWidth="1"/>
    <col min="14434" max="14434" width="98.453125" style="44" bestFit="1" customWidth="1"/>
    <col min="14435" max="14435" width="99.7265625" style="44" bestFit="1" customWidth="1"/>
    <col min="14436" max="14436" width="99.54296875" style="44" bestFit="1" customWidth="1"/>
    <col min="14437" max="14437" width="96.81640625" style="44" bestFit="1" customWidth="1"/>
    <col min="14438" max="14438" width="94.08984375" style="44" bestFit="1" customWidth="1"/>
    <col min="14439" max="14439" width="100.453125" style="44" bestFit="1" customWidth="1"/>
    <col min="14440" max="14440" width="98.6328125" style="44" bestFit="1" customWidth="1"/>
    <col min="14441" max="14441" width="77.453125" style="44" bestFit="1" customWidth="1"/>
    <col min="14442" max="14442" width="95.1796875" style="44" bestFit="1" customWidth="1"/>
    <col min="14443" max="14443" width="86.6328125" style="44" bestFit="1" customWidth="1"/>
    <col min="14444" max="14444" width="77.26953125" style="44" bestFit="1" customWidth="1"/>
    <col min="14445" max="14445" width="85.1796875" style="44" bestFit="1" customWidth="1"/>
    <col min="14446" max="14446" width="74.7265625" style="44" bestFit="1" customWidth="1"/>
    <col min="14447" max="14447" width="92" style="44" bestFit="1" customWidth="1"/>
    <col min="14448" max="14448" width="72.26953125" style="44" bestFit="1" customWidth="1"/>
    <col min="14449" max="14449" width="97.08984375" style="44" bestFit="1" customWidth="1"/>
    <col min="14450" max="14450" width="77.08984375" style="44" bestFit="1" customWidth="1"/>
    <col min="14451" max="14451" width="85.08984375" style="44" bestFit="1" customWidth="1"/>
    <col min="14452" max="14453" width="83.1796875" style="44" bestFit="1" customWidth="1"/>
    <col min="14454" max="14454" width="82.6328125" style="44" bestFit="1" customWidth="1"/>
    <col min="14455" max="14455" width="86.26953125" style="44" bestFit="1" customWidth="1"/>
    <col min="14456" max="14456" width="71.1796875" style="44" bestFit="1" customWidth="1"/>
    <col min="14457" max="14457" width="66.6328125" style="44" bestFit="1" customWidth="1"/>
    <col min="14458" max="14459" width="83.1796875" style="44" bestFit="1" customWidth="1"/>
    <col min="14460" max="14460" width="67.08984375" style="44" bestFit="1" customWidth="1"/>
    <col min="14461" max="14461" width="76.54296875" style="44" bestFit="1" customWidth="1"/>
    <col min="14462" max="14462" width="94.08984375" style="44" bestFit="1" customWidth="1"/>
    <col min="14463" max="14463" width="89.08984375" style="44" bestFit="1" customWidth="1"/>
    <col min="14464" max="14464" width="68.1796875" style="44" bestFit="1" customWidth="1"/>
    <col min="14465" max="14465" width="91.7265625" style="44" bestFit="1" customWidth="1"/>
    <col min="14466" max="14466" width="63.36328125" style="44" bestFit="1" customWidth="1"/>
    <col min="14467" max="14467" width="66.6328125" style="44" bestFit="1" customWidth="1"/>
    <col min="14468" max="14468" width="63.36328125" style="44" bestFit="1" customWidth="1"/>
    <col min="14469" max="14469" width="63.453125" style="44" bestFit="1" customWidth="1"/>
    <col min="14470" max="14470" width="87.54296875" style="44" bestFit="1" customWidth="1"/>
    <col min="14471" max="14471" width="93.81640625" style="44" bestFit="1" customWidth="1"/>
    <col min="14472" max="14472" width="66.453125" style="44" bestFit="1" customWidth="1"/>
    <col min="14473" max="14474" width="110" style="44" bestFit="1" customWidth="1"/>
    <col min="14475" max="14475" width="103.1796875" style="44" bestFit="1" customWidth="1"/>
    <col min="14476" max="14476" width="62.453125" style="44" bestFit="1" customWidth="1"/>
    <col min="14477" max="14477" width="77.453125" style="44" bestFit="1" customWidth="1"/>
    <col min="14478" max="14478" width="91.54296875" style="44" bestFit="1" customWidth="1"/>
    <col min="14479" max="14479" width="88.08984375" style="44" bestFit="1" customWidth="1"/>
    <col min="14480" max="14480" width="80.6328125" style="44" bestFit="1" customWidth="1"/>
    <col min="14481" max="14481" width="77.453125" style="44" bestFit="1" customWidth="1"/>
    <col min="14482" max="14482" width="85.1796875" style="44" bestFit="1" customWidth="1"/>
    <col min="14483" max="14486" width="72.36328125" style="44" bestFit="1" customWidth="1"/>
    <col min="14487" max="14488" width="95" style="44" bestFit="1" customWidth="1"/>
    <col min="14489" max="14489" width="64.08984375" style="44" bestFit="1" customWidth="1"/>
    <col min="14490" max="14490" width="110.08984375" style="44" bestFit="1" customWidth="1"/>
    <col min="14491" max="14491" width="86.36328125" style="44" bestFit="1" customWidth="1"/>
    <col min="14492" max="14492" width="89.36328125" style="44" bestFit="1" customWidth="1"/>
    <col min="14493" max="14493" width="89.81640625" style="44" bestFit="1" customWidth="1"/>
    <col min="14494" max="14494" width="64.26953125" style="44" bestFit="1" customWidth="1"/>
    <col min="14495" max="14495" width="85.7265625" style="44" bestFit="1" customWidth="1"/>
    <col min="14496" max="14496" width="73" style="44" bestFit="1" customWidth="1"/>
    <col min="14497" max="14497" width="92.7265625" style="44" bestFit="1" customWidth="1"/>
    <col min="14498" max="14498" width="92.36328125" style="44" bestFit="1" customWidth="1"/>
    <col min="14499" max="14499" width="72" style="44" bestFit="1" customWidth="1"/>
    <col min="14500" max="14500" width="82" style="44" bestFit="1" customWidth="1"/>
    <col min="14501" max="14501" width="79.36328125" style="44" bestFit="1" customWidth="1"/>
    <col min="14502" max="14502" width="81" style="44" bestFit="1" customWidth="1"/>
    <col min="14503" max="14503" width="72.90625" style="44" bestFit="1" customWidth="1"/>
    <col min="14504" max="14504" width="90.81640625" style="44" bestFit="1" customWidth="1"/>
    <col min="14505" max="14505" width="84" style="44" bestFit="1" customWidth="1"/>
    <col min="14506" max="14507" width="73.36328125" style="44" bestFit="1" customWidth="1"/>
    <col min="14508" max="14508" width="90.6328125" style="44" bestFit="1" customWidth="1"/>
    <col min="14509" max="14509" width="89.453125" style="44" bestFit="1" customWidth="1"/>
    <col min="14510" max="14510" width="84.6328125" style="44" bestFit="1" customWidth="1"/>
    <col min="14511" max="14511" width="74.54296875" style="44" bestFit="1" customWidth="1"/>
    <col min="14512" max="14512" width="76.90625" style="44" bestFit="1" customWidth="1"/>
    <col min="14513" max="14513" width="83" style="44" bestFit="1" customWidth="1"/>
    <col min="14514" max="14514" width="85.81640625" style="44" bestFit="1" customWidth="1"/>
    <col min="14515" max="14515" width="83.7265625" style="44" bestFit="1" customWidth="1"/>
    <col min="14516" max="14516" width="79.54296875" style="44" bestFit="1" customWidth="1"/>
    <col min="14517" max="14517" width="80.54296875" style="44" bestFit="1" customWidth="1"/>
    <col min="14518" max="14518" width="89.54296875" style="44" bestFit="1" customWidth="1"/>
    <col min="14519" max="14519" width="85.36328125" style="44" bestFit="1" customWidth="1"/>
    <col min="14520" max="14520" width="61.6328125" style="44" bestFit="1" customWidth="1"/>
    <col min="14521" max="14521" width="132.54296875" style="44" bestFit="1" customWidth="1"/>
    <col min="14522" max="14522" width="93.1796875" style="44" bestFit="1" customWidth="1"/>
    <col min="14523" max="14523" width="91.08984375" style="44" bestFit="1" customWidth="1"/>
    <col min="14524" max="14524" width="81.7265625" style="44" bestFit="1" customWidth="1"/>
    <col min="14525" max="14526" width="80.90625" style="44" bestFit="1" customWidth="1"/>
    <col min="14527" max="14527" width="83.26953125" style="44" bestFit="1" customWidth="1"/>
    <col min="14528" max="14528" width="101.453125" style="44" bestFit="1" customWidth="1"/>
    <col min="14529" max="14529" width="110.1796875" style="44" bestFit="1" customWidth="1"/>
    <col min="14530" max="14530" width="74.6328125" style="44" bestFit="1" customWidth="1"/>
    <col min="14531" max="14534" width="84.54296875" style="44" bestFit="1" customWidth="1"/>
    <col min="14535" max="14535" width="74.36328125" style="44" bestFit="1" customWidth="1"/>
    <col min="14536" max="14536" width="88.1796875" style="44" bestFit="1" customWidth="1"/>
    <col min="14537" max="14537" width="78.6328125" style="44" bestFit="1" customWidth="1"/>
    <col min="14538" max="14538" width="76.81640625" style="44" bestFit="1" customWidth="1"/>
    <col min="14539" max="14539" width="74.7265625" style="44" bestFit="1" customWidth="1"/>
    <col min="14540" max="14540" width="87.26953125" style="44" bestFit="1" customWidth="1"/>
    <col min="14541" max="14541" width="85.54296875" style="44" bestFit="1" customWidth="1"/>
    <col min="14542" max="14542" width="100.26953125" style="44" bestFit="1" customWidth="1"/>
    <col min="14543" max="14543" width="71.36328125" style="44" bestFit="1" customWidth="1"/>
    <col min="14544" max="14544" width="105.453125" style="44" bestFit="1" customWidth="1"/>
    <col min="14545" max="14545" width="103.08984375" style="44" bestFit="1" customWidth="1"/>
    <col min="14546" max="14546" width="85.7265625" style="44" bestFit="1" customWidth="1"/>
    <col min="14547" max="14547" width="99.26953125" style="44" bestFit="1" customWidth="1"/>
    <col min="14548" max="14548" width="83.54296875" style="44" bestFit="1" customWidth="1"/>
    <col min="14549" max="14549" width="96.90625" style="44" bestFit="1" customWidth="1"/>
    <col min="14550" max="14550" width="74.26953125" style="44" bestFit="1" customWidth="1"/>
    <col min="14551" max="14551" width="98.36328125" style="44" bestFit="1" customWidth="1"/>
    <col min="14552" max="14552" width="74.453125" style="44" bestFit="1" customWidth="1"/>
    <col min="14553" max="14553" width="88.81640625" style="44" bestFit="1" customWidth="1"/>
    <col min="14554" max="14554" width="67.6328125" style="44" bestFit="1" customWidth="1"/>
    <col min="14555" max="14555" width="93.08984375" style="44" bestFit="1" customWidth="1"/>
    <col min="14556" max="14556" width="101.453125" style="44" bestFit="1" customWidth="1"/>
    <col min="14557" max="14559" width="76.81640625" style="44" bestFit="1" customWidth="1"/>
    <col min="14560" max="14560" width="87.08984375" style="44" bestFit="1" customWidth="1"/>
    <col min="14561" max="14561" width="72.453125" style="44" bestFit="1" customWidth="1"/>
    <col min="14562" max="14562" width="87.81640625" style="44" bestFit="1" customWidth="1"/>
    <col min="14563" max="14563" width="71.7265625" style="44" bestFit="1" customWidth="1"/>
    <col min="14564" max="14564" width="74" style="44" bestFit="1" customWidth="1"/>
    <col min="14565" max="14565" width="74.08984375" style="44" bestFit="1" customWidth="1"/>
    <col min="14566" max="14568" width="86.81640625" style="44" bestFit="1" customWidth="1"/>
    <col min="14569" max="14569" width="104.7265625" style="44" bestFit="1" customWidth="1"/>
    <col min="14570" max="14570" width="101.81640625" style="44" bestFit="1" customWidth="1"/>
    <col min="14571" max="14571" width="64.453125" style="44" bestFit="1" customWidth="1"/>
    <col min="14572" max="14572" width="65.1796875" style="44" bestFit="1" customWidth="1"/>
    <col min="14573" max="14573" width="72.453125" style="44" bestFit="1" customWidth="1"/>
    <col min="14574" max="14574" width="81.36328125" style="44" bestFit="1" customWidth="1"/>
    <col min="14575" max="14575" width="65.1796875" style="44" bestFit="1" customWidth="1"/>
    <col min="14576" max="14576" width="80.90625" style="44" bestFit="1" customWidth="1"/>
    <col min="14577" max="14577" width="71.7265625" style="44" bestFit="1" customWidth="1"/>
    <col min="14578" max="14578" width="73.6328125" style="44" bestFit="1" customWidth="1"/>
    <col min="14579" max="14580" width="85.36328125" style="44" bestFit="1" customWidth="1"/>
    <col min="14581" max="14581" width="92.26953125" style="44" bestFit="1" customWidth="1"/>
    <col min="14582" max="14582" width="106.1796875" style="44" bestFit="1" customWidth="1"/>
    <col min="14583" max="14583" width="86.6328125" style="44" bestFit="1" customWidth="1"/>
    <col min="14584" max="14585" width="68.90625" style="44" bestFit="1" customWidth="1"/>
    <col min="14586" max="14586" width="80.54296875" style="44" bestFit="1" customWidth="1"/>
    <col min="14587" max="14587" width="68.90625" style="44" bestFit="1" customWidth="1"/>
    <col min="14588" max="14588" width="79.1796875" style="44" bestFit="1" customWidth="1"/>
    <col min="14589" max="14589" width="79.26953125" style="44" bestFit="1" customWidth="1"/>
    <col min="14590" max="14590" width="80.1796875" style="44" bestFit="1" customWidth="1"/>
    <col min="14591" max="14591" width="84.81640625" style="44" bestFit="1" customWidth="1"/>
    <col min="14592" max="14592" width="76.81640625" style="44" bestFit="1" customWidth="1"/>
    <col min="14593" max="14593" width="7.90625" style="44" bestFit="1" customWidth="1"/>
    <col min="14594" max="14594" width="132.54296875" style="44" bestFit="1" customWidth="1"/>
    <col min="14595" max="14595" width="45.36328125" style="44" bestFit="1" customWidth="1"/>
    <col min="14596" max="14596" width="14.08984375" style="44" bestFit="1" customWidth="1"/>
    <col min="14597" max="14598" width="8.7265625" style="44"/>
    <col min="14599" max="14599" width="49.7265625" style="44" bestFit="1" customWidth="1"/>
    <col min="14600" max="14600" width="7.90625" style="44" bestFit="1" customWidth="1"/>
    <col min="14601" max="14601" width="7.81640625" style="44" bestFit="1" customWidth="1"/>
    <col min="14602" max="14613" width="8.81640625" style="44" bestFit="1" customWidth="1"/>
    <col min="14614" max="14614" width="10.81640625" style="44" bestFit="1" customWidth="1"/>
    <col min="14615" max="14615" width="93.36328125" style="44" bestFit="1" customWidth="1"/>
    <col min="14616" max="14616" width="87.6328125" style="44" bestFit="1" customWidth="1"/>
    <col min="14617" max="14617" width="69.26953125" style="44" bestFit="1" customWidth="1"/>
    <col min="14618" max="14618" width="68.54296875" style="44" bestFit="1" customWidth="1"/>
    <col min="14619" max="14619" width="67.6328125" style="44" bestFit="1" customWidth="1"/>
    <col min="14620" max="14620" width="64" style="44" bestFit="1" customWidth="1"/>
    <col min="14621" max="14621" width="43.81640625" style="44" bestFit="1" customWidth="1"/>
    <col min="14622" max="14622" width="39.81640625" style="44" bestFit="1" customWidth="1"/>
    <col min="14623" max="14623" width="85.26953125" style="44" bestFit="1" customWidth="1"/>
    <col min="14624" max="14624" width="84.08984375" style="44" bestFit="1" customWidth="1"/>
    <col min="14625" max="14625" width="91" style="44" bestFit="1" customWidth="1"/>
    <col min="14626" max="14626" width="79" style="44" bestFit="1" customWidth="1"/>
    <col min="14627" max="14627" width="89.90625" style="44" bestFit="1" customWidth="1"/>
    <col min="14628" max="14634" width="90.90625" style="44" bestFit="1" customWidth="1"/>
    <col min="14635" max="14635" width="91.90625" style="44" bestFit="1" customWidth="1"/>
    <col min="14636" max="14636" width="73.08984375" style="44" bestFit="1" customWidth="1"/>
    <col min="14637" max="14637" width="61.1796875" style="44" bestFit="1" customWidth="1"/>
    <col min="14638" max="14638" width="94.1796875" style="44" bestFit="1" customWidth="1"/>
    <col min="14639" max="14639" width="84.453125" style="44" bestFit="1" customWidth="1"/>
    <col min="14640" max="14640" width="86.81640625" style="44" bestFit="1" customWidth="1"/>
    <col min="14641" max="14641" width="90.08984375" style="44" bestFit="1" customWidth="1"/>
    <col min="14642" max="14642" width="86.7265625" style="44" bestFit="1" customWidth="1"/>
    <col min="14643" max="14643" width="87.6328125" style="44" bestFit="1" customWidth="1"/>
    <col min="14644" max="14646" width="97.6328125" style="44" bestFit="1" customWidth="1"/>
    <col min="14647" max="14647" width="72.54296875" style="44" bestFit="1" customWidth="1"/>
    <col min="14648" max="14648" width="73.6328125" style="44" bestFit="1" customWidth="1"/>
    <col min="14649" max="14649" width="58.6328125" style="44" bestFit="1" customWidth="1"/>
    <col min="14650" max="14651" width="74.08984375" style="44" bestFit="1" customWidth="1"/>
    <col min="14652" max="14652" width="75.54296875" style="44" bestFit="1" customWidth="1"/>
    <col min="14653" max="14653" width="92" style="44" bestFit="1" customWidth="1"/>
    <col min="14654" max="14654" width="93.54296875" style="44" bestFit="1" customWidth="1"/>
    <col min="14655" max="14656" width="75.54296875" style="44" bestFit="1" customWidth="1"/>
    <col min="14657" max="14657" width="78.08984375" style="44" bestFit="1" customWidth="1"/>
    <col min="14658" max="14658" width="70" style="44" bestFit="1" customWidth="1"/>
    <col min="14659" max="14659" width="84.81640625" style="44" bestFit="1" customWidth="1"/>
    <col min="14660" max="14660" width="93" style="44" bestFit="1" customWidth="1"/>
    <col min="14661" max="14661" width="83.453125" style="44" bestFit="1" customWidth="1"/>
    <col min="14662" max="14662" width="100.90625" style="44" bestFit="1" customWidth="1"/>
    <col min="14663" max="14665" width="64.54296875" style="44" bestFit="1" customWidth="1"/>
    <col min="14666" max="14667" width="82.7265625" style="44" bestFit="1" customWidth="1"/>
    <col min="14668" max="14668" width="99.453125" style="44" bestFit="1" customWidth="1"/>
    <col min="14669" max="14669" width="78.1796875" style="44" bestFit="1" customWidth="1"/>
    <col min="14670" max="14670" width="71.36328125" style="44" bestFit="1" customWidth="1"/>
    <col min="14671" max="14671" width="71.26953125" style="44" bestFit="1" customWidth="1"/>
    <col min="14672" max="14675" width="76.453125" style="44" bestFit="1" customWidth="1"/>
    <col min="14676" max="14676" width="70.54296875" style="44" bestFit="1" customWidth="1"/>
    <col min="14677" max="14677" width="63.36328125" style="44" bestFit="1" customWidth="1"/>
    <col min="14678" max="14678" width="97.81640625" style="44" bestFit="1" customWidth="1"/>
    <col min="14679" max="14680" width="73" style="44" bestFit="1" customWidth="1"/>
    <col min="14681" max="14681" width="79" style="44" bestFit="1" customWidth="1"/>
    <col min="14682" max="14682" width="73" style="44" bestFit="1" customWidth="1"/>
    <col min="14683" max="14683" width="82.1796875" style="44" bestFit="1" customWidth="1"/>
    <col min="14684" max="14684" width="61.453125" style="44" bestFit="1" customWidth="1"/>
    <col min="14685" max="14686" width="99.90625" style="44" bestFit="1" customWidth="1"/>
    <col min="14687" max="14687" width="100.36328125" style="44" bestFit="1" customWidth="1"/>
    <col min="14688" max="14688" width="84.453125" style="44" bestFit="1" customWidth="1"/>
    <col min="14689" max="14689" width="113.36328125" style="44" bestFit="1" customWidth="1"/>
    <col min="14690" max="14690" width="98.453125" style="44" bestFit="1" customWidth="1"/>
    <col min="14691" max="14691" width="99.7265625" style="44" bestFit="1" customWidth="1"/>
    <col min="14692" max="14692" width="99.54296875" style="44" bestFit="1" customWidth="1"/>
    <col min="14693" max="14693" width="96.81640625" style="44" bestFit="1" customWidth="1"/>
    <col min="14694" max="14694" width="94.08984375" style="44" bestFit="1" customWidth="1"/>
    <col min="14695" max="14695" width="100.453125" style="44" bestFit="1" customWidth="1"/>
    <col min="14696" max="14696" width="98.6328125" style="44" bestFit="1" customWidth="1"/>
    <col min="14697" max="14697" width="77.453125" style="44" bestFit="1" customWidth="1"/>
    <col min="14698" max="14698" width="95.1796875" style="44" bestFit="1" customWidth="1"/>
    <col min="14699" max="14699" width="86.6328125" style="44" bestFit="1" customWidth="1"/>
    <col min="14700" max="14700" width="77.26953125" style="44" bestFit="1" customWidth="1"/>
    <col min="14701" max="14701" width="85.1796875" style="44" bestFit="1" customWidth="1"/>
    <col min="14702" max="14702" width="74.7265625" style="44" bestFit="1" customWidth="1"/>
    <col min="14703" max="14703" width="92" style="44" bestFit="1" customWidth="1"/>
    <col min="14704" max="14704" width="72.26953125" style="44" bestFit="1" customWidth="1"/>
    <col min="14705" max="14705" width="97.08984375" style="44" bestFit="1" customWidth="1"/>
    <col min="14706" max="14706" width="77.08984375" style="44" bestFit="1" customWidth="1"/>
    <col min="14707" max="14707" width="85.08984375" style="44" bestFit="1" customWidth="1"/>
    <col min="14708" max="14709" width="83.1796875" style="44" bestFit="1" customWidth="1"/>
    <col min="14710" max="14710" width="82.6328125" style="44" bestFit="1" customWidth="1"/>
    <col min="14711" max="14711" width="86.26953125" style="44" bestFit="1" customWidth="1"/>
    <col min="14712" max="14712" width="71.1796875" style="44" bestFit="1" customWidth="1"/>
    <col min="14713" max="14713" width="66.6328125" style="44" bestFit="1" customWidth="1"/>
    <col min="14714" max="14715" width="83.1796875" style="44" bestFit="1" customWidth="1"/>
    <col min="14716" max="14716" width="67.08984375" style="44" bestFit="1" customWidth="1"/>
    <col min="14717" max="14717" width="76.54296875" style="44" bestFit="1" customWidth="1"/>
    <col min="14718" max="14718" width="94.08984375" style="44" bestFit="1" customWidth="1"/>
    <col min="14719" max="14719" width="89.08984375" style="44" bestFit="1" customWidth="1"/>
    <col min="14720" max="14720" width="68.1796875" style="44" bestFit="1" customWidth="1"/>
    <col min="14721" max="14721" width="91.7265625" style="44" bestFit="1" customWidth="1"/>
    <col min="14722" max="14722" width="63.36328125" style="44" bestFit="1" customWidth="1"/>
    <col min="14723" max="14723" width="66.6328125" style="44" bestFit="1" customWidth="1"/>
    <col min="14724" max="14724" width="63.36328125" style="44" bestFit="1" customWidth="1"/>
    <col min="14725" max="14725" width="63.453125" style="44" bestFit="1" customWidth="1"/>
    <col min="14726" max="14726" width="87.54296875" style="44" bestFit="1" customWidth="1"/>
    <col min="14727" max="14727" width="93.81640625" style="44" bestFit="1" customWidth="1"/>
    <col min="14728" max="14728" width="66.453125" style="44" bestFit="1" customWidth="1"/>
    <col min="14729" max="14730" width="110" style="44" bestFit="1" customWidth="1"/>
    <col min="14731" max="14731" width="103.1796875" style="44" bestFit="1" customWidth="1"/>
    <col min="14732" max="14732" width="62.453125" style="44" bestFit="1" customWidth="1"/>
    <col min="14733" max="14733" width="77.453125" style="44" bestFit="1" customWidth="1"/>
    <col min="14734" max="14734" width="91.54296875" style="44" bestFit="1" customWidth="1"/>
    <col min="14735" max="14735" width="88.08984375" style="44" bestFit="1" customWidth="1"/>
    <col min="14736" max="14736" width="80.6328125" style="44" bestFit="1" customWidth="1"/>
    <col min="14737" max="14737" width="77.453125" style="44" bestFit="1" customWidth="1"/>
    <col min="14738" max="14738" width="85.1796875" style="44" bestFit="1" customWidth="1"/>
    <col min="14739" max="14742" width="72.36328125" style="44" bestFit="1" customWidth="1"/>
    <col min="14743" max="14744" width="95" style="44" bestFit="1" customWidth="1"/>
    <col min="14745" max="14745" width="64.08984375" style="44" bestFit="1" customWidth="1"/>
    <col min="14746" max="14746" width="110.08984375" style="44" bestFit="1" customWidth="1"/>
    <col min="14747" max="14747" width="86.36328125" style="44" bestFit="1" customWidth="1"/>
    <col min="14748" max="14748" width="89.36328125" style="44" bestFit="1" customWidth="1"/>
    <col min="14749" max="14749" width="89.81640625" style="44" bestFit="1" customWidth="1"/>
    <col min="14750" max="14750" width="64.26953125" style="44" bestFit="1" customWidth="1"/>
    <col min="14751" max="14751" width="85.7265625" style="44" bestFit="1" customWidth="1"/>
    <col min="14752" max="14752" width="73" style="44" bestFit="1" customWidth="1"/>
    <col min="14753" max="14753" width="92.7265625" style="44" bestFit="1" customWidth="1"/>
    <col min="14754" max="14754" width="92.36328125" style="44" bestFit="1" customWidth="1"/>
    <col min="14755" max="14755" width="72" style="44" bestFit="1" customWidth="1"/>
    <col min="14756" max="14756" width="82" style="44" bestFit="1" customWidth="1"/>
    <col min="14757" max="14757" width="79.36328125" style="44" bestFit="1" customWidth="1"/>
    <col min="14758" max="14758" width="81" style="44" bestFit="1" customWidth="1"/>
    <col min="14759" max="14759" width="72.90625" style="44" bestFit="1" customWidth="1"/>
    <col min="14760" max="14760" width="90.81640625" style="44" bestFit="1" customWidth="1"/>
    <col min="14761" max="14761" width="84" style="44" bestFit="1" customWidth="1"/>
    <col min="14762" max="14763" width="73.36328125" style="44" bestFit="1" customWidth="1"/>
    <col min="14764" max="14764" width="90.6328125" style="44" bestFit="1" customWidth="1"/>
    <col min="14765" max="14765" width="89.453125" style="44" bestFit="1" customWidth="1"/>
    <col min="14766" max="14766" width="84.6328125" style="44" bestFit="1" customWidth="1"/>
    <col min="14767" max="14767" width="74.54296875" style="44" bestFit="1" customWidth="1"/>
    <col min="14768" max="14768" width="76.90625" style="44" bestFit="1" customWidth="1"/>
    <col min="14769" max="14769" width="83" style="44" bestFit="1" customWidth="1"/>
    <col min="14770" max="14770" width="85.81640625" style="44" bestFit="1" customWidth="1"/>
    <col min="14771" max="14771" width="83.7265625" style="44" bestFit="1" customWidth="1"/>
    <col min="14772" max="14772" width="79.54296875" style="44" bestFit="1" customWidth="1"/>
    <col min="14773" max="14773" width="80.54296875" style="44" bestFit="1" customWidth="1"/>
    <col min="14774" max="14774" width="89.54296875" style="44" bestFit="1" customWidth="1"/>
    <col min="14775" max="14775" width="85.36328125" style="44" bestFit="1" customWidth="1"/>
    <col min="14776" max="14776" width="61.6328125" style="44" bestFit="1" customWidth="1"/>
    <col min="14777" max="14777" width="132.54296875" style="44" bestFit="1" customWidth="1"/>
    <col min="14778" max="14778" width="93.1796875" style="44" bestFit="1" customWidth="1"/>
    <col min="14779" max="14779" width="91.08984375" style="44" bestFit="1" customWidth="1"/>
    <col min="14780" max="14780" width="81.7265625" style="44" bestFit="1" customWidth="1"/>
    <col min="14781" max="14782" width="80.90625" style="44" bestFit="1" customWidth="1"/>
    <col min="14783" max="14783" width="83.26953125" style="44" bestFit="1" customWidth="1"/>
    <col min="14784" max="14784" width="101.453125" style="44" bestFit="1" customWidth="1"/>
    <col min="14785" max="14785" width="110.1796875" style="44" bestFit="1" customWidth="1"/>
    <col min="14786" max="14786" width="74.6328125" style="44" bestFit="1" customWidth="1"/>
    <col min="14787" max="14790" width="84.54296875" style="44" bestFit="1" customWidth="1"/>
    <col min="14791" max="14791" width="74.36328125" style="44" bestFit="1" customWidth="1"/>
    <col min="14792" max="14792" width="88.1796875" style="44" bestFit="1" customWidth="1"/>
    <col min="14793" max="14793" width="78.6328125" style="44" bestFit="1" customWidth="1"/>
    <col min="14794" max="14794" width="76.81640625" style="44" bestFit="1" customWidth="1"/>
    <col min="14795" max="14795" width="74.7265625" style="44" bestFit="1" customWidth="1"/>
    <col min="14796" max="14796" width="87.26953125" style="44" bestFit="1" customWidth="1"/>
    <col min="14797" max="14797" width="85.54296875" style="44" bestFit="1" customWidth="1"/>
    <col min="14798" max="14798" width="100.26953125" style="44" bestFit="1" customWidth="1"/>
    <col min="14799" max="14799" width="71.36328125" style="44" bestFit="1" customWidth="1"/>
    <col min="14800" max="14800" width="105.453125" style="44" bestFit="1" customWidth="1"/>
    <col min="14801" max="14801" width="103.08984375" style="44" bestFit="1" customWidth="1"/>
    <col min="14802" max="14802" width="85.7265625" style="44" bestFit="1" customWidth="1"/>
    <col min="14803" max="14803" width="99.26953125" style="44" bestFit="1" customWidth="1"/>
    <col min="14804" max="14804" width="83.54296875" style="44" bestFit="1" customWidth="1"/>
    <col min="14805" max="14805" width="96.90625" style="44" bestFit="1" customWidth="1"/>
    <col min="14806" max="14806" width="74.26953125" style="44" bestFit="1" customWidth="1"/>
    <col min="14807" max="14807" width="98.36328125" style="44" bestFit="1" customWidth="1"/>
    <col min="14808" max="14808" width="74.453125" style="44" bestFit="1" customWidth="1"/>
    <col min="14809" max="14809" width="88.81640625" style="44" bestFit="1" customWidth="1"/>
    <col min="14810" max="14810" width="67.6328125" style="44" bestFit="1" customWidth="1"/>
    <col min="14811" max="14811" width="93.08984375" style="44" bestFit="1" customWidth="1"/>
    <col min="14812" max="14812" width="101.453125" style="44" bestFit="1" customWidth="1"/>
    <col min="14813" max="14815" width="76.81640625" style="44" bestFit="1" customWidth="1"/>
    <col min="14816" max="14816" width="87.08984375" style="44" bestFit="1" customWidth="1"/>
    <col min="14817" max="14817" width="72.453125" style="44" bestFit="1" customWidth="1"/>
    <col min="14818" max="14818" width="87.81640625" style="44" bestFit="1" customWidth="1"/>
    <col min="14819" max="14819" width="71.7265625" style="44" bestFit="1" customWidth="1"/>
    <col min="14820" max="14820" width="74" style="44" bestFit="1" customWidth="1"/>
    <col min="14821" max="14821" width="74.08984375" style="44" bestFit="1" customWidth="1"/>
    <col min="14822" max="14824" width="86.81640625" style="44" bestFit="1" customWidth="1"/>
    <col min="14825" max="14825" width="104.7265625" style="44" bestFit="1" customWidth="1"/>
    <col min="14826" max="14826" width="101.81640625" style="44" bestFit="1" customWidth="1"/>
    <col min="14827" max="14827" width="64.453125" style="44" bestFit="1" customWidth="1"/>
    <col min="14828" max="14828" width="65.1796875" style="44" bestFit="1" customWidth="1"/>
    <col min="14829" max="14829" width="72.453125" style="44" bestFit="1" customWidth="1"/>
    <col min="14830" max="14830" width="81.36328125" style="44" bestFit="1" customWidth="1"/>
    <col min="14831" max="14831" width="65.1796875" style="44" bestFit="1" customWidth="1"/>
    <col min="14832" max="14832" width="80.90625" style="44" bestFit="1" customWidth="1"/>
    <col min="14833" max="14833" width="71.7265625" style="44" bestFit="1" customWidth="1"/>
    <col min="14834" max="14834" width="73.6328125" style="44" bestFit="1" customWidth="1"/>
    <col min="14835" max="14836" width="85.36328125" style="44" bestFit="1" customWidth="1"/>
    <col min="14837" max="14837" width="92.26953125" style="44" bestFit="1" customWidth="1"/>
    <col min="14838" max="14838" width="106.1796875" style="44" bestFit="1" customWidth="1"/>
    <col min="14839" max="14839" width="86.6328125" style="44" bestFit="1" customWidth="1"/>
    <col min="14840" max="14841" width="68.90625" style="44" bestFit="1" customWidth="1"/>
    <col min="14842" max="14842" width="80.54296875" style="44" bestFit="1" customWidth="1"/>
    <col min="14843" max="14843" width="68.90625" style="44" bestFit="1" customWidth="1"/>
    <col min="14844" max="14844" width="79.1796875" style="44" bestFit="1" customWidth="1"/>
    <col min="14845" max="14845" width="79.26953125" style="44" bestFit="1" customWidth="1"/>
    <col min="14846" max="14846" width="80.1796875" style="44" bestFit="1" customWidth="1"/>
    <col min="14847" max="14847" width="84.81640625" style="44" bestFit="1" customWidth="1"/>
    <col min="14848" max="14848" width="76.81640625" style="44" bestFit="1" customWidth="1"/>
    <col min="14849" max="14849" width="7.90625" style="44" bestFit="1" customWidth="1"/>
    <col min="14850" max="14850" width="132.54296875" style="44" bestFit="1" customWidth="1"/>
    <col min="14851" max="14851" width="45.36328125" style="44" bestFit="1" customWidth="1"/>
    <col min="14852" max="14852" width="14.08984375" style="44" bestFit="1" customWidth="1"/>
    <col min="14853" max="14854" width="8.7265625" style="44"/>
    <col min="14855" max="14855" width="49.7265625" style="44" bestFit="1" customWidth="1"/>
    <col min="14856" max="14856" width="7.90625" style="44" bestFit="1" customWidth="1"/>
    <col min="14857" max="14857" width="7.81640625" style="44" bestFit="1" customWidth="1"/>
    <col min="14858" max="14869" width="8.81640625" style="44" bestFit="1" customWidth="1"/>
    <col min="14870" max="14870" width="10.81640625" style="44" bestFit="1" customWidth="1"/>
    <col min="14871" max="14871" width="93.36328125" style="44" bestFit="1" customWidth="1"/>
    <col min="14872" max="14872" width="87.6328125" style="44" bestFit="1" customWidth="1"/>
    <col min="14873" max="14873" width="69.26953125" style="44" bestFit="1" customWidth="1"/>
    <col min="14874" max="14874" width="68.54296875" style="44" bestFit="1" customWidth="1"/>
    <col min="14875" max="14875" width="67.6328125" style="44" bestFit="1" customWidth="1"/>
    <col min="14876" max="14876" width="64" style="44" bestFit="1" customWidth="1"/>
    <col min="14877" max="14877" width="43.81640625" style="44" bestFit="1" customWidth="1"/>
    <col min="14878" max="14878" width="39.81640625" style="44" bestFit="1" customWidth="1"/>
    <col min="14879" max="14879" width="85.26953125" style="44" bestFit="1" customWidth="1"/>
    <col min="14880" max="14880" width="84.08984375" style="44" bestFit="1" customWidth="1"/>
    <col min="14881" max="14881" width="91" style="44" bestFit="1" customWidth="1"/>
    <col min="14882" max="14882" width="79" style="44" bestFit="1" customWidth="1"/>
    <col min="14883" max="14883" width="89.90625" style="44" bestFit="1" customWidth="1"/>
    <col min="14884" max="14890" width="90.90625" style="44" bestFit="1" customWidth="1"/>
    <col min="14891" max="14891" width="91.90625" style="44" bestFit="1" customWidth="1"/>
    <col min="14892" max="14892" width="73.08984375" style="44" bestFit="1" customWidth="1"/>
    <col min="14893" max="14893" width="61.1796875" style="44" bestFit="1" customWidth="1"/>
    <col min="14894" max="14894" width="94.1796875" style="44" bestFit="1" customWidth="1"/>
    <col min="14895" max="14895" width="84.453125" style="44" bestFit="1" customWidth="1"/>
    <col min="14896" max="14896" width="86.81640625" style="44" bestFit="1" customWidth="1"/>
    <col min="14897" max="14897" width="90.08984375" style="44" bestFit="1" customWidth="1"/>
    <col min="14898" max="14898" width="86.7265625" style="44" bestFit="1" customWidth="1"/>
    <col min="14899" max="14899" width="87.6328125" style="44" bestFit="1" customWidth="1"/>
    <col min="14900" max="14902" width="97.6328125" style="44" bestFit="1" customWidth="1"/>
    <col min="14903" max="14903" width="72.54296875" style="44" bestFit="1" customWidth="1"/>
    <col min="14904" max="14904" width="73.6328125" style="44" bestFit="1" customWidth="1"/>
    <col min="14905" max="14905" width="58.6328125" style="44" bestFit="1" customWidth="1"/>
    <col min="14906" max="14907" width="74.08984375" style="44" bestFit="1" customWidth="1"/>
    <col min="14908" max="14908" width="75.54296875" style="44" bestFit="1" customWidth="1"/>
    <col min="14909" max="14909" width="92" style="44" bestFit="1" customWidth="1"/>
    <col min="14910" max="14910" width="93.54296875" style="44" bestFit="1" customWidth="1"/>
    <col min="14911" max="14912" width="75.54296875" style="44" bestFit="1" customWidth="1"/>
    <col min="14913" max="14913" width="78.08984375" style="44" bestFit="1" customWidth="1"/>
    <col min="14914" max="14914" width="70" style="44" bestFit="1" customWidth="1"/>
    <col min="14915" max="14915" width="84.81640625" style="44" bestFit="1" customWidth="1"/>
    <col min="14916" max="14916" width="93" style="44" bestFit="1" customWidth="1"/>
    <col min="14917" max="14917" width="83.453125" style="44" bestFit="1" customWidth="1"/>
    <col min="14918" max="14918" width="100.90625" style="44" bestFit="1" customWidth="1"/>
    <col min="14919" max="14921" width="64.54296875" style="44" bestFit="1" customWidth="1"/>
    <col min="14922" max="14923" width="82.7265625" style="44" bestFit="1" customWidth="1"/>
    <col min="14924" max="14924" width="99.453125" style="44" bestFit="1" customWidth="1"/>
    <col min="14925" max="14925" width="78.1796875" style="44" bestFit="1" customWidth="1"/>
    <col min="14926" max="14926" width="71.36328125" style="44" bestFit="1" customWidth="1"/>
    <col min="14927" max="14927" width="71.26953125" style="44" bestFit="1" customWidth="1"/>
    <col min="14928" max="14931" width="76.453125" style="44" bestFit="1" customWidth="1"/>
    <col min="14932" max="14932" width="70.54296875" style="44" bestFit="1" customWidth="1"/>
    <col min="14933" max="14933" width="63.36328125" style="44" bestFit="1" customWidth="1"/>
    <col min="14934" max="14934" width="97.81640625" style="44" bestFit="1" customWidth="1"/>
    <col min="14935" max="14936" width="73" style="44" bestFit="1" customWidth="1"/>
    <col min="14937" max="14937" width="79" style="44" bestFit="1" customWidth="1"/>
    <col min="14938" max="14938" width="73" style="44" bestFit="1" customWidth="1"/>
    <col min="14939" max="14939" width="82.1796875" style="44" bestFit="1" customWidth="1"/>
    <col min="14940" max="14940" width="61.453125" style="44" bestFit="1" customWidth="1"/>
    <col min="14941" max="14942" width="99.90625" style="44" bestFit="1" customWidth="1"/>
    <col min="14943" max="14943" width="100.36328125" style="44" bestFit="1" customWidth="1"/>
    <col min="14944" max="14944" width="84.453125" style="44" bestFit="1" customWidth="1"/>
    <col min="14945" max="14945" width="113.36328125" style="44" bestFit="1" customWidth="1"/>
    <col min="14946" max="14946" width="98.453125" style="44" bestFit="1" customWidth="1"/>
    <col min="14947" max="14947" width="99.7265625" style="44" bestFit="1" customWidth="1"/>
    <col min="14948" max="14948" width="99.54296875" style="44" bestFit="1" customWidth="1"/>
    <col min="14949" max="14949" width="96.81640625" style="44" bestFit="1" customWidth="1"/>
    <col min="14950" max="14950" width="94.08984375" style="44" bestFit="1" customWidth="1"/>
    <col min="14951" max="14951" width="100.453125" style="44" bestFit="1" customWidth="1"/>
    <col min="14952" max="14952" width="98.6328125" style="44" bestFit="1" customWidth="1"/>
    <col min="14953" max="14953" width="77.453125" style="44" bestFit="1" customWidth="1"/>
    <col min="14954" max="14954" width="95.1796875" style="44" bestFit="1" customWidth="1"/>
    <col min="14955" max="14955" width="86.6328125" style="44" bestFit="1" customWidth="1"/>
    <col min="14956" max="14956" width="77.26953125" style="44" bestFit="1" customWidth="1"/>
    <col min="14957" max="14957" width="85.1796875" style="44" bestFit="1" customWidth="1"/>
    <col min="14958" max="14958" width="74.7265625" style="44" bestFit="1" customWidth="1"/>
    <col min="14959" max="14959" width="92" style="44" bestFit="1" customWidth="1"/>
    <col min="14960" max="14960" width="72.26953125" style="44" bestFit="1" customWidth="1"/>
    <col min="14961" max="14961" width="97.08984375" style="44" bestFit="1" customWidth="1"/>
    <col min="14962" max="14962" width="77.08984375" style="44" bestFit="1" customWidth="1"/>
    <col min="14963" max="14963" width="85.08984375" style="44" bestFit="1" customWidth="1"/>
    <col min="14964" max="14965" width="83.1796875" style="44" bestFit="1" customWidth="1"/>
    <col min="14966" max="14966" width="82.6328125" style="44" bestFit="1" customWidth="1"/>
    <col min="14967" max="14967" width="86.26953125" style="44" bestFit="1" customWidth="1"/>
    <col min="14968" max="14968" width="71.1796875" style="44" bestFit="1" customWidth="1"/>
    <col min="14969" max="14969" width="66.6328125" style="44" bestFit="1" customWidth="1"/>
    <col min="14970" max="14971" width="83.1796875" style="44" bestFit="1" customWidth="1"/>
    <col min="14972" max="14972" width="67.08984375" style="44" bestFit="1" customWidth="1"/>
    <col min="14973" max="14973" width="76.54296875" style="44" bestFit="1" customWidth="1"/>
    <col min="14974" max="14974" width="94.08984375" style="44" bestFit="1" customWidth="1"/>
    <col min="14975" max="14975" width="89.08984375" style="44" bestFit="1" customWidth="1"/>
    <col min="14976" max="14976" width="68.1796875" style="44" bestFit="1" customWidth="1"/>
    <col min="14977" max="14977" width="91.7265625" style="44" bestFit="1" customWidth="1"/>
    <col min="14978" max="14978" width="63.36328125" style="44" bestFit="1" customWidth="1"/>
    <col min="14979" max="14979" width="66.6328125" style="44" bestFit="1" customWidth="1"/>
    <col min="14980" max="14980" width="63.36328125" style="44" bestFit="1" customWidth="1"/>
    <col min="14981" max="14981" width="63.453125" style="44" bestFit="1" customWidth="1"/>
    <col min="14982" max="14982" width="87.54296875" style="44" bestFit="1" customWidth="1"/>
    <col min="14983" max="14983" width="93.81640625" style="44" bestFit="1" customWidth="1"/>
    <col min="14984" max="14984" width="66.453125" style="44" bestFit="1" customWidth="1"/>
    <col min="14985" max="14986" width="110" style="44" bestFit="1" customWidth="1"/>
    <col min="14987" max="14987" width="103.1796875" style="44" bestFit="1" customWidth="1"/>
    <col min="14988" max="14988" width="62.453125" style="44" bestFit="1" customWidth="1"/>
    <col min="14989" max="14989" width="77.453125" style="44" bestFit="1" customWidth="1"/>
    <col min="14990" max="14990" width="91.54296875" style="44" bestFit="1" customWidth="1"/>
    <col min="14991" max="14991" width="88.08984375" style="44" bestFit="1" customWidth="1"/>
    <col min="14992" max="14992" width="80.6328125" style="44" bestFit="1" customWidth="1"/>
    <col min="14993" max="14993" width="77.453125" style="44" bestFit="1" customWidth="1"/>
    <col min="14994" max="14994" width="85.1796875" style="44" bestFit="1" customWidth="1"/>
    <col min="14995" max="14998" width="72.36328125" style="44" bestFit="1" customWidth="1"/>
    <col min="14999" max="15000" width="95" style="44" bestFit="1" customWidth="1"/>
    <col min="15001" max="15001" width="64.08984375" style="44" bestFit="1" customWidth="1"/>
    <col min="15002" max="15002" width="110.08984375" style="44" bestFit="1" customWidth="1"/>
    <col min="15003" max="15003" width="86.36328125" style="44" bestFit="1" customWidth="1"/>
    <col min="15004" max="15004" width="89.36328125" style="44" bestFit="1" customWidth="1"/>
    <col min="15005" max="15005" width="89.81640625" style="44" bestFit="1" customWidth="1"/>
    <col min="15006" max="15006" width="64.26953125" style="44" bestFit="1" customWidth="1"/>
    <col min="15007" max="15007" width="85.7265625" style="44" bestFit="1" customWidth="1"/>
    <col min="15008" max="15008" width="73" style="44" bestFit="1" customWidth="1"/>
    <col min="15009" max="15009" width="92.7265625" style="44" bestFit="1" customWidth="1"/>
    <col min="15010" max="15010" width="92.36328125" style="44" bestFit="1" customWidth="1"/>
    <col min="15011" max="15011" width="72" style="44" bestFit="1" customWidth="1"/>
    <col min="15012" max="15012" width="82" style="44" bestFit="1" customWidth="1"/>
    <col min="15013" max="15013" width="79.36328125" style="44" bestFit="1" customWidth="1"/>
    <col min="15014" max="15014" width="81" style="44" bestFit="1" customWidth="1"/>
    <col min="15015" max="15015" width="72.90625" style="44" bestFit="1" customWidth="1"/>
    <col min="15016" max="15016" width="90.81640625" style="44" bestFit="1" customWidth="1"/>
    <col min="15017" max="15017" width="84" style="44" bestFit="1" customWidth="1"/>
    <col min="15018" max="15019" width="73.36328125" style="44" bestFit="1" customWidth="1"/>
    <col min="15020" max="15020" width="90.6328125" style="44" bestFit="1" customWidth="1"/>
    <col min="15021" max="15021" width="89.453125" style="44" bestFit="1" customWidth="1"/>
    <col min="15022" max="15022" width="84.6328125" style="44" bestFit="1" customWidth="1"/>
    <col min="15023" max="15023" width="74.54296875" style="44" bestFit="1" customWidth="1"/>
    <col min="15024" max="15024" width="76.90625" style="44" bestFit="1" customWidth="1"/>
    <col min="15025" max="15025" width="83" style="44" bestFit="1" customWidth="1"/>
    <col min="15026" max="15026" width="85.81640625" style="44" bestFit="1" customWidth="1"/>
    <col min="15027" max="15027" width="83.7265625" style="44" bestFit="1" customWidth="1"/>
    <col min="15028" max="15028" width="79.54296875" style="44" bestFit="1" customWidth="1"/>
    <col min="15029" max="15029" width="80.54296875" style="44" bestFit="1" customWidth="1"/>
    <col min="15030" max="15030" width="89.54296875" style="44" bestFit="1" customWidth="1"/>
    <col min="15031" max="15031" width="85.36328125" style="44" bestFit="1" customWidth="1"/>
    <col min="15032" max="15032" width="61.6328125" style="44" bestFit="1" customWidth="1"/>
    <col min="15033" max="15033" width="132.54296875" style="44" bestFit="1" customWidth="1"/>
    <col min="15034" max="15034" width="93.1796875" style="44" bestFit="1" customWidth="1"/>
    <col min="15035" max="15035" width="91.08984375" style="44" bestFit="1" customWidth="1"/>
    <col min="15036" max="15036" width="81.7265625" style="44" bestFit="1" customWidth="1"/>
    <col min="15037" max="15038" width="80.90625" style="44" bestFit="1" customWidth="1"/>
    <col min="15039" max="15039" width="83.26953125" style="44" bestFit="1" customWidth="1"/>
    <col min="15040" max="15040" width="101.453125" style="44" bestFit="1" customWidth="1"/>
    <col min="15041" max="15041" width="110.1796875" style="44" bestFit="1" customWidth="1"/>
    <col min="15042" max="15042" width="74.6328125" style="44" bestFit="1" customWidth="1"/>
    <col min="15043" max="15046" width="84.54296875" style="44" bestFit="1" customWidth="1"/>
    <col min="15047" max="15047" width="74.36328125" style="44" bestFit="1" customWidth="1"/>
    <col min="15048" max="15048" width="88.1796875" style="44" bestFit="1" customWidth="1"/>
    <col min="15049" max="15049" width="78.6328125" style="44" bestFit="1" customWidth="1"/>
    <col min="15050" max="15050" width="76.81640625" style="44" bestFit="1" customWidth="1"/>
    <col min="15051" max="15051" width="74.7265625" style="44" bestFit="1" customWidth="1"/>
    <col min="15052" max="15052" width="87.26953125" style="44" bestFit="1" customWidth="1"/>
    <col min="15053" max="15053" width="85.54296875" style="44" bestFit="1" customWidth="1"/>
    <col min="15054" max="15054" width="100.26953125" style="44" bestFit="1" customWidth="1"/>
    <col min="15055" max="15055" width="71.36328125" style="44" bestFit="1" customWidth="1"/>
    <col min="15056" max="15056" width="105.453125" style="44" bestFit="1" customWidth="1"/>
    <col min="15057" max="15057" width="103.08984375" style="44" bestFit="1" customWidth="1"/>
    <col min="15058" max="15058" width="85.7265625" style="44" bestFit="1" customWidth="1"/>
    <col min="15059" max="15059" width="99.26953125" style="44" bestFit="1" customWidth="1"/>
    <col min="15060" max="15060" width="83.54296875" style="44" bestFit="1" customWidth="1"/>
    <col min="15061" max="15061" width="96.90625" style="44" bestFit="1" customWidth="1"/>
    <col min="15062" max="15062" width="74.26953125" style="44" bestFit="1" customWidth="1"/>
    <col min="15063" max="15063" width="98.36328125" style="44" bestFit="1" customWidth="1"/>
    <col min="15064" max="15064" width="74.453125" style="44" bestFit="1" customWidth="1"/>
    <col min="15065" max="15065" width="88.81640625" style="44" bestFit="1" customWidth="1"/>
    <col min="15066" max="15066" width="67.6328125" style="44" bestFit="1" customWidth="1"/>
    <col min="15067" max="15067" width="93.08984375" style="44" bestFit="1" customWidth="1"/>
    <col min="15068" max="15068" width="101.453125" style="44" bestFit="1" customWidth="1"/>
    <col min="15069" max="15071" width="76.81640625" style="44" bestFit="1" customWidth="1"/>
    <col min="15072" max="15072" width="87.08984375" style="44" bestFit="1" customWidth="1"/>
    <col min="15073" max="15073" width="72.453125" style="44" bestFit="1" customWidth="1"/>
    <col min="15074" max="15074" width="87.81640625" style="44" bestFit="1" customWidth="1"/>
    <col min="15075" max="15075" width="71.7265625" style="44" bestFit="1" customWidth="1"/>
    <col min="15076" max="15076" width="74" style="44" bestFit="1" customWidth="1"/>
    <col min="15077" max="15077" width="74.08984375" style="44" bestFit="1" customWidth="1"/>
    <col min="15078" max="15080" width="86.81640625" style="44" bestFit="1" customWidth="1"/>
    <col min="15081" max="15081" width="104.7265625" style="44" bestFit="1" customWidth="1"/>
    <col min="15082" max="15082" width="101.81640625" style="44" bestFit="1" customWidth="1"/>
    <col min="15083" max="15083" width="64.453125" style="44" bestFit="1" customWidth="1"/>
    <col min="15084" max="15084" width="65.1796875" style="44" bestFit="1" customWidth="1"/>
    <col min="15085" max="15085" width="72.453125" style="44" bestFit="1" customWidth="1"/>
    <col min="15086" max="15086" width="81.36328125" style="44" bestFit="1" customWidth="1"/>
    <col min="15087" max="15087" width="65.1796875" style="44" bestFit="1" customWidth="1"/>
    <col min="15088" max="15088" width="80.90625" style="44" bestFit="1" customWidth="1"/>
    <col min="15089" max="15089" width="71.7265625" style="44" bestFit="1" customWidth="1"/>
    <col min="15090" max="15090" width="73.6328125" style="44" bestFit="1" customWidth="1"/>
    <col min="15091" max="15092" width="85.36328125" style="44" bestFit="1" customWidth="1"/>
    <col min="15093" max="15093" width="92.26953125" style="44" bestFit="1" customWidth="1"/>
    <col min="15094" max="15094" width="106.1796875" style="44" bestFit="1" customWidth="1"/>
    <col min="15095" max="15095" width="86.6328125" style="44" bestFit="1" customWidth="1"/>
    <col min="15096" max="15097" width="68.90625" style="44" bestFit="1" customWidth="1"/>
    <col min="15098" max="15098" width="80.54296875" style="44" bestFit="1" customWidth="1"/>
    <col min="15099" max="15099" width="68.90625" style="44" bestFit="1" customWidth="1"/>
    <col min="15100" max="15100" width="79.1796875" style="44" bestFit="1" customWidth="1"/>
    <col min="15101" max="15101" width="79.26953125" style="44" bestFit="1" customWidth="1"/>
    <col min="15102" max="15102" width="80.1796875" style="44" bestFit="1" customWidth="1"/>
    <col min="15103" max="15103" width="84.81640625" style="44" bestFit="1" customWidth="1"/>
    <col min="15104" max="15104" width="76.81640625" style="44" bestFit="1" customWidth="1"/>
    <col min="15105" max="15105" width="7.90625" style="44" bestFit="1" customWidth="1"/>
    <col min="15106" max="15106" width="132.54296875" style="44" bestFit="1" customWidth="1"/>
    <col min="15107" max="15107" width="45.36328125" style="44" bestFit="1" customWidth="1"/>
    <col min="15108" max="15108" width="14.08984375" style="44" bestFit="1" customWidth="1"/>
    <col min="15109" max="15110" width="8.7265625" style="44"/>
    <col min="15111" max="15111" width="49.7265625" style="44" bestFit="1" customWidth="1"/>
    <col min="15112" max="15112" width="7.90625" style="44" bestFit="1" customWidth="1"/>
    <col min="15113" max="15113" width="7.81640625" style="44" bestFit="1" customWidth="1"/>
    <col min="15114" max="15125" width="8.81640625" style="44" bestFit="1" customWidth="1"/>
    <col min="15126" max="15126" width="10.81640625" style="44" bestFit="1" customWidth="1"/>
    <col min="15127" max="15127" width="93.36328125" style="44" bestFit="1" customWidth="1"/>
    <col min="15128" max="15128" width="87.6328125" style="44" bestFit="1" customWidth="1"/>
    <col min="15129" max="15129" width="69.26953125" style="44" bestFit="1" customWidth="1"/>
    <col min="15130" max="15130" width="68.54296875" style="44" bestFit="1" customWidth="1"/>
    <col min="15131" max="15131" width="67.6328125" style="44" bestFit="1" customWidth="1"/>
    <col min="15132" max="15132" width="64" style="44" bestFit="1" customWidth="1"/>
    <col min="15133" max="15133" width="43.81640625" style="44" bestFit="1" customWidth="1"/>
    <col min="15134" max="15134" width="39.81640625" style="44" bestFit="1" customWidth="1"/>
    <col min="15135" max="15135" width="85.26953125" style="44" bestFit="1" customWidth="1"/>
    <col min="15136" max="15136" width="84.08984375" style="44" bestFit="1" customWidth="1"/>
    <col min="15137" max="15137" width="91" style="44" bestFit="1" customWidth="1"/>
    <col min="15138" max="15138" width="79" style="44" bestFit="1" customWidth="1"/>
    <col min="15139" max="15139" width="89.90625" style="44" bestFit="1" customWidth="1"/>
    <col min="15140" max="15146" width="90.90625" style="44" bestFit="1" customWidth="1"/>
    <col min="15147" max="15147" width="91.90625" style="44" bestFit="1" customWidth="1"/>
    <col min="15148" max="15148" width="73.08984375" style="44" bestFit="1" customWidth="1"/>
    <col min="15149" max="15149" width="61.1796875" style="44" bestFit="1" customWidth="1"/>
    <col min="15150" max="15150" width="94.1796875" style="44" bestFit="1" customWidth="1"/>
    <col min="15151" max="15151" width="84.453125" style="44" bestFit="1" customWidth="1"/>
    <col min="15152" max="15152" width="86.81640625" style="44" bestFit="1" customWidth="1"/>
    <col min="15153" max="15153" width="90.08984375" style="44" bestFit="1" customWidth="1"/>
    <col min="15154" max="15154" width="86.7265625" style="44" bestFit="1" customWidth="1"/>
    <col min="15155" max="15155" width="87.6328125" style="44" bestFit="1" customWidth="1"/>
    <col min="15156" max="15158" width="97.6328125" style="44" bestFit="1" customWidth="1"/>
    <col min="15159" max="15159" width="72.54296875" style="44" bestFit="1" customWidth="1"/>
    <col min="15160" max="15160" width="73.6328125" style="44" bestFit="1" customWidth="1"/>
    <col min="15161" max="15161" width="58.6328125" style="44" bestFit="1" customWidth="1"/>
    <col min="15162" max="15163" width="74.08984375" style="44" bestFit="1" customWidth="1"/>
    <col min="15164" max="15164" width="75.54296875" style="44" bestFit="1" customWidth="1"/>
    <col min="15165" max="15165" width="92" style="44" bestFit="1" customWidth="1"/>
    <col min="15166" max="15166" width="93.54296875" style="44" bestFit="1" customWidth="1"/>
    <col min="15167" max="15168" width="75.54296875" style="44" bestFit="1" customWidth="1"/>
    <col min="15169" max="15169" width="78.08984375" style="44" bestFit="1" customWidth="1"/>
    <col min="15170" max="15170" width="70" style="44" bestFit="1" customWidth="1"/>
    <col min="15171" max="15171" width="84.81640625" style="44" bestFit="1" customWidth="1"/>
    <col min="15172" max="15172" width="93" style="44" bestFit="1" customWidth="1"/>
    <col min="15173" max="15173" width="83.453125" style="44" bestFit="1" customWidth="1"/>
    <col min="15174" max="15174" width="100.90625" style="44" bestFit="1" customWidth="1"/>
    <col min="15175" max="15177" width="64.54296875" style="44" bestFit="1" customWidth="1"/>
    <col min="15178" max="15179" width="82.7265625" style="44" bestFit="1" customWidth="1"/>
    <col min="15180" max="15180" width="99.453125" style="44" bestFit="1" customWidth="1"/>
    <col min="15181" max="15181" width="78.1796875" style="44" bestFit="1" customWidth="1"/>
    <col min="15182" max="15182" width="71.36328125" style="44" bestFit="1" customWidth="1"/>
    <col min="15183" max="15183" width="71.26953125" style="44" bestFit="1" customWidth="1"/>
    <col min="15184" max="15187" width="76.453125" style="44" bestFit="1" customWidth="1"/>
    <col min="15188" max="15188" width="70.54296875" style="44" bestFit="1" customWidth="1"/>
    <col min="15189" max="15189" width="63.36328125" style="44" bestFit="1" customWidth="1"/>
    <col min="15190" max="15190" width="97.81640625" style="44" bestFit="1" customWidth="1"/>
    <col min="15191" max="15192" width="73" style="44" bestFit="1" customWidth="1"/>
    <col min="15193" max="15193" width="79" style="44" bestFit="1" customWidth="1"/>
    <col min="15194" max="15194" width="73" style="44" bestFit="1" customWidth="1"/>
    <col min="15195" max="15195" width="82.1796875" style="44" bestFit="1" customWidth="1"/>
    <col min="15196" max="15196" width="61.453125" style="44" bestFit="1" customWidth="1"/>
    <col min="15197" max="15198" width="99.90625" style="44" bestFit="1" customWidth="1"/>
    <col min="15199" max="15199" width="100.36328125" style="44" bestFit="1" customWidth="1"/>
    <col min="15200" max="15200" width="84.453125" style="44" bestFit="1" customWidth="1"/>
    <col min="15201" max="15201" width="113.36328125" style="44" bestFit="1" customWidth="1"/>
    <col min="15202" max="15202" width="98.453125" style="44" bestFit="1" customWidth="1"/>
    <col min="15203" max="15203" width="99.7265625" style="44" bestFit="1" customWidth="1"/>
    <col min="15204" max="15204" width="99.54296875" style="44" bestFit="1" customWidth="1"/>
    <col min="15205" max="15205" width="96.81640625" style="44" bestFit="1" customWidth="1"/>
    <col min="15206" max="15206" width="94.08984375" style="44" bestFit="1" customWidth="1"/>
    <col min="15207" max="15207" width="100.453125" style="44" bestFit="1" customWidth="1"/>
    <col min="15208" max="15208" width="98.6328125" style="44" bestFit="1" customWidth="1"/>
    <col min="15209" max="15209" width="77.453125" style="44" bestFit="1" customWidth="1"/>
    <col min="15210" max="15210" width="95.1796875" style="44" bestFit="1" customWidth="1"/>
    <col min="15211" max="15211" width="86.6328125" style="44" bestFit="1" customWidth="1"/>
    <col min="15212" max="15212" width="77.26953125" style="44" bestFit="1" customWidth="1"/>
    <col min="15213" max="15213" width="85.1796875" style="44" bestFit="1" customWidth="1"/>
    <col min="15214" max="15214" width="74.7265625" style="44" bestFit="1" customWidth="1"/>
    <col min="15215" max="15215" width="92" style="44" bestFit="1" customWidth="1"/>
    <col min="15216" max="15216" width="72.26953125" style="44" bestFit="1" customWidth="1"/>
    <col min="15217" max="15217" width="97.08984375" style="44" bestFit="1" customWidth="1"/>
    <col min="15218" max="15218" width="77.08984375" style="44" bestFit="1" customWidth="1"/>
    <col min="15219" max="15219" width="85.08984375" style="44" bestFit="1" customWidth="1"/>
    <col min="15220" max="15221" width="83.1796875" style="44" bestFit="1" customWidth="1"/>
    <col min="15222" max="15222" width="82.6328125" style="44" bestFit="1" customWidth="1"/>
    <col min="15223" max="15223" width="86.26953125" style="44" bestFit="1" customWidth="1"/>
    <col min="15224" max="15224" width="71.1796875" style="44" bestFit="1" customWidth="1"/>
    <col min="15225" max="15225" width="66.6328125" style="44" bestFit="1" customWidth="1"/>
    <col min="15226" max="15227" width="83.1796875" style="44" bestFit="1" customWidth="1"/>
    <col min="15228" max="15228" width="67.08984375" style="44" bestFit="1" customWidth="1"/>
    <col min="15229" max="15229" width="76.54296875" style="44" bestFit="1" customWidth="1"/>
    <col min="15230" max="15230" width="94.08984375" style="44" bestFit="1" customWidth="1"/>
    <col min="15231" max="15231" width="89.08984375" style="44" bestFit="1" customWidth="1"/>
    <col min="15232" max="15232" width="68.1796875" style="44" bestFit="1" customWidth="1"/>
    <col min="15233" max="15233" width="91.7265625" style="44" bestFit="1" customWidth="1"/>
    <col min="15234" max="15234" width="63.36328125" style="44" bestFit="1" customWidth="1"/>
    <col min="15235" max="15235" width="66.6328125" style="44" bestFit="1" customWidth="1"/>
    <col min="15236" max="15236" width="63.36328125" style="44" bestFit="1" customWidth="1"/>
    <col min="15237" max="15237" width="63.453125" style="44" bestFit="1" customWidth="1"/>
    <col min="15238" max="15238" width="87.54296875" style="44" bestFit="1" customWidth="1"/>
    <col min="15239" max="15239" width="93.81640625" style="44" bestFit="1" customWidth="1"/>
    <col min="15240" max="15240" width="66.453125" style="44" bestFit="1" customWidth="1"/>
    <col min="15241" max="15242" width="110" style="44" bestFit="1" customWidth="1"/>
    <col min="15243" max="15243" width="103.1796875" style="44" bestFit="1" customWidth="1"/>
    <col min="15244" max="15244" width="62.453125" style="44" bestFit="1" customWidth="1"/>
    <col min="15245" max="15245" width="77.453125" style="44" bestFit="1" customWidth="1"/>
    <col min="15246" max="15246" width="91.54296875" style="44" bestFit="1" customWidth="1"/>
    <col min="15247" max="15247" width="88.08984375" style="44" bestFit="1" customWidth="1"/>
    <col min="15248" max="15248" width="80.6328125" style="44" bestFit="1" customWidth="1"/>
    <col min="15249" max="15249" width="77.453125" style="44" bestFit="1" customWidth="1"/>
    <col min="15250" max="15250" width="85.1796875" style="44" bestFit="1" customWidth="1"/>
    <col min="15251" max="15254" width="72.36328125" style="44" bestFit="1" customWidth="1"/>
    <col min="15255" max="15256" width="95" style="44" bestFit="1" customWidth="1"/>
    <col min="15257" max="15257" width="64.08984375" style="44" bestFit="1" customWidth="1"/>
    <col min="15258" max="15258" width="110.08984375" style="44" bestFit="1" customWidth="1"/>
    <col min="15259" max="15259" width="86.36328125" style="44" bestFit="1" customWidth="1"/>
    <col min="15260" max="15260" width="89.36328125" style="44" bestFit="1" customWidth="1"/>
    <col min="15261" max="15261" width="89.81640625" style="44" bestFit="1" customWidth="1"/>
    <col min="15262" max="15262" width="64.26953125" style="44" bestFit="1" customWidth="1"/>
    <col min="15263" max="15263" width="85.7265625" style="44" bestFit="1" customWidth="1"/>
    <col min="15264" max="15264" width="73" style="44" bestFit="1" customWidth="1"/>
    <col min="15265" max="15265" width="92.7265625" style="44" bestFit="1" customWidth="1"/>
    <col min="15266" max="15266" width="92.36328125" style="44" bestFit="1" customWidth="1"/>
    <col min="15267" max="15267" width="72" style="44" bestFit="1" customWidth="1"/>
    <col min="15268" max="15268" width="82" style="44" bestFit="1" customWidth="1"/>
    <col min="15269" max="15269" width="79.36328125" style="44" bestFit="1" customWidth="1"/>
    <col min="15270" max="15270" width="81" style="44" bestFit="1" customWidth="1"/>
    <col min="15271" max="15271" width="72.90625" style="44" bestFit="1" customWidth="1"/>
    <col min="15272" max="15272" width="90.81640625" style="44" bestFit="1" customWidth="1"/>
    <col min="15273" max="15273" width="84" style="44" bestFit="1" customWidth="1"/>
    <col min="15274" max="15275" width="73.36328125" style="44" bestFit="1" customWidth="1"/>
    <col min="15276" max="15276" width="90.6328125" style="44" bestFit="1" customWidth="1"/>
    <col min="15277" max="15277" width="89.453125" style="44" bestFit="1" customWidth="1"/>
    <col min="15278" max="15278" width="84.6328125" style="44" bestFit="1" customWidth="1"/>
    <col min="15279" max="15279" width="74.54296875" style="44" bestFit="1" customWidth="1"/>
    <col min="15280" max="15280" width="76.90625" style="44" bestFit="1" customWidth="1"/>
    <col min="15281" max="15281" width="83" style="44" bestFit="1" customWidth="1"/>
    <col min="15282" max="15282" width="85.81640625" style="44" bestFit="1" customWidth="1"/>
    <col min="15283" max="15283" width="83.7265625" style="44" bestFit="1" customWidth="1"/>
    <col min="15284" max="15284" width="79.54296875" style="44" bestFit="1" customWidth="1"/>
    <col min="15285" max="15285" width="80.54296875" style="44" bestFit="1" customWidth="1"/>
    <col min="15286" max="15286" width="89.54296875" style="44" bestFit="1" customWidth="1"/>
    <col min="15287" max="15287" width="85.36328125" style="44" bestFit="1" customWidth="1"/>
    <col min="15288" max="15288" width="61.6328125" style="44" bestFit="1" customWidth="1"/>
    <col min="15289" max="15289" width="132.54296875" style="44" bestFit="1" customWidth="1"/>
    <col min="15290" max="15290" width="93.1796875" style="44" bestFit="1" customWidth="1"/>
    <col min="15291" max="15291" width="91.08984375" style="44" bestFit="1" customWidth="1"/>
    <col min="15292" max="15292" width="81.7265625" style="44" bestFit="1" customWidth="1"/>
    <col min="15293" max="15294" width="80.90625" style="44" bestFit="1" customWidth="1"/>
    <col min="15295" max="15295" width="83.26953125" style="44" bestFit="1" customWidth="1"/>
    <col min="15296" max="15296" width="101.453125" style="44" bestFit="1" customWidth="1"/>
    <col min="15297" max="15297" width="110.1796875" style="44" bestFit="1" customWidth="1"/>
    <col min="15298" max="15298" width="74.6328125" style="44" bestFit="1" customWidth="1"/>
    <col min="15299" max="15302" width="84.54296875" style="44" bestFit="1" customWidth="1"/>
    <col min="15303" max="15303" width="74.36328125" style="44" bestFit="1" customWidth="1"/>
    <col min="15304" max="15304" width="88.1796875" style="44" bestFit="1" customWidth="1"/>
    <col min="15305" max="15305" width="78.6328125" style="44" bestFit="1" customWidth="1"/>
    <col min="15306" max="15306" width="76.81640625" style="44" bestFit="1" customWidth="1"/>
    <col min="15307" max="15307" width="74.7265625" style="44" bestFit="1" customWidth="1"/>
    <col min="15308" max="15308" width="87.26953125" style="44" bestFit="1" customWidth="1"/>
    <col min="15309" max="15309" width="85.54296875" style="44" bestFit="1" customWidth="1"/>
    <col min="15310" max="15310" width="100.26953125" style="44" bestFit="1" customWidth="1"/>
    <col min="15311" max="15311" width="71.36328125" style="44" bestFit="1" customWidth="1"/>
    <col min="15312" max="15312" width="105.453125" style="44" bestFit="1" customWidth="1"/>
    <col min="15313" max="15313" width="103.08984375" style="44" bestFit="1" customWidth="1"/>
    <col min="15314" max="15314" width="85.7265625" style="44" bestFit="1" customWidth="1"/>
    <col min="15315" max="15315" width="99.26953125" style="44" bestFit="1" customWidth="1"/>
    <col min="15316" max="15316" width="83.54296875" style="44" bestFit="1" customWidth="1"/>
    <col min="15317" max="15317" width="96.90625" style="44" bestFit="1" customWidth="1"/>
    <col min="15318" max="15318" width="74.26953125" style="44" bestFit="1" customWidth="1"/>
    <col min="15319" max="15319" width="98.36328125" style="44" bestFit="1" customWidth="1"/>
    <col min="15320" max="15320" width="74.453125" style="44" bestFit="1" customWidth="1"/>
    <col min="15321" max="15321" width="88.81640625" style="44" bestFit="1" customWidth="1"/>
    <col min="15322" max="15322" width="67.6328125" style="44" bestFit="1" customWidth="1"/>
    <col min="15323" max="15323" width="93.08984375" style="44" bestFit="1" customWidth="1"/>
    <col min="15324" max="15324" width="101.453125" style="44" bestFit="1" customWidth="1"/>
    <col min="15325" max="15327" width="76.81640625" style="44" bestFit="1" customWidth="1"/>
    <col min="15328" max="15328" width="87.08984375" style="44" bestFit="1" customWidth="1"/>
    <col min="15329" max="15329" width="72.453125" style="44" bestFit="1" customWidth="1"/>
    <col min="15330" max="15330" width="87.81640625" style="44" bestFit="1" customWidth="1"/>
    <col min="15331" max="15331" width="71.7265625" style="44" bestFit="1" customWidth="1"/>
    <col min="15332" max="15332" width="74" style="44" bestFit="1" customWidth="1"/>
    <col min="15333" max="15333" width="74.08984375" style="44" bestFit="1" customWidth="1"/>
    <col min="15334" max="15336" width="86.81640625" style="44" bestFit="1" customWidth="1"/>
    <col min="15337" max="15337" width="104.7265625" style="44" bestFit="1" customWidth="1"/>
    <col min="15338" max="15338" width="101.81640625" style="44" bestFit="1" customWidth="1"/>
    <col min="15339" max="15339" width="64.453125" style="44" bestFit="1" customWidth="1"/>
    <col min="15340" max="15340" width="65.1796875" style="44" bestFit="1" customWidth="1"/>
    <col min="15341" max="15341" width="72.453125" style="44" bestFit="1" customWidth="1"/>
    <col min="15342" max="15342" width="81.36328125" style="44" bestFit="1" customWidth="1"/>
    <col min="15343" max="15343" width="65.1796875" style="44" bestFit="1" customWidth="1"/>
    <col min="15344" max="15344" width="80.90625" style="44" bestFit="1" customWidth="1"/>
    <col min="15345" max="15345" width="71.7265625" style="44" bestFit="1" customWidth="1"/>
    <col min="15346" max="15346" width="73.6328125" style="44" bestFit="1" customWidth="1"/>
    <col min="15347" max="15348" width="85.36328125" style="44" bestFit="1" customWidth="1"/>
    <col min="15349" max="15349" width="92.26953125" style="44" bestFit="1" customWidth="1"/>
    <col min="15350" max="15350" width="106.1796875" style="44" bestFit="1" customWidth="1"/>
    <col min="15351" max="15351" width="86.6328125" style="44" bestFit="1" customWidth="1"/>
    <col min="15352" max="15353" width="68.90625" style="44" bestFit="1" customWidth="1"/>
    <col min="15354" max="15354" width="80.54296875" style="44" bestFit="1" customWidth="1"/>
    <col min="15355" max="15355" width="68.90625" style="44" bestFit="1" customWidth="1"/>
    <col min="15356" max="15356" width="79.1796875" style="44" bestFit="1" customWidth="1"/>
    <col min="15357" max="15357" width="79.26953125" style="44" bestFit="1" customWidth="1"/>
    <col min="15358" max="15358" width="80.1796875" style="44" bestFit="1" customWidth="1"/>
    <col min="15359" max="15359" width="84.81640625" style="44" bestFit="1" customWidth="1"/>
    <col min="15360" max="15360" width="76.81640625" style="44" bestFit="1" customWidth="1"/>
    <col min="15361" max="15361" width="7.90625" style="44" bestFit="1" customWidth="1"/>
    <col min="15362" max="15362" width="132.54296875" style="44" bestFit="1" customWidth="1"/>
    <col min="15363" max="15363" width="45.36328125" style="44" bestFit="1" customWidth="1"/>
    <col min="15364" max="15364" width="14.08984375" style="44" bestFit="1" customWidth="1"/>
    <col min="15365" max="15366" width="8.7265625" style="44"/>
    <col min="15367" max="15367" width="49.7265625" style="44" bestFit="1" customWidth="1"/>
    <col min="15368" max="15368" width="7.90625" style="44" bestFit="1" customWidth="1"/>
    <col min="15369" max="15369" width="7.81640625" style="44" bestFit="1" customWidth="1"/>
    <col min="15370" max="15381" width="8.81640625" style="44" bestFit="1" customWidth="1"/>
    <col min="15382" max="15382" width="10.81640625" style="44" bestFit="1" customWidth="1"/>
    <col min="15383" max="15383" width="93.36328125" style="44" bestFit="1" customWidth="1"/>
    <col min="15384" max="15384" width="87.6328125" style="44" bestFit="1" customWidth="1"/>
    <col min="15385" max="15385" width="69.26953125" style="44" bestFit="1" customWidth="1"/>
    <col min="15386" max="15386" width="68.54296875" style="44" bestFit="1" customWidth="1"/>
    <col min="15387" max="15387" width="67.6328125" style="44" bestFit="1" customWidth="1"/>
    <col min="15388" max="15388" width="64" style="44" bestFit="1" customWidth="1"/>
    <col min="15389" max="15389" width="43.81640625" style="44" bestFit="1" customWidth="1"/>
    <col min="15390" max="15390" width="39.81640625" style="44" bestFit="1" customWidth="1"/>
    <col min="15391" max="15391" width="85.26953125" style="44" bestFit="1" customWidth="1"/>
    <col min="15392" max="15392" width="84.08984375" style="44" bestFit="1" customWidth="1"/>
    <col min="15393" max="15393" width="91" style="44" bestFit="1" customWidth="1"/>
    <col min="15394" max="15394" width="79" style="44" bestFit="1" customWidth="1"/>
    <col min="15395" max="15395" width="89.90625" style="44" bestFit="1" customWidth="1"/>
    <col min="15396" max="15402" width="90.90625" style="44" bestFit="1" customWidth="1"/>
    <col min="15403" max="15403" width="91.90625" style="44" bestFit="1" customWidth="1"/>
    <col min="15404" max="15404" width="73.08984375" style="44" bestFit="1" customWidth="1"/>
    <col min="15405" max="15405" width="61.1796875" style="44" bestFit="1" customWidth="1"/>
    <col min="15406" max="15406" width="94.1796875" style="44" bestFit="1" customWidth="1"/>
    <col min="15407" max="15407" width="84.453125" style="44" bestFit="1" customWidth="1"/>
    <col min="15408" max="15408" width="86.81640625" style="44" bestFit="1" customWidth="1"/>
    <col min="15409" max="15409" width="90.08984375" style="44" bestFit="1" customWidth="1"/>
    <col min="15410" max="15410" width="86.7265625" style="44" bestFit="1" customWidth="1"/>
    <col min="15411" max="15411" width="87.6328125" style="44" bestFit="1" customWidth="1"/>
    <col min="15412" max="15414" width="97.6328125" style="44" bestFit="1" customWidth="1"/>
    <col min="15415" max="15415" width="72.54296875" style="44" bestFit="1" customWidth="1"/>
    <col min="15416" max="15416" width="73.6328125" style="44" bestFit="1" customWidth="1"/>
    <col min="15417" max="15417" width="58.6328125" style="44" bestFit="1" customWidth="1"/>
    <col min="15418" max="15419" width="74.08984375" style="44" bestFit="1" customWidth="1"/>
    <col min="15420" max="15420" width="75.54296875" style="44" bestFit="1" customWidth="1"/>
    <col min="15421" max="15421" width="92" style="44" bestFit="1" customWidth="1"/>
    <col min="15422" max="15422" width="93.54296875" style="44" bestFit="1" customWidth="1"/>
    <col min="15423" max="15424" width="75.54296875" style="44" bestFit="1" customWidth="1"/>
    <col min="15425" max="15425" width="78.08984375" style="44" bestFit="1" customWidth="1"/>
    <col min="15426" max="15426" width="70" style="44" bestFit="1" customWidth="1"/>
    <col min="15427" max="15427" width="84.81640625" style="44" bestFit="1" customWidth="1"/>
    <col min="15428" max="15428" width="93" style="44" bestFit="1" customWidth="1"/>
    <col min="15429" max="15429" width="83.453125" style="44" bestFit="1" customWidth="1"/>
    <col min="15430" max="15430" width="100.90625" style="44" bestFit="1" customWidth="1"/>
    <col min="15431" max="15433" width="64.54296875" style="44" bestFit="1" customWidth="1"/>
    <col min="15434" max="15435" width="82.7265625" style="44" bestFit="1" customWidth="1"/>
    <col min="15436" max="15436" width="99.453125" style="44" bestFit="1" customWidth="1"/>
    <col min="15437" max="15437" width="78.1796875" style="44" bestFit="1" customWidth="1"/>
    <col min="15438" max="15438" width="71.36328125" style="44" bestFit="1" customWidth="1"/>
    <col min="15439" max="15439" width="71.26953125" style="44" bestFit="1" customWidth="1"/>
    <col min="15440" max="15443" width="76.453125" style="44" bestFit="1" customWidth="1"/>
    <col min="15444" max="15444" width="70.54296875" style="44" bestFit="1" customWidth="1"/>
    <col min="15445" max="15445" width="63.36328125" style="44" bestFit="1" customWidth="1"/>
    <col min="15446" max="15446" width="97.81640625" style="44" bestFit="1" customWidth="1"/>
    <col min="15447" max="15448" width="73" style="44" bestFit="1" customWidth="1"/>
    <col min="15449" max="15449" width="79" style="44" bestFit="1" customWidth="1"/>
    <col min="15450" max="15450" width="73" style="44" bestFit="1" customWidth="1"/>
    <col min="15451" max="15451" width="82.1796875" style="44" bestFit="1" customWidth="1"/>
    <col min="15452" max="15452" width="61.453125" style="44" bestFit="1" customWidth="1"/>
    <col min="15453" max="15454" width="99.90625" style="44" bestFit="1" customWidth="1"/>
    <col min="15455" max="15455" width="100.36328125" style="44" bestFit="1" customWidth="1"/>
    <col min="15456" max="15456" width="84.453125" style="44" bestFit="1" customWidth="1"/>
    <col min="15457" max="15457" width="113.36328125" style="44" bestFit="1" customWidth="1"/>
    <col min="15458" max="15458" width="98.453125" style="44" bestFit="1" customWidth="1"/>
    <col min="15459" max="15459" width="99.7265625" style="44" bestFit="1" customWidth="1"/>
    <col min="15460" max="15460" width="99.54296875" style="44" bestFit="1" customWidth="1"/>
    <col min="15461" max="15461" width="96.81640625" style="44" bestFit="1" customWidth="1"/>
    <col min="15462" max="15462" width="94.08984375" style="44" bestFit="1" customWidth="1"/>
    <col min="15463" max="15463" width="100.453125" style="44" bestFit="1" customWidth="1"/>
    <col min="15464" max="15464" width="98.6328125" style="44" bestFit="1" customWidth="1"/>
    <col min="15465" max="15465" width="77.453125" style="44" bestFit="1" customWidth="1"/>
    <col min="15466" max="15466" width="95.1796875" style="44" bestFit="1" customWidth="1"/>
    <col min="15467" max="15467" width="86.6328125" style="44" bestFit="1" customWidth="1"/>
    <col min="15468" max="15468" width="77.26953125" style="44" bestFit="1" customWidth="1"/>
    <col min="15469" max="15469" width="85.1796875" style="44" bestFit="1" customWidth="1"/>
    <col min="15470" max="15470" width="74.7265625" style="44" bestFit="1" customWidth="1"/>
    <col min="15471" max="15471" width="92" style="44" bestFit="1" customWidth="1"/>
    <col min="15472" max="15472" width="72.26953125" style="44" bestFit="1" customWidth="1"/>
    <col min="15473" max="15473" width="97.08984375" style="44" bestFit="1" customWidth="1"/>
    <col min="15474" max="15474" width="77.08984375" style="44" bestFit="1" customWidth="1"/>
    <col min="15475" max="15475" width="85.08984375" style="44" bestFit="1" customWidth="1"/>
    <col min="15476" max="15477" width="83.1796875" style="44" bestFit="1" customWidth="1"/>
    <col min="15478" max="15478" width="82.6328125" style="44" bestFit="1" customWidth="1"/>
    <col min="15479" max="15479" width="86.26953125" style="44" bestFit="1" customWidth="1"/>
    <col min="15480" max="15480" width="71.1796875" style="44" bestFit="1" customWidth="1"/>
    <col min="15481" max="15481" width="66.6328125" style="44" bestFit="1" customWidth="1"/>
    <col min="15482" max="15483" width="83.1796875" style="44" bestFit="1" customWidth="1"/>
    <col min="15484" max="15484" width="67.08984375" style="44" bestFit="1" customWidth="1"/>
    <col min="15485" max="15485" width="76.54296875" style="44" bestFit="1" customWidth="1"/>
    <col min="15486" max="15486" width="94.08984375" style="44" bestFit="1" customWidth="1"/>
    <col min="15487" max="15487" width="89.08984375" style="44" bestFit="1" customWidth="1"/>
    <col min="15488" max="15488" width="68.1796875" style="44" bestFit="1" customWidth="1"/>
    <col min="15489" max="15489" width="91.7265625" style="44" bestFit="1" customWidth="1"/>
    <col min="15490" max="15490" width="63.36328125" style="44" bestFit="1" customWidth="1"/>
    <col min="15491" max="15491" width="66.6328125" style="44" bestFit="1" customWidth="1"/>
    <col min="15492" max="15492" width="63.36328125" style="44" bestFit="1" customWidth="1"/>
    <col min="15493" max="15493" width="63.453125" style="44" bestFit="1" customWidth="1"/>
    <col min="15494" max="15494" width="87.54296875" style="44" bestFit="1" customWidth="1"/>
    <col min="15495" max="15495" width="93.81640625" style="44" bestFit="1" customWidth="1"/>
    <col min="15496" max="15496" width="66.453125" style="44" bestFit="1" customWidth="1"/>
    <col min="15497" max="15498" width="110" style="44" bestFit="1" customWidth="1"/>
    <col min="15499" max="15499" width="103.1796875" style="44" bestFit="1" customWidth="1"/>
    <col min="15500" max="15500" width="62.453125" style="44" bestFit="1" customWidth="1"/>
    <col min="15501" max="15501" width="77.453125" style="44" bestFit="1" customWidth="1"/>
    <col min="15502" max="15502" width="91.54296875" style="44" bestFit="1" customWidth="1"/>
    <col min="15503" max="15503" width="88.08984375" style="44" bestFit="1" customWidth="1"/>
    <col min="15504" max="15504" width="80.6328125" style="44" bestFit="1" customWidth="1"/>
    <col min="15505" max="15505" width="77.453125" style="44" bestFit="1" customWidth="1"/>
    <col min="15506" max="15506" width="85.1796875" style="44" bestFit="1" customWidth="1"/>
    <col min="15507" max="15510" width="72.36328125" style="44" bestFit="1" customWidth="1"/>
    <col min="15511" max="15512" width="95" style="44" bestFit="1" customWidth="1"/>
    <col min="15513" max="15513" width="64.08984375" style="44" bestFit="1" customWidth="1"/>
    <col min="15514" max="15514" width="110.08984375" style="44" bestFit="1" customWidth="1"/>
    <col min="15515" max="15515" width="86.36328125" style="44" bestFit="1" customWidth="1"/>
    <col min="15516" max="15516" width="89.36328125" style="44" bestFit="1" customWidth="1"/>
    <col min="15517" max="15517" width="89.81640625" style="44" bestFit="1" customWidth="1"/>
    <col min="15518" max="15518" width="64.26953125" style="44" bestFit="1" customWidth="1"/>
    <col min="15519" max="15519" width="85.7265625" style="44" bestFit="1" customWidth="1"/>
    <col min="15520" max="15520" width="73" style="44" bestFit="1" customWidth="1"/>
    <col min="15521" max="15521" width="92.7265625" style="44" bestFit="1" customWidth="1"/>
    <col min="15522" max="15522" width="92.36328125" style="44" bestFit="1" customWidth="1"/>
    <col min="15523" max="15523" width="72" style="44" bestFit="1" customWidth="1"/>
    <col min="15524" max="15524" width="82" style="44" bestFit="1" customWidth="1"/>
    <col min="15525" max="15525" width="79.36328125" style="44" bestFit="1" customWidth="1"/>
    <col min="15526" max="15526" width="81" style="44" bestFit="1" customWidth="1"/>
    <col min="15527" max="15527" width="72.90625" style="44" bestFit="1" customWidth="1"/>
    <col min="15528" max="15528" width="90.81640625" style="44" bestFit="1" customWidth="1"/>
    <col min="15529" max="15529" width="84" style="44" bestFit="1" customWidth="1"/>
    <col min="15530" max="15531" width="73.36328125" style="44" bestFit="1" customWidth="1"/>
    <col min="15532" max="15532" width="90.6328125" style="44" bestFit="1" customWidth="1"/>
    <col min="15533" max="15533" width="89.453125" style="44" bestFit="1" customWidth="1"/>
    <col min="15534" max="15534" width="84.6328125" style="44" bestFit="1" customWidth="1"/>
    <col min="15535" max="15535" width="74.54296875" style="44" bestFit="1" customWidth="1"/>
    <col min="15536" max="15536" width="76.90625" style="44" bestFit="1" customWidth="1"/>
    <col min="15537" max="15537" width="83" style="44" bestFit="1" customWidth="1"/>
    <col min="15538" max="15538" width="85.81640625" style="44" bestFit="1" customWidth="1"/>
    <col min="15539" max="15539" width="83.7265625" style="44" bestFit="1" customWidth="1"/>
    <col min="15540" max="15540" width="79.54296875" style="44" bestFit="1" customWidth="1"/>
    <col min="15541" max="15541" width="80.54296875" style="44" bestFit="1" customWidth="1"/>
    <col min="15542" max="15542" width="89.54296875" style="44" bestFit="1" customWidth="1"/>
    <col min="15543" max="15543" width="85.36328125" style="44" bestFit="1" customWidth="1"/>
    <col min="15544" max="15544" width="61.6328125" style="44" bestFit="1" customWidth="1"/>
    <col min="15545" max="15545" width="132.54296875" style="44" bestFit="1" customWidth="1"/>
    <col min="15546" max="15546" width="93.1796875" style="44" bestFit="1" customWidth="1"/>
    <col min="15547" max="15547" width="91.08984375" style="44" bestFit="1" customWidth="1"/>
    <col min="15548" max="15548" width="81.7265625" style="44" bestFit="1" customWidth="1"/>
    <col min="15549" max="15550" width="80.90625" style="44" bestFit="1" customWidth="1"/>
    <col min="15551" max="15551" width="83.26953125" style="44" bestFit="1" customWidth="1"/>
    <col min="15552" max="15552" width="101.453125" style="44" bestFit="1" customWidth="1"/>
    <col min="15553" max="15553" width="110.1796875" style="44" bestFit="1" customWidth="1"/>
    <col min="15554" max="15554" width="74.6328125" style="44" bestFit="1" customWidth="1"/>
    <col min="15555" max="15558" width="84.54296875" style="44" bestFit="1" customWidth="1"/>
    <col min="15559" max="15559" width="74.36328125" style="44" bestFit="1" customWidth="1"/>
    <col min="15560" max="15560" width="88.1796875" style="44" bestFit="1" customWidth="1"/>
    <col min="15561" max="15561" width="78.6328125" style="44" bestFit="1" customWidth="1"/>
    <col min="15562" max="15562" width="76.81640625" style="44" bestFit="1" customWidth="1"/>
    <col min="15563" max="15563" width="74.7265625" style="44" bestFit="1" customWidth="1"/>
    <col min="15564" max="15564" width="87.26953125" style="44" bestFit="1" customWidth="1"/>
    <col min="15565" max="15565" width="85.54296875" style="44" bestFit="1" customWidth="1"/>
    <col min="15566" max="15566" width="100.26953125" style="44" bestFit="1" customWidth="1"/>
    <col min="15567" max="15567" width="71.36328125" style="44" bestFit="1" customWidth="1"/>
    <col min="15568" max="15568" width="105.453125" style="44" bestFit="1" customWidth="1"/>
    <col min="15569" max="15569" width="103.08984375" style="44" bestFit="1" customWidth="1"/>
    <col min="15570" max="15570" width="85.7265625" style="44" bestFit="1" customWidth="1"/>
    <col min="15571" max="15571" width="99.26953125" style="44" bestFit="1" customWidth="1"/>
    <col min="15572" max="15572" width="83.54296875" style="44" bestFit="1" customWidth="1"/>
    <col min="15573" max="15573" width="96.90625" style="44" bestFit="1" customWidth="1"/>
    <col min="15574" max="15574" width="74.26953125" style="44" bestFit="1" customWidth="1"/>
    <col min="15575" max="15575" width="98.36328125" style="44" bestFit="1" customWidth="1"/>
    <col min="15576" max="15576" width="74.453125" style="44" bestFit="1" customWidth="1"/>
    <col min="15577" max="15577" width="88.81640625" style="44" bestFit="1" customWidth="1"/>
    <col min="15578" max="15578" width="67.6328125" style="44" bestFit="1" customWidth="1"/>
    <col min="15579" max="15579" width="93.08984375" style="44" bestFit="1" customWidth="1"/>
    <col min="15580" max="15580" width="101.453125" style="44" bestFit="1" customWidth="1"/>
    <col min="15581" max="15583" width="76.81640625" style="44" bestFit="1" customWidth="1"/>
    <col min="15584" max="15584" width="87.08984375" style="44" bestFit="1" customWidth="1"/>
    <col min="15585" max="15585" width="72.453125" style="44" bestFit="1" customWidth="1"/>
    <col min="15586" max="15586" width="87.81640625" style="44" bestFit="1" customWidth="1"/>
    <col min="15587" max="15587" width="71.7265625" style="44" bestFit="1" customWidth="1"/>
    <col min="15588" max="15588" width="74" style="44" bestFit="1" customWidth="1"/>
    <col min="15589" max="15589" width="74.08984375" style="44" bestFit="1" customWidth="1"/>
    <col min="15590" max="15592" width="86.81640625" style="44" bestFit="1" customWidth="1"/>
    <col min="15593" max="15593" width="104.7265625" style="44" bestFit="1" customWidth="1"/>
    <col min="15594" max="15594" width="101.81640625" style="44" bestFit="1" customWidth="1"/>
    <col min="15595" max="15595" width="64.453125" style="44" bestFit="1" customWidth="1"/>
    <col min="15596" max="15596" width="65.1796875" style="44" bestFit="1" customWidth="1"/>
    <col min="15597" max="15597" width="72.453125" style="44" bestFit="1" customWidth="1"/>
    <col min="15598" max="15598" width="81.36328125" style="44" bestFit="1" customWidth="1"/>
    <col min="15599" max="15599" width="65.1796875" style="44" bestFit="1" customWidth="1"/>
    <col min="15600" max="15600" width="80.90625" style="44" bestFit="1" customWidth="1"/>
    <col min="15601" max="15601" width="71.7265625" style="44" bestFit="1" customWidth="1"/>
    <col min="15602" max="15602" width="73.6328125" style="44" bestFit="1" customWidth="1"/>
    <col min="15603" max="15604" width="85.36328125" style="44" bestFit="1" customWidth="1"/>
    <col min="15605" max="15605" width="92.26953125" style="44" bestFit="1" customWidth="1"/>
    <col min="15606" max="15606" width="106.1796875" style="44" bestFit="1" customWidth="1"/>
    <col min="15607" max="15607" width="86.6328125" style="44" bestFit="1" customWidth="1"/>
    <col min="15608" max="15609" width="68.90625" style="44" bestFit="1" customWidth="1"/>
    <col min="15610" max="15610" width="80.54296875" style="44" bestFit="1" customWidth="1"/>
    <col min="15611" max="15611" width="68.90625" style="44" bestFit="1" customWidth="1"/>
    <col min="15612" max="15612" width="79.1796875" style="44" bestFit="1" customWidth="1"/>
    <col min="15613" max="15613" width="79.26953125" style="44" bestFit="1" customWidth="1"/>
    <col min="15614" max="15614" width="80.1796875" style="44" bestFit="1" customWidth="1"/>
    <col min="15615" max="15615" width="84.81640625" style="44" bestFit="1" customWidth="1"/>
    <col min="15616" max="15616" width="76.81640625" style="44" bestFit="1" customWidth="1"/>
    <col min="15617" max="15617" width="7.90625" style="44" bestFit="1" customWidth="1"/>
    <col min="15618" max="15618" width="132.54296875" style="44" bestFit="1" customWidth="1"/>
    <col min="15619" max="15619" width="45.36328125" style="44" bestFit="1" customWidth="1"/>
    <col min="15620" max="15620" width="14.08984375" style="44" bestFit="1" customWidth="1"/>
    <col min="15621" max="15622" width="8.7265625" style="44"/>
    <col min="15623" max="15623" width="49.7265625" style="44" bestFit="1" customWidth="1"/>
    <col min="15624" max="15624" width="7.90625" style="44" bestFit="1" customWidth="1"/>
    <col min="15625" max="15625" width="7.81640625" style="44" bestFit="1" customWidth="1"/>
    <col min="15626" max="15637" width="8.81640625" style="44" bestFit="1" customWidth="1"/>
    <col min="15638" max="15638" width="10.81640625" style="44" bestFit="1" customWidth="1"/>
    <col min="15639" max="15639" width="93.36328125" style="44" bestFit="1" customWidth="1"/>
    <col min="15640" max="15640" width="87.6328125" style="44" bestFit="1" customWidth="1"/>
    <col min="15641" max="15641" width="69.26953125" style="44" bestFit="1" customWidth="1"/>
    <col min="15642" max="15642" width="68.54296875" style="44" bestFit="1" customWidth="1"/>
    <col min="15643" max="15643" width="67.6328125" style="44" bestFit="1" customWidth="1"/>
    <col min="15644" max="15644" width="64" style="44" bestFit="1" customWidth="1"/>
    <col min="15645" max="15645" width="43.81640625" style="44" bestFit="1" customWidth="1"/>
    <col min="15646" max="15646" width="39.81640625" style="44" bestFit="1" customWidth="1"/>
    <col min="15647" max="15647" width="85.26953125" style="44" bestFit="1" customWidth="1"/>
    <col min="15648" max="15648" width="84.08984375" style="44" bestFit="1" customWidth="1"/>
    <col min="15649" max="15649" width="91" style="44" bestFit="1" customWidth="1"/>
    <col min="15650" max="15650" width="79" style="44" bestFit="1" customWidth="1"/>
    <col min="15651" max="15651" width="89.90625" style="44" bestFit="1" customWidth="1"/>
    <col min="15652" max="15658" width="90.90625" style="44" bestFit="1" customWidth="1"/>
    <col min="15659" max="15659" width="91.90625" style="44" bestFit="1" customWidth="1"/>
    <col min="15660" max="15660" width="73.08984375" style="44" bestFit="1" customWidth="1"/>
    <col min="15661" max="15661" width="61.1796875" style="44" bestFit="1" customWidth="1"/>
    <col min="15662" max="15662" width="94.1796875" style="44" bestFit="1" customWidth="1"/>
    <col min="15663" max="15663" width="84.453125" style="44" bestFit="1" customWidth="1"/>
    <col min="15664" max="15664" width="86.81640625" style="44" bestFit="1" customWidth="1"/>
    <col min="15665" max="15665" width="90.08984375" style="44" bestFit="1" customWidth="1"/>
    <col min="15666" max="15666" width="86.7265625" style="44" bestFit="1" customWidth="1"/>
    <col min="15667" max="15667" width="87.6328125" style="44" bestFit="1" customWidth="1"/>
    <col min="15668" max="15670" width="97.6328125" style="44" bestFit="1" customWidth="1"/>
    <col min="15671" max="15671" width="72.54296875" style="44" bestFit="1" customWidth="1"/>
    <col min="15672" max="15672" width="73.6328125" style="44" bestFit="1" customWidth="1"/>
    <col min="15673" max="15673" width="58.6328125" style="44" bestFit="1" customWidth="1"/>
    <col min="15674" max="15675" width="74.08984375" style="44" bestFit="1" customWidth="1"/>
    <col min="15676" max="15676" width="75.54296875" style="44" bestFit="1" customWidth="1"/>
    <col min="15677" max="15677" width="92" style="44" bestFit="1" customWidth="1"/>
    <col min="15678" max="15678" width="93.54296875" style="44" bestFit="1" customWidth="1"/>
    <col min="15679" max="15680" width="75.54296875" style="44" bestFit="1" customWidth="1"/>
    <col min="15681" max="15681" width="78.08984375" style="44" bestFit="1" customWidth="1"/>
    <col min="15682" max="15682" width="70" style="44" bestFit="1" customWidth="1"/>
    <col min="15683" max="15683" width="84.81640625" style="44" bestFit="1" customWidth="1"/>
    <col min="15684" max="15684" width="93" style="44" bestFit="1" customWidth="1"/>
    <col min="15685" max="15685" width="83.453125" style="44" bestFit="1" customWidth="1"/>
    <col min="15686" max="15686" width="100.90625" style="44" bestFit="1" customWidth="1"/>
    <col min="15687" max="15689" width="64.54296875" style="44" bestFit="1" customWidth="1"/>
    <col min="15690" max="15691" width="82.7265625" style="44" bestFit="1" customWidth="1"/>
    <col min="15692" max="15692" width="99.453125" style="44" bestFit="1" customWidth="1"/>
    <col min="15693" max="15693" width="78.1796875" style="44" bestFit="1" customWidth="1"/>
    <col min="15694" max="15694" width="71.36328125" style="44" bestFit="1" customWidth="1"/>
    <col min="15695" max="15695" width="71.26953125" style="44" bestFit="1" customWidth="1"/>
    <col min="15696" max="15699" width="76.453125" style="44" bestFit="1" customWidth="1"/>
    <col min="15700" max="15700" width="70.54296875" style="44" bestFit="1" customWidth="1"/>
    <col min="15701" max="15701" width="63.36328125" style="44" bestFit="1" customWidth="1"/>
    <col min="15702" max="15702" width="97.81640625" style="44" bestFit="1" customWidth="1"/>
    <col min="15703" max="15704" width="73" style="44" bestFit="1" customWidth="1"/>
    <col min="15705" max="15705" width="79" style="44" bestFit="1" customWidth="1"/>
    <col min="15706" max="15706" width="73" style="44" bestFit="1" customWidth="1"/>
    <col min="15707" max="15707" width="82.1796875" style="44" bestFit="1" customWidth="1"/>
    <col min="15708" max="15708" width="61.453125" style="44" bestFit="1" customWidth="1"/>
    <col min="15709" max="15710" width="99.90625" style="44" bestFit="1" customWidth="1"/>
    <col min="15711" max="15711" width="100.36328125" style="44" bestFit="1" customWidth="1"/>
    <col min="15712" max="15712" width="84.453125" style="44" bestFit="1" customWidth="1"/>
    <col min="15713" max="15713" width="113.36328125" style="44" bestFit="1" customWidth="1"/>
    <col min="15714" max="15714" width="98.453125" style="44" bestFit="1" customWidth="1"/>
    <col min="15715" max="15715" width="99.7265625" style="44" bestFit="1" customWidth="1"/>
    <col min="15716" max="15716" width="99.54296875" style="44" bestFit="1" customWidth="1"/>
    <col min="15717" max="15717" width="96.81640625" style="44" bestFit="1" customWidth="1"/>
    <col min="15718" max="15718" width="94.08984375" style="44" bestFit="1" customWidth="1"/>
    <col min="15719" max="15719" width="100.453125" style="44" bestFit="1" customWidth="1"/>
    <col min="15720" max="15720" width="98.6328125" style="44" bestFit="1" customWidth="1"/>
    <col min="15721" max="15721" width="77.453125" style="44" bestFit="1" customWidth="1"/>
    <col min="15722" max="15722" width="95.1796875" style="44" bestFit="1" customWidth="1"/>
    <col min="15723" max="15723" width="86.6328125" style="44" bestFit="1" customWidth="1"/>
    <col min="15724" max="15724" width="77.26953125" style="44" bestFit="1" customWidth="1"/>
    <col min="15725" max="15725" width="85.1796875" style="44" bestFit="1" customWidth="1"/>
    <col min="15726" max="15726" width="74.7265625" style="44" bestFit="1" customWidth="1"/>
    <col min="15727" max="15727" width="92" style="44" bestFit="1" customWidth="1"/>
    <col min="15728" max="15728" width="72.26953125" style="44" bestFit="1" customWidth="1"/>
    <col min="15729" max="15729" width="97.08984375" style="44" bestFit="1" customWidth="1"/>
    <col min="15730" max="15730" width="77.08984375" style="44" bestFit="1" customWidth="1"/>
    <col min="15731" max="15731" width="85.08984375" style="44" bestFit="1" customWidth="1"/>
    <col min="15732" max="15733" width="83.1796875" style="44" bestFit="1" customWidth="1"/>
    <col min="15734" max="15734" width="82.6328125" style="44" bestFit="1" customWidth="1"/>
    <col min="15735" max="15735" width="86.26953125" style="44" bestFit="1" customWidth="1"/>
    <col min="15736" max="15736" width="71.1796875" style="44" bestFit="1" customWidth="1"/>
    <col min="15737" max="15737" width="66.6328125" style="44" bestFit="1" customWidth="1"/>
    <col min="15738" max="15739" width="83.1796875" style="44" bestFit="1" customWidth="1"/>
    <col min="15740" max="15740" width="67.08984375" style="44" bestFit="1" customWidth="1"/>
    <col min="15741" max="15741" width="76.54296875" style="44" bestFit="1" customWidth="1"/>
    <col min="15742" max="15742" width="94.08984375" style="44" bestFit="1" customWidth="1"/>
    <col min="15743" max="15743" width="89.08984375" style="44" bestFit="1" customWidth="1"/>
    <col min="15744" max="15744" width="68.1796875" style="44" bestFit="1" customWidth="1"/>
    <col min="15745" max="15745" width="91.7265625" style="44" bestFit="1" customWidth="1"/>
    <col min="15746" max="15746" width="63.36328125" style="44" bestFit="1" customWidth="1"/>
    <col min="15747" max="15747" width="66.6328125" style="44" bestFit="1" customWidth="1"/>
    <col min="15748" max="15748" width="63.36328125" style="44" bestFit="1" customWidth="1"/>
    <col min="15749" max="15749" width="63.453125" style="44" bestFit="1" customWidth="1"/>
    <col min="15750" max="15750" width="87.54296875" style="44" bestFit="1" customWidth="1"/>
    <col min="15751" max="15751" width="93.81640625" style="44" bestFit="1" customWidth="1"/>
    <col min="15752" max="15752" width="66.453125" style="44" bestFit="1" customWidth="1"/>
    <col min="15753" max="15754" width="110" style="44" bestFit="1" customWidth="1"/>
    <col min="15755" max="15755" width="103.1796875" style="44" bestFit="1" customWidth="1"/>
    <col min="15756" max="15756" width="62.453125" style="44" bestFit="1" customWidth="1"/>
    <col min="15757" max="15757" width="77.453125" style="44" bestFit="1" customWidth="1"/>
    <col min="15758" max="15758" width="91.54296875" style="44" bestFit="1" customWidth="1"/>
    <col min="15759" max="15759" width="88.08984375" style="44" bestFit="1" customWidth="1"/>
    <col min="15760" max="15760" width="80.6328125" style="44" bestFit="1" customWidth="1"/>
    <col min="15761" max="15761" width="77.453125" style="44" bestFit="1" customWidth="1"/>
    <col min="15762" max="15762" width="85.1796875" style="44" bestFit="1" customWidth="1"/>
    <col min="15763" max="15766" width="72.36328125" style="44" bestFit="1" customWidth="1"/>
    <col min="15767" max="15768" width="95" style="44" bestFit="1" customWidth="1"/>
    <col min="15769" max="15769" width="64.08984375" style="44" bestFit="1" customWidth="1"/>
    <col min="15770" max="15770" width="110.08984375" style="44" bestFit="1" customWidth="1"/>
    <col min="15771" max="15771" width="86.36328125" style="44" bestFit="1" customWidth="1"/>
    <col min="15772" max="15772" width="89.36328125" style="44" bestFit="1" customWidth="1"/>
    <col min="15773" max="15773" width="89.81640625" style="44" bestFit="1" customWidth="1"/>
    <col min="15774" max="15774" width="64.26953125" style="44" bestFit="1" customWidth="1"/>
    <col min="15775" max="15775" width="85.7265625" style="44" bestFit="1" customWidth="1"/>
    <col min="15776" max="15776" width="73" style="44" bestFit="1" customWidth="1"/>
    <col min="15777" max="15777" width="92.7265625" style="44" bestFit="1" customWidth="1"/>
    <col min="15778" max="15778" width="92.36328125" style="44" bestFit="1" customWidth="1"/>
    <col min="15779" max="15779" width="72" style="44" bestFit="1" customWidth="1"/>
    <col min="15780" max="15780" width="82" style="44" bestFit="1" customWidth="1"/>
    <col min="15781" max="15781" width="79.36328125" style="44" bestFit="1" customWidth="1"/>
    <col min="15782" max="15782" width="81" style="44" bestFit="1" customWidth="1"/>
    <col min="15783" max="15783" width="72.90625" style="44" bestFit="1" customWidth="1"/>
    <col min="15784" max="15784" width="90.81640625" style="44" bestFit="1" customWidth="1"/>
    <col min="15785" max="15785" width="84" style="44" bestFit="1" customWidth="1"/>
    <col min="15786" max="15787" width="73.36328125" style="44" bestFit="1" customWidth="1"/>
    <col min="15788" max="15788" width="90.6328125" style="44" bestFit="1" customWidth="1"/>
    <col min="15789" max="15789" width="89.453125" style="44" bestFit="1" customWidth="1"/>
    <col min="15790" max="15790" width="84.6328125" style="44" bestFit="1" customWidth="1"/>
    <col min="15791" max="15791" width="74.54296875" style="44" bestFit="1" customWidth="1"/>
    <col min="15792" max="15792" width="76.90625" style="44" bestFit="1" customWidth="1"/>
    <col min="15793" max="15793" width="83" style="44" bestFit="1" customWidth="1"/>
    <col min="15794" max="15794" width="85.81640625" style="44" bestFit="1" customWidth="1"/>
    <col min="15795" max="15795" width="83.7265625" style="44" bestFit="1" customWidth="1"/>
    <col min="15796" max="15796" width="79.54296875" style="44" bestFit="1" customWidth="1"/>
    <col min="15797" max="15797" width="80.54296875" style="44" bestFit="1" customWidth="1"/>
    <col min="15798" max="15798" width="89.54296875" style="44" bestFit="1" customWidth="1"/>
    <col min="15799" max="15799" width="85.36328125" style="44" bestFit="1" customWidth="1"/>
    <col min="15800" max="15800" width="61.6328125" style="44" bestFit="1" customWidth="1"/>
    <col min="15801" max="15801" width="132.54296875" style="44" bestFit="1" customWidth="1"/>
    <col min="15802" max="15802" width="93.1796875" style="44" bestFit="1" customWidth="1"/>
    <col min="15803" max="15803" width="91.08984375" style="44" bestFit="1" customWidth="1"/>
    <col min="15804" max="15804" width="81.7265625" style="44" bestFit="1" customWidth="1"/>
    <col min="15805" max="15806" width="80.90625" style="44" bestFit="1" customWidth="1"/>
    <col min="15807" max="15807" width="83.26953125" style="44" bestFit="1" customWidth="1"/>
    <col min="15808" max="15808" width="101.453125" style="44" bestFit="1" customWidth="1"/>
    <col min="15809" max="15809" width="110.1796875" style="44" bestFit="1" customWidth="1"/>
    <col min="15810" max="15810" width="74.6328125" style="44" bestFit="1" customWidth="1"/>
    <col min="15811" max="15814" width="84.54296875" style="44" bestFit="1" customWidth="1"/>
    <col min="15815" max="15815" width="74.36328125" style="44" bestFit="1" customWidth="1"/>
    <col min="15816" max="15816" width="88.1796875" style="44" bestFit="1" customWidth="1"/>
    <col min="15817" max="15817" width="78.6328125" style="44" bestFit="1" customWidth="1"/>
    <col min="15818" max="15818" width="76.81640625" style="44" bestFit="1" customWidth="1"/>
    <col min="15819" max="15819" width="74.7265625" style="44" bestFit="1" customWidth="1"/>
    <col min="15820" max="15820" width="87.26953125" style="44" bestFit="1" customWidth="1"/>
    <col min="15821" max="15821" width="85.54296875" style="44" bestFit="1" customWidth="1"/>
    <col min="15822" max="15822" width="100.26953125" style="44" bestFit="1" customWidth="1"/>
    <col min="15823" max="15823" width="71.36328125" style="44" bestFit="1" customWidth="1"/>
    <col min="15824" max="15824" width="105.453125" style="44" bestFit="1" customWidth="1"/>
    <col min="15825" max="15825" width="103.08984375" style="44" bestFit="1" customWidth="1"/>
    <col min="15826" max="15826" width="85.7265625" style="44" bestFit="1" customWidth="1"/>
    <col min="15827" max="15827" width="99.26953125" style="44" bestFit="1" customWidth="1"/>
    <col min="15828" max="15828" width="83.54296875" style="44" bestFit="1" customWidth="1"/>
    <col min="15829" max="15829" width="96.90625" style="44" bestFit="1" customWidth="1"/>
    <col min="15830" max="15830" width="74.26953125" style="44" bestFit="1" customWidth="1"/>
    <col min="15831" max="15831" width="98.36328125" style="44" bestFit="1" customWidth="1"/>
    <col min="15832" max="15832" width="74.453125" style="44" bestFit="1" customWidth="1"/>
    <col min="15833" max="15833" width="88.81640625" style="44" bestFit="1" customWidth="1"/>
    <col min="15834" max="15834" width="67.6328125" style="44" bestFit="1" customWidth="1"/>
    <col min="15835" max="15835" width="93.08984375" style="44" bestFit="1" customWidth="1"/>
    <col min="15836" max="15836" width="101.453125" style="44" bestFit="1" customWidth="1"/>
    <col min="15837" max="15839" width="76.81640625" style="44" bestFit="1" customWidth="1"/>
    <col min="15840" max="15840" width="87.08984375" style="44" bestFit="1" customWidth="1"/>
    <col min="15841" max="15841" width="72.453125" style="44" bestFit="1" customWidth="1"/>
    <col min="15842" max="15842" width="87.81640625" style="44" bestFit="1" customWidth="1"/>
    <col min="15843" max="15843" width="71.7265625" style="44" bestFit="1" customWidth="1"/>
    <col min="15844" max="15844" width="74" style="44" bestFit="1" customWidth="1"/>
    <col min="15845" max="15845" width="74.08984375" style="44" bestFit="1" customWidth="1"/>
    <col min="15846" max="15848" width="86.81640625" style="44" bestFit="1" customWidth="1"/>
    <col min="15849" max="15849" width="104.7265625" style="44" bestFit="1" customWidth="1"/>
    <col min="15850" max="15850" width="101.81640625" style="44" bestFit="1" customWidth="1"/>
    <col min="15851" max="15851" width="64.453125" style="44" bestFit="1" customWidth="1"/>
    <col min="15852" max="15852" width="65.1796875" style="44" bestFit="1" customWidth="1"/>
    <col min="15853" max="15853" width="72.453125" style="44" bestFit="1" customWidth="1"/>
    <col min="15854" max="15854" width="81.36328125" style="44" bestFit="1" customWidth="1"/>
    <col min="15855" max="15855" width="65.1796875" style="44" bestFit="1" customWidth="1"/>
    <col min="15856" max="15856" width="80.90625" style="44" bestFit="1" customWidth="1"/>
    <col min="15857" max="15857" width="71.7265625" style="44" bestFit="1" customWidth="1"/>
    <col min="15858" max="15858" width="73.6328125" style="44" bestFit="1" customWidth="1"/>
    <col min="15859" max="15860" width="85.36328125" style="44" bestFit="1" customWidth="1"/>
    <col min="15861" max="15861" width="92.26953125" style="44" bestFit="1" customWidth="1"/>
    <col min="15862" max="15862" width="106.1796875" style="44" bestFit="1" customWidth="1"/>
    <col min="15863" max="15863" width="86.6328125" style="44" bestFit="1" customWidth="1"/>
    <col min="15864" max="15865" width="68.90625" style="44" bestFit="1" customWidth="1"/>
    <col min="15866" max="15866" width="80.54296875" style="44" bestFit="1" customWidth="1"/>
    <col min="15867" max="15867" width="68.90625" style="44" bestFit="1" customWidth="1"/>
    <col min="15868" max="15868" width="79.1796875" style="44" bestFit="1" customWidth="1"/>
    <col min="15869" max="15869" width="79.26953125" style="44" bestFit="1" customWidth="1"/>
    <col min="15870" max="15870" width="80.1796875" style="44" bestFit="1" customWidth="1"/>
    <col min="15871" max="15871" width="84.81640625" style="44" bestFit="1" customWidth="1"/>
    <col min="15872" max="15872" width="76.81640625" style="44" bestFit="1" customWidth="1"/>
    <col min="15873" max="15873" width="7.90625" style="44" bestFit="1" customWidth="1"/>
    <col min="15874" max="15874" width="132.54296875" style="44" bestFit="1" customWidth="1"/>
    <col min="15875" max="15875" width="45.36328125" style="44" bestFit="1" customWidth="1"/>
    <col min="15876" max="15876" width="14.08984375" style="44" bestFit="1" customWidth="1"/>
    <col min="15877" max="15878" width="8.7265625" style="44"/>
    <col min="15879" max="15879" width="49.7265625" style="44" bestFit="1" customWidth="1"/>
    <col min="15880" max="15880" width="7.90625" style="44" bestFit="1" customWidth="1"/>
    <col min="15881" max="15881" width="7.81640625" style="44" bestFit="1" customWidth="1"/>
    <col min="15882" max="15893" width="8.81640625" style="44" bestFit="1" customWidth="1"/>
    <col min="15894" max="15894" width="10.81640625" style="44" bestFit="1" customWidth="1"/>
    <col min="15895" max="15895" width="93.36328125" style="44" bestFit="1" customWidth="1"/>
    <col min="15896" max="15896" width="87.6328125" style="44" bestFit="1" customWidth="1"/>
    <col min="15897" max="15897" width="69.26953125" style="44" bestFit="1" customWidth="1"/>
    <col min="15898" max="15898" width="68.54296875" style="44" bestFit="1" customWidth="1"/>
    <col min="15899" max="15899" width="67.6328125" style="44" bestFit="1" customWidth="1"/>
    <col min="15900" max="15900" width="64" style="44" bestFit="1" customWidth="1"/>
    <col min="15901" max="15901" width="43.81640625" style="44" bestFit="1" customWidth="1"/>
    <col min="15902" max="15902" width="39.81640625" style="44" bestFit="1" customWidth="1"/>
    <col min="15903" max="15903" width="85.26953125" style="44" bestFit="1" customWidth="1"/>
    <col min="15904" max="15904" width="84.08984375" style="44" bestFit="1" customWidth="1"/>
    <col min="15905" max="15905" width="91" style="44" bestFit="1" customWidth="1"/>
    <col min="15906" max="15906" width="79" style="44" bestFit="1" customWidth="1"/>
    <col min="15907" max="15907" width="89.90625" style="44" bestFit="1" customWidth="1"/>
    <col min="15908" max="15914" width="90.90625" style="44" bestFit="1" customWidth="1"/>
    <col min="15915" max="15915" width="91.90625" style="44" bestFit="1" customWidth="1"/>
    <col min="15916" max="15916" width="73.08984375" style="44" bestFit="1" customWidth="1"/>
    <col min="15917" max="15917" width="61.1796875" style="44" bestFit="1" customWidth="1"/>
    <col min="15918" max="15918" width="94.1796875" style="44" bestFit="1" customWidth="1"/>
    <col min="15919" max="15919" width="84.453125" style="44" bestFit="1" customWidth="1"/>
    <col min="15920" max="15920" width="86.81640625" style="44" bestFit="1" customWidth="1"/>
    <col min="15921" max="15921" width="90.08984375" style="44" bestFit="1" customWidth="1"/>
    <col min="15922" max="15922" width="86.7265625" style="44" bestFit="1" customWidth="1"/>
    <col min="15923" max="15923" width="87.6328125" style="44" bestFit="1" customWidth="1"/>
    <col min="15924" max="15926" width="97.6328125" style="44" bestFit="1" customWidth="1"/>
    <col min="15927" max="15927" width="72.54296875" style="44" bestFit="1" customWidth="1"/>
    <col min="15928" max="15928" width="73.6328125" style="44" bestFit="1" customWidth="1"/>
    <col min="15929" max="15929" width="58.6328125" style="44" bestFit="1" customWidth="1"/>
    <col min="15930" max="15931" width="74.08984375" style="44" bestFit="1" customWidth="1"/>
    <col min="15932" max="15932" width="75.54296875" style="44" bestFit="1" customWidth="1"/>
    <col min="15933" max="15933" width="92" style="44" bestFit="1" customWidth="1"/>
    <col min="15934" max="15934" width="93.54296875" style="44" bestFit="1" customWidth="1"/>
    <col min="15935" max="15936" width="75.54296875" style="44" bestFit="1" customWidth="1"/>
    <col min="15937" max="15937" width="78.08984375" style="44" bestFit="1" customWidth="1"/>
    <col min="15938" max="15938" width="70" style="44" bestFit="1" customWidth="1"/>
    <col min="15939" max="15939" width="84.81640625" style="44" bestFit="1" customWidth="1"/>
    <col min="15940" max="15940" width="93" style="44" bestFit="1" customWidth="1"/>
    <col min="15941" max="15941" width="83.453125" style="44" bestFit="1" customWidth="1"/>
    <col min="15942" max="15942" width="100.90625" style="44" bestFit="1" customWidth="1"/>
    <col min="15943" max="15945" width="64.54296875" style="44" bestFit="1" customWidth="1"/>
    <col min="15946" max="15947" width="82.7265625" style="44" bestFit="1" customWidth="1"/>
    <col min="15948" max="15948" width="99.453125" style="44" bestFit="1" customWidth="1"/>
    <col min="15949" max="15949" width="78.1796875" style="44" bestFit="1" customWidth="1"/>
    <col min="15950" max="15950" width="71.36328125" style="44" bestFit="1" customWidth="1"/>
    <col min="15951" max="15951" width="71.26953125" style="44" bestFit="1" customWidth="1"/>
    <col min="15952" max="15955" width="76.453125" style="44" bestFit="1" customWidth="1"/>
    <col min="15956" max="15956" width="70.54296875" style="44" bestFit="1" customWidth="1"/>
    <col min="15957" max="15957" width="63.36328125" style="44" bestFit="1" customWidth="1"/>
    <col min="15958" max="15958" width="97.81640625" style="44" bestFit="1" customWidth="1"/>
    <col min="15959" max="15960" width="73" style="44" bestFit="1" customWidth="1"/>
    <col min="15961" max="15961" width="79" style="44" bestFit="1" customWidth="1"/>
    <col min="15962" max="15962" width="73" style="44" bestFit="1" customWidth="1"/>
    <col min="15963" max="15963" width="82.1796875" style="44" bestFit="1" customWidth="1"/>
    <col min="15964" max="15964" width="61.453125" style="44" bestFit="1" customWidth="1"/>
    <col min="15965" max="15966" width="99.90625" style="44" bestFit="1" customWidth="1"/>
    <col min="15967" max="15967" width="100.36328125" style="44" bestFit="1" customWidth="1"/>
    <col min="15968" max="15968" width="84.453125" style="44" bestFit="1" customWidth="1"/>
    <col min="15969" max="15969" width="113.36328125" style="44" bestFit="1" customWidth="1"/>
    <col min="15970" max="15970" width="98.453125" style="44" bestFit="1" customWidth="1"/>
    <col min="15971" max="15971" width="99.7265625" style="44" bestFit="1" customWidth="1"/>
    <col min="15972" max="15972" width="99.54296875" style="44" bestFit="1" customWidth="1"/>
    <col min="15973" max="15973" width="96.81640625" style="44" bestFit="1" customWidth="1"/>
    <col min="15974" max="15974" width="94.08984375" style="44" bestFit="1" customWidth="1"/>
    <col min="15975" max="15975" width="100.453125" style="44" bestFit="1" customWidth="1"/>
    <col min="15976" max="15976" width="98.6328125" style="44" bestFit="1" customWidth="1"/>
    <col min="15977" max="15977" width="77.453125" style="44" bestFit="1" customWidth="1"/>
    <col min="15978" max="15978" width="95.1796875" style="44" bestFit="1" customWidth="1"/>
    <col min="15979" max="15979" width="86.6328125" style="44" bestFit="1" customWidth="1"/>
    <col min="15980" max="15980" width="77.26953125" style="44" bestFit="1" customWidth="1"/>
    <col min="15981" max="15981" width="85.1796875" style="44" bestFit="1" customWidth="1"/>
    <col min="15982" max="15982" width="74.7265625" style="44" bestFit="1" customWidth="1"/>
    <col min="15983" max="15983" width="92" style="44" bestFit="1" customWidth="1"/>
    <col min="15984" max="15984" width="72.26953125" style="44" bestFit="1" customWidth="1"/>
    <col min="15985" max="15985" width="97.08984375" style="44" bestFit="1" customWidth="1"/>
    <col min="15986" max="15986" width="77.08984375" style="44" bestFit="1" customWidth="1"/>
    <col min="15987" max="15987" width="85.08984375" style="44" bestFit="1" customWidth="1"/>
    <col min="15988" max="15989" width="83.1796875" style="44" bestFit="1" customWidth="1"/>
    <col min="15990" max="15990" width="82.6328125" style="44" bestFit="1" customWidth="1"/>
    <col min="15991" max="15991" width="86.26953125" style="44" bestFit="1" customWidth="1"/>
    <col min="15992" max="15992" width="71.1796875" style="44" bestFit="1" customWidth="1"/>
    <col min="15993" max="15993" width="66.6328125" style="44" bestFit="1" customWidth="1"/>
    <col min="15994" max="15995" width="83.1796875" style="44" bestFit="1" customWidth="1"/>
    <col min="15996" max="15996" width="67.08984375" style="44" bestFit="1" customWidth="1"/>
    <col min="15997" max="15997" width="76.54296875" style="44" bestFit="1" customWidth="1"/>
    <col min="15998" max="15998" width="94.08984375" style="44" bestFit="1" customWidth="1"/>
    <col min="15999" max="15999" width="89.08984375" style="44" bestFit="1" customWidth="1"/>
    <col min="16000" max="16000" width="68.1796875" style="44" bestFit="1" customWidth="1"/>
    <col min="16001" max="16001" width="91.7265625" style="44" bestFit="1" customWidth="1"/>
    <col min="16002" max="16002" width="63.36328125" style="44" bestFit="1" customWidth="1"/>
    <col min="16003" max="16003" width="66.6328125" style="44" bestFit="1" customWidth="1"/>
    <col min="16004" max="16004" width="63.36328125" style="44" bestFit="1" customWidth="1"/>
    <col min="16005" max="16005" width="63.453125" style="44" bestFit="1" customWidth="1"/>
    <col min="16006" max="16006" width="87.54296875" style="44" bestFit="1" customWidth="1"/>
    <col min="16007" max="16007" width="93.81640625" style="44" bestFit="1" customWidth="1"/>
    <col min="16008" max="16008" width="66.453125" style="44" bestFit="1" customWidth="1"/>
    <col min="16009" max="16010" width="110" style="44" bestFit="1" customWidth="1"/>
    <col min="16011" max="16011" width="103.1796875" style="44" bestFit="1" customWidth="1"/>
    <col min="16012" max="16012" width="62.453125" style="44" bestFit="1" customWidth="1"/>
    <col min="16013" max="16013" width="77.453125" style="44" bestFit="1" customWidth="1"/>
    <col min="16014" max="16014" width="91.54296875" style="44" bestFit="1" customWidth="1"/>
    <col min="16015" max="16015" width="88.08984375" style="44" bestFit="1" customWidth="1"/>
    <col min="16016" max="16016" width="80.6328125" style="44" bestFit="1" customWidth="1"/>
    <col min="16017" max="16017" width="77.453125" style="44" bestFit="1" customWidth="1"/>
    <col min="16018" max="16018" width="85.1796875" style="44" bestFit="1" customWidth="1"/>
    <col min="16019" max="16022" width="72.36328125" style="44" bestFit="1" customWidth="1"/>
    <col min="16023" max="16024" width="95" style="44" bestFit="1" customWidth="1"/>
    <col min="16025" max="16025" width="64.08984375" style="44" bestFit="1" customWidth="1"/>
    <col min="16026" max="16026" width="110.08984375" style="44" bestFit="1" customWidth="1"/>
    <col min="16027" max="16027" width="86.36328125" style="44" bestFit="1" customWidth="1"/>
    <col min="16028" max="16028" width="89.36328125" style="44" bestFit="1" customWidth="1"/>
    <col min="16029" max="16029" width="89.81640625" style="44" bestFit="1" customWidth="1"/>
    <col min="16030" max="16030" width="64.26953125" style="44" bestFit="1" customWidth="1"/>
    <col min="16031" max="16031" width="85.7265625" style="44" bestFit="1" customWidth="1"/>
    <col min="16032" max="16032" width="73" style="44" bestFit="1" customWidth="1"/>
    <col min="16033" max="16033" width="92.7265625" style="44" bestFit="1" customWidth="1"/>
    <col min="16034" max="16034" width="92.36328125" style="44" bestFit="1" customWidth="1"/>
    <col min="16035" max="16035" width="72" style="44" bestFit="1" customWidth="1"/>
    <col min="16036" max="16036" width="82" style="44" bestFit="1" customWidth="1"/>
    <col min="16037" max="16037" width="79.36328125" style="44" bestFit="1" customWidth="1"/>
    <col min="16038" max="16038" width="81" style="44" bestFit="1" customWidth="1"/>
    <col min="16039" max="16039" width="72.90625" style="44" bestFit="1" customWidth="1"/>
    <col min="16040" max="16040" width="90.81640625" style="44" bestFit="1" customWidth="1"/>
    <col min="16041" max="16041" width="84" style="44" bestFit="1" customWidth="1"/>
    <col min="16042" max="16043" width="73.36328125" style="44" bestFit="1" customWidth="1"/>
    <col min="16044" max="16044" width="90.6328125" style="44" bestFit="1" customWidth="1"/>
    <col min="16045" max="16045" width="89.453125" style="44" bestFit="1" customWidth="1"/>
    <col min="16046" max="16046" width="84.6328125" style="44" bestFit="1" customWidth="1"/>
    <col min="16047" max="16047" width="74.54296875" style="44" bestFit="1" customWidth="1"/>
    <col min="16048" max="16048" width="76.90625" style="44" bestFit="1" customWidth="1"/>
    <col min="16049" max="16049" width="83" style="44" bestFit="1" customWidth="1"/>
    <col min="16050" max="16050" width="85.81640625" style="44" bestFit="1" customWidth="1"/>
    <col min="16051" max="16051" width="83.7265625" style="44" bestFit="1" customWidth="1"/>
    <col min="16052" max="16052" width="79.54296875" style="44" bestFit="1" customWidth="1"/>
    <col min="16053" max="16053" width="80.54296875" style="44" bestFit="1" customWidth="1"/>
    <col min="16054" max="16054" width="89.54296875" style="44" bestFit="1" customWidth="1"/>
    <col min="16055" max="16055" width="85.36328125" style="44" bestFit="1" customWidth="1"/>
    <col min="16056" max="16056" width="61.6328125" style="44" bestFit="1" customWidth="1"/>
    <col min="16057" max="16057" width="132.54296875" style="44" bestFit="1" customWidth="1"/>
    <col min="16058" max="16058" width="93.1796875" style="44" bestFit="1" customWidth="1"/>
    <col min="16059" max="16059" width="91.08984375" style="44" bestFit="1" customWidth="1"/>
    <col min="16060" max="16060" width="81.7265625" style="44" bestFit="1" customWidth="1"/>
    <col min="16061" max="16062" width="80.90625" style="44" bestFit="1" customWidth="1"/>
    <col min="16063" max="16063" width="83.26953125" style="44" bestFit="1" customWidth="1"/>
    <col min="16064" max="16064" width="101.453125" style="44" bestFit="1" customWidth="1"/>
    <col min="16065" max="16065" width="110.1796875" style="44" bestFit="1" customWidth="1"/>
    <col min="16066" max="16066" width="74.6328125" style="44" bestFit="1" customWidth="1"/>
    <col min="16067" max="16070" width="84.54296875" style="44" bestFit="1" customWidth="1"/>
    <col min="16071" max="16071" width="74.36328125" style="44" bestFit="1" customWidth="1"/>
    <col min="16072" max="16072" width="88.1796875" style="44" bestFit="1" customWidth="1"/>
    <col min="16073" max="16073" width="78.6328125" style="44" bestFit="1" customWidth="1"/>
    <col min="16074" max="16074" width="76.81640625" style="44" bestFit="1" customWidth="1"/>
    <col min="16075" max="16075" width="74.7265625" style="44" bestFit="1" customWidth="1"/>
    <col min="16076" max="16076" width="87.26953125" style="44" bestFit="1" customWidth="1"/>
    <col min="16077" max="16077" width="85.54296875" style="44" bestFit="1" customWidth="1"/>
    <col min="16078" max="16078" width="100.26953125" style="44" bestFit="1" customWidth="1"/>
    <col min="16079" max="16079" width="71.36328125" style="44" bestFit="1" customWidth="1"/>
    <col min="16080" max="16080" width="105.453125" style="44" bestFit="1" customWidth="1"/>
    <col min="16081" max="16081" width="103.08984375" style="44" bestFit="1" customWidth="1"/>
    <col min="16082" max="16082" width="85.7265625" style="44" bestFit="1" customWidth="1"/>
    <col min="16083" max="16083" width="99.26953125" style="44" bestFit="1" customWidth="1"/>
    <col min="16084" max="16084" width="83.54296875" style="44" bestFit="1" customWidth="1"/>
    <col min="16085" max="16085" width="96.90625" style="44" bestFit="1" customWidth="1"/>
    <col min="16086" max="16086" width="74.26953125" style="44" bestFit="1" customWidth="1"/>
    <col min="16087" max="16087" width="98.36328125" style="44" bestFit="1" customWidth="1"/>
    <col min="16088" max="16088" width="74.453125" style="44" bestFit="1" customWidth="1"/>
    <col min="16089" max="16089" width="88.81640625" style="44" bestFit="1" customWidth="1"/>
    <col min="16090" max="16090" width="67.6328125" style="44" bestFit="1" customWidth="1"/>
    <col min="16091" max="16091" width="93.08984375" style="44" bestFit="1" customWidth="1"/>
    <col min="16092" max="16092" width="101.453125" style="44" bestFit="1" customWidth="1"/>
    <col min="16093" max="16095" width="76.81640625" style="44" bestFit="1" customWidth="1"/>
    <col min="16096" max="16096" width="87.08984375" style="44" bestFit="1" customWidth="1"/>
    <col min="16097" max="16097" width="72.453125" style="44" bestFit="1" customWidth="1"/>
    <col min="16098" max="16098" width="87.81640625" style="44" bestFit="1" customWidth="1"/>
    <col min="16099" max="16099" width="71.7265625" style="44" bestFit="1" customWidth="1"/>
    <col min="16100" max="16100" width="74" style="44" bestFit="1" customWidth="1"/>
    <col min="16101" max="16101" width="74.08984375" style="44" bestFit="1" customWidth="1"/>
    <col min="16102" max="16104" width="86.81640625" style="44" bestFit="1" customWidth="1"/>
    <col min="16105" max="16105" width="104.7265625" style="44" bestFit="1" customWidth="1"/>
    <col min="16106" max="16106" width="101.81640625" style="44" bestFit="1" customWidth="1"/>
    <col min="16107" max="16107" width="64.453125" style="44" bestFit="1" customWidth="1"/>
    <col min="16108" max="16108" width="65.1796875" style="44" bestFit="1" customWidth="1"/>
    <col min="16109" max="16109" width="72.453125" style="44" bestFit="1" customWidth="1"/>
    <col min="16110" max="16110" width="81.36328125" style="44" bestFit="1" customWidth="1"/>
    <col min="16111" max="16111" width="65.1796875" style="44" bestFit="1" customWidth="1"/>
    <col min="16112" max="16112" width="80.90625" style="44" bestFit="1" customWidth="1"/>
    <col min="16113" max="16113" width="71.7265625" style="44" bestFit="1" customWidth="1"/>
    <col min="16114" max="16114" width="73.6328125" style="44" bestFit="1" customWidth="1"/>
    <col min="16115" max="16116" width="85.36328125" style="44" bestFit="1" customWidth="1"/>
    <col min="16117" max="16117" width="92.26953125" style="44" bestFit="1" customWidth="1"/>
    <col min="16118" max="16118" width="106.1796875" style="44" bestFit="1" customWidth="1"/>
    <col min="16119" max="16119" width="86.6328125" style="44" bestFit="1" customWidth="1"/>
    <col min="16120" max="16121" width="68.90625" style="44" bestFit="1" customWidth="1"/>
    <col min="16122" max="16122" width="80.54296875" style="44" bestFit="1" customWidth="1"/>
    <col min="16123" max="16123" width="68.90625" style="44" bestFit="1" customWidth="1"/>
    <col min="16124" max="16124" width="79.1796875" style="44" bestFit="1" customWidth="1"/>
    <col min="16125" max="16125" width="79.26953125" style="44" bestFit="1" customWidth="1"/>
    <col min="16126" max="16126" width="80.1796875" style="44" bestFit="1" customWidth="1"/>
    <col min="16127" max="16127" width="84.81640625" style="44" bestFit="1" customWidth="1"/>
    <col min="16128" max="16128" width="76.81640625" style="44" bestFit="1" customWidth="1"/>
    <col min="16129" max="16129" width="7.90625" style="44" bestFit="1" customWidth="1"/>
    <col min="16130" max="16130" width="132.54296875" style="44" bestFit="1" customWidth="1"/>
    <col min="16131" max="16131" width="45.36328125" style="44" bestFit="1" customWidth="1"/>
    <col min="16132" max="16132" width="14.08984375" style="44" bestFit="1" customWidth="1"/>
    <col min="16133" max="16134" width="8.7265625" style="44"/>
    <col min="16135" max="16135" width="49.7265625" style="44" bestFit="1" customWidth="1"/>
    <col min="16136" max="16136" width="7.90625" style="44" bestFit="1" customWidth="1"/>
    <col min="16137" max="16137" width="7.81640625" style="44" bestFit="1" customWidth="1"/>
    <col min="16138" max="16149" width="8.81640625" style="44" bestFit="1" customWidth="1"/>
    <col min="16150" max="16150" width="10.81640625" style="44" bestFit="1" customWidth="1"/>
    <col min="16151" max="16151" width="93.36328125" style="44" bestFit="1" customWidth="1"/>
    <col min="16152" max="16152" width="87.6328125" style="44" bestFit="1" customWidth="1"/>
    <col min="16153" max="16153" width="69.26953125" style="44" bestFit="1" customWidth="1"/>
    <col min="16154" max="16154" width="68.54296875" style="44" bestFit="1" customWidth="1"/>
    <col min="16155" max="16155" width="67.6328125" style="44" bestFit="1" customWidth="1"/>
    <col min="16156" max="16156" width="64" style="44" bestFit="1" customWidth="1"/>
    <col min="16157" max="16157" width="43.81640625" style="44" bestFit="1" customWidth="1"/>
    <col min="16158" max="16158" width="39.81640625" style="44" bestFit="1" customWidth="1"/>
    <col min="16159" max="16159" width="85.26953125" style="44" bestFit="1" customWidth="1"/>
    <col min="16160" max="16160" width="84.08984375" style="44" bestFit="1" customWidth="1"/>
    <col min="16161" max="16161" width="91" style="44" bestFit="1" customWidth="1"/>
    <col min="16162" max="16162" width="79" style="44" bestFit="1" customWidth="1"/>
    <col min="16163" max="16163" width="89.90625" style="44" bestFit="1" customWidth="1"/>
    <col min="16164" max="16170" width="90.90625" style="44" bestFit="1" customWidth="1"/>
    <col min="16171" max="16171" width="91.90625" style="44" bestFit="1" customWidth="1"/>
    <col min="16172" max="16172" width="73.08984375" style="44" bestFit="1" customWidth="1"/>
    <col min="16173" max="16173" width="61.1796875" style="44" bestFit="1" customWidth="1"/>
    <col min="16174" max="16174" width="94.1796875" style="44" bestFit="1" customWidth="1"/>
    <col min="16175" max="16175" width="84.453125" style="44" bestFit="1" customWidth="1"/>
    <col min="16176" max="16176" width="86.81640625" style="44" bestFit="1" customWidth="1"/>
    <col min="16177" max="16177" width="90.08984375" style="44" bestFit="1" customWidth="1"/>
    <col min="16178" max="16178" width="86.7265625" style="44" bestFit="1" customWidth="1"/>
    <col min="16179" max="16179" width="87.6328125" style="44" bestFit="1" customWidth="1"/>
    <col min="16180" max="16182" width="97.6328125" style="44" bestFit="1" customWidth="1"/>
    <col min="16183" max="16183" width="72.54296875" style="44" bestFit="1" customWidth="1"/>
    <col min="16184" max="16184" width="73.6328125" style="44" bestFit="1" customWidth="1"/>
    <col min="16185" max="16185" width="58.6328125" style="44" bestFit="1" customWidth="1"/>
    <col min="16186" max="16187" width="74.08984375" style="44" bestFit="1" customWidth="1"/>
    <col min="16188" max="16188" width="75.54296875" style="44" bestFit="1" customWidth="1"/>
    <col min="16189" max="16189" width="92" style="44" bestFit="1" customWidth="1"/>
    <col min="16190" max="16190" width="93.54296875" style="44" bestFit="1" customWidth="1"/>
    <col min="16191" max="16192" width="75.54296875" style="44" bestFit="1" customWidth="1"/>
    <col min="16193" max="16193" width="78.08984375" style="44" bestFit="1" customWidth="1"/>
    <col min="16194" max="16194" width="70" style="44" bestFit="1" customWidth="1"/>
    <col min="16195" max="16195" width="84.81640625" style="44" bestFit="1" customWidth="1"/>
    <col min="16196" max="16196" width="93" style="44" bestFit="1" customWidth="1"/>
    <col min="16197" max="16197" width="83.453125" style="44" bestFit="1" customWidth="1"/>
    <col min="16198" max="16198" width="100.90625" style="44" bestFit="1" customWidth="1"/>
    <col min="16199" max="16201" width="64.54296875" style="44" bestFit="1" customWidth="1"/>
    <col min="16202" max="16203" width="82.7265625" style="44" bestFit="1" customWidth="1"/>
    <col min="16204" max="16204" width="99.453125" style="44" bestFit="1" customWidth="1"/>
    <col min="16205" max="16205" width="78.1796875" style="44" bestFit="1" customWidth="1"/>
    <col min="16206" max="16206" width="71.36328125" style="44" bestFit="1" customWidth="1"/>
    <col min="16207" max="16207" width="71.26953125" style="44" bestFit="1" customWidth="1"/>
    <col min="16208" max="16211" width="76.453125" style="44" bestFit="1" customWidth="1"/>
    <col min="16212" max="16212" width="70.54296875" style="44" bestFit="1" customWidth="1"/>
    <col min="16213" max="16213" width="63.36328125" style="44" bestFit="1" customWidth="1"/>
    <col min="16214" max="16214" width="97.81640625" style="44" bestFit="1" customWidth="1"/>
    <col min="16215" max="16216" width="73" style="44" bestFit="1" customWidth="1"/>
    <col min="16217" max="16217" width="79" style="44" bestFit="1" customWidth="1"/>
    <col min="16218" max="16218" width="73" style="44" bestFit="1" customWidth="1"/>
    <col min="16219" max="16219" width="82.1796875" style="44" bestFit="1" customWidth="1"/>
    <col min="16220" max="16220" width="61.453125" style="44" bestFit="1" customWidth="1"/>
    <col min="16221" max="16222" width="99.90625" style="44" bestFit="1" customWidth="1"/>
    <col min="16223" max="16223" width="100.36328125" style="44" bestFit="1" customWidth="1"/>
    <col min="16224" max="16224" width="84.453125" style="44" bestFit="1" customWidth="1"/>
    <col min="16225" max="16225" width="113.36328125" style="44" bestFit="1" customWidth="1"/>
    <col min="16226" max="16226" width="98.453125" style="44" bestFit="1" customWidth="1"/>
    <col min="16227" max="16227" width="99.7265625" style="44" bestFit="1" customWidth="1"/>
    <col min="16228" max="16228" width="99.54296875" style="44" bestFit="1" customWidth="1"/>
    <col min="16229" max="16229" width="96.81640625" style="44" bestFit="1" customWidth="1"/>
    <col min="16230" max="16230" width="94.08984375" style="44" bestFit="1" customWidth="1"/>
    <col min="16231" max="16231" width="100.453125" style="44" bestFit="1" customWidth="1"/>
    <col min="16232" max="16232" width="98.6328125" style="44" bestFit="1" customWidth="1"/>
    <col min="16233" max="16233" width="77.453125" style="44" bestFit="1" customWidth="1"/>
    <col min="16234" max="16234" width="95.1796875" style="44" bestFit="1" customWidth="1"/>
    <col min="16235" max="16235" width="86.6328125" style="44" bestFit="1" customWidth="1"/>
    <col min="16236" max="16236" width="77.26953125" style="44" bestFit="1" customWidth="1"/>
    <col min="16237" max="16237" width="85.1796875" style="44" bestFit="1" customWidth="1"/>
    <col min="16238" max="16238" width="74.7265625" style="44" bestFit="1" customWidth="1"/>
    <col min="16239" max="16239" width="92" style="44" bestFit="1" customWidth="1"/>
    <col min="16240" max="16240" width="72.26953125" style="44" bestFit="1" customWidth="1"/>
    <col min="16241" max="16241" width="97.08984375" style="44" bestFit="1" customWidth="1"/>
    <col min="16242" max="16242" width="77.08984375" style="44" bestFit="1" customWidth="1"/>
    <col min="16243" max="16243" width="85.08984375" style="44" bestFit="1" customWidth="1"/>
    <col min="16244" max="16245" width="83.1796875" style="44" bestFit="1" customWidth="1"/>
    <col min="16246" max="16246" width="82.6328125" style="44" bestFit="1" customWidth="1"/>
    <col min="16247" max="16247" width="86.26953125" style="44" bestFit="1" customWidth="1"/>
    <col min="16248" max="16248" width="71.1796875" style="44" bestFit="1" customWidth="1"/>
    <col min="16249" max="16249" width="66.6328125" style="44" bestFit="1" customWidth="1"/>
    <col min="16250" max="16251" width="83.1796875" style="44" bestFit="1" customWidth="1"/>
    <col min="16252" max="16252" width="67.08984375" style="44" bestFit="1" customWidth="1"/>
    <col min="16253" max="16253" width="76.54296875" style="44" bestFit="1" customWidth="1"/>
    <col min="16254" max="16254" width="94.08984375" style="44" bestFit="1" customWidth="1"/>
    <col min="16255" max="16255" width="89.08984375" style="44" bestFit="1" customWidth="1"/>
    <col min="16256" max="16256" width="68.1796875" style="44" bestFit="1" customWidth="1"/>
    <col min="16257" max="16257" width="91.7265625" style="44" bestFit="1" customWidth="1"/>
    <col min="16258" max="16258" width="63.36328125" style="44" bestFit="1" customWidth="1"/>
    <col min="16259" max="16259" width="66.6328125" style="44" bestFit="1" customWidth="1"/>
    <col min="16260" max="16260" width="63.36328125" style="44" bestFit="1" customWidth="1"/>
    <col min="16261" max="16261" width="63.453125" style="44" bestFit="1" customWidth="1"/>
    <col min="16262" max="16262" width="87.54296875" style="44" bestFit="1" customWidth="1"/>
    <col min="16263" max="16263" width="93.81640625" style="44" bestFit="1" customWidth="1"/>
    <col min="16264" max="16264" width="66.453125" style="44" bestFit="1" customWidth="1"/>
    <col min="16265" max="16266" width="110" style="44" bestFit="1" customWidth="1"/>
    <col min="16267" max="16267" width="103.1796875" style="44" bestFit="1" customWidth="1"/>
    <col min="16268" max="16268" width="62.453125" style="44" bestFit="1" customWidth="1"/>
    <col min="16269" max="16269" width="77.453125" style="44" bestFit="1" customWidth="1"/>
    <col min="16270" max="16270" width="91.54296875" style="44" bestFit="1" customWidth="1"/>
    <col min="16271" max="16271" width="88.08984375" style="44" bestFit="1" customWidth="1"/>
    <col min="16272" max="16272" width="80.6328125" style="44" bestFit="1" customWidth="1"/>
    <col min="16273" max="16273" width="77.453125" style="44" bestFit="1" customWidth="1"/>
    <col min="16274" max="16274" width="85.1796875" style="44" bestFit="1" customWidth="1"/>
    <col min="16275" max="16278" width="72.36328125" style="44" bestFit="1" customWidth="1"/>
    <col min="16279" max="16280" width="95" style="44" bestFit="1" customWidth="1"/>
    <col min="16281" max="16281" width="64.08984375" style="44" bestFit="1" customWidth="1"/>
    <col min="16282" max="16282" width="110.08984375" style="44" bestFit="1" customWidth="1"/>
    <col min="16283" max="16283" width="86.36328125" style="44" bestFit="1" customWidth="1"/>
    <col min="16284" max="16284" width="89.36328125" style="44" bestFit="1" customWidth="1"/>
    <col min="16285" max="16285" width="89.81640625" style="44" bestFit="1" customWidth="1"/>
    <col min="16286" max="16286" width="64.26953125" style="44" bestFit="1" customWidth="1"/>
    <col min="16287" max="16287" width="85.7265625" style="44" bestFit="1" customWidth="1"/>
    <col min="16288" max="16288" width="73" style="44" bestFit="1" customWidth="1"/>
    <col min="16289" max="16289" width="92.7265625" style="44" bestFit="1" customWidth="1"/>
    <col min="16290" max="16290" width="92.36328125" style="44" bestFit="1" customWidth="1"/>
    <col min="16291" max="16291" width="72" style="44" bestFit="1" customWidth="1"/>
    <col min="16292" max="16292" width="82" style="44" bestFit="1" customWidth="1"/>
    <col min="16293" max="16293" width="79.36328125" style="44" bestFit="1" customWidth="1"/>
    <col min="16294" max="16294" width="81" style="44" bestFit="1" customWidth="1"/>
    <col min="16295" max="16295" width="72.90625" style="44" bestFit="1" customWidth="1"/>
    <col min="16296" max="16296" width="90.81640625" style="44" bestFit="1" customWidth="1"/>
    <col min="16297" max="16297" width="84" style="44" bestFit="1" customWidth="1"/>
    <col min="16298" max="16299" width="73.36328125" style="44" bestFit="1" customWidth="1"/>
    <col min="16300" max="16300" width="90.6328125" style="44" bestFit="1" customWidth="1"/>
    <col min="16301" max="16301" width="89.453125" style="44" bestFit="1" customWidth="1"/>
    <col min="16302" max="16302" width="84.6328125" style="44" bestFit="1" customWidth="1"/>
    <col min="16303" max="16303" width="74.54296875" style="44" bestFit="1" customWidth="1"/>
    <col min="16304" max="16304" width="76.90625" style="44" bestFit="1" customWidth="1"/>
    <col min="16305" max="16305" width="83" style="44" bestFit="1" customWidth="1"/>
    <col min="16306" max="16306" width="85.81640625" style="44" bestFit="1" customWidth="1"/>
    <col min="16307" max="16307" width="83.7265625" style="44" bestFit="1" customWidth="1"/>
    <col min="16308" max="16308" width="79.54296875" style="44" bestFit="1" customWidth="1"/>
    <col min="16309" max="16309" width="80.54296875" style="44" bestFit="1" customWidth="1"/>
    <col min="16310" max="16310" width="89.54296875" style="44" bestFit="1" customWidth="1"/>
    <col min="16311" max="16311" width="85.36328125" style="44" bestFit="1" customWidth="1"/>
    <col min="16312" max="16312" width="61.6328125" style="44" bestFit="1" customWidth="1"/>
    <col min="16313" max="16313" width="132.54296875" style="44" bestFit="1" customWidth="1"/>
    <col min="16314" max="16314" width="93.1796875" style="44" bestFit="1" customWidth="1"/>
    <col min="16315" max="16315" width="91.08984375" style="44" bestFit="1" customWidth="1"/>
    <col min="16316" max="16316" width="81.7265625" style="44" bestFit="1" customWidth="1"/>
    <col min="16317" max="16318" width="80.90625" style="44" bestFit="1" customWidth="1"/>
    <col min="16319" max="16319" width="83.26953125" style="44" bestFit="1" customWidth="1"/>
    <col min="16320" max="16320" width="101.453125" style="44" bestFit="1" customWidth="1"/>
    <col min="16321" max="16321" width="110.1796875" style="44" bestFit="1" customWidth="1"/>
    <col min="16322" max="16322" width="74.6328125" style="44" bestFit="1" customWidth="1"/>
    <col min="16323" max="16326" width="84.54296875" style="44" bestFit="1" customWidth="1"/>
    <col min="16327" max="16327" width="74.36328125" style="44" bestFit="1" customWidth="1"/>
    <col min="16328" max="16328" width="88.1796875" style="44" bestFit="1" customWidth="1"/>
    <col min="16329" max="16329" width="78.6328125" style="44" bestFit="1" customWidth="1"/>
    <col min="16330" max="16330" width="76.81640625" style="44" bestFit="1" customWidth="1"/>
    <col min="16331" max="16331" width="74.7265625" style="44" bestFit="1" customWidth="1"/>
    <col min="16332" max="16332" width="87.26953125" style="44" bestFit="1" customWidth="1"/>
    <col min="16333" max="16333" width="85.54296875" style="44" bestFit="1" customWidth="1"/>
    <col min="16334" max="16334" width="100.26953125" style="44" bestFit="1" customWidth="1"/>
    <col min="16335" max="16335" width="71.36328125" style="44" bestFit="1" customWidth="1"/>
    <col min="16336" max="16336" width="105.453125" style="44" bestFit="1" customWidth="1"/>
    <col min="16337" max="16337" width="103.08984375" style="44" bestFit="1" customWidth="1"/>
    <col min="16338" max="16338" width="85.7265625" style="44" bestFit="1" customWidth="1"/>
    <col min="16339" max="16339" width="99.26953125" style="44" bestFit="1" customWidth="1"/>
    <col min="16340" max="16340" width="83.54296875" style="44" bestFit="1" customWidth="1"/>
    <col min="16341" max="16341" width="96.90625" style="44" bestFit="1" customWidth="1"/>
    <col min="16342" max="16342" width="74.26953125" style="44" bestFit="1" customWidth="1"/>
    <col min="16343" max="16343" width="98.36328125" style="44" bestFit="1" customWidth="1"/>
    <col min="16344" max="16344" width="74.453125" style="44" bestFit="1" customWidth="1"/>
    <col min="16345" max="16345" width="88.81640625" style="44" bestFit="1" customWidth="1"/>
    <col min="16346" max="16346" width="67.6328125" style="44" bestFit="1" customWidth="1"/>
    <col min="16347" max="16347" width="93.08984375" style="44" bestFit="1" customWidth="1"/>
    <col min="16348" max="16348" width="101.453125" style="44" bestFit="1" customWidth="1"/>
    <col min="16349" max="16351" width="76.81640625" style="44" bestFit="1" customWidth="1"/>
    <col min="16352" max="16352" width="87.08984375" style="44" bestFit="1" customWidth="1"/>
    <col min="16353" max="16353" width="72.453125" style="44" bestFit="1" customWidth="1"/>
    <col min="16354" max="16354" width="87.81640625" style="44" bestFit="1" customWidth="1"/>
    <col min="16355" max="16355" width="71.7265625" style="44" bestFit="1" customWidth="1"/>
    <col min="16356" max="16356" width="74" style="44" bestFit="1" customWidth="1"/>
    <col min="16357" max="16357" width="74.08984375" style="44" bestFit="1" customWidth="1"/>
    <col min="16358" max="16360" width="86.81640625" style="44" bestFit="1" customWidth="1"/>
    <col min="16361" max="16361" width="104.7265625" style="44" bestFit="1" customWidth="1"/>
    <col min="16362" max="16362" width="101.81640625" style="44" bestFit="1" customWidth="1"/>
    <col min="16363" max="16363" width="64.453125" style="44" bestFit="1" customWidth="1"/>
    <col min="16364" max="16364" width="65.1796875" style="44" bestFit="1" customWidth="1"/>
    <col min="16365" max="16365" width="72.453125" style="44" bestFit="1" customWidth="1"/>
    <col min="16366" max="16366" width="81.36328125" style="44" bestFit="1" customWidth="1"/>
    <col min="16367" max="16367" width="65.1796875" style="44" bestFit="1" customWidth="1"/>
    <col min="16368" max="16368" width="80.90625" style="44" bestFit="1" customWidth="1"/>
    <col min="16369" max="16369" width="71.7265625" style="44" bestFit="1" customWidth="1"/>
    <col min="16370" max="16370" width="73.6328125" style="44" bestFit="1" customWidth="1"/>
    <col min="16371" max="16372" width="85.36328125" style="44" bestFit="1" customWidth="1"/>
    <col min="16373" max="16373" width="92.26953125" style="44" bestFit="1" customWidth="1"/>
    <col min="16374" max="16374" width="106.1796875" style="44" bestFit="1" customWidth="1"/>
    <col min="16375" max="16375" width="86.6328125" style="44" bestFit="1" customWidth="1"/>
    <col min="16376" max="16377" width="68.90625" style="44" bestFit="1" customWidth="1"/>
    <col min="16378" max="16378" width="80.54296875" style="44" bestFit="1" customWidth="1"/>
    <col min="16379" max="16379" width="68.90625" style="44" bestFit="1" customWidth="1"/>
    <col min="16380" max="16380" width="79.1796875" style="44" bestFit="1" customWidth="1"/>
    <col min="16381" max="16381" width="79.26953125" style="44" bestFit="1" customWidth="1"/>
    <col min="16382" max="16382" width="80.1796875" style="44" bestFit="1" customWidth="1"/>
    <col min="16383" max="16383" width="84.81640625" style="44" bestFit="1" customWidth="1"/>
    <col min="16384" max="16384" width="76.81640625" style="44" bestFit="1" customWidth="1"/>
  </cols>
  <sheetData>
    <row r="1" spans="1:8" ht="14.5" x14ac:dyDescent="0.35">
      <c r="A1" s="44" t="s">
        <v>7</v>
      </c>
      <c r="B1" s="44" t="s">
        <v>50</v>
      </c>
      <c r="C1" s="44" t="s">
        <v>51</v>
      </c>
      <c r="D1" s="44" t="s">
        <v>52</v>
      </c>
      <c r="E1" s="44" t="s">
        <v>53</v>
      </c>
      <c r="G1" s="48" t="s">
        <v>53</v>
      </c>
      <c r="H1" s="47" t="s">
        <v>65</v>
      </c>
    </row>
    <row r="2" spans="1:8" x14ac:dyDescent="0.25">
      <c r="A2" s="44" t="s">
        <v>55</v>
      </c>
      <c r="B2" s="44" t="s">
        <v>56</v>
      </c>
      <c r="C2" s="44" t="str">
        <f>LEFT(B2,25)&amp;"---"&amp;RIGHT(B2,15)</f>
        <v>AARIF ABDUL RAHIM SH-SAYY---7118026-THUM UP</v>
      </c>
      <c r="D2" s="44">
        <v>110</v>
      </c>
      <c r="E2" s="44" t="s">
        <v>57</v>
      </c>
    </row>
    <row r="3" spans="1:8" ht="14.5" x14ac:dyDescent="0.35">
      <c r="A3" s="44" t="s">
        <v>55</v>
      </c>
      <c r="B3" s="44" t="s">
        <v>58</v>
      </c>
      <c r="C3" s="44" t="str">
        <f t="shared" ref="C3:C66" si="0">LEFT(B3,25)&amp;"---"&amp;RIGHT(B3,15)</f>
        <v>NOORJAHAN ABDUL KADA-ZAIB---27297905523-UPI</v>
      </c>
      <c r="D3" s="44">
        <v>1500</v>
      </c>
      <c r="E3" s="44" t="s">
        <v>57</v>
      </c>
      <c r="G3" s="45" t="s">
        <v>59</v>
      </c>
      <c r="H3" s="42"/>
    </row>
    <row r="4" spans="1:8" ht="14.5" x14ac:dyDescent="0.35">
      <c r="A4" s="44" t="s">
        <v>55</v>
      </c>
      <c r="B4" s="44" t="s">
        <v>60</v>
      </c>
      <c r="C4" s="44" t="str">
        <f t="shared" si="0"/>
        <v>NEW VISHAL CHEMIST-PAYTMQ---27243983147-UPI</v>
      </c>
      <c r="D4" s="44">
        <v>50</v>
      </c>
      <c r="E4" s="44" t="s">
        <v>57</v>
      </c>
      <c r="G4" s="45" t="s">
        <v>51</v>
      </c>
      <c r="H4" s="42" t="s">
        <v>4</v>
      </c>
    </row>
    <row r="5" spans="1:8" ht="14.5" x14ac:dyDescent="0.35">
      <c r="A5" s="44" t="s">
        <v>61</v>
      </c>
      <c r="B5" s="44" t="s">
        <v>62</v>
      </c>
      <c r="C5" s="44" t="str">
        <f t="shared" si="0"/>
        <v>ROBINSON  NADAR-Q61230229---27348939551-UPI</v>
      </c>
      <c r="D5" s="44">
        <v>190</v>
      </c>
      <c r="E5" s="44" t="s">
        <v>57</v>
      </c>
      <c r="G5" s="41" t="s">
        <v>403</v>
      </c>
      <c r="H5" s="42">
        <v>20000</v>
      </c>
    </row>
    <row r="6" spans="1:8" ht="14.5" x14ac:dyDescent="0.35">
      <c r="A6" s="44" t="s">
        <v>61</v>
      </c>
      <c r="B6" s="44" t="s">
        <v>63</v>
      </c>
      <c r="C6" s="44" t="str">
        <f t="shared" si="0"/>
        <v>VIVIFI INDIA FINANCE-VIVI---27349576985-UPI</v>
      </c>
      <c r="D6" s="44">
        <v>4224</v>
      </c>
      <c r="E6" s="44" t="s">
        <v>49</v>
      </c>
      <c r="G6" s="43" t="s">
        <v>404</v>
      </c>
      <c r="H6" s="49">
        <v>50000</v>
      </c>
    </row>
    <row r="7" spans="1:8" ht="14.5" x14ac:dyDescent="0.35">
      <c r="A7" s="44" t="s">
        <v>61</v>
      </c>
      <c r="B7" s="44" t="s">
        <v>64</v>
      </c>
      <c r="C7" s="44" t="str">
        <f t="shared" si="0"/>
        <v>GANJI HARSHAL HITEND-HARS---27364879847-UPI</v>
      </c>
      <c r="D7" s="44">
        <v>5000</v>
      </c>
      <c r="E7" s="44" t="s">
        <v>65</v>
      </c>
      <c r="G7" s="43" t="s">
        <v>405</v>
      </c>
      <c r="H7" s="49">
        <v>9751</v>
      </c>
    </row>
    <row r="8" spans="1:8" ht="14.5" x14ac:dyDescent="0.35">
      <c r="A8" s="44" t="s">
        <v>61</v>
      </c>
      <c r="B8" s="44" t="s">
        <v>66</v>
      </c>
      <c r="C8" s="44" t="str">
        <f t="shared" si="0"/>
        <v>MOHAMMAD SALIM-8791824432---SALT AND PEPPER</v>
      </c>
      <c r="D8" s="44">
        <v>3000</v>
      </c>
      <c r="E8" s="44" t="s">
        <v>65</v>
      </c>
      <c r="G8" s="43" t="s">
        <v>406</v>
      </c>
      <c r="H8" s="49">
        <v>650</v>
      </c>
    </row>
    <row r="9" spans="1:8" ht="14.5" x14ac:dyDescent="0.35">
      <c r="A9" s="44" t="s">
        <v>61</v>
      </c>
      <c r="B9" s="44" t="s">
        <v>67</v>
      </c>
      <c r="C9" s="44" t="str">
        <f t="shared" si="0"/>
        <v>MAURYA BEAUTY STORES-GPAY---27372958528-UPI</v>
      </c>
      <c r="D9" s="44">
        <v>200</v>
      </c>
      <c r="E9" s="44" t="s">
        <v>57</v>
      </c>
      <c r="G9" s="43" t="s">
        <v>407</v>
      </c>
      <c r="H9" s="49">
        <v>1710</v>
      </c>
    </row>
    <row r="10" spans="1:8" ht="14.5" x14ac:dyDescent="0.35">
      <c r="A10" s="44" t="s">
        <v>68</v>
      </c>
      <c r="B10" s="44" t="s">
        <v>69</v>
      </c>
      <c r="C10" s="44" t="str">
        <f t="shared" si="0"/>
        <v>AKLESH-AKLESHKUMARSAKLESH---27412767992-UPI</v>
      </c>
      <c r="D10" s="44">
        <v>1350</v>
      </c>
      <c r="E10" s="44" t="s">
        <v>57</v>
      </c>
      <c r="G10" s="43" t="s">
        <v>408</v>
      </c>
      <c r="H10" s="49">
        <v>16000</v>
      </c>
    </row>
    <row r="11" spans="1:8" ht="14.5" x14ac:dyDescent="0.35">
      <c r="A11" s="44" t="s">
        <v>68</v>
      </c>
      <c r="B11" s="44" t="s">
        <v>70</v>
      </c>
      <c r="C11" s="44" t="str">
        <f t="shared" si="0"/>
        <v>PRASHANT KUMAR PAREK-PRAS---TICAL BOARD CUP</v>
      </c>
      <c r="D11" s="44">
        <v>1400</v>
      </c>
      <c r="E11" s="44" t="s">
        <v>65</v>
      </c>
      <c r="G11" s="43" t="s">
        <v>409</v>
      </c>
      <c r="H11" s="49">
        <v>18000</v>
      </c>
    </row>
    <row r="12" spans="1:8" ht="14.5" x14ac:dyDescent="0.35">
      <c r="A12" s="44" t="s">
        <v>68</v>
      </c>
      <c r="B12" s="44" t="s">
        <v>71</v>
      </c>
      <c r="C12" s="44" t="str">
        <f t="shared" si="0"/>
        <v>SHREENATH ENTERPRISE-PAYT---27421140071-UPI</v>
      </c>
      <c r="D12" s="44">
        <v>280</v>
      </c>
      <c r="E12" s="44" t="s">
        <v>57</v>
      </c>
      <c r="G12" s="43" t="s">
        <v>410</v>
      </c>
      <c r="H12" s="49">
        <v>76</v>
      </c>
    </row>
    <row r="13" spans="1:8" ht="14.5" x14ac:dyDescent="0.35">
      <c r="A13" s="44" t="s">
        <v>68</v>
      </c>
      <c r="B13" s="44" t="s">
        <v>72</v>
      </c>
      <c r="C13" s="44" t="str">
        <f t="shared" si="0"/>
        <v>SHAIKH NOOR BANU  MO-NOOR---7428618659-UMAR</v>
      </c>
      <c r="D13" s="44">
        <v>2000</v>
      </c>
      <c r="E13" s="44" t="s">
        <v>54</v>
      </c>
      <c r="G13" s="43" t="s">
        <v>411</v>
      </c>
      <c r="H13" s="49">
        <v>25000</v>
      </c>
    </row>
    <row r="14" spans="1:8" ht="14.5" x14ac:dyDescent="0.35">
      <c r="A14" s="44" t="s">
        <v>68</v>
      </c>
      <c r="B14" s="44" t="s">
        <v>73</v>
      </c>
      <c r="C14" s="44" t="str">
        <f t="shared" si="0"/>
        <v>SHAIKH NOOR BANU  MO-NOOR---7428643991-UMAR</v>
      </c>
      <c r="D14" s="44">
        <v>1000</v>
      </c>
      <c r="E14" s="44" t="s">
        <v>54</v>
      </c>
      <c r="G14" s="43" t="s">
        <v>412</v>
      </c>
      <c r="H14" s="49">
        <v>25000</v>
      </c>
    </row>
    <row r="15" spans="1:8" ht="14.5" x14ac:dyDescent="0.35">
      <c r="A15" s="44" t="s">
        <v>68</v>
      </c>
      <c r="B15" s="44" t="s">
        <v>74</v>
      </c>
      <c r="C15" s="44" t="str">
        <f t="shared" si="0"/>
        <v>AARIF ABDUL RAHIM SH-SAYY---85-SAMEER DANGO</v>
      </c>
      <c r="D15" s="44">
        <v>1000</v>
      </c>
      <c r="E15" s="44" t="s">
        <v>54</v>
      </c>
      <c r="G15" s="43" t="s">
        <v>413</v>
      </c>
      <c r="H15" s="49">
        <v>11000</v>
      </c>
    </row>
    <row r="16" spans="1:8" ht="14.5" x14ac:dyDescent="0.35">
      <c r="A16" s="44" t="s">
        <v>68</v>
      </c>
      <c r="B16" s="44" t="s">
        <v>75</v>
      </c>
      <c r="C16" s="44" t="str">
        <f t="shared" si="0"/>
        <v>SAVARAM PUNAJI MEROT-PAYT---27433366539-UPI</v>
      </c>
      <c r="D16" s="44">
        <v>110</v>
      </c>
      <c r="E16" s="44" t="s">
        <v>57</v>
      </c>
      <c r="G16" s="43" t="s">
        <v>414</v>
      </c>
      <c r="H16" s="49">
        <v>2470</v>
      </c>
    </row>
    <row r="17" spans="1:8" ht="14.5" x14ac:dyDescent="0.35">
      <c r="A17" s="44" t="s">
        <v>68</v>
      </c>
      <c r="B17" s="44" t="s">
        <v>76</v>
      </c>
      <c r="C17" s="44" t="str">
        <f t="shared" si="0"/>
        <v>SHIPRASAD GUPTA-GPAY-1120---27433576077-UPI</v>
      </c>
      <c r="D17" s="44">
        <v>40</v>
      </c>
      <c r="E17" s="44" t="s">
        <v>57</v>
      </c>
      <c r="G17" s="43" t="s">
        <v>415</v>
      </c>
      <c r="H17" s="49">
        <v>14182</v>
      </c>
    </row>
    <row r="18" spans="1:8" ht="14.5" x14ac:dyDescent="0.35">
      <c r="A18" s="44" t="s">
        <v>68</v>
      </c>
      <c r="B18" s="44" t="s">
        <v>77</v>
      </c>
      <c r="C18" s="44" t="str">
        <f t="shared" si="0"/>
        <v>MAHAVIR SANDWICH-GPAY-112---27433775885-UPI</v>
      </c>
      <c r="D18" s="44">
        <v>80</v>
      </c>
      <c r="E18" s="44" t="s">
        <v>57</v>
      </c>
      <c r="G18" s="43" t="s">
        <v>416</v>
      </c>
      <c r="H18" s="49">
        <v>5500</v>
      </c>
    </row>
    <row r="19" spans="1:8" ht="14.5" x14ac:dyDescent="0.35">
      <c r="A19" s="44" t="s">
        <v>68</v>
      </c>
      <c r="B19" s="44" t="s">
        <v>78</v>
      </c>
      <c r="C19" s="44" t="str">
        <f t="shared" si="0"/>
        <v>AMAR AUTOMOBILES-PAYTMQR2---27434008221-UPI</v>
      </c>
      <c r="D19" s="44">
        <v>200</v>
      </c>
      <c r="E19" s="44" t="s">
        <v>57</v>
      </c>
      <c r="G19" s="43" t="s">
        <v>417</v>
      </c>
      <c r="H19" s="49">
        <v>5000</v>
      </c>
    </row>
    <row r="20" spans="1:8" ht="14.5" x14ac:dyDescent="0.35">
      <c r="A20" s="44" t="s">
        <v>79</v>
      </c>
      <c r="B20" s="44" t="s">
        <v>80</v>
      </c>
      <c r="C20" s="44" t="str">
        <f t="shared" si="0"/>
        <v>MOHMMAD DANISH-6398977034---03-CERAMIC DIYA</v>
      </c>
      <c r="D20" s="44">
        <v>20000</v>
      </c>
      <c r="E20" s="44" t="s">
        <v>65</v>
      </c>
      <c r="G20" s="43" t="s">
        <v>418</v>
      </c>
      <c r="H20" s="49">
        <v>10000</v>
      </c>
    </row>
    <row r="21" spans="1:8" ht="14.5" x14ac:dyDescent="0.35">
      <c r="A21" s="44" t="s">
        <v>79</v>
      </c>
      <c r="B21" s="44" t="s">
        <v>81</v>
      </c>
      <c r="C21" s="44" t="str">
        <f t="shared" si="0"/>
        <v>KHALID SHAIKH-9930565343@---27554809335-UPI</v>
      </c>
      <c r="D21" s="44">
        <v>10000</v>
      </c>
      <c r="E21" s="44" t="s">
        <v>65</v>
      </c>
      <c r="G21" s="43" t="s">
        <v>419</v>
      </c>
      <c r="H21" s="49">
        <v>15000</v>
      </c>
    </row>
    <row r="22" spans="1:8" ht="14.5" x14ac:dyDescent="0.35">
      <c r="A22" s="44" t="s">
        <v>79</v>
      </c>
      <c r="B22" s="44" t="s">
        <v>82</v>
      </c>
      <c r="C22" s="44" t="str">
        <f t="shared" si="0"/>
        <v>NATULAL SO RUPAJI PA-PATE---27555160381-UPI</v>
      </c>
      <c r="D22" s="44">
        <v>125</v>
      </c>
      <c r="E22" s="44" t="s">
        <v>65</v>
      </c>
      <c r="G22" s="43" t="s">
        <v>420</v>
      </c>
      <c r="H22" s="49">
        <v>230</v>
      </c>
    </row>
    <row r="23" spans="1:8" ht="14.5" x14ac:dyDescent="0.35">
      <c r="A23" s="44" t="s">
        <v>79</v>
      </c>
      <c r="B23" s="44" t="s">
        <v>83</v>
      </c>
      <c r="C23" s="44" t="str">
        <f t="shared" si="0"/>
        <v>MRS TARUNA VIMAL BHA-BHAN---27558172451-UPI</v>
      </c>
      <c r="D23" s="44">
        <v>2100</v>
      </c>
      <c r="E23" s="44" t="s">
        <v>84</v>
      </c>
      <c r="G23" s="43" t="s">
        <v>421</v>
      </c>
      <c r="H23" s="49">
        <v>10000</v>
      </c>
    </row>
    <row r="24" spans="1:8" ht="14.5" x14ac:dyDescent="0.35">
      <c r="A24" s="44" t="s">
        <v>85</v>
      </c>
      <c r="B24" s="44" t="s">
        <v>86</v>
      </c>
      <c r="C24" s="44" t="str">
        <f t="shared" si="0"/>
        <v>STELLA PONSELVI-Q99991413---27679812109-UPI</v>
      </c>
      <c r="D24" s="44">
        <v>70</v>
      </c>
      <c r="E24" s="44" t="s">
        <v>57</v>
      </c>
      <c r="G24" s="43" t="s">
        <v>422</v>
      </c>
      <c r="H24" s="49">
        <v>10000</v>
      </c>
    </row>
    <row r="25" spans="1:8" ht="14.5" x14ac:dyDescent="0.35">
      <c r="A25" s="44" t="s">
        <v>85</v>
      </c>
      <c r="B25" s="44" t="s">
        <v>87</v>
      </c>
      <c r="C25" s="44" t="str">
        <f t="shared" si="0"/>
        <v>MURUGAN D-Q775514402@YBL----27680088878-UPI</v>
      </c>
      <c r="D25" s="44">
        <v>118</v>
      </c>
      <c r="E25" s="44" t="s">
        <v>57</v>
      </c>
      <c r="G25" s="43" t="s">
        <v>423</v>
      </c>
      <c r="H25" s="49">
        <v>8000</v>
      </c>
    </row>
    <row r="26" spans="1:8" ht="14.5" x14ac:dyDescent="0.35">
      <c r="A26" s="44" t="s">
        <v>85</v>
      </c>
      <c r="B26" s="44" t="s">
        <v>88</v>
      </c>
      <c r="C26" s="44" t="str">
        <f t="shared" si="0"/>
        <v>MOHAMMAD SALIM-8791824432---IM BHAI SALT AN</v>
      </c>
      <c r="D26" s="44">
        <v>10000</v>
      </c>
      <c r="E26" s="44" t="s">
        <v>65</v>
      </c>
      <c r="G26" s="43" t="s">
        <v>424</v>
      </c>
      <c r="H26" s="49">
        <v>2000</v>
      </c>
    </row>
    <row r="27" spans="1:8" ht="14.5" x14ac:dyDescent="0.35">
      <c r="A27" s="44" t="s">
        <v>85</v>
      </c>
      <c r="B27" s="44" t="s">
        <v>89</v>
      </c>
      <c r="C27" s="44" t="str">
        <f t="shared" si="0"/>
        <v>SUNIL VAISYA-Q125058520@Y---27692573576-UPI</v>
      </c>
      <c r="D27" s="44">
        <v>300</v>
      </c>
      <c r="E27" s="44" t="s">
        <v>57</v>
      </c>
      <c r="G27" s="43" t="s">
        <v>425</v>
      </c>
      <c r="H27" s="49">
        <v>10000</v>
      </c>
    </row>
    <row r="28" spans="1:8" ht="14.5" x14ac:dyDescent="0.35">
      <c r="A28" s="44" t="s">
        <v>85</v>
      </c>
      <c r="B28" s="44" t="s">
        <v>90</v>
      </c>
      <c r="C28" s="44" t="str">
        <f t="shared" si="0"/>
        <v>DHARMENDRA TULSIRAM -DHAR---5866-DEPAK BHAI</v>
      </c>
      <c r="D28" s="44">
        <v>14182</v>
      </c>
      <c r="E28" s="44" t="s">
        <v>65</v>
      </c>
      <c r="G28" s="43" t="s">
        <v>426</v>
      </c>
      <c r="H28" s="49">
        <v>700</v>
      </c>
    </row>
    <row r="29" spans="1:8" ht="14.5" x14ac:dyDescent="0.35">
      <c r="A29" s="44" t="s">
        <v>85</v>
      </c>
      <c r="B29" s="44" t="s">
        <v>91</v>
      </c>
      <c r="C29" s="44" t="str">
        <f t="shared" si="0"/>
        <v>ME DC SI 514834XXXXXX0214---14 GOOGLEWORKSP</v>
      </c>
      <c r="D29" s="44">
        <v>247.8</v>
      </c>
      <c r="E29" s="44" t="s">
        <v>92</v>
      </c>
      <c r="G29" s="43" t="s">
        <v>427</v>
      </c>
      <c r="H29" s="49">
        <v>100</v>
      </c>
    </row>
    <row r="30" spans="1:8" ht="14.5" x14ac:dyDescent="0.35">
      <c r="A30" s="44" t="s">
        <v>85</v>
      </c>
      <c r="B30" s="44" t="s">
        <v>93</v>
      </c>
      <c r="C30" s="44" t="str">
        <f t="shared" si="0"/>
        <v>THAMOTHARAN V-PAYTMQR2810---27615133559-UPI</v>
      </c>
      <c r="D30" s="44">
        <v>150</v>
      </c>
      <c r="E30" s="44" t="s">
        <v>65</v>
      </c>
      <c r="G30" s="43" t="s">
        <v>428</v>
      </c>
      <c r="H30" s="49">
        <v>1200</v>
      </c>
    </row>
    <row r="31" spans="1:8" ht="14.5" x14ac:dyDescent="0.35">
      <c r="A31" s="44" t="s">
        <v>85</v>
      </c>
      <c r="B31" s="44" t="s">
        <v>94</v>
      </c>
      <c r="C31" s="44" t="str">
        <f t="shared" si="0"/>
        <v>VIKAS STORE-Q249422682@YB---27615620066-UPI</v>
      </c>
      <c r="D31" s="44">
        <v>550</v>
      </c>
      <c r="E31" s="44" t="s">
        <v>65</v>
      </c>
      <c r="G31" s="43" t="s">
        <v>429</v>
      </c>
      <c r="H31" s="49">
        <v>20000</v>
      </c>
    </row>
    <row r="32" spans="1:8" ht="14.5" x14ac:dyDescent="0.35">
      <c r="A32" s="44" t="s">
        <v>85</v>
      </c>
      <c r="B32" s="44" t="s">
        <v>95</v>
      </c>
      <c r="C32" s="44" t="str">
        <f t="shared" si="0"/>
        <v>XXXXXX3340-UTIB0001177-32---UMPAL KHURJA TR</v>
      </c>
      <c r="D32" s="44">
        <v>20000</v>
      </c>
      <c r="E32" s="44" t="s">
        <v>18</v>
      </c>
      <c r="G32" s="43" t="s">
        <v>430</v>
      </c>
      <c r="H32" s="49">
        <v>20000</v>
      </c>
    </row>
    <row r="33" spans="1:8" ht="14.5" x14ac:dyDescent="0.35">
      <c r="A33" s="44" t="s">
        <v>85</v>
      </c>
      <c r="B33" s="44" t="s">
        <v>96</v>
      </c>
      <c r="C33" s="44" t="str">
        <f t="shared" si="0"/>
        <v>NITIN KANJI VALA-SADGURUS---622470689-GARBA</v>
      </c>
      <c r="D33" s="44">
        <v>3700</v>
      </c>
      <c r="E33" s="44" t="s">
        <v>97</v>
      </c>
      <c r="G33" s="43" t="s">
        <v>431</v>
      </c>
      <c r="H33" s="49">
        <v>10000</v>
      </c>
    </row>
    <row r="34" spans="1:8" ht="14.5" x14ac:dyDescent="0.35">
      <c r="A34" s="44" t="s">
        <v>85</v>
      </c>
      <c r="B34" s="44" t="s">
        <v>98</v>
      </c>
      <c r="C34" s="44" t="str">
        <f t="shared" si="0"/>
        <v>KHALID SHAIKH-9930565343@---27622553746-UPI</v>
      </c>
      <c r="D34" s="44">
        <v>700</v>
      </c>
      <c r="E34" s="44" t="s">
        <v>65</v>
      </c>
      <c r="G34" s="43" t="s">
        <v>432</v>
      </c>
      <c r="H34" s="49">
        <v>3000</v>
      </c>
    </row>
    <row r="35" spans="1:8" ht="14.5" x14ac:dyDescent="0.35">
      <c r="A35" s="44" t="s">
        <v>85</v>
      </c>
      <c r="B35" s="44" t="s">
        <v>99</v>
      </c>
      <c r="C35" s="44" t="str">
        <f t="shared" si="0"/>
        <v>AMAR AUTOMOBILES-PAYTMQR2---27626109501-UPI</v>
      </c>
      <c r="D35" s="44">
        <v>200</v>
      </c>
      <c r="E35" s="44" t="s">
        <v>57</v>
      </c>
      <c r="G35" s="43" t="s">
        <v>433</v>
      </c>
      <c r="H35" s="49">
        <v>1600</v>
      </c>
    </row>
    <row r="36" spans="1:8" ht="14.5" x14ac:dyDescent="0.35">
      <c r="A36" s="44" t="s">
        <v>100</v>
      </c>
      <c r="B36" s="44" t="s">
        <v>101</v>
      </c>
      <c r="C36" s="44" t="str">
        <f t="shared" si="0"/>
        <v>IMPS-327712319193-NAROTTA---9-HEENA TANK HL</v>
      </c>
      <c r="D36" s="44">
        <v>37000</v>
      </c>
      <c r="E36" s="44" t="s">
        <v>49</v>
      </c>
      <c r="G36" s="43" t="s">
        <v>434</v>
      </c>
      <c r="H36" s="49">
        <v>50000</v>
      </c>
    </row>
    <row r="37" spans="1:8" ht="14.5" x14ac:dyDescent="0.35">
      <c r="A37" s="44" t="s">
        <v>100</v>
      </c>
      <c r="B37" s="44" t="s">
        <v>102</v>
      </c>
      <c r="C37" s="44" t="str">
        <f t="shared" si="0"/>
        <v>NATULAL SO RUPAJI PA-PATE---27748973644-UPI</v>
      </c>
      <c r="D37" s="44">
        <v>500</v>
      </c>
      <c r="E37" s="44" t="s">
        <v>65</v>
      </c>
      <c r="G37" s="43" t="s">
        <v>435</v>
      </c>
      <c r="H37" s="49">
        <v>20000</v>
      </c>
    </row>
    <row r="38" spans="1:8" ht="14.5" x14ac:dyDescent="0.35">
      <c r="A38" s="44" t="s">
        <v>100</v>
      </c>
      <c r="B38" s="44" t="s">
        <v>103</v>
      </c>
      <c r="C38" s="44" t="str">
        <f t="shared" si="0"/>
        <v>YESU PLASTIC-GPAY-1119141---27766892765-UPI</v>
      </c>
      <c r="D38" s="44">
        <v>35</v>
      </c>
      <c r="E38" s="44" t="s">
        <v>65</v>
      </c>
      <c r="G38" s="43" t="s">
        <v>436</v>
      </c>
      <c r="H38" s="49">
        <v>16000</v>
      </c>
    </row>
    <row r="39" spans="1:8" ht="14.5" x14ac:dyDescent="0.35">
      <c r="A39" s="44" t="s">
        <v>104</v>
      </c>
      <c r="B39" s="44" t="s">
        <v>105</v>
      </c>
      <c r="C39" s="44" t="str">
        <f t="shared" si="0"/>
        <v>IMPS-327810389138-RAJA RA---AKA MATALA BILL</v>
      </c>
      <c r="D39" s="44">
        <v>10000</v>
      </c>
      <c r="E39" s="44" t="s">
        <v>65</v>
      </c>
      <c r="G39" s="43" t="s">
        <v>437</v>
      </c>
      <c r="H39" s="49">
        <v>3000</v>
      </c>
    </row>
    <row r="40" spans="1:8" ht="14.5" x14ac:dyDescent="0.35">
      <c r="A40" s="44" t="s">
        <v>104</v>
      </c>
      <c r="B40" s="44" t="s">
        <v>106</v>
      </c>
      <c r="C40" s="44" t="str">
        <f t="shared" si="0"/>
        <v>NOORJAHAN ABDUL KADA-ZAIB---1-REHMAN SALARY</v>
      </c>
      <c r="D40" s="44">
        <v>8000</v>
      </c>
      <c r="E40" s="44" t="s">
        <v>54</v>
      </c>
      <c r="G40" s="43" t="s">
        <v>438</v>
      </c>
      <c r="H40" s="49">
        <v>25000</v>
      </c>
    </row>
    <row r="41" spans="1:8" ht="14.5" x14ac:dyDescent="0.35">
      <c r="A41" s="44" t="s">
        <v>104</v>
      </c>
      <c r="B41" s="44" t="s">
        <v>108</v>
      </c>
      <c r="C41" s="44" t="str">
        <f t="shared" si="0"/>
        <v>SHIVSHANKAR-PAIGHANSHIVSH---27888651833-UPI</v>
      </c>
      <c r="D41" s="44">
        <v>212</v>
      </c>
      <c r="E41" s="44" t="s">
        <v>57</v>
      </c>
      <c r="G41" s="43" t="s">
        <v>439</v>
      </c>
      <c r="H41" s="49">
        <v>25000</v>
      </c>
    </row>
    <row r="42" spans="1:8" ht="14.5" x14ac:dyDescent="0.35">
      <c r="A42" s="44" t="s">
        <v>104</v>
      </c>
      <c r="B42" s="44" t="s">
        <v>109</v>
      </c>
      <c r="C42" s="44" t="str">
        <f t="shared" si="0"/>
        <v>MR DHARMESH BHUPATRA-DHAR---7891517251-CASH</v>
      </c>
      <c r="D42" s="44">
        <v>3000</v>
      </c>
      <c r="E42" s="44" t="s">
        <v>65</v>
      </c>
      <c r="G42" s="43" t="s">
        <v>440</v>
      </c>
      <c r="H42" s="49">
        <v>30000</v>
      </c>
    </row>
    <row r="43" spans="1:8" ht="14.5" x14ac:dyDescent="0.35">
      <c r="A43" s="44" t="s">
        <v>104</v>
      </c>
      <c r="B43" s="44" t="s">
        <v>110</v>
      </c>
      <c r="C43" s="44" t="str">
        <f t="shared" si="0"/>
        <v>SARVESH KUMAR MISHRA-PAYT---27893536833-UPI</v>
      </c>
      <c r="D43" s="44">
        <v>50</v>
      </c>
      <c r="E43" s="44" t="s">
        <v>57</v>
      </c>
      <c r="G43" s="43" t="s">
        <v>441</v>
      </c>
      <c r="H43" s="49">
        <v>125</v>
      </c>
    </row>
    <row r="44" spans="1:8" ht="14.5" x14ac:dyDescent="0.35">
      <c r="A44" s="44" t="s">
        <v>104</v>
      </c>
      <c r="B44" s="44" t="s">
        <v>111</v>
      </c>
      <c r="C44" s="44" t="str">
        <f t="shared" si="0"/>
        <v>MAMAJI-PAYTMQRMGBTPUXWCY@---27810013260-UPI</v>
      </c>
      <c r="D44" s="44">
        <v>240</v>
      </c>
      <c r="E44" s="44" t="s">
        <v>57</v>
      </c>
      <c r="G44" s="43" t="s">
        <v>442</v>
      </c>
      <c r="H44" s="49">
        <v>500</v>
      </c>
    </row>
    <row r="45" spans="1:8" ht="14.5" x14ac:dyDescent="0.35">
      <c r="A45" s="44" t="s">
        <v>104</v>
      </c>
      <c r="B45" s="44" t="s">
        <v>112</v>
      </c>
      <c r="C45" s="44" t="str">
        <f t="shared" si="0"/>
        <v>MAMAJI-PAYTMQRMGBTPUXWCY@---27810165875-UPI</v>
      </c>
      <c r="D45" s="44">
        <v>60</v>
      </c>
      <c r="E45" s="44" t="s">
        <v>57</v>
      </c>
      <c r="G45" s="43" t="s">
        <v>443</v>
      </c>
      <c r="H45" s="49">
        <v>500</v>
      </c>
    </row>
    <row r="46" spans="1:8" ht="14.5" x14ac:dyDescent="0.35">
      <c r="A46" s="44" t="s">
        <v>104</v>
      </c>
      <c r="B46" s="44" t="s">
        <v>113</v>
      </c>
      <c r="C46" s="44" t="str">
        <f t="shared" si="0"/>
        <v>SHARAMMA-VIKASBOUDHE571@O---27815840599-UPI</v>
      </c>
      <c r="D46" s="44">
        <v>400</v>
      </c>
      <c r="E46" s="44" t="s">
        <v>54</v>
      </c>
      <c r="G46" s="43" t="s">
        <v>444</v>
      </c>
      <c r="H46" s="49">
        <v>1400</v>
      </c>
    </row>
    <row r="47" spans="1:8" ht="14.5" x14ac:dyDescent="0.35">
      <c r="A47" s="44" t="s">
        <v>104</v>
      </c>
      <c r="B47" s="44" t="s">
        <v>114</v>
      </c>
      <c r="C47" s="44" t="str">
        <f t="shared" si="0"/>
        <v>FARIDA BANO MOHD AKA-SEYY---6741-SAMEER SAL</v>
      </c>
      <c r="D47" s="44">
        <v>2500</v>
      </c>
      <c r="E47" s="44" t="s">
        <v>54</v>
      </c>
      <c r="G47" s="43" t="s">
        <v>445</v>
      </c>
      <c r="H47" s="49">
        <v>250</v>
      </c>
    </row>
    <row r="48" spans="1:8" ht="14.5" x14ac:dyDescent="0.35">
      <c r="A48" s="44" t="s">
        <v>104</v>
      </c>
      <c r="B48" s="44" t="s">
        <v>115</v>
      </c>
      <c r="C48" s="44" t="str">
        <f t="shared" si="0"/>
        <v>BHEEM SINGH RAJPUT-BHIMSI---27819767865-UPI</v>
      </c>
      <c r="D48" s="44">
        <v>240</v>
      </c>
      <c r="E48" s="44" t="s">
        <v>57</v>
      </c>
      <c r="G48" s="43" t="s">
        <v>446</v>
      </c>
      <c r="H48" s="49">
        <v>3000</v>
      </c>
    </row>
    <row r="49" spans="1:8" ht="14.5" x14ac:dyDescent="0.35">
      <c r="A49" s="44" t="s">
        <v>104</v>
      </c>
      <c r="B49" s="44" t="s">
        <v>116</v>
      </c>
      <c r="C49" s="44" t="str">
        <f t="shared" si="0"/>
        <v>MAWALI BHAI DOSA-98690018---27820295096-UPI</v>
      </c>
      <c r="D49" s="44">
        <v>140</v>
      </c>
      <c r="E49" s="44" t="s">
        <v>57</v>
      </c>
      <c r="G49" s="43" t="s">
        <v>447</v>
      </c>
      <c r="H49" s="49">
        <v>7000</v>
      </c>
    </row>
    <row r="50" spans="1:8" ht="14.5" x14ac:dyDescent="0.35">
      <c r="A50" s="44" t="s">
        <v>104</v>
      </c>
      <c r="B50" s="44" t="s">
        <v>117</v>
      </c>
      <c r="C50" s="44" t="str">
        <f t="shared" si="0"/>
        <v>SARVESH KUMAR MISHRA-PAYT---27820552573-UPI</v>
      </c>
      <c r="D50" s="44">
        <v>40</v>
      </c>
      <c r="E50" s="44" t="s">
        <v>57</v>
      </c>
      <c r="G50" s="43" t="s">
        <v>448</v>
      </c>
      <c r="H50" s="49">
        <v>1300</v>
      </c>
    </row>
    <row r="51" spans="1:8" ht="14.5" x14ac:dyDescent="0.35">
      <c r="A51" s="44" t="s">
        <v>118</v>
      </c>
      <c r="B51" s="44" t="s">
        <v>119</v>
      </c>
      <c r="C51" s="44" t="str">
        <f t="shared" si="0"/>
        <v>AKLESH-AKLESHKUMARSAKLESH---27944384737-BOX</v>
      </c>
      <c r="D51" s="44">
        <v>650</v>
      </c>
      <c r="E51" s="44" t="s">
        <v>65</v>
      </c>
      <c r="G51" s="43" t="s">
        <v>449</v>
      </c>
      <c r="H51" s="49">
        <v>20000</v>
      </c>
    </row>
    <row r="52" spans="1:8" ht="14.5" x14ac:dyDescent="0.35">
      <c r="A52" s="44" t="s">
        <v>118</v>
      </c>
      <c r="B52" s="44" t="s">
        <v>120</v>
      </c>
      <c r="C52" s="44" t="str">
        <f t="shared" si="0"/>
        <v>SHRI SIDHHI SNACKS-993067---27947739352-UPI</v>
      </c>
      <c r="D52" s="44">
        <v>180</v>
      </c>
      <c r="E52" s="44" t="s">
        <v>57</v>
      </c>
      <c r="G52" s="43" t="s">
        <v>450</v>
      </c>
      <c r="H52" s="49">
        <v>30000</v>
      </c>
    </row>
    <row r="53" spans="1:8" ht="14.5" x14ac:dyDescent="0.35">
      <c r="A53" s="44" t="s">
        <v>121</v>
      </c>
      <c r="B53" s="44" t="s">
        <v>122</v>
      </c>
      <c r="C53" s="44" t="str">
        <f t="shared" si="0"/>
        <v>PRASHANT KUMAR PAREK-PRAS---28074724752-UPI</v>
      </c>
      <c r="D53" s="44">
        <v>1000</v>
      </c>
      <c r="E53" s="44" t="s">
        <v>57</v>
      </c>
      <c r="G53" s="43" t="s">
        <v>451</v>
      </c>
      <c r="H53" s="49">
        <v>50000</v>
      </c>
    </row>
    <row r="54" spans="1:8" ht="14.5" x14ac:dyDescent="0.35">
      <c r="A54" s="44" t="s">
        <v>121</v>
      </c>
      <c r="B54" s="44" t="s">
        <v>123</v>
      </c>
      <c r="C54" s="44" t="str">
        <f t="shared" si="0"/>
        <v>MOHAMMAD ASIF-KHANASIF727---ALIM BHAI MADIN</v>
      </c>
      <c r="D54" s="44">
        <v>20000</v>
      </c>
      <c r="E54" s="44" t="s">
        <v>65</v>
      </c>
      <c r="G54" s="43" t="s">
        <v>452</v>
      </c>
      <c r="H54" s="49">
        <v>4200</v>
      </c>
    </row>
    <row r="55" spans="1:8" ht="14.5" x14ac:dyDescent="0.35">
      <c r="A55" s="44" t="s">
        <v>121</v>
      </c>
      <c r="B55" s="44" t="s">
        <v>124</v>
      </c>
      <c r="C55" s="44" t="str">
        <f t="shared" si="0"/>
        <v>NITIN KANJI VALA-SADGURUS---ITIN BHAI GARBA</v>
      </c>
      <c r="D55" s="44">
        <v>1000</v>
      </c>
      <c r="E55" s="44" t="s">
        <v>97</v>
      </c>
      <c r="G55" s="43" t="s">
        <v>453</v>
      </c>
      <c r="H55" s="49">
        <v>150</v>
      </c>
    </row>
    <row r="56" spans="1:8" ht="14.5" x14ac:dyDescent="0.35">
      <c r="A56" s="44" t="s">
        <v>121</v>
      </c>
      <c r="B56" s="44" t="s">
        <v>125</v>
      </c>
      <c r="C56" s="44" t="str">
        <f t="shared" si="0"/>
        <v>SHAIKH AHMED RAHAMAT-Q263---28010822303-UPI</v>
      </c>
      <c r="D56" s="44">
        <v>668</v>
      </c>
      <c r="E56" s="44" t="s">
        <v>57</v>
      </c>
      <c r="G56" s="43" t="s">
        <v>454</v>
      </c>
      <c r="H56" s="49">
        <v>1400</v>
      </c>
    </row>
    <row r="57" spans="1:8" ht="14.5" x14ac:dyDescent="0.35">
      <c r="A57" s="44" t="s">
        <v>126</v>
      </c>
      <c r="B57" s="44" t="s">
        <v>127</v>
      </c>
      <c r="C57" s="44" t="str">
        <f t="shared" si="0"/>
        <v>VINOD PRANLAL VORA-PAYTMQ---OD PRANLAL VORA</v>
      </c>
      <c r="D57" s="44">
        <v>22193</v>
      </c>
      <c r="E57" s="44" t="s">
        <v>57</v>
      </c>
      <c r="G57" s="43" t="s">
        <v>455</v>
      </c>
      <c r="H57" s="49">
        <v>550</v>
      </c>
    </row>
    <row r="58" spans="1:8" ht="14.5" x14ac:dyDescent="0.35">
      <c r="A58" s="44" t="s">
        <v>126</v>
      </c>
      <c r="B58" s="44" t="s">
        <v>128</v>
      </c>
      <c r="C58" s="44" t="str">
        <f t="shared" si="0"/>
        <v>NOORJAHAN ABDUL KADA-ZAIB---73-REHMAN NIGHT</v>
      </c>
      <c r="D58" s="44">
        <v>400</v>
      </c>
      <c r="E58" s="44" t="s">
        <v>54</v>
      </c>
      <c r="G58" s="43" t="s">
        <v>456</v>
      </c>
      <c r="H58" s="49">
        <v>1100</v>
      </c>
    </row>
    <row r="59" spans="1:8" ht="14.5" x14ac:dyDescent="0.35">
      <c r="A59" s="44" t="s">
        <v>126</v>
      </c>
      <c r="B59" s="44" t="s">
        <v>129</v>
      </c>
      <c r="C59" s="44" t="str">
        <f t="shared" si="0"/>
        <v>SHRISUNILKUMARMOHANL-Q836---28155354057-UPI</v>
      </c>
      <c r="D59" s="44">
        <v>80</v>
      </c>
      <c r="E59" s="44" t="s">
        <v>57</v>
      </c>
      <c r="G59" s="43" t="s">
        <v>457</v>
      </c>
      <c r="H59" s="49">
        <v>1100</v>
      </c>
    </row>
    <row r="60" spans="1:8" ht="14.5" x14ac:dyDescent="0.35">
      <c r="A60" s="44" t="s">
        <v>130</v>
      </c>
      <c r="B60" s="44" t="s">
        <v>131</v>
      </c>
      <c r="C60" s="44" t="str">
        <f t="shared" si="0"/>
        <v>VIKAS STORE-Q249422682@YB---28266201256-UPI</v>
      </c>
      <c r="D60" s="44">
        <v>1100</v>
      </c>
      <c r="E60" s="44" t="s">
        <v>65</v>
      </c>
      <c r="G60" s="43" t="s">
        <v>458</v>
      </c>
      <c r="H60" s="49">
        <v>150</v>
      </c>
    </row>
    <row r="61" spans="1:8" ht="14.5" x14ac:dyDescent="0.35">
      <c r="A61" s="44" t="s">
        <v>130</v>
      </c>
      <c r="B61" s="44" t="s">
        <v>132</v>
      </c>
      <c r="C61" s="44" t="str">
        <f t="shared" si="0"/>
        <v>VIKAS STORE-Q249422682@YB---28266282599-UPI</v>
      </c>
      <c r="D61" s="44">
        <v>1100</v>
      </c>
      <c r="E61" s="44" t="s">
        <v>65</v>
      </c>
      <c r="G61" s="43" t="s">
        <v>459</v>
      </c>
      <c r="H61" s="49">
        <v>13100</v>
      </c>
    </row>
    <row r="62" spans="1:8" ht="14.5" x14ac:dyDescent="0.35">
      <c r="A62" s="44" t="s">
        <v>130</v>
      </c>
      <c r="B62" s="44" t="s">
        <v>133</v>
      </c>
      <c r="C62" s="44" t="str">
        <f t="shared" si="0"/>
        <v>MATHESHWAR BALACHAND-BALA---28266485949-UPI</v>
      </c>
      <c r="D62" s="44">
        <v>700</v>
      </c>
      <c r="E62" s="44" t="s">
        <v>57</v>
      </c>
      <c r="G62" s="43" t="s">
        <v>460</v>
      </c>
      <c r="H62" s="49">
        <v>80000</v>
      </c>
    </row>
    <row r="63" spans="1:8" ht="14.5" x14ac:dyDescent="0.35">
      <c r="A63" s="44" t="s">
        <v>130</v>
      </c>
      <c r="B63" s="44" t="s">
        <v>134</v>
      </c>
      <c r="C63" s="44" t="str">
        <f t="shared" si="0"/>
        <v>KRISHNAKUMAR PRAMOD -BHAR--- TO BHARATPE ME</v>
      </c>
      <c r="D63" s="44">
        <v>200</v>
      </c>
      <c r="E63" s="44" t="s">
        <v>57</v>
      </c>
      <c r="G63" s="43" t="s">
        <v>461</v>
      </c>
      <c r="H63" s="49">
        <v>8000</v>
      </c>
    </row>
    <row r="64" spans="1:8" ht="14.5" x14ac:dyDescent="0.35">
      <c r="A64" s="44" t="s">
        <v>130</v>
      </c>
      <c r="B64" s="44" t="s">
        <v>135</v>
      </c>
      <c r="C64" s="44" t="str">
        <f t="shared" si="0"/>
        <v>BAGZA SHEERIN BILAL -BAGZ---66631-MOIN BHAI</v>
      </c>
      <c r="D64" s="44">
        <v>25000</v>
      </c>
      <c r="E64" s="44" t="s">
        <v>39</v>
      </c>
      <c r="G64" s="43" t="s">
        <v>462</v>
      </c>
      <c r="H64" s="49">
        <v>35</v>
      </c>
    </row>
    <row r="65" spans="1:8" ht="14.5" x14ac:dyDescent="0.35">
      <c r="A65" s="44" t="s">
        <v>136</v>
      </c>
      <c r="B65" s="44" t="s">
        <v>137</v>
      </c>
      <c r="C65" s="44" t="str">
        <f t="shared" si="0"/>
        <v>RAMA  SHANKER SHARMA-RAMA---28311896664-LED</v>
      </c>
      <c r="D65" s="44">
        <v>3000</v>
      </c>
      <c r="E65" s="44" t="s">
        <v>65</v>
      </c>
      <c r="G65" s="46" t="s">
        <v>107</v>
      </c>
      <c r="H65" s="47">
        <v>719029</v>
      </c>
    </row>
    <row r="66" spans="1:8" ht="14.5" x14ac:dyDescent="0.35">
      <c r="A66" s="44" t="s">
        <v>136</v>
      </c>
      <c r="B66" s="44" t="s">
        <v>138</v>
      </c>
      <c r="C66" s="44" t="str">
        <f t="shared" si="0"/>
        <v>SHRI SIDHHI SNACKS-993067---28313703833-UPI</v>
      </c>
      <c r="D66" s="44">
        <v>60</v>
      </c>
      <c r="E66" s="44" t="s">
        <v>57</v>
      </c>
      <c r="G66"/>
      <c r="H66"/>
    </row>
    <row r="67" spans="1:8" ht="14.5" x14ac:dyDescent="0.35">
      <c r="A67" s="44" t="s">
        <v>136</v>
      </c>
      <c r="B67" s="44" t="s">
        <v>139</v>
      </c>
      <c r="C67" s="44" t="str">
        <f t="shared" ref="C67:C130" si="1">LEFT(B67,25)&amp;"---"&amp;RIGHT(B67,15)</f>
        <v>SHRI SIDHHI SNACKS-993067---28313860588-UPI</v>
      </c>
      <c r="D67" s="44">
        <v>40</v>
      </c>
      <c r="E67" s="44" t="s">
        <v>57</v>
      </c>
      <c r="G67"/>
      <c r="H67"/>
    </row>
    <row r="68" spans="1:8" ht="14.5" x14ac:dyDescent="0.35">
      <c r="A68" s="44" t="s">
        <v>136</v>
      </c>
      <c r="B68" s="44" t="s">
        <v>140</v>
      </c>
      <c r="C68" s="44" t="str">
        <f t="shared" si="1"/>
        <v>SHARAMMA-VIKASBOUDHE571@O---28317612643-UPI</v>
      </c>
      <c r="D68" s="44">
        <v>300</v>
      </c>
      <c r="E68" s="44" t="s">
        <v>54</v>
      </c>
      <c r="G68"/>
      <c r="H68"/>
    </row>
    <row r="69" spans="1:8" ht="14.5" x14ac:dyDescent="0.35">
      <c r="A69" s="44" t="s">
        <v>136</v>
      </c>
      <c r="B69" s="44" t="s">
        <v>141</v>
      </c>
      <c r="C69" s="44" t="str">
        <f t="shared" si="1"/>
        <v>NWD-514834XXXXXX0214-YMN8----YMN8003-MUMBAI</v>
      </c>
      <c r="D69" s="44">
        <v>10000</v>
      </c>
      <c r="E69" s="44" t="s">
        <v>57</v>
      </c>
      <c r="G69"/>
      <c r="H69"/>
    </row>
    <row r="70" spans="1:8" ht="14.5" x14ac:dyDescent="0.35">
      <c r="A70" s="44" t="s">
        <v>136</v>
      </c>
      <c r="B70" s="44" t="s">
        <v>141</v>
      </c>
      <c r="C70" s="44" t="str">
        <f t="shared" si="1"/>
        <v>NWD-514834XXXXXX0214-YMN8----YMN8003-MUMBAI</v>
      </c>
      <c r="D70" s="44">
        <v>5000</v>
      </c>
      <c r="E70" s="44" t="s">
        <v>57</v>
      </c>
      <c r="G70"/>
      <c r="H70"/>
    </row>
    <row r="71" spans="1:8" ht="14.5" x14ac:dyDescent="0.35">
      <c r="A71" s="44" t="s">
        <v>136</v>
      </c>
      <c r="B71" s="44" t="s">
        <v>142</v>
      </c>
      <c r="C71" s="44" t="str">
        <f t="shared" si="1"/>
        <v>SUPER STATIONERY   X-9930---28330465867-UPI</v>
      </c>
      <c r="D71" s="44">
        <v>22</v>
      </c>
      <c r="E71" s="44" t="s">
        <v>57</v>
      </c>
      <c r="G71"/>
      <c r="H71"/>
    </row>
    <row r="72" spans="1:8" ht="14.5" x14ac:dyDescent="0.35">
      <c r="A72" s="44" t="s">
        <v>136</v>
      </c>
      <c r="B72" s="44" t="s">
        <v>143</v>
      </c>
      <c r="C72" s="44" t="str">
        <f t="shared" si="1"/>
        <v>ROYAL MEDICAL AND GE-PAYT---28339140947-UPI</v>
      </c>
      <c r="D72" s="44">
        <v>90</v>
      </c>
      <c r="E72" s="44" t="s">
        <v>57</v>
      </c>
      <c r="G72"/>
      <c r="H72"/>
    </row>
    <row r="73" spans="1:8" ht="14.5" x14ac:dyDescent="0.35">
      <c r="A73" s="44" t="s">
        <v>136</v>
      </c>
      <c r="B73" s="44" t="s">
        <v>144</v>
      </c>
      <c r="C73" s="44" t="str">
        <f t="shared" si="1"/>
        <v>HARISH VIJAY TETGURE-Q721---28339958265-UPI</v>
      </c>
      <c r="D73" s="44">
        <v>115</v>
      </c>
      <c r="E73" s="44" t="s">
        <v>57</v>
      </c>
      <c r="G73"/>
      <c r="H73"/>
    </row>
    <row r="74" spans="1:8" ht="14.5" x14ac:dyDescent="0.35">
      <c r="A74" s="44" t="s">
        <v>136</v>
      </c>
      <c r="B74" s="44" t="s">
        <v>145</v>
      </c>
      <c r="C74" s="44" t="str">
        <f t="shared" si="1"/>
        <v>BINDIYA-PAYTMQRS7V52KW7O7---28346250241-UPI</v>
      </c>
      <c r="D74" s="44">
        <v>390</v>
      </c>
      <c r="E74" s="44" t="s">
        <v>57</v>
      </c>
      <c r="G74"/>
      <c r="H74"/>
    </row>
    <row r="75" spans="1:8" ht="14.5" x14ac:dyDescent="0.35">
      <c r="A75" s="44" t="s">
        <v>146</v>
      </c>
      <c r="B75" s="44" t="s">
        <v>147</v>
      </c>
      <c r="C75" s="44" t="str">
        <f t="shared" si="1"/>
        <v>VIKAS STORE-Q249422682@YB---28459656504-UPI</v>
      </c>
      <c r="D75" s="44">
        <v>150</v>
      </c>
      <c r="E75" s="44" t="s">
        <v>65</v>
      </c>
      <c r="G75"/>
      <c r="H75"/>
    </row>
    <row r="76" spans="1:8" ht="14.5" x14ac:dyDescent="0.35">
      <c r="A76" s="44" t="s">
        <v>146</v>
      </c>
      <c r="B76" s="44" t="s">
        <v>148</v>
      </c>
      <c r="C76" s="44" t="str">
        <f t="shared" si="1"/>
        <v>GANJI HARSHAL HITEND-HARS---SH FOR HYDROLIC</v>
      </c>
      <c r="D76" s="44">
        <v>15000</v>
      </c>
      <c r="E76" s="44" t="s">
        <v>65</v>
      </c>
      <c r="G76"/>
      <c r="H76"/>
    </row>
    <row r="77" spans="1:8" ht="14.5" x14ac:dyDescent="0.35">
      <c r="A77" s="44" t="s">
        <v>146</v>
      </c>
      <c r="B77" s="44" t="s">
        <v>149</v>
      </c>
      <c r="C77" s="44" t="str">
        <f t="shared" si="1"/>
        <v>RAJESH VISANJI  SAVL-RAJU---28482755642-UPI</v>
      </c>
      <c r="D77" s="44">
        <v>250</v>
      </c>
      <c r="E77" s="44" t="s">
        <v>65</v>
      </c>
      <c r="G77"/>
      <c r="H77"/>
    </row>
    <row r="78" spans="1:8" ht="14.5" x14ac:dyDescent="0.35">
      <c r="A78" s="44" t="s">
        <v>146</v>
      </c>
      <c r="B78" s="44" t="s">
        <v>150</v>
      </c>
      <c r="C78" s="44" t="str">
        <f t="shared" si="1"/>
        <v>MH TRAFFIC POLICE-HSBIMOP---28490135190-UPI</v>
      </c>
      <c r="D78" s="44">
        <v>1200</v>
      </c>
      <c r="E78" s="44" t="s">
        <v>65</v>
      </c>
      <c r="G78"/>
      <c r="H78"/>
    </row>
    <row r="79" spans="1:8" ht="14.5" x14ac:dyDescent="0.35">
      <c r="A79" s="44" t="s">
        <v>146</v>
      </c>
      <c r="B79" s="44" t="s">
        <v>151</v>
      </c>
      <c r="C79" s="44" t="str">
        <f t="shared" si="1"/>
        <v>TABASSUM NAUSHAD ANS-Q340---28491843348-UPI</v>
      </c>
      <c r="D79" s="44">
        <v>630</v>
      </c>
      <c r="E79" s="44" t="s">
        <v>57</v>
      </c>
      <c r="G79"/>
      <c r="H79"/>
    </row>
    <row r="80" spans="1:8" ht="14.5" x14ac:dyDescent="0.35">
      <c r="A80" s="44" t="s">
        <v>146</v>
      </c>
      <c r="B80" s="44" t="s">
        <v>152</v>
      </c>
      <c r="C80" s="44" t="str">
        <f t="shared" si="1"/>
        <v>RAMJANAM SHANKAR GUP-Q204---28492169396-UPI</v>
      </c>
      <c r="D80" s="44">
        <v>20</v>
      </c>
      <c r="E80" s="44" t="s">
        <v>57</v>
      </c>
      <c r="G80"/>
      <c r="H80"/>
    </row>
    <row r="81" spans="1:8" ht="14.5" x14ac:dyDescent="0.35">
      <c r="A81" s="44" t="s">
        <v>146</v>
      </c>
      <c r="B81" s="44" t="s">
        <v>153</v>
      </c>
      <c r="C81" s="44" t="str">
        <f t="shared" si="1"/>
        <v>ASHOK D VORA-Q831701224@Y---28492211393-UPI</v>
      </c>
      <c r="D81" s="44">
        <v>25</v>
      </c>
      <c r="E81" s="44" t="s">
        <v>57</v>
      </c>
      <c r="G81"/>
      <c r="H81"/>
    </row>
    <row r="82" spans="1:8" ht="14.5" x14ac:dyDescent="0.35">
      <c r="A82" s="44" t="s">
        <v>146</v>
      </c>
      <c r="B82" s="44" t="s">
        <v>154</v>
      </c>
      <c r="C82" s="44" t="str">
        <f t="shared" si="1"/>
        <v>ARVIND HAKMICHAND PA-ARVI---RAT GARBA DELIV</v>
      </c>
      <c r="D82" s="44">
        <v>700</v>
      </c>
      <c r="E82" s="44" t="s">
        <v>97</v>
      </c>
      <c r="G82"/>
      <c r="H82"/>
    </row>
    <row r="83" spans="1:8" ht="14.5" x14ac:dyDescent="0.35">
      <c r="A83" s="44" t="s">
        <v>155</v>
      </c>
      <c r="B83" s="44" t="s">
        <v>156</v>
      </c>
      <c r="C83" s="44" t="str">
        <f t="shared" si="1"/>
        <v>MRS HIRAL CHETAN MER-GETH---514954699-GARBA</v>
      </c>
      <c r="D83" s="44">
        <v>801</v>
      </c>
      <c r="E83" s="44" t="s">
        <v>97</v>
      </c>
      <c r="G83"/>
      <c r="H83"/>
    </row>
    <row r="84" spans="1:8" ht="14.5" x14ac:dyDescent="0.35">
      <c r="A84" s="44" t="s">
        <v>155</v>
      </c>
      <c r="B84" s="44" t="s">
        <v>157</v>
      </c>
      <c r="C84" s="44" t="str">
        <f t="shared" si="1"/>
        <v>HUKAM PAL SINGH-975935289---UMPAL KHURJA TR</v>
      </c>
      <c r="D84" s="44">
        <v>700</v>
      </c>
      <c r="E84" s="44" t="s">
        <v>18</v>
      </c>
      <c r="G84"/>
      <c r="H84"/>
    </row>
    <row r="85" spans="1:8" ht="14.5" x14ac:dyDescent="0.35">
      <c r="A85" s="44" t="s">
        <v>155</v>
      </c>
      <c r="B85" s="44" t="s">
        <v>158</v>
      </c>
      <c r="C85" s="44" t="str">
        <f t="shared" si="1"/>
        <v>HUKAM PAL SINGH-975935289---UMPAL KHURJA TR</v>
      </c>
      <c r="D85" s="44">
        <v>20000</v>
      </c>
      <c r="E85" s="44" t="s">
        <v>18</v>
      </c>
      <c r="G85"/>
      <c r="H85"/>
    </row>
    <row r="86" spans="1:8" ht="14.5" x14ac:dyDescent="0.35">
      <c r="A86" s="44" t="s">
        <v>155</v>
      </c>
      <c r="B86" s="44" t="s">
        <v>159</v>
      </c>
      <c r="C86" s="44" t="str">
        <f t="shared" si="1"/>
        <v>UMRA KHAN-8439090455@PAYT---LIM BHAI KHURJA</v>
      </c>
      <c r="D86" s="44">
        <v>25000</v>
      </c>
      <c r="E86" s="44" t="s">
        <v>18</v>
      </c>
      <c r="G86"/>
      <c r="H86"/>
    </row>
    <row r="87" spans="1:8" ht="14.5" x14ac:dyDescent="0.35">
      <c r="A87" s="44" t="s">
        <v>155</v>
      </c>
      <c r="B87" s="44" t="s">
        <v>160</v>
      </c>
      <c r="C87" s="44" t="str">
        <f t="shared" si="1"/>
        <v>PRIYADARSHANI C KOPA-RANI---28536036387-UPI</v>
      </c>
      <c r="D87" s="44">
        <v>50</v>
      </c>
      <c r="E87" s="44" t="s">
        <v>57</v>
      </c>
      <c r="G87"/>
      <c r="H87"/>
    </row>
    <row r="88" spans="1:8" ht="14.5" x14ac:dyDescent="0.35">
      <c r="A88" s="44" t="s">
        <v>155</v>
      </c>
      <c r="B88" s="44" t="s">
        <v>161</v>
      </c>
      <c r="C88" s="44" t="str">
        <f t="shared" si="1"/>
        <v>ARSH CONSTRUCTION  P-9319---2110-SALIM BHAI</v>
      </c>
      <c r="D88" s="44">
        <v>10</v>
      </c>
      <c r="E88" s="44" t="s">
        <v>57</v>
      </c>
      <c r="G88"/>
      <c r="H88"/>
    </row>
    <row r="89" spans="1:8" ht="14.5" x14ac:dyDescent="0.35">
      <c r="A89" s="44" t="s">
        <v>155</v>
      </c>
      <c r="B89" s="44" t="s">
        <v>162</v>
      </c>
      <c r="C89" s="44" t="str">
        <f t="shared" si="1"/>
        <v>ARSH CONSTRUCTION  P-9319---IM BHAI  KHURJA</v>
      </c>
      <c r="D89" s="44">
        <v>25000</v>
      </c>
      <c r="E89" s="44" t="s">
        <v>65</v>
      </c>
      <c r="G89"/>
      <c r="H89"/>
    </row>
    <row r="90" spans="1:8" ht="14.5" x14ac:dyDescent="0.35">
      <c r="A90" s="44" t="s">
        <v>155</v>
      </c>
      <c r="B90" s="44" t="s">
        <v>163</v>
      </c>
      <c r="C90" s="44" t="str">
        <f t="shared" si="1"/>
        <v>IMRAN AHMAD IMAM UDD-PAYT---28544143080-UPI</v>
      </c>
      <c r="D90" s="44">
        <v>250</v>
      </c>
      <c r="E90" s="44" t="s">
        <v>57</v>
      </c>
      <c r="G90"/>
      <c r="H90"/>
    </row>
    <row r="91" spans="1:8" ht="14.5" x14ac:dyDescent="0.35">
      <c r="A91" s="44" t="s">
        <v>164</v>
      </c>
      <c r="B91" s="44" t="s">
        <v>165</v>
      </c>
      <c r="C91" s="44" t="str">
        <f t="shared" si="1"/>
        <v>ARBAJ JAMSHED KHAN-AKHAN2---28647072768-UPI</v>
      </c>
      <c r="D91" s="44">
        <v>200</v>
      </c>
      <c r="E91" s="44" t="s">
        <v>57</v>
      </c>
      <c r="G91"/>
      <c r="H91"/>
    </row>
    <row r="92" spans="1:8" ht="14.5" x14ac:dyDescent="0.35">
      <c r="A92" s="44" t="s">
        <v>164</v>
      </c>
      <c r="B92" s="44" t="s">
        <v>166</v>
      </c>
      <c r="C92" s="44" t="str">
        <f t="shared" si="1"/>
        <v>ARBAJ JAMSHED KHAN-AKHAN2---AZ ISAHAD NIGHT</v>
      </c>
      <c r="D92" s="44">
        <v>2080</v>
      </c>
      <c r="E92" s="44" t="s">
        <v>54</v>
      </c>
      <c r="G92"/>
      <c r="H92"/>
    </row>
    <row r="93" spans="1:8" ht="14.5" x14ac:dyDescent="0.35">
      <c r="A93" s="44" t="s">
        <v>164</v>
      </c>
      <c r="B93" s="44" t="s">
        <v>167</v>
      </c>
      <c r="C93" s="44" t="str">
        <f t="shared" si="1"/>
        <v>ARBAJ JAMSHED KHAN-AKHAN2---EER AYAN TABARA</v>
      </c>
      <c r="D93" s="44">
        <v>2400</v>
      </c>
      <c r="E93" s="44" t="s">
        <v>54</v>
      </c>
      <c r="G93"/>
      <c r="H93"/>
    </row>
    <row r="94" spans="1:8" ht="14.5" x14ac:dyDescent="0.35">
      <c r="A94" s="44" t="s">
        <v>164</v>
      </c>
      <c r="B94" s="44" t="s">
        <v>168</v>
      </c>
      <c r="C94" s="44" t="str">
        <f t="shared" si="1"/>
        <v>AARIF ABDUL RAHIM SH-SAYY---28647270190-UPI</v>
      </c>
      <c r="D94" s="44">
        <v>300</v>
      </c>
      <c r="E94" s="44" t="s">
        <v>54</v>
      </c>
      <c r="G94"/>
      <c r="H94"/>
    </row>
    <row r="95" spans="1:8" ht="14.5" x14ac:dyDescent="0.35">
      <c r="A95" s="44" t="s">
        <v>164</v>
      </c>
      <c r="B95" s="44" t="s">
        <v>169</v>
      </c>
      <c r="C95" s="44" t="str">
        <f t="shared" si="1"/>
        <v>.IMPS P2P 326316151327#20---DT2328619412402</v>
      </c>
      <c r="D95" s="44">
        <v>17.7</v>
      </c>
      <c r="E95" s="44" t="s">
        <v>57</v>
      </c>
      <c r="G95"/>
      <c r="H95"/>
    </row>
    <row r="96" spans="1:8" ht="14.5" x14ac:dyDescent="0.35">
      <c r="A96" s="44" t="s">
        <v>164</v>
      </c>
      <c r="B96" s="44" t="s">
        <v>170</v>
      </c>
      <c r="C96" s="44" t="str">
        <f t="shared" si="1"/>
        <v>BILLDESKTEZ-BILLDESK.RECH---28664553099-UPI</v>
      </c>
      <c r="D96" s="44">
        <v>259</v>
      </c>
      <c r="E96" s="44" t="s">
        <v>57</v>
      </c>
      <c r="G96"/>
      <c r="H96"/>
    </row>
    <row r="97" spans="1:8" ht="14.5" x14ac:dyDescent="0.35">
      <c r="A97" s="44" t="s">
        <v>164</v>
      </c>
      <c r="B97" s="44" t="s">
        <v>171</v>
      </c>
      <c r="C97" s="44" t="str">
        <f t="shared" si="1"/>
        <v>IMITYAZ MODH SAID QU-IMTI---28664786678-UPI</v>
      </c>
      <c r="D97" s="44">
        <v>243</v>
      </c>
      <c r="E97" s="44" t="s">
        <v>57</v>
      </c>
      <c r="G97"/>
      <c r="H97"/>
    </row>
    <row r="98" spans="1:8" ht="14.5" x14ac:dyDescent="0.35">
      <c r="A98" s="44" t="s">
        <v>164</v>
      </c>
      <c r="B98" s="44" t="s">
        <v>172</v>
      </c>
      <c r="C98" s="44" t="str">
        <f t="shared" si="1"/>
        <v>MANISHA VISHAL BHOGA-9867---UPATI TRANSPORT</v>
      </c>
      <c r="D98" s="44">
        <v>1500</v>
      </c>
      <c r="E98" s="44" t="s">
        <v>18</v>
      </c>
      <c r="G98"/>
      <c r="H98"/>
    </row>
    <row r="99" spans="1:8" ht="14.5" x14ac:dyDescent="0.35">
      <c r="A99" s="44" t="s">
        <v>164</v>
      </c>
      <c r="B99" s="44" t="s">
        <v>173</v>
      </c>
      <c r="C99" s="44" t="str">
        <f t="shared" si="1"/>
        <v>MANISHA VISHAL BHOGA-9867---UPATI TRANSPORT</v>
      </c>
      <c r="D99" s="44">
        <v>7000</v>
      </c>
      <c r="E99" s="44" t="s">
        <v>18</v>
      </c>
      <c r="G99"/>
      <c r="H99"/>
    </row>
    <row r="100" spans="1:8" ht="14.5" x14ac:dyDescent="0.35">
      <c r="A100" s="44" t="s">
        <v>164</v>
      </c>
      <c r="B100" s="44" t="s">
        <v>174</v>
      </c>
      <c r="C100" s="44" t="str">
        <f t="shared" si="1"/>
        <v>P AYYASAMY SHASHI  A-PAYT---28674695120-UPI</v>
      </c>
      <c r="D100" s="44">
        <v>700</v>
      </c>
      <c r="E100" s="44" t="s">
        <v>57</v>
      </c>
      <c r="G100"/>
      <c r="H100"/>
    </row>
    <row r="101" spans="1:8" ht="14.5" x14ac:dyDescent="0.35">
      <c r="A101" s="44" t="s">
        <v>164</v>
      </c>
      <c r="B101" s="44" t="s">
        <v>175</v>
      </c>
      <c r="C101" s="44" t="str">
        <f t="shared" si="1"/>
        <v>AMRAPALI KITCHEN-SNEHALT1---28687336224-UPI</v>
      </c>
      <c r="D101" s="44">
        <v>300</v>
      </c>
      <c r="E101" s="44" t="s">
        <v>57</v>
      </c>
      <c r="G101"/>
      <c r="H101"/>
    </row>
    <row r="102" spans="1:8" ht="14.5" x14ac:dyDescent="0.35">
      <c r="A102" s="44" t="s">
        <v>164</v>
      </c>
      <c r="B102" s="44" t="s">
        <v>176</v>
      </c>
      <c r="C102" s="44" t="str">
        <f t="shared" si="1"/>
        <v>KURBAN   ALI-Q073429199@Y---28687790076-UPI</v>
      </c>
      <c r="D102" s="44">
        <v>160</v>
      </c>
      <c r="E102" s="44" t="s">
        <v>57</v>
      </c>
      <c r="G102"/>
      <c r="H102"/>
    </row>
    <row r="103" spans="1:8" ht="14.5" x14ac:dyDescent="0.35">
      <c r="A103" s="44" t="s">
        <v>177</v>
      </c>
      <c r="B103" s="44" t="s">
        <v>178</v>
      </c>
      <c r="C103" s="44" t="str">
        <f t="shared" si="1"/>
        <v>MOHAMMAD SALMAN-SALMANRYI---MAN DANISH SOHA</v>
      </c>
      <c r="D103" s="44">
        <v>1600</v>
      </c>
      <c r="E103" s="44" t="s">
        <v>65</v>
      </c>
      <c r="G103"/>
      <c r="H103"/>
    </row>
    <row r="104" spans="1:8" ht="14.5" x14ac:dyDescent="0.35">
      <c r="A104" s="44" t="s">
        <v>177</v>
      </c>
      <c r="B104" s="44" t="s">
        <v>179</v>
      </c>
      <c r="C104" s="44" t="str">
        <f t="shared" si="1"/>
        <v>SANJAYBHAI GANSHYAMB-9909---JAY BHAI CHOTIL</v>
      </c>
      <c r="D104" s="44">
        <v>1300</v>
      </c>
      <c r="E104" s="44" t="s">
        <v>65</v>
      </c>
      <c r="G104"/>
      <c r="H104"/>
    </row>
    <row r="105" spans="1:8" ht="14.5" x14ac:dyDescent="0.35">
      <c r="A105" s="44" t="s">
        <v>177</v>
      </c>
      <c r="B105" s="44" t="s">
        <v>180</v>
      </c>
      <c r="C105" s="44" t="str">
        <f t="shared" si="1"/>
        <v>SAYYED SAIF ALI-745909921---65321747057-UPI</v>
      </c>
      <c r="D105" s="44">
        <v>400</v>
      </c>
      <c r="E105" s="44" t="s">
        <v>54</v>
      </c>
      <c r="G105"/>
      <c r="H105"/>
    </row>
    <row r="106" spans="1:8" ht="14.5" x14ac:dyDescent="0.35">
      <c r="A106" s="44" t="s">
        <v>177</v>
      </c>
      <c r="B106" s="44" t="s">
        <v>181</v>
      </c>
      <c r="C106" s="44" t="str">
        <f t="shared" si="1"/>
        <v>A RAMA NAYAKS UDIPI -PAYT---28719259015-UPI</v>
      </c>
      <c r="D106" s="44">
        <v>16</v>
      </c>
      <c r="E106" s="44" t="s">
        <v>57</v>
      </c>
      <c r="G106"/>
      <c r="H106"/>
    </row>
    <row r="107" spans="1:8" ht="14.5" x14ac:dyDescent="0.35">
      <c r="A107" s="44" t="s">
        <v>177</v>
      </c>
      <c r="B107" s="44" t="s">
        <v>182</v>
      </c>
      <c r="C107" s="44" t="str">
        <f t="shared" si="1"/>
        <v>INDIAN OIL PETROL PU-Q844---28730937751-UPI</v>
      </c>
      <c r="D107" s="44">
        <v>200</v>
      </c>
      <c r="E107" s="44" t="s">
        <v>57</v>
      </c>
      <c r="G107"/>
      <c r="H107"/>
    </row>
    <row r="108" spans="1:8" ht="14.5" x14ac:dyDescent="0.35">
      <c r="A108" s="44" t="s">
        <v>177</v>
      </c>
      <c r="B108" s="44" t="s">
        <v>183</v>
      </c>
      <c r="C108" s="44" t="str">
        <f t="shared" si="1"/>
        <v>PARESH MARU-PMARU84@OKHDF---8732245052-FINE</v>
      </c>
      <c r="D108" s="44">
        <v>500</v>
      </c>
      <c r="E108" s="44" t="s">
        <v>65</v>
      </c>
      <c r="G108"/>
      <c r="H108"/>
    </row>
    <row r="109" spans="1:8" ht="14.5" x14ac:dyDescent="0.35">
      <c r="A109" s="44" t="s">
        <v>184</v>
      </c>
      <c r="B109" s="44" t="s">
        <v>185</v>
      </c>
      <c r="C109" s="44" t="str">
        <f t="shared" si="1"/>
        <v>GIRI MATUNGA-PAYTMQR1Q773---28840151181-UPI</v>
      </c>
      <c r="D109" s="44">
        <v>70</v>
      </c>
      <c r="E109" s="44" t="s">
        <v>57</v>
      </c>
      <c r="G109"/>
      <c r="H109"/>
    </row>
    <row r="110" spans="1:8" ht="14.5" x14ac:dyDescent="0.35">
      <c r="A110" s="44" t="s">
        <v>184</v>
      </c>
      <c r="B110" s="44" t="s">
        <v>186</v>
      </c>
      <c r="C110" s="44" t="str">
        <f t="shared" si="1"/>
        <v>ARIHANT-0790635A0116600.B---28840687327-UPI</v>
      </c>
      <c r="D110" s="44">
        <v>1750</v>
      </c>
      <c r="E110" s="44" t="s">
        <v>57</v>
      </c>
      <c r="G110"/>
      <c r="H110"/>
    </row>
    <row r="111" spans="1:8" ht="14.5" x14ac:dyDescent="0.35">
      <c r="A111" s="44" t="s">
        <v>184</v>
      </c>
      <c r="B111" s="44" t="s">
        <v>187</v>
      </c>
      <c r="C111" s="44" t="str">
        <f t="shared" si="1"/>
        <v>JAISWAL CHIKKI-GPAY-11194---28842605419-UPI</v>
      </c>
      <c r="D111" s="44">
        <v>390</v>
      </c>
      <c r="E111" s="44" t="s">
        <v>57</v>
      </c>
      <c r="G111"/>
      <c r="H111"/>
    </row>
    <row r="112" spans="1:8" ht="14.5" x14ac:dyDescent="0.35">
      <c r="A112" s="44" t="s">
        <v>184</v>
      </c>
      <c r="B112" s="44" t="s">
        <v>188</v>
      </c>
      <c r="C112" s="44" t="str">
        <f t="shared" si="1"/>
        <v>SANJAYBHAI GANSHYAMB-9909---28858879411-UPI</v>
      </c>
      <c r="D112" s="44">
        <v>7000</v>
      </c>
      <c r="E112" s="44" t="s">
        <v>65</v>
      </c>
      <c r="G112"/>
      <c r="H112"/>
    </row>
    <row r="113" spans="1:8" ht="14.5" x14ac:dyDescent="0.35">
      <c r="A113" s="44" t="s">
        <v>184</v>
      </c>
      <c r="B113" s="44" t="s">
        <v>189</v>
      </c>
      <c r="C113" s="44" t="str">
        <f t="shared" si="1"/>
        <v>GOOGLE INDIA DIGITAL-GPAY---28871461791-UPI</v>
      </c>
      <c r="D113" s="44">
        <v>719</v>
      </c>
      <c r="E113" s="44" t="s">
        <v>57</v>
      </c>
      <c r="G113"/>
      <c r="H113"/>
    </row>
    <row r="114" spans="1:8" x14ac:dyDescent="0.25">
      <c r="A114" s="44" t="s">
        <v>184</v>
      </c>
      <c r="B114" s="44" t="s">
        <v>190</v>
      </c>
      <c r="C114" s="44" t="str">
        <f t="shared" si="1"/>
        <v>MYNACHIKETA KNOWLEDG-RZPV---ACHIKETAKNOWLED</v>
      </c>
      <c r="D114" s="44">
        <v>186</v>
      </c>
      <c r="E114" s="44" t="s">
        <v>57</v>
      </c>
    </row>
    <row r="115" spans="1:8" x14ac:dyDescent="0.25">
      <c r="A115" s="44" t="s">
        <v>191</v>
      </c>
      <c r="B115" s="44" t="s">
        <v>192</v>
      </c>
      <c r="C115" s="44" t="str">
        <f t="shared" si="1"/>
        <v>SANJAY VITTAL BHAGAT-Q941---28993764867-UPI</v>
      </c>
      <c r="D115" s="44">
        <v>80</v>
      </c>
      <c r="E115" s="44" t="s">
        <v>57</v>
      </c>
    </row>
    <row r="116" spans="1:8" x14ac:dyDescent="0.25">
      <c r="A116" s="44" t="s">
        <v>191</v>
      </c>
      <c r="B116" s="44" t="s">
        <v>193</v>
      </c>
      <c r="C116" s="44" t="str">
        <f t="shared" si="1"/>
        <v>SHYAMBAHADUR SINGH-805242---28993909089-UPI</v>
      </c>
      <c r="D116" s="44">
        <v>160</v>
      </c>
      <c r="E116" s="44" t="s">
        <v>57</v>
      </c>
    </row>
    <row r="117" spans="1:8" x14ac:dyDescent="0.25">
      <c r="A117" s="44" t="s">
        <v>191</v>
      </c>
      <c r="B117" s="44" t="s">
        <v>194</v>
      </c>
      <c r="C117" s="44" t="str">
        <f t="shared" si="1"/>
        <v>ARVIND HAKMICHAND PA-ARVI---28995280674-UPI</v>
      </c>
      <c r="D117" s="44">
        <v>175</v>
      </c>
      <c r="E117" s="44" t="s">
        <v>57</v>
      </c>
    </row>
    <row r="118" spans="1:8" x14ac:dyDescent="0.25">
      <c r="A118" s="44" t="s">
        <v>191</v>
      </c>
      <c r="B118" s="44" t="s">
        <v>195</v>
      </c>
      <c r="C118" s="44" t="str">
        <f t="shared" si="1"/>
        <v>GANJI HARSHAL HITEND-HARS---617-HARSH GANJI</v>
      </c>
      <c r="D118" s="44">
        <v>10000</v>
      </c>
      <c r="E118" s="44" t="s">
        <v>65</v>
      </c>
    </row>
    <row r="119" spans="1:8" x14ac:dyDescent="0.25">
      <c r="A119" s="44" t="s">
        <v>191</v>
      </c>
      <c r="B119" s="44" t="s">
        <v>196</v>
      </c>
      <c r="C119" s="44" t="str">
        <f t="shared" si="1"/>
        <v>SHAISTA SAJID QADRI-IBRAH---ID BHAI METRO F</v>
      </c>
      <c r="D119" s="44">
        <v>50000</v>
      </c>
      <c r="E119" s="44" t="s">
        <v>65</v>
      </c>
    </row>
    <row r="120" spans="1:8" x14ac:dyDescent="0.25">
      <c r="A120" s="44" t="s">
        <v>191</v>
      </c>
      <c r="B120" s="44" t="s">
        <v>197</v>
      </c>
      <c r="C120" s="44" t="str">
        <f t="shared" si="1"/>
        <v>05011610165174-TPT-CASH-D---MESH DEVJI MARU</v>
      </c>
      <c r="D120" s="44">
        <v>110000</v>
      </c>
      <c r="E120" s="44" t="s">
        <v>198</v>
      </c>
    </row>
    <row r="121" spans="1:8" x14ac:dyDescent="0.25">
      <c r="A121" s="44" t="s">
        <v>191</v>
      </c>
      <c r="B121" s="44" t="s">
        <v>197</v>
      </c>
      <c r="C121" s="44" t="str">
        <f t="shared" si="1"/>
        <v>05011610165174-TPT-CASH-D---MESH DEVJI MARU</v>
      </c>
      <c r="D121" s="44">
        <v>10000</v>
      </c>
      <c r="E121" s="44" t="s">
        <v>198</v>
      </c>
    </row>
    <row r="122" spans="1:8" x14ac:dyDescent="0.25">
      <c r="A122" s="44" t="s">
        <v>199</v>
      </c>
      <c r="B122" s="44" t="s">
        <v>200</v>
      </c>
      <c r="C122" s="44" t="str">
        <f t="shared" si="1"/>
        <v>MOHMMAD DANISH-6398977034---ISH CERAMIC DIY</v>
      </c>
      <c r="D122" s="44">
        <v>16000</v>
      </c>
      <c r="E122" s="44" t="s">
        <v>65</v>
      </c>
    </row>
    <row r="123" spans="1:8" x14ac:dyDescent="0.25">
      <c r="A123" s="44" t="s">
        <v>199</v>
      </c>
      <c r="B123" s="44" t="s">
        <v>201</v>
      </c>
      <c r="C123" s="44" t="str">
        <f t="shared" si="1"/>
        <v>SHAHIN-SALIMKHAN29031@OKI---IM BHAI ADVANCE</v>
      </c>
      <c r="D123" s="44">
        <v>30000</v>
      </c>
      <c r="E123" s="44" t="s">
        <v>65</v>
      </c>
    </row>
    <row r="124" spans="1:8" x14ac:dyDescent="0.25">
      <c r="A124" s="44" t="s">
        <v>202</v>
      </c>
      <c r="B124" s="44" t="s">
        <v>203</v>
      </c>
      <c r="C124" s="44" t="str">
        <f t="shared" si="1"/>
        <v>THAMOTHARAN V-PAYTMQR2810---MENT FROM PHONE</v>
      </c>
      <c r="D124" s="44">
        <v>1400</v>
      </c>
      <c r="E124" s="44" t="s">
        <v>65</v>
      </c>
    </row>
    <row r="125" spans="1:8" x14ac:dyDescent="0.25">
      <c r="A125" s="44" t="s">
        <v>202</v>
      </c>
      <c r="B125" s="44" t="s">
        <v>204</v>
      </c>
      <c r="C125" s="44" t="str">
        <f t="shared" si="1"/>
        <v>MAHENDRAKUMAR SAHEBL-MP97---29185239374-UPI</v>
      </c>
      <c r="D125" s="44">
        <v>100</v>
      </c>
      <c r="E125" s="44" t="s">
        <v>65</v>
      </c>
    </row>
    <row r="126" spans="1:8" x14ac:dyDescent="0.25">
      <c r="A126" s="44" t="s">
        <v>202</v>
      </c>
      <c r="B126" s="44" t="s">
        <v>205</v>
      </c>
      <c r="C126" s="44" t="str">
        <f t="shared" si="1"/>
        <v>SHREE HARDEV EARTHAN-MANO---29191221949-UPI</v>
      </c>
      <c r="D126" s="44">
        <v>550</v>
      </c>
      <c r="E126" s="44" t="s">
        <v>97</v>
      </c>
    </row>
    <row r="127" spans="1:8" x14ac:dyDescent="0.25">
      <c r="A127" s="44" t="s">
        <v>202</v>
      </c>
      <c r="B127" s="44" t="s">
        <v>206</v>
      </c>
      <c r="C127" s="44" t="str">
        <f t="shared" si="1"/>
        <v>MOHD OWAIS-OWAISALI9520@O---3830-OWAIS BHAI</v>
      </c>
      <c r="D127" s="44">
        <v>50000</v>
      </c>
      <c r="E127" s="44" t="s">
        <v>65</v>
      </c>
    </row>
    <row r="128" spans="1:8" x14ac:dyDescent="0.25">
      <c r="A128" s="44" t="s">
        <v>202</v>
      </c>
      <c r="B128" s="44" t="s">
        <v>207</v>
      </c>
      <c r="C128" s="44" t="str">
        <f t="shared" si="1"/>
        <v>HINDAUTOMOBILES-OMBK.AACK---29111132541-UPI</v>
      </c>
      <c r="D128" s="44">
        <v>230</v>
      </c>
      <c r="E128" s="44" t="s">
        <v>65</v>
      </c>
    </row>
    <row r="129" spans="1:5" x14ac:dyDescent="0.25">
      <c r="A129" s="44" t="s">
        <v>208</v>
      </c>
      <c r="B129" s="44" t="s">
        <v>209</v>
      </c>
      <c r="C129" s="44" t="str">
        <f t="shared" si="1"/>
        <v>KIRAN DILIP BHARADWA-JHAL---BA NA UDHAR PAI</v>
      </c>
      <c r="D129" s="44">
        <v>4440</v>
      </c>
      <c r="E129" s="44" t="s">
        <v>57</v>
      </c>
    </row>
    <row r="130" spans="1:5" x14ac:dyDescent="0.25">
      <c r="A130" s="44" t="s">
        <v>208</v>
      </c>
      <c r="B130" s="44" t="s">
        <v>210</v>
      </c>
      <c r="C130" s="44" t="str">
        <f t="shared" si="1"/>
        <v>ARBAJ JAMSHED KHAN-AKHAN2---29258326088-UPI</v>
      </c>
      <c r="D130" s="44">
        <v>400</v>
      </c>
      <c r="E130" s="44" t="s">
        <v>54</v>
      </c>
    </row>
    <row r="131" spans="1:5" x14ac:dyDescent="0.25">
      <c r="A131" s="44" t="s">
        <v>208</v>
      </c>
      <c r="B131" s="44" t="s">
        <v>211</v>
      </c>
      <c r="C131" s="44" t="str">
        <f t="shared" ref="C131:C194" si="2">LEFT(B131,25)&amp;"---"&amp;RIGHT(B131,15)</f>
        <v>CHIDURALA SHREENIVAS-Q701---29262013709-UPI</v>
      </c>
      <c r="D131" s="44">
        <v>230</v>
      </c>
      <c r="E131" s="44" t="s">
        <v>57</v>
      </c>
    </row>
    <row r="132" spans="1:5" x14ac:dyDescent="0.25">
      <c r="A132" s="44" t="s">
        <v>212</v>
      </c>
      <c r="B132" s="44" t="s">
        <v>213</v>
      </c>
      <c r="C132" s="44" t="str">
        <f t="shared" si="2"/>
        <v>LIFE CARE HOSPITAL-LIFECA---29365680148-UPI</v>
      </c>
      <c r="D132" s="44">
        <v>756</v>
      </c>
      <c r="E132" s="44" t="s">
        <v>57</v>
      </c>
    </row>
    <row r="133" spans="1:5" x14ac:dyDescent="0.25">
      <c r="A133" s="44" t="s">
        <v>212</v>
      </c>
      <c r="B133" s="44" t="s">
        <v>214</v>
      </c>
      <c r="C133" s="44" t="str">
        <f t="shared" si="2"/>
        <v>NARGIS JAHAN-NARGISJAHAN1---MENT FROM PHONE</v>
      </c>
      <c r="D133" s="44">
        <v>30000</v>
      </c>
      <c r="E133" s="44" t="s">
        <v>65</v>
      </c>
    </row>
    <row r="134" spans="1:5" x14ac:dyDescent="0.25">
      <c r="A134" s="44" t="s">
        <v>212</v>
      </c>
      <c r="B134" s="44" t="s">
        <v>215</v>
      </c>
      <c r="C134" s="44" t="str">
        <f t="shared" si="2"/>
        <v>MANOJ RAJNARAYANRAM-BHARA--- TO BHARATPE ME</v>
      </c>
      <c r="D134" s="44">
        <v>20</v>
      </c>
      <c r="E134" s="44" t="s">
        <v>57</v>
      </c>
    </row>
    <row r="135" spans="1:5" x14ac:dyDescent="0.25">
      <c r="A135" s="44" t="s">
        <v>212</v>
      </c>
      <c r="B135" s="44" t="s">
        <v>216</v>
      </c>
      <c r="C135" s="44" t="str">
        <f t="shared" si="2"/>
        <v>MATUNGA-SHIVASMATUNGA@ICI---29379300736-UPI</v>
      </c>
      <c r="D135" s="44">
        <v>80</v>
      </c>
      <c r="E135" s="44" t="s">
        <v>57</v>
      </c>
    </row>
    <row r="136" spans="1:5" x14ac:dyDescent="0.25">
      <c r="A136" s="44" t="s">
        <v>212</v>
      </c>
      <c r="B136" s="44" t="s">
        <v>217</v>
      </c>
      <c r="C136" s="44" t="str">
        <f t="shared" si="2"/>
        <v>SHYJU  V  P-Q040373035@YB---29379856111-UPI</v>
      </c>
      <c r="D136" s="44">
        <v>850</v>
      </c>
      <c r="E136" s="44" t="s">
        <v>218</v>
      </c>
    </row>
    <row r="137" spans="1:5" x14ac:dyDescent="0.25">
      <c r="A137" s="44" t="s">
        <v>212</v>
      </c>
      <c r="B137" s="44" t="s">
        <v>219</v>
      </c>
      <c r="C137" s="44" t="str">
        <f t="shared" si="2"/>
        <v>DHARMENDRA TULSIRAM -DHAR---543-DEEPAK BHAI</v>
      </c>
      <c r="D137" s="44">
        <v>2470</v>
      </c>
      <c r="E137" s="44" t="s">
        <v>65</v>
      </c>
    </row>
    <row r="138" spans="1:5" x14ac:dyDescent="0.25">
      <c r="A138" s="44" t="s">
        <v>212</v>
      </c>
      <c r="B138" s="44" t="s">
        <v>220</v>
      </c>
      <c r="C138" s="44" t="str">
        <f t="shared" si="2"/>
        <v>SHREEJI SUPER MARKET-PAYT---29380150522-UPI</v>
      </c>
      <c r="D138" s="44">
        <v>574</v>
      </c>
      <c r="E138" s="44" t="s">
        <v>57</v>
      </c>
    </row>
    <row r="139" spans="1:5" x14ac:dyDescent="0.25">
      <c r="A139" s="44" t="s">
        <v>212</v>
      </c>
      <c r="B139" s="44" t="s">
        <v>221</v>
      </c>
      <c r="C139" s="44" t="str">
        <f t="shared" si="2"/>
        <v>IMPS-329317349582-HARESH ---A RENT OCT 2023</v>
      </c>
      <c r="D139" s="44">
        <v>105000</v>
      </c>
      <c r="E139" s="44" t="s">
        <v>32</v>
      </c>
    </row>
    <row r="140" spans="1:5" x14ac:dyDescent="0.25">
      <c r="A140" s="44" t="s">
        <v>212</v>
      </c>
      <c r="B140" s="44" t="s">
        <v>222</v>
      </c>
      <c r="C140" s="44" t="str">
        <f t="shared" si="2"/>
        <v>HARESH  RAMJI TANK-HARESH---833-HARESH TANK</v>
      </c>
      <c r="D140" s="44">
        <v>35000</v>
      </c>
      <c r="E140" s="44" t="s">
        <v>198</v>
      </c>
    </row>
    <row r="141" spans="1:5" x14ac:dyDescent="0.25">
      <c r="A141" s="44" t="s">
        <v>212</v>
      </c>
      <c r="B141" s="44" t="s">
        <v>223</v>
      </c>
      <c r="C141" s="44" t="str">
        <f t="shared" si="2"/>
        <v>FAROOQUI JUNAID AHME-FARU---CHAN BHABHI REP</v>
      </c>
      <c r="D141" s="44">
        <v>2000</v>
      </c>
      <c r="E141" s="44" t="s">
        <v>57</v>
      </c>
    </row>
    <row r="142" spans="1:5" x14ac:dyDescent="0.25">
      <c r="A142" s="44" t="s">
        <v>212</v>
      </c>
      <c r="B142" s="44" t="s">
        <v>224</v>
      </c>
      <c r="C142" s="44" t="str">
        <f t="shared" si="2"/>
        <v>FAROOQUI JUNAID AHME-FARU---MENT FROM PHONE</v>
      </c>
      <c r="D142" s="44">
        <v>200</v>
      </c>
      <c r="E142" s="44" t="s">
        <v>57</v>
      </c>
    </row>
    <row r="143" spans="1:5" x14ac:dyDescent="0.25">
      <c r="A143" s="44" t="s">
        <v>212</v>
      </c>
      <c r="B143" s="44" t="s">
        <v>225</v>
      </c>
      <c r="C143" s="44" t="str">
        <f t="shared" si="2"/>
        <v>LA PINOZ PIZZA-PAYTMQR5T8---29312893769-UPI</v>
      </c>
      <c r="D143" s="44">
        <v>213</v>
      </c>
      <c r="E143" s="44" t="s">
        <v>57</v>
      </c>
    </row>
    <row r="144" spans="1:5" x14ac:dyDescent="0.25">
      <c r="A144" s="44" t="s">
        <v>226</v>
      </c>
      <c r="B144" s="44" t="s">
        <v>227</v>
      </c>
      <c r="C144" s="44" t="str">
        <f t="shared" si="2"/>
        <v>SHAHIN-SALIMKHAN29031@OKI---4794-SALIM BHAI</v>
      </c>
      <c r="D144" s="44">
        <v>20000</v>
      </c>
      <c r="E144" s="44" t="s">
        <v>65</v>
      </c>
    </row>
    <row r="145" spans="1:5" x14ac:dyDescent="0.25">
      <c r="A145" s="44" t="s">
        <v>226</v>
      </c>
      <c r="B145" s="44" t="s">
        <v>228</v>
      </c>
      <c r="C145" s="44" t="str">
        <f t="shared" si="2"/>
        <v>MOHAMMAD SALIM-8791824432---1610-SALIM BHAI</v>
      </c>
      <c r="D145" s="44">
        <v>20000</v>
      </c>
      <c r="E145" s="44" t="s">
        <v>65</v>
      </c>
    </row>
    <row r="146" spans="1:5" x14ac:dyDescent="0.25">
      <c r="A146" s="44" t="s">
        <v>226</v>
      </c>
      <c r="B146" s="44" t="s">
        <v>229</v>
      </c>
      <c r="C146" s="44" t="str">
        <f t="shared" si="2"/>
        <v>CHIDURALA SHREENIVAS-Q701---29451983506-UPI</v>
      </c>
      <c r="D146" s="44">
        <v>300</v>
      </c>
      <c r="E146" s="44" t="s">
        <v>57</v>
      </c>
    </row>
    <row r="147" spans="1:5" x14ac:dyDescent="0.25">
      <c r="A147" s="44" t="s">
        <v>226</v>
      </c>
      <c r="B147" s="44" t="s">
        <v>230</v>
      </c>
      <c r="C147" s="44" t="str">
        <f t="shared" si="2"/>
        <v>BAGZA SHEERIN BILAL -BAGZ---97286-MOIN BHAI</v>
      </c>
      <c r="D147" s="44">
        <v>25000</v>
      </c>
      <c r="E147" s="44" t="s">
        <v>65</v>
      </c>
    </row>
    <row r="148" spans="1:5" x14ac:dyDescent="0.25">
      <c r="A148" s="44" t="s">
        <v>231</v>
      </c>
      <c r="B148" s="44" t="s">
        <v>232</v>
      </c>
      <c r="C148" s="44" t="str">
        <f t="shared" si="2"/>
        <v>XXXXXX3340-UTIB0001177-32---29568006348-UPI</v>
      </c>
      <c r="D148" s="44">
        <v>13100</v>
      </c>
      <c r="E148" s="44" t="s">
        <v>65</v>
      </c>
    </row>
    <row r="149" spans="1:5" x14ac:dyDescent="0.25">
      <c r="A149" s="44" t="s">
        <v>231</v>
      </c>
      <c r="B149" s="44" t="s">
        <v>233</v>
      </c>
      <c r="C149" s="44" t="str">
        <f t="shared" si="2"/>
        <v>MANSUKHLAL RAYSHI ME-PAYT---29568501847-UPI</v>
      </c>
      <c r="D149" s="44">
        <v>1160</v>
      </c>
      <c r="E149" s="44" t="s">
        <v>57</v>
      </c>
    </row>
    <row r="150" spans="1:5" x14ac:dyDescent="0.25">
      <c r="A150" s="44" t="s">
        <v>231</v>
      </c>
      <c r="B150" s="44" t="s">
        <v>234</v>
      </c>
      <c r="C150" s="44" t="str">
        <f t="shared" si="2"/>
        <v>DMART READY-DMARTREADY.42---MENT FROM PHONE</v>
      </c>
      <c r="D150" s="44">
        <v>695</v>
      </c>
      <c r="E150" s="44" t="s">
        <v>84</v>
      </c>
    </row>
    <row r="151" spans="1:5" x14ac:dyDescent="0.25">
      <c r="A151" s="44" t="s">
        <v>235</v>
      </c>
      <c r="B151" s="44" t="s">
        <v>236</v>
      </c>
      <c r="C151" s="44" t="str">
        <f t="shared" si="2"/>
        <v>NEHA FLOWER STALL-9075677---29617213045-UPI</v>
      </c>
      <c r="D151" s="44">
        <v>720</v>
      </c>
      <c r="E151" s="44" t="s">
        <v>84</v>
      </c>
    </row>
    <row r="152" spans="1:5" x14ac:dyDescent="0.25">
      <c r="A152" s="44" t="s">
        <v>235</v>
      </c>
      <c r="B152" s="44" t="s">
        <v>237</v>
      </c>
      <c r="C152" s="44" t="str">
        <f t="shared" si="2"/>
        <v>CHANDRASHEKHAR-CHANDRSHAK---29634266763-UPI</v>
      </c>
      <c r="D152" s="44">
        <v>3800</v>
      </c>
      <c r="E152" s="44" t="s">
        <v>84</v>
      </c>
    </row>
    <row r="153" spans="1:5" x14ac:dyDescent="0.25">
      <c r="A153" s="44" t="s">
        <v>238</v>
      </c>
      <c r="B153" s="44" t="s">
        <v>239</v>
      </c>
      <c r="C153" s="44" t="str">
        <f t="shared" si="2"/>
        <v>PRITESH PANKAJ CHOTH-PAYT---29744400596-UPI</v>
      </c>
      <c r="D153" s="44">
        <v>960</v>
      </c>
      <c r="E153" s="44" t="s">
        <v>84</v>
      </c>
    </row>
    <row r="154" spans="1:5" x14ac:dyDescent="0.25">
      <c r="A154" s="44" t="s">
        <v>238</v>
      </c>
      <c r="B154" s="44" t="s">
        <v>240</v>
      </c>
      <c r="C154" s="44" t="str">
        <f t="shared" si="2"/>
        <v>CHHEDA DRY FRUITS-PAYTMQR---29744557151-UPI</v>
      </c>
      <c r="D154" s="44">
        <v>1080</v>
      </c>
      <c r="E154" s="44" t="s">
        <v>84</v>
      </c>
    </row>
    <row r="155" spans="1:5" x14ac:dyDescent="0.25">
      <c r="A155" s="44" t="s">
        <v>238</v>
      </c>
      <c r="B155" s="44" t="s">
        <v>241</v>
      </c>
      <c r="C155" s="44" t="str">
        <f t="shared" si="2"/>
        <v>MATUNGAAUTOSERVICE-OMBK.A---29759048960-UPI</v>
      </c>
      <c r="D155" s="44">
        <v>250</v>
      </c>
      <c r="E155" s="44" t="s">
        <v>57</v>
      </c>
    </row>
    <row r="156" spans="1:5" x14ac:dyDescent="0.25">
      <c r="A156" s="44" t="s">
        <v>238</v>
      </c>
      <c r="B156" s="44" t="s">
        <v>242</v>
      </c>
      <c r="C156" s="44" t="str">
        <f t="shared" si="2"/>
        <v>VI-VI586.RZP@ICICI-ICIC0D---29762251425-UPI</v>
      </c>
      <c r="D156" s="44">
        <v>719</v>
      </c>
      <c r="E156" s="44" t="s">
        <v>57</v>
      </c>
    </row>
    <row r="157" spans="1:5" x14ac:dyDescent="0.25">
      <c r="A157" s="44" t="s">
        <v>238</v>
      </c>
      <c r="B157" s="44" t="s">
        <v>243</v>
      </c>
      <c r="C157" s="44" t="str">
        <f t="shared" si="2"/>
        <v>ANSHUL GOYAL-8881115999@A---872-SOMANY 6PCS</v>
      </c>
      <c r="D157" s="44">
        <v>76</v>
      </c>
      <c r="E157" s="44" t="s">
        <v>65</v>
      </c>
    </row>
    <row r="158" spans="1:5" x14ac:dyDescent="0.25">
      <c r="A158" s="44" t="s">
        <v>238</v>
      </c>
      <c r="B158" s="44" t="s">
        <v>244</v>
      </c>
      <c r="C158" s="44" t="str">
        <f t="shared" si="2"/>
        <v>ANSHUL GOYAL-8881115999@A---277-SOMANY 6PCS</v>
      </c>
      <c r="D158" s="44">
        <v>18000</v>
      </c>
      <c r="E158" s="44" t="s">
        <v>65</v>
      </c>
    </row>
    <row r="159" spans="1:5" x14ac:dyDescent="0.25">
      <c r="A159" s="44" t="s">
        <v>245</v>
      </c>
      <c r="B159" s="44" t="s">
        <v>246</v>
      </c>
      <c r="C159" s="44" t="str">
        <f t="shared" si="2"/>
        <v>MOHAMMAD SALMAN-SALMANRYI---16-SALMAN NIGHT</v>
      </c>
      <c r="D159" s="44">
        <v>800</v>
      </c>
      <c r="E159" s="44" t="s">
        <v>54</v>
      </c>
    </row>
    <row r="160" spans="1:5" x14ac:dyDescent="0.25">
      <c r="A160" s="44" t="s">
        <v>245</v>
      </c>
      <c r="B160" s="44" t="s">
        <v>247</v>
      </c>
      <c r="C160" s="44" t="str">
        <f t="shared" si="2"/>
        <v>JETHWA POTS-GPAY-11235736---KASH BHAI FOR C</v>
      </c>
      <c r="D160" s="44">
        <v>2000</v>
      </c>
      <c r="E160" s="44" t="s">
        <v>65</v>
      </c>
    </row>
    <row r="161" spans="1:5" x14ac:dyDescent="0.25">
      <c r="A161" s="44" t="s">
        <v>245</v>
      </c>
      <c r="B161" s="44" t="s">
        <v>248</v>
      </c>
      <c r="C161" s="44" t="str">
        <f t="shared" si="2"/>
        <v>JETHWA POTS-7738846057@OK---29886086498-UPI</v>
      </c>
      <c r="D161" s="44">
        <v>8000</v>
      </c>
      <c r="E161" s="44" t="s">
        <v>65</v>
      </c>
    </row>
    <row r="162" spans="1:5" x14ac:dyDescent="0.25">
      <c r="A162" s="44" t="s">
        <v>245</v>
      </c>
      <c r="B162" s="44" t="s">
        <v>249</v>
      </c>
      <c r="C162" s="44" t="str">
        <f t="shared" si="2"/>
        <v>NITIN KANJI VALA-SADGURUS---886392477-NITIN</v>
      </c>
      <c r="D162" s="44">
        <v>1000</v>
      </c>
      <c r="E162" s="44" t="s">
        <v>97</v>
      </c>
    </row>
    <row r="163" spans="1:5" x14ac:dyDescent="0.25">
      <c r="A163" s="44" t="s">
        <v>245</v>
      </c>
      <c r="B163" s="44" t="s">
        <v>250</v>
      </c>
      <c r="C163" s="44" t="str">
        <f t="shared" si="2"/>
        <v>NARGIS JAHAN-NARGISJAHAN1---IM BHAI FOR SOM</v>
      </c>
      <c r="D163" s="44">
        <v>25000</v>
      </c>
      <c r="E163" s="44" t="s">
        <v>65</v>
      </c>
    </row>
    <row r="164" spans="1:5" x14ac:dyDescent="0.25">
      <c r="A164" s="44" t="s">
        <v>245</v>
      </c>
      <c r="B164" s="44" t="s">
        <v>251</v>
      </c>
      <c r="C164" s="44" t="str">
        <f t="shared" si="2"/>
        <v>CHOUDHARY PRADEEP VA-PC57---29892182881-UPI</v>
      </c>
      <c r="D164" s="44">
        <v>1120</v>
      </c>
      <c r="E164" s="44" t="s">
        <v>57</v>
      </c>
    </row>
    <row r="165" spans="1:5" x14ac:dyDescent="0.25">
      <c r="A165" s="44" t="s">
        <v>245</v>
      </c>
      <c r="B165" s="44" t="s">
        <v>252</v>
      </c>
      <c r="C165" s="44" t="str">
        <f t="shared" si="2"/>
        <v>UBER INDIA SYSTEMS P-UBER---045618-UBERRIDE</v>
      </c>
      <c r="D165" s="44">
        <v>159.44</v>
      </c>
      <c r="E165" s="44" t="s">
        <v>84</v>
      </c>
    </row>
    <row r="166" spans="1:5" x14ac:dyDescent="0.25">
      <c r="A166" s="44" t="s">
        <v>245</v>
      </c>
      <c r="B166" s="44" t="s">
        <v>253</v>
      </c>
      <c r="C166" s="44" t="str">
        <f t="shared" si="2"/>
        <v>UBER INDIA SYSTEMS P-UBER---258801-UBERRIDE</v>
      </c>
      <c r="D166" s="44">
        <v>416</v>
      </c>
      <c r="E166" s="44" t="s">
        <v>84</v>
      </c>
    </row>
    <row r="167" spans="1:5" x14ac:dyDescent="0.25">
      <c r="A167" s="44" t="s">
        <v>245</v>
      </c>
      <c r="B167" s="44" t="s">
        <v>254</v>
      </c>
      <c r="C167" s="44" t="str">
        <f t="shared" si="2"/>
        <v>CHANDRASHEKHAR-CHANDRSHAK---29816963083-UPI</v>
      </c>
      <c r="D167" s="44">
        <v>4800</v>
      </c>
      <c r="E167" s="44" t="s">
        <v>84</v>
      </c>
    </row>
    <row r="168" spans="1:5" x14ac:dyDescent="0.25">
      <c r="A168" s="44" t="s">
        <v>245</v>
      </c>
      <c r="B168" s="44" t="s">
        <v>255</v>
      </c>
      <c r="C168" s="44" t="str">
        <f t="shared" si="2"/>
        <v>ADIL SHAIKH-8425885974@FA---29818965815-UPI</v>
      </c>
      <c r="D168" s="44">
        <v>275</v>
      </c>
      <c r="E168" s="44" t="s">
        <v>84</v>
      </c>
    </row>
    <row r="169" spans="1:5" x14ac:dyDescent="0.25">
      <c r="A169" s="44" t="s">
        <v>256</v>
      </c>
      <c r="B169" s="44" t="s">
        <v>257</v>
      </c>
      <c r="C169" s="44" t="str">
        <f t="shared" si="2"/>
        <v>NAVNIRMAN GROUPS-PAYTMQRY---29944850455-UPI</v>
      </c>
      <c r="D169" s="44">
        <v>50</v>
      </c>
      <c r="E169" s="44" t="s">
        <v>57</v>
      </c>
    </row>
    <row r="170" spans="1:5" x14ac:dyDescent="0.25">
      <c r="A170" s="44" t="s">
        <v>256</v>
      </c>
      <c r="B170" s="44" t="s">
        <v>258</v>
      </c>
      <c r="C170" s="44" t="str">
        <f t="shared" si="2"/>
        <v>JAIN ADARSH-9833415559@OK---29945023000-UPI</v>
      </c>
      <c r="D170" s="44">
        <v>10</v>
      </c>
      <c r="E170" s="44" t="s">
        <v>57</v>
      </c>
    </row>
    <row r="171" spans="1:5" x14ac:dyDescent="0.25">
      <c r="A171" s="44" t="s">
        <v>256</v>
      </c>
      <c r="B171" s="44" t="s">
        <v>259</v>
      </c>
      <c r="C171" s="44" t="str">
        <f t="shared" si="2"/>
        <v>CHEMIST-9892144974@OKBIZA---33391-MEDICINES</v>
      </c>
      <c r="D171" s="44">
        <v>40</v>
      </c>
      <c r="E171" s="44" t="s">
        <v>57</v>
      </c>
    </row>
    <row r="172" spans="1:5" x14ac:dyDescent="0.25">
      <c r="A172" s="44" t="s">
        <v>256</v>
      </c>
      <c r="B172" s="44" t="s">
        <v>260</v>
      </c>
      <c r="C172" s="44" t="str">
        <f t="shared" si="2"/>
        <v>ABDUL REHMAN ABDUL K-7738---MENT FROM PHONE</v>
      </c>
      <c r="D172" s="44">
        <v>500</v>
      </c>
      <c r="E172" s="44" t="s">
        <v>57</v>
      </c>
    </row>
    <row r="173" spans="1:5" x14ac:dyDescent="0.25">
      <c r="A173" s="44" t="s">
        <v>256</v>
      </c>
      <c r="B173" s="44" t="s">
        <v>261</v>
      </c>
      <c r="C173" s="44" t="str">
        <f t="shared" si="2"/>
        <v>MAMAJI-PAYTMQRMGBTPUXWCY@---29953522678-UPI</v>
      </c>
      <c r="D173" s="44">
        <v>210</v>
      </c>
      <c r="E173" s="44" t="s">
        <v>57</v>
      </c>
    </row>
    <row r="174" spans="1:5" x14ac:dyDescent="0.25">
      <c r="A174" s="44" t="s">
        <v>256</v>
      </c>
      <c r="B174" s="44" t="s">
        <v>262</v>
      </c>
      <c r="C174" s="44" t="str">
        <f t="shared" si="2"/>
        <v>CHIDURALA SHREENIVAS-Q701---610512-MEDICINE</v>
      </c>
      <c r="D174" s="44">
        <v>600</v>
      </c>
      <c r="E174" s="44" t="s">
        <v>57</v>
      </c>
    </row>
    <row r="175" spans="1:5" x14ac:dyDescent="0.25">
      <c r="A175" s="44" t="s">
        <v>263</v>
      </c>
      <c r="B175" s="44" t="s">
        <v>264</v>
      </c>
      <c r="C175" s="44" t="str">
        <f t="shared" si="2"/>
        <v>IMPS-330009310067-RAJA RA---RAJUKAKA MATALA</v>
      </c>
      <c r="D175" s="44">
        <v>10000</v>
      </c>
      <c r="E175" s="44" t="s">
        <v>65</v>
      </c>
    </row>
    <row r="176" spans="1:5" x14ac:dyDescent="0.25">
      <c r="A176" s="44" t="s">
        <v>263</v>
      </c>
      <c r="B176" s="44" t="s">
        <v>265</v>
      </c>
      <c r="C176" s="44" t="str">
        <f t="shared" si="2"/>
        <v>CBDT/BANK REFERENCE NO:K2---9119HDFC/ONLINE</v>
      </c>
      <c r="D176" s="44">
        <v>63360</v>
      </c>
      <c r="E176" s="44" t="s">
        <v>266</v>
      </c>
    </row>
    <row r="177" spans="1:5" x14ac:dyDescent="0.25">
      <c r="A177" s="44" t="s">
        <v>263</v>
      </c>
      <c r="B177" s="44" t="s">
        <v>267</v>
      </c>
      <c r="C177" s="44" t="str">
        <f t="shared" si="2"/>
        <v>MR UMESH RAJUBHAI VA-UMES---30081163276-UPI</v>
      </c>
      <c r="D177" s="44">
        <v>100</v>
      </c>
      <c r="E177" s="44" t="s">
        <v>84</v>
      </c>
    </row>
    <row r="178" spans="1:5" x14ac:dyDescent="0.25">
      <c r="A178" s="44" t="s">
        <v>263</v>
      </c>
      <c r="B178" s="44" t="s">
        <v>268</v>
      </c>
      <c r="C178" s="44" t="str">
        <f t="shared" si="2"/>
        <v>RIYAZUDDIN  -PAYTMQR28100---30082742787-UPI</v>
      </c>
      <c r="D178" s="44">
        <v>140</v>
      </c>
      <c r="E178" s="44" t="s">
        <v>57</v>
      </c>
    </row>
    <row r="179" spans="1:5" x14ac:dyDescent="0.25">
      <c r="A179" s="44" t="s">
        <v>263</v>
      </c>
      <c r="B179" s="44" t="s">
        <v>269</v>
      </c>
      <c r="C179" s="44" t="str">
        <f t="shared" si="2"/>
        <v>ABDUL REHMAN ABDUL K-7738---MENT FROM PHONE</v>
      </c>
      <c r="D179" s="44">
        <v>600</v>
      </c>
      <c r="E179" s="44" t="s">
        <v>84</v>
      </c>
    </row>
    <row r="180" spans="1:5" x14ac:dyDescent="0.25">
      <c r="A180" s="44" t="s">
        <v>263</v>
      </c>
      <c r="B180" s="44" t="s">
        <v>270</v>
      </c>
      <c r="C180" s="44" t="str">
        <f t="shared" si="2"/>
        <v>DEVI NATH YOGI-BHARATPE09--- TO DEVI NATH Y</v>
      </c>
      <c r="D180" s="44">
        <v>360</v>
      </c>
      <c r="E180" s="44" t="s">
        <v>84</v>
      </c>
    </row>
    <row r="181" spans="1:5" x14ac:dyDescent="0.25">
      <c r="A181" s="44" t="s">
        <v>263</v>
      </c>
      <c r="B181" s="44" t="s">
        <v>271</v>
      </c>
      <c r="C181" s="44" t="str">
        <f t="shared" si="2"/>
        <v>DEVI NATH YOGI-BHARATPE09---30013476329-UPI</v>
      </c>
      <c r="D181" s="44">
        <v>30</v>
      </c>
      <c r="E181" s="44" t="s">
        <v>84</v>
      </c>
    </row>
    <row r="182" spans="1:5" x14ac:dyDescent="0.25">
      <c r="A182" s="44" t="s">
        <v>272</v>
      </c>
      <c r="B182" s="44" t="s">
        <v>273</v>
      </c>
      <c r="C182" s="44" t="str">
        <f t="shared" si="2"/>
        <v>ARBAJ JAMSHED KHAN-AKHAN2---30114806800-UPI</v>
      </c>
      <c r="D182" s="44">
        <v>160</v>
      </c>
      <c r="E182" s="44" t="s">
        <v>54</v>
      </c>
    </row>
    <row r="183" spans="1:5" x14ac:dyDescent="0.25">
      <c r="A183" s="44" t="s">
        <v>272</v>
      </c>
      <c r="B183" s="44" t="s">
        <v>274</v>
      </c>
      <c r="C183" s="44" t="str">
        <f t="shared" si="2"/>
        <v>MOHAMMAD SALMAN-SALMANRYI---30115155285-UPI</v>
      </c>
      <c r="D183" s="44">
        <v>500</v>
      </c>
      <c r="E183" s="44" t="s">
        <v>54</v>
      </c>
    </row>
    <row r="184" spans="1:5" x14ac:dyDescent="0.25">
      <c r="A184" s="44" t="s">
        <v>272</v>
      </c>
      <c r="B184" s="44" t="s">
        <v>275</v>
      </c>
      <c r="C184" s="44" t="str">
        <f t="shared" si="2"/>
        <v>NARGIS JAHAN-NARGISJAHAN1---8550-SALIM BHAI</v>
      </c>
      <c r="D184" s="44">
        <v>25000</v>
      </c>
      <c r="E184" s="44" t="s">
        <v>65</v>
      </c>
    </row>
    <row r="185" spans="1:5" x14ac:dyDescent="0.25">
      <c r="A185" s="44" t="s">
        <v>272</v>
      </c>
      <c r="B185" s="44" t="s">
        <v>276</v>
      </c>
      <c r="C185" s="44" t="str">
        <f t="shared" si="2"/>
        <v>SANJAY KUMAR CHAURAS-PAYT---30130456313-UPI</v>
      </c>
      <c r="D185" s="44">
        <v>15</v>
      </c>
      <c r="E185" s="44" t="s">
        <v>57</v>
      </c>
    </row>
    <row r="186" spans="1:5" x14ac:dyDescent="0.25">
      <c r="A186" s="44" t="s">
        <v>272</v>
      </c>
      <c r="B186" s="44" t="s">
        <v>277</v>
      </c>
      <c r="C186" s="44" t="str">
        <f t="shared" si="2"/>
        <v>KMLESH RAJ BHAR-Q74511136---30130484895-UPI</v>
      </c>
      <c r="D186" s="44">
        <v>10</v>
      </c>
      <c r="E186" s="44" t="s">
        <v>57</v>
      </c>
    </row>
    <row r="187" spans="1:5" x14ac:dyDescent="0.25">
      <c r="A187" s="44" t="s">
        <v>272</v>
      </c>
      <c r="B187" s="44" t="s">
        <v>197</v>
      </c>
      <c r="C187" s="44" t="str">
        <f t="shared" si="2"/>
        <v>05011610165174-TPT-CASH-D---MESH DEVJI MARU</v>
      </c>
      <c r="D187" s="44">
        <v>100000</v>
      </c>
      <c r="E187" s="44" t="s">
        <v>198</v>
      </c>
    </row>
    <row r="188" spans="1:5" x14ac:dyDescent="0.25">
      <c r="A188" s="44" t="s">
        <v>272</v>
      </c>
      <c r="B188" s="44" t="s">
        <v>278</v>
      </c>
      <c r="C188" s="44" t="str">
        <f t="shared" si="2"/>
        <v>SHREEJI SUPER MARKET-PAYT---30147333508-UPI</v>
      </c>
      <c r="D188" s="44">
        <v>250</v>
      </c>
      <c r="E188" s="44" t="s">
        <v>57</v>
      </c>
    </row>
    <row r="189" spans="1:5" x14ac:dyDescent="0.25">
      <c r="A189" s="44" t="s">
        <v>272</v>
      </c>
      <c r="B189" s="44" t="s">
        <v>279</v>
      </c>
      <c r="C189" s="44" t="str">
        <f t="shared" si="2"/>
        <v>MR SHAIKH SAMEER SAL-SAME---30152755092-UPI</v>
      </c>
      <c r="D189" s="44">
        <v>300</v>
      </c>
      <c r="E189" s="44" t="s">
        <v>57</v>
      </c>
    </row>
    <row r="190" spans="1:5" x14ac:dyDescent="0.25">
      <c r="A190" s="44" t="s">
        <v>272</v>
      </c>
      <c r="B190" s="44" t="s">
        <v>280</v>
      </c>
      <c r="C190" s="44" t="str">
        <f t="shared" si="2"/>
        <v>SAYYED SAIF ALI-745909921---30152795206-UPI</v>
      </c>
      <c r="D190" s="44">
        <v>5000</v>
      </c>
      <c r="E190" s="44" t="s">
        <v>54</v>
      </c>
    </row>
    <row r="191" spans="1:5" x14ac:dyDescent="0.25">
      <c r="A191" s="44" t="s">
        <v>281</v>
      </c>
      <c r="B191" s="44" t="s">
        <v>282</v>
      </c>
      <c r="C191" s="44" t="str">
        <f t="shared" si="2"/>
        <v>ABDUL REHMAN ABDUL K-7738---MENT FROM PHONE</v>
      </c>
      <c r="D191" s="44">
        <v>200</v>
      </c>
      <c r="E191" s="44" t="s">
        <v>84</v>
      </c>
    </row>
    <row r="192" spans="1:5" x14ac:dyDescent="0.25">
      <c r="A192" s="44" t="s">
        <v>281</v>
      </c>
      <c r="B192" s="44" t="s">
        <v>283</v>
      </c>
      <c r="C192" s="44" t="str">
        <f t="shared" si="2"/>
        <v>SHRISUNILKUMARMOHANL-Q836---30269586125-UPI</v>
      </c>
      <c r="D192" s="44">
        <v>360</v>
      </c>
      <c r="E192" s="44" t="s">
        <v>84</v>
      </c>
    </row>
    <row r="193" spans="1:5" x14ac:dyDescent="0.25">
      <c r="A193" s="44" t="s">
        <v>281</v>
      </c>
      <c r="B193" s="44" t="s">
        <v>284</v>
      </c>
      <c r="C193" s="44" t="str">
        <f t="shared" si="2"/>
        <v>SAYYED SAIF ALI-745909921---30275514997-UPI</v>
      </c>
      <c r="D193" s="44">
        <v>2500</v>
      </c>
      <c r="E193" s="44" t="s">
        <v>54</v>
      </c>
    </row>
    <row r="194" spans="1:5" x14ac:dyDescent="0.25">
      <c r="A194" s="44" t="s">
        <v>281</v>
      </c>
      <c r="B194" s="44" t="s">
        <v>285</v>
      </c>
      <c r="C194" s="44" t="str">
        <f t="shared" si="2"/>
        <v>CHANDRASHEKHAR-CHANDRSHAK---30282977216-UPI</v>
      </c>
      <c r="D194" s="44">
        <v>4800</v>
      </c>
      <c r="E194" s="44" t="s">
        <v>54</v>
      </c>
    </row>
    <row r="195" spans="1:5" x14ac:dyDescent="0.25">
      <c r="A195" s="44" t="s">
        <v>281</v>
      </c>
      <c r="B195" s="44" t="s">
        <v>286</v>
      </c>
      <c r="C195" s="44" t="str">
        <f t="shared" ref="C195:C258" si="3">LEFT(B195,25)&amp;"---"&amp;RIGHT(B195,15)</f>
        <v>ADD MONEY TO WALLET-ADD-M---202310292042300</v>
      </c>
      <c r="D195" s="44">
        <v>250</v>
      </c>
      <c r="E195" s="44" t="s">
        <v>84</v>
      </c>
    </row>
    <row r="196" spans="1:5" x14ac:dyDescent="0.25">
      <c r="A196" s="44" t="s">
        <v>281</v>
      </c>
      <c r="B196" s="44" t="s">
        <v>287</v>
      </c>
      <c r="C196" s="44" t="str">
        <f t="shared" si="3"/>
        <v>ADIL ABDUL SHARIF SH-8291---30290938525-UPI</v>
      </c>
      <c r="D196" s="44">
        <v>400</v>
      </c>
      <c r="E196" s="44" t="s">
        <v>84</v>
      </c>
    </row>
    <row r="197" spans="1:5" x14ac:dyDescent="0.25">
      <c r="A197" s="44" t="s">
        <v>281</v>
      </c>
      <c r="B197" s="44" t="s">
        <v>288</v>
      </c>
      <c r="C197" s="44" t="str">
        <f t="shared" si="3"/>
        <v>MRS HAZRA RIYAZ SHAI-SAMI---30290944271-UPI</v>
      </c>
      <c r="D197" s="44">
        <v>1200</v>
      </c>
      <c r="E197" s="44" t="s">
        <v>54</v>
      </c>
    </row>
    <row r="198" spans="1:5" x14ac:dyDescent="0.25">
      <c r="A198" s="44" t="s">
        <v>281</v>
      </c>
      <c r="B198" s="44" t="s">
        <v>289</v>
      </c>
      <c r="C198" s="44" t="str">
        <f t="shared" si="3"/>
        <v>AARIF ABDUL RAHIM SH-SAYY---9-SUFIYAN NIGHT</v>
      </c>
      <c r="D198" s="44">
        <v>800</v>
      </c>
      <c r="E198" s="44" t="s">
        <v>54</v>
      </c>
    </row>
    <row r="199" spans="1:5" x14ac:dyDescent="0.25">
      <c r="A199" s="44" t="s">
        <v>290</v>
      </c>
      <c r="B199" s="44" t="s">
        <v>291</v>
      </c>
      <c r="C199" s="44" t="str">
        <f t="shared" si="3"/>
        <v>MOHAMMAD AYAN KHAN-913708---30312695368-UPI</v>
      </c>
      <c r="D199" s="44">
        <v>150</v>
      </c>
      <c r="E199" s="44" t="s">
        <v>54</v>
      </c>
    </row>
    <row r="200" spans="1:5" x14ac:dyDescent="0.25">
      <c r="A200" s="44" t="s">
        <v>290</v>
      </c>
      <c r="B200" s="44" t="s">
        <v>292</v>
      </c>
      <c r="C200" s="44" t="str">
        <f t="shared" si="3"/>
        <v>SADHANA CRAFT LLP  M-8898---30315160003-UPI</v>
      </c>
      <c r="D200" s="44">
        <v>10</v>
      </c>
      <c r="E200" s="44" t="s">
        <v>57</v>
      </c>
    </row>
    <row r="201" spans="1:5" x14ac:dyDescent="0.25">
      <c r="A201" s="44" t="s">
        <v>290</v>
      </c>
      <c r="B201" s="44" t="s">
        <v>293</v>
      </c>
      <c r="C201" s="44" t="str">
        <f t="shared" si="3"/>
        <v>SADHANA CRAFT LLP  M-8898---30315253623-UPI</v>
      </c>
      <c r="D201" s="44">
        <v>10</v>
      </c>
      <c r="E201" s="44" t="s">
        <v>57</v>
      </c>
    </row>
    <row r="202" spans="1:5" x14ac:dyDescent="0.25">
      <c r="A202" s="44" t="s">
        <v>290</v>
      </c>
      <c r="B202" s="44" t="s">
        <v>294</v>
      </c>
      <c r="C202" s="44" t="str">
        <f t="shared" si="3"/>
        <v>MAHESH MANIKAVASAGAM-MAHE---0323492622-GONI</v>
      </c>
      <c r="D202" s="44">
        <v>1000</v>
      </c>
      <c r="E202" s="44" t="s">
        <v>54</v>
      </c>
    </row>
    <row r="203" spans="1:5" x14ac:dyDescent="0.25">
      <c r="A203" s="44" t="s">
        <v>290</v>
      </c>
      <c r="B203" s="44" t="s">
        <v>295</v>
      </c>
      <c r="C203" s="44" t="str">
        <f t="shared" si="3"/>
        <v>CREDCLUB-CREDCLUB@ICICI-I---0326331640-CRED</v>
      </c>
      <c r="D203" s="44">
        <v>2303</v>
      </c>
      <c r="E203" s="44" t="s">
        <v>198</v>
      </c>
    </row>
    <row r="204" spans="1:5" x14ac:dyDescent="0.25">
      <c r="A204" s="44" t="s">
        <v>290</v>
      </c>
      <c r="B204" s="44" t="s">
        <v>197</v>
      </c>
      <c r="C204" s="44" t="str">
        <f t="shared" si="3"/>
        <v>05011610165174-TPT-CASH-D---MESH DEVJI MARU</v>
      </c>
      <c r="D204" s="44">
        <v>145900</v>
      </c>
      <c r="E204" s="44" t="s">
        <v>198</v>
      </c>
    </row>
    <row r="205" spans="1:5" x14ac:dyDescent="0.25">
      <c r="A205" s="44" t="s">
        <v>296</v>
      </c>
      <c r="B205" s="44" t="s">
        <v>297</v>
      </c>
      <c r="C205" s="44" t="str">
        <f t="shared" si="3"/>
        <v>.IMPS P2P 327712319193#04---DT2328619412402</v>
      </c>
      <c r="D205" s="44">
        <v>5.9</v>
      </c>
      <c r="E205" s="44" t="s">
        <v>84</v>
      </c>
    </row>
    <row r="206" spans="1:5" x14ac:dyDescent="0.25">
      <c r="A206" s="44" t="s">
        <v>296</v>
      </c>
      <c r="B206" s="44" t="s">
        <v>298</v>
      </c>
      <c r="C206" s="44" t="str">
        <f t="shared" si="3"/>
        <v>.IMPS P2P 327810389138#05---DT2328619412402</v>
      </c>
      <c r="D206" s="44">
        <v>5.9</v>
      </c>
      <c r="E206" s="44" t="s">
        <v>84</v>
      </c>
    </row>
    <row r="207" spans="1:5" x14ac:dyDescent="0.25">
      <c r="A207" s="44" t="s">
        <v>296</v>
      </c>
      <c r="B207" s="44" t="s">
        <v>299</v>
      </c>
      <c r="C207" s="44" t="str">
        <f t="shared" si="3"/>
        <v>AMRIN-7668574540@IBL-HDFC---78824876-SOHAIL</v>
      </c>
      <c r="D207" s="44">
        <v>1710</v>
      </c>
      <c r="E207" s="44" t="s">
        <v>65</v>
      </c>
    </row>
    <row r="208" spans="1:5" x14ac:dyDescent="0.25">
      <c r="A208" s="44" t="s">
        <v>296</v>
      </c>
      <c r="B208" s="44" t="s">
        <v>300</v>
      </c>
      <c r="C208" s="44" t="str">
        <f t="shared" si="3"/>
        <v>AMRIN-7668574540@IBL-HDFC---MENT FROM PHONE</v>
      </c>
      <c r="D208" s="44">
        <v>16000</v>
      </c>
      <c r="E208" s="44" t="s">
        <v>65</v>
      </c>
    </row>
    <row r="209" spans="1:5" x14ac:dyDescent="0.25">
      <c r="A209" s="44" t="s">
        <v>296</v>
      </c>
      <c r="B209" s="44" t="s">
        <v>301</v>
      </c>
      <c r="C209" s="44" t="str">
        <f t="shared" si="3"/>
        <v>RAJESH KARSAN ANAVAD-RAJA----CHHANI RETURNS</v>
      </c>
      <c r="D209" s="44">
        <v>600</v>
      </c>
      <c r="E209" s="44" t="s">
        <v>84</v>
      </c>
    </row>
    <row r="210" spans="1:5" x14ac:dyDescent="0.25">
      <c r="A210" s="44" t="s">
        <v>296</v>
      </c>
      <c r="B210" s="44" t="s">
        <v>302</v>
      </c>
      <c r="C210" s="44" t="str">
        <f t="shared" si="3"/>
        <v>ARBAJ JAMSHED KHAN-AKHAN2---455123446-NIGHT</v>
      </c>
      <c r="D210" s="44">
        <v>800</v>
      </c>
      <c r="E210" s="44" t="s">
        <v>54</v>
      </c>
    </row>
    <row r="211" spans="1:5" x14ac:dyDescent="0.25">
      <c r="A211" s="44" t="s">
        <v>296</v>
      </c>
      <c r="B211" s="44" t="s">
        <v>303</v>
      </c>
      <c r="C211" s="44" t="str">
        <f t="shared" si="3"/>
        <v>JETHVA NARESH MANSUK-NJET----ARUN TO NARESH</v>
      </c>
      <c r="D211" s="44">
        <v>75000</v>
      </c>
      <c r="E211" s="44" t="s">
        <v>304</v>
      </c>
    </row>
    <row r="212" spans="1:5" x14ac:dyDescent="0.25">
      <c r="A212" s="44" t="s">
        <v>296</v>
      </c>
      <c r="B212" s="44" t="s">
        <v>305</v>
      </c>
      <c r="C212" s="44" t="str">
        <f t="shared" si="3"/>
        <v>IMPS-330421395295-NARESH --- TO NARESH BACK</v>
      </c>
      <c r="D212" s="44">
        <v>50000</v>
      </c>
      <c r="E212" s="44" t="s">
        <v>304</v>
      </c>
    </row>
    <row r="213" spans="1:5" x14ac:dyDescent="0.25">
      <c r="A213" s="44" t="s">
        <v>306</v>
      </c>
      <c r="B213" s="44" t="s">
        <v>307</v>
      </c>
      <c r="C213" s="44" t="str">
        <f t="shared" si="3"/>
        <v>MOHAMMAD LATIF BASHI-LATI---30597764257-UPI</v>
      </c>
      <c r="D213" s="44">
        <v>341</v>
      </c>
      <c r="E213" s="44" t="s">
        <v>18</v>
      </c>
    </row>
    <row r="214" spans="1:5" x14ac:dyDescent="0.25">
      <c r="A214" s="44" t="s">
        <v>306</v>
      </c>
      <c r="B214" s="44" t="s">
        <v>308</v>
      </c>
      <c r="C214" s="44" t="str">
        <f t="shared" si="3"/>
        <v>XXXXXX3340-UTIB0001177-33---UMPAL KHURJA TR</v>
      </c>
      <c r="D214" s="44">
        <v>20900</v>
      </c>
      <c r="E214" s="44" t="s">
        <v>18</v>
      </c>
    </row>
    <row r="215" spans="1:5" x14ac:dyDescent="0.25">
      <c r="A215" s="44" t="s">
        <v>306</v>
      </c>
      <c r="B215" s="44" t="s">
        <v>309</v>
      </c>
      <c r="C215" s="44" t="str">
        <f t="shared" si="3"/>
        <v>IMPS-330521327570-NARESH ---O NARESH RETURN</v>
      </c>
      <c r="D215" s="44">
        <v>175000</v>
      </c>
      <c r="E215" s="44" t="s">
        <v>304</v>
      </c>
    </row>
    <row r="216" spans="1:5" x14ac:dyDescent="0.25">
      <c r="A216" s="44" t="s">
        <v>306</v>
      </c>
      <c r="B216" s="44" t="s">
        <v>310</v>
      </c>
      <c r="C216" s="44" t="str">
        <f t="shared" si="3"/>
        <v>CHEMIST-9892144974@OKBIZA---30534843047-UPI</v>
      </c>
      <c r="D216" s="44">
        <v>48</v>
      </c>
      <c r="E216" s="44" t="s">
        <v>311</v>
      </c>
    </row>
    <row r="217" spans="1:5" x14ac:dyDescent="0.25">
      <c r="A217" s="44" t="s">
        <v>312</v>
      </c>
      <c r="B217" s="44" t="s">
        <v>313</v>
      </c>
      <c r="C217" s="44" t="str">
        <f t="shared" si="3"/>
        <v>UMESH KUMAR YADAV-GPAY-11---MENT FROM PHONE</v>
      </c>
      <c r="D217" s="44">
        <v>1600</v>
      </c>
      <c r="E217" s="44" t="s">
        <v>314</v>
      </c>
    </row>
    <row r="218" spans="1:5" x14ac:dyDescent="0.25">
      <c r="A218" s="44" t="s">
        <v>312</v>
      </c>
      <c r="B218" s="44" t="s">
        <v>197</v>
      </c>
      <c r="C218" s="44" t="str">
        <f t="shared" si="3"/>
        <v>05011610165174-TPT-CASH-D---MESH DEVJI MARU</v>
      </c>
      <c r="D218" s="44">
        <v>150000</v>
      </c>
      <c r="E218" s="44" t="s">
        <v>49</v>
      </c>
    </row>
    <row r="219" spans="1:5" x14ac:dyDescent="0.25">
      <c r="A219" s="44" t="s">
        <v>312</v>
      </c>
      <c r="B219" s="44" t="s">
        <v>315</v>
      </c>
      <c r="C219" s="44" t="str">
        <f t="shared" si="3"/>
        <v>SADHANA CRAFT LLP  M-8898---30654666589-UPI</v>
      </c>
      <c r="D219" s="44">
        <v>10</v>
      </c>
      <c r="E219" s="44" t="s">
        <v>84</v>
      </c>
    </row>
    <row r="220" spans="1:5" x14ac:dyDescent="0.25">
      <c r="A220" s="44" t="s">
        <v>312</v>
      </c>
      <c r="B220" s="44" t="s">
        <v>316</v>
      </c>
      <c r="C220" s="44" t="str">
        <f t="shared" si="3"/>
        <v>AMAR AUTOMOBILES-PAYTMQR2---30656960813-UPI</v>
      </c>
      <c r="D220" s="44">
        <v>499.38</v>
      </c>
      <c r="E220" s="44" t="s">
        <v>57</v>
      </c>
    </row>
    <row r="221" spans="1:5" x14ac:dyDescent="0.25">
      <c r="A221" s="44" t="s">
        <v>312</v>
      </c>
      <c r="B221" s="44" t="s">
        <v>317</v>
      </c>
      <c r="C221" s="44" t="str">
        <f t="shared" si="3"/>
        <v>YASH ART-KAVITA18481@OKIC---30658554193-UPI</v>
      </c>
      <c r="D221" s="44">
        <v>8000</v>
      </c>
      <c r="E221" s="44" t="s">
        <v>65</v>
      </c>
    </row>
    <row r="222" spans="1:5" x14ac:dyDescent="0.25">
      <c r="A222" s="44" t="s">
        <v>312</v>
      </c>
      <c r="B222" s="44" t="s">
        <v>318</v>
      </c>
      <c r="C222" s="44" t="str">
        <f t="shared" si="3"/>
        <v>IMPS-330617375423-NAROTTA---XXXXXX9429-CASH</v>
      </c>
      <c r="D222" s="44">
        <v>37000</v>
      </c>
      <c r="E222" s="44" t="s">
        <v>198</v>
      </c>
    </row>
    <row r="223" spans="1:5" x14ac:dyDescent="0.25">
      <c r="A223" s="44" t="s">
        <v>312</v>
      </c>
      <c r="B223" s="44" t="s">
        <v>319</v>
      </c>
      <c r="C223" s="44" t="str">
        <f t="shared" si="3"/>
        <v>NAYAKS SWEETS AND SN-PAYT---30666725656-UPI</v>
      </c>
      <c r="D223" s="44">
        <v>275</v>
      </c>
      <c r="E223" s="44" t="s">
        <v>57</v>
      </c>
    </row>
    <row r="224" spans="1:5" x14ac:dyDescent="0.25">
      <c r="A224" s="44" t="s">
        <v>312</v>
      </c>
      <c r="B224" s="44" t="s">
        <v>320</v>
      </c>
      <c r="C224" s="44" t="str">
        <f t="shared" si="3"/>
        <v>MAMAJI-PAYTMQRMGBTPUXWCY@---30666979417-UPI</v>
      </c>
      <c r="D224" s="44">
        <v>420</v>
      </c>
      <c r="E224" s="44" t="s">
        <v>57</v>
      </c>
    </row>
    <row r="225" spans="1:5" x14ac:dyDescent="0.25">
      <c r="A225" s="44" t="s">
        <v>312</v>
      </c>
      <c r="B225" s="44" t="s">
        <v>321</v>
      </c>
      <c r="C225" s="44" t="str">
        <f t="shared" si="3"/>
        <v>SANTOSH SONI-SANTOSHSONI8---30676794994-UPI</v>
      </c>
      <c r="D225" s="44">
        <v>100</v>
      </c>
      <c r="E225" s="44" t="s">
        <v>84</v>
      </c>
    </row>
    <row r="226" spans="1:5" x14ac:dyDescent="0.25">
      <c r="A226" s="44" t="s">
        <v>312</v>
      </c>
      <c r="B226" s="44" t="s">
        <v>322</v>
      </c>
      <c r="C226" s="44" t="str">
        <f t="shared" si="3"/>
        <v>SARVESH KUMAR MISHRA-PAYT---30677013487-UPI</v>
      </c>
      <c r="D226" s="44">
        <v>60</v>
      </c>
      <c r="E226" s="44" t="s">
        <v>57</v>
      </c>
    </row>
    <row r="227" spans="1:5" x14ac:dyDescent="0.25">
      <c r="A227" s="44" t="s">
        <v>323</v>
      </c>
      <c r="B227" s="44" t="s">
        <v>324</v>
      </c>
      <c r="C227" s="44" t="str">
        <f t="shared" si="3"/>
        <v>MOHAMMAD SALMAN-SALMANRYI---30778993312-UPI</v>
      </c>
      <c r="D227" s="44">
        <v>800</v>
      </c>
      <c r="E227" s="44" t="s">
        <v>54</v>
      </c>
    </row>
    <row r="228" spans="1:5" x14ac:dyDescent="0.25">
      <c r="A228" s="44" t="s">
        <v>323</v>
      </c>
      <c r="B228" s="44" t="s">
        <v>325</v>
      </c>
      <c r="C228" s="44" t="str">
        <f t="shared" si="3"/>
        <v>SUNITA CHOUHAN POTTE-RC21---293868-T9 GLASS</v>
      </c>
      <c r="D228" s="44">
        <v>4200</v>
      </c>
      <c r="E228" s="44" t="s">
        <v>65</v>
      </c>
    </row>
    <row r="229" spans="1:5" x14ac:dyDescent="0.25">
      <c r="A229" s="44" t="s">
        <v>323</v>
      </c>
      <c r="B229" s="44" t="s">
        <v>326</v>
      </c>
      <c r="C229" s="44" t="str">
        <f t="shared" si="3"/>
        <v>ASHOK D VORA-Q831701224@Y---30790894641-UPI</v>
      </c>
      <c r="D229" s="44">
        <v>165</v>
      </c>
      <c r="E229" s="44" t="s">
        <v>84</v>
      </c>
    </row>
    <row r="230" spans="1:5" x14ac:dyDescent="0.25">
      <c r="A230" s="44" t="s">
        <v>323</v>
      </c>
      <c r="B230" s="44" t="s">
        <v>327</v>
      </c>
      <c r="C230" s="44" t="str">
        <f t="shared" si="3"/>
        <v>ABDUL REHMAN ABDUL K-7738---MENT FROM PHONE</v>
      </c>
      <c r="D230" s="44">
        <v>50</v>
      </c>
      <c r="E230" s="44" t="s">
        <v>84</v>
      </c>
    </row>
    <row r="231" spans="1:5" x14ac:dyDescent="0.25">
      <c r="A231" s="44" t="s">
        <v>323</v>
      </c>
      <c r="B231" s="44" t="s">
        <v>328</v>
      </c>
      <c r="C231" s="44" t="str">
        <f t="shared" si="3"/>
        <v>AKASH KAMLESH KAKKAR-AKAS---30799514856-UPI</v>
      </c>
      <c r="D231" s="44">
        <v>200</v>
      </c>
      <c r="E231" s="44" t="s">
        <v>84</v>
      </c>
    </row>
    <row r="232" spans="1:5" x14ac:dyDescent="0.25">
      <c r="A232" s="44" t="s">
        <v>323</v>
      </c>
      <c r="B232" s="44" t="s">
        <v>329</v>
      </c>
      <c r="C232" s="44" t="str">
        <f t="shared" si="3"/>
        <v>IZHAR  AHMED  SIDDIQ-IZHA---30713147300-UPI</v>
      </c>
      <c r="D232" s="44">
        <v>421</v>
      </c>
      <c r="E232" s="44" t="s">
        <v>84</v>
      </c>
    </row>
    <row r="233" spans="1:5" x14ac:dyDescent="0.25">
      <c r="A233" s="44" t="s">
        <v>323</v>
      </c>
      <c r="B233" s="44" t="s">
        <v>330</v>
      </c>
      <c r="C233" s="44" t="str">
        <f t="shared" si="3"/>
        <v>IZHAR  AHMED  SIDDIQ-IZHA---30713291565-UPI</v>
      </c>
      <c r="D233" s="44">
        <v>40</v>
      </c>
      <c r="E233" s="44" t="s">
        <v>84</v>
      </c>
    </row>
    <row r="234" spans="1:5" x14ac:dyDescent="0.25">
      <c r="A234" s="44" t="s">
        <v>323</v>
      </c>
      <c r="B234" s="44" t="s">
        <v>91</v>
      </c>
      <c r="C234" s="44" t="str">
        <f t="shared" si="3"/>
        <v>ME DC SI 514834XXXXXX0214---14 GOOGLEWORKSP</v>
      </c>
      <c r="D234" s="44">
        <v>247.8</v>
      </c>
      <c r="E234" s="44" t="s">
        <v>84</v>
      </c>
    </row>
    <row r="235" spans="1:5" x14ac:dyDescent="0.25">
      <c r="A235" s="44" t="s">
        <v>331</v>
      </c>
      <c r="B235" s="44" t="s">
        <v>332</v>
      </c>
      <c r="C235" s="44" t="str">
        <f t="shared" si="3"/>
        <v>SHRISUNILKUMARMOHANL-Q951---30843063678-UPI</v>
      </c>
      <c r="D235" s="44">
        <v>60</v>
      </c>
      <c r="E235" s="44" t="s">
        <v>84</v>
      </c>
    </row>
    <row r="236" spans="1:5" x14ac:dyDescent="0.25">
      <c r="A236" s="44" t="s">
        <v>331</v>
      </c>
      <c r="B236" s="44" t="s">
        <v>333</v>
      </c>
      <c r="C236" s="44" t="str">
        <f t="shared" si="3"/>
        <v>HARENDRA KUMAR  DUBE-HKDU---30845783469-UPI</v>
      </c>
      <c r="D236" s="44">
        <v>120</v>
      </c>
      <c r="E236" s="44" t="s">
        <v>84</v>
      </c>
    </row>
    <row r="237" spans="1:5" x14ac:dyDescent="0.25">
      <c r="A237" s="44" t="s">
        <v>331</v>
      </c>
      <c r="B237" s="44" t="s">
        <v>334</v>
      </c>
      <c r="C237" s="44" t="str">
        <f t="shared" si="3"/>
        <v>IMPS-330813372542-DHARMES---XX7507-DHARMESH</v>
      </c>
      <c r="D237" s="44">
        <v>130000</v>
      </c>
      <c r="E237" s="44" t="s">
        <v>198</v>
      </c>
    </row>
    <row r="238" spans="1:5" x14ac:dyDescent="0.25">
      <c r="A238" s="44" t="s">
        <v>331</v>
      </c>
      <c r="B238" s="44" t="s">
        <v>335</v>
      </c>
      <c r="C238" s="44" t="str">
        <f t="shared" si="3"/>
        <v>ABDUL REHMAN ABDUL K-7738---MENT FROM PHONE</v>
      </c>
      <c r="D238" s="44">
        <v>330</v>
      </c>
      <c r="E238" s="44" t="s">
        <v>84</v>
      </c>
    </row>
    <row r="239" spans="1:5" x14ac:dyDescent="0.25">
      <c r="A239" s="44" t="s">
        <v>331</v>
      </c>
      <c r="B239" s="44" t="s">
        <v>336</v>
      </c>
      <c r="C239" s="44" t="str">
        <f t="shared" si="3"/>
        <v>VINAY DEVACHAND MALD-VINA---CS MATAKI RETUR</v>
      </c>
      <c r="D239" s="44">
        <v>715</v>
      </c>
      <c r="E239" s="44" t="s">
        <v>84</v>
      </c>
    </row>
    <row r="240" spans="1:5" x14ac:dyDescent="0.25">
      <c r="A240" s="44" t="s">
        <v>331</v>
      </c>
      <c r="B240" s="44" t="s">
        <v>337</v>
      </c>
      <c r="C240" s="44" t="str">
        <f t="shared" si="3"/>
        <v>SHARAMMA-VIKASBOUDHE571@O---8-VIKAS ADVANCE</v>
      </c>
      <c r="D240" s="44">
        <v>400</v>
      </c>
      <c r="E240" s="44" t="s">
        <v>54</v>
      </c>
    </row>
    <row r="241" spans="1:5" x14ac:dyDescent="0.25">
      <c r="A241" s="44" t="s">
        <v>331</v>
      </c>
      <c r="B241" s="44" t="s">
        <v>338</v>
      </c>
      <c r="C241" s="44" t="str">
        <f t="shared" si="3"/>
        <v>ABDUL REHMAN ABDUL K-7738---MENT FROM PHONE</v>
      </c>
      <c r="D241" s="44">
        <v>11000</v>
      </c>
      <c r="E241" s="44" t="s">
        <v>54</v>
      </c>
    </row>
    <row r="242" spans="1:5" x14ac:dyDescent="0.25">
      <c r="A242" s="44" t="s">
        <v>331</v>
      </c>
      <c r="B242" s="44" t="s">
        <v>339</v>
      </c>
      <c r="C242" s="44" t="str">
        <f t="shared" si="3"/>
        <v>SAYYED SAIF ALI-745909921---5913-SAIF NIGHT</v>
      </c>
      <c r="D242" s="44">
        <v>2550</v>
      </c>
      <c r="E242" s="44" t="s">
        <v>54</v>
      </c>
    </row>
    <row r="243" spans="1:5" x14ac:dyDescent="0.25">
      <c r="A243" s="44" t="s">
        <v>331</v>
      </c>
      <c r="B243" s="44" t="s">
        <v>340</v>
      </c>
      <c r="C243" s="44" t="str">
        <f t="shared" si="3"/>
        <v>SAYYED SAIF ALI-745909921---IL REHAN SUFIYA</v>
      </c>
      <c r="D243" s="44">
        <v>2800</v>
      </c>
      <c r="E243" s="44" t="s">
        <v>54</v>
      </c>
    </row>
    <row r="244" spans="1:5" x14ac:dyDescent="0.25">
      <c r="A244" s="44" t="s">
        <v>341</v>
      </c>
      <c r="B244" s="44" t="s">
        <v>342</v>
      </c>
      <c r="C244" s="44" t="str">
        <f t="shared" si="3"/>
        <v>SHARAMMA-VIKASBOUDHE571@O---30984080917-UPI</v>
      </c>
      <c r="D244" s="44">
        <v>200</v>
      </c>
      <c r="E244" s="44" t="s">
        <v>54</v>
      </c>
    </row>
    <row r="245" spans="1:5" x14ac:dyDescent="0.25">
      <c r="A245" s="44" t="s">
        <v>341</v>
      </c>
      <c r="B245" s="44" t="s">
        <v>343</v>
      </c>
      <c r="C245" s="44" t="str">
        <f t="shared" si="3"/>
        <v>IMPS-330914306491-DHARMES---XX7507-YAG HDFC</v>
      </c>
      <c r="D245" s="44">
        <v>100000</v>
      </c>
      <c r="E245" s="44" t="s">
        <v>198</v>
      </c>
    </row>
    <row r="246" spans="1:5" x14ac:dyDescent="0.25">
      <c r="A246" s="44" t="s">
        <v>341</v>
      </c>
      <c r="B246" s="44" t="s">
        <v>344</v>
      </c>
      <c r="C246" s="44" t="str">
        <f t="shared" si="3"/>
        <v>ABDUL REHMAN ABDUL K-7738---MENT FROM PHONE</v>
      </c>
      <c r="D246" s="44">
        <v>700</v>
      </c>
      <c r="E246" s="44" t="s">
        <v>84</v>
      </c>
    </row>
    <row r="247" spans="1:5" x14ac:dyDescent="0.25">
      <c r="A247" s="44" t="s">
        <v>341</v>
      </c>
      <c r="B247" s="44" t="s">
        <v>345</v>
      </c>
      <c r="C247" s="44" t="str">
        <f t="shared" si="3"/>
        <v>CHANDRASHEKHAR-CHANDRSHAK---30921179204-UPI</v>
      </c>
      <c r="D247" s="44">
        <v>4000</v>
      </c>
      <c r="E247" s="44" t="s">
        <v>54</v>
      </c>
    </row>
    <row r="248" spans="1:5" x14ac:dyDescent="0.25">
      <c r="A248" s="44" t="s">
        <v>341</v>
      </c>
      <c r="B248" s="44" t="s">
        <v>346</v>
      </c>
      <c r="C248" s="44" t="str">
        <f t="shared" si="3"/>
        <v>HEALTH DOSA POINT-BHARATP--- TO HEALTH DOSA</v>
      </c>
      <c r="D248" s="44">
        <v>367</v>
      </c>
      <c r="E248" s="44" t="s">
        <v>57</v>
      </c>
    </row>
    <row r="249" spans="1:5" x14ac:dyDescent="0.25">
      <c r="A249" s="44" t="s">
        <v>347</v>
      </c>
      <c r="B249" s="44" t="s">
        <v>348</v>
      </c>
      <c r="C249" s="44" t="str">
        <f t="shared" si="3"/>
        <v>SARVESH KUMAR MISHRA-PAYT---044732945-LUNCH</v>
      </c>
      <c r="D249" s="44">
        <v>50</v>
      </c>
      <c r="E249" s="44" t="s">
        <v>57</v>
      </c>
    </row>
    <row r="250" spans="1:5" x14ac:dyDescent="0.25">
      <c r="A250" s="44" t="s">
        <v>347</v>
      </c>
      <c r="B250" s="44" t="s">
        <v>349</v>
      </c>
      <c r="C250" s="44" t="str">
        <f t="shared" si="3"/>
        <v>IMPS-331017374339-DILIP M---X8552-DILIP INT</v>
      </c>
      <c r="D250" s="44">
        <v>60000</v>
      </c>
      <c r="E250" s="44" t="s">
        <v>198</v>
      </c>
    </row>
    <row r="251" spans="1:5" x14ac:dyDescent="0.25">
      <c r="A251" s="44" t="s">
        <v>347</v>
      </c>
      <c r="B251" s="44" t="s">
        <v>350</v>
      </c>
      <c r="C251" s="44" t="str">
        <f t="shared" si="3"/>
        <v>IMPS-331017395348-DHARMES---XXXXXX7507-CASH</v>
      </c>
      <c r="D251" s="44">
        <v>1000</v>
      </c>
      <c r="E251" s="44" t="s">
        <v>198</v>
      </c>
    </row>
    <row r="252" spans="1:5" x14ac:dyDescent="0.25">
      <c r="A252" s="44" t="s">
        <v>347</v>
      </c>
      <c r="B252" s="44" t="s">
        <v>351</v>
      </c>
      <c r="C252" s="44" t="str">
        <f t="shared" si="3"/>
        <v>VIDHI CREATION-JAYU.MEWAD---511-MAHARAJ INT</v>
      </c>
      <c r="D252" s="44">
        <v>25000</v>
      </c>
      <c r="E252" s="44" t="s">
        <v>198</v>
      </c>
    </row>
    <row r="253" spans="1:5" x14ac:dyDescent="0.25">
      <c r="A253" s="44" t="s">
        <v>347</v>
      </c>
      <c r="B253" s="44" t="s">
        <v>197</v>
      </c>
      <c r="C253" s="44" t="str">
        <f t="shared" si="3"/>
        <v>05011610165174-TPT-CASH-D---MESH DEVJI MARU</v>
      </c>
      <c r="D253" s="44">
        <v>100000</v>
      </c>
      <c r="E253" s="44" t="s">
        <v>198</v>
      </c>
    </row>
    <row r="254" spans="1:5" x14ac:dyDescent="0.25">
      <c r="A254" s="44" t="s">
        <v>347</v>
      </c>
      <c r="B254" s="44" t="s">
        <v>352</v>
      </c>
      <c r="C254" s="44" t="str">
        <f t="shared" si="3"/>
        <v>XXXXXX3340-UTIB0001177-33---31061308261-UPI</v>
      </c>
      <c r="D254" s="44">
        <v>32500</v>
      </c>
      <c r="E254" s="44" t="s">
        <v>198</v>
      </c>
    </row>
    <row r="255" spans="1:5" x14ac:dyDescent="0.25">
      <c r="A255" s="44" t="s">
        <v>347</v>
      </c>
      <c r="B255" s="44" t="s">
        <v>353</v>
      </c>
      <c r="C255" s="44" t="str">
        <f t="shared" si="3"/>
        <v>NITESH ASHOK RANAVAT-9833---31068579107-UPI</v>
      </c>
      <c r="D255" s="44">
        <v>1000</v>
      </c>
      <c r="E255" s="44" t="s">
        <v>84</v>
      </c>
    </row>
    <row r="256" spans="1:5" x14ac:dyDescent="0.25">
      <c r="A256" s="44" t="s">
        <v>354</v>
      </c>
      <c r="B256" s="44" t="s">
        <v>355</v>
      </c>
      <c r="C256" s="44" t="str">
        <f t="shared" si="3"/>
        <v>.IMPS P2P 329317349582#20---DT2331020141444</v>
      </c>
      <c r="D256" s="44">
        <v>17.7</v>
      </c>
      <c r="E256" s="44" t="s">
        <v>84</v>
      </c>
    </row>
    <row r="257" spans="1:5" x14ac:dyDescent="0.25">
      <c r="A257" s="44" t="s">
        <v>354</v>
      </c>
      <c r="B257" s="44" t="s">
        <v>356</v>
      </c>
      <c r="C257" s="44" t="str">
        <f t="shared" si="3"/>
        <v>MANOJ KUMAR-Q994873405@YB---31190171036-UPI</v>
      </c>
      <c r="D257" s="44">
        <v>80</v>
      </c>
      <c r="E257" s="44" t="s">
        <v>84</v>
      </c>
    </row>
    <row r="258" spans="1:5" x14ac:dyDescent="0.25">
      <c r="A258" s="44" t="s">
        <v>354</v>
      </c>
      <c r="B258" s="44" t="s">
        <v>357</v>
      </c>
      <c r="C258" s="44" t="str">
        <f t="shared" si="3"/>
        <v>SHARAMMA-VIKASBOUDHE571@O---63-VIKAS SALARY</v>
      </c>
      <c r="D258" s="44">
        <v>15000</v>
      </c>
      <c r="E258" s="44" t="s">
        <v>54</v>
      </c>
    </row>
    <row r="259" spans="1:5" x14ac:dyDescent="0.25">
      <c r="A259" s="44" t="s">
        <v>354</v>
      </c>
      <c r="B259" s="44" t="s">
        <v>358</v>
      </c>
      <c r="C259" s="44" t="str">
        <f t="shared" ref="C259:C296" si="4">LEFT(B259,25)&amp;"---"&amp;RIGHT(B259,15)</f>
        <v>NEW VISHAL CHEMIST-PAYTMQ---31116244303-UPI</v>
      </c>
      <c r="D259" s="44">
        <v>25</v>
      </c>
      <c r="E259" s="44" t="s">
        <v>57</v>
      </c>
    </row>
    <row r="260" spans="1:5" x14ac:dyDescent="0.25">
      <c r="A260" s="44" t="s">
        <v>359</v>
      </c>
      <c r="B260" s="44" t="s">
        <v>360</v>
      </c>
      <c r="C260" s="44" t="str">
        <f t="shared" si="4"/>
        <v>IRCTC UTS-PAYTM-8727353@P---31242427183-UPI</v>
      </c>
      <c r="D260" s="44">
        <v>200</v>
      </c>
      <c r="E260" s="44" t="s">
        <v>57</v>
      </c>
    </row>
    <row r="261" spans="1:5" x14ac:dyDescent="0.25">
      <c r="A261" s="44" t="s">
        <v>359</v>
      </c>
      <c r="B261" s="44" t="s">
        <v>361</v>
      </c>
      <c r="C261" s="44" t="str">
        <f t="shared" si="4"/>
        <v>XXXXXX4245-PUNB0682100-33---LIM BHAI MADINA</v>
      </c>
      <c r="D261" s="44">
        <v>80000</v>
      </c>
      <c r="E261" s="44" t="s">
        <v>65</v>
      </c>
    </row>
    <row r="262" spans="1:5" x14ac:dyDescent="0.25">
      <c r="A262" s="44" t="s">
        <v>359</v>
      </c>
      <c r="B262" s="44" t="s">
        <v>362</v>
      </c>
      <c r="C262" s="44" t="str">
        <f t="shared" si="4"/>
        <v>50100135989797-TPT-CASH-S---L DHARMESH MARU</v>
      </c>
      <c r="D262" s="44">
        <v>20000</v>
      </c>
      <c r="E262" s="44" t="s">
        <v>65</v>
      </c>
    </row>
    <row r="263" spans="1:5" x14ac:dyDescent="0.25">
      <c r="A263" s="44" t="s">
        <v>359</v>
      </c>
      <c r="B263" s="44" t="s">
        <v>363</v>
      </c>
      <c r="C263" s="44" t="str">
        <f t="shared" si="4"/>
        <v>MOHAMMAD SALMAN-SALMANRYI---MAN DANISH ARBA</v>
      </c>
      <c r="D263" s="44">
        <v>3600</v>
      </c>
      <c r="E263" s="44" t="s">
        <v>54</v>
      </c>
    </row>
    <row r="264" spans="1:5" x14ac:dyDescent="0.25">
      <c r="A264" s="44" t="s">
        <v>359</v>
      </c>
      <c r="B264" s="44" t="s">
        <v>364</v>
      </c>
      <c r="C264" s="44" t="str">
        <f t="shared" si="4"/>
        <v>SANTOSH ASHOK KHADE-99673---31264616933-UPI</v>
      </c>
      <c r="D264" s="44">
        <v>120</v>
      </c>
      <c r="E264" s="44" t="s">
        <v>84</v>
      </c>
    </row>
    <row r="265" spans="1:5" x14ac:dyDescent="0.25">
      <c r="A265" s="44" t="s">
        <v>365</v>
      </c>
      <c r="B265" s="44" t="s">
        <v>366</v>
      </c>
      <c r="C265" s="44" t="str">
        <f t="shared" si="4"/>
        <v>VODAFONE IDEA LIMITE-VIPO---31379581572-UPI</v>
      </c>
      <c r="D265" s="44">
        <v>1355.82</v>
      </c>
      <c r="E265" s="44" t="s">
        <v>57</v>
      </c>
    </row>
    <row r="266" spans="1:5" x14ac:dyDescent="0.25">
      <c r="A266" s="44" t="s">
        <v>365</v>
      </c>
      <c r="B266" s="44" t="s">
        <v>367</v>
      </c>
      <c r="C266" s="44" t="str">
        <f t="shared" si="4"/>
        <v>50100135989797-TPT-OWAIS ---L DHARMESH MARU</v>
      </c>
      <c r="D266" s="44">
        <v>50000</v>
      </c>
      <c r="E266" s="44" t="s">
        <v>65</v>
      </c>
    </row>
    <row r="267" spans="1:5" x14ac:dyDescent="0.25">
      <c r="A267" s="44" t="s">
        <v>365</v>
      </c>
      <c r="B267" s="44" t="s">
        <v>368</v>
      </c>
      <c r="C267" s="44" t="str">
        <f t="shared" si="4"/>
        <v>DHARMENDRA TULSIRAM -DHAR---EPAK BHAI DADAR</v>
      </c>
      <c r="D267" s="44">
        <v>5500</v>
      </c>
      <c r="E267" s="44" t="s">
        <v>65</v>
      </c>
    </row>
    <row r="268" spans="1:5" x14ac:dyDescent="0.25">
      <c r="A268" s="44" t="s">
        <v>365</v>
      </c>
      <c r="B268" s="44" t="s">
        <v>369</v>
      </c>
      <c r="C268" s="44" t="str">
        <f t="shared" si="4"/>
        <v>NEW VISHAL CHEMIST-PAYTMQ---31392445098-UPI</v>
      </c>
      <c r="D268" s="44">
        <v>64</v>
      </c>
      <c r="E268" s="44" t="s">
        <v>57</v>
      </c>
    </row>
    <row r="269" spans="1:5" x14ac:dyDescent="0.25">
      <c r="A269" s="44" t="s">
        <v>365</v>
      </c>
      <c r="B269" s="44" t="s">
        <v>370</v>
      </c>
      <c r="C269" s="44" t="str">
        <f t="shared" si="4"/>
        <v>BHAVANA JAYANTI CHIT-JAYA---69-JAYANTI BHAI</v>
      </c>
      <c r="D269" s="44">
        <v>11000</v>
      </c>
      <c r="E269" s="44" t="s">
        <v>65</v>
      </c>
    </row>
    <row r="270" spans="1:5" x14ac:dyDescent="0.25">
      <c r="A270" s="44" t="s">
        <v>365</v>
      </c>
      <c r="B270" s="44" t="s">
        <v>371</v>
      </c>
      <c r="C270" s="44" t="str">
        <f t="shared" si="4"/>
        <v>MOHAMMAD SALMAN-SALMANRYI---AIL SAHIL TABAR</v>
      </c>
      <c r="D270" s="44">
        <v>4000</v>
      </c>
      <c r="E270" s="44" t="s">
        <v>54</v>
      </c>
    </row>
    <row r="271" spans="1:5" x14ac:dyDescent="0.25">
      <c r="A271" s="44" t="s">
        <v>365</v>
      </c>
      <c r="B271" s="44" t="s">
        <v>372</v>
      </c>
      <c r="C271" s="44" t="str">
        <f t="shared" si="4"/>
        <v>CHIDURALA SHREENIVAS-Q701---31321646373-UPI</v>
      </c>
      <c r="D271" s="44">
        <v>550</v>
      </c>
      <c r="E271" s="44" t="s">
        <v>57</v>
      </c>
    </row>
    <row r="272" spans="1:5" x14ac:dyDescent="0.25">
      <c r="A272" s="44" t="s">
        <v>365</v>
      </c>
      <c r="B272" s="44" t="s">
        <v>373</v>
      </c>
      <c r="C272" s="44" t="str">
        <f t="shared" si="4"/>
        <v>SHAIKH YUNUS SALIM-SHAIKH---31322063500-UPI</v>
      </c>
      <c r="D272" s="44">
        <v>115</v>
      </c>
      <c r="E272" s="44" t="s">
        <v>84</v>
      </c>
    </row>
    <row r="273" spans="1:5" x14ac:dyDescent="0.25">
      <c r="A273" s="44" t="s">
        <v>365</v>
      </c>
      <c r="B273" s="44" t="s">
        <v>374</v>
      </c>
      <c r="C273" s="44" t="str">
        <f t="shared" si="4"/>
        <v>ROYAL CHEMIST-PAYTMQR2810---31322394993-UPI</v>
      </c>
      <c r="D273" s="44">
        <v>155</v>
      </c>
      <c r="E273" s="44" t="s">
        <v>84</v>
      </c>
    </row>
    <row r="274" spans="1:5" x14ac:dyDescent="0.25">
      <c r="A274" s="44" t="s">
        <v>375</v>
      </c>
      <c r="B274" s="44" t="s">
        <v>376</v>
      </c>
      <c r="C274" s="44" t="str">
        <f t="shared" si="4"/>
        <v>KOLIWADA KAPOLE STOR-BHAR--- TO KOLIWADA KA</v>
      </c>
      <c r="D274" s="44">
        <v>2850</v>
      </c>
      <c r="E274" s="44" t="s">
        <v>84</v>
      </c>
    </row>
    <row r="275" spans="1:5" x14ac:dyDescent="0.25">
      <c r="A275" s="44" t="s">
        <v>375</v>
      </c>
      <c r="B275" s="44" t="s">
        <v>377</v>
      </c>
      <c r="C275" s="44" t="str">
        <f t="shared" si="4"/>
        <v>LOREX SALON AND ACAD-PAYT---468461121-LOREX</v>
      </c>
      <c r="D275" s="44">
        <v>1800</v>
      </c>
      <c r="E275" s="44" t="s">
        <v>311</v>
      </c>
    </row>
    <row r="276" spans="1:5" x14ac:dyDescent="0.25">
      <c r="A276" s="44" t="s">
        <v>375</v>
      </c>
      <c r="B276" s="44" t="s">
        <v>378</v>
      </c>
      <c r="C276" s="44" t="str">
        <f t="shared" si="4"/>
        <v>KHAN JAFAR AHMED-JAFARAHM---31468544852-UPI</v>
      </c>
      <c r="D276" s="44">
        <v>1500</v>
      </c>
      <c r="E276" s="44" t="s">
        <v>84</v>
      </c>
    </row>
    <row r="277" spans="1:5" x14ac:dyDescent="0.25">
      <c r="A277" s="44" t="s">
        <v>375</v>
      </c>
      <c r="B277" s="44" t="s">
        <v>379</v>
      </c>
      <c r="C277" s="44" t="str">
        <f t="shared" si="4"/>
        <v>FAIZAN A FAROOQUI-PAYTMQR---31470770523-UPI</v>
      </c>
      <c r="D277" s="44">
        <v>60</v>
      </c>
      <c r="E277" s="44" t="s">
        <v>84</v>
      </c>
    </row>
    <row r="278" spans="1:5" x14ac:dyDescent="0.25">
      <c r="A278" s="44" t="s">
        <v>380</v>
      </c>
      <c r="B278" s="44" t="s">
        <v>381</v>
      </c>
      <c r="C278" s="44" t="str">
        <f t="shared" si="4"/>
        <v>50100135989797-TPT-WARIS ---L DHARMESH MARU</v>
      </c>
      <c r="D278" s="44">
        <v>9751</v>
      </c>
      <c r="E278" s="44" t="s">
        <v>65</v>
      </c>
    </row>
    <row r="279" spans="1:5" x14ac:dyDescent="0.25">
      <c r="A279" s="44" t="s">
        <v>380</v>
      </c>
      <c r="B279" s="44" t="s">
        <v>382</v>
      </c>
      <c r="C279" s="44" t="str">
        <f t="shared" si="4"/>
        <v>NEELAM JABARKUMAR MA-BHAR--- TO NEELAM JABA</v>
      </c>
      <c r="D279" s="44">
        <v>2200</v>
      </c>
      <c r="E279" s="44" t="s">
        <v>311</v>
      </c>
    </row>
    <row r="280" spans="1:5" x14ac:dyDescent="0.25">
      <c r="A280" s="44" t="s">
        <v>380</v>
      </c>
      <c r="B280" s="44" t="s">
        <v>383</v>
      </c>
      <c r="C280" s="44" t="str">
        <f t="shared" si="4"/>
        <v>SHREE GANESH CHUNARI-GPAY---31593424591-UPI</v>
      </c>
      <c r="D280" s="44">
        <v>2400</v>
      </c>
      <c r="E280" s="44" t="s">
        <v>311</v>
      </c>
    </row>
    <row r="281" spans="1:5" x14ac:dyDescent="0.25">
      <c r="A281" s="44" t="s">
        <v>380</v>
      </c>
      <c r="B281" s="44" t="s">
        <v>384</v>
      </c>
      <c r="C281" s="44" t="str">
        <f t="shared" si="4"/>
        <v>SHRI VINDRAVAN BHUVA-Q281---31595854596-UPI</v>
      </c>
      <c r="D281" s="44">
        <v>595</v>
      </c>
      <c r="E281" s="44" t="s">
        <v>311</v>
      </c>
    </row>
    <row r="282" spans="1:5" x14ac:dyDescent="0.25">
      <c r="A282" s="44" t="s">
        <v>380</v>
      </c>
      <c r="B282" s="44" t="s">
        <v>385</v>
      </c>
      <c r="C282" s="44" t="str">
        <f t="shared" si="4"/>
        <v>HELLY CREATIONS HELL-7021---31596666776-UPI</v>
      </c>
      <c r="D282" s="44">
        <v>1800</v>
      </c>
      <c r="E282" s="44" t="s">
        <v>311</v>
      </c>
    </row>
    <row r="283" spans="1:5" x14ac:dyDescent="0.25">
      <c r="A283" s="44" t="s">
        <v>380</v>
      </c>
      <c r="B283" s="44" t="s">
        <v>386</v>
      </c>
      <c r="C283" s="44" t="str">
        <f t="shared" si="4"/>
        <v>AJAY RAMLAL KEWAT-AJAYKEW---31596949667-UPI</v>
      </c>
      <c r="D283" s="44">
        <v>800</v>
      </c>
      <c r="E283" s="44" t="s">
        <v>84</v>
      </c>
    </row>
    <row r="284" spans="1:5" x14ac:dyDescent="0.25">
      <c r="A284" s="44" t="s">
        <v>380</v>
      </c>
      <c r="B284" s="44" t="s">
        <v>387</v>
      </c>
      <c r="C284" s="44" t="str">
        <f t="shared" si="4"/>
        <v>SHAMSUDDIN MOHAMMED -PAYT---31597883065-UPI</v>
      </c>
      <c r="D284" s="44">
        <v>420</v>
      </c>
      <c r="E284" s="44" t="s">
        <v>84</v>
      </c>
    </row>
    <row r="285" spans="1:5" x14ac:dyDescent="0.25">
      <c r="A285" s="44" t="s">
        <v>380</v>
      </c>
      <c r="B285" s="44" t="s">
        <v>388</v>
      </c>
      <c r="C285" s="44" t="str">
        <f t="shared" si="4"/>
        <v>ADITI ASHOK PAREKH-PAREKH--- TRUSHA 3RD INS</v>
      </c>
      <c r="D285" s="44">
        <v>10000</v>
      </c>
      <c r="E285" s="44" t="s">
        <v>57</v>
      </c>
    </row>
    <row r="286" spans="1:5" x14ac:dyDescent="0.25">
      <c r="A286" s="44" t="s">
        <v>380</v>
      </c>
      <c r="B286" s="44" t="s">
        <v>389</v>
      </c>
      <c r="C286" s="44" t="str">
        <f t="shared" si="4"/>
        <v>POONAM MANOJ BHAI JE-POON---D TRUSHA TUTION</v>
      </c>
      <c r="D286" s="44">
        <v>6000</v>
      </c>
      <c r="E286" s="44" t="s">
        <v>57</v>
      </c>
    </row>
    <row r="287" spans="1:5" x14ac:dyDescent="0.25">
      <c r="A287" s="44" t="s">
        <v>380</v>
      </c>
      <c r="B287" s="44" t="s">
        <v>390</v>
      </c>
      <c r="C287" s="44" t="str">
        <f t="shared" si="4"/>
        <v>MOHAMMAD SALMAN-SALMANRYI---7-TABARAK SAHIL</v>
      </c>
      <c r="D287" s="44">
        <v>800</v>
      </c>
      <c r="E287" s="44" t="s">
        <v>54</v>
      </c>
    </row>
    <row r="288" spans="1:5" x14ac:dyDescent="0.25">
      <c r="A288" s="44" t="s">
        <v>391</v>
      </c>
      <c r="B288" s="44" t="s">
        <v>392</v>
      </c>
      <c r="C288" s="44" t="str">
        <f t="shared" si="4"/>
        <v>JAYESH KHIMJI JETHWA-JJET---CTRIC CHILD ROO</v>
      </c>
      <c r="D288" s="44">
        <v>1800</v>
      </c>
      <c r="E288" s="44" t="s">
        <v>311</v>
      </c>
    </row>
    <row r="289" spans="1:5" x14ac:dyDescent="0.25">
      <c r="A289" s="44" t="s">
        <v>391</v>
      </c>
      <c r="B289" s="44" t="s">
        <v>393</v>
      </c>
      <c r="C289" s="44" t="str">
        <f t="shared" si="4"/>
        <v>AKASH RAM RATHOD-AKASHRAT---31650299082-UPI</v>
      </c>
      <c r="D289" s="44">
        <v>627</v>
      </c>
      <c r="E289" s="44" t="s">
        <v>84</v>
      </c>
    </row>
    <row r="290" spans="1:5" x14ac:dyDescent="0.25">
      <c r="A290" s="44" t="s">
        <v>391</v>
      </c>
      <c r="B290" s="44" t="s">
        <v>394</v>
      </c>
      <c r="C290" s="44" t="str">
        <f t="shared" si="4"/>
        <v>DAUDAYAL S AGARWAL-PAYTMQ---31652619069-UPI</v>
      </c>
      <c r="D290" s="44">
        <v>2000</v>
      </c>
      <c r="E290" s="44" t="s">
        <v>84</v>
      </c>
    </row>
    <row r="291" spans="1:5" x14ac:dyDescent="0.25">
      <c r="A291" s="44" t="s">
        <v>391</v>
      </c>
      <c r="B291" s="44" t="s">
        <v>395</v>
      </c>
      <c r="C291" s="44" t="str">
        <f t="shared" si="4"/>
        <v>DAUDAYAL S AGARWAL-PAYTMQ---31652630933-UPI</v>
      </c>
      <c r="D291" s="44">
        <v>1140</v>
      </c>
      <c r="E291" s="44" t="s">
        <v>84</v>
      </c>
    </row>
    <row r="292" spans="1:5" x14ac:dyDescent="0.25">
      <c r="A292" s="44" t="s">
        <v>391</v>
      </c>
      <c r="B292" s="44" t="s">
        <v>396</v>
      </c>
      <c r="C292" s="44" t="str">
        <f t="shared" si="4"/>
        <v>KHALID SHAIKH-9930565343@---661496160-SADRA</v>
      </c>
      <c r="D292" s="44">
        <v>1500</v>
      </c>
      <c r="E292" s="44" t="s">
        <v>84</v>
      </c>
    </row>
    <row r="293" spans="1:5" x14ac:dyDescent="0.25">
      <c r="A293" s="44" t="s">
        <v>391</v>
      </c>
      <c r="B293" s="44" t="s">
        <v>397</v>
      </c>
      <c r="C293" s="44" t="str">
        <f t="shared" si="4"/>
        <v>NEW VISHAL CHEMIST-PAYTMQ---31662355503-UPI</v>
      </c>
      <c r="D293" s="44">
        <v>30</v>
      </c>
      <c r="E293" s="44" t="s">
        <v>57</v>
      </c>
    </row>
    <row r="294" spans="1:5" x14ac:dyDescent="0.25">
      <c r="A294" s="44" t="s">
        <v>391</v>
      </c>
      <c r="B294" s="44" t="s">
        <v>398</v>
      </c>
      <c r="C294" s="44" t="str">
        <f t="shared" si="4"/>
        <v>KHALID SHAIKH-9930565343@---31662994768-UPI</v>
      </c>
      <c r="D294" s="44">
        <v>550</v>
      </c>
      <c r="E294" s="44" t="s">
        <v>84</v>
      </c>
    </row>
    <row r="295" spans="1:5" x14ac:dyDescent="0.25">
      <c r="A295" s="44" t="s">
        <v>391</v>
      </c>
      <c r="B295" s="44" t="s">
        <v>399</v>
      </c>
      <c r="C295" s="44" t="str">
        <f t="shared" si="4"/>
        <v>ASHOK D VORA-Q831701224@Y---31666653687-UPI</v>
      </c>
      <c r="D295" s="44">
        <v>100</v>
      </c>
      <c r="E295" s="44" t="s">
        <v>57</v>
      </c>
    </row>
    <row r="296" spans="1:5" x14ac:dyDescent="0.25">
      <c r="A296" s="44" t="s">
        <v>391</v>
      </c>
      <c r="B296" s="44" t="s">
        <v>400</v>
      </c>
      <c r="C296" s="44" t="str">
        <f t="shared" si="4"/>
        <v>KOLIWADA KAPOLE STOR-BHAR--- TO KOLIWADA KA</v>
      </c>
      <c r="D296" s="44">
        <v>3970</v>
      </c>
      <c r="E296" s="44" t="s">
        <v>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76B1-0507-44C2-8B99-F5ECBCF49B29}">
  <dimension ref="A1:C52"/>
  <sheetViews>
    <sheetView topLeftCell="A14" workbookViewId="0">
      <selection activeCell="C40" sqref="A18:C40"/>
    </sheetView>
  </sheetViews>
  <sheetFormatPr defaultRowHeight="14.5" x14ac:dyDescent="0.35"/>
  <cols>
    <col min="1" max="1" width="49.1796875" bestFit="1" customWidth="1"/>
    <col min="3" max="3" width="10.6328125" bestFit="1" customWidth="1"/>
  </cols>
  <sheetData>
    <row r="1" spans="1:2" x14ac:dyDescent="0.35">
      <c r="A1" s="43" t="s">
        <v>451</v>
      </c>
      <c r="B1" s="49">
        <v>50000</v>
      </c>
    </row>
    <row r="2" spans="1:2" x14ac:dyDescent="0.35">
      <c r="A2" s="43" t="s">
        <v>452</v>
      </c>
      <c r="B2" s="49">
        <v>4200</v>
      </c>
    </row>
    <row r="3" spans="1:2" x14ac:dyDescent="0.35">
      <c r="A3" s="43" t="s">
        <v>449</v>
      </c>
      <c r="B3" s="49">
        <v>20000</v>
      </c>
    </row>
    <row r="4" spans="1:2" x14ac:dyDescent="0.35">
      <c r="A4" s="43" t="s">
        <v>450</v>
      </c>
      <c r="B4" s="49">
        <v>30000</v>
      </c>
    </row>
    <row r="5" spans="1:2" x14ac:dyDescent="0.35">
      <c r="A5" s="43" t="s">
        <v>438</v>
      </c>
      <c r="B5" s="49">
        <v>25000</v>
      </c>
    </row>
    <row r="6" spans="1:2" x14ac:dyDescent="0.35">
      <c r="A6" s="43" t="s">
        <v>439</v>
      </c>
      <c r="B6" s="49">
        <v>25000</v>
      </c>
    </row>
    <row r="7" spans="1:2" x14ac:dyDescent="0.35">
      <c r="A7" s="43" t="s">
        <v>440</v>
      </c>
      <c r="B7" s="49">
        <v>30000</v>
      </c>
    </row>
    <row r="8" spans="1:2" x14ac:dyDescent="0.35">
      <c r="A8" s="43" t="s">
        <v>429</v>
      </c>
      <c r="B8" s="49">
        <v>20000</v>
      </c>
    </row>
    <row r="9" spans="1:2" x14ac:dyDescent="0.35">
      <c r="A9" s="43" t="s">
        <v>430</v>
      </c>
      <c r="B9" s="49">
        <v>20000</v>
      </c>
    </row>
    <row r="10" spans="1:2" x14ac:dyDescent="0.35">
      <c r="A10" s="43" t="s">
        <v>431</v>
      </c>
      <c r="B10" s="49">
        <v>10000</v>
      </c>
    </row>
    <row r="11" spans="1:2" x14ac:dyDescent="0.35">
      <c r="A11" s="43" t="s">
        <v>432</v>
      </c>
      <c r="B11" s="49">
        <v>3000</v>
      </c>
    </row>
    <row r="12" spans="1:2" x14ac:dyDescent="0.35">
      <c r="A12" s="43" t="s">
        <v>406</v>
      </c>
      <c r="B12" s="49">
        <v>650</v>
      </c>
    </row>
    <row r="13" spans="1:2" x14ac:dyDescent="0.35">
      <c r="A13" s="43" t="s">
        <v>407</v>
      </c>
      <c r="B13" s="49">
        <v>1710</v>
      </c>
    </row>
    <row r="14" spans="1:2" x14ac:dyDescent="0.35">
      <c r="A14" s="43" t="s">
        <v>408</v>
      </c>
      <c r="B14" s="49">
        <v>16000</v>
      </c>
    </row>
    <row r="15" spans="1:2" x14ac:dyDescent="0.35">
      <c r="A15" s="43" t="s">
        <v>409</v>
      </c>
      <c r="B15" s="49">
        <v>18000</v>
      </c>
    </row>
    <row r="16" spans="1:2" x14ac:dyDescent="0.35">
      <c r="A16" s="43" t="s">
        <v>410</v>
      </c>
      <c r="B16" s="49">
        <v>76</v>
      </c>
    </row>
    <row r="17" spans="1:3" x14ac:dyDescent="0.35">
      <c r="A17" s="43" t="s">
        <v>412</v>
      </c>
      <c r="B17" s="49">
        <v>25000</v>
      </c>
    </row>
    <row r="18" spans="1:3" x14ac:dyDescent="0.35">
      <c r="A18" s="43" t="s">
        <v>413</v>
      </c>
      <c r="B18" s="49">
        <v>11000</v>
      </c>
      <c r="C18" t="s">
        <v>463</v>
      </c>
    </row>
    <row r="19" spans="1:3" x14ac:dyDescent="0.35">
      <c r="A19" s="43" t="s">
        <v>414</v>
      </c>
      <c r="B19" s="49">
        <v>2470</v>
      </c>
      <c r="C19" t="s">
        <v>464</v>
      </c>
    </row>
    <row r="20" spans="1:3" x14ac:dyDescent="0.35">
      <c r="A20" s="43" t="s">
        <v>415</v>
      </c>
      <c r="B20" s="49">
        <v>14182</v>
      </c>
      <c r="C20" t="s">
        <v>464</v>
      </c>
    </row>
    <row r="21" spans="1:3" x14ac:dyDescent="0.35">
      <c r="A21" s="43" t="s">
        <v>416</v>
      </c>
      <c r="B21" s="49">
        <v>5500</v>
      </c>
      <c r="C21" t="s">
        <v>464</v>
      </c>
    </row>
    <row r="22" spans="1:3" x14ac:dyDescent="0.35">
      <c r="A22" s="43" t="s">
        <v>417</v>
      </c>
      <c r="B22" s="49">
        <v>5000</v>
      </c>
      <c r="C22" t="s">
        <v>465</v>
      </c>
    </row>
    <row r="23" spans="1:3" x14ac:dyDescent="0.35">
      <c r="A23" s="43" t="s">
        <v>418</v>
      </c>
      <c r="B23" s="49">
        <v>10000</v>
      </c>
      <c r="C23" t="s">
        <v>465</v>
      </c>
    </row>
    <row r="24" spans="1:3" x14ac:dyDescent="0.35">
      <c r="A24" s="43" t="s">
        <v>419</v>
      </c>
      <c r="B24" s="49">
        <v>15000</v>
      </c>
      <c r="C24" t="s">
        <v>465</v>
      </c>
    </row>
    <row r="25" spans="1:3" x14ac:dyDescent="0.35">
      <c r="A25" s="43" t="s">
        <v>421</v>
      </c>
      <c r="B25" s="49">
        <v>10000</v>
      </c>
      <c r="C25" t="s">
        <v>466</v>
      </c>
    </row>
    <row r="26" spans="1:3" x14ac:dyDescent="0.35">
      <c r="A26" s="43" t="s">
        <v>422</v>
      </c>
      <c r="B26" s="49">
        <v>10000</v>
      </c>
      <c r="C26" t="s">
        <v>466</v>
      </c>
    </row>
    <row r="27" spans="1:3" x14ac:dyDescent="0.35">
      <c r="A27" s="43" t="s">
        <v>423</v>
      </c>
      <c r="B27" s="49">
        <v>8000</v>
      </c>
      <c r="C27" t="s">
        <v>467</v>
      </c>
    </row>
    <row r="28" spans="1:3" x14ac:dyDescent="0.35">
      <c r="A28" s="43" t="s">
        <v>424</v>
      </c>
      <c r="B28" s="49">
        <v>2000</v>
      </c>
      <c r="C28" t="s">
        <v>467</v>
      </c>
    </row>
    <row r="29" spans="1:3" x14ac:dyDescent="0.35">
      <c r="A29" s="43" t="s">
        <v>425</v>
      </c>
      <c r="B29" s="49">
        <v>10000</v>
      </c>
      <c r="C29" t="s">
        <v>468</v>
      </c>
    </row>
    <row r="30" spans="1:3" x14ac:dyDescent="0.35">
      <c r="A30" s="43" t="s">
        <v>405</v>
      </c>
      <c r="B30" s="49">
        <v>9751</v>
      </c>
      <c r="C30" t="s">
        <v>470</v>
      </c>
    </row>
    <row r="31" spans="1:3" x14ac:dyDescent="0.35">
      <c r="A31" s="43" t="s">
        <v>426</v>
      </c>
      <c r="B31" s="49">
        <v>700</v>
      </c>
      <c r="C31" t="s">
        <v>471</v>
      </c>
    </row>
    <row r="32" spans="1:3" x14ac:dyDescent="0.35">
      <c r="A32" s="43" t="s">
        <v>427</v>
      </c>
      <c r="B32" s="49">
        <v>100</v>
      </c>
      <c r="C32" t="s">
        <v>469</v>
      </c>
    </row>
    <row r="33" spans="1:3" x14ac:dyDescent="0.35">
      <c r="A33" s="43" t="s">
        <v>433</v>
      </c>
      <c r="B33" s="49">
        <v>1600</v>
      </c>
      <c r="C33" t="s">
        <v>470</v>
      </c>
    </row>
    <row r="34" spans="1:3" x14ac:dyDescent="0.35">
      <c r="A34" s="43" t="s">
        <v>434</v>
      </c>
      <c r="B34" s="49">
        <v>50000</v>
      </c>
      <c r="C34" t="s">
        <v>35</v>
      </c>
    </row>
    <row r="35" spans="1:3" x14ac:dyDescent="0.35">
      <c r="A35" s="43" t="s">
        <v>435</v>
      </c>
      <c r="B35" s="49">
        <v>20000</v>
      </c>
      <c r="C35" t="s">
        <v>470</v>
      </c>
    </row>
    <row r="36" spans="1:3" x14ac:dyDescent="0.35">
      <c r="A36" s="43" t="s">
        <v>436</v>
      </c>
      <c r="B36" s="49">
        <v>16000</v>
      </c>
      <c r="C36" t="s">
        <v>470</v>
      </c>
    </row>
    <row r="37" spans="1:3" x14ac:dyDescent="0.35">
      <c r="A37" s="43" t="s">
        <v>447</v>
      </c>
      <c r="B37" s="49">
        <v>7000</v>
      </c>
      <c r="C37" t="s">
        <v>472</v>
      </c>
    </row>
    <row r="38" spans="1:3" x14ac:dyDescent="0.35">
      <c r="A38" s="43" t="s">
        <v>448</v>
      </c>
      <c r="B38" s="49">
        <v>1300</v>
      </c>
      <c r="C38" t="s">
        <v>472</v>
      </c>
    </row>
    <row r="39" spans="1:3" x14ac:dyDescent="0.35">
      <c r="A39" s="43" t="s">
        <v>460</v>
      </c>
      <c r="B39" s="49">
        <v>80000</v>
      </c>
      <c r="C39" t="s">
        <v>34</v>
      </c>
    </row>
    <row r="40" spans="1:3" x14ac:dyDescent="0.35">
      <c r="A40" s="43" t="s">
        <v>411</v>
      </c>
      <c r="B40" s="49">
        <v>25000</v>
      </c>
      <c r="C40" t="s">
        <v>34</v>
      </c>
    </row>
    <row r="41" spans="1:3" x14ac:dyDescent="0.35">
      <c r="A41" s="43" t="s">
        <v>453</v>
      </c>
      <c r="B41" s="49">
        <v>150</v>
      </c>
    </row>
    <row r="42" spans="1:3" x14ac:dyDescent="0.35">
      <c r="A42" s="43" t="s">
        <v>454</v>
      </c>
      <c r="B42" s="49">
        <v>1400</v>
      </c>
    </row>
    <row r="43" spans="1:3" x14ac:dyDescent="0.35">
      <c r="A43" s="43" t="s">
        <v>455</v>
      </c>
      <c r="B43" s="49">
        <v>550</v>
      </c>
    </row>
    <row r="44" spans="1:3" x14ac:dyDescent="0.35">
      <c r="A44" s="43" t="s">
        <v>456</v>
      </c>
      <c r="B44" s="49">
        <v>1100</v>
      </c>
    </row>
    <row r="45" spans="1:3" x14ac:dyDescent="0.35">
      <c r="A45" s="43" t="s">
        <v>457</v>
      </c>
      <c r="B45" s="49">
        <v>1100</v>
      </c>
    </row>
    <row r="46" spans="1:3" x14ac:dyDescent="0.35">
      <c r="A46" s="43" t="s">
        <v>458</v>
      </c>
      <c r="B46" s="49">
        <v>150</v>
      </c>
    </row>
    <row r="47" spans="1:3" x14ac:dyDescent="0.35">
      <c r="A47" s="43" t="s">
        <v>459</v>
      </c>
      <c r="B47" s="49">
        <v>13100</v>
      </c>
    </row>
    <row r="48" spans="1:3" x14ac:dyDescent="0.35">
      <c r="A48" s="43" t="s">
        <v>461</v>
      </c>
      <c r="B48" s="49">
        <v>8000</v>
      </c>
    </row>
    <row r="49" spans="1:2" x14ac:dyDescent="0.35">
      <c r="A49" s="43" t="s">
        <v>462</v>
      </c>
      <c r="B49" s="49">
        <v>35</v>
      </c>
    </row>
    <row r="50" spans="1:2" x14ac:dyDescent="0.35">
      <c r="A50" s="43" t="s">
        <v>444</v>
      </c>
      <c r="B50" s="49">
        <v>1400</v>
      </c>
    </row>
    <row r="51" spans="1:2" x14ac:dyDescent="0.35">
      <c r="A51" s="43" t="s">
        <v>445</v>
      </c>
      <c r="B51" s="49">
        <v>250</v>
      </c>
    </row>
    <row r="52" spans="1:2" x14ac:dyDescent="0.35">
      <c r="A52" s="43" t="s">
        <v>446</v>
      </c>
      <c r="B52" s="49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January 2023</vt:lpstr>
      <vt:lpstr>Febuary 2023</vt:lpstr>
      <vt:lpstr>March 2023</vt:lpstr>
      <vt:lpstr>April 2023</vt:lpstr>
      <vt:lpstr>May 2023</vt:lpstr>
      <vt:lpstr>June 2023</vt:lpstr>
      <vt:lpstr>July 2023</vt:lpstr>
      <vt:lpstr>August 2023</vt:lpstr>
      <vt:lpstr>September 2023</vt:lpstr>
      <vt:lpstr>October 2023</vt:lpstr>
      <vt:lpstr>November 2023</vt:lpstr>
      <vt:lpstr>December 2023</vt:lpstr>
      <vt:lpstr>Diwali 2023</vt:lpstr>
      <vt:lpstr>Expense(online)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2015-06-05T18:17:20Z</dcterms:created>
  <dcterms:modified xsi:type="dcterms:W3CDTF">2023-12-24T12:59:50Z</dcterms:modified>
</cp:coreProperties>
</file>